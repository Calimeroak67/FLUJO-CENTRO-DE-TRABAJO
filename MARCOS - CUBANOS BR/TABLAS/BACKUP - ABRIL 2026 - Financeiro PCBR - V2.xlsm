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pivotTables/_rels/pivotTable2.xml.rels" ContentType="application/vnd.openxmlformats-package.relationships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11.xml.rels" ContentType="application/vnd.openxmlformats-package.relationships+xml"/>
  <Override PartName="/xl/worksheets/_rels/sheet5.xml.rels" ContentType="application/vnd.openxmlformats-package.relationships+xml"/>
  <Override PartName="/xl/worksheets/_rels/sheet10.xml.rels" ContentType="application/vnd.openxmlformats-package.relationships+xml"/>
  <Override PartName="/xl/worksheets/_rels/sheet4.xml.rels" ContentType="application/vnd.openxmlformats-package.relationships+xml"/>
  <Override PartName="/xl/worksheets/_rels/sheet8.xml.rels" ContentType="application/vnd.openxmlformats-package.relationships+xml"/>
  <Override PartName="/xl/worksheets/_rels/sheet6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sharedStrings.xml" ContentType="application/vnd.openxmlformats-officedocument.spreadsheetml.sharedStrings+xml"/>
  <Override PartName="/xl/pivotCache/pivotCacheDefinition1.xml" ContentType="application/vnd.openxmlformats-officedocument.spreadsheetml.pivotCacheDefinition+xml"/>
  <Override PartName="/xl/pivotCache/_rels/pivotCacheDefinition1.xml.rels" ContentType="application/vnd.openxmlformats-package.relationships+xml"/>
  <Override PartName="/xl/pivotCache/pivotCacheRecords1.xml" ContentType="application/vnd.openxmlformats-officedocument.spreadsheetml.pivotCacheRecords+xml"/>
  <Override PartName="/xl/tables/table5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_rels/workbook.xml.rels" ContentType="application/vnd.openxmlformats-package.relationships+xml"/>
  <Override PartName="/xl/media/image1.png" ContentType="image/png"/>
  <Override PartName="/xl/media/image2.png" ContentType="image/png"/>
  <Override PartName="/xl/media/image3.png" ContentType="image/png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_rels/item1.xml.rels" ContentType="application/vnd.openxmlformats-package.relationships+xml"/>
  <Override PartName="/customXml/item1.xml" ContentType="application/xml"/>
  <Override PartName="/customXml/itemProps1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ENTRADAS CRM" sheetId="1" state="visible" r:id="rId4"/>
    <sheet name="ENTRADAS" sheetId="2" state="visible" r:id="rId5"/>
    <sheet name="SAIDAS" sheetId="3" state="visible" r:id="rId6"/>
    <sheet name="ANALISE ENTRADAS" sheetId="4" state="hidden" r:id="rId7"/>
    <sheet name="ANÁLISE SAÍDA" sheetId="5" state="hidden" r:id="rId8"/>
    <sheet name="DRE" sheetId="6" state="visible" r:id="rId9"/>
    <sheet name="BUSINESS INTELIGENCE" sheetId="7" state="visible" r:id="rId10"/>
    <sheet name="CLIENTES_PCBR" sheetId="8" state="visible" r:id="rId11"/>
    <sheet name="DFC" sheetId="9" state="visible" r:id="rId12"/>
    <sheet name="DB ENTRADAS" sheetId="10" state="visible" r:id="rId13"/>
    <sheet name="DB SAÍDAS" sheetId="11" state="visible" r:id="rId14"/>
  </sheets>
  <definedNames>
    <definedName function="false" hidden="false" name="CATEGORIAS" vbProcedure="false">SAIDAS!$U$1:$AE$1</definedName>
    <definedName function="false" hidden="false" name="COMISSÃO" vbProcedure="false">Tabela2[Comissão]</definedName>
    <definedName function="false" hidden="false" name="ESTORNO" vbProcedure="false">Tabela2[Estorno]</definedName>
    <definedName function="false" hidden="false" name="ESTRUTURA" vbProcedure="false">Tabela2[Estrutura]</definedName>
    <definedName function="false" hidden="false" name="IMPOSTOS" vbProcedure="false">Tabela2[Impostos]</definedName>
    <definedName function="false" hidden="false" name="MARKETING" vbProcedure="false">Tabela2[Marketing]</definedName>
    <definedName function="false" hidden="false" name="MATERIAIS" vbProcedure="false">Tabela2[Materiais]</definedName>
    <definedName function="false" hidden="false" name="OUTROS" vbProcedure="false">Tabela2[Softwares]</definedName>
    <definedName function="false" hidden="false" name="PESSOAL" vbProcedure="false">Tabela2[Pessoal]</definedName>
    <definedName function="false" hidden="false" name="PROLABORE" vbProcedure="false">Tabela2[ProLabore]</definedName>
    <definedName function="false" hidden="false" name="SegmentaçãodeDados_ANO" vbProcedure="false">#N/A</definedName>
    <definedName function="false" hidden="false" name="SegmentaçãodeDados_ANO1" vbProcedure="false">#N/A</definedName>
    <definedName function="false" hidden="false" name="SegmentaçãodeDados_MES" vbProcedure="false">#N/A</definedName>
    <definedName function="false" hidden="false" name="SegmentaçãodeDados_MÊS" vbProcedure="false">#N/A</definedName>
    <definedName function="false" hidden="false" name="Softwares" vbProcedure="false">Tabela2[Softwares]</definedName>
    <definedName function="false" hidden="false" name="TERCEIROS" vbProcedure="false">Tabela2[Terceiros]</definedName>
    <definedName function="false" hidden="true" name="_xleta.MONTH" vbProcedure="false">#NAME?</definedName>
    <definedName function="false" hidden="true" name="_xleta.SUM" vbProcedure="false">#NAME?</definedName>
    <definedName function="false" hidden="true" name="_xleta.SUMIF" vbProcedure="false">#NAME?</definedName>
    <definedName function="false" hidden="true" name="_xleta.UNIQUE" vbProcedure="false">#NAME?</definedName>
    <definedName function="false" hidden="true" localSheetId="1" name="DadosExternos_1" vbProcedure="false">ENTRADAS!$A$1:$S$1338</definedName>
  </definedNames>
  <calcPr iterateCount="100" refMode="A1" iterate="false" iterateDelta="0.0001"/>
  <pivotCaches>
    <pivotCache cacheId="1" r:id="rId16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<sst xmlns="http://schemas.openxmlformats.org/spreadsheetml/2006/main" count="30561" uniqueCount="5589">
  <si>
    <t xml:space="preserve">FECHA</t>
  </si>
  <si>
    <t xml:space="preserve">NOMBRE PIX</t>
  </si>
  <si>
    <t xml:space="preserve">VALOR</t>
  </si>
  <si>
    <t xml:space="preserve">SERVICIO</t>
  </si>
  <si>
    <t xml:space="preserve">CLIENTE</t>
  </si>
  <si>
    <t xml:space="preserve">TELEFONO</t>
  </si>
  <si>
    <t xml:space="preserve">EMAIL</t>
  </si>
  <si>
    <t xml:space="preserve">PAÍS</t>
  </si>
  <si>
    <t xml:space="preserve">ATENDENTE</t>
  </si>
  <si>
    <t xml:space="preserve">UTM_SOURCE</t>
  </si>
  <si>
    <t xml:space="preserve">UTM_CAMPAIGN</t>
  </si>
  <si>
    <t xml:space="preserve">UTM_CONTENT</t>
  </si>
  <si>
    <t xml:space="preserve">UTM_MEDIUM</t>
  </si>
  <si>
    <t xml:space="preserve">RECORRENCIA</t>
  </si>
  <si>
    <t xml:space="preserve">CIUDAD</t>
  </si>
  <si>
    <t xml:space="preserve">ESTADO</t>
  </si>
  <si>
    <t xml:space="preserve">CPF</t>
  </si>
  <si>
    <t xml:space="preserve">01/01/2026 7:22PM</t>
  </si>
  <si>
    <t xml:space="preserve">DES. REF.</t>
  </si>
  <si>
    <t xml:space="preserve">Desconocido</t>
  </si>
  <si>
    <t xml:space="preserve">CAMB. END.</t>
  </si>
  <si>
    <t xml:space="preserve">PDF ÚNICO</t>
  </si>
  <si>
    <t xml:space="preserve">SISCONARE</t>
  </si>
  <si>
    <t xml:space="preserve">CITA CONSULADO</t>
  </si>
  <si>
    <t xml:space="preserve">TRADUCCIÓN</t>
  </si>
  <si>
    <t xml:space="preserve">CURRÍCULO</t>
  </si>
  <si>
    <t xml:space="preserve">DILIGÊNCIA</t>
  </si>
  <si>
    <t xml:space="preserve">RES. PMT.</t>
  </si>
  <si>
    <t xml:space="preserve">COMUNICACIÓN VIAJE</t>
  </si>
  <si>
    <t xml:space="preserve">CERTIDÃO CONSULAR</t>
  </si>
  <si>
    <t xml:space="preserve">AG. PF.</t>
  </si>
  <si>
    <t xml:space="preserve">Raul Alvarez Alvarez</t>
  </si>
  <si>
    <t xml:space="preserve">TRAD. CNH</t>
  </si>
  <si>
    <t xml:space="preserve">,</t>
  </si>
  <si>
    <t xml:space="preserve">ERIC</t>
  </si>
  <si>
    <t xml:space="preserve">Meta Ads</t>
  </si>
  <si>
    <t xml:space="preserve">servicios generales</t>
  </si>
  <si>
    <t xml:space="preserve">Imagen servicios 2</t>
  </si>
  <si>
    <t xml:space="preserve">Anuncio</t>
  </si>
  <si>
    <t xml:space="preserve">Aleida</t>
  </si>
  <si>
    <t xml:space="preserve">moralestamayo64@gmail.com</t>
  </si>
  <si>
    <t xml:space="preserve">Corella</t>
  </si>
  <si>
    <t xml:space="preserve">moralesalmeidaleordanmichel@gmail.com</t>
  </si>
  <si>
    <t xml:space="preserve">-</t>
  </si>
  <si>
    <t xml:space="preserve">YANET AMELIA VILLAVICENCIO</t>
  </si>
  <si>
    <t xml:space="preserve">yanetmato89@gmail.com</t>
  </si>
  <si>
    <t xml:space="preserve">Yander Diaz Mena</t>
  </si>
  <si>
    <t xml:space="preserve">yanderdiaz9912@gmail.com</t>
  </si>
  <si>
    <t xml:space="preserve">Yendrys Maso Lacoste</t>
  </si>
  <si>
    <t xml:space="preserve">delllatitud3550@proton.me</t>
  </si>
  <si>
    <t xml:space="preserve">SOLANGE</t>
  </si>
  <si>
    <t xml:space="preserve">Ingrid Arencibia Rodriguez</t>
  </si>
  <si>
    <t xml:space="preserve">granadobarbaradiaz1234@gmail.com</t>
  </si>
  <si>
    <t xml:space="preserve">Elena Rodriguez Espinosa</t>
  </si>
  <si>
    <t xml:space="preserve">MICHEL</t>
  </si>
  <si>
    <t xml:space="preserve">Alexander Rodriguez Gil</t>
  </si>
  <si>
    <t xml:space="preserve">Yosleidy</t>
  </si>
  <si>
    <t xml:space="preserve">galardigilyosleidy@gmail.com</t>
  </si>
  <si>
    <t xml:space="preserve">Marisol Garcia La O</t>
  </si>
  <si>
    <t xml:space="preserve">marisolgarcialao@mail.com</t>
  </si>
  <si>
    <t xml:space="preserve">FACEBOOK</t>
  </si>
  <si>
    <t xml:space="preserve">AD01 - RES. PMT.</t>
  </si>
  <si>
    <t xml:space="preserve">PAGO</t>
  </si>
  <si>
    <t xml:space="preserve">Liosbel mendoza arias</t>
  </si>
  <si>
    <t xml:space="preserve">Liosbel Mendoza Arias</t>
  </si>
  <si>
    <t xml:space="preserve">mendozaariasleosbel@gmail.com</t>
  </si>
  <si>
    <t xml:space="preserve">Yenisleidi Rodriguez</t>
  </si>
  <si>
    <t xml:space="preserve">yenisleidirodriguez770@gmail.com</t>
  </si>
  <si>
    <t xml:space="preserve">Milene Pimentel Pérez</t>
  </si>
  <si>
    <t xml:space="preserve">Desarchivamiento Refugio</t>
  </si>
  <si>
    <t xml:space="preserve">Caixa de pergunta refugio archivado</t>
  </si>
  <si>
    <t xml:space="preserve">Paulo Martins</t>
  </si>
  <si>
    <t xml:space="preserve">Alexis Naranjo</t>
  </si>
  <si>
    <t xml:space="preserve">Evelyn Martin Chavez</t>
  </si>
  <si>
    <t xml:space="preserve">evelynmartinchavez@gmail.com</t>
  </si>
  <si>
    <t xml:space="preserve">metaads</t>
  </si>
  <si>
    <t xml:space="preserve">[LEAD]+[ADV%2B]+[SITE]+[TRA]+[TES]+[POS.+ADV%2B]+[F]+CAMB.+END.</t>
  </si>
  <si>
    <t xml:space="preserve">Facebook_Mobile_Reels</t>
  </si>
  <si>
    <t xml:space="preserve">Yailen Rodriguez Sacerio</t>
  </si>
  <si>
    <t xml:space="preserve">Jose Alberto</t>
  </si>
  <si>
    <t xml:space="preserve">dm9972987@gmail.com</t>
  </si>
  <si>
    <t xml:space="preserve">Osmani Morales Martin</t>
  </si>
  <si>
    <t xml:space="preserve">Vladimir Fernández Rodríguez</t>
  </si>
  <si>
    <t xml:space="preserve">Geordanis Bonne Miranda</t>
  </si>
  <si>
    <t xml:space="preserve">yordanisbonnemiranda@gmail.com</t>
  </si>
  <si>
    <t xml:space="preserve">Cindy Montes de Oca</t>
  </si>
  <si>
    <t xml:space="preserve">Yusdanis Morejon</t>
  </si>
  <si>
    <t xml:space="preserve">morejonaplle@gmail.com</t>
  </si>
  <si>
    <t xml:space="preserve">Eduardo Alvarez Balbuena</t>
  </si>
  <si>
    <t xml:space="preserve">Williams David Portela Landa</t>
  </si>
  <si>
    <t xml:space="preserve">Vanessa Villalejo Matos</t>
  </si>
  <si>
    <t xml:space="preserve">vanessavillalejo756@gmail.com</t>
  </si>
  <si>
    <t xml:space="preserve">Orleydis Leyva Cedeno</t>
  </si>
  <si>
    <t xml:space="preserve">leyvacedenoorleydis@gmail.com</t>
  </si>
  <si>
    <t xml:space="preserve">CUBA</t>
  </si>
  <si>
    <t xml:space="preserve">Zarelys Perez Hernandez</t>
  </si>
  <si>
    <t xml:space="preserve">zarelys.perez.2022@gmail.com</t>
  </si>
  <si>
    <t xml:space="preserve">facebook</t>
  </si>
  <si>
    <t xml:space="preserve">AD01 - CAMB. END.</t>
  </si>
  <si>
    <t xml:space="preserve">pago</t>
  </si>
  <si>
    <t xml:space="preserve">Delmis Vicet Tamayo</t>
  </si>
  <si>
    <t xml:space="preserve">vicettamayodelmis@gmail.com</t>
  </si>
  <si>
    <t xml:space="preserve">Carlos Manuel Hinojosa Torres</t>
  </si>
  <si>
    <t xml:space="preserve">hinojosatorrescarlosmanuel@gmail.com</t>
  </si>
  <si>
    <t xml:space="preserve">Aylin Marina Vicet Aguilar</t>
  </si>
  <si>
    <t xml:space="preserve">Melany Díaz Gómez</t>
  </si>
  <si>
    <t xml:space="preserve">VISA REU. FAM.</t>
  </si>
  <si>
    <t xml:space="preserve">Instagram</t>
  </si>
  <si>
    <t xml:space="preserve">bio</t>
  </si>
  <si>
    <t xml:space="preserve">Alejandro Fernandez Monterde</t>
  </si>
  <si>
    <t xml:space="preserve">alejandromonterde84@gmail.com</t>
  </si>
  <si>
    <t xml:space="preserve">Iosyel Contreras</t>
  </si>
  <si>
    <t xml:space="preserve">lirv9310@gmail.com</t>
  </si>
  <si>
    <t xml:space="preserve">Yunipza</t>
  </si>
  <si>
    <t xml:space="preserve">Asdruval Alejandro Aguila</t>
  </si>
  <si>
    <t xml:space="preserve">asdruvalalejandroa@gmail.com</t>
  </si>
  <si>
    <t xml:space="preserve">Yohander Fernandez Escobar</t>
  </si>
  <si>
    <t xml:space="preserve">Jeniffer Patricia Martin Urquiola</t>
  </si>
  <si>
    <t xml:space="preserve">jenifferpatriciamartinurquiola@gmail.com</t>
  </si>
  <si>
    <t xml:space="preserve">César José Rodríguez Jiménez</t>
  </si>
  <si>
    <t xml:space="preserve">cezar03rodrigue@gmail.com</t>
  </si>
  <si>
    <t xml:space="preserve">Yuleidys Veliz Miranda</t>
  </si>
  <si>
    <t xml:space="preserve">migdalismendoza6@gmail.com</t>
  </si>
  <si>
    <t xml:space="preserve">Yeretnys Sahay González</t>
  </si>
  <si>
    <t xml:space="preserve">yeretnysglez@gmail.com</t>
  </si>
  <si>
    <t xml:space="preserve">Georky Nunez Fernandez</t>
  </si>
  <si>
    <t xml:space="preserve">nunezfernandezgeorky@gmail.com</t>
  </si>
  <si>
    <t xml:space="preserve">Anabel Arrate Mustelier</t>
  </si>
  <si>
    <t xml:space="preserve">mariacaridadmustelierO@gmail.com</t>
  </si>
  <si>
    <t xml:space="preserve">Jorge Luis Arencibia Rodriguez</t>
  </si>
  <si>
    <t xml:space="preserve">Arian Rodriguez Paula</t>
  </si>
  <si>
    <t xml:space="preserve">arianrodriguez809@gmail.com</t>
  </si>
  <si>
    <t xml:space="preserve">Yilver Guerrero Beatriz</t>
  </si>
  <si>
    <t xml:space="preserve">yilverguerrerodlt@gmail.com</t>
  </si>
  <si>
    <t xml:space="preserve">Wisley Vederos Guerra</t>
  </si>
  <si>
    <t xml:space="preserve">Wisley Mederos Guerra</t>
  </si>
  <si>
    <t xml:space="preserve">wily.mederos@gmail.com</t>
  </si>
  <si>
    <t xml:space="preserve">Yaneya Rueda Clapera</t>
  </si>
  <si>
    <t xml:space="preserve">yaneyarueda@gmail.com</t>
  </si>
  <si>
    <t xml:space="preserve">Yaroslav De La Rosa Vela</t>
  </si>
  <si>
    <t xml:space="preserve">64.001.657 Quintana</t>
  </si>
  <si>
    <t xml:space="preserve">Robert</t>
  </si>
  <si>
    <t xml:space="preserve">arlinobregon517@gmail.com</t>
  </si>
  <si>
    <t xml:space="preserve">Darien Alonso Pelayo</t>
  </si>
  <si>
    <t xml:space="preserve">darienpelayo@yahoo.com</t>
  </si>
  <si>
    <t xml:space="preserve">Yilver Guerrero Benitez</t>
  </si>
  <si>
    <t xml:space="preserve">Cindy Montes de Oca Corrales</t>
  </si>
  <si>
    <t xml:space="preserve">Jonathan Andrés Rodríguez Muñoz</t>
  </si>
  <si>
    <t xml:space="preserve">rodriguezmunozjonathanandres2@gmail.com</t>
  </si>
  <si>
    <t xml:space="preserve">LARITZA</t>
  </si>
  <si>
    <t xml:space="preserve">Yanet Amelia Villacencio Mato</t>
  </si>
  <si>
    <t xml:space="preserve">Incasa Comercio de movies</t>
  </si>
  <si>
    <t xml:space="preserve">Doraine</t>
  </si>
  <si>
    <t xml:space="preserve">melany20051302@gmail.com</t>
  </si>
  <si>
    <t xml:space="preserve">Marco Antonio Pozo</t>
  </si>
  <si>
    <t xml:space="preserve">marcopozo.fonseca@gmail.com</t>
  </si>
  <si>
    <t xml:space="preserve">Caridad Gonzalez Loaces</t>
  </si>
  <si>
    <t xml:space="preserve">gadielodilio@gmail.com</t>
  </si>
  <si>
    <t xml:space="preserve">Juan Carlos Ibarra Yera</t>
  </si>
  <si>
    <t xml:space="preserve">juancarloibarrayera@gmail.com</t>
  </si>
  <si>
    <t xml:space="preserve">Rolando Perez Machín</t>
  </si>
  <si>
    <t xml:space="preserve">machinoperezrolando1986@gmail.com</t>
  </si>
  <si>
    <t xml:space="preserve">Yosue Benedicto Alonso Velazques</t>
  </si>
  <si>
    <t xml:space="preserve">Manuel Enrique Betancourt Cabreja</t>
  </si>
  <si>
    <t xml:space="preserve">Guillermo José Hernández Cabriales</t>
  </si>
  <si>
    <t xml:space="preserve">hernandezg96126@gmail.com</t>
  </si>
  <si>
    <t xml:space="preserve">Armando Zamora Gallardo</t>
  </si>
  <si>
    <t xml:space="preserve">Maria Esther</t>
  </si>
  <si>
    <t xml:space="preserve">marywittson9723@gmail.com</t>
  </si>
  <si>
    <t xml:space="preserve">Ariel Pineiro Alvarez</t>
  </si>
  <si>
    <t xml:space="preserve">arielyasmany16@gmail.com</t>
  </si>
  <si>
    <t xml:space="preserve">Mayla de la Caridad Diaz Herrera</t>
  </si>
  <si>
    <t xml:space="preserve">eblismustelier2@gmail.com</t>
  </si>
  <si>
    <t xml:space="preserve">Yenisley Morejon Fernandez</t>
  </si>
  <si>
    <t xml:space="preserve">morejonyeni82@gmail.com</t>
  </si>
  <si>
    <t xml:space="preserve">Indira Gallardo Marrero</t>
  </si>
  <si>
    <t xml:space="preserve">gallardoindira12@gmail.com</t>
  </si>
  <si>
    <t xml:space="preserve">Yamiley Gómez Pérez</t>
  </si>
  <si>
    <t xml:space="preserve">yamileygomezperez@gmail.com</t>
  </si>
  <si>
    <t xml:space="preserve">Olga Maria Munoz</t>
  </si>
  <si>
    <t xml:space="preserve">omglz2010@gmail.com</t>
  </si>
  <si>
    <t xml:space="preserve">Yosbany Bravo Sanchez</t>
  </si>
  <si>
    <t xml:space="preserve">yosbanyjunior@gmail.com</t>
  </si>
  <si>
    <t xml:space="preserve">Elias Salim Rojas</t>
  </si>
  <si>
    <t xml:space="preserve">eliassalim1982@gmail.com</t>
  </si>
  <si>
    <t xml:space="preserve">Pedro Leyva Gordo</t>
  </si>
  <si>
    <t xml:space="preserve">pedroleyvagordo73@gmail.com</t>
  </si>
  <si>
    <t xml:space="preserve">Juan Miguel Tellez Feria</t>
  </si>
  <si>
    <t xml:space="preserve">juanmigueltellez62@gmail.com</t>
  </si>
  <si>
    <t xml:space="preserve">Senia Olivero Hidalgo</t>
  </si>
  <si>
    <t xml:space="preserve">seniaolivero5@gmail.com</t>
  </si>
  <si>
    <t xml:space="preserve">Edwin Martinez Gutierrez</t>
  </si>
  <si>
    <t xml:space="preserve">edwinmartinezgutierrez14@gmail.com</t>
  </si>
  <si>
    <t xml:space="preserve">Gerardo Rufino Galardy Aguila</t>
  </si>
  <si>
    <t xml:space="preserve">Daynis Ramos Zamora</t>
  </si>
  <si>
    <t xml:space="preserve">daynis.ramos@icloud.com</t>
  </si>
  <si>
    <t xml:space="preserve">Yadira Giron Mesa</t>
  </si>
  <si>
    <t xml:space="preserve">ygironmesa@gmail.com</t>
  </si>
  <si>
    <t xml:space="preserve">Carlos Olavo Oliva Lopez</t>
  </si>
  <si>
    <t xml:space="preserve">deniasantiesteban0@gmail.com</t>
  </si>
  <si>
    <t xml:space="preserve">Claudia Fonseca Santiesteban</t>
  </si>
  <si>
    <t xml:space="preserve">claudiafomsecas@gmail.com</t>
  </si>
  <si>
    <t xml:space="preserve">Gerardo rufino</t>
  </si>
  <si>
    <t xml:space="preserve">Daynis</t>
  </si>
  <si>
    <t xml:space="preserve">Verde Card</t>
  </si>
  <si>
    <t xml:space="preserve">Alexander Travieso Caraballo</t>
  </si>
  <si>
    <t xml:space="preserve">alexandertravieso26@gmail.com</t>
  </si>
  <si>
    <t xml:space="preserve">FUSSTER MONTERO CASTELLANO</t>
  </si>
  <si>
    <t xml:space="preserve">fusstermontero@gmail.com</t>
  </si>
  <si>
    <t xml:space="preserve">Darianna la Caridad G Craig</t>
  </si>
  <si>
    <t xml:space="preserve">Yoanys Mora</t>
  </si>
  <si>
    <t xml:space="preserve">yoanismora090@gmail.com</t>
  </si>
  <si>
    <t xml:space="preserve">Omar Mora</t>
  </si>
  <si>
    <t xml:space="preserve">Carraleromora318@gmail.com</t>
  </si>
  <si>
    <t xml:space="preserve">Rosabel Maria Reyes</t>
  </si>
  <si>
    <t xml:space="preserve">010202ro@gmail.com</t>
  </si>
  <si>
    <t xml:space="preserve">AD02 - CAMB. END.</t>
  </si>
  <si>
    <t xml:space="preserve">Yerannys Jesus Elias Figueredo</t>
  </si>
  <si>
    <t xml:space="preserve">figueredoyerannyelias@gmail.com</t>
  </si>
  <si>
    <t xml:space="preserve">Roxana Gonzalez Cabrera</t>
  </si>
  <si>
    <t xml:space="preserve">ricardogusmansi676@gmail.com</t>
  </si>
  <si>
    <t xml:space="preserve">AD03 - RES. PMT.</t>
  </si>
  <si>
    <t xml:space="preserve">Duany Alvarez Enrrique</t>
  </si>
  <si>
    <t xml:space="preserve">Duany  Enrrique Alvarez</t>
  </si>
  <si>
    <t xml:space="preserve">enriquezalvarezduany@gmail.com</t>
  </si>
  <si>
    <t xml:space="preserve">Abel Sanchez Escobar</t>
  </si>
  <si>
    <t xml:space="preserve">deusescobarbrasil@gmail.com</t>
  </si>
  <si>
    <t xml:space="preserve">Daniel Milan Diaz</t>
  </si>
  <si>
    <t xml:space="preserve">Maikel Espinosa Rodríguez</t>
  </si>
  <si>
    <t xml:space="preserve">maikele374@gmail.com</t>
  </si>
  <si>
    <t xml:space="preserve">AD03 - CAMB. END.</t>
  </si>
  <si>
    <t xml:space="preserve">Orleydis Leyva Cedeno/Pedro</t>
  </si>
  <si>
    <t xml:space="preserve">Yessica Hernandez Fernandez</t>
  </si>
  <si>
    <t xml:space="preserve">Yoandris Ramirez Castro</t>
  </si>
  <si>
    <t xml:space="preserve">yoandrisramirezcastro@gmail.com</t>
  </si>
  <si>
    <t xml:space="preserve">Reidy Napoles Perez</t>
  </si>
  <si>
    <t xml:space="preserve">reidyperez72@gmail.com</t>
  </si>
  <si>
    <t xml:space="preserve">JULIO CESAR PEREZ PARRA</t>
  </si>
  <si>
    <t xml:space="preserve">Bárbara Acosta</t>
  </si>
  <si>
    <t xml:space="preserve">barbaraacostasuarez@gmail.com</t>
  </si>
  <si>
    <t xml:space="preserve">AMELIA SERRANO MERINO</t>
  </si>
  <si>
    <t xml:space="preserve">Carlos Miguel rosales serrano</t>
  </si>
  <si>
    <t xml:space="preserve">,,</t>
  </si>
  <si>
    <t xml:space="preserve">Gilberto Enrrique Menendez</t>
  </si>
  <si>
    <t xml:space="preserve">gilbertomenendez2@gmail.com</t>
  </si>
  <si>
    <t xml:space="preserve">Joel David Sanchez Perez</t>
  </si>
  <si>
    <t xml:space="preserve">jdavidsperez@gmail.com</t>
  </si>
  <si>
    <t xml:space="preserve">Pedro Luis Carrillo</t>
  </si>
  <si>
    <t xml:space="preserve">Guillermo Montejo</t>
  </si>
  <si>
    <t xml:space="preserve">guilleenbrasil@gmail.com</t>
  </si>
  <si>
    <t xml:space="preserve">Pavel Estrada</t>
  </si>
  <si>
    <t xml:space="preserve">Leony Autberto Rondón Salazar</t>
  </si>
  <si>
    <t xml:space="preserve">Yohana Blanco Mora</t>
  </si>
  <si>
    <t xml:space="preserve">yohanablanco267@gmail.com</t>
  </si>
  <si>
    <t xml:space="preserve">Maricela Pérez Gutiérrez</t>
  </si>
  <si>
    <t xml:space="preserve">maricelaperezgutierrez29@gmail.com</t>
  </si>
  <si>
    <t xml:space="preserve">Misleidy Yamile Pérez Calderón</t>
  </si>
  <si>
    <t xml:space="preserve">Dinheiro</t>
  </si>
  <si>
    <t xml:space="preserve">Manuel Fabián (Vecino)</t>
  </si>
  <si>
    <t xml:space="preserve">Erlis rodriguez hernandez</t>
  </si>
  <si>
    <t xml:space="preserve">Erlis Rodriguez Hernandez</t>
  </si>
  <si>
    <t xml:space="preserve">rodriguezerlis404@gmail.com</t>
  </si>
  <si>
    <t xml:space="preserve">Dayana López Morales</t>
  </si>
  <si>
    <t xml:space="preserve">dayilm696@gmail.com</t>
  </si>
  <si>
    <t xml:space="preserve">Andreia dos Santos</t>
  </si>
  <si>
    <t xml:space="preserve">Yoikel Gomez</t>
  </si>
  <si>
    <t xml:space="preserve">yoikelgomez18@gmail.com</t>
  </si>
  <si>
    <t xml:space="preserve">Erivando A L Silva</t>
  </si>
  <si>
    <t xml:space="preserve">Dayamis Rodriguez Cantin</t>
  </si>
  <si>
    <t xml:space="preserve">dayamicantin@gmail.com</t>
  </si>
  <si>
    <t xml:space="preserve">Nelson Echarte zamora</t>
  </si>
  <si>
    <t xml:space="preserve">brasilecharte4@gmail.com</t>
  </si>
  <si>
    <t xml:space="preserve">Cambio de Dirección</t>
  </si>
  <si>
    <t xml:space="preserve">Caixa de pergunta cambio dirección são paulo</t>
  </si>
  <si>
    <t xml:space="preserve">Martha Elizabeth F Carcaces</t>
  </si>
  <si>
    <t xml:space="preserve">marthafrometa044@gmail.com</t>
  </si>
  <si>
    <t xml:space="preserve">Luis Damian Sibila</t>
  </si>
  <si>
    <t xml:space="preserve">Katia</t>
  </si>
  <si>
    <t xml:space="preserve">katiarome80@gmail.com</t>
  </si>
  <si>
    <t xml:space="preserve">Jesus Yeras Moya</t>
  </si>
  <si>
    <t xml:space="preserve">jesusyeras@gmail.com</t>
  </si>
  <si>
    <t xml:space="preserve">Jorge Luis Veliz Pérez</t>
  </si>
  <si>
    <t xml:space="preserve">jorgelvp72@gmail.com</t>
  </si>
  <si>
    <t xml:space="preserve">Nerelys Hernandez Gonzalez</t>
  </si>
  <si>
    <t xml:space="preserve">Vladimir Silva Silva</t>
  </si>
  <si>
    <t xml:space="preserve">silvasilvavladimir9@gmail.com</t>
  </si>
  <si>
    <t xml:space="preserve">Yanetsy Hernandez Mejias</t>
  </si>
  <si>
    <t xml:space="preserve">Luis Daniel Aguilera</t>
  </si>
  <si>
    <t xml:space="preserve">Adriano Cala Rodriguez</t>
  </si>
  <si>
    <t xml:space="preserve">acala1492@gmail.com</t>
  </si>
  <si>
    <t xml:space="preserve">Víctor Manuel Munoz Padron</t>
  </si>
  <si>
    <t xml:space="preserve">victormanuelmunozpadron398@gmail.com</t>
  </si>
  <si>
    <t xml:space="preserve">Anarelis Nunez Borges</t>
  </si>
  <si>
    <t xml:space="preserve">anarelis384@gmail.com</t>
  </si>
  <si>
    <t xml:space="preserve">Diansy Soto Marrero</t>
  </si>
  <si>
    <t xml:space="preserve">diansysotomarrero@gmail.com</t>
  </si>
  <si>
    <t xml:space="preserve">Antonio Leon Aguilar</t>
  </si>
  <si>
    <t xml:space="preserve">1995mialeonc@gmail.com</t>
  </si>
  <si>
    <t xml:space="preserve">Melissa Hunt Rodriguez</t>
  </si>
  <si>
    <t xml:space="preserve">huntrodriguez4@gmail.com</t>
  </si>
  <si>
    <t xml:space="preserve">Jorge Luis Martínez Paula</t>
  </si>
  <si>
    <t xml:space="preserve">jorgeluis930501@gmail.com</t>
  </si>
  <si>
    <t xml:space="preserve">instagram</t>
  </si>
  <si>
    <t xml:space="preserve">social</t>
  </si>
  <si>
    <t xml:space="preserve">organico</t>
  </si>
  <si>
    <t xml:space="preserve">Cira Iliana Macias Fonseca</t>
  </si>
  <si>
    <t xml:space="preserve">cirailianamaciasfonseca@gmail.com</t>
  </si>
  <si>
    <t xml:space="preserve">Yuniesky Montero Segura</t>
  </si>
  <si>
    <t xml:space="preserve">yunieskymonterosegura@gmail.com</t>
  </si>
  <si>
    <t xml:space="preserve">Julio Cesar Silva Diaz</t>
  </si>
  <si>
    <t xml:space="preserve">Rodrigo Lázaro Leyva</t>
  </si>
  <si>
    <t xml:space="preserve">rodrigolazaroleyvatorres@gmail.com</t>
  </si>
  <si>
    <t xml:space="preserve">Onelys Hernandez Dominguez</t>
  </si>
  <si>
    <t xml:space="preserve">Yolimar del Carmen Torrivilla</t>
  </si>
  <si>
    <t xml:space="preserve">Yolimardelcarmentorrivilla@gmail.com</t>
  </si>
  <si>
    <t xml:space="preserve">Yorleydis Gómez Navarro</t>
  </si>
  <si>
    <t xml:space="preserve">yorleidisgomeznavarro0@gmail.com</t>
  </si>
  <si>
    <t xml:space="preserve">Lia Mir Areviche</t>
  </si>
  <si>
    <t xml:space="preserve">alejandrodelgadotressord@gmail.com</t>
  </si>
  <si>
    <t xml:space="preserve">Dinero</t>
  </si>
  <si>
    <t xml:space="preserve">Dayami Cruz Ramirez</t>
  </si>
  <si>
    <t xml:space="preserve">dayamicruz113@gmail.com</t>
  </si>
  <si>
    <t xml:space="preserve">Yunior Abdala</t>
  </si>
  <si>
    <t xml:space="preserve">yuniorabdala140785@gmail.com</t>
  </si>
  <si>
    <t xml:space="preserve">Alexander Nazareth Rondon Williams</t>
  </si>
  <si>
    <t xml:space="preserve">Yoni Lay</t>
  </si>
  <si>
    <t xml:space="preserve">yonimamu83@gmail.com</t>
  </si>
  <si>
    <t xml:space="preserve">DANIEL  ORLANDO COLLADO</t>
  </si>
  <si>
    <t xml:space="preserve">DANIEL ORLANDO COLLADO</t>
  </si>
  <si>
    <t xml:space="preserve">danielcollado243@gmail.com</t>
  </si>
  <si>
    <t xml:space="preserve">Roberto Jesús Salazar</t>
  </si>
  <si>
    <t xml:space="preserve">robesalazarcambas@gmail.com</t>
  </si>
  <si>
    <t xml:space="preserve">02/02/2026 7:22PM</t>
  </si>
  <si>
    <t xml:space="preserve">Yusmaira castillo ruiz</t>
  </si>
  <si>
    <t xml:space="preserve">yusmairaangel1214@gmail.com</t>
  </si>
  <si>
    <t xml:space="preserve">Facebook_Mobile_Feed</t>
  </si>
  <si>
    <t xml:space="preserve">Josmay Antonio Rodriguez</t>
  </si>
  <si>
    <t xml:space="preserve">josmay.rdz86@gmail.com</t>
  </si>
  <si>
    <t xml:space="preserve">YAMIL MEDINA DIAZ</t>
  </si>
  <si>
    <t xml:space="preserve">Yamil medina</t>
  </si>
  <si>
    <t xml:space="preserve">yamil medina2025@gmail.com</t>
  </si>
  <si>
    <t xml:space="preserve">Yaiquel Rondon Góngora</t>
  </si>
  <si>
    <t xml:space="preserve">jeicolrondon@gmail.com</t>
  </si>
  <si>
    <t xml:space="preserve">Gelen Marlene Garrido</t>
  </si>
  <si>
    <t xml:space="preserve">gelengarrido7@gmail.com</t>
  </si>
  <si>
    <t xml:space="preserve">Hebe Teresa</t>
  </si>
  <si>
    <t xml:space="preserve">Ricardo</t>
  </si>
  <si>
    <t xml:space="preserve">ricardoortizwilson@gmil.com</t>
  </si>
  <si>
    <t xml:space="preserve">Madelyn Garcia Diaz</t>
  </si>
  <si>
    <t xml:space="preserve">leoh81667@gmail.com</t>
  </si>
  <si>
    <t xml:space="preserve">Lianet Alfonso Martinez</t>
  </si>
  <si>
    <t xml:space="preserve">alfonsomartinezlianet@gmail.com</t>
  </si>
  <si>
    <t xml:space="preserve">Jonatan Vives Sanchez</t>
  </si>
  <si>
    <t xml:space="preserve">Thalía</t>
  </si>
  <si>
    <t xml:space="preserve">thaliavivas2005@gmail.com</t>
  </si>
  <si>
    <t xml:space="preserve">JESSICA</t>
  </si>
  <si>
    <t xml:space="preserve">Erlis Rodriguez hernandez</t>
  </si>
  <si>
    <t xml:space="preserve">01/02/2026 7:22PM</t>
  </si>
  <si>
    <t xml:space="preserve">Yamilka Ledesma</t>
  </si>
  <si>
    <t xml:space="preserve">ledesmaotanoyamilka@gmail.com</t>
  </si>
  <si>
    <t xml:space="preserve">Alain Cordero Munoz</t>
  </si>
  <si>
    <t xml:space="preserve">Angel Orlando Cano Gómez</t>
  </si>
  <si>
    <t xml:space="preserve">acano6076@gmail.com</t>
  </si>
  <si>
    <t xml:space="preserve">YUSNIEX ACOSTA CRUZ</t>
  </si>
  <si>
    <t xml:space="preserve">Oslaidy Home Rodriguez</t>
  </si>
  <si>
    <t xml:space="preserve">AD08 - RES. PMT.</t>
  </si>
  <si>
    <t xml:space="preserve">Orleanna Marzo Suarez</t>
  </si>
  <si>
    <t xml:space="preserve">Vismay Jesus Agüero Puig</t>
  </si>
  <si>
    <t xml:space="preserve">03/02/2026 7:22PM</t>
  </si>
  <si>
    <t xml:space="preserve">Michel Inidio Pozo Fonseca</t>
  </si>
  <si>
    <t xml:space="preserve">Daniel  Rafael F Hernandez</t>
  </si>
  <si>
    <t xml:space="preserve">ferrerahernandezdanielrafael7@gmail.com</t>
  </si>
  <si>
    <t xml:space="preserve">EUDALIS FERNANDEZ RODRIGUEZ</t>
  </si>
  <si>
    <t xml:space="preserve">Eudalis Fernández</t>
  </si>
  <si>
    <t xml:space="preserve">eudalisfernandez98@gmail.com</t>
  </si>
  <si>
    <t xml:space="preserve">Victor Daniel Perez</t>
  </si>
  <si>
    <t xml:space="preserve">perezdanielito64@gmail.com</t>
  </si>
  <si>
    <t xml:space="preserve">Francisco Lisvey Gonzalez</t>
  </si>
  <si>
    <t xml:space="preserve">Fransiscoglez76@gmail.com</t>
  </si>
  <si>
    <t xml:space="preserve">Yilver Guerrero  Benitez</t>
  </si>
  <si>
    <t xml:space="preserve">Lisbet Araujo</t>
  </si>
  <si>
    <t xml:space="preserve">lisbetlisdania@gmail.com</t>
  </si>
  <si>
    <t xml:space="preserve">IDAEL TORRES BENAVIDES</t>
  </si>
  <si>
    <t xml:space="preserve">Idael Torres Benavides</t>
  </si>
  <si>
    <t xml:space="preserve">Idealtorresbenavides@gmail.com</t>
  </si>
  <si>
    <t xml:space="preserve">Janser Rivera Cristi</t>
  </si>
  <si>
    <t xml:space="preserve">Anisley</t>
  </si>
  <si>
    <t xml:space="preserve">riveramichek575@gmailcom</t>
  </si>
  <si>
    <t xml:space="preserve">06/02/2026 7:22PM</t>
  </si>
  <si>
    <t xml:space="preserve">Ana Barbar Fellove Diaz</t>
  </si>
  <si>
    <t xml:space="preserve">RENOVAR X JATAÍ</t>
  </si>
  <si>
    <t xml:space="preserve">Jesus Oliver García</t>
  </si>
  <si>
    <t xml:space="preserve">jesusolivergarcia02@gmail.com</t>
  </si>
  <si>
    <t xml:space="preserve">Noslen Castilla del Rosario</t>
  </si>
  <si>
    <t xml:space="preserve">noslencastilla0@gmail.com</t>
  </si>
  <si>
    <t xml:space="preserve">YANEISY ELENA MUNOZ RIZO</t>
  </si>
  <si>
    <t xml:space="preserve">Yaneisy Elena Munoz Rizo</t>
  </si>
  <si>
    <t xml:space="preserve">munozrizoyaneisyelena@gmail.com</t>
  </si>
  <si>
    <t xml:space="preserve">Yanelis Sanchez Trujillo</t>
  </si>
  <si>
    <t xml:space="preserve">yanesanchez870425@yahoo.com</t>
  </si>
  <si>
    <t xml:space="preserve">Anieska Ortiz Ge</t>
  </si>
  <si>
    <t xml:space="preserve">ORLINDA ALFONSO PANACO</t>
  </si>
  <si>
    <t xml:space="preserve">luisalbertogonzalez1609@gmail.com</t>
  </si>
  <si>
    <t xml:space="preserve">04/02/2026 7:22PM</t>
  </si>
  <si>
    <t xml:space="preserve">Reiler Samón Furones</t>
  </si>
  <si>
    <t xml:space="preserve">Anniu Daikenier Dervilla</t>
  </si>
  <si>
    <t xml:space="preserve">Eric Silva Araujo</t>
  </si>
  <si>
    <t xml:space="preserve">Lorena</t>
  </si>
  <si>
    <t xml:space="preserve">lorenanoel055@gmail.com</t>
  </si>
  <si>
    <t xml:space="preserve">Alian Oscar ramirez</t>
  </si>
  <si>
    <t xml:space="preserve">Yisel</t>
  </si>
  <si>
    <t xml:space="preserve">yiliannisblanco552@gamil.con</t>
  </si>
  <si>
    <t xml:space="preserve">SUREMYS PAVON MADERA</t>
  </si>
  <si>
    <t xml:space="preserve">Suremys Pavón Madera</t>
  </si>
  <si>
    <t xml:space="preserve">pavonsuremys@gmail.com</t>
  </si>
  <si>
    <t xml:space="preserve">Yanet Guerra Suarez</t>
  </si>
  <si>
    <t xml:space="preserve">Reynier Díaz Díaz</t>
  </si>
  <si>
    <t xml:space="preserve">reynierddiaz@gmail.com</t>
  </si>
  <si>
    <t xml:space="preserve">Jesus Leonard Hernandez</t>
  </si>
  <si>
    <t xml:space="preserve">Keila Torres Jiménez</t>
  </si>
  <si>
    <t xml:space="preserve">kt8909242@gamil.com</t>
  </si>
  <si>
    <t xml:space="preserve">MARCELA MAURA DOMINGUEZ TELLEZ</t>
  </si>
  <si>
    <t xml:space="preserve">Marcela Maura Dominguez Tellez</t>
  </si>
  <si>
    <t xml:space="preserve">marceladomingueztellez99@gmail.com</t>
  </si>
  <si>
    <t xml:space="preserve">Luisbel García Martínez</t>
  </si>
  <si>
    <t xml:space="preserve">Alain Contreras Redondo</t>
  </si>
  <si>
    <t xml:space="preserve">contrerasalain79@gmail.com</t>
  </si>
  <si>
    <t xml:space="preserve">Yenny Brown Carrero</t>
  </si>
  <si>
    <t xml:space="preserve">yennybrown15@gmail.com</t>
  </si>
  <si>
    <t xml:space="preserve">Edilberto Lien Dinza</t>
  </si>
  <si>
    <t xml:space="preserve">Edilberto Lien Dínza</t>
  </si>
  <si>
    <t xml:space="preserve">edilberto@.com.cu</t>
  </si>
  <si>
    <t xml:space="preserve">Berta Julia Alonso Esquivel</t>
  </si>
  <si>
    <t xml:space="preserve">bertajulia2025@gmail.com</t>
  </si>
  <si>
    <t xml:space="preserve">05/02/2026 7:22PM</t>
  </si>
  <si>
    <t xml:space="preserve">BEATRIZ DE LA CARIDAD SILVERIO RODRIGUEZ</t>
  </si>
  <si>
    <t xml:space="preserve">Abdiel Fuentes Orfila</t>
  </si>
  <si>
    <t xml:space="preserve">abdielfuentes0222@gmail.com</t>
  </si>
  <si>
    <t xml:space="preserve">Luis Eduardo Riveron Ramirez</t>
  </si>
  <si>
    <t xml:space="preserve">Brauna Sistemas Constructivos.</t>
  </si>
  <si>
    <t xml:space="preserve">Clauio</t>
  </si>
  <si>
    <t xml:space="preserve">claudemiro.g.neto@gmail.com</t>
  </si>
  <si>
    <t xml:space="preserve">Oslanier Alfonso Mesa</t>
  </si>
  <si>
    <t xml:space="preserve">oslanieralfonsomesa@gmail.com</t>
  </si>
  <si>
    <t xml:space="preserve">Heriberto Benítez Gómez</t>
  </si>
  <si>
    <t xml:space="preserve">Ramón Mauricio LaO Curbelo</t>
  </si>
  <si>
    <t xml:space="preserve">ramonmauriciolaocurbelo@gmail.com</t>
  </si>
  <si>
    <t xml:space="preserve">Odelys Crespo Zaldivar</t>
  </si>
  <si>
    <t xml:space="preserve">Carmen Rosa</t>
  </si>
  <si>
    <t xml:space="preserve">carmenfe880@gmail.com</t>
  </si>
  <si>
    <t xml:space="preserve">Yamila Gomez Martinez</t>
  </si>
  <si>
    <t xml:space="preserve">yamilagmartinez88@gmail.com</t>
  </si>
  <si>
    <t xml:space="preserve">Roilandy Cabrera Rangel</t>
  </si>
  <si>
    <t xml:space="preserve">roilandycabrera09@gmail.com</t>
  </si>
  <si>
    <t xml:space="preserve">Yoisel Llerena Ibarra</t>
  </si>
  <si>
    <t xml:space="preserve">yoiselllerenaibarra@gmail.com</t>
  </si>
  <si>
    <t xml:space="preserve">Gilberto Santos Rodriguez</t>
  </si>
  <si>
    <t xml:space="preserve">gilberto94santos@gmail.com</t>
  </si>
  <si>
    <t xml:space="preserve">ILIANA HAYDEE SORIANO QUIROS</t>
  </si>
  <si>
    <t xml:space="preserve">Elba Ortiz Frómeta</t>
  </si>
  <si>
    <t xml:space="preserve">Elbafrometa4@gmail.com</t>
  </si>
  <si>
    <t xml:space="preserve">Sheila de la Caridad Goris</t>
  </si>
  <si>
    <t xml:space="preserve">Ronney Jacinto Ocaña de Moya</t>
  </si>
  <si>
    <t xml:space="preserve">ronneyocana023@gmail.com</t>
  </si>
  <si>
    <t xml:space="preserve">Jorge Ramón Linares Castillo</t>
  </si>
  <si>
    <t xml:space="preserve">jrlinaresk.br@gmail.com</t>
  </si>
  <si>
    <t xml:space="preserve">José Manuel Carralero Pupo</t>
  </si>
  <si>
    <t xml:space="preserve">josepupobr99@gmail.com</t>
  </si>
  <si>
    <t xml:space="preserve">Luis Yasmany Sedeño Balbuena</t>
  </si>
  <si>
    <t xml:space="preserve">AD07 - CAMB. END.</t>
  </si>
  <si>
    <t xml:space="preserve">Michel Piedra Sanchez</t>
  </si>
  <si>
    <t xml:space="preserve">Mayelin Pérez Medina</t>
  </si>
  <si>
    <t xml:space="preserve">perezmayelin062@gmail.com</t>
  </si>
  <si>
    <t xml:space="preserve">Roberto René Baptista</t>
  </si>
  <si>
    <t xml:space="preserve">2DA VIA PROTOCOLO</t>
  </si>
  <si>
    <t xml:space="preserve">robertobatistamartinez35@gmail.com</t>
  </si>
  <si>
    <t xml:space="preserve">Jose Pablo Delgado Marco</t>
  </si>
  <si>
    <t xml:space="preserve">pdmhavana@gmail.com</t>
  </si>
  <si>
    <t xml:space="preserve">Migdalia Ampudia Mulet</t>
  </si>
  <si>
    <t xml:space="preserve">Carlos Eduardo Torrico Justiniano</t>
  </si>
  <si>
    <t xml:space="preserve">migdaliaampudiamulet@gmail.com</t>
  </si>
  <si>
    <t xml:space="preserve">Yanetsy Brito González</t>
  </si>
  <si>
    <t xml:space="preserve">Claudialopezramirez944@gmail.com</t>
  </si>
  <si>
    <t xml:space="preserve">Raidelys Viltres Nunes</t>
  </si>
  <si>
    <t xml:space="preserve">Raul</t>
  </si>
  <si>
    <t xml:space="preserve">rviltres801@gmail.com</t>
  </si>
  <si>
    <t xml:space="preserve">Adrian Iván Sanguinety Febles</t>
  </si>
  <si>
    <t xml:space="preserve">Adriansanguinety@gmail.com</t>
  </si>
  <si>
    <t xml:space="preserve">Yoisy Martinez Fresneda</t>
  </si>
  <si>
    <t xml:space="preserve">yoisymartinez59@gmail.com</t>
  </si>
  <si>
    <t xml:space="preserve">Ronny Ortega Tabares</t>
  </si>
  <si>
    <t xml:space="preserve">ronnyortegatabares23@gmail.com</t>
  </si>
  <si>
    <t xml:space="preserve">Acela Clavel martinez</t>
  </si>
  <si>
    <t xml:space="preserve">Manuel Silvestre</t>
  </si>
  <si>
    <t xml:space="preserve">Niosbanis De la paz corria</t>
  </si>
  <si>
    <t xml:space="preserve">Liset Maria Hernandez Barsag</t>
  </si>
  <si>
    <t xml:space="preserve">lisetmariahernandezbarsaga@gmail.com</t>
  </si>
  <si>
    <t xml:space="preserve">Alexis J. Sousa Rodriguez</t>
  </si>
  <si>
    <t xml:space="preserve">Alexis José de Sousa Rodríguez</t>
  </si>
  <si>
    <t xml:space="preserve">desousaalexis21@gmail.com</t>
  </si>
  <si>
    <t xml:space="preserve">YANET AMELIA VILLAVICENCIO MATO</t>
  </si>
  <si>
    <t xml:space="preserve">Henry Ramos Regalado</t>
  </si>
  <si>
    <t xml:space="preserve">Dalia</t>
  </si>
  <si>
    <t xml:space="preserve">Victor Manuel</t>
  </si>
  <si>
    <t xml:space="preserve">VERÓNICA HERNÁNDEZ URGELLES</t>
  </si>
  <si>
    <t xml:space="preserve">veronikhu93@gmail.com</t>
  </si>
  <si>
    <t xml:space="preserve">Ruth Giana lopez</t>
  </si>
  <si>
    <t xml:space="preserve">José Luis García Lopez</t>
  </si>
  <si>
    <t xml:space="preserve">joseluis930927@gmail.com</t>
  </si>
  <si>
    <t xml:space="preserve">Maikel Niño Lahera</t>
  </si>
  <si>
    <t xml:space="preserve">nmaikel55@gmail.com</t>
  </si>
  <si>
    <t xml:space="preserve">Yurina Rojas</t>
  </si>
  <si>
    <t xml:space="preserve">rojasyurina1@gmail.com</t>
  </si>
  <si>
    <t xml:space="preserve">Chamilka Gonzalez Funes Toranzo</t>
  </si>
  <si>
    <t xml:space="preserve">Eduardo León Gonzalez</t>
  </si>
  <si>
    <t xml:space="preserve">eduardoleongonzalez352@gmail.com</t>
  </si>
  <si>
    <t xml:space="preserve">09/02/2026 7:22PM</t>
  </si>
  <si>
    <t xml:space="preserve">Jose Trajano Rosa</t>
  </si>
  <si>
    <t xml:space="preserve">Luis Walfrido</t>
  </si>
  <si>
    <t xml:space="preserve">.</t>
  </si>
  <si>
    <t xml:space="preserve">Nelson Manuel Correa Solano</t>
  </si>
  <si>
    <t xml:space="preserve">nelsonmanuelcorreasolano@gmail.com</t>
  </si>
  <si>
    <t xml:space="preserve">07/02/2026 7:22PM</t>
  </si>
  <si>
    <t xml:space="preserve">Yanisleidis Acosta Martinez</t>
  </si>
  <si>
    <t xml:space="preserve">yaniacosta467@gmail.com</t>
  </si>
  <si>
    <t xml:space="preserve">08/02/2026 7:22PM</t>
  </si>
  <si>
    <t xml:space="preserve">Yoanis Vera Carrión</t>
  </si>
  <si>
    <t xml:space="preserve">yoanisveracarrion604@gmail.com</t>
  </si>
  <si>
    <t xml:space="preserve">Caixa de pergunta refugio archivado curitiba</t>
  </si>
  <si>
    <t xml:space="preserve">Aylen Roxana Chavez Ramirez</t>
  </si>
  <si>
    <t xml:space="preserve">aylenchavezramirez@gmail.com</t>
  </si>
  <si>
    <t xml:space="preserve">Freddy Romero Rodriguez</t>
  </si>
  <si>
    <t xml:space="preserve">Jorge Luis Sanchez Rivera</t>
  </si>
  <si>
    <t xml:space="preserve">rivera.cannon1965@gmail.com</t>
  </si>
  <si>
    <t xml:space="preserve">Osmar Ramirez</t>
  </si>
  <si>
    <t xml:space="preserve">Osmar</t>
  </si>
  <si>
    <t xml:space="preserve">amauryramgar@gmail.com</t>
  </si>
  <si>
    <t xml:space="preserve">Anier Fernandez Bertot</t>
  </si>
  <si>
    <t xml:space="preserve">Yosbel Rojas</t>
  </si>
  <si>
    <t xml:space="preserve">LEIDIS LAURA Canosa  Interian</t>
  </si>
  <si>
    <t xml:space="preserve">LEIDIS LAURA</t>
  </si>
  <si>
    <t xml:space="preserve">Jose Luis Salgado Chao</t>
  </si>
  <si>
    <t xml:space="preserve">lissetterodriguezvarela@gmail.com, joseluissalgadochao16@gmail.com</t>
  </si>
  <si>
    <t xml:space="preserve">Denis Bahades</t>
  </si>
  <si>
    <t xml:space="preserve">Idalis Melba Rubio González</t>
  </si>
  <si>
    <t xml:space="preserve">idalisrubio038@gmail.com</t>
  </si>
  <si>
    <t xml:space="preserve">Michel Ernesto Socarras Martinez</t>
  </si>
  <si>
    <t xml:space="preserve">socarrasmichel067@gmail.com</t>
  </si>
  <si>
    <t xml:space="preserve">Paulo Roberto Gomez Souza</t>
  </si>
  <si>
    <t xml:space="preserve">Amauris Fernandez Santiesteban</t>
  </si>
  <si>
    <t xml:space="preserve">amaurissantiesteban1998@gmail.com</t>
  </si>
  <si>
    <t xml:space="preserve">Alexis Camilo Gonzalez Peraza</t>
  </si>
  <si>
    <t xml:space="preserve">Alexis Camilo González Peraza</t>
  </si>
  <si>
    <t xml:space="preserve">Abdiel Revilla Encinosa</t>
  </si>
  <si>
    <t xml:space="preserve">revillaabdiel@gmail.com</t>
  </si>
  <si>
    <t xml:space="preserve">Yusnely Ramos Pozo</t>
  </si>
  <si>
    <t xml:space="preserve">yusnelyramospozos@gmail.com</t>
  </si>
  <si>
    <t xml:space="preserve">Lisandra Garcia Martinez</t>
  </si>
  <si>
    <t xml:space="preserve">Lisandra García Martínez</t>
  </si>
  <si>
    <t xml:space="preserve">elisabet.gonsalem@gmail.com</t>
  </si>
  <si>
    <t xml:space="preserve">Yudeny Rojas Gomez</t>
  </si>
  <si>
    <t xml:space="preserve">yudenyrojasgomez567@gmail.com</t>
  </si>
  <si>
    <t xml:space="preserve">Mijail Martinez Hernández</t>
  </si>
  <si>
    <t xml:space="preserve">sandragarciareinoso@gmail.com</t>
  </si>
  <si>
    <t xml:space="preserve">Guillermina Aguilar Sarmiento</t>
  </si>
  <si>
    <t xml:space="preserve">guillerminaaguilarsarmiento@gmail.com</t>
  </si>
  <si>
    <t xml:space="preserve">Felix Leon</t>
  </si>
  <si>
    <t xml:space="preserve">F9047729@gmail.com</t>
  </si>
  <si>
    <t xml:space="preserve">Orleydis Frómeta García</t>
  </si>
  <si>
    <t xml:space="preserve">Mary Luz Bauta Perez</t>
  </si>
  <si>
    <t xml:space="preserve">maryluzbautaperez3@gmail.com</t>
  </si>
  <si>
    <t xml:space="preserve">Leyanis Gómez Curó</t>
  </si>
  <si>
    <t xml:space="preserve">gomezleyanis53@gmail.com</t>
  </si>
  <si>
    <t xml:space="preserve">10/02/2026 7:22PM</t>
  </si>
  <si>
    <t xml:space="preserve">Robiel Hidalgo Rodriguez</t>
  </si>
  <si>
    <t xml:space="preserve">Robiel Hidalgo</t>
  </si>
  <si>
    <t xml:space="preserve">hidalgorobiel23@gmail.com</t>
  </si>
  <si>
    <t xml:space="preserve">Reynier Pulido Mesa</t>
  </si>
  <si>
    <t xml:space="preserve">pulidomesareynier@gmail.com</t>
  </si>
  <si>
    <t xml:space="preserve">Rafael Morgado Amarales</t>
  </si>
  <si>
    <t xml:space="preserve">Rafael Morgado</t>
  </si>
  <si>
    <t xml:space="preserve">ELIZABETH CORRALES CORTES</t>
  </si>
  <si>
    <t xml:space="preserve">Elizabeth</t>
  </si>
  <si>
    <t xml:space="preserve">Yudit Garcia Reyes</t>
  </si>
  <si>
    <t xml:space="preserve">Abel jimenez zayas</t>
  </si>
  <si>
    <t xml:space="preserve">abeljimenezzayas@gmail.com</t>
  </si>
  <si>
    <t xml:space="preserve">Alexis mauro lazaga</t>
  </si>
  <si>
    <t xml:space="preserve">Barbara Perez Rodriguez</t>
  </si>
  <si>
    <t xml:space="preserve">B20191587@GMAIL,COM</t>
  </si>
  <si>
    <t xml:space="preserve">Dennys Piña Ávila</t>
  </si>
  <si>
    <t xml:space="preserve">dennyspinaavila@gmail.com</t>
  </si>
  <si>
    <t xml:space="preserve">DAGOBERTO EZEQUIEL ESPINOSA RODRIGUEZ</t>
  </si>
  <si>
    <t xml:space="preserve">Dagoberto</t>
  </si>
  <si>
    <t xml:space="preserve">Jolby Torres Sanchez</t>
  </si>
  <si>
    <t xml:space="preserve">jolbytorres9@gmail.com</t>
  </si>
  <si>
    <t xml:space="preserve">Valeria do Carmo</t>
  </si>
  <si>
    <t xml:space="preserve">Nestali Palmero Marixon</t>
  </si>
  <si>
    <t xml:space="preserve">Dayana Arrechea</t>
  </si>
  <si>
    <t xml:space="preserve">Rodney terry muñoz</t>
  </si>
  <si>
    <t xml:space="preserve">rodneyterry052@gmail.com</t>
  </si>
  <si>
    <t xml:space="preserve">Carlos Poulut Ruiz</t>
  </si>
  <si>
    <t xml:space="preserve">Evelyn Rios Rodriguez</t>
  </si>
  <si>
    <t xml:space="preserve">Osmel Garcia Rodriguez</t>
  </si>
  <si>
    <t xml:space="preserve">graciaosmel04@gmail.com</t>
  </si>
  <si>
    <t xml:space="preserve">Gilberto Enrique Menendez</t>
  </si>
  <si>
    <t xml:space="preserve">Eddy Cristhiam Lien Chacon</t>
  </si>
  <si>
    <t xml:space="preserve">AD04 - RES. PMT.</t>
  </si>
  <si>
    <t xml:space="preserve">Aliane Pausa Guerra</t>
  </si>
  <si>
    <t xml:space="preserve">alianepausaguerra@gmail.com</t>
  </si>
  <si>
    <t xml:space="preserve">Niurka Raveiro Santos</t>
  </si>
  <si>
    <t xml:space="preserve">yurienrivera17@gmail.com</t>
  </si>
  <si>
    <t xml:space="preserve">Orlando Miguel Rodríguez Álvarez</t>
  </si>
  <si>
    <t xml:space="preserve">orlandomiguelrodriguezalvarez@gmail.com</t>
  </si>
  <si>
    <t xml:space="preserve">Laura Fernández Lugo</t>
  </si>
  <si>
    <t xml:space="preserve">Lazaro A. Izquierdo</t>
  </si>
  <si>
    <t xml:space="preserve">Lázaro Arturo Ledesma Izquierdo</t>
  </si>
  <si>
    <t xml:space="preserve">arturoledesma1989@gmail.com</t>
  </si>
  <si>
    <t xml:space="preserve">Anniu Daikenier Dervilla Gómez</t>
  </si>
  <si>
    <t xml:space="preserve">dervillagomezanniu@gmail.com</t>
  </si>
  <si>
    <t xml:space="preserve">tiktok</t>
  </si>
  <si>
    <t xml:space="preserve">Alcides de Jesus Váldes Alvera</t>
  </si>
  <si>
    <t xml:space="preserve">alcidesdjesus05@gmail.com</t>
  </si>
  <si>
    <t xml:space="preserve">11/02/2026 7:22PM</t>
  </si>
  <si>
    <t xml:space="preserve">Ernesto Pulido Vázquez</t>
  </si>
  <si>
    <t xml:space="preserve">enesty69@gmail.com</t>
  </si>
  <si>
    <t xml:space="preserve">Susana Garcia Suarez</t>
  </si>
  <si>
    <t xml:space="preserve">Stalin Perez Rivero</t>
  </si>
  <si>
    <t xml:space="preserve">stalin6906@gmail.com</t>
  </si>
  <si>
    <t xml:space="preserve">ARMANDO GONZALEZ ESTUPINAN</t>
  </si>
  <si>
    <t xml:space="preserve">rogenajose1@gmail.com</t>
  </si>
  <si>
    <t xml:space="preserve">Yaquelin Zamora Lastre</t>
  </si>
  <si>
    <t xml:space="preserve">reinishernandezreyes96@gmail.com</t>
  </si>
  <si>
    <t xml:space="preserve">Jorge Manuel Acosta Veloso</t>
  </si>
  <si>
    <t xml:space="preserve">Mariam Santiesteban Martínez</t>
  </si>
  <si>
    <t xml:space="preserve">m05829124@gmail.com</t>
  </si>
  <si>
    <t xml:space="preserve">Rafael Hernandez Colome</t>
  </si>
  <si>
    <t xml:space="preserve">rafah70jun@gmail.com</t>
  </si>
  <si>
    <t xml:space="preserve">Manuel De Jesús González Rondón</t>
  </si>
  <si>
    <t xml:space="preserve">manueldejesusgonzalesrondon@gmail.com</t>
  </si>
  <si>
    <t xml:space="preserve">Yaneyarueda@gmail.com</t>
  </si>
  <si>
    <t xml:space="preserve">Ricardo Perera Ortiz</t>
  </si>
  <si>
    <t xml:space="preserve">ricardopereraortiz72@gmail.com</t>
  </si>
  <si>
    <t xml:space="preserve">Yorlan Collazo Blanco</t>
  </si>
  <si>
    <t xml:space="preserve">collazoyorlan5@gmail.com</t>
  </si>
  <si>
    <t xml:space="preserve">Raymond Martinez Fernandez</t>
  </si>
  <si>
    <t xml:space="preserve">raymondmf07@gmail.com</t>
  </si>
  <si>
    <t xml:space="preserve">NELSON CARRILLO VERDENCIA</t>
  </si>
  <si>
    <t xml:space="preserve">Alexis Lozano Figueredo</t>
  </si>
  <si>
    <t xml:space="preserve">lozanofigueredoalexi@gmail.com</t>
  </si>
  <si>
    <t xml:space="preserve">Leidis Laura Canosa Interian</t>
  </si>
  <si>
    <t xml:space="preserve">leidislaurainterian@gmail.com</t>
  </si>
  <si>
    <t xml:space="preserve">Roelder Ramirez</t>
  </si>
  <si>
    <t xml:space="preserve">roelderramirezlago1@gmail.com</t>
  </si>
  <si>
    <t xml:space="preserve">Niurka Ramos la O</t>
  </si>
  <si>
    <t xml:space="preserve">niurkalaoo@gmail.com</t>
  </si>
  <si>
    <t xml:space="preserve">7rp8f8uc@gmail.com</t>
  </si>
  <si>
    <t xml:space="preserve">Yanelis Ávila Aguilar</t>
  </si>
  <si>
    <t xml:space="preserve">Julio Cesar Aguilar Valdes</t>
  </si>
  <si>
    <t xml:space="preserve">juliocl2jcv@gmail.com</t>
  </si>
  <si>
    <t xml:space="preserve">Wilian Gonzalez Cano</t>
  </si>
  <si>
    <t xml:space="preserve">wilimely11@gmail.com</t>
  </si>
  <si>
    <t xml:space="preserve">Rey Tony González Cabrera</t>
  </si>
  <si>
    <t xml:space="preserve">reytony.gonzalez@gmail.com</t>
  </si>
  <si>
    <t xml:space="preserve">Ismael Borrero Bermejo</t>
  </si>
  <si>
    <t xml:space="preserve">borreroismael7@gmail.com</t>
  </si>
  <si>
    <t xml:space="preserve">Orlando Miguel Rodriguez Alvarez</t>
  </si>
  <si>
    <t xml:space="preserve">Yohandra Limonta Moneyo</t>
  </si>
  <si>
    <t xml:space="preserve">Dioglis</t>
  </si>
  <si>
    <t xml:space="preserve">maurieyoyi@gmail.com</t>
  </si>
  <si>
    <t xml:space="preserve">Yoandri Martí Vidal</t>
  </si>
  <si>
    <t xml:space="preserve">yoandrimartiv@gmail.com</t>
  </si>
  <si>
    <t xml:space="preserve">Jorge Luis Coello Vidal</t>
  </si>
  <si>
    <t xml:space="preserve">jorgeluiscuellovidal@gmail.com</t>
  </si>
  <si>
    <t xml:space="preserve">Enrique Valier Isargue</t>
  </si>
  <si>
    <t xml:space="preserve">enriquevalier52@gmail.com</t>
  </si>
  <si>
    <t xml:space="preserve">Ezequiel Calzadilla Plasencia</t>
  </si>
  <si>
    <t xml:space="preserve">calzadillaplasenciaezequiel@gmail.com</t>
  </si>
  <si>
    <t xml:space="preserve">Rolando Tagle Gonzalez</t>
  </si>
  <si>
    <t xml:space="preserve">Noraida</t>
  </si>
  <si>
    <t xml:space="preserve">espinosavalladaresnori@gmail.com</t>
  </si>
  <si>
    <t xml:space="preserve">Daniela Abreu</t>
  </si>
  <si>
    <t xml:space="preserve">12/02/2026 7:22PM</t>
  </si>
  <si>
    <t xml:space="preserve">Adrián Cabrera Quintal</t>
  </si>
  <si>
    <t xml:space="preserve">cabreraquintanaladrian@gmail.com</t>
  </si>
  <si>
    <t xml:space="preserve">María Victoria Sanabria</t>
  </si>
  <si>
    <t xml:space="preserve">Amarilys Torne Gray</t>
  </si>
  <si>
    <t xml:space="preserve">torneamarilis@gmail.com</t>
  </si>
  <si>
    <t xml:space="preserve">Yunipza Macias Rodriguez</t>
  </si>
  <si>
    <t xml:space="preserve">yunipza@gmail.com</t>
  </si>
  <si>
    <t xml:space="preserve">Zurizaday Torres Vazquez</t>
  </si>
  <si>
    <t xml:space="preserve">barbaroenamoradoponce@gmail.com</t>
  </si>
  <si>
    <t xml:space="preserve">13/02/2026 7:22PM</t>
  </si>
  <si>
    <t xml:space="preserve">FELIX LEON FIGUEROA</t>
  </si>
  <si>
    <t xml:space="preserve">felixleonfigueroa1@gmail.com</t>
  </si>
  <si>
    <t xml:space="preserve">Yuvisnel Rivera Garcia</t>
  </si>
  <si>
    <t xml:space="preserve">riveroyuvis521@gmail.com</t>
  </si>
  <si>
    <t xml:space="preserve">ROBIEL HIDALGO RODRIGUEZ</t>
  </si>
  <si>
    <t xml:space="preserve">yanetmedina270@gmail.com</t>
  </si>
  <si>
    <t xml:space="preserve">ROLANDO RAMOS POSTILLO</t>
  </si>
  <si>
    <t xml:space="preserve">Deivys Rodríguez Rodríguez</t>
  </si>
  <si>
    <t xml:space="preserve">deivyrodriguez7608@gmail.com</t>
  </si>
  <si>
    <t xml:space="preserve">Dayane Bravo Reyes</t>
  </si>
  <si>
    <t xml:space="preserve">dayanetbravo26@gmail.com</t>
  </si>
  <si>
    <t xml:space="preserve">ALEXANDRO JESUS FERNANDEZ RUBIO</t>
  </si>
  <si>
    <t xml:space="preserve">alexandrojesusfernandezrubio@gmail.com</t>
  </si>
  <si>
    <t xml:space="preserve">Dulan Mineto Pozo</t>
  </si>
  <si>
    <t xml:space="preserve">ANT. CRIM. BRASIL</t>
  </si>
  <si>
    <t xml:space="preserve">dulanmineto@gmail.com</t>
  </si>
  <si>
    <t xml:space="preserve">Jenner Arias Gamez</t>
  </si>
  <si>
    <t xml:space="preserve">jennerarias271211@gmail.com</t>
  </si>
  <si>
    <t xml:space="preserve">Pedro Alberto Hernandez Maura</t>
  </si>
  <si>
    <t xml:space="preserve">pedroyeison2512@gmail.com</t>
  </si>
  <si>
    <t xml:space="preserve">Elaine Perez Diaz</t>
  </si>
  <si>
    <t xml:space="preserve">Elaine Perez Díaz</t>
  </si>
  <si>
    <t xml:space="preserve">elyangieithan7708@gmail.com</t>
  </si>
  <si>
    <t xml:space="preserve">Yudel Castillo Diaz</t>
  </si>
  <si>
    <t xml:space="preserve">yudelcastillodiaz@gmail.com</t>
  </si>
  <si>
    <t xml:space="preserve">14/02/2026 7:22PM</t>
  </si>
  <si>
    <t xml:space="preserve">Javier Garzon Moreno</t>
  </si>
  <si>
    <t xml:space="preserve">Javier Ruiz Hernandez</t>
  </si>
  <si>
    <t xml:space="preserve">JUNIOR VICENTE MELO NORONHА</t>
  </si>
  <si>
    <t xml:space="preserve">Yuleisys Milan Peraza</t>
  </si>
  <si>
    <t xml:space="preserve">milanyuleisys1@gmail.com</t>
  </si>
  <si>
    <t xml:space="preserve">Osmany Carballosa Gómez</t>
  </si>
  <si>
    <t xml:space="preserve">oamanycarballosa@gmail.com</t>
  </si>
  <si>
    <t xml:space="preserve">Sarahy Veliz Miranda</t>
  </si>
  <si>
    <t xml:space="preserve">Sandra de la Caridad Pimentel</t>
  </si>
  <si>
    <t xml:space="preserve">sandragomezpimemtel814@gmail.com</t>
  </si>
  <si>
    <t xml:space="preserve">AD06 - RES. PMT.</t>
  </si>
  <si>
    <t xml:space="preserve">16/02/2026 7:22PM</t>
  </si>
  <si>
    <t xml:space="preserve">Reinier Gonzales Hecheverria</t>
  </si>
  <si>
    <t xml:space="preserve">ginzalezreinier@gmail.com</t>
  </si>
  <si>
    <t xml:space="preserve">RODIS NARINO HERNANDEZ</t>
  </si>
  <si>
    <t xml:space="preserve">Alcibiades Vaillant Ferrer</t>
  </si>
  <si>
    <t xml:space="preserve">Leoddis Rosales Pompa</t>
  </si>
  <si>
    <t xml:space="preserve">siddoelrosalespompa@gmail.com</t>
  </si>
  <si>
    <t xml:space="preserve">Rony Roca Diaz</t>
  </si>
  <si>
    <t xml:space="preserve">ronyrocadiaz302@gmail.com</t>
  </si>
  <si>
    <t xml:space="preserve">17/02/2026 7:22PM</t>
  </si>
  <si>
    <t xml:space="preserve">Rogério Gustavo Scarsi</t>
  </si>
  <si>
    <t xml:space="preserve">Alexis Mauro Lazaga</t>
  </si>
  <si>
    <t xml:space="preserve">Diosbel Fernandez Cruz</t>
  </si>
  <si>
    <t xml:space="preserve">diosbelfernandezcruz4@gmail.com</t>
  </si>
  <si>
    <t xml:space="preserve">Niuvis batista</t>
  </si>
  <si>
    <t xml:space="preserve">Leonardo</t>
  </si>
  <si>
    <t xml:space="preserve">barrientosleonardo40@gmail.com</t>
  </si>
  <si>
    <t xml:space="preserve">Leonardis Morales Despaigne</t>
  </si>
  <si>
    <t xml:space="preserve">Leonardis Morales</t>
  </si>
  <si>
    <t xml:space="preserve">Yaima González Hernández</t>
  </si>
  <si>
    <t xml:space="preserve">yaima830405@gmail.com.Telef</t>
  </si>
  <si>
    <t xml:space="preserve">Yeleni Roiq Diaz</t>
  </si>
  <si>
    <t xml:space="preserve">Daniel David Perez Romero</t>
  </si>
  <si>
    <t xml:space="preserve">daniel.perez871103@gmail.com</t>
  </si>
  <si>
    <t xml:space="preserve">Yanela Moreno Pons</t>
  </si>
  <si>
    <t xml:space="preserve">yanelam2001@gmail.com, manuelalejandrocedeno81@gmail.com</t>
  </si>
  <si>
    <t xml:space="preserve">YUNIER R Rodriguez</t>
  </si>
  <si>
    <t xml:space="preserve">yusniertrust78@gmail.com</t>
  </si>
  <si>
    <t xml:space="preserve">Yoandy Gonzales Calderin</t>
  </si>
  <si>
    <t xml:space="preserve">Yusleivi Rodríguez</t>
  </si>
  <si>
    <t xml:space="preserve">Andy Garai Sabido</t>
  </si>
  <si>
    <t xml:space="preserve">Marialy Sabido</t>
  </si>
  <si>
    <t xml:space="preserve">andygaray00@gmail.com</t>
  </si>
  <si>
    <t xml:space="preserve">Dayannis Yisel Rosabal Paz</t>
  </si>
  <si>
    <t xml:space="preserve">dayanisrosabal183@gmail.com, estradayunior91@gmail.com</t>
  </si>
  <si>
    <t xml:space="preserve">18/02/2026 7:22PM</t>
  </si>
  <si>
    <t xml:space="preserve">Raúl Licea Suárez</t>
  </si>
  <si>
    <t xml:space="preserve">....</t>
  </si>
  <si>
    <t xml:space="preserve">Danny Linares Veitia</t>
  </si>
  <si>
    <t xml:space="preserve">dannylinaresveitia86@gmail.com</t>
  </si>
  <si>
    <t xml:space="preserve">Raiza Nápoles Hernandez</t>
  </si>
  <si>
    <t xml:space="preserve">napoleshernandezraiza@gmail.com, flordenisamargotsaumell@gmail.com</t>
  </si>
  <si>
    <t xml:space="preserve">Yaíma Leyva Arévalo</t>
  </si>
  <si>
    <t xml:space="preserve">machadomilletmanuel@gmail.com</t>
  </si>
  <si>
    <t xml:space="preserve">Abel García Reyes</t>
  </si>
  <si>
    <t xml:space="preserve">abelgarciareyes96@gmail.com</t>
  </si>
  <si>
    <t xml:space="preserve">Litmay de la Caridad Cantero Tartabull</t>
  </si>
  <si>
    <t xml:space="preserve">litmaycantero@gmail.com, litru.1991@gmail.com, rubencantero966@gmail.com</t>
  </si>
  <si>
    <t xml:space="preserve">Yudelki Oviedo Hernandez</t>
  </si>
  <si>
    <t xml:space="preserve">yudelkioviedo550@gmail.com</t>
  </si>
  <si>
    <t xml:space="preserve">George Boris Calzado</t>
  </si>
  <si>
    <t xml:space="preserve">georgisborisbravo@gmail.com</t>
  </si>
  <si>
    <t xml:space="preserve">José Agustín Sosa Osorio</t>
  </si>
  <si>
    <t xml:space="preserve">Joseagustinsosaosorio@gmail.com</t>
  </si>
  <si>
    <t xml:space="preserve">Sonia Viviane Jimenez Carpi</t>
  </si>
  <si>
    <t xml:space="preserve">soniavivianejimenez@gmail.com</t>
  </si>
  <si>
    <t xml:space="preserve">LEIDISLAURAINTERIAN@GMAIL.COM</t>
  </si>
  <si>
    <t xml:space="preserve">Octavio Ernesto Testa Alfonso</t>
  </si>
  <si>
    <t xml:space="preserve">octavioetesta@gmail.com</t>
  </si>
  <si>
    <t xml:space="preserve">19/02/2026 7:22PM</t>
  </si>
  <si>
    <t xml:space="preserve">UVER CABRERA LORA</t>
  </si>
  <si>
    <t xml:space="preserve">Uver Cabrera Lora</t>
  </si>
  <si>
    <t xml:space="preserve">uvercabreralora870@gmail.com</t>
  </si>
  <si>
    <t xml:space="preserve">Chamilka Gonzalez Funes</t>
  </si>
  <si>
    <t xml:space="preserve">Daniel Alejandro Raimundo Portal</t>
  </si>
  <si>
    <t xml:space="preserve">Noelia Estela Duarte</t>
  </si>
  <si>
    <t xml:space="preserve">Yoel Rosales Calderon</t>
  </si>
  <si>
    <t xml:space="preserve">Maria Mercedes</t>
  </si>
  <si>
    <t xml:space="preserve">Yoelrosales456@gmail.com</t>
  </si>
  <si>
    <t xml:space="preserve">Fernando Ojeda Guevara</t>
  </si>
  <si>
    <t xml:space="preserve">Dayana Macias Rodríguez</t>
  </si>
  <si>
    <t xml:space="preserve">dayanamaciasrodriguez373@gmail.com</t>
  </si>
  <si>
    <t xml:space="preserve">20/02/2026 7:22PM</t>
  </si>
  <si>
    <t xml:space="preserve">ZORAIDA LINARES GARCIA</t>
  </si>
  <si>
    <t xml:space="preserve">Zoraida Linares Garcia</t>
  </si>
  <si>
    <t xml:space="preserve">zoraidalinares273@gmail.com</t>
  </si>
  <si>
    <t xml:space="preserve">Yaniet Castillo Sanchez</t>
  </si>
  <si>
    <t xml:space="preserve">Yenis</t>
  </si>
  <si>
    <t xml:space="preserve">YANAYS CAPOTE MONTERO</t>
  </si>
  <si>
    <t xml:space="preserve">yanayscm@gmail.com</t>
  </si>
  <si>
    <t xml:space="preserve">María De Jesús Cossio San Martin</t>
  </si>
  <si>
    <t xml:space="preserve">thaiscossio@gmail.com</t>
  </si>
  <si>
    <t xml:space="preserve">Larry Fernandez Verdecia</t>
  </si>
  <si>
    <t xml:space="preserve">laritzablancotorres@gmail.com</t>
  </si>
  <si>
    <t xml:space="preserve">Ana Iris Wester  Suárez</t>
  </si>
  <si>
    <t xml:space="preserve">anairiswestersuarez58@gmail.com</t>
  </si>
  <si>
    <t xml:space="preserve">Yulinka Rico Rivero</t>
  </si>
  <si>
    <t xml:space="preserve">yulirr7809@gmail.com</t>
  </si>
  <si>
    <t xml:space="preserve">Yolimiles Heredia Osoria</t>
  </si>
  <si>
    <t xml:space="preserve">Loiret Martin Diaz</t>
  </si>
  <si>
    <t xml:space="preserve">Dayami Ajete Machado</t>
  </si>
  <si>
    <t xml:space="preserve">Abel Lopez Perez /Infornatico</t>
  </si>
  <si>
    <t xml:space="preserve">lopezabelp85@gmail.com</t>
  </si>
  <si>
    <t xml:space="preserve">21/02/2026 7:22PM</t>
  </si>
  <si>
    <t xml:space="preserve">Elizabeth Ruiz Paredes</t>
  </si>
  <si>
    <t xml:space="preserve">lizyrp1206@gmail.com</t>
  </si>
  <si>
    <t xml:space="preserve">Clara Elene Reyes Puentes</t>
  </si>
  <si>
    <t xml:space="preserve">Luis Miguel Suárez Leiva</t>
  </si>
  <si>
    <t xml:space="preserve">luismiguelleyva99@gmail.com</t>
  </si>
  <si>
    <t xml:space="preserve">Dayanis Marina Peña Romero</t>
  </si>
  <si>
    <t xml:space="preserve">maykolalfredo65@gmail.com</t>
  </si>
  <si>
    <t xml:space="preserve">Luís Daniel Gutierrez Algarra</t>
  </si>
  <si>
    <t xml:space="preserve">ldgalgarra86@gmail.com</t>
  </si>
  <si>
    <t xml:space="preserve">Reina Derisleidy</t>
  </si>
  <si>
    <t xml:space="preserve">reinaguerra676@gmail.com</t>
  </si>
  <si>
    <t xml:space="preserve">Pedro Candido Rodriguez Pena</t>
  </si>
  <si>
    <t xml:space="preserve">55 95981218465</t>
  </si>
  <si>
    <t xml:space="preserve">23/02/2026 7:22PM</t>
  </si>
  <si>
    <t xml:space="preserve">Dailys Sanchez</t>
  </si>
  <si>
    <t xml:space="preserve">dailyssanchez489@gmail.com</t>
  </si>
  <si>
    <t xml:space="preserve">22/02/2026 7:22PM</t>
  </si>
  <si>
    <t xml:space="preserve">Yanisleidys Díaz Ortega</t>
  </si>
  <si>
    <t xml:space="preserve">yanisleidysdiaz333@gmail.com</t>
  </si>
  <si>
    <t xml:space="preserve">Yaneisys Carbonell Giron</t>
  </si>
  <si>
    <t xml:space="preserve">yaneisyscarbonell3@gmail.com</t>
  </si>
  <si>
    <t xml:space="preserve">ADM Fatto</t>
  </si>
  <si>
    <t xml:space="preserve">Carlos</t>
  </si>
  <si>
    <t xml:space="preserve">Carlosm790201@gmail.com</t>
  </si>
  <si>
    <t xml:space="preserve">Maria De Los Angeles Portal Portal</t>
  </si>
  <si>
    <t xml:space="preserve">angelesportalmaria@gmail.com</t>
  </si>
  <si>
    <t xml:space="preserve">Gendris Rubio</t>
  </si>
  <si>
    <t xml:space="preserve">Jorge Luis Acosta Lopéz</t>
  </si>
  <si>
    <t xml:space="preserve">aliciagranela@gmail.com</t>
  </si>
  <si>
    <t xml:space="preserve">Yaily Gil Cue</t>
  </si>
  <si>
    <t xml:space="preserve">yailygilcue@gmail.com</t>
  </si>
  <si>
    <t xml:space="preserve">Victor Manuel Debora Moreno</t>
  </si>
  <si>
    <t xml:space="preserve">lisneymivalle88@gmail.com</t>
  </si>
  <si>
    <t xml:space="preserve">Yuri A. Altabas Pereida</t>
  </si>
  <si>
    <t xml:space="preserve">Reinier Altabas</t>
  </si>
  <si>
    <t xml:space="preserve">Yasmani Benzol Alfonzo</t>
  </si>
  <si>
    <t xml:space="preserve">Gladis Maria Alarcón Fonseca</t>
  </si>
  <si>
    <t xml:space="preserve">gladysestherfonsecachavez@gmail.com</t>
  </si>
  <si>
    <t xml:space="preserve">Yunito Benitez Alonso</t>
  </si>
  <si>
    <t xml:space="preserve">DESCONOCIDO</t>
  </si>
  <si>
    <t xml:space="preserve">benitezyunior15@gmail.com</t>
  </si>
  <si>
    <t xml:space="preserve">23/02/2026 8:16PM</t>
  </si>
  <si>
    <t xml:space="preserve">René Silverio Caballero Romeu</t>
  </si>
  <si>
    <t xml:space="preserve">renecaballeroromeocaballero@gmail.com</t>
  </si>
  <si>
    <t xml:space="preserve">Yaymara Calunga Guilarte</t>
  </si>
  <si>
    <t xml:space="preserve">yaymara.cg@gmail.com</t>
  </si>
  <si>
    <t xml:space="preserve">Ernesto Joaquin Diaz leiva</t>
  </si>
  <si>
    <t xml:space="preserve">dernestojoaquin@gmail.com</t>
  </si>
  <si>
    <t xml:space="preserve">Yolanda</t>
  </si>
  <si>
    <t xml:space="preserve">yolandaalcantara209@gmail.com</t>
  </si>
  <si>
    <t xml:space="preserve">Yunel Herrera Sol</t>
  </si>
  <si>
    <t xml:space="preserve">yunelherrera0@gmail.com</t>
  </si>
  <si>
    <t xml:space="preserve">24/02/2026 7:22PM</t>
  </si>
  <si>
    <t xml:space="preserve">Karla Medero Moreno</t>
  </si>
  <si>
    <t xml:space="preserve">alejandro.mezquia@gmail.com</t>
  </si>
  <si>
    <t xml:space="preserve">Yasnai Pineda Torres</t>
  </si>
  <si>
    <t xml:space="preserve">Yoel Roney Maqueira González</t>
  </si>
  <si>
    <t xml:space="preserve">yoelroneymaqueira@gmail.com</t>
  </si>
  <si>
    <t xml:space="preserve">Carlos Gálvez Tamayo</t>
  </si>
  <si>
    <t xml:space="preserve">carlyperezmartinez3@gmail.com</t>
  </si>
  <si>
    <t xml:space="preserve">25/02/2026 9:12AM</t>
  </si>
  <si>
    <t xml:space="preserve">Yancell Carbenas Bravo</t>
  </si>
  <si>
    <t xml:space="preserve">t2922533@gmail.com</t>
  </si>
  <si>
    <t xml:space="preserve">Eduardo Batista Duque</t>
  </si>
  <si>
    <t xml:space="preserve">eduardobatistaduque674@gmail.com</t>
  </si>
  <si>
    <t xml:space="preserve">Yudmila Batista Miranda</t>
  </si>
  <si>
    <t xml:space="preserve">yudmilabatista31@gmail.com</t>
  </si>
  <si>
    <t xml:space="preserve">25/02/2026 10:38AM</t>
  </si>
  <si>
    <t xml:space="preserve">ILUMINADA DE LA CARIDAD PEREIDA HERNANDEZ</t>
  </si>
  <si>
    <t xml:space="preserve">yinamarina@yopmail.com, aleidaortega@yopmail.com, yanelys1977@yopmail.com, pilotosureiny@gmail.com</t>
  </si>
  <si>
    <t xml:space="preserve">25/02/2026 10:54AM</t>
  </si>
  <si>
    <t xml:space="preserve">Eliezer Moreno Blanco</t>
  </si>
  <si>
    <t xml:space="preserve">eliezerblanco.02.000@gmail.com</t>
  </si>
  <si>
    <t xml:space="preserve">25/02/2026 11:42AM</t>
  </si>
  <si>
    <t xml:space="preserve">Yennifer Sofia Collazo Mendoza</t>
  </si>
  <si>
    <t xml:space="preserve">sofiacubabrasil@gmail.com</t>
  </si>
  <si>
    <t xml:space="preserve">25/02/2026 12:02PM</t>
  </si>
  <si>
    <t xml:space="preserve">Sarahyvelizmiranda.30@gmail.com</t>
  </si>
  <si>
    <t xml:space="preserve">25/02/2026 1:45PM</t>
  </si>
  <si>
    <t xml:space="preserve">Yoelvis López Bernal</t>
  </si>
  <si>
    <t xml:space="preserve">lopezbernalyoelvis49@gmail.com</t>
  </si>
  <si>
    <t xml:space="preserve">25/02/2026 1:53PM</t>
  </si>
  <si>
    <t xml:space="preserve">Joan Eduardo Aguero Aranzola</t>
  </si>
  <si>
    <t xml:space="preserve">Yuneysi Hernandez Enamorado</t>
  </si>
  <si>
    <t xml:space="preserve">chinachuchi3@gmail.com</t>
  </si>
  <si>
    <t xml:space="preserve">FB_MESSENGER</t>
  </si>
  <si>
    <t xml:space="preserve">25/02/2026 1:55PM</t>
  </si>
  <si>
    <t xml:space="preserve">25/02/2026 2:01PM</t>
  </si>
  <si>
    <t xml:space="preserve">Eugenio Gey Gallol</t>
  </si>
  <si>
    <t xml:space="preserve">Elieser Castro Castellanos</t>
  </si>
  <si>
    <t xml:space="preserve">eliesereltiti@gmail.com</t>
  </si>
  <si>
    <t xml:space="preserve">25/02/2026 2:34PM</t>
  </si>
  <si>
    <t xml:space="preserve">Yoandra Ramos Arias</t>
  </si>
  <si>
    <t xml:space="preserve">ramosariasyoandra@gmail.com</t>
  </si>
  <si>
    <t xml:space="preserve">25/02/2026 4:12PM</t>
  </si>
  <si>
    <t xml:space="preserve">25/02/2026 4:45PM</t>
  </si>
  <si>
    <t xml:space="preserve">Yasmani Álvarez Guilarte</t>
  </si>
  <si>
    <t xml:space="preserve">alegema48@gmail.com</t>
  </si>
  <si>
    <t xml:space="preserve">25/02/2026 5:32PM</t>
  </si>
  <si>
    <t xml:space="preserve">Yurrien Guerrero Acosta</t>
  </si>
  <si>
    <t xml:space="preserve">gyurrien@gmail.com</t>
  </si>
  <si>
    <t xml:space="preserve">25/02/2026 5:51PM</t>
  </si>
  <si>
    <t xml:space="preserve">Karla Perez Reyes</t>
  </si>
  <si>
    <t xml:space="preserve">karlaanaeli818@gmail.com</t>
  </si>
  <si>
    <t xml:space="preserve">Yasmany Delgado</t>
  </si>
  <si>
    <t xml:space="preserve">oshunydf@gmail.com</t>
  </si>
  <si>
    <t xml:space="preserve">Reynier Diaz Diaz</t>
  </si>
  <si>
    <t xml:space="preserve">Zoraida Díaz Márquez</t>
  </si>
  <si>
    <t xml:space="preserve">zoraidadiazmarquez9@gmail.com</t>
  </si>
  <si>
    <t xml:space="preserve">25/02/2026 10:00PM</t>
  </si>
  <si>
    <t xml:space="preserve">Jainiel Fonseca Martínez</t>
  </si>
  <si>
    <t xml:space="preserve">fonsecajainiel@gmail.com</t>
  </si>
  <si>
    <t xml:space="preserve">25/02/2026 10:09PM</t>
  </si>
  <si>
    <t xml:space="preserve">Adriana Almeida Dos Santos</t>
  </si>
  <si>
    <t xml:space="preserve">Justo Ortiz Maso</t>
  </si>
  <si>
    <t xml:space="preserve">ortizjusto83@gmail.com</t>
  </si>
  <si>
    <t xml:space="preserve">25/02/2026 06:49PM</t>
  </si>
  <si>
    <t xml:space="preserve">Nayla Del Valle Quesada</t>
  </si>
  <si>
    <t xml:space="preserve">Javier Del Valle Lollola</t>
  </si>
  <si>
    <t xml:space="preserve">j90302001@gmail.com</t>
  </si>
  <si>
    <t xml:space="preserve">25/02/2026 5:54PM</t>
  </si>
  <si>
    <t xml:space="preserve">Abel Carrero castro</t>
  </si>
  <si>
    <t xml:space="preserve">Yosdel Carpio Ozuna</t>
  </si>
  <si>
    <t xml:space="preserve">25/02/2026 09:23AM</t>
  </si>
  <si>
    <t xml:space="preserve">Yaudenis Poll Perez</t>
  </si>
  <si>
    <t xml:space="preserve">alexisleandro1989@yopmail</t>
  </si>
  <si>
    <t xml:space="preserve">25/02/2026 14:58PM</t>
  </si>
  <si>
    <t xml:space="preserve">SUYINKA SERRANO GUERRA</t>
  </si>
  <si>
    <t xml:space="preserve">suyinkas@gmail.com</t>
  </si>
  <si>
    <t xml:space="preserve">26/02/2026 1:14PM</t>
  </si>
  <si>
    <t xml:space="preserve">Danessa De La Caridad Solano Osoa</t>
  </si>
  <si>
    <t xml:space="preserve">Yanisleidis</t>
  </si>
  <si>
    <t xml:space="preserve">26/02/2026 2:28PM</t>
  </si>
  <si>
    <t xml:space="preserve">Maylen Pino Miranda</t>
  </si>
  <si>
    <t xml:space="preserve">maylenpino@icloud.com</t>
  </si>
  <si>
    <t xml:space="preserve">25/02/2026 2:36PM</t>
  </si>
  <si>
    <t xml:space="preserve">ARMANDO ANCA CRESPO</t>
  </si>
  <si>
    <t xml:space="preserve">Yusnaby Anca Placencia</t>
  </si>
  <si>
    <t xml:space="preserve">yusnabyanca093@gmail.com</t>
  </si>
  <si>
    <t xml:space="preserve">26/02/2026 8:12PM</t>
  </si>
  <si>
    <t xml:space="preserve">Didier Valdes Padron</t>
  </si>
  <si>
    <t xml:space="preserve">valdespadrondidier@gmail</t>
  </si>
  <si>
    <t xml:space="preserve">NUEVO</t>
  </si>
  <si>
    <t xml:space="preserve">26/02/2026 10:42PM</t>
  </si>
  <si>
    <t xml:space="preserve">27/02/2026 11:37AM</t>
  </si>
  <si>
    <t xml:space="preserve">Wendy Zuloaga Victorio</t>
  </si>
  <si>
    <t xml:space="preserve">Jose Luis</t>
  </si>
  <si>
    <t xml:space="preserve">godefoy1988@gmail.com</t>
  </si>
  <si>
    <t xml:space="preserve">27/02/2026 1:39PM</t>
  </si>
  <si>
    <t xml:space="preserve">Minervis Maria del Castillo Gonzalez</t>
  </si>
  <si>
    <t xml:space="preserve">dminervismaria@gemail.com</t>
  </si>
  <si>
    <t xml:space="preserve">27/02/2026 2:34PM</t>
  </si>
  <si>
    <t xml:space="preserve">LISSET LOPEZ GARCIA</t>
  </si>
  <si>
    <t xml:space="preserve">lissetlopezgarcia816@gmail.com</t>
  </si>
  <si>
    <t xml:space="preserve">27/02/2026 4:51PM</t>
  </si>
  <si>
    <t xml:space="preserve">Roberto Martinez Suarez</t>
  </si>
  <si>
    <t xml:space="preserve">Moroelanimal1@gmail.com</t>
  </si>
  <si>
    <t xml:space="preserve">28/02/2026 10:11AM</t>
  </si>
  <si>
    <t xml:space="preserve">Luis Alejandro Veliz Garcia</t>
  </si>
  <si>
    <t xml:space="preserve">arleenrosa582@gmail.com</t>
  </si>
  <si>
    <t xml:space="preserve">28/02/2026 10:24AM</t>
  </si>
  <si>
    <t xml:space="preserve">Dania Sonia Zúñiga Duran</t>
  </si>
  <si>
    <t xml:space="preserve">Erlis Enrique faria Vigoa</t>
  </si>
  <si>
    <t xml:space="preserve">daniazuniga145@gmail.com</t>
  </si>
  <si>
    <t xml:space="preserve">27/02/2026 8:02PM</t>
  </si>
  <si>
    <t xml:space="preserve">BRUNO JESUS VILLALONGA BORGES</t>
  </si>
  <si>
    <t xml:space="preserve">Xiomy Cabrera</t>
  </si>
  <si>
    <t xml:space="preserve">xiomycabrera318@gmil.com</t>
  </si>
  <si>
    <t xml:space="preserve">26/02/2026 9:04AM</t>
  </si>
  <si>
    <t xml:space="preserve">Arain Martinez Gonzalez</t>
  </si>
  <si>
    <t xml:space="preserve">amartinezgonzalez247@gmail.com</t>
  </si>
  <si>
    <t xml:space="preserve">27/02/2026 6:31PM</t>
  </si>
  <si>
    <t xml:space="preserve">28/02/2026 10:29AM</t>
  </si>
  <si>
    <t xml:space="preserve">Ciro Alberto Labaut Ramos</t>
  </si>
  <si>
    <t xml:space="preserve">ciroalbertolabautramos@gmail.com</t>
  </si>
  <si>
    <t xml:space="preserve">28/02/2026 10:49AM</t>
  </si>
  <si>
    <t xml:space="preserve">Arley Paredes Martinez</t>
  </si>
  <si>
    <t xml:space="preserve">arleypm83@gmail.com</t>
  </si>
  <si>
    <t xml:space="preserve">28/02/2026 5:46PM</t>
  </si>
  <si>
    <t xml:space="preserve">Alberto Rives Gonzalez</t>
  </si>
  <si>
    <t xml:space="preserve">pilli0477@gmail.com</t>
  </si>
  <si>
    <t xml:space="preserve">28/02/2026 7:35PM</t>
  </si>
  <si>
    <t xml:space="preserve">LAZARA INDILEYVIS MARIN TORRES</t>
  </si>
  <si>
    <t xml:space="preserve">Yussier Ortega</t>
  </si>
  <si>
    <t xml:space="preserve">02/03/2026 9:55AM</t>
  </si>
  <si>
    <t xml:space="preserve">Elpidio Cisnero Masso</t>
  </si>
  <si>
    <t xml:space="preserve">elpidiocisneromasso@gmail</t>
  </si>
  <si>
    <t xml:space="preserve">01/03/2026 10:28AM</t>
  </si>
  <si>
    <t xml:space="preserve">Diovanis Carrión Martínez</t>
  </si>
  <si>
    <t xml:space="preserve">0.Diovaniscarrion1993@gmail.com</t>
  </si>
  <si>
    <t xml:space="preserve">02/03/2026 5:02PM</t>
  </si>
  <si>
    <t xml:space="preserve">Mariano Rafael Barbosa Delgado</t>
  </si>
  <si>
    <t xml:space="preserve">barbosadelgadomariano@gmail.com</t>
  </si>
  <si>
    <t xml:space="preserve">02/03/2026 5:20PM</t>
  </si>
  <si>
    <t xml:space="preserve">Yunier la Rosa Ortega</t>
  </si>
  <si>
    <t xml:space="preserve">Yunier la rosa ortega</t>
  </si>
  <si>
    <t xml:space="preserve">yunierlarosa676@gmail.com</t>
  </si>
  <si>
    <t xml:space="preserve">02/03/2026 5:37PM</t>
  </si>
  <si>
    <t xml:space="preserve">PASAPORTE BRASIL</t>
  </si>
  <si>
    <t xml:space="preserve">RECORRENTE</t>
  </si>
  <si>
    <t xml:space="preserve">02/03/2026 9:18AM</t>
  </si>
  <si>
    <t xml:space="preserve">Lisyanis Amelia Vega Hernández</t>
  </si>
  <si>
    <t xml:space="preserve">lisvega260@gmail.com</t>
  </si>
  <si>
    <t xml:space="preserve">03/03/2026 9:22AM</t>
  </si>
  <si>
    <t xml:space="preserve">Yerandy Castellanos Reyes</t>
  </si>
  <si>
    <t xml:space="preserve">yerotattoo@gmail.com</t>
  </si>
  <si>
    <t xml:space="preserve">02/03/2026 10:49AM</t>
  </si>
  <si>
    <t xml:space="preserve">Yamila Mesa Moya</t>
  </si>
  <si>
    <t xml:space="preserve">yamilamoya266@gmail.com</t>
  </si>
  <si>
    <t xml:space="preserve">03/03/2026 11:49AM</t>
  </si>
  <si>
    <t xml:space="preserve">Alexis Mauro Lazaga/Lazaro Garcia</t>
  </si>
  <si>
    <t xml:space="preserve">03/03/2026 11:58AM</t>
  </si>
  <si>
    <t xml:space="preserve">Eddy Ollalvides Viera</t>
  </si>
  <si>
    <t xml:space="preserve">eddyollalvidesviera14@gmeil.con</t>
  </si>
  <si>
    <t xml:space="preserve">03/03/2026 12:34PM</t>
  </si>
  <si>
    <t xml:space="preserve">Niuvis Batista Mustelier</t>
  </si>
  <si>
    <t xml:space="preserve">Luis Alberto García Coca</t>
  </si>
  <si>
    <t xml:space="preserve">gluisalberto163@gmail.com</t>
  </si>
  <si>
    <t xml:space="preserve">03/03/2026 2:07PM</t>
  </si>
  <si>
    <t xml:space="preserve">Leandro Moreira Frometa</t>
  </si>
  <si>
    <t xml:space="preserve">lamdronf77@gmail.com</t>
  </si>
  <si>
    <t xml:space="preserve">[INT] [WA] [TRA] [VZL] TRAD. JUR.</t>
  </si>
  <si>
    <t xml:space="preserve">03/03/2026 2:16PM</t>
  </si>
  <si>
    <t xml:space="preserve">Ivan David Rdgz</t>
  </si>
  <si>
    <t xml:space="preserve">Emilio Perez Alonso</t>
  </si>
  <si>
    <t xml:space="preserve">03/03/2026 3:03PM</t>
  </si>
  <si>
    <t xml:space="preserve">Sheila Chaquira Moreno Tamayo</t>
  </si>
  <si>
    <t xml:space="preserve">tamayosheila24@gmail.com</t>
  </si>
  <si>
    <t xml:space="preserve">03/03/2026 4:25PM</t>
  </si>
  <si>
    <t xml:space="preserve">Janett L C P Rodriguez</t>
  </si>
  <si>
    <t xml:space="preserve">Yeimi Aldma</t>
  </si>
  <si>
    <t xml:space="preserve">chikstars4@gmail.com</t>
  </si>
  <si>
    <t xml:space="preserve">03/03/2026 4:50PM</t>
  </si>
  <si>
    <t xml:space="preserve">Victor Anier Mora López</t>
  </si>
  <si>
    <t xml:space="preserve">Victoraniermoralopez1@gmail.com</t>
  </si>
  <si>
    <t xml:space="preserve">03/03/2026 4:54PM</t>
  </si>
  <si>
    <t xml:space="preserve">Enidia Paulina Almeida Reyes</t>
  </si>
  <si>
    <t xml:space="preserve">Maydelis Fis Almeida</t>
  </si>
  <si>
    <t xml:space="preserve">e0497519@gmail.com</t>
  </si>
  <si>
    <t xml:space="preserve">03/03/2026 5:22PM</t>
  </si>
  <si>
    <t xml:space="preserve">Ernesto Ramón Marín Rodríguez</t>
  </si>
  <si>
    <t xml:space="preserve">k4m1k4z3marin@gmail.com</t>
  </si>
  <si>
    <t xml:space="preserve">03/03/2026 5:34PM</t>
  </si>
  <si>
    <t xml:space="preserve">Melany Sotolongo Aguero</t>
  </si>
  <si>
    <t xml:space="preserve">Melanitha</t>
  </si>
  <si>
    <t xml:space="preserve">YORLEYDIS GOMEZ NAVARRO</t>
  </si>
  <si>
    <t xml:space="preserve">03/03/2026 5:51PM</t>
  </si>
  <si>
    <t xml:space="preserve">Yusdel Cutino Sierra</t>
  </si>
  <si>
    <t xml:space="preserve">Yoandri Socarra Reyna</t>
  </si>
  <si>
    <t xml:space="preserve">yoandrissocarras@gmail.com</t>
  </si>
  <si>
    <t xml:space="preserve">03/03/2026 7:03PM</t>
  </si>
  <si>
    <t xml:space="preserve">Yanoy Duarte Duarte</t>
  </si>
  <si>
    <t xml:space="preserve">03/03/2026 9:27PM</t>
  </si>
  <si>
    <t xml:space="preserve">Leydi Irinav Ayala Leon</t>
  </si>
  <si>
    <t xml:space="preserve">leydiayalaleon@gmail.com</t>
  </si>
  <si>
    <t xml:space="preserve">04/03/2026 9:51AM</t>
  </si>
  <si>
    <t xml:space="preserve">Leonardo Barrientos Gorguet</t>
  </si>
  <si>
    <t xml:space="preserve">04/03/2026 9:53AM</t>
  </si>
  <si>
    <t xml:space="preserve">Pavel Rafael Gonzalez Penate</t>
  </si>
  <si>
    <t xml:space="preserve">Cristhian Enrique Perez Avila</t>
  </si>
  <si>
    <t xml:space="preserve">04/03/2026 10:15AM</t>
  </si>
  <si>
    <t xml:space="preserve">Felix Barranco Espin</t>
  </si>
  <si>
    <t xml:space="preserve">felixbarranco37@gmail.com</t>
  </si>
  <si>
    <t xml:space="preserve">04/03/2026 10:38AM</t>
  </si>
  <si>
    <t xml:space="preserve">Yaneski Marrero Pacheco</t>
  </si>
  <si>
    <t xml:space="preserve">racielaguilarmejias@gmail.com</t>
  </si>
  <si>
    <t xml:space="preserve">04/03/2026 11:52AM</t>
  </si>
  <si>
    <t xml:space="preserve">Carlos Alejandro Pereda Santana</t>
  </si>
  <si>
    <t xml:space="preserve">carlosrefugio01@gmail.com</t>
  </si>
  <si>
    <t xml:space="preserve">04/03/2026 12:56PM</t>
  </si>
  <si>
    <t xml:space="preserve">Yosiel Placencia Gutierrez</t>
  </si>
  <si>
    <t xml:space="preserve">Yosiel</t>
  </si>
  <si>
    <t xml:space="preserve">placenciayosiel@gmail.com</t>
  </si>
  <si>
    <t xml:space="preserve">04/03/2026 1:02PM</t>
  </si>
  <si>
    <t xml:space="preserve">Rosa Gálvez Sánchez</t>
  </si>
  <si>
    <t xml:space="preserve">yuniaguiyenricardo@gmail.com</t>
  </si>
  <si>
    <t xml:space="preserve">04/03/2026 3:15PM</t>
  </si>
  <si>
    <t xml:space="preserve">Yaneski Varona Cruz</t>
  </si>
  <si>
    <t xml:space="preserve">perezperezgendris@gmail.com, geidyesterperez96@gmail.com</t>
  </si>
  <si>
    <t xml:space="preserve">04/03/2026 3:21PM</t>
  </si>
  <si>
    <t xml:space="preserve">Armando Anca Crespo</t>
  </si>
  <si>
    <t xml:space="preserve">ancacrespoarmando@gmail.com</t>
  </si>
  <si>
    <t xml:space="preserve">04/03/2026 5:04PM</t>
  </si>
  <si>
    <t xml:space="preserve">04/03/2026 5:06PM</t>
  </si>
  <si>
    <t xml:space="preserve">Osmar Antonio Gongora</t>
  </si>
  <si>
    <t xml:space="preserve">gongoraosmar39@gmail.com</t>
  </si>
  <si>
    <t xml:space="preserve">04/03/2026 5:18PM</t>
  </si>
  <si>
    <t xml:space="preserve">Jose Luis Collado Ulloa</t>
  </si>
  <si>
    <t xml:space="preserve">joseluiscolladoulloa8@gmail.com</t>
  </si>
  <si>
    <t xml:space="preserve">04/03/2026 6:25PM</t>
  </si>
  <si>
    <t xml:space="preserve">03/03/2026 6:53PM</t>
  </si>
  <si>
    <t xml:space="preserve">Karel Diaz Linares</t>
  </si>
  <si>
    <t xml:space="preserve">karelio1992@gmail.com</t>
  </si>
  <si>
    <t xml:space="preserve">04/03/2026 8:23PM</t>
  </si>
  <si>
    <t xml:space="preserve">+554792283713, +559584245430</t>
  </si>
  <si>
    <t xml:space="preserve">04/03/2026 9:23AM</t>
  </si>
  <si>
    <t xml:space="preserve">Carlos Frometa Ramos</t>
  </si>
  <si>
    <t xml:space="preserve">carlosfrometa1989@gmail.com</t>
  </si>
  <si>
    <t xml:space="preserve">04/03/2026 6:41PM</t>
  </si>
  <si>
    <t xml:space="preserve">Brayan Marin Savinge</t>
  </si>
  <si>
    <t xml:space="preserve">Alexandra Maturell</t>
  </si>
  <si>
    <t xml:space="preserve">alexandra.maturell.18@gmail.com</t>
  </si>
  <si>
    <t xml:space="preserve">ig</t>
  </si>
  <si>
    <t xml:space="preserve">04/03/2026 8:59PM</t>
  </si>
  <si>
    <t xml:space="preserve">Raidel Buron Diaz</t>
  </si>
  <si>
    <t xml:space="preserve">raidel.buron@gmail.com</t>
  </si>
  <si>
    <t xml:space="preserve">04/03/2026 8:12PM</t>
  </si>
  <si>
    <t xml:space="preserve">Jesus Humerto Leonard Hernandez</t>
  </si>
  <si>
    <t xml:space="preserve">Mireidys López Pérez</t>
  </si>
  <si>
    <t xml:space="preserve">humbertomatias04090776249@gmail.com</t>
  </si>
  <si>
    <t xml:space="preserve">04/03/2026 9:07PM</t>
  </si>
  <si>
    <t xml:space="preserve">Marina Hernández Castro</t>
  </si>
  <si>
    <t xml:space="preserve">marinahernandezcastro1995@gmail.com</t>
  </si>
  <si>
    <t xml:space="preserve">04/03/2026 9:41PM</t>
  </si>
  <si>
    <t xml:space="preserve">Giberto Jesus Hernández Neyra</t>
  </si>
  <si>
    <t xml:space="preserve">Gilbertojesushernandez693@gmail.com</t>
  </si>
  <si>
    <t xml:space="preserve">04/03/2026 9:58PM</t>
  </si>
  <si>
    <t xml:space="preserve">Neylan Jesus Lopez Enriquez</t>
  </si>
  <si>
    <t xml:space="preserve">neylanenriquez@gmail.com</t>
  </si>
  <si>
    <t xml:space="preserve">04/03/2026 9:56PM</t>
  </si>
  <si>
    <t xml:space="preserve">Yilian Pérez Quintero</t>
  </si>
  <si>
    <t xml:space="preserve">gonzalezmendezisrael7@gmail.com</t>
  </si>
  <si>
    <t xml:space="preserve">04/03/2026 7:20PM</t>
  </si>
  <si>
    <t xml:space="preserve">Yosef  Ferrer Espinosa</t>
  </si>
  <si>
    <t xml:space="preserve">miladysmieresinfante0@gmail.com, ferreryosef@gmail.com</t>
  </si>
  <si>
    <t xml:space="preserve">04/03/2026 4:23PM</t>
  </si>
  <si>
    <t xml:space="preserve">Patricia M Benitez Castro</t>
  </si>
  <si>
    <t xml:space="preserve">Patricia Maria Benitez Castro</t>
  </si>
  <si>
    <t xml:space="preserve">pattybc1999@gmail.com</t>
  </si>
  <si>
    <t xml:space="preserve">05/03/2026 11:47AM</t>
  </si>
  <si>
    <t xml:space="preserve">Alex Souza Morais</t>
  </si>
  <si>
    <t xml:space="preserve">Noremi Ballester Mesa</t>
  </si>
  <si>
    <t xml:space="preserve">noremi.ballestet@gmail.com</t>
  </si>
  <si>
    <t xml:space="preserve">05/03/2026 12:49PM</t>
  </si>
  <si>
    <t xml:space="preserve">Luis Enrique Rodriguez Suarez</t>
  </si>
  <si>
    <t xml:space="preserve">lr1102897@gmail.com</t>
  </si>
  <si>
    <t xml:space="preserve">05/03/2026 2:01PM</t>
  </si>
  <si>
    <t xml:space="preserve">Maria Elena Coello Amaya</t>
  </si>
  <si>
    <t xml:space="preserve">alexandercuellotamayo02@gmail.com</t>
  </si>
  <si>
    <t xml:space="preserve">03/03/2026 7:27PM</t>
  </si>
  <si>
    <t xml:space="preserve">05/03/2026 2:41PM</t>
  </si>
  <si>
    <t xml:space="preserve">Lianet Romero Bello</t>
  </si>
  <si>
    <t xml:space="preserve">Serguey Prieto Marrero</t>
  </si>
  <si>
    <t xml:space="preserve">05/03/2026 5:45PM</t>
  </si>
  <si>
    <t xml:space="preserve">Pedro Ramon Nunez Marimon</t>
  </si>
  <si>
    <t xml:space="preserve">pn468716@gmail.com</t>
  </si>
  <si>
    <t xml:space="preserve">05/03/2026 5:50PM</t>
  </si>
  <si>
    <t xml:space="preserve">05/03/2026 6:08PM</t>
  </si>
  <si>
    <t xml:space="preserve">Erzilí Oliveros Perez</t>
  </si>
  <si>
    <t xml:space="preserve">oliverosperezerzili@gmail.com</t>
  </si>
  <si>
    <t xml:space="preserve">05/03/2026 9:13AM</t>
  </si>
  <si>
    <t xml:space="preserve">Juan Miguel Lopez Oses</t>
  </si>
  <si>
    <t xml:space="preserve">lopezosesjm70@gmail.com</t>
  </si>
  <si>
    <t xml:space="preserve">META ADS</t>
  </si>
  <si>
    <t xml:space="preserve">[INT][WA-2139][TRA][CUB][CON][ADV+][F]TRAD. CNH</t>
  </si>
  <si>
    <t xml:space="preserve">AD05-TRAD.CNH</t>
  </si>
  <si>
    <t xml:space="preserve">VIDEO</t>
  </si>
  <si>
    <t xml:space="preserve">06/03/2026 9:54AM</t>
  </si>
  <si>
    <t xml:space="preserve">Alexander Pirez Suarez</t>
  </si>
  <si>
    <t xml:space="preserve">alexanderpirez450@gmail.com</t>
  </si>
  <si>
    <t xml:space="preserve">05/03/2026 10:04AM</t>
  </si>
  <si>
    <t xml:space="preserve">Deinler Matos Marin</t>
  </si>
  <si>
    <t xml:space="preserve">dmatosmarin@gmail.com</t>
  </si>
  <si>
    <t xml:space="preserve">05/03/2026 10:07AM</t>
  </si>
  <si>
    <t xml:space="preserve">Yoandra Pantoja  leyva</t>
  </si>
  <si>
    <t xml:space="preserve">Lourdes Pantoja Leyva</t>
  </si>
  <si>
    <t xml:space="preserve">lourdesmariapantojaleyva@gmail.com</t>
  </si>
  <si>
    <t xml:space="preserve">06/03/2026 10:39AM</t>
  </si>
  <si>
    <t xml:space="preserve">Fernanda Horstman</t>
  </si>
  <si>
    <t xml:space="preserve">Yuletsy Pimentel Recio</t>
  </si>
  <si>
    <t xml:space="preserve">yuletsypimentelrecio@gmail.com</t>
  </si>
  <si>
    <t xml:space="preserve">05/03/2026 12:45AM</t>
  </si>
  <si>
    <t xml:space="preserve">05/03/2026 10:56AM</t>
  </si>
  <si>
    <t xml:space="preserve">Racheli Bermudez Gonzales</t>
  </si>
  <si>
    <t xml:space="preserve">bermudezracheli7@gmail.com</t>
  </si>
  <si>
    <t xml:space="preserve">05/03/2026 10:59AM</t>
  </si>
  <si>
    <t xml:space="preserve">06/03/2026 11:11AM</t>
  </si>
  <si>
    <t xml:space="preserve">Fidel Villa Padron</t>
  </si>
  <si>
    <t xml:space="preserve">fidelvillapadrpn01@gmail.com</t>
  </si>
  <si>
    <t xml:space="preserve">05/03/2026 11:35AM</t>
  </si>
  <si>
    <t xml:space="preserve">Alison Perez Naranjo</t>
  </si>
  <si>
    <t xml:space="preserve">Alison Pérez Naranjo</t>
  </si>
  <si>
    <t xml:space="preserve">pereznaranjoalison48@gmail.com</t>
  </si>
  <si>
    <t xml:space="preserve">06/03/2026 11:40AM</t>
  </si>
  <si>
    <t xml:space="preserve">Aldo Guillen Riquelme</t>
  </si>
  <si>
    <t xml:space="preserve">guillenriquelmea@gmail.com</t>
  </si>
  <si>
    <t xml:space="preserve">06/03/2026 12:23PM</t>
  </si>
  <si>
    <t xml:space="preserve">Ana Belkis Valdes Caturla</t>
  </si>
  <si>
    <t xml:space="preserve">anayoel2018@gmail.com</t>
  </si>
  <si>
    <t xml:space="preserve">06/03/2026 2:19PM</t>
  </si>
  <si>
    <t xml:space="preserve">Adriel Castillo Amita</t>
  </si>
  <si>
    <t xml:space="preserve">adrielcastillo1986@gmail.com</t>
  </si>
  <si>
    <t xml:space="preserve">06/03/2026 2:41PM</t>
  </si>
  <si>
    <t xml:space="preserve">Victor Manuel Blanco Quintana</t>
  </si>
  <si>
    <t xml:space="preserve">06/03/2026 2:49PM</t>
  </si>
  <si>
    <t xml:space="preserve">Zanet Rodriguez Lameiro</t>
  </si>
  <si>
    <t xml:space="preserve">zamomg15@gmail.com</t>
  </si>
  <si>
    <t xml:space="preserve">06/03/2026 2:59PM</t>
  </si>
  <si>
    <t xml:space="preserve">Carlos Aguero Cardenas</t>
  </si>
  <si>
    <t xml:space="preserve">carlosaguerocardenas@gmail</t>
  </si>
  <si>
    <t xml:space="preserve">06/03/2026 3:37PM</t>
  </si>
  <si>
    <t xml:space="preserve">Af Industria, comercio e distribuicao de materiais</t>
  </si>
  <si>
    <t xml:space="preserve">Darwin García</t>
  </si>
  <si>
    <t xml:space="preserve">darwin.garcia.aguierre01@gmail.com</t>
  </si>
  <si>
    <t xml:space="preserve">06/03/2026 4:05PM</t>
  </si>
  <si>
    <t xml:space="preserve">Jontan David Lopez Quinatana</t>
  </si>
  <si>
    <t xml:space="preserve">Jhonny</t>
  </si>
  <si>
    <t xml:space="preserve">jonatandavidlopezquintana@gmail.com</t>
  </si>
  <si>
    <t xml:space="preserve">06/03/2026 5:07PM</t>
  </si>
  <si>
    <t xml:space="preserve">Mayrelis Blanco Betancourt</t>
  </si>
  <si>
    <t xml:space="preserve">blancobetancourtmayrelis@gmail.comm</t>
  </si>
  <si>
    <t xml:space="preserve">06/03/2026 5:21PM</t>
  </si>
  <si>
    <t xml:space="preserve">Ariannis Montoya Cabrera</t>
  </si>
  <si>
    <t xml:space="preserve">ariannismontoya92@gmail.com</t>
  </si>
  <si>
    <t xml:space="preserve">06/03/2026 5:36PM</t>
  </si>
  <si>
    <t xml:space="preserve">Mariet Lara Garcia</t>
  </si>
  <si>
    <t xml:space="preserve">06/03/2026 5:51PM</t>
  </si>
  <si>
    <t xml:space="preserve">Adrian Rodriguez Licea</t>
  </si>
  <si>
    <t xml:space="preserve">licea1879@gmail.com</t>
  </si>
  <si>
    <t xml:space="preserve">AD01-TRAD.CNH</t>
  </si>
  <si>
    <t xml:space="preserve">IMAGEN</t>
  </si>
  <si>
    <t xml:space="preserve">06/03/2026 6:03PM</t>
  </si>
  <si>
    <t xml:space="preserve">Ángel Luddis Aguirre Hung</t>
  </si>
  <si>
    <t xml:space="preserve">angel881015@hotmail.com</t>
  </si>
  <si>
    <t xml:space="preserve">06/03/2026 7:35PM</t>
  </si>
  <si>
    <t xml:space="preserve">06/03/2026 7:43PM</t>
  </si>
  <si>
    <t xml:space="preserve">Daysi Rodriguez Romero</t>
  </si>
  <si>
    <t xml:space="preserve">daysirodriguezromero9403@gmail.com</t>
  </si>
  <si>
    <t xml:space="preserve">04/03/2026 6:12PM</t>
  </si>
  <si>
    <t xml:space="preserve">04/03/2026 8:07PM</t>
  </si>
  <si>
    <t xml:space="preserve">Leandro Luis Marrero Matos</t>
  </si>
  <si>
    <t xml:space="preserve">androluismm@gmail.com</t>
  </si>
  <si>
    <t xml:space="preserve">06/03/2026 10:43AM</t>
  </si>
  <si>
    <t xml:space="preserve">06/03/2026 6:10PM</t>
  </si>
  <si>
    <t xml:space="preserve">06/03/2026 10:28AM</t>
  </si>
  <si>
    <t xml:space="preserve">06/03/2026 9:08PM</t>
  </si>
  <si>
    <t xml:space="preserve">06/03/2026 9:23PM</t>
  </si>
  <si>
    <t xml:space="preserve">Ana Isabel Calderón Soto</t>
  </si>
  <si>
    <t xml:space="preserve">anaisabelcalderonsoto@gmail.com</t>
  </si>
  <si>
    <t xml:space="preserve">06/03/2026 9:30PM</t>
  </si>
  <si>
    <t xml:space="preserve">Guillermo Roca Franco</t>
  </si>
  <si>
    <t xml:space="preserve">guillermorocafranco@gmail.com</t>
  </si>
  <si>
    <t xml:space="preserve">06/03/2026 9:33PM</t>
  </si>
  <si>
    <t xml:space="preserve">06/03/2026 7:31PM</t>
  </si>
  <si>
    <t xml:space="preserve">Alfredo Rodríguez Medina</t>
  </si>
  <si>
    <t xml:space="preserve">ar7375300@gmail.com</t>
  </si>
  <si>
    <t xml:space="preserve">06/03/2026 8:45PM</t>
  </si>
  <si>
    <t xml:space="preserve">laurafernandzlugo@gmail.com</t>
  </si>
  <si>
    <t xml:space="preserve">06/03/2026 8:47AM</t>
  </si>
  <si>
    <t xml:space="preserve">Yolanda Zarzuela</t>
  </si>
  <si>
    <t xml:space="preserve">06/03/2026 10:12PM</t>
  </si>
  <si>
    <t xml:space="preserve">Roxana Laffita Noa</t>
  </si>
  <si>
    <t xml:space="preserve">roxanalaffita1227@gmail.com</t>
  </si>
  <si>
    <t xml:space="preserve">07/03/2026 11:16AM</t>
  </si>
  <si>
    <t xml:space="preserve">Dani Yaniel Morejon Martinez</t>
  </si>
  <si>
    <t xml:space="preserve">Yanisleidy Martinez Aguado</t>
  </si>
  <si>
    <t xml:space="preserve">aguadomartinezyanisleidy@gmail.com</t>
  </si>
  <si>
    <t xml:space="preserve">07/03/2026 11:20AM</t>
  </si>
  <si>
    <t xml:space="preserve">Reinier Diaz Cortina</t>
  </si>
  <si>
    <t xml:space="preserve">Reinier</t>
  </si>
  <si>
    <t xml:space="preserve">reyd43005@gmail.com</t>
  </si>
  <si>
    <t xml:space="preserve">07/03/2026 12:39PM</t>
  </si>
  <si>
    <t xml:space="preserve">Alexander Mazorra Benitez</t>
  </si>
  <si>
    <t xml:space="preserve">alexander85one@gmail.com</t>
  </si>
  <si>
    <t xml:space="preserve">07/03/2026 1:05PM</t>
  </si>
  <si>
    <t xml:space="preserve">Deyver Guevara Aleaga</t>
  </si>
  <si>
    <t xml:space="preserve">_deyvertrombong@gmail.com</t>
  </si>
  <si>
    <t xml:space="preserve">07/03/2026 3:10PM</t>
  </si>
  <si>
    <t xml:space="preserve">Yenisleidy Ortega Cairo</t>
  </si>
  <si>
    <t xml:space="preserve">rosalysortega4@gmail.com</t>
  </si>
  <si>
    <t xml:space="preserve">07/03/2026 4:31PM</t>
  </si>
  <si>
    <t xml:space="preserve">Victor M Debora Moreno</t>
  </si>
  <si>
    <t xml:space="preserve">lisneymivalle88@gmail.com, vdeboramoreno@gmail.com</t>
  </si>
  <si>
    <t xml:space="preserve">07/03/2026 5:37PM</t>
  </si>
  <si>
    <t xml:space="preserve">YAILENY OLIVA FUENTES</t>
  </si>
  <si>
    <t xml:space="preserve">07/03/2026 5:54PM</t>
  </si>
  <si>
    <t xml:space="preserve">Freddys Acosta Hernandez</t>
  </si>
  <si>
    <t xml:space="preserve">Alejandro Rivero Rodríguez</t>
  </si>
  <si>
    <t xml:space="preserve">yaidelinalfonsomartinesz@gmail.com</t>
  </si>
  <si>
    <t xml:space="preserve">07/03/2026 5:59PM</t>
  </si>
  <si>
    <t xml:space="preserve">Jeihison Oswaldo Mora Reyes</t>
  </si>
  <si>
    <t xml:space="preserve">VENEZUELA</t>
  </si>
  <si>
    <t xml:space="preserve">07/03/2026 7:14PM</t>
  </si>
  <si>
    <t xml:space="preserve">Alexis Esquivias Castro</t>
  </si>
  <si>
    <t xml:space="preserve">esqueviasalexis054@gmail.com</t>
  </si>
  <si>
    <t xml:space="preserve">07/03/2026 9:34PM</t>
  </si>
  <si>
    <t xml:space="preserve">Luis Ruber Frometa Navarro</t>
  </si>
  <si>
    <t xml:space="preserve">ruberluisfrometa@gmail.com</t>
  </si>
  <si>
    <t xml:space="preserve">07/03/2026 8:55AM</t>
  </si>
  <si>
    <t xml:space="preserve">Fernando Milan Simón</t>
  </si>
  <si>
    <t xml:space="preserve">f88419295@gmail.com</t>
  </si>
  <si>
    <t xml:space="preserve">08/03/2026 9:59AM</t>
  </si>
  <si>
    <t xml:space="preserve">Jonatan Ruiz Miranda</t>
  </si>
  <si>
    <t xml:space="preserve">Claudia</t>
  </si>
  <si>
    <t xml:space="preserve">claudiaarletisramostorres@gmail.com</t>
  </si>
  <si>
    <t xml:space="preserve">08/03/2026 10:03AM</t>
  </si>
  <si>
    <t xml:space="preserve">Jorge Luis Silva Tamayo</t>
  </si>
  <si>
    <t xml:space="preserve">Jorge Luis</t>
  </si>
  <si>
    <t xml:space="preserve">08/03/2026 10:06AM</t>
  </si>
  <si>
    <t xml:space="preserve">Pedro Antonio Araujo Quesada</t>
  </si>
  <si>
    <t xml:space="preserve">pedroaraujoq69@gmail.com</t>
  </si>
  <si>
    <t xml:space="preserve">AD02-TRAD.CNH</t>
  </si>
  <si>
    <t xml:space="preserve">08/03/2026 10:16AM</t>
  </si>
  <si>
    <t xml:space="preserve">Oslander Lavrada Herrera</t>
  </si>
  <si>
    <t xml:space="preserve">suchellabradaherrera94@gmail.com</t>
  </si>
  <si>
    <t xml:space="preserve">08/03/2026 10:17AM</t>
  </si>
  <si>
    <t xml:space="preserve">08/03/2026 11:14AM</t>
  </si>
  <si>
    <t xml:space="preserve">Eniel Matos Perez</t>
  </si>
  <si>
    <t xml:space="preserve">matoseniel@gmail.com</t>
  </si>
  <si>
    <t xml:space="preserve">09/03/2026 11:16AM</t>
  </si>
  <si>
    <t xml:space="preserve">Yunior Benitez Alonso</t>
  </si>
  <si>
    <t xml:space="preserve">Magdielis Castro Rodríguez</t>
  </si>
  <si>
    <t xml:space="preserve">magdielis94@gmail.com</t>
  </si>
  <si>
    <t xml:space="preserve">09/03/2026 11:51AM</t>
  </si>
  <si>
    <t xml:space="preserve">Ruliver Capote Contreras</t>
  </si>
  <si>
    <t xml:space="preserve">capotecontrerasruliver@gmail.com</t>
  </si>
  <si>
    <t xml:space="preserve">08/03/2026 12:16PM</t>
  </si>
  <si>
    <t xml:space="preserve">Hianni Alejandro Arcis Pons</t>
  </si>
  <si>
    <t xml:space="preserve">alejandroarcis5@gmail.com</t>
  </si>
  <si>
    <t xml:space="preserve">07/03/2026 4:50PM</t>
  </si>
  <si>
    <t xml:space="preserve">Karla Michele Masot Matos</t>
  </si>
  <si>
    <t xml:space="preserve">karlamasot1@gmail.com</t>
  </si>
  <si>
    <t xml:space="preserve">09/03/2026 2:32PM</t>
  </si>
  <si>
    <t xml:space="preserve">Xavier de la Cruz Pérez</t>
  </si>
  <si>
    <t xml:space="preserve">xavierdelacruz55@gmail.com</t>
  </si>
  <si>
    <t xml:space="preserve">09/03/2026 2:48PM</t>
  </si>
  <si>
    <t xml:space="preserve">Odelys Maikel Crespo Zaldivar</t>
  </si>
  <si>
    <t xml:space="preserve">crespoodelys@gmail.com</t>
  </si>
  <si>
    <t xml:space="preserve">08/03/2026 2:50PM</t>
  </si>
  <si>
    <t xml:space="preserve">Yeraily Cabrera Rodriguez</t>
  </si>
  <si>
    <t xml:space="preserve">Dionel Gomez Gonzalez</t>
  </si>
  <si>
    <t xml:space="preserve">dionelgomez666@gmail.com</t>
  </si>
  <si>
    <t xml:space="preserve">09/03/2026 3:09PM</t>
  </si>
  <si>
    <t xml:space="preserve">Jack Henry Hechavarria Almeida</t>
  </si>
  <si>
    <t xml:space="preserve">Yanet</t>
  </si>
  <si>
    <t xml:space="preserve">garciaespinosayanet@gmail.com</t>
  </si>
  <si>
    <t xml:space="preserve">09/03/2026 3:35PM</t>
  </si>
  <si>
    <t xml:space="preserve">Frank Andux Mesa</t>
  </si>
  <si>
    <t xml:space="preserve">ing.andux@gmail.com</t>
  </si>
  <si>
    <t xml:space="preserve">09/03/2026 3:44PM</t>
  </si>
  <si>
    <t xml:space="preserve">Julio Rodríguez Sanchez</t>
  </si>
  <si>
    <t xml:space="preserve">09/03/2026 4:02PM</t>
  </si>
  <si>
    <t xml:space="preserve">Dariannys L Comendador</t>
  </si>
  <si>
    <t xml:space="preserve">Dariannys Labrada Comendador</t>
  </si>
  <si>
    <t xml:space="preserve">labradadariannys@gmail.coml, yasmanyoduardogrant@gmail.com</t>
  </si>
  <si>
    <t xml:space="preserve">09/03/2026 4:27PM</t>
  </si>
  <si>
    <t xml:space="preserve">Yaritza del Carmen Sanchez</t>
  </si>
  <si>
    <t xml:space="preserve">Vladimir Ortiz</t>
  </si>
  <si>
    <t xml:space="preserve">Vlataton2015@gmail.com</t>
  </si>
  <si>
    <t xml:space="preserve">09/03/2026 5:09PM</t>
  </si>
  <si>
    <t xml:space="preserve">Ana Iris Wester Suarez</t>
  </si>
  <si>
    <t xml:space="preserve">Dayana Santiago de la Torre</t>
  </si>
  <si>
    <t xml:space="preserve">guillermobarrosobasabe@gmail.com</t>
  </si>
  <si>
    <t xml:space="preserve">07/03/2026 5:11PM</t>
  </si>
  <si>
    <t xml:space="preserve">09/03/2026 5:23PM</t>
  </si>
  <si>
    <t xml:space="preserve">Osmani Valdes Valdes</t>
  </si>
  <si>
    <t xml:space="preserve">valdesosmany01@gmail.com</t>
  </si>
  <si>
    <t xml:space="preserve">09/03/2026 5:31PM</t>
  </si>
  <si>
    <t xml:space="preserve">Maricelis Reyes Santana</t>
  </si>
  <si>
    <t xml:space="preserve">yulieskysanchez25@gmail.com</t>
  </si>
  <si>
    <t xml:space="preserve">09/03/2026 5:59PM</t>
  </si>
  <si>
    <t xml:space="preserve">Keila Ramirez Palomino</t>
  </si>
  <si>
    <t xml:space="preserve">Elienai</t>
  </si>
  <si>
    <t xml:space="preserve">elienaicastillozaldivar@gmail.com, mailinballesterriverrra@gmail.com</t>
  </si>
  <si>
    <t xml:space="preserve">08/03/2026 11:21AM</t>
  </si>
  <si>
    <t xml:space="preserve">Yoel Alexander Pino Segura</t>
  </si>
  <si>
    <t xml:space="preserve">pinosegurayoel@gmail.com</t>
  </si>
  <si>
    <t xml:space="preserve">07/03/2026 6:23AM</t>
  </si>
  <si>
    <t xml:space="preserve">Roberto Leandro Dominguez Gouyonnet</t>
  </si>
  <si>
    <t xml:space="preserve">robertogouyonnet37@gmail.com</t>
  </si>
  <si>
    <t xml:space="preserve">09/03/2026 9:33AM</t>
  </si>
  <si>
    <t xml:space="preserve">Yoenni Matos Pascual</t>
  </si>
  <si>
    <t xml:space="preserve">yoennimp91@gmail.com</t>
  </si>
  <si>
    <t xml:space="preserve">09/03/2026 9:48AM</t>
  </si>
  <si>
    <t xml:space="preserve">Jorge Dayron Mendez Maynard</t>
  </si>
  <si>
    <t xml:space="preserve">jorgedayron542@gmail.com</t>
  </si>
  <si>
    <t xml:space="preserve">10/03/2026 10:06AM</t>
  </si>
  <si>
    <t xml:space="preserve">Orestes Gonzalez Hernandez</t>
  </si>
  <si>
    <t xml:space="preserve">orestegonzalez1969@gmail.</t>
  </si>
  <si>
    <t xml:space="preserve">10/03/2026 10:09AM</t>
  </si>
  <si>
    <t xml:space="preserve">Magyury Hernandez Perez</t>
  </si>
  <si>
    <t xml:space="preserve">magyuryhernandezperez@gmail.com</t>
  </si>
  <si>
    <t xml:space="preserve">10/03/2026 10:11AM</t>
  </si>
  <si>
    <t xml:space="preserve">Roberto Janet Durruty</t>
  </si>
  <si>
    <t xml:space="preserve">robertojanetdurruthy7802@gmail.com</t>
  </si>
  <si>
    <t xml:space="preserve">09/03/2026 06:36PM</t>
  </si>
  <si>
    <t xml:space="preserve">Yosniel Abrines Maseda</t>
  </si>
  <si>
    <t xml:space="preserve">Yosniel Abrines</t>
  </si>
  <si>
    <t xml:space="preserve">Yosnielabrines4@gmail.com</t>
  </si>
  <si>
    <t xml:space="preserve">09/03/2026 10:19AM</t>
  </si>
  <si>
    <t xml:space="preserve">09/03/2026 10:49AM</t>
  </si>
  <si>
    <t xml:space="preserve">Leodan Avila</t>
  </si>
  <si>
    <t xml:space="preserve">Daniela Reyes</t>
  </si>
  <si>
    <t xml:space="preserve">10/03/2026 10:46AM</t>
  </si>
  <si>
    <t xml:space="preserve">Geidis Ramirez Montero</t>
  </si>
  <si>
    <t xml:space="preserve">geidisramirez@gmail.com</t>
  </si>
  <si>
    <t xml:space="preserve">10/03/2026 10:57AM</t>
  </si>
  <si>
    <t xml:space="preserve">Pedro Garces Arcia</t>
  </si>
  <si>
    <t xml:space="preserve">dulcearciavinent@gmil.com</t>
  </si>
  <si>
    <t xml:space="preserve">10/03/2026 12:31PM</t>
  </si>
  <si>
    <t xml:space="preserve">Darlenis Eugenia Prado Ladron de Gueva</t>
  </si>
  <si>
    <t xml:space="preserve">Eliamdris</t>
  </si>
  <si>
    <t xml:space="preserve">eliandrisgamez@gmail.com</t>
  </si>
  <si>
    <t xml:space="preserve">10/03/2026 2:30PM</t>
  </si>
  <si>
    <t xml:space="preserve">Kelly Cristiane Goncalves</t>
  </si>
  <si>
    <t xml:space="preserve">Rayme Ronda González</t>
  </si>
  <si>
    <t xml:space="preserve">rayme.ronda@gmail.com</t>
  </si>
  <si>
    <t xml:space="preserve">10/03/2026 4:17PM</t>
  </si>
  <si>
    <t xml:space="preserve">Ricardo Gonzalez Korets</t>
  </si>
  <si>
    <t xml:space="preserve">semo.fajardo@gmail.com</t>
  </si>
  <si>
    <t xml:space="preserve">10/03/2026 4:22PM</t>
  </si>
  <si>
    <t xml:space="preserve">Adrian Rizco Utria</t>
  </si>
  <si>
    <t xml:space="preserve">rizcoadrian@gmail.com, mejiascaballerosuselmaite@gmail.com</t>
  </si>
  <si>
    <t xml:space="preserve">10/03/2026 4:30PM</t>
  </si>
  <si>
    <t xml:space="preserve">10/03/2026 4:53PM</t>
  </si>
  <si>
    <t xml:space="preserve">Dairon de la Paz Leyva</t>
  </si>
  <si>
    <t xml:space="preserve">ddelapazleyva@gmail.com</t>
  </si>
  <si>
    <t xml:space="preserve">10/03/2026 5:55PM</t>
  </si>
  <si>
    <t xml:space="preserve">10/03/2026 10:35PM</t>
  </si>
  <si>
    <t xml:space="preserve">10/03/2026 10:41PM</t>
  </si>
  <si>
    <t xml:space="preserve">Roberto Sanchez Carrero</t>
  </si>
  <si>
    <t xml:space="preserve">Melissa Garcia de la Torre</t>
  </si>
  <si>
    <t xml:space="preserve">melisagt760@gmail.com</t>
  </si>
  <si>
    <t xml:space="preserve">10/03/2026 9:28AM</t>
  </si>
  <si>
    <t xml:space="preserve">Diuver Gonzalez Carmenaty</t>
  </si>
  <si>
    <t xml:space="preserve">Yoel Enrique Montes de Oca Acosta</t>
  </si>
  <si>
    <t xml:space="preserve">10/03/2026 9:39AM</t>
  </si>
  <si>
    <t xml:space="preserve">Nereida Marquez Heredia</t>
  </si>
  <si>
    <t xml:space="preserve">Nereida Márquez Heredia</t>
  </si>
  <si>
    <t xml:space="preserve">nereidamarquez557@gmail.com</t>
  </si>
  <si>
    <t xml:space="preserve">11/03/2026 9:42AM</t>
  </si>
  <si>
    <t xml:space="preserve">Lucas Gabriel Alves</t>
  </si>
  <si>
    <t xml:space="preserve">Vladimir Coronado Romero</t>
  </si>
  <si>
    <t xml:space="preserve">vladimirbolokk@gmail.com</t>
  </si>
  <si>
    <t xml:space="preserve">10/03/2026 9:53AM</t>
  </si>
  <si>
    <t xml:space="preserve">Yhoan Manuel Toledo</t>
  </si>
  <si>
    <t xml:space="preserve">yohantoledo92@gmail.com</t>
  </si>
  <si>
    <t xml:space="preserve">10/03/2026 10:05PM</t>
  </si>
  <si>
    <t xml:space="preserve">11/03/2026 10:52AM</t>
  </si>
  <si>
    <t xml:space="preserve">Yessika Quintana Fraga</t>
  </si>
  <si>
    <t xml:space="preserve">Jessika Quintana Fraga</t>
  </si>
  <si>
    <t xml:space="preserve">jess.quintana87@gmail.com</t>
  </si>
  <si>
    <t xml:space="preserve">10/03/2026 07:07PM</t>
  </si>
  <si>
    <t xml:space="preserve">ANA IRMA NARANJO PEREZ</t>
  </si>
  <si>
    <t xml:space="preserve">ANA IRMA NARANJOPEREZ</t>
  </si>
  <si>
    <t xml:space="preserve">..</t>
  </si>
  <si>
    <t xml:space="preserve">10/03/2026 03:29PM</t>
  </si>
  <si>
    <t xml:space="preserve">Jose Luis Machuat</t>
  </si>
  <si>
    <t xml:space="preserve">REN. PAS. CUB.</t>
  </si>
  <si>
    <t xml:space="preserve">11/03/2026 12:42PM</t>
  </si>
  <si>
    <t xml:space="preserve">Luis Manuel Rivero Romero</t>
  </si>
  <si>
    <t xml:space="preserve">Bárbara Fernandez Gonzale</t>
  </si>
  <si>
    <t xml:space="preserve">11/03/2026 12:45PM</t>
  </si>
  <si>
    <t xml:space="preserve">Aida Napoles Peralta</t>
  </si>
  <si>
    <t xml:space="preserve">Aida Napoles Peralta/Osmel</t>
  </si>
  <si>
    <t xml:space="preserve">osmelmontalvonapoles1@gmail.com</t>
  </si>
  <si>
    <t xml:space="preserve">11/03/2026 1:04PM</t>
  </si>
  <si>
    <t xml:space="preserve">Yalicia Pompa Román</t>
  </si>
  <si>
    <t xml:space="preserve">yaliciaroman88@gmail.com</t>
  </si>
  <si>
    <t xml:space="preserve">11/03/2026 2:49PM</t>
  </si>
  <si>
    <t xml:space="preserve">Rosa Fernandez Ruiz</t>
  </si>
  <si>
    <t xml:space="preserve">ROSA Fernandez Ruiz</t>
  </si>
  <si>
    <t xml:space="preserve">fernandezruizrosa99@gmail.com</t>
  </si>
  <si>
    <t xml:space="preserve">11/03/2026 3:16PM</t>
  </si>
  <si>
    <t xml:space="preserve">11/03/2026 3:21PM</t>
  </si>
  <si>
    <t xml:space="preserve">Jorlam Lavalle Mustelier</t>
  </si>
  <si>
    <t xml:space="preserve">jorlamlavallemustelier@gmail.com</t>
  </si>
  <si>
    <t xml:space="preserve">11/03/2026 3:32PM</t>
  </si>
  <si>
    <t xml:space="preserve">Dayan Morgado Espinosa</t>
  </si>
  <si>
    <t xml:space="preserve">Dayan Morgado espinosa</t>
  </si>
  <si>
    <t xml:space="preserve">daikemorgado7@gmail.com</t>
  </si>
  <si>
    <t xml:space="preserve">11/03/2026 3:55PM</t>
  </si>
  <si>
    <t xml:space="preserve">Jorge Alejandro Sablon</t>
  </si>
  <si>
    <t xml:space="preserve">Alexis PedroTamayo</t>
  </si>
  <si>
    <t xml:space="preserve">11/03/2026 5:03PM</t>
  </si>
  <si>
    <t xml:space="preserve">Alexander Arturo Rojas Polo</t>
  </si>
  <si>
    <t xml:space="preserve">alexanderrojaspolo185@gmail.com</t>
  </si>
  <si>
    <t xml:space="preserve">Dianey de la Caridad Manso Villegas</t>
  </si>
  <si>
    <t xml:space="preserve">msodiani5@gmail.com, anibalgonzalezfernandez1@gmail.com</t>
  </si>
  <si>
    <t xml:space="preserve">Fabiana Cristina de souza</t>
  </si>
  <si>
    <t xml:space="preserve">Mercy Quintana</t>
  </si>
  <si>
    <t xml:space="preserve">quintanamercy847@gmail.com</t>
  </si>
  <si>
    <t xml:space="preserve">Ana Margarita Montagne</t>
  </si>
  <si>
    <t xml:space="preserve">Darianny Gonsalez Lopez</t>
  </si>
  <si>
    <t xml:space="preserve">dariannygonzalezlopez86@gmail.com</t>
  </si>
  <si>
    <t xml:space="preserve">12/03/2026 9:25AM</t>
  </si>
  <si>
    <t xml:space="preserve">Amado Leiva Espinosa</t>
  </si>
  <si>
    <t xml:space="preserve">amadoleivaespinosa1969@gmail.com</t>
  </si>
  <si>
    <t xml:space="preserve">Alcibiades Santiesteban Sanchez</t>
  </si>
  <si>
    <t xml:space="preserve">alcibiadesanches@gmail.com</t>
  </si>
  <si>
    <t xml:space="preserve">Alietty Montenegro Parapar</t>
  </si>
  <si>
    <t xml:space="preserve">alietty0312@gmail.com</t>
  </si>
  <si>
    <t xml:space="preserve">12/03/2026 10:35AM</t>
  </si>
  <si>
    <t xml:space="preserve">Vivian Rodriguez Agras</t>
  </si>
  <si>
    <t xml:space="preserve">vrodriguezagras@gmail.com</t>
  </si>
  <si>
    <t xml:space="preserve">12/03/2026 10:40AM</t>
  </si>
  <si>
    <t xml:space="preserve">Susana Olivera Leyva</t>
  </si>
  <si>
    <t xml:space="preserve">Yadna González Brito</t>
  </si>
  <si>
    <t xml:space="preserve">yadna1984@gmail.com</t>
  </si>
  <si>
    <t xml:space="preserve">12/03/2026 11:02AM</t>
  </si>
  <si>
    <t xml:space="preserve">Ana Isabel Viñas Chirino</t>
  </si>
  <si>
    <t xml:space="preserve">anyvinas85@gmail.com</t>
  </si>
  <si>
    <t xml:space="preserve">11/03/2026 9:19PM</t>
  </si>
  <si>
    <t xml:space="preserve">Yovanis Durand Castillo</t>
  </si>
  <si>
    <t xml:space="preserve">yovanisdurand@gmail.com</t>
  </si>
  <si>
    <t xml:space="preserve">12/03/2026 10:45AM</t>
  </si>
  <si>
    <t xml:space="preserve">Milba Fonseca Martinez</t>
  </si>
  <si>
    <t xml:space="preserve">Eddys Mengana</t>
  </si>
  <si>
    <t xml:space="preserve">eddymengana1@gmail.com</t>
  </si>
  <si>
    <t xml:space="preserve">12/03/2026 11:54AM</t>
  </si>
  <si>
    <t xml:space="preserve">Yandry Perez Rodriguez</t>
  </si>
  <si>
    <t xml:space="preserve">yandryperez990@gmail.com</t>
  </si>
  <si>
    <t xml:space="preserve">12/03/2026 12:01PM</t>
  </si>
  <si>
    <t xml:space="preserve">Ricardo Diaz Crespo</t>
  </si>
  <si>
    <t xml:space="preserve">rd310558@gmail.com</t>
  </si>
  <si>
    <t xml:space="preserve">12/03/2026 12:10PM</t>
  </si>
  <si>
    <t xml:space="preserve">ELIANYS RODRIGUEZ ROQUE</t>
  </si>
  <si>
    <t xml:space="preserve">Elianys</t>
  </si>
  <si>
    <t xml:space="preserve">12/03/2026 12:27PM</t>
  </si>
  <si>
    <t xml:space="preserve">Ana Celia Toledo Oquendo</t>
  </si>
  <si>
    <t xml:space="preserve">anaceliat237@gmail.com</t>
  </si>
  <si>
    <t xml:space="preserve">12/03/2026 12:49PM</t>
  </si>
  <si>
    <t xml:space="preserve">Leonel Mendoza Marino</t>
  </si>
  <si>
    <t xml:space="preserve">lianelamendozalao@gmail.com</t>
  </si>
  <si>
    <t xml:space="preserve">12/03/2026 12:54PM</t>
  </si>
  <si>
    <t xml:space="preserve">12/03/2026 1:07PM</t>
  </si>
  <si>
    <t xml:space="preserve">12/03/2026 1:20PM</t>
  </si>
  <si>
    <t xml:space="preserve">Yosney Chapeau Cruz</t>
  </si>
  <si>
    <t xml:space="preserve">yosneychapeauxcruz@gmail.com</t>
  </si>
  <si>
    <t xml:space="preserve">12/03/2026 2:20PM</t>
  </si>
  <si>
    <t xml:space="preserve">Reylandi Lantigua Garcia</t>
  </si>
  <si>
    <t xml:space="preserve">12/03/2026 3:35PM</t>
  </si>
  <si>
    <t xml:space="preserve">Alexander Ramos Lugo</t>
  </si>
  <si>
    <t xml:space="preserve">Yosbel</t>
  </si>
  <si>
    <t xml:space="preserve">Aguiaryosbel@gmail.com</t>
  </si>
  <si>
    <t xml:space="preserve">BOLIVIA</t>
  </si>
  <si>
    <t xml:space="preserve">12/03/2026 4:19PM</t>
  </si>
  <si>
    <t xml:space="preserve">ANGEL EDEL AVILA VELAZQUEZ</t>
  </si>
  <si>
    <t xml:space="preserve">angeledel0108@gmail.comv</t>
  </si>
  <si>
    <t xml:space="preserve">12/03/2026 4:24PM</t>
  </si>
  <si>
    <t xml:space="preserve">12/03/2026 5:14PM</t>
  </si>
  <si>
    <t xml:space="preserve">Yuniet Arevalo Munoz</t>
  </si>
  <si>
    <t xml:space="preserve">Yuniet Arevalo Muñoz</t>
  </si>
  <si>
    <t xml:space="preserve">Yunietarevalo912@gmail.com</t>
  </si>
  <si>
    <t xml:space="preserve">12/03/2026 5:32PM</t>
  </si>
  <si>
    <t xml:space="preserve">Beatriz Cordivi Chávez</t>
  </si>
  <si>
    <t xml:space="preserve">alfonsoguerra2407@gmail.com</t>
  </si>
  <si>
    <t xml:space="preserve">12/03/2026 5:40PM</t>
  </si>
  <si>
    <t xml:space="preserve">René Miguel Dopico Chavez</t>
  </si>
  <si>
    <t xml:space="preserve">renemigueldopicochavez@gmail.com</t>
  </si>
  <si>
    <t xml:space="preserve">12/03/2026 5:52PM</t>
  </si>
  <si>
    <t xml:space="preserve">Yoan Manuel Hernandez</t>
  </si>
  <si>
    <t xml:space="preserve">Yoan.liki@gmail.com</t>
  </si>
  <si>
    <t xml:space="preserve">12/03/2026 7:18PM</t>
  </si>
  <si>
    <t xml:space="preserve">Aidel Ulloa Martín</t>
  </si>
  <si>
    <t xml:space="preserve">ulloaleonismael@gmail.com</t>
  </si>
  <si>
    <t xml:space="preserve">12/03/2026 7:21PM</t>
  </si>
  <si>
    <t xml:space="preserve">YUNISLEYDI RIVERO GARCIA</t>
  </si>
  <si>
    <t xml:space="preserve">Yunisleydis Rivero</t>
  </si>
  <si>
    <t xml:space="preserve">yunisleydidr1985@gmail.com</t>
  </si>
  <si>
    <t xml:space="preserve">13/03/2026 9:55AM</t>
  </si>
  <si>
    <t xml:space="preserve">YOSNEL MARTINEZ DIAZ</t>
  </si>
  <si>
    <t xml:space="preserve">Dayana Avila Molina</t>
  </si>
  <si>
    <t xml:space="preserve">dayana1808molina@gmail.com</t>
  </si>
  <si>
    <t xml:space="preserve">12/03/2026 3:47PM</t>
  </si>
  <si>
    <t xml:space="preserve">13/03/2026 10:28AM</t>
  </si>
  <si>
    <t xml:space="preserve">Maritza Castañeda Ge</t>
  </si>
  <si>
    <t xml:space="preserve">maritzacastaned@outlook.com</t>
  </si>
  <si>
    <t xml:space="preserve">13/03/2026 10:43AM</t>
  </si>
  <si>
    <t xml:space="preserve">Lenia Carida R Figueredo</t>
  </si>
  <si>
    <t xml:space="preserve">Osmar Abel Poll Morales</t>
  </si>
  <si>
    <t xml:space="preserve">Omarpoll755@gmail.com</t>
  </si>
  <si>
    <t xml:space="preserve">12/03/2026 6:06PM</t>
  </si>
  <si>
    <t xml:space="preserve">Dariel Valera Perez</t>
  </si>
  <si>
    <t xml:space="preserve">Dariel</t>
  </si>
  <si>
    <t xml:space="preserve">valeraperezdariel@gmail.com</t>
  </si>
  <si>
    <t xml:space="preserve">13/03/2026 12:02PM</t>
  </si>
  <si>
    <t xml:space="preserve">Yarianni Oquendo Urgelles</t>
  </si>
  <si>
    <t xml:space="preserve">yariannioquendourgelles@gmail.com</t>
  </si>
  <si>
    <t xml:space="preserve">13/03/2026 12:21PM</t>
  </si>
  <si>
    <t xml:space="preserve">Josiel Rodriguez Sierra</t>
  </si>
  <si>
    <t xml:space="preserve">josiel51120@gmail.com</t>
  </si>
  <si>
    <t xml:space="preserve">13/03/2026 2:21PM</t>
  </si>
  <si>
    <t xml:space="preserve">Mirledis Justiz Agramonte</t>
  </si>
  <si>
    <t xml:space="preserve">AD10 - RES. PMT.</t>
  </si>
  <si>
    <t xml:space="preserve">13/03/2026 2:29PM</t>
  </si>
  <si>
    <t xml:space="preserve">Diosvani Gonzales Arcos</t>
  </si>
  <si>
    <t xml:space="preserve">13/03/2026 3:01PM</t>
  </si>
  <si>
    <t xml:space="preserve">liaromero2008@gmail.com</t>
  </si>
  <si>
    <t xml:space="preserve">13/03/2026 3:13PM</t>
  </si>
  <si>
    <t xml:space="preserve">MAIBEL SANCHEZ PENA</t>
  </si>
  <si>
    <t xml:space="preserve">Lisset Bravo Muchuli</t>
  </si>
  <si>
    <t xml:space="preserve">lissetbravomuchuli87@gmail.com</t>
  </si>
  <si>
    <t xml:space="preserve">13/03/2026 3:15PM</t>
  </si>
  <si>
    <t xml:space="preserve">Alain Ramos Martin</t>
  </si>
  <si>
    <t xml:space="preserve">Deynis D  Echemendia Done</t>
  </si>
  <si>
    <t xml:space="preserve">deynis76@gmail.com</t>
  </si>
  <si>
    <t xml:space="preserve">13/03/2026 4:00PM</t>
  </si>
  <si>
    <t xml:space="preserve">MEIVIS DIAZ lAZO</t>
  </si>
  <si>
    <t xml:space="preserve">Pedro Jorge Gonzalez Acosta</t>
  </si>
  <si>
    <t xml:space="preserve">miameypedro@gmail.com</t>
  </si>
  <si>
    <t xml:space="preserve">Yanior Enrique Serrano Maso</t>
  </si>
  <si>
    <t xml:space="preserve">serranoyanior3@gmail.com</t>
  </si>
  <si>
    <t xml:space="preserve">13/03/2026 4:34PM</t>
  </si>
  <si>
    <t xml:space="preserve">Isabel Elvira Hechavarria Hernandez</t>
  </si>
  <si>
    <t xml:space="preserve">Bela/Royland Court</t>
  </si>
  <si>
    <t xml:space="preserve">13/03/2026 4:49PM</t>
  </si>
  <si>
    <t xml:space="preserve">Agustin Alayo Rivera</t>
  </si>
  <si>
    <t xml:space="preserve">Agustín Alayo Rivera</t>
  </si>
  <si>
    <t xml:space="preserve">13/03/2026 5:27PM</t>
  </si>
  <si>
    <t xml:space="preserve">Raima Hidalgo Rodriguez</t>
  </si>
  <si>
    <t xml:space="preserve">Rayma Hidalgo Rodriguez</t>
  </si>
  <si>
    <t xml:space="preserve">magañaorlando325@gmail.com</t>
  </si>
  <si>
    <t xml:space="preserve">12/03/2026 8:53PM</t>
  </si>
  <si>
    <t xml:space="preserve">Neivis Villavicencio</t>
  </si>
  <si>
    <t xml:space="preserve">Rony Roca Diaz/Neivis</t>
  </si>
  <si>
    <t xml:space="preserve">13/03/2026 9:55PM</t>
  </si>
  <si>
    <t xml:space="preserve">Ana Iris Wester Suárez</t>
  </si>
  <si>
    <t xml:space="preserve">13/03/2026 11:19AM</t>
  </si>
  <si>
    <t xml:space="preserve">Willian Zamora Galan</t>
  </si>
  <si>
    <t xml:space="preserve">willianzamoragalan51@gmail.com</t>
  </si>
  <si>
    <t xml:space="preserve">14/03/2026 11:41AM</t>
  </si>
  <si>
    <t xml:space="preserve">YUNIER MARTINEZ CHAVEZ</t>
  </si>
  <si>
    <t xml:space="preserve">Yunier Martinez Chavez</t>
  </si>
  <si>
    <t xml:space="preserve">yunier07martinez@gmail.com</t>
  </si>
  <si>
    <t xml:space="preserve">13/03/2026 12:26PM</t>
  </si>
  <si>
    <t xml:space="preserve">Miguel Alejandro Trenal Ladrón de Guevara</t>
  </si>
  <si>
    <t xml:space="preserve">miguelt8207@gmail.com</t>
  </si>
  <si>
    <t xml:space="preserve">13/03/2026 12:38PM</t>
  </si>
  <si>
    <t xml:space="preserve">Elio Alberto Tamayo Garcia</t>
  </si>
  <si>
    <t xml:space="preserve">eliotamayogarcia10@gmail.com</t>
  </si>
  <si>
    <t xml:space="preserve">13/03/2026 1:09PM</t>
  </si>
  <si>
    <t xml:space="preserve">Victor Manuel Marquez Rodriguez</t>
  </si>
  <si>
    <t xml:space="preserve">tatianamarinorodriguez5@gmail.com</t>
  </si>
  <si>
    <t xml:space="preserve">14/03/2026 1:14PM</t>
  </si>
  <si>
    <t xml:space="preserve">José Antonio Concepción Suárez</t>
  </si>
  <si>
    <t xml:space="preserve">concepcionsuarezjose@gmail.com</t>
  </si>
  <si>
    <t xml:space="preserve">14/03/2026 2:59PM</t>
  </si>
  <si>
    <t xml:space="preserve">Jose Manuel Reyes Gozalez</t>
  </si>
  <si>
    <t xml:space="preserve">Neuris Oriel Ruiz</t>
  </si>
  <si>
    <t xml:space="preserve">NEURIS1998@GMAIL.COM</t>
  </si>
  <si>
    <t xml:space="preserve">14/03/2026 11:47AM</t>
  </si>
  <si>
    <t xml:space="preserve">DARIEL VALERA PEREZ</t>
  </si>
  <si>
    <t xml:space="preserve">16/03/2026 9:19AM</t>
  </si>
  <si>
    <t xml:space="preserve">Yoel Pacheco Dávila</t>
  </si>
  <si>
    <t xml:space="preserve">arieldejesuspacheco@gmail.com</t>
  </si>
  <si>
    <t xml:space="preserve">16/03/2026 10:52AM</t>
  </si>
  <si>
    <t xml:space="preserve">Roydel Eduardo García Fiffe</t>
  </si>
  <si>
    <t xml:space="preserve">roydelfiffe96@gmail.com</t>
  </si>
  <si>
    <t xml:space="preserve">16/03/2026 10:53AM</t>
  </si>
  <si>
    <t xml:space="preserve">Aylin Chirino Perez</t>
  </si>
  <si>
    <t xml:space="preserve">chirinoaylin529@gmail.com</t>
  </si>
  <si>
    <t xml:space="preserve">14/03/2026 12:07PM</t>
  </si>
  <si>
    <t xml:space="preserve">Eleodoro Roberto Basulto Basulto</t>
  </si>
  <si>
    <t xml:space="preserve">15/03/2026 11:22AM</t>
  </si>
  <si>
    <t xml:space="preserve">Olga Lidia Guerra Chavez</t>
  </si>
  <si>
    <t xml:space="preserve">Olgagch95@gmail.com</t>
  </si>
  <si>
    <t xml:space="preserve">16/03/2026 11:24AM</t>
  </si>
  <si>
    <t xml:space="preserve">Reinaldo Collado Ayala</t>
  </si>
  <si>
    <t xml:space="preserve">reinaldocollado.2022@gmail.com</t>
  </si>
  <si>
    <t xml:space="preserve">15/03/2026 11:35AM</t>
  </si>
  <si>
    <t xml:space="preserve">16/03/2026 11:53AM</t>
  </si>
  <si>
    <t xml:space="preserve">Yainelys Domínguez Alemán</t>
  </si>
  <si>
    <t xml:space="preserve">iraudi29@gmail.com</t>
  </si>
  <si>
    <t xml:space="preserve">16/03/2026 12:00PM</t>
  </si>
  <si>
    <t xml:space="preserve">Osmay Carbonell</t>
  </si>
  <si>
    <t xml:space="preserve">osmaycarbonellcabrera@gmail.com</t>
  </si>
  <si>
    <t xml:space="preserve">16/03/2026 12:10PM</t>
  </si>
  <si>
    <t xml:space="preserve">Yuremys Gonzales Diaz</t>
  </si>
  <si>
    <t xml:space="preserve">Stefani de la Caridad González García</t>
  </si>
  <si>
    <t xml:space="preserve">stefaniglez99@gmail.com</t>
  </si>
  <si>
    <t xml:space="preserve">Eduardo Tamayo leyva</t>
  </si>
  <si>
    <t xml:space="preserve">Rosa Maria Diaz Rodriguez</t>
  </si>
  <si>
    <t xml:space="preserve">rosamariadiasrodriguez6@gmail.com</t>
  </si>
  <si>
    <t xml:space="preserve">16/03/2026 12:49PM</t>
  </si>
  <si>
    <t xml:space="preserve">EFECTIVO</t>
  </si>
  <si>
    <t xml:space="preserve">CNH X FLORIPA</t>
  </si>
  <si>
    <t xml:space="preserve">Roberto Parra</t>
  </si>
  <si>
    <t xml:space="preserve">16/03/2026 2:43PM</t>
  </si>
  <si>
    <t xml:space="preserve">Junet Castro Ramos</t>
  </si>
  <si>
    <t xml:space="preserve">yunetcastro894@gmail.com</t>
  </si>
  <si>
    <t xml:space="preserve">21/03/2026 7:14PM</t>
  </si>
  <si>
    <t xml:space="preserve">16/03/2026 4:34PM</t>
  </si>
  <si>
    <t xml:space="preserve">Marilin Gonzalez Ricardo</t>
  </si>
  <si>
    <t xml:space="preserve">Marilin Gonzalez Ricardo/Arael angel</t>
  </si>
  <si>
    <t xml:space="preserve">jesusalbertogonzalezmorciego@gmail.com</t>
  </si>
  <si>
    <t xml:space="preserve">16/03/2026 4:55PM</t>
  </si>
  <si>
    <t xml:space="preserve">Andy Borroto Roche</t>
  </si>
  <si>
    <t xml:space="preserve">andyborroto33@gmail.com</t>
  </si>
  <si>
    <t xml:space="preserve">16/03/2026 5:30PM</t>
  </si>
  <si>
    <t xml:space="preserve">ARMANDO MARIO HERNANDEZ CARMENATE</t>
  </si>
  <si>
    <t xml:space="preserve">Yoamne</t>
  </si>
  <si>
    <t xml:space="preserve">armandomario2019@gmail</t>
  </si>
  <si>
    <t xml:space="preserve">16/03/2026 5:39PM</t>
  </si>
  <si>
    <t xml:space="preserve">16/03/2026 6:00PM</t>
  </si>
  <si>
    <t xml:space="preserve">José Miguel Segura Martinez</t>
  </si>
  <si>
    <t xml:space="preserve">migue.segura900913@gmail.com</t>
  </si>
  <si>
    <t xml:space="preserve">16/03/2026 6:11PM</t>
  </si>
  <si>
    <t xml:space="preserve">Keity Pelier Dominguez</t>
  </si>
  <si>
    <t xml:space="preserve">Keity</t>
  </si>
  <si>
    <t xml:space="preserve">Pelierdominguezkeity@gmail.com</t>
  </si>
  <si>
    <t xml:space="preserve">16/03/2026 8:20PM</t>
  </si>
  <si>
    <t xml:space="preserve">Emilio Rodríguez González</t>
  </si>
  <si>
    <t xml:space="preserve">miliomili38@gmail.com</t>
  </si>
  <si>
    <t xml:space="preserve">16/03/2026 9:21PM</t>
  </si>
  <si>
    <t xml:space="preserve">Aylin Lugones Gonzalez</t>
  </si>
  <si>
    <t xml:space="preserve">aylinlugones82@gmail.com</t>
  </si>
  <si>
    <t xml:space="preserve">16/03/2026 10:08PM</t>
  </si>
  <si>
    <t xml:space="preserve">Osmany Hernandez del Sol</t>
  </si>
  <si>
    <t xml:space="preserve">hernandezosmany933@gmail.com</t>
  </si>
  <si>
    <t xml:space="preserve">17/03/2026 9:30AM</t>
  </si>
  <si>
    <t xml:space="preserve">Maria Julia Kindelan Suarez</t>
  </si>
  <si>
    <t xml:space="preserve">juliakindelan@gmail.com</t>
  </si>
  <si>
    <t xml:space="preserve">17/03/2026 10:17AM</t>
  </si>
  <si>
    <t xml:space="preserve">Jose Afonso Ramos</t>
  </si>
  <si>
    <t xml:space="preserve">Cristofer González Quintosa</t>
  </si>
  <si>
    <t xml:space="preserve">cristofergonzalez18cg@gmail.com</t>
  </si>
  <si>
    <t xml:space="preserve">17/03/2026 10:54AM</t>
  </si>
  <si>
    <t xml:space="preserve">Maiquel Toledo Capote</t>
  </si>
  <si>
    <t xml:space="preserve">mcapote1985@gmail.com</t>
  </si>
  <si>
    <t xml:space="preserve">17/03/2026 2:33PM</t>
  </si>
  <si>
    <t xml:space="preserve">Edmilson Viana</t>
  </si>
  <si>
    <t xml:space="preserve">Sandra Mesa Rizo</t>
  </si>
  <si>
    <t xml:space="preserve">anitarizo88@gmail.com</t>
  </si>
  <si>
    <t xml:space="preserve">17/03/2026 3:05PM</t>
  </si>
  <si>
    <t xml:space="preserve">Vladimir Orta Brunet</t>
  </si>
  <si>
    <t xml:space="preserve">ortavladimir06@gmail.com</t>
  </si>
  <si>
    <t xml:space="preserve">17/03/2026 3:16PM</t>
  </si>
  <si>
    <t xml:space="preserve">Glismari Mesa Aguilar</t>
  </si>
  <si>
    <t xml:space="preserve">[INT][WA-2139][TRA][CUB][CON][ADV+][F]RES.PMT.</t>
  </si>
  <si>
    <t xml:space="preserve">AD01-RES.PMT.</t>
  </si>
  <si>
    <t xml:space="preserve">17/03/2026 3:27PM</t>
  </si>
  <si>
    <t xml:space="preserve">Pablo Alain Toscano Reyes</t>
  </si>
  <si>
    <t xml:space="preserve">pabloalain61@gmail.com</t>
  </si>
  <si>
    <t xml:space="preserve">17/03/2026 5:11PM</t>
  </si>
  <si>
    <t xml:space="preserve">Yudith Zapata Terrero</t>
  </si>
  <si>
    <t xml:space="preserve">zyudith02@gmail.com</t>
  </si>
  <si>
    <t xml:space="preserve">17/03/2026 5:24PM</t>
  </si>
  <si>
    <t xml:space="preserve">Lenia Caridad Figueredo</t>
  </si>
  <si>
    <t xml:space="preserve">Alvaro Matos Limonta</t>
  </si>
  <si>
    <t xml:space="preserve">17/03/2026 9:02PM</t>
  </si>
  <si>
    <t xml:space="preserve">17/03/2026 9:24PM</t>
  </si>
  <si>
    <t xml:space="preserve">Roberto Leon Folgoso</t>
  </si>
  <si>
    <t xml:space="preserve">robertorobertoleonfolgoso@gmail.com</t>
  </si>
  <si>
    <t xml:space="preserve">16/03/2026 10:11AM</t>
  </si>
  <si>
    <t xml:space="preserve">Julian González Velázquez</t>
  </si>
  <si>
    <t xml:space="preserve">juliangv870216@gmail.com</t>
  </si>
  <si>
    <t xml:space="preserve">18/03/2026 12:58PM</t>
  </si>
  <si>
    <t xml:space="preserve">Yobany Molina</t>
  </si>
  <si>
    <t xml:space="preserve">yobanymr79@gmail.com</t>
  </si>
  <si>
    <t xml:space="preserve">18/03/2026 11:39AM</t>
  </si>
  <si>
    <t xml:space="preserve">Mariannis Norat Suarez</t>
  </si>
  <si>
    <t xml:space="preserve">mn9073785@gmail.com</t>
  </si>
  <si>
    <t xml:space="preserve">18/03/2026 2:18PM</t>
  </si>
  <si>
    <t xml:space="preserve">Roelsi Roja Leyva</t>
  </si>
  <si>
    <t xml:space="preserve">roelsirojaleiba@gmail.com</t>
  </si>
  <si>
    <t xml:space="preserve">18/03/2026 1:18PM</t>
  </si>
  <si>
    <t xml:space="preserve">17/03/2026 5:47PM</t>
  </si>
  <si>
    <t xml:space="preserve">18/03/2026 4:12PM</t>
  </si>
  <si>
    <t xml:space="preserve">LUANDA ZAYAS MARTINEZ</t>
  </si>
  <si>
    <t xml:space="preserve">Luanda Zayas Martínez</t>
  </si>
  <si>
    <t xml:space="preserve">zayasmartinezluanda@gmail.com, alexisplanche67@gmail.com</t>
  </si>
  <si>
    <t xml:space="preserve">16/03/2026 12:42PM</t>
  </si>
  <si>
    <t xml:space="preserve">Elvia Lopez Carmenate</t>
  </si>
  <si>
    <t xml:space="preserve">Elvia López Carmenate</t>
  </si>
  <si>
    <t xml:space="preserve">elvialopezcarmenate@gmail.com, elvialopezcarmenate75@gmail.com</t>
  </si>
  <si>
    <t xml:space="preserve">18/03/2026 9:20AM</t>
  </si>
  <si>
    <t xml:space="preserve">YOENNI SENTIL LAO</t>
  </si>
  <si>
    <t xml:space="preserve">Yoenni</t>
  </si>
  <si>
    <t xml:space="preserve">sentillaoy@gmail.com</t>
  </si>
  <si>
    <t xml:space="preserve">18/03/2026 8:10PM</t>
  </si>
  <si>
    <t xml:space="preserve">GABRIEL FLORENTINO CHOROT DIAZ</t>
  </si>
  <si>
    <t xml:space="preserve">gabrielchorotdiaz@gmail.com</t>
  </si>
  <si>
    <t xml:space="preserve">18/03/2026 6:20PM</t>
  </si>
  <si>
    <t xml:space="preserve">18/03/2026 5:24PM</t>
  </si>
  <si>
    <t xml:space="preserve">Ernesto Pablo Vasquez De Paz</t>
  </si>
  <si>
    <t xml:space="preserve">Ernesto Pablo Vázquez de Paz</t>
  </si>
  <si>
    <t xml:space="preserve">ernestovazquezdepaz@gmail.com</t>
  </si>
  <si>
    <t xml:space="preserve">18/03/2026 8:38PM</t>
  </si>
  <si>
    <t xml:space="preserve">18/03/2026 8:03PM</t>
  </si>
  <si>
    <t xml:space="preserve">Elio AlbertoTamayo Garcia</t>
  </si>
  <si>
    <t xml:space="preserve">18/03/2026 4:41PM</t>
  </si>
  <si>
    <t xml:space="preserve">Dayana Mayo Gámez</t>
  </si>
  <si>
    <t xml:space="preserve">dayanamayo97@gmail.com</t>
  </si>
  <si>
    <t xml:space="preserve">18/03/2026 6:52PM</t>
  </si>
  <si>
    <t xml:space="preserve">Osdaily Aguila Chacon</t>
  </si>
  <si>
    <t xml:space="preserve">Carlos Javier Yera</t>
  </si>
  <si>
    <t xml:space="preserve">yeracarlosjavier@gmail.com</t>
  </si>
  <si>
    <t xml:space="preserve">19/03/2026 10:00AM</t>
  </si>
  <si>
    <t xml:space="preserve">Yanet Vega Mayedo</t>
  </si>
  <si>
    <t xml:space="preserve">vegamayeoyanet@gmail.com</t>
  </si>
  <si>
    <t xml:space="preserve">19/03/2026 10:03AM</t>
  </si>
  <si>
    <t xml:space="preserve">Miralia Cabrela Gonzales</t>
  </si>
  <si>
    <t xml:space="preserve">Katiusca Cabrera González</t>
  </si>
  <si>
    <t xml:space="preserve">19/03/2026 10:06AM</t>
  </si>
  <si>
    <t xml:space="preserve">Osvaldo Fernandez Cruz</t>
  </si>
  <si>
    <t xml:space="preserve">Osvaldo Fernandez</t>
  </si>
  <si>
    <t xml:space="preserve">18/03/2026 12:16PM</t>
  </si>
  <si>
    <t xml:space="preserve">Dayana Arrechea Rodriguez</t>
  </si>
  <si>
    <t xml:space="preserve">dayanatrinidad91@gmail.com</t>
  </si>
  <si>
    <t xml:space="preserve">18/03/2026 8:23PM</t>
  </si>
  <si>
    <t xml:space="preserve">Yiuvan Elena Pino Bringuez</t>
  </si>
  <si>
    <t xml:space="preserve">yivanpino@gmail.com</t>
  </si>
  <si>
    <t xml:space="preserve">18/03/2026 5:48PM</t>
  </si>
  <si>
    <t xml:space="preserve">Dailys Gutierrez Cuervo</t>
  </si>
  <si>
    <t xml:space="preserve">19/03/2026 11:29AM</t>
  </si>
  <si>
    <t xml:space="preserve">Jorge Michel Norona</t>
  </si>
  <si>
    <t xml:space="preserve">Jorge Michel</t>
  </si>
  <si>
    <t xml:space="preserve">jorgemichelcuban@gmail.com</t>
  </si>
  <si>
    <t xml:space="preserve">19/03/2026 11:40AM</t>
  </si>
  <si>
    <t xml:space="preserve">Yuniel Stable</t>
  </si>
  <si>
    <t xml:space="preserve">yuniel.stable91@gmail.com</t>
  </si>
  <si>
    <t xml:space="preserve">19/03/2026 11:43AM</t>
  </si>
  <si>
    <t xml:space="preserve">Randy Perez Ferrer</t>
  </si>
  <si>
    <t xml:space="preserve">Yasmani Yandris Boudet Fernández</t>
  </si>
  <si>
    <t xml:space="preserve">yasmani.yandris@gmail.com</t>
  </si>
  <si>
    <t xml:space="preserve">19/03/2026 12:29PM</t>
  </si>
  <si>
    <t xml:space="preserve">Angel Johan Granela Castillo</t>
  </si>
  <si>
    <t xml:space="preserve">Arlenes Caral Gómez</t>
  </si>
  <si>
    <t xml:space="preserve">angelgranela96@gmail.com, caral.arlenes@gmail.com</t>
  </si>
  <si>
    <t xml:space="preserve">18/03/2026 6:06PM</t>
  </si>
  <si>
    <t xml:space="preserve">NEYDIS CARIDAD VALDEZ DIAZ</t>
  </si>
  <si>
    <t xml:space="preserve">Neydis Caridad Valdez Díaz</t>
  </si>
  <si>
    <t xml:space="preserve">nerynery275@gmail.com</t>
  </si>
  <si>
    <t xml:space="preserve">AD02-RES.PMT.</t>
  </si>
  <si>
    <t xml:space="preserve">19/03/2026 2:26PM</t>
  </si>
  <si>
    <t xml:space="preserve">ELIZABETH MATOS RODRIGUEZ</t>
  </si>
  <si>
    <t xml:space="preserve">Elizabeth Matos</t>
  </si>
  <si>
    <t xml:space="preserve">matoselizabeth799@gmail.com</t>
  </si>
  <si>
    <t xml:space="preserve">19/03/2026 2:33PM</t>
  </si>
  <si>
    <t xml:space="preserve">Dainel Gonzales Ramirez</t>
  </si>
  <si>
    <t xml:space="preserve">fonsecayailet663@gmail.com</t>
  </si>
  <si>
    <t xml:space="preserve">19/03/2026 2:36PM</t>
  </si>
  <si>
    <t xml:space="preserve">Dayron Pérez</t>
  </si>
  <si>
    <t xml:space="preserve">perezdayron98@gmail.com</t>
  </si>
  <si>
    <t xml:space="preserve">19/03/2026 3:19PM</t>
  </si>
  <si>
    <t xml:space="preserve">Josbeny Benitez Alvarez</t>
  </si>
  <si>
    <t xml:space="preserve">josbenybenitezalvarez@gmail.com</t>
  </si>
  <si>
    <t xml:space="preserve">[INT][WA-2139][TRA][CUB][CON][ADV+][F]DES.REF.</t>
  </si>
  <si>
    <t xml:space="preserve">AD04-DES.REF.</t>
  </si>
  <si>
    <t xml:space="preserve">19/03/2026 4:25PM</t>
  </si>
  <si>
    <t xml:space="preserve">Alexander Hidalgo Martinez</t>
  </si>
  <si>
    <t xml:space="preserve">darielbenitezperez1@gmail.com</t>
  </si>
  <si>
    <t xml:space="preserve">19/03/2026 5:13PM</t>
  </si>
  <si>
    <t xml:space="preserve">Saremis Cordero Martinez</t>
  </si>
  <si>
    <t xml:space="preserve">lirianoluqueroberto28@gmail.com</t>
  </si>
  <si>
    <t xml:space="preserve">19/03/2026 11:59PM</t>
  </si>
  <si>
    <t xml:space="preserve">19/03/2026 8:48PM</t>
  </si>
  <si>
    <t xml:space="preserve">Yiuvan Elena Pino Bringuez (Jose Alejandro Torres)</t>
  </si>
  <si>
    <t xml:space="preserve">20/03/2026 9:50AM</t>
  </si>
  <si>
    <t xml:space="preserve">Annia Aniley Barriento</t>
  </si>
  <si>
    <t xml:space="preserve">Amauri Cortina Larrea</t>
  </si>
  <si>
    <t xml:space="preserve">amauricortina845@gmail.com</t>
  </si>
  <si>
    <t xml:space="preserve">20/03/2026 9:57AM</t>
  </si>
  <si>
    <t xml:space="preserve">Lie Martinez Rivera</t>
  </si>
  <si>
    <t xml:space="preserve">Lie Martinez</t>
  </si>
  <si>
    <t xml:space="preserve">liemartinez01@gmail.com</t>
  </si>
  <si>
    <t xml:space="preserve">20/03/2026 9:58AM</t>
  </si>
  <si>
    <t xml:space="preserve">Michel Richard Tamayo Teyes</t>
  </si>
  <si>
    <t xml:space="preserve">mebemaria8209@gmail.com</t>
  </si>
  <si>
    <t xml:space="preserve">20/03/2026 12:27PM</t>
  </si>
  <si>
    <t xml:space="preserve">Beatris del Carme ZZ Bazan</t>
  </si>
  <si>
    <t xml:space="preserve">Beatriz Del Carmen Zaragoza Zayas Bazan</t>
  </si>
  <si>
    <t xml:space="preserve">bzaragoza180@gmail.com</t>
  </si>
  <si>
    <t xml:space="preserve">20/03/2026 3:22PM</t>
  </si>
  <si>
    <t xml:space="preserve">Vladimir Ortiz Cantero</t>
  </si>
  <si>
    <t xml:space="preserve">Alain Daniel</t>
  </si>
  <si>
    <t xml:space="preserve">lopezgomezdanielalain@gmail.com</t>
  </si>
  <si>
    <t xml:space="preserve">19/03/2026 5:45PM</t>
  </si>
  <si>
    <t xml:space="preserve">Helier Padilla Martínez</t>
  </si>
  <si>
    <t xml:space="preserve">helierpadillamartinez@gmail.com</t>
  </si>
  <si>
    <t xml:space="preserve">20/03/2026 4:00PM</t>
  </si>
  <si>
    <t xml:space="preserve">Yusbel Flores Garcia</t>
  </si>
  <si>
    <t xml:space="preserve">floresyusbel6@gmail.com</t>
  </si>
  <si>
    <t xml:space="preserve">[INT][WA-2139][TRA][CUB][CON][ADV+][F] AG. PF.</t>
  </si>
  <si>
    <t xml:space="preserve">AD01 - AG. PF.</t>
  </si>
  <si>
    <t xml:space="preserve">20/03/2026 5:14PM</t>
  </si>
  <si>
    <t xml:space="preserve">Yanet Gonzalez Torres</t>
  </si>
  <si>
    <t xml:space="preserve">Yanetgonzaleztorres1983@gmail.com</t>
  </si>
  <si>
    <t xml:space="preserve">20/03/2026 5:21PM</t>
  </si>
  <si>
    <t xml:space="preserve">Izaias Barbosa Junior</t>
  </si>
  <si>
    <t xml:space="preserve">Yoanny Anate Gonzalez</t>
  </si>
  <si>
    <t xml:space="preserve">yannisanategonzalez684@gmail</t>
  </si>
  <si>
    <t xml:space="preserve">20/03/2026 5:30PM</t>
  </si>
  <si>
    <t xml:space="preserve">Raquel María Díaz Badell</t>
  </si>
  <si>
    <t xml:space="preserve">Raquelmdb933@gmail.com</t>
  </si>
  <si>
    <t xml:space="preserve">20/03/2026 5:37PM</t>
  </si>
  <si>
    <t xml:space="preserve">Yusnely Munoz Bulnes</t>
  </si>
  <si>
    <t xml:space="preserve">yusnelymunoz680@gmail.com</t>
  </si>
  <si>
    <t xml:space="preserve">20/03/2026 6:11PM</t>
  </si>
  <si>
    <t xml:space="preserve">Claudia Oliva Munoz</t>
  </si>
  <si>
    <t xml:space="preserve">clauoliva05@gmail.com</t>
  </si>
  <si>
    <t xml:space="preserve">20/03/2026 6:50PM</t>
  </si>
  <si>
    <t xml:space="preserve">Marcos Pires Antunes</t>
  </si>
  <si>
    <t xml:space="preserve">Nancy Hechavarria Cuello</t>
  </si>
  <si>
    <t xml:space="preserve">nancyhechavarriacuello@gmail.com</t>
  </si>
  <si>
    <t xml:space="preserve">20/03/2026 8:08PM</t>
  </si>
  <si>
    <t xml:space="preserve">Rafael Norberto Plano Grinam</t>
  </si>
  <si>
    <t xml:space="preserve">55 95 8415-9594</t>
  </si>
  <si>
    <t xml:space="preserve">rafael730426@gmail.com</t>
  </si>
  <si>
    <t xml:space="preserve">Omar Escobelo Villafana</t>
  </si>
  <si>
    <t xml:space="preserve">Jeyser de los Angeles</t>
  </si>
  <si>
    <t xml:space="preserve">jeyserdelosangeles@gmail.com, wp6077120@mail.com</t>
  </si>
  <si>
    <t xml:space="preserve">20/03/2026 10:54AM</t>
  </si>
  <si>
    <t xml:space="preserve">Yasmany Villalonga Perez</t>
  </si>
  <si>
    <t xml:space="preserve">yasmany.villalonga@gmail.com</t>
  </si>
  <si>
    <t xml:space="preserve">19/03/2026 9:38AM</t>
  </si>
  <si>
    <t xml:space="preserve">Yadira Mayo Pache</t>
  </si>
  <si>
    <t xml:space="preserve">sanchezoriassirdeljesus@gmail.com</t>
  </si>
  <si>
    <t xml:space="preserve">20/03/2026 9:59AM</t>
  </si>
  <si>
    <t xml:space="preserve">21/03/2026 6:41PM</t>
  </si>
  <si>
    <t xml:space="preserve">DASMIR POMPA JIMENEZ</t>
  </si>
  <si>
    <t xml:space="preserve">ailinmarina93@gmail.com</t>
  </si>
  <si>
    <t xml:space="preserve">21/03/2026 5:45PM</t>
  </si>
  <si>
    <t xml:space="preserve">Maira Cabrera</t>
  </si>
  <si>
    <t xml:space="preserve">NO</t>
  </si>
  <si>
    <t xml:space="preserve">23/03/2026 9:36AM</t>
  </si>
  <si>
    <t xml:space="preserve">Yosvany Juan Barrera Madrazo</t>
  </si>
  <si>
    <t xml:space="preserve">yambookanofficiel@gmail.com</t>
  </si>
  <si>
    <t xml:space="preserve">21/03/2026 6:36PM</t>
  </si>
  <si>
    <t xml:space="preserve">Odel Fajardo Sanchez</t>
  </si>
  <si>
    <t xml:space="preserve">Yasneily Velazquez Asevedo</t>
  </si>
  <si>
    <t xml:space="preserve">yasneily155@gmail.com</t>
  </si>
  <si>
    <t xml:space="preserve">21/03/2026 8:03PM</t>
  </si>
  <si>
    <t xml:space="preserve">vegamayedoyanet@gmail.com</t>
  </si>
  <si>
    <t xml:space="preserve">22/03/2026 10:32AM</t>
  </si>
  <si>
    <t xml:space="preserve">23/03/2026 11:25AM</t>
  </si>
  <si>
    <t xml:space="preserve">Celia da Rosa Boger Dias</t>
  </si>
  <si>
    <t xml:space="preserve">23/03/2026 11:42AM</t>
  </si>
  <si>
    <t xml:space="preserve">Karel De Jesus Diaz Tornes</t>
  </si>
  <si>
    <t xml:space="preserve">Karel de Jesús Díaz Tornes</t>
  </si>
  <si>
    <t xml:space="preserve">kd532881@gmail.com</t>
  </si>
  <si>
    <t xml:space="preserve">[INT][WA-2139][TRA][CUB][CON][ADV+][F] CERT. CONS.</t>
  </si>
  <si>
    <t xml:space="preserve">AD03 - CERT. CONS.</t>
  </si>
  <si>
    <t xml:space="preserve">23/03/2026 10:54AM</t>
  </si>
  <si>
    <t xml:space="preserve">Leandro L Marrero Matos</t>
  </si>
  <si>
    <t xml:space="preserve">Yanela Flabia Román Leyva</t>
  </si>
  <si>
    <t xml:space="preserve">yanelaromanleyva@gmail.com</t>
  </si>
  <si>
    <t xml:space="preserve">23/03/2026 11:52AM</t>
  </si>
  <si>
    <t xml:space="preserve">Rene Cruz Vega</t>
  </si>
  <si>
    <t xml:space="preserve">renecv1959@gmail.com</t>
  </si>
  <si>
    <t xml:space="preserve">23/03/2026 12:12PM</t>
  </si>
  <si>
    <t xml:space="preserve">Alexander Cutino fuentes</t>
  </si>
  <si>
    <t xml:space="preserve">cutinofuentesa@gmail.com</t>
  </si>
  <si>
    <t xml:space="preserve">23/03/2026 12:17PM</t>
  </si>
  <si>
    <t xml:space="preserve">Jose Antonio Polanco Torrivilla</t>
  </si>
  <si>
    <t xml:space="preserve">joseantoniopolancotorrivilla@gmail.com</t>
  </si>
  <si>
    <t xml:space="preserve">23/03/2026 2:49PM</t>
  </si>
  <si>
    <t xml:space="preserve">Guillermo Barroso Basabe</t>
  </si>
  <si>
    <t xml:space="preserve">Adriana (suegra de Dayana Santiago)</t>
  </si>
  <si>
    <t xml:space="preserve">23/03/2026 2:56PM</t>
  </si>
  <si>
    <t xml:space="preserve">23/03/2026 3:58PM</t>
  </si>
  <si>
    <t xml:space="preserve">Yexander Tejeda Rigna</t>
  </si>
  <si>
    <t xml:space="preserve">Yexander</t>
  </si>
  <si>
    <t xml:space="preserve">yexandertejeda@gmail.com</t>
  </si>
  <si>
    <t xml:space="preserve">23/03/2026 4:07PM</t>
  </si>
  <si>
    <t xml:space="preserve">Alexis Frank Zayas</t>
  </si>
  <si>
    <t xml:space="preserve">alexiszayadiaz@gmail.com</t>
  </si>
  <si>
    <t xml:space="preserve">23/03/2026 4:33PM</t>
  </si>
  <si>
    <t xml:space="preserve">GILBERTO GONZALEZ TOLEDO</t>
  </si>
  <si>
    <t xml:space="preserve">Gilberto Gonzalez Toledo</t>
  </si>
  <si>
    <t xml:space="preserve">gilbertogtlmd@gmail.com</t>
  </si>
  <si>
    <t xml:space="preserve">23/03/2026 1:52PM</t>
  </si>
  <si>
    <t xml:space="preserve">Arlenys Garcia Soberao</t>
  </si>
  <si>
    <t xml:space="preserve">Arlenys García Soberao</t>
  </si>
  <si>
    <t xml:space="preserve">garciasoberaoa@gmail.com</t>
  </si>
  <si>
    <t xml:space="preserve">23/03/2026 4:56PM</t>
  </si>
  <si>
    <t xml:space="preserve">Erlin Rodriguez Ortega</t>
  </si>
  <si>
    <t xml:space="preserve">Yunayca</t>
  </si>
  <si>
    <t xml:space="preserve">yunaycamartinez3@gmail.com</t>
  </si>
  <si>
    <t xml:space="preserve">23/03/2026 5:08PM</t>
  </si>
  <si>
    <t xml:space="preserve">Dayron Adrian Benavides</t>
  </si>
  <si>
    <t xml:space="preserve">Estefany Fernández</t>
  </si>
  <si>
    <t xml:space="preserve">Estefanyfernandezmesa17@gmail.com</t>
  </si>
  <si>
    <t xml:space="preserve">23/03/2026 5:00PM</t>
  </si>
  <si>
    <t xml:space="preserve">Daniela Segura Gomez</t>
  </si>
  <si>
    <t xml:space="preserve">23/03/2026 5:29PM</t>
  </si>
  <si>
    <t xml:space="preserve">Mylene Isabel Martinez Garcia</t>
  </si>
  <si>
    <t xml:space="preserve">mylenemtnez75@gmail.com</t>
  </si>
  <si>
    <t xml:space="preserve">23/03/2026 9:24AM</t>
  </si>
  <si>
    <t xml:space="preserve">Geidy Yilianis Bastarrica Echeverria</t>
  </si>
  <si>
    <t xml:space="preserve">Geidy Yilianis Bastarrica Echeverría</t>
  </si>
  <si>
    <t xml:space="preserve">geidyyilian@gmail.com, rogersegurasosa@gmail.con</t>
  </si>
  <si>
    <t xml:space="preserve">23/03/2026 9:34AM</t>
  </si>
  <si>
    <t xml:space="preserve">Omar Suren Martinez</t>
  </si>
  <si>
    <t xml:space="preserve">omarsuren2@gmail.com</t>
  </si>
  <si>
    <t xml:space="preserve">24/03/2026 9:34AM</t>
  </si>
  <si>
    <t xml:space="preserve">Hector Rios Quintero</t>
  </si>
  <si>
    <t xml:space="preserve">Héctor Rios Quintero</t>
  </si>
  <si>
    <t xml:space="preserve">hectorquinterorios08@gmail.com</t>
  </si>
  <si>
    <t xml:space="preserve">23/03/2026 9:42AM</t>
  </si>
  <si>
    <t xml:space="preserve">Roberto Molinas Rodriguez</t>
  </si>
  <si>
    <t xml:space="preserve">Roberto</t>
  </si>
  <si>
    <t xml:space="preserve">robertomolina636@gmail.com</t>
  </si>
  <si>
    <t xml:space="preserve">23/03/2026 9:47AM</t>
  </si>
  <si>
    <t xml:space="preserve">Lisbet Virgen Azan Diaz</t>
  </si>
  <si>
    <t xml:space="preserve">Miguel Azan Hidalgo</t>
  </si>
  <si>
    <t xml:space="preserve">miguelazan1968@gmail.com</t>
  </si>
  <si>
    <t xml:space="preserve">24/03/2026 9:56AM</t>
  </si>
  <si>
    <t xml:space="preserve">DALILA RACHEL CALA GONZALEZ</t>
  </si>
  <si>
    <t xml:space="preserve">Dalila Rachel Cala</t>
  </si>
  <si>
    <t xml:space="preserve">leidiandino@gmail.com</t>
  </si>
  <si>
    <t xml:space="preserve">24/03/2026 10:38AM</t>
  </si>
  <si>
    <t xml:space="preserve">Anairis Caballero Blanco</t>
  </si>
  <si>
    <t xml:space="preserve">anairicaballero@gmail.com</t>
  </si>
  <si>
    <t xml:space="preserve">24/03/2026 10:39AM</t>
  </si>
  <si>
    <t xml:space="preserve">Alvaro Pernia Gallardo</t>
  </si>
  <si>
    <t xml:space="preserve">Leduan</t>
  </si>
  <si>
    <t xml:space="preserve">siviran.31@gmail.com</t>
  </si>
  <si>
    <t xml:space="preserve">24/03/2026 9:37AM</t>
  </si>
  <si>
    <t xml:space="preserve">Yusnuelvys Rosabal Soto</t>
  </si>
  <si>
    <t xml:space="preserve">Yusnuelvys Rosabal Sotto</t>
  </si>
  <si>
    <t xml:space="preserve">rosabalsottoyunita@gmail.com</t>
  </si>
  <si>
    <t xml:space="preserve">24/03/2026 11:26AM</t>
  </si>
  <si>
    <t xml:space="preserve">Kendry Santoya Pedroso</t>
  </si>
  <si>
    <t xml:space="preserve">Aylin Chirino Perez / Kendry Santoya Pedroso</t>
  </si>
  <si>
    <t xml:space="preserve">23/03/2026 11:31AM</t>
  </si>
  <si>
    <t xml:space="preserve">Yasmani Boudet Fernández</t>
  </si>
  <si>
    <t xml:space="preserve">24/03/2026 11:31AM</t>
  </si>
  <si>
    <t xml:space="preserve">23/03/2026 11:41AM</t>
  </si>
  <si>
    <t xml:space="preserve">Albert Hidalgo Arévalo</t>
  </si>
  <si>
    <t xml:space="preserve">Adriana Pena Arévalo</t>
  </si>
  <si>
    <t xml:space="preserve">adrianapenaarevalo@gmail.com</t>
  </si>
  <si>
    <t xml:space="preserve">vismayjesus@gmail.com</t>
  </si>
  <si>
    <t xml:space="preserve">24/03/2026 2:11PM</t>
  </si>
  <si>
    <t xml:space="preserve">Ricardo Rodriguez Rodriguez</t>
  </si>
  <si>
    <t xml:space="preserve">joseantoniohernandezsilot@gmail.com, yurileydis82@gmail.com</t>
  </si>
  <si>
    <t xml:space="preserve">24/03/2026 3:32PM</t>
  </si>
  <si>
    <t xml:space="preserve">24/03/2026 4:38PM</t>
  </si>
  <si>
    <t xml:space="preserve">Yerandy Fabian</t>
  </si>
  <si>
    <t xml:space="preserve">Yirenia Soledad Cabrero Moreno</t>
  </si>
  <si>
    <t xml:space="preserve">yerandytorres88@gmial.com</t>
  </si>
  <si>
    <t xml:space="preserve">24/03/2026 8:29PM</t>
  </si>
  <si>
    <t xml:space="preserve">24/03/2026 10:04PM</t>
  </si>
  <si>
    <t xml:space="preserve">anafinca2024@gmail.com</t>
  </si>
  <si>
    <t xml:space="preserve">24/03/2026 9:15AM</t>
  </si>
  <si>
    <t xml:space="preserve">Jeniffer Isabel Bernal Puentes</t>
  </si>
  <si>
    <t xml:space="preserve">puentesvarona0378@gmail</t>
  </si>
  <si>
    <t xml:space="preserve">24/03/2026 9:18AM</t>
  </si>
  <si>
    <t xml:space="preserve">Yudelka Galan Gomez</t>
  </si>
  <si>
    <t xml:space="preserve">Yudelka</t>
  </si>
  <si>
    <t xml:space="preserve">Yudelkagalan7@gmail.com</t>
  </si>
  <si>
    <t xml:space="preserve">24/03/2026 9:27AM</t>
  </si>
  <si>
    <t xml:space="preserve">Nelson Peña Gutiérrez</t>
  </si>
  <si>
    <t xml:space="preserve">Gisell</t>
  </si>
  <si>
    <t xml:space="preserve">gisellperez9601@gmail.com</t>
  </si>
  <si>
    <t xml:space="preserve">25/03/2026 9:28AM</t>
  </si>
  <si>
    <t xml:space="preserve">Yiuvan Elena Pino Bringuez / Jose Edggar</t>
  </si>
  <si>
    <t xml:space="preserve">24/03/2026 9:45AM</t>
  </si>
  <si>
    <t xml:space="preserve">Valeris Hernandez Fleitas</t>
  </si>
  <si>
    <t xml:space="preserve">Valeris Hernandez fleitas</t>
  </si>
  <si>
    <t xml:space="preserve">fleitasvaleris@gmail.com</t>
  </si>
  <si>
    <t xml:space="preserve">25/03/2026 10:27AM</t>
  </si>
  <si>
    <t xml:space="preserve">Luis Dariel Diaz Garcia</t>
  </si>
  <si>
    <t xml:space="preserve">luisdarieldiazgarcia@gmail.com</t>
  </si>
  <si>
    <t xml:space="preserve">25/03/2026 11:31AM</t>
  </si>
  <si>
    <t xml:space="preserve">Joel Pérez Gutiérrez</t>
  </si>
  <si>
    <t xml:space="preserve">Magalys Perez Gutierrez</t>
  </si>
  <si>
    <t xml:space="preserve">magalysperez042@gmail</t>
  </si>
  <si>
    <t xml:space="preserve">25/03/2026 6:00PM</t>
  </si>
  <si>
    <t xml:space="preserve">Sandra Falco</t>
  </si>
  <si>
    <t xml:space="preserve">Maite Ortega</t>
  </si>
  <si>
    <t xml:space="preserve">BRASILIA, DF</t>
  </si>
  <si>
    <t xml:space="preserve">26/03/2026 9:38AM</t>
  </si>
  <si>
    <t xml:space="preserve">Osiel Milian Perez</t>
  </si>
  <si>
    <t xml:space="preserve">CURITIBA, PR</t>
  </si>
  <si>
    <t xml:space="preserve">PARANÁ</t>
  </si>
  <si>
    <t xml:space="preserve">26/03/2026 9:56AM</t>
  </si>
  <si>
    <t xml:space="preserve">Efrain Antonio Fong Pena</t>
  </si>
  <si>
    <t xml:space="preserve">efrainfong27@gmail.com</t>
  </si>
  <si>
    <t xml:space="preserve">26/03/2026 10:18AM</t>
  </si>
  <si>
    <t xml:space="preserve">Esteban Molina Zayas</t>
  </si>
  <si>
    <t xml:space="preserve">emolinazayas@gmail.com</t>
  </si>
  <si>
    <t xml:space="preserve">26/03/2026 11:04AM</t>
  </si>
  <si>
    <t xml:space="preserve">Osniel Martinez Lara</t>
  </si>
  <si>
    <t xml:space="preserve">osnielm243@gmail.com</t>
  </si>
  <si>
    <t xml:space="preserve">26/03/2026 12:02PM</t>
  </si>
  <si>
    <t xml:space="preserve">Danilo Emilio Arrieta Valdés</t>
  </si>
  <si>
    <t xml:space="preserve">darrietaval@gmail.com</t>
  </si>
  <si>
    <t xml:space="preserve">PONTA GROSSA</t>
  </si>
  <si>
    <t xml:space="preserve">26/03/2026 2:48PM</t>
  </si>
  <si>
    <t xml:space="preserve">RUDIEL DE LA CARIDAD PAEZ LEIVA</t>
  </si>
  <si>
    <t xml:space="preserve">Rudy</t>
  </si>
  <si>
    <t xml:space="preserve">rudielpaezleiva@gmail.com</t>
  </si>
  <si>
    <t xml:space="preserve">DESCONOCIDA</t>
  </si>
  <si>
    <t xml:space="preserve">26/03/2026 2:51PM</t>
  </si>
  <si>
    <t xml:space="preserve">Miladys Silva Diaz</t>
  </si>
  <si>
    <t xml:space="preserve">Miladysm Silva Diaz</t>
  </si>
  <si>
    <t xml:space="preserve">holaMidalissilva79@gmail.com</t>
  </si>
  <si>
    <t xml:space="preserve">25/03/2026 3:17PM</t>
  </si>
  <si>
    <t xml:space="preserve">Victor Ramon Bordon Blanc</t>
  </si>
  <si>
    <t xml:space="preserve">Laidaris Martines Mantilla</t>
  </si>
  <si>
    <t xml:space="preserve">Dayami Torres Hernandez</t>
  </si>
  <si>
    <t xml:space="preserve">26/03/2026 4:10PM</t>
  </si>
  <si>
    <t xml:space="preserve">Yamile Rivera Valdes</t>
  </si>
  <si>
    <t xml:space="preserve">Dayanes Quiala</t>
  </si>
  <si>
    <t xml:space="preserve">manuelbetancourt1605@gmail.com</t>
  </si>
  <si>
    <t xml:space="preserve">CAXIAS DO SUL</t>
  </si>
  <si>
    <t xml:space="preserve">RIO GRANDE DO SUL</t>
  </si>
  <si>
    <t xml:space="preserve">26/03/2026 4:18PM</t>
  </si>
  <si>
    <t xml:space="preserve">26/03/2026 8:00PM</t>
  </si>
  <si>
    <t xml:space="preserve">Omar Rodriguez Prieto</t>
  </si>
  <si>
    <t xml:space="preserve">rodriguezchauandy@gmail.com</t>
  </si>
  <si>
    <t xml:space="preserve">GRAMADO</t>
  </si>
  <si>
    <t xml:space="preserve">26/03/2026 8:10PM</t>
  </si>
  <si>
    <t xml:space="preserve">FLORIANÓPOLIS</t>
  </si>
  <si>
    <t xml:space="preserve">SANTA CATARINA</t>
  </si>
  <si>
    <t xml:space="preserve">26/03/2026 10:03AM</t>
  </si>
  <si>
    <t xml:space="preserve">27/03/2026 10:09AM</t>
  </si>
  <si>
    <t xml:space="preserve">Yunior Aguado Carballea</t>
  </si>
  <si>
    <t xml:space="preserve">yuniorbras89@gmail.com</t>
  </si>
  <si>
    <t xml:space="preserve">SÃO PAULO, SP</t>
  </si>
  <si>
    <t xml:space="preserve">SÃO PAULO</t>
  </si>
  <si>
    <t xml:space="preserve">27/03/2026 11:53AM</t>
  </si>
  <si>
    <t xml:space="preserve">Lisandra Corona Tamayo</t>
  </si>
  <si>
    <t xml:space="preserve">coronalisandra87@gmail.com</t>
  </si>
  <si>
    <t xml:space="preserve">FOZ DO IGUAÇU</t>
  </si>
  <si>
    <t xml:space="preserve">27/03/2026 12:01PM</t>
  </si>
  <si>
    <t xml:space="preserve">27/03/2026 12:33PM</t>
  </si>
  <si>
    <t xml:space="preserve">CRICIÚMA</t>
  </si>
  <si>
    <t xml:space="preserve">27/03/2026 2:42PM</t>
  </si>
  <si>
    <t xml:space="preserve">Jorge David Bardaji</t>
  </si>
  <si>
    <t xml:space="preserve">Jorge David</t>
  </si>
  <si>
    <t xml:space="preserve">bardajimilan@gmail.com</t>
  </si>
  <si>
    <t xml:space="preserve">27/03/2026 3:14PM</t>
  </si>
  <si>
    <t xml:space="preserve">Lazaro Ruben Vicet Perez</t>
  </si>
  <si>
    <t xml:space="preserve">Lachy</t>
  </si>
  <si>
    <t xml:space="preserve">lazarorubenvicetperez@gmail.com</t>
  </si>
  <si>
    <t xml:space="preserve">27/03/2026 3:29PM</t>
  </si>
  <si>
    <t xml:space="preserve">27/03/2026 3:52PM</t>
  </si>
  <si>
    <t xml:space="preserve">Irisleidy Ramirez Cardena</t>
  </si>
  <si>
    <t xml:space="preserve">Irisleydiramirez36@gmail.com</t>
  </si>
  <si>
    <t xml:space="preserve">27/03/2026 4:59PM</t>
  </si>
  <si>
    <t xml:space="preserve">Eiber Gamboa Kindelan</t>
  </si>
  <si>
    <t xml:space="preserve">Izabela Figueras Kindelan</t>
  </si>
  <si>
    <t xml:space="preserve">yoendriamaro@gmail.com</t>
  </si>
  <si>
    <t xml:space="preserve">CURITIBA</t>
  </si>
  <si>
    <t xml:space="preserve">27/03/2026 5:44PM</t>
  </si>
  <si>
    <t xml:space="preserve">27/03/2026 5:52PM</t>
  </si>
  <si>
    <t xml:space="preserve">26/03/2026 6:05PM</t>
  </si>
  <si>
    <t xml:space="preserve">Rolando Navarrete Limonta</t>
  </si>
  <si>
    <t xml:space="preserve">27/03/2026 8:55PM</t>
  </si>
  <si>
    <t xml:space="preserve">27/03/2026 9:27PM</t>
  </si>
  <si>
    <t xml:space="preserve">28/03/2026 12:33PM</t>
  </si>
  <si>
    <t xml:space="preserve">YUDELKA GALAN RODRIGUEZ</t>
  </si>
  <si>
    <t xml:space="preserve">28/03/2026 12:51PM</t>
  </si>
  <si>
    <t xml:space="preserve">OLGA MARIA MUNOZ GONZALEZ</t>
  </si>
  <si>
    <t xml:space="preserve">27/03/2026 12:58PM</t>
  </si>
  <si>
    <t xml:space="preserve">Marlies Yero Martínez</t>
  </si>
  <si>
    <t xml:space="preserve">marliesyeromartinez@gmail.com</t>
  </si>
  <si>
    <t xml:space="preserve">28/03/2026 2:18PM</t>
  </si>
  <si>
    <t xml:space="preserve">Pedro Olivera Hipolito</t>
  </si>
  <si>
    <t xml:space="preserve">Lisbel Guerrero Menéndez</t>
  </si>
  <si>
    <t xml:space="preserve">28/03/2026 3:37PM</t>
  </si>
  <si>
    <t xml:space="preserve">Jorge Osmay Guerra Lopez</t>
  </si>
  <si>
    <t xml:space="preserve">Marlin Trujillo Suarez</t>
  </si>
  <si>
    <t xml:space="preserve">28/03/2026 12:00AM</t>
  </si>
  <si>
    <t xml:space="preserve">Nosleydis Mena Lorenzo</t>
  </si>
  <si>
    <t xml:space="preserve">29/03/2026 7:29PM</t>
  </si>
  <si>
    <t xml:space="preserve">Raul/ Raidelys</t>
  </si>
  <si>
    <t xml:space="preserve">SOROCABA</t>
  </si>
  <si>
    <t xml:space="preserve">29/03/2026 7:42PM</t>
  </si>
  <si>
    <t xml:space="preserve">Jose Norlan Marrero</t>
  </si>
  <si>
    <t xml:space="preserve">Jose Norlan Marrero Figueredo</t>
  </si>
  <si>
    <t xml:space="preserve">noslan@gmail.com</t>
  </si>
  <si>
    <t xml:space="preserve">29/03/2026 7:48PM</t>
  </si>
  <si>
    <t xml:space="preserve">28/03/2026 8:11PM</t>
  </si>
  <si>
    <t xml:space="preserve">29/03/2026 8:19PM</t>
  </si>
  <si>
    <t xml:space="preserve">César Yuriel Martínez Reyna</t>
  </si>
  <si>
    <t xml:space="preserve">cesaryurielm@gmail.com</t>
  </si>
  <si>
    <t xml:space="preserve">29/03/2026 9:06PM</t>
  </si>
  <si>
    <t xml:space="preserve">28/03/2026 9:17AM</t>
  </si>
  <si>
    <t xml:space="preserve">Alvaro Rodriguez Orasma</t>
  </si>
  <si>
    <t xml:space="preserve">Donato Perez Merique</t>
  </si>
  <si>
    <t xml:space="preserve">donatoperezmerique@gmail.com</t>
  </si>
  <si>
    <t xml:space="preserve">28/03/2026 9:35AM</t>
  </si>
  <si>
    <t xml:space="preserve">Rafael Diaz Garces</t>
  </si>
  <si>
    <t xml:space="preserve">Rafael Díaz</t>
  </si>
  <si>
    <t xml:space="preserve">29/03/2026 9:45PM</t>
  </si>
  <si>
    <t xml:space="preserve">Dreidy Avila Hechavarría</t>
  </si>
  <si>
    <t xml:space="preserve">dreidy.avila27@gmail.com</t>
  </si>
  <si>
    <t xml:space="preserve">FAZENDA RIO GRANDE</t>
  </si>
  <si>
    <t xml:space="preserve">30/03/2026 10:00AM</t>
  </si>
  <si>
    <t xml:space="preserve">JORGE LUIS PEREZ YERO</t>
  </si>
  <si>
    <t xml:space="preserve">Jorge Luis Pérez Yero.</t>
  </si>
  <si>
    <t xml:space="preserve">jorge.perez.yero@gmail.com</t>
  </si>
  <si>
    <t xml:space="preserve">JOINVILLE, SC</t>
  </si>
  <si>
    <t xml:space="preserve">29/03/2026 10:48AM</t>
  </si>
  <si>
    <t xml:space="preserve">30/03/2026 11:45AM</t>
  </si>
  <si>
    <t xml:space="preserve">30/03/2026 12:03PM</t>
  </si>
  <si>
    <t xml:space="preserve">Edgar Serpa Barrera</t>
  </si>
  <si>
    <t xml:space="preserve">RECUP. SISCONARE</t>
  </si>
  <si>
    <t xml:space="preserve">edgarserpa804@gmail.com</t>
  </si>
  <si>
    <t xml:space="preserve">30/03/2026 2:31PM</t>
  </si>
  <si>
    <t xml:space="preserve">David Emilio Cabrera Ortega</t>
  </si>
  <si>
    <t xml:space="preserve">cabreradavid9903@gmail.com</t>
  </si>
  <si>
    <t xml:space="preserve">30/03/2026 2:48PM</t>
  </si>
  <si>
    <t xml:space="preserve">Rosabel Moya Borrego</t>
  </si>
  <si>
    <t xml:space="preserve">Nelson Marcelo Helguera</t>
  </si>
  <si>
    <t xml:space="preserve">n2458619@gmail.com, emartinezf68@gmail.com</t>
  </si>
  <si>
    <t xml:space="preserve">30/03/2026 4:01PM</t>
  </si>
  <si>
    <t xml:space="preserve">Adrianna las Mercedes B Ruiz</t>
  </si>
  <si>
    <t xml:space="preserve">bastidaadrianna@gmail.com</t>
  </si>
  <si>
    <t xml:space="preserve">CAXIAS DO SUL, RS</t>
  </si>
  <si>
    <t xml:space="preserve">30/03/2026 4:29PM</t>
  </si>
  <si>
    <t xml:space="preserve">Rosario Nunez Guerrero</t>
  </si>
  <si>
    <t xml:space="preserve">nunezguerrerorosario971011@gmail.com</t>
  </si>
  <si>
    <t xml:space="preserve">30/03/2026 9:05PM</t>
  </si>
  <si>
    <t xml:space="preserve">30/03/2026 9:28PM</t>
  </si>
  <si>
    <t xml:space="preserve">Gabriel Chaves Cabaletto</t>
  </si>
  <si>
    <t xml:space="preserve">30/03/2026 9:29AM</t>
  </si>
  <si>
    <t xml:space="preserve">Arasay Padilla Bravo</t>
  </si>
  <si>
    <t xml:space="preserve">arasay.2000@gmail.com</t>
  </si>
  <si>
    <t xml:space="preserve">ITAJAÍ</t>
  </si>
  <si>
    <t xml:space="preserve">31/03/2026 9:44AM</t>
  </si>
  <si>
    <t xml:space="preserve">Deyanira Valdes Renteria</t>
  </si>
  <si>
    <t xml:space="preserve">deyavaldez970@gmail.com</t>
  </si>
  <si>
    <t xml:space="preserve">31/03/2026 9:46AM</t>
  </si>
  <si>
    <t xml:space="preserve">Yadira Piedra Mela</t>
  </si>
  <si>
    <t xml:space="preserve">30/03/2026 9:51AM</t>
  </si>
  <si>
    <t xml:space="preserve">31/03/2026 1:40PM</t>
  </si>
  <si>
    <t xml:space="preserve">David Alfonso Torres</t>
  </si>
  <si>
    <t xml:space="preserve">MINAS GERAIS</t>
  </si>
  <si>
    <t xml:space="preserve">Yanmelis Rivera Perez</t>
  </si>
  <si>
    <t xml:space="preserve">riveraperezyanmelis@gmail.com</t>
  </si>
  <si>
    <t xml:space="preserve">31/03/2026 2:28PM</t>
  </si>
  <si>
    <t xml:space="preserve">vlataton2015@gmail.com</t>
  </si>
  <si>
    <t xml:space="preserve">31/03/2026 10:17AM</t>
  </si>
  <si>
    <t xml:space="preserve">Claudia Romero Melendez</t>
  </si>
  <si>
    <t xml:space="preserve">PALHOÇA, SC</t>
  </si>
  <si>
    <t xml:space="preserve">31/03/2026 3:26PM</t>
  </si>
  <si>
    <t xml:space="preserve">YENIFER PACHECO DE LA CRUZ</t>
  </si>
  <si>
    <t xml:space="preserve">Yenifer Pacheco De La Cruz</t>
  </si>
  <si>
    <t xml:space="preserve">31/03/2026 3:59PM</t>
  </si>
  <si>
    <t xml:space="preserve">31/03/2026 3:36PM</t>
  </si>
  <si>
    <t xml:space="preserve">FIDEL RODRIGUEZ PUPO</t>
  </si>
  <si>
    <t xml:space="preserve">Angela</t>
  </si>
  <si>
    <t xml:space="preserve">Angelacausilla81@gmail.com</t>
  </si>
  <si>
    <t xml:space="preserve">PALHOÇA</t>
  </si>
  <si>
    <t xml:space="preserve">31/03/2026 4:07PM</t>
  </si>
  <si>
    <t xml:space="preserve">Jose Raul Hernandez Alonso</t>
  </si>
  <si>
    <t xml:space="preserve">José Raúl Hernández Alonso</t>
  </si>
  <si>
    <t xml:space="preserve">jose1981paco@gmail.com</t>
  </si>
  <si>
    <t xml:space="preserve">23/02/2026 5:56PM</t>
  </si>
  <si>
    <t xml:space="preserve">Jendrys Clavel Morales</t>
  </si>
  <si>
    <t xml:space="preserve">no</t>
  </si>
  <si>
    <t xml:space="preserve">31/03/2026 6:08PM</t>
  </si>
  <si>
    <t xml:space="preserve">Nolaida Garrido</t>
  </si>
  <si>
    <t xml:space="preserve">Leandro Rabí Guerra</t>
  </si>
  <si>
    <t xml:space="preserve">rabileandro53@gmail.com</t>
  </si>
  <si>
    <t xml:space="preserve">31/03/2026 7:03PM</t>
  </si>
  <si>
    <t xml:space="preserve">José Jesús Remón García</t>
  </si>
  <si>
    <t xml:space="preserve">alennimarino54@gmail.com</t>
  </si>
  <si>
    <t xml:space="preserve">CAMPINAS</t>
  </si>
  <si>
    <t xml:space="preserve">31/03/2026 7:10PM</t>
  </si>
  <si>
    <t xml:space="preserve">José Jesús Ramón García</t>
  </si>
  <si>
    <t xml:space="preserve">31/03/2026 7:20PM</t>
  </si>
  <si>
    <t xml:space="preserve">GOIÂNIA</t>
  </si>
  <si>
    <t xml:space="preserve">GOIÁS</t>
  </si>
  <si>
    <t xml:space="preserve">31/03/2026 9:21AM</t>
  </si>
  <si>
    <t xml:space="preserve">Arian Pantoja Martinez</t>
  </si>
  <si>
    <t xml:space="preserve">Yury</t>
  </si>
  <si>
    <t xml:space="preserve">aryanpantoja8610@gmail.com</t>
  </si>
  <si>
    <t xml:space="preserve">01/04/2026 11:21AM</t>
  </si>
  <si>
    <t xml:space="preserve">Osmar Suren Martinez</t>
  </si>
  <si>
    <t xml:space="preserve">BALNEARIO CAMBORIU</t>
  </si>
  <si>
    <t xml:space="preserve">01/04/2026 11:32AM</t>
  </si>
  <si>
    <t xml:space="preserve">Jose A Fernandez Montero</t>
  </si>
  <si>
    <t xml:space="preserve">José Fernández Montero</t>
  </si>
  <si>
    <t xml:space="preserve">josefernandez19031962@gmail.com</t>
  </si>
  <si>
    <t xml:space="preserve">01/04/2026 1:00PM</t>
  </si>
  <si>
    <t xml:space="preserve">Reineri Jay Azahares</t>
  </si>
  <si>
    <t xml:space="preserve">reinerijay1990@gmail.com</t>
  </si>
  <si>
    <t xml:space="preserve">01/04/2026 2:27PM</t>
  </si>
  <si>
    <t xml:space="preserve">Reynier Graupierre </t>
  </si>
  <si>
    <t xml:space="preserve">Isis</t>
  </si>
  <si>
    <t xml:space="preserve">nildaceciliabarrionuevovaldes@gmail.com</t>
  </si>
  <si>
    <t xml:space="preserve">01/04/2026 2:31PM</t>
  </si>
  <si>
    <t xml:space="preserve">Melissa Rodriguez Matos</t>
  </si>
  <si>
    <t xml:space="preserve">Melissa</t>
  </si>
  <si>
    <t xml:space="preserve">rodriguezmatosmelissa5@gmail.com</t>
  </si>
  <si>
    <t xml:space="preserve">01/04/2026 2:34PM</t>
  </si>
  <si>
    <t xml:space="preserve">Esbary Fundora Rosales</t>
  </si>
  <si>
    <t xml:space="preserve">efundora74@gmail.com</t>
  </si>
  <si>
    <t xml:space="preserve">01/04/2026 3:26PM</t>
  </si>
  <si>
    <t xml:space="preserve">Yoel Gonzalez Perez</t>
  </si>
  <si>
    <t xml:space="preserve">yoelgonzalezmorejonmoises@gmail.com</t>
  </si>
  <si>
    <t xml:space="preserve">01/04/2026 9:19AM</t>
  </si>
  <si>
    <t xml:space="preserve">Yoandra Reymond Rojas</t>
  </si>
  <si>
    <t xml:space="preserve">yoandrareymond76@gmail.com</t>
  </si>
  <si>
    <t xml:space="preserve">NOVA BASSANO</t>
  </si>
  <si>
    <t xml:space="preserve">01/04/2026 3:48PM</t>
  </si>
  <si>
    <t xml:space="preserve">reinaldocollado.2022@yahoo.com</t>
  </si>
  <si>
    <t xml:space="preserve">01/04/2026 3:57PM</t>
  </si>
  <si>
    <t xml:space="preserve">Raidelys Viltres Nunez</t>
  </si>
  <si>
    <t xml:space="preserve">Raul / Raidelys</t>
  </si>
  <si>
    <t xml:space="preserve">01/04/2026 11:05AM</t>
  </si>
  <si>
    <t xml:space="preserve">MATO GROSSO</t>
  </si>
  <si>
    <t xml:space="preserve">01/04/2026 5:18PM</t>
  </si>
  <si>
    <t xml:space="preserve">bj872961@gmail.com</t>
  </si>
  <si>
    <t xml:space="preserve">02/04/2026 9:35AM</t>
  </si>
  <si>
    <t xml:space="preserve">Mildrey Abreus Rivalta</t>
  </si>
  <si>
    <t xml:space="preserve">mildreyabreusrivalta</t>
  </si>
  <si>
    <t xml:space="preserve">joelmolina1507@gmail.com</t>
  </si>
  <si>
    <t xml:space="preserve">01/04/2026 9:31AM</t>
  </si>
  <si>
    <t xml:space="preserve">Juan Mendoza Ramos</t>
  </si>
  <si>
    <t xml:space="preserve">Rey Luis Díaz Vives</t>
  </si>
  <si>
    <t xml:space="preserve">lazaroreyneriodiazquintana@gmail.com</t>
  </si>
  <si>
    <t xml:space="preserve">01/04/2026 2:25PM</t>
  </si>
  <si>
    <t xml:space="preserve">Carlos José Martinez</t>
  </si>
  <si>
    <t xml:space="preserve">CAMB. ENDER.</t>
  </si>
  <si>
    <t xml:space="preserve">estrabaopradojosecarlos@gmail.com</t>
  </si>
  <si>
    <t xml:space="preserve">01/04/2026 9:54AM</t>
  </si>
  <si>
    <t xml:space="preserve">Dorgis Paneca Aparicio</t>
  </si>
  <si>
    <t xml:space="preserve">dorgispaneca9@gmail.com</t>
  </si>
  <si>
    <t xml:space="preserve">02/04/2026 10:20AM</t>
  </si>
  <si>
    <t xml:space="preserve">Yoel Cornelio Gonzalez</t>
  </si>
  <si>
    <t xml:space="preserve">Jose Manuel Reyes Gonzalez</t>
  </si>
  <si>
    <t xml:space="preserve">UBERLÂNDIA</t>
  </si>
  <si>
    <t xml:space="preserve">02/04/2026 11:12AM</t>
  </si>
  <si>
    <t xml:space="preserve">Reynier Garcia Busutil</t>
  </si>
  <si>
    <t xml:space="preserve">garciareynier67@gmail.com</t>
  </si>
  <si>
    <t xml:space="preserve">JOINVILLE</t>
  </si>
  <si>
    <t xml:space="preserve">01/04/2026 11:14AM</t>
  </si>
  <si>
    <t xml:space="preserve">Ramon Jose Diaz</t>
  </si>
  <si>
    <t xml:space="preserve">Hernel Batista Hernandez</t>
  </si>
  <si>
    <t xml:space="preserve">SÃO FELIX DO XINGU</t>
  </si>
  <si>
    <t xml:space="preserve">PARÁ</t>
  </si>
  <si>
    <t xml:space="preserve">02/04/2026 11:41AM</t>
  </si>
  <si>
    <t xml:space="preserve">Jose Luis Carmenates Napoles</t>
  </si>
  <si>
    <t xml:space="preserve">José Luis Carmenates Nápoles</t>
  </si>
  <si>
    <t xml:space="preserve">josecarmenates2000@gmail.com</t>
  </si>
  <si>
    <t xml:space="preserve">02/04/2026 11:47AM</t>
  </si>
  <si>
    <t xml:space="preserve">Luana Figueiredo Coelho Machado</t>
  </si>
  <si>
    <t xml:space="preserve">Ibrahin Bernabeu</t>
  </si>
  <si>
    <t xml:space="preserve">Ibrahinbernabeumorgado@gmail.com, kgarciarodriguez3@gmail.com</t>
  </si>
  <si>
    <t xml:space="preserve">02/04/2026 2:55PM</t>
  </si>
  <si>
    <t xml:space="preserve">Dayexi Durruty Bisset</t>
  </si>
  <si>
    <t xml:space="preserve">durrutybissetdayexi@gmail.com</t>
  </si>
  <si>
    <t xml:space="preserve">02/04/2026 12:24PM</t>
  </si>
  <si>
    <t xml:space="preserve">02/04/2026 8:47PM</t>
  </si>
  <si>
    <t xml:space="preserve">03/04/2026 9:25AM</t>
  </si>
  <si>
    <t xml:space="preserve">Octavio Agustin Rodriguez Miranda</t>
  </si>
  <si>
    <t xml:space="preserve">octavioagustin6@gmail.com</t>
  </si>
  <si>
    <t xml:space="preserve">FLORIANÓPOLIS, SC</t>
  </si>
  <si>
    <t xml:space="preserve">03/04/2026 10:31AM</t>
  </si>
  <si>
    <t xml:space="preserve">Ana Maria Llorente Vargas</t>
  </si>
  <si>
    <t xml:space="preserve">anamariayorente2@gmail.com</t>
  </si>
  <si>
    <t xml:space="preserve">02/04/2026 9:38AM</t>
  </si>
  <si>
    <t xml:space="preserve">Reginaldo Ecker</t>
  </si>
  <si>
    <t xml:space="preserve">Yasmany Pérez Véliz</t>
  </si>
  <si>
    <t xml:space="preserve">ypveliz87@gmail.com</t>
  </si>
  <si>
    <t xml:space="preserve">03/04/2026 11:14AM</t>
  </si>
  <si>
    <t xml:space="preserve">yosdel382@gmail.com</t>
  </si>
  <si>
    <t xml:space="preserve">03/04/2026 10:34AM</t>
  </si>
  <si>
    <t xml:space="preserve">03/04/2026 11:30AM</t>
  </si>
  <si>
    <t xml:space="preserve">Leticia B Hechagarrua</t>
  </si>
  <si>
    <t xml:space="preserve">Jose Manuel Ferrera Sanchez</t>
  </si>
  <si>
    <t xml:space="preserve">josepitoflauta@gmail.com</t>
  </si>
  <si>
    <t xml:space="preserve">03/04/2026 12:37PM</t>
  </si>
  <si>
    <t xml:space="preserve">03/04/2026 12:49PM</t>
  </si>
  <si>
    <t xml:space="preserve">03/04/2026 12:54PM</t>
  </si>
  <si>
    <t xml:space="preserve">Adonis Savon Rojas</t>
  </si>
  <si>
    <t xml:space="preserve">Arealys Abreu</t>
  </si>
  <si>
    <t xml:space="preserve">03/04/2026 12:41PM</t>
  </si>
  <si>
    <t xml:space="preserve">Rafael Fonseca Ricardo</t>
  </si>
  <si>
    <t xml:space="preserve">fonsecaricardorafael101@gmail.com</t>
  </si>
  <si>
    <t xml:space="preserve">03/04/2026 3:16PM</t>
  </si>
  <si>
    <t xml:space="preserve">Angela Causilla Balán</t>
  </si>
  <si>
    <t xml:space="preserve">angelacausilla81@gmail.com</t>
  </si>
  <si>
    <t xml:space="preserve">04/04/2026 11:46AM</t>
  </si>
  <si>
    <t xml:space="preserve">PLANALTO</t>
  </si>
  <si>
    <t xml:space="preserve">03/04/2026 11:55AM</t>
  </si>
  <si>
    <t xml:space="preserve">Daniel Enrique Ramos Gonzalez</t>
  </si>
  <si>
    <t xml:space="preserve">RIO GRANDE DO NORTE</t>
  </si>
  <si>
    <t xml:space="preserve">04/04/2026 12:06PM</t>
  </si>
  <si>
    <t xml:space="preserve">Ovidio Osmany Hernández Balsinde</t>
  </si>
  <si>
    <t xml:space="preserve">02/04/2026 12:10PM</t>
  </si>
  <si>
    <t xml:space="preserve">Diana Rosa Rodriguez del Toro</t>
  </si>
  <si>
    <t xml:space="preserve">pichi.love11120@gmail.com</t>
  </si>
  <si>
    <t xml:space="preserve">SÃO JOSÉ DOS CAMPOS</t>
  </si>
  <si>
    <t xml:space="preserve">03/04/2026 4:24PM</t>
  </si>
  <si>
    <t xml:space="preserve">03/04/2026 1:10PM</t>
  </si>
  <si>
    <t xml:space="preserve">DANIEL DAVID FLORES VIQUILLON</t>
  </si>
  <si>
    <t xml:space="preserve">eldani.76503@yahoo.com</t>
  </si>
  <si>
    <t xml:space="preserve">04/04/2026 1:15PM</t>
  </si>
  <si>
    <t xml:space="preserve">Erick Laurence Mauricio</t>
  </si>
  <si>
    <t xml:space="preserve">erikclaurencemauricio@gmail.com</t>
  </si>
  <si>
    <t xml:space="preserve">03/04/2026 11:43PM</t>
  </si>
  <si>
    <t xml:space="preserve">Carlos Eduardo Licontti Mundarain</t>
  </si>
  <si>
    <t xml:space="preserve">Mayra Guerrero Cabrera</t>
  </si>
  <si>
    <t xml:space="preserve">mairacabrera618@gmail.com</t>
  </si>
  <si>
    <t xml:space="preserve">03/04/2026 1:05PM</t>
  </si>
  <si>
    <t xml:space="preserve">Francisco Lázaro E Castillo</t>
  </si>
  <si>
    <t xml:space="preserve">Francisco Lázaro Espinosa Castillo</t>
  </si>
  <si>
    <t xml:space="preserve">espinosafrank60@gmail.com</t>
  </si>
  <si>
    <t xml:space="preserve">04/04/2026 7:29PM</t>
  </si>
  <si>
    <t xml:space="preserve">Maria De La Gloria Ribeiro Cavalcante</t>
  </si>
  <si>
    <t xml:space="preserve">Yailenis Girón de Arma</t>
  </si>
  <si>
    <t xml:space="preserve">Lisbet Valdes Richatts</t>
  </si>
  <si>
    <t xml:space="preserve">lisvaldes92@gmail.com</t>
  </si>
  <si>
    <t xml:space="preserve">05/04/2026 9:41AM</t>
  </si>
  <si>
    <t xml:space="preserve">Luga Antonia Ruiz</t>
  </si>
  <si>
    <t xml:space="preserve">Alfredo Horta Espinosa</t>
  </si>
  <si>
    <t xml:space="preserve">BOA VISTA</t>
  </si>
  <si>
    <t xml:space="preserve">AMAZONAS</t>
  </si>
  <si>
    <t xml:space="preserve">06/04/2026 10:11AM</t>
  </si>
  <si>
    <t xml:space="preserve">Raidel Hernandez Rio</t>
  </si>
  <si>
    <t xml:space="preserve">raidelhernandezrio@gmail.com</t>
  </si>
  <si>
    <t xml:space="preserve">NOVA AURORA</t>
  </si>
  <si>
    <t xml:space="preserve">06/04/2026 12:28PM</t>
  </si>
  <si>
    <t xml:space="preserve">03/04/2026 1:31PM</t>
  </si>
  <si>
    <t xml:space="preserve">Dania Rodriguez Vaillant</t>
  </si>
  <si>
    <t xml:space="preserve">Magalys Negret</t>
  </si>
  <si>
    <t xml:space="preserve">06/04/2026 3:06PM</t>
  </si>
  <si>
    <t xml:space="preserve">Regla Sayli Lopez</t>
  </si>
  <si>
    <t xml:space="preserve">saylilopez4736@gmail.com</t>
  </si>
  <si>
    <t xml:space="preserve">06/04/2026 4:01PM</t>
  </si>
  <si>
    <t xml:space="preserve">YANIET CASTILLO SANCHEZ</t>
  </si>
  <si>
    <t xml:space="preserve">06/04/2026 4:09PM</t>
  </si>
  <si>
    <t xml:space="preserve">RIO VERDE</t>
  </si>
  <si>
    <t xml:space="preserve">06/04/2026 4:38PM</t>
  </si>
  <si>
    <t xml:space="preserve">Ronald N Alburquerque</t>
  </si>
  <si>
    <t xml:space="preserve">elmas2ro@gmail.com</t>
  </si>
  <si>
    <t xml:space="preserve">AD02 - AG. PF.</t>
  </si>
  <si>
    <t xml:space="preserve">06/04/2026 4:53PM</t>
  </si>
  <si>
    <t xml:space="preserve">Marilin Gonzalez Ricardo/ Dixan</t>
  </si>
  <si>
    <t xml:space="preserve">06/04/2026 5:40PM</t>
  </si>
  <si>
    <t xml:space="preserve">Arnaldo Lazaro Hernandez Blanco</t>
  </si>
  <si>
    <t xml:space="preserve">Arnaldo Lázaro</t>
  </si>
  <si>
    <t xml:space="preserve">06/04/2026 7:18PM</t>
  </si>
  <si>
    <t xml:space="preserve">Yurina Rojas Tellez</t>
  </si>
  <si>
    <t xml:space="preserve">06/04/2026 8:33PM</t>
  </si>
  <si>
    <t xml:space="preserve">Bárbara Fernandez Gonzalez</t>
  </si>
  <si>
    <t xml:space="preserve">barbarafernandezgonzale@gmail.com</t>
  </si>
  <si>
    <t xml:space="preserve">06/04/2026 8:45PM</t>
  </si>
  <si>
    <t xml:space="preserve">Ricardo Balbino Baluja Gordillo</t>
  </si>
  <si>
    <t xml:space="preserve">balujaricardo888@gmail.com</t>
  </si>
  <si>
    <t xml:space="preserve">07/04/2026 9:25AM</t>
  </si>
  <si>
    <t xml:space="preserve">Lizardo Andres Lopez Venega</t>
  </si>
  <si>
    <t xml:space="preserve">llizardoandres@gmail.com</t>
  </si>
  <si>
    <t xml:space="preserve">06/04/2026 5:47PM</t>
  </si>
  <si>
    <t xml:space="preserve">Yoany Dominguez Bernal</t>
  </si>
  <si>
    <t xml:space="preserve">Darily Diaz Roja</t>
  </si>
  <si>
    <t xml:space="preserve">yoanydominguez032@gmail.com, yoanyyoany665@gmail.com</t>
  </si>
  <si>
    <t xml:space="preserve">06/04/2026 9:40AM</t>
  </si>
  <si>
    <t xml:space="preserve">Braulio Batista</t>
  </si>
  <si>
    <t xml:space="preserve">batistabraulio448@gmail.com</t>
  </si>
  <si>
    <t xml:space="preserve">07/04/2026 10:01AM</t>
  </si>
  <si>
    <t xml:space="preserve">Patricia Saavedra Verdecia</t>
  </si>
  <si>
    <t xml:space="preserve">Patricia S Saavedra</t>
  </si>
  <si>
    <t xml:space="preserve">07/04/2026 10:08AM</t>
  </si>
  <si>
    <t xml:space="preserve">Daniel Ernesto Castillo Pérez</t>
  </si>
  <si>
    <t xml:space="preserve">07/04/2026 10:25AM</t>
  </si>
  <si>
    <t xml:space="preserve">Maria Beatriz Ramos Garcia</t>
  </si>
  <si>
    <t xml:space="preserve">bramosgarcia008@gmail.com, tommyacosta511@gmail.com</t>
  </si>
  <si>
    <t xml:space="preserve">07/04/2026 11:00AM</t>
  </si>
  <si>
    <t xml:space="preserve">Julio Cesar Mesa Rubio</t>
  </si>
  <si>
    <t xml:space="preserve">06/04/2026 11:34AM</t>
  </si>
  <si>
    <t xml:space="preserve">Ana Maria Espinosa Rizo</t>
  </si>
  <si>
    <t xml:space="preserve">07/04/2026 11:44AM</t>
  </si>
  <si>
    <t xml:space="preserve">Mari Carmen Hall Villavicencio</t>
  </si>
  <si>
    <t xml:space="preserve">Mari Carmen</t>
  </si>
  <si>
    <t xml:space="preserve">marihallvilla@gmail.com</t>
  </si>
  <si>
    <t xml:space="preserve">JUNDIAÍ</t>
  </si>
  <si>
    <t xml:space="preserve">07/04/2026 11:46AM</t>
  </si>
  <si>
    <t xml:space="preserve">07/04/2026 12:01PM</t>
  </si>
  <si>
    <t xml:space="preserve">Carlos Javier Lemus Mesa</t>
  </si>
  <si>
    <t xml:space="preserve">carlosjavierlemusmesa@gmail.com</t>
  </si>
  <si>
    <t xml:space="preserve">07/04/2026 12:08PM</t>
  </si>
  <si>
    <t xml:space="preserve">Luz Marvelia León Castillo</t>
  </si>
  <si>
    <t xml:space="preserve">Niuris Moulton</t>
  </si>
  <si>
    <t xml:space="preserve">moultonzamoraniuris@gmail.com</t>
  </si>
  <si>
    <t xml:space="preserve">07/04/2026 2:21PM</t>
  </si>
  <si>
    <t xml:space="preserve">Arturo Pérez Romero</t>
  </si>
  <si>
    <t xml:space="preserve">perezromeroarturo4@gmail.com</t>
  </si>
  <si>
    <t xml:space="preserve">07/04/2026 3:05PM</t>
  </si>
  <si>
    <t xml:space="preserve">Danier Pérez Quesada</t>
  </si>
  <si>
    <t xml:space="preserve">perezdanier720@grmail.com</t>
  </si>
  <si>
    <t xml:space="preserve">07/04/2026 3:08PM</t>
  </si>
  <si>
    <t xml:space="preserve">Idania Pérez Jimenez</t>
  </si>
  <si>
    <t xml:space="preserve">perezjimenezidania@gmail.com</t>
  </si>
  <si>
    <t xml:space="preserve">07/04/2026 3:35PM</t>
  </si>
  <si>
    <t xml:space="preserve">JORDAN LABRADA GIL</t>
  </si>
  <si>
    <t xml:space="preserve">OSMANY MARCEL FABRÉ</t>
  </si>
  <si>
    <t xml:space="preserve">osmanymarcelf@gmail.com</t>
  </si>
  <si>
    <t xml:space="preserve">07/04/2026 4:38PM</t>
  </si>
  <si>
    <t xml:space="preserve">Marcos Arminan Moret</t>
  </si>
  <si>
    <t xml:space="preserve">marcosarminanmoret@gmail.com</t>
  </si>
  <si>
    <t xml:space="preserve">07/04/2026 9:24AM</t>
  </si>
  <si>
    <t xml:space="preserve">Carlos Javier Yera / EP</t>
  </si>
  <si>
    <t xml:space="preserve">07/04/2026 5:51PM</t>
  </si>
  <si>
    <t xml:space="preserve">Jorge Michel Norona Acosta</t>
  </si>
  <si>
    <t xml:space="preserve">07/04/2026 6:12PM</t>
  </si>
  <si>
    <t xml:space="preserve">Alejandro Gonzales Ametller</t>
  </si>
  <si>
    <t xml:space="preserve">ametller98@gmail.com</t>
  </si>
  <si>
    <t xml:space="preserve">07/04/2026 6:55PM</t>
  </si>
  <si>
    <t xml:space="preserve">CUIABÁ</t>
  </si>
  <si>
    <t xml:space="preserve">07/04/2026 8:10PM</t>
  </si>
  <si>
    <t xml:space="preserve">Dinorkis Reyes Cardero</t>
  </si>
  <si>
    <t xml:space="preserve">dinorkis4@gmail.com</t>
  </si>
  <si>
    <t xml:space="preserve">08/04/2026 11:08AM</t>
  </si>
  <si>
    <t xml:space="preserve">esquiviasalexis054@gmail.com</t>
  </si>
  <si>
    <t xml:space="preserve">08/04/2026 11:47AM</t>
  </si>
  <si>
    <t xml:space="preserve">Leonardo Arguelles León</t>
  </si>
  <si>
    <t xml:space="preserve">leonardoarguellesleon87@gmail.com</t>
  </si>
  <si>
    <t xml:space="preserve">08/04/2026 11:56AM</t>
  </si>
  <si>
    <t xml:space="preserve">Henry Ezequiel Tito Hernandez</t>
  </si>
  <si>
    <t xml:space="preserve">palmajimenez539@gmail.com</t>
  </si>
  <si>
    <t xml:space="preserve">08/04/2026 12:17PM</t>
  </si>
  <si>
    <t xml:space="preserve">Yosef Ferrer Espinosa</t>
  </si>
  <si>
    <t xml:space="preserve">ferreryosef@gmail.com</t>
  </si>
  <si>
    <t xml:space="preserve">08/04/2026 12:57PM</t>
  </si>
  <si>
    <t xml:space="preserve">Miguel Angel Lazarte Gomez</t>
  </si>
  <si>
    <t xml:space="preserve">Inés Dilu Herrera</t>
  </si>
  <si>
    <t xml:space="preserve">inesdiluherrera@gmail.com</t>
  </si>
  <si>
    <t xml:space="preserve">08/04/2026 1:01PM</t>
  </si>
  <si>
    <t xml:space="preserve">Christian Yordan Tamayo Avila</t>
  </si>
  <si>
    <t xml:space="preserve">Christian Yordan Tamayo Ávila</t>
  </si>
  <si>
    <t xml:space="preserve">christianyordantamayoavila@gmail.com</t>
  </si>
  <si>
    <t xml:space="preserve">Dayami Minguez Ordonez</t>
  </si>
  <si>
    <t xml:space="preserve">yanieltuti@gmail.com</t>
  </si>
  <si>
    <t xml:space="preserve">08/04/2026 4:00PM</t>
  </si>
  <si>
    <t xml:space="preserve">E. Costa Ferreira</t>
  </si>
  <si>
    <t xml:space="preserve">Carlos Alberto Esquivel Chavez</t>
  </si>
  <si>
    <t xml:space="preserve">carlosalbertoesquivelchavez@gmail.com</t>
  </si>
  <si>
    <t xml:space="preserve">07/04/2026 4:22PM</t>
  </si>
  <si>
    <t xml:space="preserve">Melisa Maura Ferrer Rodriguez</t>
  </si>
  <si>
    <t xml:space="preserve">Miguel Idelmar Avalo Carmenates</t>
  </si>
  <si>
    <t xml:space="preserve">diugarcia74@gmail.com</t>
  </si>
  <si>
    <t xml:space="preserve">07/04/2026 7:25PM</t>
  </si>
  <si>
    <t xml:space="preserve">Jesús Enrique Ledesma Alvarez</t>
  </si>
  <si>
    <t xml:space="preserve">javierleesma1357@gmail.com</t>
  </si>
  <si>
    <t xml:space="preserve">07/04/2026 12:34PM</t>
  </si>
  <si>
    <t xml:space="preserve">Danay Alguezabal Green</t>
  </si>
  <si>
    <t xml:space="preserve">Cristian Jose Collazo Rodriguez</t>
  </si>
  <si>
    <t xml:space="preserve">07/04/2026 7:30PM</t>
  </si>
  <si>
    <t xml:space="preserve">Marlene Pérez Dominguez</t>
  </si>
  <si>
    <t xml:space="preserve">marlenisperes2026@gmail.com</t>
  </si>
  <si>
    <t xml:space="preserve">CHAPECÓ</t>
  </si>
  <si>
    <t xml:space="preserve">08/04/2026 7:45PM</t>
  </si>
  <si>
    <t xml:space="preserve">Miriam Osman Montero</t>
  </si>
  <si>
    <t xml:space="preserve">ricardopupoanniella@gmail.com</t>
  </si>
  <si>
    <t xml:space="preserve">08/04/2026 9:10PM</t>
  </si>
  <si>
    <t xml:space="preserve">Leonid Reyes Rodriguez</t>
  </si>
  <si>
    <t xml:space="preserve">08/04/2026 9:03PM</t>
  </si>
  <si>
    <t xml:space="preserve">Yixellis R Rodriguez</t>
  </si>
  <si>
    <t xml:space="preserve">Yixellis Rodriguez Rodriguez</t>
  </si>
  <si>
    <t xml:space="preserve">yixellis77@gmail.com</t>
  </si>
  <si>
    <t xml:space="preserve">08/04/2026 9:28PM</t>
  </si>
  <si>
    <t xml:space="preserve">Danay Scull Figueroa</t>
  </si>
  <si>
    <t xml:space="preserve">danayscull86@gmail.com</t>
  </si>
  <si>
    <t xml:space="preserve">Eliany Rodriguez Roque</t>
  </si>
  <si>
    <t xml:space="preserve">idelkyscabezacorrias@gmail.com, elianysrodriguez94@gmail.com</t>
  </si>
  <si>
    <t xml:space="preserve">MARIA VICTORIA ESTRADA MILAN</t>
  </si>
  <si>
    <t xml:space="preserve">Maria Victoria</t>
  </si>
  <si>
    <t xml:space="preserve">estradamilanmariavictoria@gmail.com</t>
  </si>
  <si>
    <t xml:space="preserve">09/04/2026 9:57AM</t>
  </si>
  <si>
    <t xml:space="preserve">Esmerlinda Betancourt Villar</t>
  </si>
  <si>
    <t xml:space="preserve">esmerlindaesmerlinda@gmail.com</t>
  </si>
  <si>
    <t xml:space="preserve">Geney Horta Ruiz</t>
  </si>
  <si>
    <t xml:space="preserve">Leyanet</t>
  </si>
  <si>
    <t xml:space="preserve">yoan.liki@gmail.com</t>
  </si>
  <si>
    <t xml:space="preserve">Luis Angel Paneque Marino</t>
  </si>
  <si>
    <t xml:space="preserve">luisangelpaneque1992@gmail.com</t>
  </si>
  <si>
    <t xml:space="preserve">09/04/2026 11:05AM</t>
  </si>
  <si>
    <t xml:space="preserve">Andy Dieguez Marquez</t>
  </si>
  <si>
    <t xml:space="preserve">andyduiegues@gmail.com</t>
  </si>
  <si>
    <t xml:space="preserve">Rolando Savigne Beris</t>
  </si>
  <si>
    <t xml:space="preserve">Rolando Savigne</t>
  </si>
  <si>
    <t xml:space="preserve">Yoelkis Alba Rodriguez</t>
  </si>
  <si>
    <t xml:space="preserve">yoelkis.alba@gmail.com</t>
  </si>
  <si>
    <t xml:space="preserve">09/04/2026 11:52AM</t>
  </si>
  <si>
    <t xml:space="preserve">09/04/2026 11:59AM</t>
  </si>
  <si>
    <t xml:space="preserve">Asahel Padilla Valdes</t>
  </si>
  <si>
    <t xml:space="preserve">Asahel Padilla Valdés</t>
  </si>
  <si>
    <t xml:space="preserve">asahelpadilla99@gmail.com</t>
  </si>
  <si>
    <t xml:space="preserve">09/04/2026 12:06PM</t>
  </si>
  <si>
    <t xml:space="preserve">Yordania Mendez</t>
  </si>
  <si>
    <t xml:space="preserve">09/04/2026 12:07PM</t>
  </si>
  <si>
    <t xml:space="preserve">09/04/2026 12:10PM</t>
  </si>
  <si>
    <t xml:space="preserve">09/04/2026 11:21AM</t>
  </si>
  <si>
    <t xml:space="preserve">Juan José López Agüero</t>
  </si>
  <si>
    <t xml:space="preserve">...</t>
  </si>
  <si>
    <t xml:space="preserve">09/04/2026 3:24PM</t>
  </si>
  <si>
    <t xml:space="preserve">Danelys Tirce Sanz</t>
  </si>
  <si>
    <t xml:space="preserve">nanygaby96@gmail.com, yordy5797@gmail.com, jimenezyoandry475@gmail.com, nperezoramas@gmail.com</t>
  </si>
  <si>
    <t xml:space="preserve">09/04/2026 11:02AM</t>
  </si>
  <si>
    <t xml:space="preserve">Jose Luis Leach Callis</t>
  </si>
  <si>
    <t xml:space="preserve">alexanderperezdrullet@gmail.com</t>
  </si>
  <si>
    <t xml:space="preserve">09/04/2026 3:52PM</t>
  </si>
  <si>
    <t xml:space="preserve">Roelkis Torres</t>
  </si>
  <si>
    <t xml:space="preserve">09/04/2026 4:22PM</t>
  </si>
  <si>
    <t xml:space="preserve">09/04/2026 4:25PM</t>
  </si>
  <si>
    <t xml:space="preserve">Helio Dantes Santos</t>
  </si>
  <si>
    <t xml:space="preserve">Madeleyne Flores Mezquía</t>
  </si>
  <si>
    <t xml:space="preserve">madeleyneflores7407@gmail.com</t>
  </si>
  <si>
    <t xml:space="preserve">09/04/2026 12:11PM</t>
  </si>
  <si>
    <t xml:space="preserve">Yurisleidis C Marquez</t>
  </si>
  <si>
    <t xml:space="preserve">Yurisleidis Cabrera Marquez</t>
  </si>
  <si>
    <t xml:space="preserve">cuentagoggle79@gmail.com, yurisleidiscabreramarquez@gmail.com</t>
  </si>
  <si>
    <t xml:space="preserve">08/04/2026 5:32PM</t>
  </si>
  <si>
    <t xml:space="preserve">Gilberto E M Guerrero</t>
  </si>
  <si>
    <t xml:space="preserve">Gilberto Enrique Menendez Guerrero</t>
  </si>
  <si>
    <t xml:space="preserve">09/04/2026 5:52PM</t>
  </si>
  <si>
    <t xml:space="preserve">Yoleisis Perez Martinez</t>
  </si>
  <si>
    <t xml:space="preserve">Giorkis Mengana</t>
  </si>
  <si>
    <t xml:space="preserve">giorkismengana88@gmail.com</t>
  </si>
  <si>
    <t xml:space="preserve">09/04/2026 6:15PM</t>
  </si>
  <si>
    <t xml:space="preserve">09/04/2026 9:27AM</t>
  </si>
  <si>
    <t xml:space="preserve">Elizabeth Perez Quevedo</t>
  </si>
  <si>
    <t xml:space="preserve">aliexacostachaviano@gmail.com</t>
  </si>
  <si>
    <t xml:space="preserve">09/04/2026 9:21AM</t>
  </si>
  <si>
    <t xml:space="preserve">Alberto Avila Gonzalez</t>
  </si>
  <si>
    <t xml:space="preserve">Anne Avila Ibarra</t>
  </si>
  <si>
    <t xml:space="preserve">albertoroco1408@gmail.com</t>
  </si>
  <si>
    <t xml:space="preserve">09/04/2026 9:33AM</t>
  </si>
  <si>
    <t xml:space="preserve">Daniela Pereira do Santos</t>
  </si>
  <si>
    <t xml:space="preserve">Francisco Hernández Vizoso</t>
  </si>
  <si>
    <t xml:space="preserve">f19710101@gmail.com</t>
  </si>
  <si>
    <t xml:space="preserve">JAGUARIÚNA</t>
  </si>
  <si>
    <t xml:space="preserve">09/04/2026 9:38AM</t>
  </si>
  <si>
    <t xml:space="preserve">09/04/2026 9:37AM</t>
  </si>
  <si>
    <t xml:space="preserve">Ivette Allegue Saavedra</t>
  </si>
  <si>
    <t xml:space="preserve">rsarmientoechevarria3@gmail.com</t>
  </si>
  <si>
    <t xml:space="preserve">RIO VERDE, GO</t>
  </si>
  <si>
    <t xml:space="preserve">09/04/2026 9:41AM</t>
  </si>
  <si>
    <t xml:space="preserve">09/04/2026 9:47AM</t>
  </si>
  <si>
    <t xml:space="preserve">Wandy Campos Ojeda</t>
  </si>
  <si>
    <t xml:space="preserve">wandycamposojeda5@gmail.com</t>
  </si>
  <si>
    <t xml:space="preserve">HUMBERTO GRANADO CARRAZANA</t>
  </si>
  <si>
    <t xml:space="preserve">Yenia Ventura</t>
  </si>
  <si>
    <t xml:space="preserve">leidyventura024@gmail.com</t>
  </si>
  <si>
    <t xml:space="preserve">Kelly Junia Araujo Da Silva</t>
  </si>
  <si>
    <t xml:space="preserve">Elianis Bourricaudy Ricardo</t>
  </si>
  <si>
    <t xml:space="preserve">afernandez@starsamdc.com</t>
  </si>
  <si>
    <t xml:space="preserve">BELO HORIZONTE</t>
  </si>
  <si>
    <t xml:space="preserve">bourricaudyselianis@gmail.com</t>
  </si>
  <si>
    <t xml:space="preserve">Saymel Choy del Campo</t>
  </si>
  <si>
    <t xml:space="preserve">saymelchoy986@gmail.com</t>
  </si>
  <si>
    <t xml:space="preserve">10/04/2026 1:28PM</t>
  </si>
  <si>
    <t xml:space="preserve">Lazara Karla Jerez Lale</t>
  </si>
  <si>
    <t xml:space="preserve">Roel Reyes Rojas</t>
  </si>
  <si>
    <t xml:space="preserve">roelreyesrojas@gmail.com</t>
  </si>
  <si>
    <t xml:space="preserve">10/04/2026 1:17PM</t>
  </si>
  <si>
    <t xml:space="preserve">Lisandry Eloi Ortega Carmona</t>
  </si>
  <si>
    <t xml:space="preserve">lisandryeloiortegacarmona@gmail.com</t>
  </si>
  <si>
    <t xml:space="preserve">03/04/2026 1:50PM</t>
  </si>
  <si>
    <t xml:space="preserve">Diorge Mendoza Figueredo</t>
  </si>
  <si>
    <t xml:space="preserve">diormendozaf@gmail.com</t>
  </si>
  <si>
    <t xml:space="preserve">10/04/2026 2:01PM</t>
  </si>
  <si>
    <t xml:space="preserve">Ramon Javier Moreno Ortiz</t>
  </si>
  <si>
    <t xml:space="preserve">ramonjaviermorenoortiz@gmail.com</t>
  </si>
  <si>
    <t xml:space="preserve">BLUMENAU</t>
  </si>
  <si>
    <t xml:space="preserve">10/04/2026 2:02PM</t>
  </si>
  <si>
    <t xml:space="preserve">Diarelys Soto Marrero</t>
  </si>
  <si>
    <t xml:space="preserve">karelquinterodavila92@gmail.com</t>
  </si>
  <si>
    <t xml:space="preserve">10/04/2026 2:15PM</t>
  </si>
  <si>
    <t xml:space="preserve">Roinier Orozco Delgado</t>
  </si>
  <si>
    <t xml:space="preserve">roinierorozco551@gmail.com</t>
  </si>
  <si>
    <t xml:space="preserve">AD02 - CERT. CONS.</t>
  </si>
  <si>
    <t xml:space="preserve">10/04/2026 12:49PM</t>
  </si>
  <si>
    <t xml:space="preserve">10/04/2026 3:17PM</t>
  </si>
  <si>
    <t xml:space="preserve">David De Jesus Alvarez Castaneda</t>
  </si>
  <si>
    <t xml:space="preserve">David de Jesus Alvarez Castaneda</t>
  </si>
  <si>
    <t xml:space="preserve">djesus0595@gmail.com, carloroque080595@gmail.com</t>
  </si>
  <si>
    <t xml:space="preserve">SÃO CARLOS</t>
  </si>
  <si>
    <t xml:space="preserve">10/04/2026 4:16PM</t>
  </si>
  <si>
    <t xml:space="preserve">10/04/2026 5:11PM</t>
  </si>
  <si>
    <t xml:space="preserve">Yoandrys Banteur Alvarez</t>
  </si>
  <si>
    <t xml:space="preserve">ybanteur@gmail.com</t>
  </si>
  <si>
    <t xml:space="preserve">10/04/2026 7:40PM</t>
  </si>
  <si>
    <t xml:space="preserve">LISBET BLANCO DIAZ</t>
  </si>
  <si>
    <t xml:space="preserve">Lisbet Blanco Diaz</t>
  </si>
  <si>
    <t xml:space="preserve">lisbetd499@gmail.com</t>
  </si>
  <si>
    <t xml:space="preserve">10/04/2026 7:22PM</t>
  </si>
  <si>
    <t xml:space="preserve">ADALBERTO PUPO GOVEA</t>
  </si>
  <si>
    <t xml:space="preserve">Dayana Eylin Franco Astorga / Elayne</t>
  </si>
  <si>
    <t xml:space="preserve">dfrancoastorga@gmail.com</t>
  </si>
  <si>
    <t xml:space="preserve">11/04/2026 11:00AM</t>
  </si>
  <si>
    <t xml:space="preserve">Lazaro Luis Pereira Reyes</t>
  </si>
  <si>
    <t xml:space="preserve">lazaroluisbj22@gmail.com</t>
  </si>
  <si>
    <t xml:space="preserve">11/04/2026 11:28AM</t>
  </si>
  <si>
    <t xml:space="preserve">Yuliesky Billetero Arcolea</t>
  </si>
  <si>
    <t xml:space="preserve">yulieskybilletero653@gmail.com</t>
  </si>
  <si>
    <t xml:space="preserve">CASCAVEL</t>
  </si>
  <si>
    <t xml:space="preserve">11/04/2026 3:14PM</t>
  </si>
  <si>
    <t xml:space="preserve">Dailyn Sanchez Aveille</t>
  </si>
  <si>
    <t xml:space="preserve">Yordán Alexis Gómez Barreto</t>
  </si>
  <si>
    <t xml:space="preserve">alexisyordan252@gmail.com</t>
  </si>
  <si>
    <t xml:space="preserve">11/04/2026 3:59PM</t>
  </si>
  <si>
    <t xml:space="preserve">Ana Diaz Fernandez</t>
  </si>
  <si>
    <t xml:space="preserve">Emilio Reinier Pedroso Vento</t>
  </si>
  <si>
    <t xml:space="preserve">adfernandez1985@gmail.com</t>
  </si>
  <si>
    <t xml:space="preserve">10/04/2026 4:07PM</t>
  </si>
  <si>
    <t xml:space="preserve">RIO DE JANEIRO</t>
  </si>
  <si>
    <t xml:space="preserve">10/04/2026 4:10PM</t>
  </si>
  <si>
    <t xml:space="preserve">11/04/2026 10:22AM</t>
  </si>
  <si>
    <t xml:space="preserve">Adrian Eduardo</t>
  </si>
  <si>
    <t xml:space="preserve">marialuisabarreras78@gmail.com, marialuisabarreramartinez06@gmail.com</t>
  </si>
  <si>
    <t xml:space="preserve">11/04/2026 5:25PM</t>
  </si>
  <si>
    <t xml:space="preserve">Raida Adelaida Cardoso Arteaga</t>
  </si>
  <si>
    <t xml:space="preserve">11/04/2026 5:48PM</t>
  </si>
  <si>
    <t xml:space="preserve">Noé Escobar Feria</t>
  </si>
  <si>
    <t xml:space="preserve">escobarferianoe@gmail.com</t>
  </si>
  <si>
    <t xml:space="preserve">11/04/2026 7:58PM</t>
  </si>
  <si>
    <t xml:space="preserve">Dunia Elena Martinez Paneque</t>
  </si>
  <si>
    <t xml:space="preserve">duniaelenamartinez@gmail.com</t>
  </si>
  <si>
    <t xml:space="preserve">11/04/2026 8:03PM</t>
  </si>
  <si>
    <t xml:space="preserve">Pablo Luis Ramírez Cabo</t>
  </si>
  <si>
    <t xml:space="preserve">caboluis11@gmail.com</t>
  </si>
  <si>
    <t xml:space="preserve">RORAIMA</t>
  </si>
  <si>
    <t xml:space="preserve">11/04/2026 8:21PM</t>
  </si>
  <si>
    <t xml:space="preserve">Jordan Labrada Gil</t>
  </si>
  <si>
    <t xml:space="preserve">11/04/2026 8:11PM</t>
  </si>
  <si>
    <t xml:space="preserve">Mileidy García García</t>
  </si>
  <si>
    <t xml:space="preserve">mileidygarcia361@gmail.com</t>
  </si>
  <si>
    <t xml:space="preserve">11/04/2026 9:11PM</t>
  </si>
  <si>
    <t xml:space="preserve">11/04/2026 9:24PM</t>
  </si>
  <si>
    <t xml:space="preserve">YUNEYSI DIAZ TORRES</t>
  </si>
  <si>
    <t xml:space="preserve">yuneisysdias794@gmail.com</t>
  </si>
  <si>
    <t xml:space="preserve">10/04/2026 3:47PM</t>
  </si>
  <si>
    <t xml:space="preserve">Yordan Leyva Ramirez</t>
  </si>
  <si>
    <t xml:space="preserve">12/04/2026 12:17PM</t>
  </si>
  <si>
    <t xml:space="preserve">Arian Ramirez Portilla</t>
  </si>
  <si>
    <t xml:space="preserve">arianramirez611@gmail.con</t>
  </si>
  <si>
    <t xml:space="preserve">CÁCERES</t>
  </si>
  <si>
    <t xml:space="preserve">12/04/2026 12:20PM</t>
  </si>
  <si>
    <t xml:space="preserve">12/04/2026 12:05PM</t>
  </si>
  <si>
    <t xml:space="preserve">Yamile Ham Chiong</t>
  </si>
  <si>
    <t xml:space="preserve">yanethamchiong@gmail.com</t>
  </si>
  <si>
    <t xml:space="preserve">12/04/2026 1:31PM</t>
  </si>
  <si>
    <t xml:space="preserve">ECONSTAR S.A.</t>
  </si>
  <si>
    <t xml:space="preserve">Ana Maria Yorente Vargas</t>
  </si>
  <si>
    <t xml:space="preserve">12/04/2026 2:23PM</t>
  </si>
  <si>
    <t xml:space="preserve">Andrés Viña Carrasco</t>
  </si>
  <si>
    <t xml:space="preserve">VINACARRASCOA@GMAIL.COM</t>
  </si>
  <si>
    <t xml:space="preserve">PORTO ALEGRE</t>
  </si>
  <si>
    <t xml:space="preserve">12/04/2026 3:21PM</t>
  </si>
  <si>
    <t xml:space="preserve">Niosbanis De la Paz Corria</t>
  </si>
  <si>
    <t xml:space="preserve">DIVINÓPOLIS</t>
  </si>
  <si>
    <t xml:space="preserve">12/04/2026 3:26PM</t>
  </si>
  <si>
    <t xml:space="preserve">Eulider Napoles Gonzalez</t>
  </si>
  <si>
    <t xml:space="preserve">12/04/2026 6:21PM</t>
  </si>
  <si>
    <t xml:space="preserve">12/04/2026 7:00PM</t>
  </si>
  <si>
    <t xml:space="preserve">Raudel Novo Sanchez</t>
  </si>
  <si>
    <t xml:space="preserve">Yessica Morales Sanchez / Raudel Novo</t>
  </si>
  <si>
    <t xml:space="preserve">yessicamoralessanchez86@gmail.com</t>
  </si>
  <si>
    <t xml:space="preserve">12/04/2026 7:26PM</t>
  </si>
  <si>
    <t xml:space="preserve">Rudis Ortiz Olivares</t>
  </si>
  <si>
    <t xml:space="preserve">ortizolivaresrufus@gmail.com</t>
  </si>
  <si>
    <t xml:space="preserve">13/04/2026 10:57AM</t>
  </si>
  <si>
    <t xml:space="preserve">Ariel Herrera Gomez</t>
  </si>
  <si>
    <t xml:space="preserve">12/04/2026 7:03PM</t>
  </si>
  <si>
    <t xml:space="preserve">Yosnelvys Cardoza Lobaina</t>
  </si>
  <si>
    <t xml:space="preserve">Rafael del Risco Jimenez</t>
  </si>
  <si>
    <t xml:space="preserve">53 63105252</t>
  </si>
  <si>
    <t xml:space="preserve">12/04/2026 12:06PM</t>
  </si>
  <si>
    <t xml:space="preserve">Yosnelvys Cardosa Lobaina</t>
  </si>
  <si>
    <t xml:space="preserve">+53 63105252</t>
  </si>
  <si>
    <t xml:space="preserve">13/04/2026 12:06PM</t>
  </si>
  <si>
    <t xml:space="preserve">Luis Angel Paneque Merino</t>
  </si>
  <si>
    <t xml:space="preserve">13/04/2026 12:19PM</t>
  </si>
  <si>
    <t xml:space="preserve">Ramon de la Cruz Belia</t>
  </si>
  <si>
    <t xml:space="preserve">delacruzbeliaranmon@gmail.com</t>
  </si>
  <si>
    <t xml:space="preserve">13/04/2026 12:29PM</t>
  </si>
  <si>
    <t xml:space="preserve">13/04/2026 2:01PM</t>
  </si>
  <si>
    <t xml:space="preserve">Jean Marco Rivero</t>
  </si>
  <si>
    <t xml:space="preserve">jmrdenascimento@gmail.com</t>
  </si>
  <si>
    <t xml:space="preserve">13/04/2026 4:44PM</t>
  </si>
  <si>
    <t xml:space="preserve">Brian Uranga Salazar</t>
  </si>
  <si>
    <t xml:space="preserve">Shakira Mallo</t>
  </si>
  <si>
    <t xml:space="preserve">shakirac9908@gmail.com, brayanuranga022@gmail.com</t>
  </si>
  <si>
    <t xml:space="preserve">13/04/2026 6:24PM</t>
  </si>
  <si>
    <t xml:space="preserve">Michel Reyes Ordaz</t>
  </si>
  <si>
    <t xml:space="preserve">michelreyesordaz60@gmail.com</t>
  </si>
  <si>
    <t xml:space="preserve">13/04/2026 7:28PM</t>
  </si>
  <si>
    <t xml:space="preserve">Eudalis Fernández Rodriguez</t>
  </si>
  <si>
    <t xml:space="preserve">13/04/2026 7:41PM</t>
  </si>
  <si>
    <t xml:space="preserve">YUDELMIS RAMIREZ CRUZ</t>
  </si>
  <si>
    <t xml:space="preserve">Yudelmis Ramirez Cruz</t>
  </si>
  <si>
    <t xml:space="preserve">regnitor88@gmail.com</t>
  </si>
  <si>
    <t xml:space="preserve">13/04/2026 7:18PM</t>
  </si>
  <si>
    <t xml:space="preserve">YANET BERMUDEZ GONZALEZ</t>
  </si>
  <si>
    <t xml:space="preserve">Yanet Bermudez Gonzalez</t>
  </si>
  <si>
    <t xml:space="preserve">cordovesbatistayunieskisamuel@gmail.comm</t>
  </si>
  <si>
    <t xml:space="preserve">13/04/2026 9:22PM</t>
  </si>
  <si>
    <t xml:space="preserve">Roberto Perez Fernandez</t>
  </si>
  <si>
    <t xml:space="preserve">Roberto Perez Fernandez / Pedro Luis Acosta</t>
  </si>
  <si>
    <t xml:space="preserve">Perezfernandezr093@gmail.com</t>
  </si>
  <si>
    <t xml:space="preserve">13/04/2026 9:39PM</t>
  </si>
  <si>
    <t xml:space="preserve">LISBET GONZALEZ CAMEJO</t>
  </si>
  <si>
    <t xml:space="preserve">lisbetpiki@gmail.com</t>
  </si>
  <si>
    <t xml:space="preserve">13/04/2026 9:28AM</t>
  </si>
  <si>
    <t xml:space="preserve">Osdelky Barbara Cervantes</t>
  </si>
  <si>
    <t xml:space="preserve">Ifrain</t>
  </si>
  <si>
    <t xml:space="preserve">Ifrainguerra114@gmail.com</t>
  </si>
  <si>
    <t xml:space="preserve">14/04/2026 9:32AM</t>
  </si>
  <si>
    <t xml:space="preserve">Danlier Almenares Isaac</t>
  </si>
  <si>
    <t xml:space="preserve">Almenaresdanlier@gmail.com</t>
  </si>
  <si>
    <t xml:space="preserve">BAURU</t>
  </si>
  <si>
    <t xml:space="preserve">14/04/2026 9:47AM</t>
  </si>
  <si>
    <t xml:space="preserve">YELENNI LEMES PADRON</t>
  </si>
  <si>
    <t xml:space="preserve">Joel Ernesto Alonso</t>
  </si>
  <si>
    <t xml:space="preserve">alonsotemprano88@gmail.com</t>
  </si>
  <si>
    <t xml:space="preserve">AD03 - AG. PF.</t>
  </si>
  <si>
    <t xml:space="preserve">14/04/2026 10:08AM</t>
  </si>
  <si>
    <t xml:space="preserve">Alexey Romero Estrada</t>
  </si>
  <si>
    <t xml:space="preserve">alexeyromeroestrada9@gmail.com</t>
  </si>
  <si>
    <t xml:space="preserve">14/04/2026 10:16AM</t>
  </si>
  <si>
    <t xml:space="preserve">milianosiel59@gmail.com</t>
  </si>
  <si>
    <t xml:space="preserve">14/04/2026 10:24AM</t>
  </si>
  <si>
    <t xml:space="preserve">ALEXEI TELLEZ NUNEZ</t>
  </si>
  <si>
    <t xml:space="preserve">Niudda Rodriguez Labañino</t>
  </si>
  <si>
    <t xml:space="preserve">niuddarodriguezlabanino01@gmail.com</t>
  </si>
  <si>
    <t xml:space="preserve">13/04/2026 10:37AM</t>
  </si>
  <si>
    <t xml:space="preserve">HERENIA TAMAYO HIDALGO</t>
  </si>
  <si>
    <t xml:space="preserve">Herenia Tamayo Hidalgo</t>
  </si>
  <si>
    <t xml:space="preserve">13/04/2026 10:48AM</t>
  </si>
  <si>
    <t xml:space="preserve">Nelsy Morales Lima</t>
  </si>
  <si>
    <t xml:space="preserve">moralesnelsy969@gmail.com</t>
  </si>
  <si>
    <t xml:space="preserve">14/04/2026 3:20PM</t>
  </si>
  <si>
    <t xml:space="preserve">Elienai Castillo Zaldivar</t>
  </si>
  <si>
    <t xml:space="preserve">14/04/2026 5:45PM</t>
  </si>
  <si>
    <t xml:space="preserve">ADELINA PENA MACEO</t>
  </si>
  <si>
    <t xml:space="preserve">Adelina Peña Maceo</t>
  </si>
  <si>
    <t xml:space="preserve">penaadelina235@gmail.com</t>
  </si>
  <si>
    <t xml:space="preserve">14/04/2026 9:39AM</t>
  </si>
  <si>
    <t xml:space="preserve">Alejandro Fernando Pena Perez</t>
  </si>
  <si>
    <t xml:space="preserve">reyeslaritza505@gmail.com</t>
  </si>
  <si>
    <t xml:space="preserve">14/04/2026 10:12AM</t>
  </si>
  <si>
    <t xml:space="preserve">14/04/2026 10:30AM</t>
  </si>
  <si>
    <t xml:space="preserve">15/04/2026 11:09AM</t>
  </si>
  <si>
    <t xml:space="preserve">Woovi Institucion de pagamentop LTDA</t>
  </si>
  <si>
    <t xml:space="preserve">Leandro Esteban Petrakis</t>
  </si>
  <si>
    <t xml:space="preserve">lospetra.com@gmail.com</t>
  </si>
  <si>
    <t xml:space="preserve">ARGENTINA</t>
  </si>
  <si>
    <t xml:space="preserve">15/04/2026 3:15PM</t>
  </si>
  <si>
    <t xml:space="preserve">Leandro Barbaro Cutting</t>
  </si>
  <si>
    <t xml:space="preserve">lsanchezcutting@gmail.com</t>
  </si>
  <si>
    <t xml:space="preserve">15/04/2026 4:17PM</t>
  </si>
  <si>
    <t xml:space="preserve">GREEY DE LA RIVA GARCIA</t>
  </si>
  <si>
    <t xml:space="preserve">Greey de la Riva Garcia</t>
  </si>
  <si>
    <t xml:space="preserve">henryrosadocastillo76r@gmail.com</t>
  </si>
  <si>
    <t xml:space="preserve">TIJUCAS</t>
  </si>
  <si>
    <t xml:space="preserve">15/04/2026 4:59PM</t>
  </si>
  <si>
    <t xml:space="preserve">Ramon Alejandro Gutierrez Charon</t>
  </si>
  <si>
    <t xml:space="preserve">Mireya Lucia Charón Chavez</t>
  </si>
  <si>
    <t xml:space="preserve">mireyacharon5@gmail.com</t>
  </si>
  <si>
    <t xml:space="preserve">15/04/2026 5:29PM</t>
  </si>
  <si>
    <t xml:space="preserve">Daniel Faustino Sardinas Torres</t>
  </si>
  <si>
    <t xml:space="preserve">daniel530215@gmail.com</t>
  </si>
  <si>
    <t xml:space="preserve">15/04/2026 5:33PM</t>
  </si>
  <si>
    <t xml:space="preserve">15/04/2026 5:37PM</t>
  </si>
  <si>
    <t xml:space="preserve">15/04/2026 6:06PM</t>
  </si>
  <si>
    <t xml:space="preserve">Diomar Casas Olivares</t>
  </si>
  <si>
    <t xml:space="preserve">15/04/2026 7:57PM</t>
  </si>
  <si>
    <t xml:space="preserve">DANIEL ORLANDO COLLADO RODRIGUEZ</t>
  </si>
  <si>
    <t xml:space="preserve">15/04/2026 8:06PM</t>
  </si>
  <si>
    <t xml:space="preserve">15/04/2026 8:51PM</t>
  </si>
  <si>
    <t xml:space="preserve">15/04/2026 8:48PM</t>
  </si>
  <si>
    <t xml:space="preserve">15/04/2026 9:42PM</t>
  </si>
  <si>
    <t xml:space="preserve">Ernesto Roselló Quesada</t>
  </si>
  <si>
    <t xml:space="preserve">roselloernesto2@gmail.com</t>
  </si>
  <si>
    <t xml:space="preserve">15/04/2026 9:30AM</t>
  </si>
  <si>
    <t xml:space="preserve">Yudenia Matos Nunez</t>
  </si>
  <si>
    <t xml:space="preserve">PODER NOTARIAL</t>
  </si>
  <si>
    <t xml:space="preserve">yudeniamn@gmail.com</t>
  </si>
  <si>
    <t xml:space="preserve">16/04/2026 9:58AM</t>
  </si>
  <si>
    <t xml:space="preserve">Yasmany García Almeira</t>
  </si>
  <si>
    <t xml:space="preserve">yasmanyga1989@gmail.com</t>
  </si>
  <si>
    <t xml:space="preserve">15/04/2026 10:15AM</t>
  </si>
  <si>
    <t xml:space="preserve">Alexei Chang</t>
  </si>
  <si>
    <t xml:space="preserve">Raudel Cutiño Lorente</t>
  </si>
  <si>
    <t xml:space="preserve">nanychng1105@gmail.com</t>
  </si>
  <si>
    <t xml:space="preserve">GUARULHOS</t>
  </si>
  <si>
    <t xml:space="preserve">16/04/2026 11:15AM</t>
  </si>
  <si>
    <t xml:space="preserve">Elmis Muñoz Ramirez</t>
  </si>
  <si>
    <t xml:space="preserve">munozelmis694@gmail.com</t>
  </si>
  <si>
    <t xml:space="preserve">16/04/2026 11:27AM</t>
  </si>
  <si>
    <t xml:space="preserve">Duniesky Felix Cuellar</t>
  </si>
  <si>
    <t xml:space="preserve">yvalurodriguez416@gmail.com</t>
  </si>
  <si>
    <t xml:space="preserve">16/04/2026 11:36AM</t>
  </si>
  <si>
    <t xml:space="preserve">Roger Matos</t>
  </si>
  <si>
    <t xml:space="preserve">matoshernandezroger@gmail.com</t>
  </si>
  <si>
    <t xml:space="preserve">16/04/2026 12:22PM</t>
  </si>
  <si>
    <t xml:space="preserve">Roylan</t>
  </si>
  <si>
    <t xml:space="preserve">16/04/2026 12:12PM</t>
  </si>
  <si>
    <t xml:space="preserve">Maikel Ramirez Riveron</t>
  </si>
  <si>
    <t xml:space="preserve">maikelrr87@gmail.com</t>
  </si>
  <si>
    <t xml:space="preserve">16/04/2026 1:54PM</t>
  </si>
  <si>
    <t xml:space="preserve">Yulian Rafael Reyes Molina</t>
  </si>
  <si>
    <t xml:space="preserve">yulianreyes570@gmail.com</t>
  </si>
  <si>
    <t xml:space="preserve">16/04/2026 2:04PM</t>
  </si>
  <si>
    <t xml:space="preserve">Lisandra Campos Rodriguez</t>
  </si>
  <si>
    <t xml:space="preserve">Lisandra Campos Rodriguez / Adrisley</t>
  </si>
  <si>
    <t xml:space="preserve">lisandracampos1993@gmail.com</t>
  </si>
  <si>
    <t xml:space="preserve">16/04/2026 2:13PM</t>
  </si>
  <si>
    <t xml:space="preserve">YUNEYSIS HERNANDEZ ENAMORADO</t>
  </si>
  <si>
    <t xml:space="preserve">16/04/2026 2:26PM</t>
  </si>
  <si>
    <t xml:space="preserve">YOLAIDIS HERNANDEZ GALINDO</t>
  </si>
  <si>
    <t xml:space="preserve">Yolaidis Hernandez Galindo</t>
  </si>
  <si>
    <t xml:space="preserve">yolaidisernandez@gmail.com</t>
  </si>
  <si>
    <t xml:space="preserve">16/04/2026 2:44PM</t>
  </si>
  <si>
    <t xml:space="preserve">Norges Coss Santana</t>
  </si>
  <si>
    <t xml:space="preserve">15/04/2026 7:22PM</t>
  </si>
  <si>
    <t xml:space="preserve">16/04/2026 2:56PM</t>
  </si>
  <si>
    <t xml:space="preserve">Yoandris Castellanos Cruz</t>
  </si>
  <si>
    <t xml:space="preserve">yoandriscastellanoscruz@gmail.com</t>
  </si>
  <si>
    <t xml:space="preserve">16/04/2026 5:40PM</t>
  </si>
  <si>
    <t xml:space="preserve">Jaynier Caraballo Galan</t>
  </si>
  <si>
    <t xml:space="preserve">Jaynier Caraballo Galán</t>
  </si>
  <si>
    <t xml:space="preserve">jaynier13@gmail.com</t>
  </si>
  <si>
    <t xml:space="preserve">16/04/2026 8:57PM</t>
  </si>
  <si>
    <t xml:space="preserve">Tania González García</t>
  </si>
  <si>
    <t xml:space="preserve">taniagonzalves7@gmail.com</t>
  </si>
  <si>
    <t xml:space="preserve">PONTE LACERDA</t>
  </si>
  <si>
    <t xml:space="preserve">16/04/2026 9:15PM</t>
  </si>
  <si>
    <t xml:space="preserve">Amanda Terry Martínez</t>
  </si>
  <si>
    <t xml:space="preserve">Amanda Terry Martinez</t>
  </si>
  <si>
    <t xml:space="preserve">ogundatetura03@gmail.com</t>
  </si>
  <si>
    <t xml:space="preserve">16/04/2026 9:33AM</t>
  </si>
  <si>
    <t xml:space="preserve">Raysel Lázaro Baez Reyes</t>
  </si>
  <si>
    <t xml:space="preserve">Raysel Lázaro Báez Reyes</t>
  </si>
  <si>
    <t xml:space="preserve">raiselbaez@gmail.com</t>
  </si>
  <si>
    <t xml:space="preserve">16/04/2026 10:31AM</t>
  </si>
  <si>
    <t xml:space="preserve">ARMANDO GONZALEZ ESTUPINAN / Marilin Sarmiento</t>
  </si>
  <si>
    <t xml:space="preserve">NEOBER AGUSTIN DERVILLA ESPINOSA</t>
  </si>
  <si>
    <t xml:space="preserve">Neober Agustín Dervilla Espinosa</t>
  </si>
  <si>
    <t xml:space="preserve">neoberdervilla@gmail.com</t>
  </si>
  <si>
    <t xml:space="preserve">16/04/2026 10:35AM</t>
  </si>
  <si>
    <t xml:space="preserve">17/04/2026 10:22AM</t>
  </si>
  <si>
    <t xml:space="preserve">Yrachy Rodriguez Fernandez</t>
  </si>
  <si>
    <t xml:space="preserve">YRachy Rodriguez Fernandez</t>
  </si>
  <si>
    <t xml:space="preserve">yrachyrodriguezfernandez@gmail.com</t>
  </si>
  <si>
    <t xml:space="preserve">17/04/2026 11:07AM</t>
  </si>
  <si>
    <t xml:space="preserve">17/04/2026 2:29PM</t>
  </si>
  <si>
    <t xml:space="preserve">Lissandra Amada Dominguez Cabrera</t>
  </si>
  <si>
    <t xml:space="preserve">Alexis Lazaro Arteaga Piloto</t>
  </si>
  <si>
    <t xml:space="preserve">lazaroalexe052@gmail.com</t>
  </si>
  <si>
    <t xml:space="preserve">17/04/2026 4:32PM</t>
  </si>
  <si>
    <t xml:space="preserve">17/04/2026 5:00PM</t>
  </si>
  <si>
    <t xml:space="preserve">17/04/2026 5:08PM</t>
  </si>
  <si>
    <t xml:space="preserve">Liliana Barrios Alfonso</t>
  </si>
  <si>
    <t xml:space="preserve">Alain</t>
  </si>
  <si>
    <t xml:space="preserve">suarezalain1974@gmail.com</t>
  </si>
  <si>
    <t xml:space="preserve">17/04/2026 5:26PM</t>
  </si>
  <si>
    <t xml:space="preserve">Vania Zulueta Reyes</t>
  </si>
  <si>
    <t xml:space="preserve">Vania</t>
  </si>
  <si>
    <t xml:space="preserve">17/04/2026 8:16PM</t>
  </si>
  <si>
    <t xml:space="preserve">17/04/2026 10:52PM</t>
  </si>
  <si>
    <t xml:space="preserve">Alejandro Jesus Barredo Yera</t>
  </si>
  <si>
    <t xml:space="preserve">alejandrobarredocafu@gmail.com</t>
  </si>
  <si>
    <t xml:space="preserve">17/04/2026 11:43AM</t>
  </si>
  <si>
    <t xml:space="preserve">Midiala Hernandez Venero</t>
  </si>
  <si>
    <t xml:space="preserve">midialahernandezvenero@gmail.com</t>
  </si>
  <si>
    <t xml:space="preserve">18/04/2026 12:32PM</t>
  </si>
  <si>
    <t xml:space="preserve">YOYMAR SANCHEZ ROSALES</t>
  </si>
  <si>
    <t xml:space="preserve">Deyvis Pérez Villar</t>
  </si>
  <si>
    <t xml:space="preserve">deyviswuaydariam@gmail.com</t>
  </si>
  <si>
    <t xml:space="preserve">18/04/2026 1:32PM</t>
  </si>
  <si>
    <t xml:space="preserve">Danis Gonzalez Valdes</t>
  </si>
  <si>
    <t xml:space="preserve">darielavargasjimenez27@gmail.com, darielsanchezsp931@gmail.com</t>
  </si>
  <si>
    <t xml:space="preserve">RIBERÃO PRETO</t>
  </si>
  <si>
    <t xml:space="preserve">18/04/2026 6:32PM</t>
  </si>
  <si>
    <t xml:space="preserve">Ledian Portuondo Castro</t>
  </si>
  <si>
    <t xml:space="preserve">lele900210@gmail.com</t>
  </si>
  <si>
    <t xml:space="preserve">18/04/2026 2:21PM</t>
  </si>
  <si>
    <t xml:space="preserve">Lisardo Gomez Charon</t>
  </si>
  <si>
    <t xml:space="preserve">lisardogomez305@gmail.com</t>
  </si>
  <si>
    <t xml:space="preserve">18/04/2026 7:19PM</t>
  </si>
  <si>
    <t xml:space="preserve">Bernoidys Blanco Balbier</t>
  </si>
  <si>
    <t xml:space="preserve">bblancobalbier@gmail.com</t>
  </si>
  <si>
    <t xml:space="preserve">18/04/2026 7:45PM</t>
  </si>
  <si>
    <t xml:space="preserve">Marisol Betancourt Reyes</t>
  </si>
  <si>
    <t xml:space="preserve">marisolbetancourtreyes096@gmail.com</t>
  </si>
  <si>
    <t xml:space="preserve">18/04/2026 9:29PM</t>
  </si>
  <si>
    <t xml:space="preserve">18/04/2026 9:54PM</t>
  </si>
  <si>
    <t xml:space="preserve">Ludmila Morales Llerena</t>
  </si>
  <si>
    <t xml:space="preserve">19/04/2026 10:32AM</t>
  </si>
  <si>
    <t xml:space="preserve">19/04/2026 11:35AM</t>
  </si>
  <si>
    <t xml:space="preserve">19/04/2026 12:43PM</t>
  </si>
  <si>
    <t xml:space="preserve">Rogelio Carrion Leyva</t>
  </si>
  <si>
    <t xml:space="preserve">belettyuri@gmail.com</t>
  </si>
  <si>
    <t xml:space="preserve">17/04/2026 6:57PM</t>
  </si>
  <si>
    <t xml:space="preserve">Doralis Castillo Sanchez</t>
  </si>
  <si>
    <t xml:space="preserve">castillosanchezdoralis@gmail.com</t>
  </si>
  <si>
    <t xml:space="preserve">19/04/2026 7:25PM</t>
  </si>
  <si>
    <t xml:space="preserve">Alianny Rodríguez Vega</t>
  </si>
  <si>
    <t xml:space="preserve">danielrodriguezcastro5@gmail.com</t>
  </si>
  <si>
    <t xml:space="preserve">17/04/2026 9:31AM</t>
  </si>
  <si>
    <t xml:space="preserve">DORA ILSA RODRIGUEZ NUNEZ</t>
  </si>
  <si>
    <t xml:space="preserve">Dora</t>
  </si>
  <si>
    <t xml:space="preserve">rodelkis87@gmail.com</t>
  </si>
  <si>
    <t xml:space="preserve">PEÑA</t>
  </si>
  <si>
    <t xml:space="preserve">18/04/2026 9:38AM</t>
  </si>
  <si>
    <t xml:space="preserve">Marian Ferrer Neyra</t>
  </si>
  <si>
    <t xml:space="preserve">ferrermarian998@gmail.com</t>
  </si>
  <si>
    <t xml:space="preserve">INSTAGRAM_BIO</t>
  </si>
  <si>
    <t xml:space="preserve">19/04/2026 9:44AM</t>
  </si>
  <si>
    <t xml:space="preserve">Marco Antonio Haidar Fernandez</t>
  </si>
  <si>
    <t xml:space="preserve">Zulema Verdecia Gonzalez</t>
  </si>
  <si>
    <t xml:space="preserve">18/04/2026 9:49AM</t>
  </si>
  <si>
    <t xml:space="preserve">Adriel Delgado Robaina</t>
  </si>
  <si>
    <t xml:space="preserve">delgadorobainaadriel@gmail.com</t>
  </si>
  <si>
    <t xml:space="preserve">19/04/2026 9:56AM</t>
  </si>
  <si>
    <t xml:space="preserve">Helen Martinez Torres</t>
  </si>
  <si>
    <t xml:space="preserve">yasmanycrespoperez@gmail.com</t>
  </si>
  <si>
    <t xml:space="preserve">17/04/2026 10:00AM</t>
  </si>
  <si>
    <t xml:space="preserve">Nilen Felicia Yanez Menendez</t>
  </si>
  <si>
    <t xml:space="preserve">noelobregoncorrales@gmail.com, yaneznilen405@gmail.com</t>
  </si>
  <si>
    <t xml:space="preserve">17/04/2026 10:15AM</t>
  </si>
  <si>
    <t xml:space="preserve">GEOVANYS TOIRAC</t>
  </si>
  <si>
    <t xml:space="preserve">Geovanys Toirac Rodriguez</t>
  </si>
  <si>
    <t xml:space="preserve">ismaelgeovannetoirac@gmail.com</t>
  </si>
  <si>
    <t xml:space="preserve">CUIABÁ, MT</t>
  </si>
  <si>
    <t xml:space="preserve">20/04/2026 10:50AM</t>
  </si>
  <si>
    <t xml:space="preserve">Alexis Arencibia Maza</t>
  </si>
  <si>
    <t xml:space="preserve">alexisarencibia24@gmail.com, juliomujicaroig@gmail.com</t>
  </si>
  <si>
    <t xml:space="preserve">20/04/2026 11:23AM</t>
  </si>
  <si>
    <t xml:space="preserve">Sonia Eduviges Semanat Robert</t>
  </si>
  <si>
    <t xml:space="preserve">Yanela Fabat Moracen</t>
  </si>
  <si>
    <t xml:space="preserve">yanelafabat@gmail.com</t>
  </si>
  <si>
    <t xml:space="preserve">VÁRZEA PAULISTA</t>
  </si>
  <si>
    <t xml:space="preserve">20/04/2026 11:53AM</t>
  </si>
  <si>
    <t xml:space="preserve">Odys Maria Esparraguera Almenares</t>
  </si>
  <si>
    <t xml:space="preserve">odysmariaesparragueraalmenarez@gmail.com</t>
  </si>
  <si>
    <t xml:space="preserve">20/04/2026 12:08PM</t>
  </si>
  <si>
    <t xml:space="preserve">Juan Carlos Ruiz</t>
  </si>
  <si>
    <t xml:space="preserve">Virgen Dels Chaveco</t>
  </si>
  <si>
    <t xml:space="preserve">virgendelas41@gmail.com</t>
  </si>
  <si>
    <t xml:space="preserve">20/04/2026 12:09PM</t>
  </si>
  <si>
    <t xml:space="preserve">Eduardo Aróstica Aparicio</t>
  </si>
  <si>
    <t xml:space="preserve">eduardoarostica8@gmail.com</t>
  </si>
  <si>
    <t xml:space="preserve">LAGES</t>
  </si>
  <si>
    <t xml:space="preserve">20/04/2026 12:26PM</t>
  </si>
  <si>
    <t xml:space="preserve">Yendry Acevedo Viera</t>
  </si>
  <si>
    <t xml:space="preserve">Yendry Acevedo</t>
  </si>
  <si>
    <t xml:space="preserve">acevedo.viera1782@gmail.com</t>
  </si>
  <si>
    <t xml:space="preserve">20/04/2026 12:10PM</t>
  </si>
  <si>
    <t xml:space="preserve">Ana Maria Llanes Diaz</t>
  </si>
  <si>
    <t xml:space="preserve">Email.*anamariallanes93@gmail.com</t>
  </si>
  <si>
    <t xml:space="preserve">AD02 - RES. PMT.</t>
  </si>
  <si>
    <t xml:space="preserve">20/04/2026 3:19PM</t>
  </si>
  <si>
    <t xml:space="preserve">Dasmir Pompa Jimenez</t>
  </si>
  <si>
    <t xml:space="preserve">20/04/2026 3:24PM</t>
  </si>
  <si>
    <t xml:space="preserve">08/04/2026 3:49PM</t>
  </si>
  <si>
    <t xml:space="preserve">Fredis Ogusto Zambrano Martínez</t>
  </si>
  <si>
    <t xml:space="preserve">Magdalena González Hernandez</t>
  </si>
  <si>
    <t xml:space="preserve">mg6952301@gmail.com</t>
  </si>
  <si>
    <t xml:space="preserve">20/04/2026 4:07PM</t>
  </si>
  <si>
    <t xml:space="preserve">Yanitza Sánchez Santiesteban</t>
  </si>
  <si>
    <t xml:space="preserve">yanitzasanchezsantiesteban@gmail.com</t>
  </si>
  <si>
    <t xml:space="preserve">20/04/2026 4:06PM</t>
  </si>
  <si>
    <t xml:space="preserve">INCASA COMERCIO DE MOVES E COLC</t>
  </si>
  <si>
    <t xml:space="preserve">Yoysel</t>
  </si>
  <si>
    <t xml:space="preserve">yoyselherediamorel@gmail.com</t>
  </si>
  <si>
    <t xml:space="preserve">20/04/2026 5:06PM</t>
  </si>
  <si>
    <t xml:space="preserve">Luis Manuel Reyes Peres</t>
  </si>
  <si>
    <t xml:space="preserve">manuelreyezperezluiz@gmail.com</t>
  </si>
  <si>
    <t xml:space="preserve">20/04/2026 9:21AM</t>
  </si>
  <si>
    <t xml:space="preserve">Yulier Cisnero Medina</t>
  </si>
  <si>
    <t xml:space="preserve">cisneroy185@gmail.com</t>
  </si>
  <si>
    <t xml:space="preserve">20/04/2026 9:24AM</t>
  </si>
  <si>
    <t xml:space="preserve">Harol Tejeda Bueno</t>
  </si>
  <si>
    <t xml:space="preserve">juliolopezarma@gmail.com</t>
  </si>
  <si>
    <t xml:space="preserve">21/04/2026 9:35AM</t>
  </si>
  <si>
    <t xml:space="preserve">Yansel Ruiz Fernandez</t>
  </si>
  <si>
    <t xml:space="preserve">yanselruiz0299@gmil.com, liusmilarevueltanaranjo@gmail.com</t>
  </si>
  <si>
    <t xml:space="preserve">CRICIÚMA, SC</t>
  </si>
  <si>
    <t xml:space="preserve">21/04/2026 10:26AM</t>
  </si>
  <si>
    <t xml:space="preserve">Alexis Castro Díaz</t>
  </si>
  <si>
    <t xml:space="preserve">alexraspmc@gmail.com</t>
  </si>
  <si>
    <t xml:space="preserve">20/04/2026 10:56AM</t>
  </si>
  <si>
    <t xml:space="preserve">Janet Gomez Zayas</t>
  </si>
  <si>
    <t xml:space="preserve">TUBARÃO</t>
  </si>
  <si>
    <t xml:space="preserve">21/04/2026 11:32AM</t>
  </si>
  <si>
    <t xml:space="preserve">Ofelia De la Caridad Vega</t>
  </si>
  <si>
    <t xml:space="preserve">21/04/2026 2:17PM</t>
  </si>
  <si>
    <t xml:space="preserve">Iliana Mercedes Perez Acosta</t>
  </si>
  <si>
    <t xml:space="preserve">pilianamercedes@gmail.com</t>
  </si>
  <si>
    <t xml:space="preserve">21/04/2026 3:06PM</t>
  </si>
  <si>
    <t xml:space="preserve">Diagna Valdes Basante Zaldivar</t>
  </si>
  <si>
    <t xml:space="preserve">diagnavaldesbasante@gmail.com</t>
  </si>
  <si>
    <t xml:space="preserve">21/04/2026 3:23PM</t>
  </si>
  <si>
    <t xml:space="preserve">Jasiel Guerra  Loaces</t>
  </si>
  <si>
    <t xml:space="preserve">brasilrobertocarlos2000@gmail.com</t>
  </si>
  <si>
    <t xml:space="preserve">21/04/2026 3:44PM</t>
  </si>
  <si>
    <t xml:space="preserve">Vilma Nefertity Mora Suris</t>
  </si>
  <si>
    <t xml:space="preserve">Suris</t>
  </si>
  <si>
    <t xml:space="preserve">nefertitimora66@gmail.com</t>
  </si>
  <si>
    <t xml:space="preserve">20/04/2026 9:56AM</t>
  </si>
  <si>
    <t xml:space="preserve">21/04/2026 5:17PM</t>
  </si>
  <si>
    <t xml:space="preserve">Augusto Eliseo Rodríguez</t>
  </si>
  <si>
    <t xml:space="preserve">Alejandra</t>
  </si>
  <si>
    <t xml:space="preserve">salasalfonsoalejandra@gmail.com</t>
  </si>
  <si>
    <t xml:space="preserve">21/04/2026 5:38PM</t>
  </si>
  <si>
    <t xml:space="preserve">Eleodoro Roberto Basullto</t>
  </si>
  <si>
    <t xml:space="preserve">21/04/2026 5:53PM</t>
  </si>
  <si>
    <t xml:space="preserve">Arturo Perez Romero</t>
  </si>
  <si>
    <t xml:space="preserve">Daniela Fuentes Reyes</t>
  </si>
  <si>
    <t xml:space="preserve">dannafr3102@gmail.com</t>
  </si>
  <si>
    <t xml:space="preserve">Hidio Rafael Garces Torres</t>
  </si>
  <si>
    <t xml:space="preserve">rafaelgarces713@gmail.com</t>
  </si>
  <si>
    <t xml:space="preserve">21/04/2026 7:29PM</t>
  </si>
  <si>
    <t xml:space="preserve">Manuel Alejandro Duarte Montenegro</t>
  </si>
  <si>
    <t xml:space="preserve">22/04/2026 11:50AM</t>
  </si>
  <si>
    <t xml:space="preserve">Jonathan Ruiz Miranda</t>
  </si>
  <si>
    <t xml:space="preserve">Enrique Miranda López</t>
  </si>
  <si>
    <t xml:space="preserve">enriquemiradalopez85@gmail.com, claudiaarletisramostorres@gmail.com</t>
  </si>
  <si>
    <t xml:space="preserve">AD05-RES.PMT.</t>
  </si>
  <si>
    <t xml:space="preserve">22/04/2026 12:18PM</t>
  </si>
  <si>
    <t xml:space="preserve">Yadian Martinez Cata</t>
  </si>
  <si>
    <t xml:space="preserve">ymartinezcata@gmail.com</t>
  </si>
  <si>
    <t xml:space="preserve">21/04/2026 1:46PM</t>
  </si>
  <si>
    <t xml:space="preserve">22/04/2026 2:20PM</t>
  </si>
  <si>
    <t xml:space="preserve">22/04/2026 2:48PM</t>
  </si>
  <si>
    <t xml:space="preserve">Jennifer de la Mercedes Ruiz Acosta</t>
  </si>
  <si>
    <t xml:space="preserve">Paulino Vladimir Rosell Quesada</t>
  </si>
  <si>
    <t xml:space="preserve">vladimirrosell111@gmail.com</t>
  </si>
  <si>
    <t xml:space="preserve">SÃO JOSÉ</t>
  </si>
  <si>
    <t xml:space="preserve">22/04/2026 3:18PM</t>
  </si>
  <si>
    <t xml:space="preserve">Yasniel Roman Tellez</t>
  </si>
  <si>
    <t xml:space="preserve">yanlucas.atenas@gmail.com</t>
  </si>
  <si>
    <t xml:space="preserve">22/04/2026 4:24PM</t>
  </si>
  <si>
    <t xml:space="preserve">Ivet Roque Batista</t>
  </si>
  <si>
    <t xml:space="preserve">karlaaguirre607@gmail.com</t>
  </si>
  <si>
    <t xml:space="preserve">22/04/2026 4:28PM</t>
  </si>
  <si>
    <t xml:space="preserve">Danny Alvarez Mondeja</t>
  </si>
  <si>
    <t xml:space="preserve">dannyalvarez731205@gmail.com</t>
  </si>
  <si>
    <t xml:space="preserve">22/04/2026 4:32PM</t>
  </si>
  <si>
    <t xml:space="preserve">José Carlos Quezada Estrada</t>
  </si>
  <si>
    <t xml:space="preserve">josecarlosquezada0@gmail.com</t>
  </si>
  <si>
    <t xml:space="preserve">22/04/2026 4:59PM</t>
  </si>
  <si>
    <t xml:space="preserve">Antuan Pérez Rondon</t>
  </si>
  <si>
    <t xml:space="preserve">perezantuan510@gmail.com</t>
  </si>
  <si>
    <t xml:space="preserve">22/04/2026 5:34PM</t>
  </si>
  <si>
    <t xml:space="preserve">Carlos Alberto Reyes Martinez</t>
  </si>
  <si>
    <t xml:space="preserve">carlosmanuelr107@gmail.com</t>
  </si>
  <si>
    <t xml:space="preserve">IÇARA</t>
  </si>
  <si>
    <t xml:space="preserve">Oscar Garcia Quintana</t>
  </si>
  <si>
    <t xml:space="preserve">orestesgarcia85@gmail.com</t>
  </si>
  <si>
    <t xml:space="preserve">22/04/2026 8:50PM</t>
  </si>
  <si>
    <t xml:space="preserve">55 41 999687301</t>
  </si>
  <si>
    <t xml:space="preserve">22/04/2026 9:22AM</t>
  </si>
  <si>
    <t xml:space="preserve">Yanet Verdecia Pacheco</t>
  </si>
  <si>
    <t xml:space="preserve">Juana</t>
  </si>
  <si>
    <t xml:space="preserve">juanariveeo686@gmail.com</t>
  </si>
  <si>
    <t xml:space="preserve">22/04/2026 9:37AM</t>
  </si>
  <si>
    <t xml:space="preserve">Liyanis Rodriguez Guerra</t>
  </si>
  <si>
    <t xml:space="preserve">Cesar Yohanner Capote Alvarado</t>
  </si>
  <si>
    <t xml:space="preserve">yohannercapote2022@gmail.com</t>
  </si>
  <si>
    <t xml:space="preserve">22/04/2026 9:56AM</t>
  </si>
  <si>
    <t xml:space="preserve">Rolando Rodriguez Hernandez</t>
  </si>
  <si>
    <t xml:space="preserve">23/04/2026 9:58AM</t>
  </si>
  <si>
    <t xml:space="preserve">Diaz Yander</t>
  </si>
  <si>
    <t xml:space="preserve">yandydiaz9622@gmail.com</t>
  </si>
  <si>
    <t xml:space="preserve">22/04/2026 10:05AM</t>
  </si>
  <si>
    <t xml:space="preserve">Ilcy Yackeline Tabata hauran</t>
  </si>
  <si>
    <t xml:space="preserve">Lisbeth Góngora Hernández</t>
  </si>
  <si>
    <t xml:space="preserve">23/04/2026 10:37AM</t>
  </si>
  <si>
    <t xml:space="preserve">Roberto Racet Pimentel</t>
  </si>
  <si>
    <t xml:space="preserve">Robertoracetpimentel1234@gmail.com</t>
  </si>
  <si>
    <t xml:space="preserve">23/04/2026 10:53AM</t>
  </si>
  <si>
    <t xml:space="preserve">Mayelin Molina Diaz</t>
  </si>
  <si>
    <t xml:space="preserve">Ayamey Molina Villa Urrutia</t>
  </si>
  <si>
    <t xml:space="preserve">ayameymolina360@gmail.com</t>
  </si>
  <si>
    <t xml:space="preserve">22/04/2026 10:58AM</t>
  </si>
  <si>
    <t xml:space="preserve">22/04/2026 11:04AM</t>
  </si>
  <si>
    <t xml:space="preserve">Reinaldo Collado Ayala / Randy</t>
  </si>
  <si>
    <t xml:space="preserve">23/04/2026 10:49AM</t>
  </si>
  <si>
    <t xml:space="preserve">Gilberto Raul Matos Matos</t>
  </si>
  <si>
    <t xml:space="preserve">raulmatosmatosgilberto@gmail.com</t>
  </si>
  <si>
    <t xml:space="preserve">23/04/2026 11:29AM</t>
  </si>
  <si>
    <t xml:space="preserve">Sintia Noblet</t>
  </si>
  <si>
    <t xml:space="preserve">Cynthia</t>
  </si>
  <si>
    <t xml:space="preserve">cynthianoblet3@gmail.com</t>
  </si>
  <si>
    <t xml:space="preserve">AD04-RES.PMT.</t>
  </si>
  <si>
    <t xml:space="preserve">23/04/2026 3:01PM</t>
  </si>
  <si>
    <t xml:space="preserve">Hiolario Luiz Bittencourt</t>
  </si>
  <si>
    <t xml:space="preserve">Marisbet Perez Moralez</t>
  </si>
  <si>
    <t xml:space="preserve">lienbarbaracordero@gmail.com</t>
  </si>
  <si>
    <t xml:space="preserve">23/04/2026 3:38PM</t>
  </si>
  <si>
    <t xml:space="preserve">Meylin de la Caridad Macías Bustamante</t>
  </si>
  <si>
    <t xml:space="preserve">Meylin de la Caridad Macías Bustamante.</t>
  </si>
  <si>
    <t xml:space="preserve">meylinmacias42@gmail.com</t>
  </si>
  <si>
    <t xml:space="preserve">23/04/2026 6:17PM</t>
  </si>
  <si>
    <t xml:space="preserve">+55 41 9217-1409, +554192171409</t>
  </si>
  <si>
    <t xml:space="preserve">23/04/2026 10:48PM</t>
  </si>
  <si>
    <t xml:space="preserve">24/04/2026 9:53AM</t>
  </si>
  <si>
    <t xml:space="preserve">Odette Clemente</t>
  </si>
  <si>
    <t xml:space="preserve">Carlos L</t>
  </si>
  <si>
    <t xml:space="preserve">yasser.valerab@gmail.com</t>
  </si>
  <si>
    <t xml:space="preserve">24/04/2026 10:37AM</t>
  </si>
  <si>
    <t xml:space="preserve">Yailen Lopez Rubie</t>
  </si>
  <si>
    <t xml:space="preserve">Yailén López Rubié</t>
  </si>
  <si>
    <t xml:space="preserve">wuilfredolopezisaac@gmail.com</t>
  </si>
  <si>
    <t xml:space="preserve">24/04/2026 10:51AM</t>
  </si>
  <si>
    <t xml:space="preserve">JENNIFER LLERENA UTRIA</t>
  </si>
  <si>
    <t xml:space="preserve">Jennifer Llerena Utria</t>
  </si>
  <si>
    <t xml:space="preserve">24/04/2026 11:01AM</t>
  </si>
  <si>
    <t xml:space="preserve">Jorge Cesar Gonzalez Nunez</t>
  </si>
  <si>
    <t xml:space="preserve">Jorge César González Núñez</t>
  </si>
  <si>
    <t xml:space="preserve">jg4203695@gmail.com</t>
  </si>
  <si>
    <t xml:space="preserve">24/04/2026 10:32AM</t>
  </si>
  <si>
    <t xml:space="preserve">Carlos Alberto Moreno</t>
  </si>
  <si>
    <t xml:space="preserve">cmoreno58944670@gmail.com</t>
  </si>
  <si>
    <t xml:space="preserve">24/04/2026 11:25AM</t>
  </si>
  <si>
    <t xml:space="preserve">Alexander Enoa Lopez</t>
  </si>
  <si>
    <t xml:space="preserve">alexanderenoalopez6@gmail.com</t>
  </si>
  <si>
    <t xml:space="preserve">24/04/2026 11:32AM</t>
  </si>
  <si>
    <t xml:space="preserve">Carlos Ulises Gutierrez Silva</t>
  </si>
  <si>
    <t xml:space="preserve">cug51964@gmail.com</t>
  </si>
  <si>
    <t xml:space="preserve">MARANHÃO</t>
  </si>
  <si>
    <t xml:space="preserve">23/04/2026 11:13AM</t>
  </si>
  <si>
    <t xml:space="preserve">Javier Jesús Alonso Moreno</t>
  </si>
  <si>
    <t xml:space="preserve">javierjam1994@gmail.com</t>
  </si>
  <si>
    <t xml:space="preserve">23/04/2026 11:47AM</t>
  </si>
  <si>
    <t xml:space="preserve">Jose Luis Correa</t>
  </si>
  <si>
    <t xml:space="preserve">24/04/2026 2:50PM</t>
  </si>
  <si>
    <t xml:space="preserve">24/04/2026 2:52PM</t>
  </si>
  <si>
    <t xml:space="preserve">YURISLEISI LARA LENDYS</t>
  </si>
  <si>
    <t xml:space="preserve">Daybel Rodrigues consuegr</t>
  </si>
  <si>
    <t xml:space="preserve">Y8566635@Gmail.com</t>
  </si>
  <si>
    <t xml:space="preserve">24/04/2026 3:41PM</t>
  </si>
  <si>
    <t xml:space="preserve">Michael Rico Camellon</t>
  </si>
  <si>
    <t xml:space="preserve">cmichaelrico@gmail.com</t>
  </si>
  <si>
    <t xml:space="preserve">24/04/2026 4:08PM</t>
  </si>
  <si>
    <t xml:space="preserve">Ernesto Lázaro Pérez Lugo</t>
  </si>
  <si>
    <t xml:space="preserve">ernestoperezlugo55@gmail.com</t>
  </si>
  <si>
    <t xml:space="preserve">24/04/2026 4:10PM</t>
  </si>
  <si>
    <t xml:space="preserve">Jesus Diaz Armaignac</t>
  </si>
  <si>
    <t xml:space="preserve">jesusdiazarmaignac@gmail.com</t>
  </si>
  <si>
    <t xml:space="preserve">23/04/2026 4:14PM</t>
  </si>
  <si>
    <t xml:space="preserve">Juan Alberto Aguilera Rodríguez</t>
  </si>
  <si>
    <t xml:space="preserve">aguilerarodriguezjuan9@gmail.com</t>
  </si>
  <si>
    <t xml:space="preserve">24/04/2026 5:01PM</t>
  </si>
  <si>
    <t xml:space="preserve">24/04/2026 5:00PM</t>
  </si>
  <si>
    <t xml:space="preserve">Janet Castellon Gonzalez</t>
  </si>
  <si>
    <t xml:space="preserve">Janet Castellón Gonzalez</t>
  </si>
  <si>
    <t xml:space="preserve">janetcastellon80@gmail.com</t>
  </si>
  <si>
    <t xml:space="preserve">24/04/2026 5:41PM</t>
  </si>
  <si>
    <t xml:space="preserve">25/04/2026 9:58AM</t>
  </si>
  <si>
    <t xml:space="preserve">Lídice Arbolaez Gonzalez</t>
  </si>
  <si>
    <t xml:space="preserve">lidicegonzalez1980@gmail.com</t>
  </si>
  <si>
    <t xml:space="preserve">25/04/2026 11:39AM</t>
  </si>
  <si>
    <t xml:space="preserve">Adinet Caridad Pérez Millan</t>
  </si>
  <si>
    <t xml:space="preserve">adinetperez16@gmail.com</t>
  </si>
  <si>
    <t xml:space="preserve">25/04/2026 12:16PM</t>
  </si>
  <si>
    <t xml:space="preserve">Dariel Alexis González Quiñones</t>
  </si>
  <si>
    <t xml:space="preserve">adrianquinones574@gmail.com</t>
  </si>
  <si>
    <t xml:space="preserve">25/04/2026 5:22PM</t>
  </si>
  <si>
    <t xml:space="preserve">Ofelia Zambrana Gonzalez</t>
  </si>
  <si>
    <t xml:space="preserve">ofeliazambrana3@gmail.com</t>
  </si>
  <si>
    <t xml:space="preserve">25/04/2026 6:01PM</t>
  </si>
  <si>
    <t xml:space="preserve">NERSYS SANTANA JAURIGA</t>
  </si>
  <si>
    <t xml:space="preserve">Yusney Corrales Perez</t>
  </si>
  <si>
    <t xml:space="preserve">LONDRINA</t>
  </si>
  <si>
    <t xml:space="preserve">25/04/2026 9:33AM</t>
  </si>
  <si>
    <t xml:space="preserve">Wliser Martinez Sánchez</t>
  </si>
  <si>
    <t xml:space="preserve">wlisermartinez01@gmail.com</t>
  </si>
  <si>
    <t xml:space="preserve">SÃO JOSÉ DO RIO PRETO</t>
  </si>
  <si>
    <t xml:space="preserve">26/04/2026 9:39AM</t>
  </si>
  <si>
    <t xml:space="preserve">Daily Mayea Leon</t>
  </si>
  <si>
    <t xml:space="preserve">DAILY MAYEA LEON</t>
  </si>
  <si>
    <t xml:space="preserve">mayealeondaily@gmail.com</t>
  </si>
  <si>
    <t xml:space="preserve">24/04/2026 9:21AM</t>
  </si>
  <si>
    <t xml:space="preserve">Osniel Reinaldo Cruz</t>
  </si>
  <si>
    <t xml:space="preserve">Reinaldo</t>
  </si>
  <si>
    <t xml:space="preserve">Osnielreinaldo489@gmail.com</t>
  </si>
  <si>
    <t xml:space="preserve">26/04/2026 9:58AM</t>
  </si>
  <si>
    <t xml:space="preserve">Pedro Pablo León Senges</t>
  </si>
  <si>
    <t xml:space="preserve">25/04/2026 10:04AM</t>
  </si>
  <si>
    <t xml:space="preserve">Surema Ferrer Gola</t>
  </si>
  <si>
    <t xml:space="preserve">suremaferrergola@gmail.com</t>
  </si>
  <si>
    <t xml:space="preserve">25/04/2026 10:12AM</t>
  </si>
  <si>
    <t xml:space="preserve">27/04/2026 10:15AM</t>
  </si>
  <si>
    <t xml:space="preserve">Nelson Garcia Caceres</t>
  </si>
  <si>
    <t xml:space="preserve">Nelson García</t>
  </si>
  <si>
    <t xml:space="preserve">ngcaceres9@gmail.com</t>
  </si>
  <si>
    <t xml:space="preserve">26/04/2026 10:09AM</t>
  </si>
  <si>
    <t xml:space="preserve">Hialia Lilian Cerza</t>
  </si>
  <si>
    <t xml:space="preserve">Hiala Lilian Cerza</t>
  </si>
  <si>
    <t xml:space="preserve">lilicerzamorales@gmail.com</t>
  </si>
  <si>
    <t xml:space="preserve">26/04/2026 10:20AM</t>
  </si>
  <si>
    <t xml:space="preserve">Jaksel Calvo Dominguez</t>
  </si>
  <si>
    <t xml:space="preserve">jakselcalvo486@gmail.com</t>
  </si>
  <si>
    <t xml:space="preserve">26/04/2026 11:02AM</t>
  </si>
  <si>
    <t xml:space="preserve">Anayrelis De Jesus Pino</t>
  </si>
  <si>
    <t xml:space="preserve">Nelda Orasma Zamora</t>
  </si>
  <si>
    <t xml:space="preserve">neldaorasma353@gmail.com</t>
  </si>
  <si>
    <t xml:space="preserve">27/04/2026 11:07AM</t>
  </si>
  <si>
    <t xml:space="preserve">Odalys Alvarez Perez</t>
  </si>
  <si>
    <t xml:space="preserve">alvarezodalys3@gmail.com, fernadofrometab72@gmail.com</t>
  </si>
  <si>
    <t xml:space="preserve">27/04/2026 11:52AM</t>
  </si>
  <si>
    <t xml:space="preserve">Josefa Reina Brito Diaz</t>
  </si>
  <si>
    <t xml:space="preserve">1962josefab@gmail.com</t>
  </si>
  <si>
    <t xml:space="preserve">27/04/2026 12:54PM</t>
  </si>
  <si>
    <t xml:space="preserve">Daniel A A Hernandez</t>
  </si>
  <si>
    <t xml:space="preserve">danyalvez9908@gmail.com</t>
  </si>
  <si>
    <t xml:space="preserve">27/04/2026 11:23AM</t>
  </si>
  <si>
    <t xml:space="preserve">Liesnileisi Rodriguez Miranda</t>
  </si>
  <si>
    <t xml:space="preserve">liesnileisir@gmail.com</t>
  </si>
  <si>
    <t xml:space="preserve">27/04/2026 3:32PM</t>
  </si>
  <si>
    <t xml:space="preserve">Kenia Arrechea Perez</t>
  </si>
  <si>
    <t xml:space="preserve">keniaarrechea58@gmail.com</t>
  </si>
  <si>
    <t xml:space="preserve">27/04/2026 4:00PM</t>
  </si>
  <si>
    <t xml:space="preserve">Eliany Guevara Delgado</t>
  </si>
  <si>
    <t xml:space="preserve">alejodavid49@gmail.com</t>
  </si>
  <si>
    <t xml:space="preserve">27/04/2026 4:09PM</t>
  </si>
  <si>
    <t xml:space="preserve">27/04/2026 4:29PM</t>
  </si>
  <si>
    <t xml:space="preserve">Osnaivis Garcia Naranjo</t>
  </si>
  <si>
    <t xml:space="preserve">David Humberto Matías Laredo</t>
  </si>
  <si>
    <t xml:space="preserve">davidhumbertomatiaslaredo@gmail.com</t>
  </si>
  <si>
    <t xml:space="preserve">27/04/2026 4:35PM</t>
  </si>
  <si>
    <t xml:space="preserve">27/04/2026 7:19PM</t>
  </si>
  <si>
    <t xml:space="preserve">DANIEL ORLANDO COLLADO / CPF Nivian</t>
  </si>
  <si>
    <t xml:space="preserve">26/04/2026 9:24AM</t>
  </si>
  <si>
    <t xml:space="preserve">Jenrys Llanes Roque</t>
  </si>
  <si>
    <t xml:space="preserve">Yunier Sánchez Marquez</t>
  </si>
  <si>
    <t xml:space="preserve">yuniersanchezmarquez@gmail.com</t>
  </si>
  <si>
    <t xml:space="preserve">26/04/2026 9:32AM</t>
  </si>
  <si>
    <t xml:space="preserve">René Humberto Lahera Mora</t>
  </si>
  <si>
    <t xml:space="preserve">BERTHLAHERA@GMAIL.COM</t>
  </si>
  <si>
    <t xml:space="preserve">28/04/2026 2:14PM</t>
  </si>
  <si>
    <t xml:space="preserve">Marlon Omar Leyva Rodriguez</t>
  </si>
  <si>
    <t xml:space="preserve">Marlonleyva125@gmail.com</t>
  </si>
  <si>
    <t xml:space="preserve">28/04/2026 2:38PM</t>
  </si>
  <si>
    <t xml:space="preserve">28/04/2026 2:41PM</t>
  </si>
  <si>
    <t xml:space="preserve">Elvis Pérez Perez</t>
  </si>
  <si>
    <t xml:space="preserve">27/04/2026 2:49PM</t>
  </si>
  <si>
    <t xml:space="preserve">Yaima Roman Grinan</t>
  </si>
  <si>
    <t xml:space="preserve">yaimaroman01@gmail.com</t>
  </si>
  <si>
    <t xml:space="preserve">28/04/2026 5:28PM</t>
  </si>
  <si>
    <t xml:space="preserve">28/04/2026 5:50PM</t>
  </si>
  <si>
    <t xml:space="preserve">Serguei Blanco Tabera</t>
  </si>
  <si>
    <t xml:space="preserve">Serguei Blanco</t>
  </si>
  <si>
    <t xml:space="preserve">stefanysuarezcorcho@gmail.com</t>
  </si>
  <si>
    <t xml:space="preserve">MANAUS</t>
  </si>
  <si>
    <t xml:space="preserve">28/04/2026 6:09PM</t>
  </si>
  <si>
    <t xml:space="preserve">Niosbanis de la Paz Corria</t>
  </si>
  <si>
    <t xml:space="preserve">28/04/2026 6:54PM</t>
  </si>
  <si>
    <t xml:space="preserve">Rafael Díaz Núñez</t>
  </si>
  <si>
    <t xml:space="preserve">rafaeldiaznunezq@gmail.com</t>
  </si>
  <si>
    <t xml:space="preserve">28/04/2026 8:41PM</t>
  </si>
  <si>
    <t xml:space="preserve">29/04/2026 9:15AM</t>
  </si>
  <si>
    <t xml:space="preserve">Yordan Diaz Guerra</t>
  </si>
  <si>
    <t xml:space="preserve">diazgyordan@gmail.com</t>
  </si>
  <si>
    <t xml:space="preserve">29/04/2026 10:19AM</t>
  </si>
  <si>
    <t xml:space="preserve">Elidio Werlich Junior</t>
  </si>
  <si>
    <t xml:space="preserve">Keytis Chacon Fuentes</t>
  </si>
  <si>
    <t xml:space="preserve">keytiscfuentes@gmail.com</t>
  </si>
  <si>
    <t xml:space="preserve">29/04/2026 10:25AM</t>
  </si>
  <si>
    <t xml:space="preserve">29/04/2026 10:58AM</t>
  </si>
  <si>
    <t xml:space="preserve">Teresita de la Cruz Jacob</t>
  </si>
  <si>
    <t xml:space="preserve">teresitadelacruz6503@gmail.com, moralesmenadomingo@gmail.com</t>
  </si>
  <si>
    <t xml:space="preserve">SÃO LUIS</t>
  </si>
  <si>
    <t xml:space="preserve">29/04/2026 11:50AM</t>
  </si>
  <si>
    <t xml:space="preserve">Osmany Fernandez Torres</t>
  </si>
  <si>
    <t xml:space="preserve">Osmany Fernandez</t>
  </si>
  <si>
    <t xml:space="preserve">osmanyfernandeztorres@gmail.com</t>
  </si>
  <si>
    <t xml:space="preserve">ITAPEMA</t>
  </si>
  <si>
    <t xml:space="preserve">29/04/2026 1:52PM</t>
  </si>
  <si>
    <t xml:space="preserve">Abeidys Coma Herrera</t>
  </si>
  <si>
    <t xml:space="preserve">abicoma39@gmail.com</t>
  </si>
  <si>
    <t xml:space="preserve">29/04/2026 2:10PM</t>
  </si>
  <si>
    <t xml:space="preserve">Jesús David Aguilar Figueroa</t>
  </si>
  <si>
    <t xml:space="preserve">29/04/2026 1:55PM</t>
  </si>
  <si>
    <t xml:space="preserve">Elieser Reyes Rodriguez</t>
  </si>
  <si>
    <t xml:space="preserve">errodgz01@gmail.com, lauraecharrimunoz@gmail.com</t>
  </si>
  <si>
    <t xml:space="preserve">29/04/2026 2:45PM</t>
  </si>
  <si>
    <t xml:space="preserve">Annareya Garcia</t>
  </si>
  <si>
    <t xml:space="preserve">29/04/2026 2:56PM</t>
  </si>
  <si>
    <t xml:space="preserve">29/04/2026 3:00PM</t>
  </si>
  <si>
    <t xml:space="preserve">Dayana Arrechea Rodriguez/Manuel Arrechea</t>
  </si>
  <si>
    <t xml:space="preserve">28/04/2026 3:00PM</t>
  </si>
  <si>
    <t xml:space="preserve">29/04/2026 3:38PM</t>
  </si>
  <si>
    <t xml:space="preserve">Luis Morales Molina</t>
  </si>
  <si>
    <t xml:space="preserve">lmmygl1992@gmail.com</t>
  </si>
  <si>
    <t xml:space="preserve">29/04/2026 4:58PM</t>
  </si>
  <si>
    <t xml:space="preserve">Yoniesky Avila Perez</t>
  </si>
  <si>
    <t xml:space="preserve">Yoniesky Avila</t>
  </si>
  <si>
    <t xml:space="preserve">29/04/2026 5:07PM</t>
  </si>
  <si>
    <t xml:space="preserve">Yandi Luis Contreras Mesa</t>
  </si>
  <si>
    <t xml:space="preserve">Yandi Luis Contreras mesa</t>
  </si>
  <si>
    <t xml:space="preserve">yandiluis123@gmail.com</t>
  </si>
  <si>
    <t xml:space="preserve">29/04/2026 5:27PM</t>
  </si>
  <si>
    <t xml:space="preserve">29/04/2026 5:38PM</t>
  </si>
  <si>
    <t xml:space="preserve">Em dinheiro</t>
  </si>
  <si>
    <t xml:space="preserve">Victor Manuel OP / Herminio Tellez</t>
  </si>
  <si>
    <t xml:space="preserve">29/04/2026 7:13PM</t>
  </si>
  <si>
    <t xml:space="preserve">Yoandri Zapata Vara</t>
  </si>
  <si>
    <t xml:space="preserve">zapatayoandri70@gmail.com</t>
  </si>
  <si>
    <t xml:space="preserve">SALVADOR DE BAHÍA</t>
  </si>
  <si>
    <t xml:space="preserve">BAHIA</t>
  </si>
  <si>
    <t xml:space="preserve">29/04/2026 7:55PM</t>
  </si>
  <si>
    <t xml:space="preserve">mariannisnorat@gmail.com</t>
  </si>
  <si>
    <t xml:space="preserve">30/04/2026 10:56AM</t>
  </si>
  <si>
    <t xml:space="preserve">gallardoindira12@gmail.com, fyankiel5@gmail.com, rodriguezyaima880@gmail.com, nanyfloresruiz60@gmail.com</t>
  </si>
  <si>
    <t xml:space="preserve">SERRA</t>
  </si>
  <si>
    <t xml:space="preserve">ESPÍRITO SANTO</t>
  </si>
  <si>
    <t xml:space="preserve">30/04/2026 11:00AM</t>
  </si>
  <si>
    <t xml:space="preserve">30/04/2026 11:22AM</t>
  </si>
  <si>
    <t xml:space="preserve">Miladis Ribeaux Terry</t>
  </si>
  <si>
    <t xml:space="preserve">miladosribeaix@gmail.com</t>
  </si>
  <si>
    <t xml:space="preserve">30/04/2026 2:56PM</t>
  </si>
  <si>
    <t xml:space="preserve">Renier Guillermo Diago Herrera</t>
  </si>
  <si>
    <t xml:space="preserve">reniercubadiago@gmail.com</t>
  </si>
  <si>
    <t xml:space="preserve">LAGOA GRANDE</t>
  </si>
  <si>
    <t xml:space="preserve">30/04/2026 3:33PM</t>
  </si>
  <si>
    <t xml:space="preserve">Maikel Portales Ramirez</t>
  </si>
  <si>
    <t xml:space="preserve">Leinnis Lahera Alvarez</t>
  </si>
  <si>
    <t xml:space="preserve">liennilaheraalvarez@gmail.com</t>
  </si>
  <si>
    <t xml:space="preserve">30/04/2026 3:53PM</t>
  </si>
  <si>
    <t xml:space="preserve">Misael Torres Serrano</t>
  </si>
  <si>
    <t xml:space="preserve">30/04/2026 3:35PM</t>
  </si>
  <si>
    <t xml:space="preserve">30/04/2026 4:06PM</t>
  </si>
  <si>
    <t xml:space="preserve">30/04/2026 4:17PM</t>
  </si>
  <si>
    <t xml:space="preserve">Osniel Zayas Fernandez</t>
  </si>
  <si>
    <t xml:space="preserve">Osniel Zayas Fernández</t>
  </si>
  <si>
    <t xml:space="preserve">osnielzayas1@gmail.com</t>
  </si>
  <si>
    <t xml:space="preserve">30/04/2026 4:30PM</t>
  </si>
  <si>
    <t xml:space="preserve">30/04/2026 5:07PM</t>
  </si>
  <si>
    <t xml:space="preserve">30/04/2026 5:37PM</t>
  </si>
  <si>
    <t xml:space="preserve">Alexander Hidalgo Martinez/ ARIEL BENITEZ</t>
  </si>
  <si>
    <t xml:space="preserve">SARA BOUSSAKA</t>
  </si>
  <si>
    <t xml:space="preserve">Adriano Gabriel Barroso Faxa</t>
  </si>
  <si>
    <t xml:space="preserve">nitobarrosofaxa@gmail.com</t>
  </si>
  <si>
    <t xml:space="preserve">30/04/2026 5:41PM</t>
  </si>
  <si>
    <t xml:space="preserve">DANIELA PEREIRA DOS SANTOS</t>
  </si>
  <si>
    <t xml:space="preserve">Yudelkys Perez Pulgaron</t>
  </si>
  <si>
    <t xml:space="preserve">darielramirezhernandez44@gmail.com</t>
  </si>
  <si>
    <t xml:space="preserve">30/04/2026 6:27PM</t>
  </si>
  <si>
    <t xml:space="preserve">Álvaro Torres Castellanos</t>
  </si>
  <si>
    <t xml:space="preserve">Lidys Castellanos Marti</t>
  </si>
  <si>
    <t xml:space="preserve">lidyscastellanos1966@gmail.com</t>
  </si>
  <si>
    <t xml:space="preserve">OSASCO</t>
  </si>
  <si>
    <t xml:space="preserve">30/04/2026 5:29PM</t>
  </si>
  <si>
    <t xml:space="preserve">YADIRA MARTINEZ RODRIGUEZ</t>
  </si>
  <si>
    <t xml:space="preserve">Yadira Martinez Rodríguez</t>
  </si>
  <si>
    <t xml:space="preserve">yadiramr1995@gmail.com</t>
  </si>
  <si>
    <t xml:space="preserve">30/04/2026 7:25PM</t>
  </si>
  <si>
    <t xml:space="preserve">Adrian Hernandez Gonzalez</t>
  </si>
  <si>
    <t xml:space="preserve">Yeney Hernández / Adrian Hernandez</t>
  </si>
  <si>
    <t xml:space="preserve">hernandezgonzalezadrian@gmail.com</t>
  </si>
  <si>
    <t xml:space="preserve">28/04/2026 9:42AM</t>
  </si>
  <si>
    <t xml:space="preserve">José Antõnio Aniskievicz</t>
  </si>
  <si>
    <t xml:space="preserve">Ricardo Geovanis Suárez Reyes ( telf cunabo)</t>
  </si>
  <si>
    <t xml:space="preserve">ricardosuarez@nauta.com.cu</t>
  </si>
  <si>
    <t xml:space="preserve">PALMEIRA</t>
  </si>
  <si>
    <t xml:space="preserve">28/04/2026 9:40AM</t>
  </si>
  <si>
    <t xml:space="preserve">Ricardo Geovanis Suárez Reyes ( telf cubano)</t>
  </si>
  <si>
    <t xml:space="preserve">01/05/2026 10:59AM</t>
  </si>
  <si>
    <t xml:space="preserve">Lisandra Machin Mena</t>
  </si>
  <si>
    <t xml:space="preserve">Yadier/ Guatavo Martínez Cruz</t>
  </si>
  <si>
    <t xml:space="preserve">martinrzcruz77@gmail.com</t>
  </si>
  <si>
    <t xml:space="preserve">01/05/2026 11:04AM</t>
  </si>
  <si>
    <t xml:space="preserve">01/05/2026 12:30PM</t>
  </si>
  <si>
    <t xml:space="preserve">Ormedis Ramos Bautista</t>
  </si>
  <si>
    <t xml:space="preserve">ramosbautistaolmedis83@gmail.com</t>
  </si>
  <si>
    <t xml:space="preserve">01/05/2026 12:34PM</t>
  </si>
  <si>
    <t xml:space="preserve">Yenney Chacón Cortina</t>
  </si>
  <si>
    <t xml:space="preserve">Enia Ortiz Leyva</t>
  </si>
  <si>
    <t xml:space="preserve">eniaortizleyva@gmail.com</t>
  </si>
  <si>
    <t xml:space="preserve">01/05/2026 4:06PM</t>
  </si>
  <si>
    <t xml:space="preserve">FRANKLIN CONCEPCION VALDES</t>
  </si>
  <si>
    <t xml:space="preserve">Arian Vento Ramos</t>
  </si>
  <si>
    <t xml:space="preserve">ventoarian77@gmail.com</t>
  </si>
  <si>
    <t xml:space="preserve">MES</t>
  </si>
  <si>
    <t xml:space="preserve">ANO</t>
  </si>
  <si>
    <t xml:space="preserve">RAZÓN</t>
  </si>
  <si>
    <t xml:space="preserve">CATEGORIA</t>
  </si>
  <si>
    <t xml:space="preserve">SUBCATEGORIA</t>
  </si>
  <si>
    <t xml:space="preserve">OBSERVAÇÃO</t>
  </si>
  <si>
    <t xml:space="preserve">MÊS</t>
  </si>
  <si>
    <t xml:space="preserve">V o F</t>
  </si>
  <si>
    <t xml:space="preserve">Comissão</t>
  </si>
  <si>
    <t xml:space="preserve">Estorno</t>
  </si>
  <si>
    <t xml:space="preserve">Estrutura</t>
  </si>
  <si>
    <t xml:space="preserve">Impostos</t>
  </si>
  <si>
    <t xml:space="preserve">Marketing</t>
  </si>
  <si>
    <t xml:space="preserve">Materiais</t>
  </si>
  <si>
    <t xml:space="preserve">Pessoal</t>
  </si>
  <si>
    <t xml:space="preserve">ProLabore</t>
  </si>
  <si>
    <t xml:space="preserve">Terceiros</t>
  </si>
  <si>
    <t xml:space="preserve">Softwares</t>
  </si>
  <si>
    <t xml:space="preserve">Outros</t>
  </si>
  <si>
    <t xml:space="preserve">Hermisleydi Ortiz</t>
  </si>
  <si>
    <t xml:space="preserve">Otros Serviços</t>
  </si>
  <si>
    <t xml:space="preserve">Comisión AT</t>
  </si>
  <si>
    <t xml:space="preserve">Aluguel</t>
  </si>
  <si>
    <t xml:space="preserve">IRRPF</t>
  </si>
  <si>
    <t xml:space="preserve">Aquisição</t>
  </si>
  <si>
    <t xml:space="preserve">Equipamentos</t>
  </si>
  <si>
    <t xml:space="preserve">Salário AT</t>
  </si>
  <si>
    <t xml:space="preserve">Michel</t>
  </si>
  <si>
    <t xml:space="preserve">Tradução</t>
  </si>
  <si>
    <t xml:space="preserve">Hospedage</t>
  </si>
  <si>
    <t xml:space="preserve">Otros</t>
  </si>
  <si>
    <t xml:space="preserve">Trad CNH</t>
  </si>
  <si>
    <t xml:space="preserve">Comisión OP</t>
  </si>
  <si>
    <t xml:space="preserve">Eletricidade</t>
  </si>
  <si>
    <t xml:space="preserve">DAS</t>
  </si>
  <si>
    <t xml:space="preserve">Retenção</t>
  </si>
  <si>
    <t xml:space="preserve">Móveis</t>
  </si>
  <si>
    <t xml:space="preserve">Gratificação</t>
  </si>
  <si>
    <t xml:space="preserve">Marco</t>
  </si>
  <si>
    <t xml:space="preserve">Agendamiento</t>
  </si>
  <si>
    <t xml:space="preserve">Dominio</t>
  </si>
  <si>
    <t xml:space="preserve">Sisconare</t>
  </si>
  <si>
    <t xml:space="preserve">Água</t>
  </si>
  <si>
    <t xml:space="preserve">Papelaria</t>
  </si>
  <si>
    <t xml:space="preserve">Performance</t>
  </si>
  <si>
    <t xml:space="preserve">Fatura Jataí</t>
  </si>
  <si>
    <t xml:space="preserve">Make</t>
  </si>
  <si>
    <t xml:space="preserve">AG PF</t>
  </si>
  <si>
    <t xml:space="preserve">Condomínio</t>
  </si>
  <si>
    <t xml:space="preserve">Refreição</t>
  </si>
  <si>
    <t xml:space="preserve">Salário OP</t>
  </si>
  <si>
    <t xml:space="preserve">Cita Consulado</t>
  </si>
  <si>
    <t xml:space="preserve">Devzapp</t>
  </si>
  <si>
    <t xml:space="preserve">Compra Dominio</t>
  </si>
  <si>
    <t xml:space="preserve">Wifi</t>
  </si>
  <si>
    <t xml:space="preserve">Faxineira</t>
  </si>
  <si>
    <t xml:space="preserve">Widget Kommo</t>
  </si>
  <si>
    <t xml:space="preserve">Anuncios</t>
  </si>
  <si>
    <t xml:space="preserve">Teléfono</t>
  </si>
  <si>
    <t xml:space="preserve">Meli+</t>
  </si>
  <si>
    <t xml:space="preserve">Google One</t>
  </si>
  <si>
    <t xml:space="preserve">Nordpass</t>
  </si>
  <si>
    <t xml:space="preserve">Kommo</t>
  </si>
  <si>
    <t xml:space="preserve">Osniel</t>
  </si>
  <si>
    <t xml:space="preserve">Office 365</t>
  </si>
  <si>
    <t xml:space="preserve">FRANCISCO KELRI HIGINO BRITO</t>
  </si>
  <si>
    <t xml:space="preserve">Canva</t>
  </si>
  <si>
    <t xml:space="preserve">Capcut</t>
  </si>
  <si>
    <t xml:space="preserve">Migdalis Mendeoza</t>
  </si>
  <si>
    <t xml:space="preserve">Pablo Enrique Moreno Abreu</t>
  </si>
  <si>
    <t xml:space="preserve">Jose Luis Lopez Vela</t>
  </si>
  <si>
    <t xml:space="preserve">Nancy Carolina Montilla Baron</t>
  </si>
  <si>
    <t xml:space="preserve">Saily Aloma Olivera</t>
  </si>
  <si>
    <t xml:space="preserve">Yovani Zamora Medina</t>
  </si>
  <si>
    <t xml:space="preserve">Rafael Acuña Navarro</t>
  </si>
  <si>
    <t xml:space="preserve">Jorge Manuel Acosta Velozo</t>
  </si>
  <si>
    <t xml:space="preserve">Eric Lazaro Salazar Barzaga</t>
  </si>
  <si>
    <t xml:space="preserve">Solange Leyva Diaz</t>
  </si>
  <si>
    <t xml:space="preserve">Laritza</t>
  </si>
  <si>
    <t xml:space="preserve">Jatniel David Baez Pena</t>
  </si>
  <si>
    <t xml:space="preserve">Yoshuany Llerena Sama</t>
  </si>
  <si>
    <t xml:space="preserve">Rosa Galvez Sanchez</t>
  </si>
  <si>
    <t xml:space="preserve">Christopher Leandro Alvarez Perez</t>
  </si>
  <si>
    <t xml:space="preserve">Alain Miguel Alarcon Saborit</t>
  </si>
  <si>
    <t xml:space="preserve">Melany de La Caridad Vicet Gonzalez</t>
  </si>
  <si>
    <t xml:space="preserve">Meta ads</t>
  </si>
  <si>
    <t xml:space="preserve">Marlies Yero Martinez</t>
  </si>
  <si>
    <t xml:space="preserve">VIANA E NANTES RESTAURANTE LTDA</t>
  </si>
  <si>
    <t xml:space="preserve">Alfredo Alberto Vives Olivera</t>
  </si>
  <si>
    <t xml:space="preserve">Yadila Delgado Fabier</t>
  </si>
  <si>
    <t xml:space="preserve">Yadira Martinez Corella</t>
  </si>
  <si>
    <t xml:space="preserve">Britney Agnes Joao Rodriguez</t>
  </si>
  <si>
    <t xml:space="preserve">Cesar Jose Rodriguez Jimenez</t>
  </si>
  <si>
    <t xml:space="preserve">Mercado Livre</t>
  </si>
  <si>
    <t xml:space="preserve">Silva Trad</t>
  </si>
  <si>
    <t xml:space="preserve">Operacional</t>
  </si>
  <si>
    <t xml:space="preserve">Eric Salazar Barzaga</t>
  </si>
  <si>
    <t xml:space="preserve">32.995.994 RODRIGO CANDIDO ALVES</t>
  </si>
  <si>
    <t xml:space="preserve">Cartucho Impresora</t>
  </si>
  <si>
    <t xml:space="preserve">Victor Manuel Garcia Camacho</t>
  </si>
  <si>
    <t xml:space="preserve">Dominio llegandoabrasil.com.br</t>
  </si>
  <si>
    <t xml:space="preserve">NordPass</t>
  </si>
  <si>
    <t xml:space="preserve">Devzap</t>
  </si>
  <si>
    <t xml:space="preserve">Numero para whatsapp</t>
  </si>
  <si>
    <t xml:space="preserve">Marco Antonio Pozo Fonseca</t>
  </si>
  <si>
    <t xml:space="preserve">Laritza Espada Dominguez</t>
  </si>
  <si>
    <t xml:space="preserve">Jessica Laurem Coto Lopez</t>
  </si>
  <si>
    <t xml:space="preserve">MAKE</t>
  </si>
  <si>
    <t xml:space="preserve">Google One PCBR</t>
  </si>
  <si>
    <t xml:space="preserve">Cartucho Tinta Color</t>
  </si>
  <si>
    <t xml:space="preserve">Cita Embajada </t>
  </si>
  <si>
    <t xml:space="preserve">Liban Mogena Osorio</t>
  </si>
  <si>
    <t xml:space="preserve">Electricidad atrasada Nov25</t>
  </si>
  <si>
    <t xml:space="preserve">Assinatura Microsof 365</t>
  </si>
  <si>
    <t xml:space="preserve">Yasmany Delgado Farias</t>
  </si>
  <si>
    <t xml:space="preserve">Daniel David Noblet Arzuaga</t>
  </si>
  <si>
    <t xml:space="preserve">COMISIÓN ERIC</t>
  </si>
  <si>
    <t xml:space="preserve">COMISIÓN SOLANGE</t>
  </si>
  <si>
    <t xml:space="preserve">COMISIÓN JESSICA</t>
  </si>
  <si>
    <t xml:space="preserve">COMISIÓN VICTOR</t>
  </si>
  <si>
    <t xml:space="preserve">COMISIÓN JORGE</t>
  </si>
  <si>
    <t xml:space="preserve">CANVA</t>
  </si>
  <si>
    <t xml:space="preserve">Yuseiglis Margarita Martinez Molina</t>
  </si>
  <si>
    <t xml:space="preserve">Meivys Diaz Lazo</t>
  </si>
  <si>
    <t xml:space="preserve">Cartucho Tinta</t>
  </si>
  <si>
    <t xml:space="preserve">make</t>
  </si>
  <si>
    <t xml:space="preserve">Yasmani Benzol Alfonso</t>
  </si>
  <si>
    <t xml:space="preserve">Tela Telefono</t>
  </si>
  <si>
    <t xml:space="preserve">MONITOR PC</t>
  </si>
  <si>
    <t xml:space="preserve">LAMPARA DEL PASILLO</t>
  </si>
  <si>
    <t xml:space="preserve">PANCHETA DOCUMENTOS TORRE DE PAPEL</t>
  </si>
  <si>
    <t xml:space="preserve">Dianey de La Caridad Manso Villegas</t>
  </si>
  <si>
    <t xml:space="preserve">Jose Manuel Carralero Pupo</t>
  </si>
  <si>
    <t xml:space="preserve">Odelaisy Hernandez Sosa</t>
  </si>
  <si>
    <t xml:space="preserve">Nayelis Flores Martinez</t>
  </si>
  <si>
    <t xml:space="preserve">Yoanis Vera Carrion</t>
  </si>
  <si>
    <t xml:space="preserve">Estefany Fernandez Mesa</t>
  </si>
  <si>
    <t xml:space="preserve">canva</t>
  </si>
  <si>
    <t xml:space="preserve">Usuario Kommo</t>
  </si>
  <si>
    <t xml:space="preserve">Adriana Pena Arevalo</t>
  </si>
  <si>
    <t xml:space="preserve">Orlinda Alfonso Panaco</t>
  </si>
  <si>
    <t xml:space="preserve">Teudis Hernandez Perez</t>
  </si>
  <si>
    <t xml:space="preserve">Paquete de Hojas</t>
  </si>
  <si>
    <t xml:space="preserve">Compra de dos Audifonos</t>
  </si>
  <si>
    <t xml:space="preserve">Elvis Perez Perez</t>
  </si>
  <si>
    <t xml:space="preserve">\</t>
  </si>
  <si>
    <t xml:space="preserve">2026</t>
  </si>
  <si>
    <t xml:space="preserve">4</t>
  </si>
  <si>
    <t xml:space="preserve">Soma de VALOR</t>
  </si>
  <si>
    <t xml:space="preserve">Etiquetas de fila</t>
  </si>
  <si>
    <t xml:space="preserve">Total Resultado</t>
  </si>
  <si>
    <t xml:space="preserve">SUB</t>
  </si>
  <si>
    <t xml:space="preserve">GASTOSUB</t>
  </si>
  <si>
    <t xml:space="preserve">Total Geral</t>
  </si>
  <si>
    <t xml:space="preserve">Rótulos de Linha</t>
  </si>
  <si>
    <t xml:space="preserve">Demonstrativo de Resultados - DRE</t>
  </si>
  <si>
    <t xml:space="preserve">R$</t>
  </si>
  <si>
    <t xml:space="preserve">Acumulado</t>
  </si>
  <si>
    <t xml:space="preserve">Média</t>
  </si>
  <si>
    <t xml:space="preserve">Receitas Total</t>
  </si>
  <si>
    <t xml:space="preserve">LLEGANDO A BRASIL</t>
  </si>
  <si>
    <t xml:space="preserve">Despesas</t>
  </si>
  <si>
    <t xml:space="preserve">Despesas Fixas</t>
  </si>
  <si>
    <t xml:space="preserve">Despesas Variáveis</t>
  </si>
  <si>
    <t xml:space="preserve">Resultado Operacional</t>
  </si>
  <si>
    <t xml:space="preserve">Distribuição de Resultados</t>
  </si>
  <si>
    <t xml:space="preserve">Investimentos</t>
  </si>
  <si>
    <t xml:space="preserve">Resultado Total</t>
  </si>
  <si>
    <t xml:space="preserve">Resultado Acum.</t>
  </si>
  <si>
    <t xml:space="preserve">Rentabilidade</t>
  </si>
  <si>
    <t xml:space="preserve">BUSINESS INTELIGENCE - PLATAFORMA CUBANOS BR </t>
  </si>
  <si>
    <t xml:space="preserve">AREA</t>
  </si>
  <si>
    <t xml:space="preserve">AÑO</t>
  </si>
  <si>
    <t xml:space="preserve">MARKETING</t>
  </si>
  <si>
    <t xml:space="preserve">ENERO</t>
  </si>
  <si>
    <t xml:space="preserve">FEBRERO</t>
  </si>
  <si>
    <t xml:space="preserve">MARZO</t>
  </si>
  <si>
    <t xml:space="preserve">ABRIL</t>
  </si>
  <si>
    <t xml:space="preserve">MAYO</t>
  </si>
  <si>
    <t xml:space="preserve">JUNIO</t>
  </si>
  <si>
    <t xml:space="preserve">JULIO</t>
  </si>
  <si>
    <t xml:space="preserve">AGOSTO</t>
  </si>
  <si>
    <t xml:space="preserve">SEPTIEMBRE</t>
  </si>
  <si>
    <t xml:space="preserve">OCTUBRE</t>
  </si>
  <si>
    <t xml:space="preserve">NOVIEMBRE</t>
  </si>
  <si>
    <t xml:space="preserve">DICIEMBRE</t>
  </si>
  <si>
    <t xml:space="preserve">TOTAL</t>
  </si>
  <si>
    <t xml:space="preserve">INVERSIÓN TOTAL MARKETING</t>
  </si>
  <si>
    <t xml:space="preserve">INVERSIÓN TOTAL ANUNCIOS</t>
  </si>
  <si>
    <t xml:space="preserve">IMPRESIONES</t>
  </si>
  <si>
    <t xml:space="preserve">CLIQUES</t>
  </si>
  <si>
    <t xml:space="preserve">CPM</t>
  </si>
  <si>
    <t xml:space="preserve">CTR</t>
  </si>
  <si>
    <t xml:space="preserve">CPC</t>
  </si>
  <si>
    <t xml:space="preserve">LEADS</t>
  </si>
  <si>
    <t xml:space="preserve">CPL</t>
  </si>
  <si>
    <t xml:space="preserve">OPORTUNIDADES</t>
  </si>
  <si>
    <t xml:space="preserve">CPO/CPSQL</t>
  </si>
  <si>
    <t xml:space="preserve">TX CONV 1 (LEADS/OPO)</t>
  </si>
  <si>
    <t xml:space="preserve">VENTAS NUEVAS</t>
  </si>
  <si>
    <t xml:space="preserve">CPV/CAC</t>
  </si>
  <si>
    <t xml:space="preserve">TX CONV 2 (OPO/VENTAS)</t>
  </si>
  <si>
    <t xml:space="preserve">FACTURAMIENTO TOTAL</t>
  </si>
  <si>
    <t xml:space="preserve">TICKET MEDIO</t>
  </si>
  <si>
    <t xml:space="preserve">ROAS</t>
  </si>
  <si>
    <t xml:space="preserve">MARGEN DE CONTRIBUCIÓN</t>
  </si>
  <si>
    <t xml:space="preserve">ROI</t>
  </si>
  <si>
    <t xml:space="preserve">LTV</t>
  </si>
  <si>
    <t xml:space="preserve">ROI LTV</t>
  </si>
  <si>
    <t xml:space="preserve">FINANCIERO</t>
  </si>
  <si>
    <t xml:space="preserve">FACTURAMIENTO CLIENTES NUEVOS</t>
  </si>
  <si>
    <t xml:space="preserve">TX CLIENTES NUEVOS (FACT. NUEV./FACT. TOTAL)</t>
  </si>
  <si>
    <t xml:space="preserve">FACTURAMIENTO CLIENTES RECORRENTES</t>
  </si>
  <si>
    <t xml:space="preserve">TX CLIENTES RECORRENTES (FACT. RECORR./FACT. TOTAL)</t>
  </si>
  <si>
    <t xml:space="preserve">COSTOS TOTALES</t>
  </si>
  <si>
    <t xml:space="preserve">COSTOS FIJOS</t>
  </si>
  <si>
    <t xml:space="preserve">TX COSTOS FIJOS (COST. FIJ./COST. TOTAL)</t>
  </si>
  <si>
    <t xml:space="preserve">COSTOS VARIABLES</t>
  </si>
  <si>
    <t xml:space="preserve">TX COSTOS VARIABLES (COST. VAR./COST. TOTAL)</t>
  </si>
  <si>
    <t xml:space="preserve">LUCRO</t>
  </si>
  <si>
    <t xml:space="preserve">MARGEN DE LUCRO</t>
  </si>
  <si>
    <t xml:space="preserve">COSTOS ADQUISICIÓN TOTAL</t>
  </si>
  <si>
    <t xml:space="preserve">TX COSTO ADQUISICIÓN (COST. ADQ/COST. TOTAL)</t>
  </si>
  <si>
    <t xml:space="preserve">COSTOS MARKETING TOTAL</t>
  </si>
  <si>
    <t xml:space="preserve">TX COSTO MARKETING (COST. MKT./COST. ADQ)</t>
  </si>
  <si>
    <t xml:space="preserve">COSTOS VENTAS TOTAL</t>
  </si>
  <si>
    <t xml:space="preserve">TX COSTOS VENTAS (COST. VENT./COST. ADQ)</t>
  </si>
  <si>
    <t xml:space="preserve">VENTAS</t>
  </si>
  <si>
    <t xml:space="preserve">VENTAS RECORRENTES</t>
  </si>
  <si>
    <t xml:space="preserve">CAC VENTAS</t>
  </si>
  <si>
    <t xml:space="preserve">CAC TOTAL</t>
  </si>
  <si>
    <t xml:space="preserve">BREAKEVEN</t>
  </si>
  <si>
    <t xml:space="preserve">PAYBACK</t>
  </si>
  <si>
    <t xml:space="preserve">Total Facturado</t>
  </si>
  <si>
    <t xml:space="preserve">COLABORADOR</t>
  </si>
  <si>
    <t xml:space="preserve">SALARIO</t>
  </si>
  <si>
    <t xml:space="preserve">COMISIÓN</t>
  </si>
  <si>
    <t xml:space="preserve">JORGE</t>
  </si>
  <si>
    <t xml:space="preserve">VICTOR</t>
  </si>
  <si>
    <t xml:space="preserve">ANGEL</t>
  </si>
  <si>
    <t xml:space="preserve">SERVIÇO</t>
  </si>
  <si>
    <t xml:space="preserve">CAC MKTG</t>
  </si>
  <si>
    <t xml:space="preserve">COM. VEN.</t>
  </si>
  <si>
    <t xml:space="preserve">COM. OP.</t>
  </si>
  <si>
    <t xml:space="preserve">COM. TER.</t>
  </si>
  <si>
    <t xml:space="preserve">IMPUESTOS</t>
  </si>
  <si>
    <t xml:space="preserve">CV</t>
  </si>
  <si>
    <t xml:space="preserve">CF</t>
  </si>
  <si>
    <t xml:space="preserve">CT</t>
  </si>
  <si>
    <t xml:space="preserve">MC</t>
  </si>
  <si>
    <t xml:space="preserve">ML</t>
  </si>
  <si>
    <t xml:space="preserve">PAIS</t>
  </si>
  <si>
    <t xml:space="preserve">CANAL ADQUISICIÓN</t>
  </si>
  <si>
    <t xml:space="preserve">Diagna</t>
  </si>
  <si>
    <t xml:space="preserve">Aracelis</t>
  </si>
  <si>
    <t xml:space="preserve">dominguesaraselis@gmail.com</t>
  </si>
  <si>
    <t xml:space="preserve">Ivan Infante</t>
  </si>
  <si>
    <t xml:space="preserve">infanteivan572@gmail.com</t>
  </si>
  <si>
    <t xml:space="preserve">Mariluz</t>
  </si>
  <si>
    <t xml:space="preserve">benitezmariluzbp55@gmail.com</t>
  </si>
  <si>
    <t xml:space="preserve">Antonio Pablo</t>
  </si>
  <si>
    <t xml:space="preserve">antoniofonseca66@gmail.com</t>
  </si>
  <si>
    <t xml:space="preserve">Elvira</t>
  </si>
  <si>
    <t xml:space="preserve">elvirajorrin22@gmail.com</t>
  </si>
  <si>
    <t xml:space="preserve">Erit</t>
  </si>
  <si>
    <t xml:space="preserve">eritgarcias53@gmail.com</t>
  </si>
  <si>
    <t xml:space="preserve">Jorge Luis Coello</t>
  </si>
  <si>
    <t xml:space="preserve">Yanet Flores</t>
  </si>
  <si>
    <t xml:space="preserve">yanetfloresviell07@gmail.com</t>
  </si>
  <si>
    <t xml:space="preserve">Pablo Jardines</t>
  </si>
  <si>
    <t xml:space="preserve">pablojardinez85@gmail.com</t>
  </si>
  <si>
    <t xml:space="preserve">Yoannia</t>
  </si>
  <si>
    <t xml:space="preserve">yoanniacentenoherrera788@gmail.com</t>
  </si>
  <si>
    <t xml:space="preserve">Deisy</t>
  </si>
  <si>
    <t xml:space="preserve">rafaelramosdeisy@gmail.com</t>
  </si>
  <si>
    <t xml:space="preserve">Andrés</t>
  </si>
  <si>
    <t xml:space="preserve">adresito0107@gmail.com</t>
  </si>
  <si>
    <t xml:space="preserve">Yurrien</t>
  </si>
  <si>
    <t xml:space="preserve">Liander</t>
  </si>
  <si>
    <t xml:space="preserve">calixyanet008@gmail.com</t>
  </si>
  <si>
    <t xml:space="preserve">Ivette</t>
  </si>
  <si>
    <t xml:space="preserve">ivettevegabatle33@gmail.com</t>
  </si>
  <si>
    <t xml:space="preserve">Richard</t>
  </si>
  <si>
    <t xml:space="preserve">s</t>
  </si>
  <si>
    <t xml:space="preserve">ENIA</t>
  </si>
  <si>
    <t xml:space="preserve">Jorge Luis Arjona</t>
  </si>
  <si>
    <t xml:space="preserve">jorgeluisarjonarodriguez6@gmail.com</t>
  </si>
  <si>
    <t xml:space="preserve">Jose Ven</t>
  </si>
  <si>
    <t xml:space="preserve">j24518t991@gmail.com</t>
  </si>
  <si>
    <t xml:space="preserve">Adiel Valdez Barrera</t>
  </si>
  <si>
    <t xml:space="preserve">adielvaldez50@gmail.com</t>
  </si>
  <si>
    <t xml:space="preserve">Marilin</t>
  </si>
  <si>
    <t xml:space="preserve">yaselbulnes8@gmail.com</t>
  </si>
  <si>
    <t xml:space="preserve">Eduardo</t>
  </si>
  <si>
    <t xml:space="preserve">Manuel Ven</t>
  </si>
  <si>
    <t xml:space="preserve">brahilismanuelprepo@gmail.com</t>
  </si>
  <si>
    <t xml:space="preserve">Elias</t>
  </si>
  <si>
    <t xml:space="preserve">Laura Martha</t>
  </si>
  <si>
    <t xml:space="preserve">lauramarthamedinahernandez62@gmail.com</t>
  </si>
  <si>
    <t xml:space="preserve">Yorlennis</t>
  </si>
  <si>
    <t xml:space="preserve">glomarisevelynlastresvarona@gmail.com</t>
  </si>
  <si>
    <t xml:space="preserve">Magda</t>
  </si>
  <si>
    <t xml:space="preserve">Daisy</t>
  </si>
  <si>
    <t xml:space="preserve">daisydelgadorodriguez2@gmail.com</t>
  </si>
  <si>
    <t xml:space="preserve">Robert Luis</t>
  </si>
  <si>
    <t xml:space="preserve">sosamassoprobertluis@gmail.com</t>
  </si>
  <si>
    <t xml:space="preserve">Rubiel</t>
  </si>
  <si>
    <t xml:space="preserve">rubielp891@gmail.com</t>
  </si>
  <si>
    <t xml:space="preserve">Arianna</t>
  </si>
  <si>
    <t xml:space="preserve">ariannavazquezaragon@gmail.com</t>
  </si>
  <si>
    <t xml:space="preserve">Yordani</t>
  </si>
  <si>
    <t xml:space="preserve">yordanisbernes@gmail.com</t>
  </si>
  <si>
    <t xml:space="preserve">Daniel</t>
  </si>
  <si>
    <t xml:space="preserve">danieldiazsardinas@gmail.com</t>
  </si>
  <si>
    <t xml:space="preserve">Luis Miguel</t>
  </si>
  <si>
    <t xml:space="preserve">luismgallo2002@gmail.com</t>
  </si>
  <si>
    <t xml:space="preserve">Aliana</t>
  </si>
  <si>
    <t xml:space="preserve">alianadiazalonso1986@gmail.com</t>
  </si>
  <si>
    <t xml:space="preserve">Gladys</t>
  </si>
  <si>
    <t xml:space="preserve">zamoraeduardojesus@gmail.com</t>
  </si>
  <si>
    <t xml:space="preserve">Yuneysis</t>
  </si>
  <si>
    <t xml:space="preserve">yuneisialvares831@gmail.com</t>
  </si>
  <si>
    <t xml:space="preserve">Mercedes</t>
  </si>
  <si>
    <t xml:space="preserve">echevarriamercedes86@gmail.com</t>
  </si>
  <si>
    <t xml:space="preserve">Alian</t>
  </si>
  <si>
    <t xml:space="preserve">aliantrujillolarosa@gmail.com</t>
  </si>
  <si>
    <t xml:space="preserve">Yaneysi</t>
  </si>
  <si>
    <t xml:space="preserve">yaneisiselias6@gmail.com</t>
  </si>
  <si>
    <t xml:space="preserve">Yurilexi</t>
  </si>
  <si>
    <t xml:space="preserve">yurileximarcane@gmail.com</t>
  </si>
  <si>
    <t xml:space="preserve">Ruben Sánchez</t>
  </si>
  <si>
    <t xml:space="preserve">rubensanchezferra9@gmail.com</t>
  </si>
  <si>
    <t xml:space="preserve">DIOSMANY</t>
  </si>
  <si>
    <t xml:space="preserve">diosmanytorres96@gmail.com</t>
  </si>
  <si>
    <t xml:space="preserve">SAMIRA</t>
  </si>
  <si>
    <t xml:space="preserve">samiragonzalezaguilera@gmail.com</t>
  </si>
  <si>
    <t xml:space="preserve">Diarelis Perez</t>
  </si>
  <si>
    <t xml:space="preserve">diarelis.perez87@gmail.com</t>
  </si>
  <si>
    <t xml:space="preserve">CECILIA</t>
  </si>
  <si>
    <t xml:space="preserve">cm9195540@gmail.com</t>
  </si>
  <si>
    <t xml:space="preserve">AIMÉ</t>
  </si>
  <si>
    <t xml:space="preserve">aimecollazomendoza331@gmail.com</t>
  </si>
  <si>
    <t xml:space="preserve">ÁNGEL</t>
  </si>
  <si>
    <t xml:space="preserve">angelyohelalbertoduque@gmail.com</t>
  </si>
  <si>
    <t xml:space="preserve">OSDIEL GOIZ GONGORA</t>
  </si>
  <si>
    <t xml:space="preserve">osdielgoy03@gmail.com</t>
  </si>
  <si>
    <t xml:space="preserve">Calixto</t>
  </si>
  <si>
    <t xml:space="preserve">calixtocervantes06@gmail.com</t>
  </si>
  <si>
    <t xml:space="preserve">REINIER PUENTE</t>
  </si>
  <si>
    <t xml:space="preserve">lianyperezperez@gmail.com</t>
  </si>
  <si>
    <t xml:space="preserve">LUIS TAMAYO</t>
  </si>
  <si>
    <t xml:space="preserve">torrestamayoluis@gmail.com</t>
  </si>
  <si>
    <t xml:space="preserve">ALFREDO PEREZ</t>
  </si>
  <si>
    <t xml:space="preserve">alfredoperezguillen455@gmail.com</t>
  </si>
  <si>
    <t xml:space="preserve">ANABEL</t>
  </si>
  <si>
    <t xml:space="preserve">anabelvg1989@gmail.com</t>
  </si>
  <si>
    <t xml:space="preserve">Francisco Morgano</t>
  </si>
  <si>
    <t xml:space="preserve">franciscomoperez08@gmail.com</t>
  </si>
  <si>
    <t xml:space="preserve">Luis Daniel Lopez Aguilar</t>
  </si>
  <si>
    <t xml:space="preserve">d58369692@gmail.com</t>
  </si>
  <si>
    <t xml:space="preserve">Yunior Dominguez Chacón</t>
  </si>
  <si>
    <t xml:space="preserve">dominguezchaconyunior46@gmail.com</t>
  </si>
  <si>
    <t xml:space="preserve">Oshainz Lopez Rondon</t>
  </si>
  <si>
    <t xml:space="preserve">lopezoshainz@gmail.com</t>
  </si>
  <si>
    <t xml:space="preserve">Yanet Calix Gonzalez</t>
  </si>
  <si>
    <t xml:space="preserve">yanetcalixgonzalez@gmail.com</t>
  </si>
  <si>
    <t xml:space="preserve">Solayne Sibles Blanco</t>
  </si>
  <si>
    <t xml:space="preserve">solaynesiblesblanco@gmail.com</t>
  </si>
  <si>
    <t xml:space="preserve">Pedro Gonzalez Tori</t>
  </si>
  <si>
    <t xml:space="preserve">pedrogonzaleztori@gmail.com</t>
  </si>
  <si>
    <t xml:space="preserve">Enrique Castillo Quesada</t>
  </si>
  <si>
    <t xml:space="preserve">henrycastle19732025@gmail.com</t>
  </si>
  <si>
    <t xml:space="preserve">Aniuska Hernández Manzano</t>
  </si>
  <si>
    <t xml:space="preserve">aniuskah9@gmail.com</t>
  </si>
  <si>
    <t xml:space="preserve">Dennis Gonzales Gonzales</t>
  </si>
  <si>
    <t xml:space="preserve">dennisgonzalez896@gmail.com</t>
  </si>
  <si>
    <t xml:space="preserve">Amarylis Verdecia Rosales</t>
  </si>
  <si>
    <t xml:space="preserve">amarilysverdecia@gmail.com</t>
  </si>
  <si>
    <t xml:space="preserve">Yordanka Fortun Martin</t>
  </si>
  <si>
    <t xml:space="preserve">fortunyordanka@gmail.com</t>
  </si>
  <si>
    <t xml:space="preserve">Jainiel Fonseca Martinez</t>
  </si>
  <si>
    <t xml:space="preserve">Edisnier Pedroso Licea</t>
  </si>
  <si>
    <t xml:space="preserve">edisnierpedroso@gmail.com</t>
  </si>
  <si>
    <t xml:space="preserve">Ivanhoe La Rosa Cabrera</t>
  </si>
  <si>
    <t xml:space="preserve">ivanhoelarosa@gmail.com</t>
  </si>
  <si>
    <t xml:space="preserve">Raul Vian Morales</t>
  </si>
  <si>
    <t xml:space="preserve">vianmoralesra@gmail.com</t>
  </si>
  <si>
    <t xml:space="preserve">Ediosbel Garcia</t>
  </si>
  <si>
    <t xml:space="preserve">edisobelgarcia@gmail.com</t>
  </si>
  <si>
    <t xml:space="preserve">Daylenis Dorticos Lavin</t>
  </si>
  <si>
    <t xml:space="preserve">daylenisdorticoslavin@gmail.com</t>
  </si>
  <si>
    <t xml:space="preserve">Daniel Munoz Moreno</t>
  </si>
  <si>
    <t xml:space="preserve">dm936565@gmail.com</t>
  </si>
  <si>
    <t xml:space="preserve">Merlys Perdomo Salomon</t>
  </si>
  <si>
    <t xml:space="preserve">merlysperdomo0@gmail.com</t>
  </si>
  <si>
    <t xml:space="preserve">Lizandra Machin Mena</t>
  </si>
  <si>
    <t xml:space="preserve">machinlizandra96@gmail.com</t>
  </si>
  <si>
    <t xml:space="preserve">Yisleidis Rodriguez Espinosa</t>
  </si>
  <si>
    <t xml:space="preserve">yisleidyrodriguezespinoza26@gmail.com</t>
  </si>
  <si>
    <t xml:space="preserve">Regla Elizabeth Chirino Rana</t>
  </si>
  <si>
    <t xml:space="preserve">reglaechirino94@gmail.com</t>
  </si>
  <si>
    <t xml:space="preserve">Rolando Murat</t>
  </si>
  <si>
    <t xml:space="preserve">rolandomurat908@gmail.com</t>
  </si>
  <si>
    <t xml:space="preserve">Yusnuelvys Rosabal</t>
  </si>
  <si>
    <t xml:space="preserve">Elsa Cabrera Juvier</t>
  </si>
  <si>
    <t xml:space="preserve">suarezyanita1210@gmail.com</t>
  </si>
  <si>
    <t xml:space="preserve">Ireanny Nava Rojas</t>
  </si>
  <si>
    <t xml:space="preserve">bebar5191@gmail.com</t>
  </si>
  <si>
    <t xml:space="preserve">Maydelin Nerey</t>
  </si>
  <si>
    <t xml:space="preserve">nereymaydelin@gmail.com</t>
  </si>
  <si>
    <t xml:space="preserve">Daniel Nieto BR</t>
  </si>
  <si>
    <t xml:space="preserve">Carlos Manuel</t>
  </si>
  <si>
    <t xml:space="preserve">carlosmanueldiazgil37@gmail.com</t>
  </si>
  <si>
    <t xml:space="preserve">Yusdierki</t>
  </si>
  <si>
    <t xml:space="preserve">yudierkihernandez6@gmail.com</t>
  </si>
  <si>
    <t xml:space="preserve">Yaremis</t>
  </si>
  <si>
    <t xml:space="preserve">yaremisperez6@gmail.com</t>
  </si>
  <si>
    <t xml:space="preserve">Idel Gonzalez Díaz</t>
  </si>
  <si>
    <t xml:space="preserve">idelgonzales655@gmail.com</t>
  </si>
  <si>
    <t xml:space="preserve">Yadira</t>
  </si>
  <si>
    <t xml:space="preserve">arencibiacalvoyadira@gmail.com</t>
  </si>
  <si>
    <t xml:space="preserve">Kenia Valdes</t>
  </si>
  <si>
    <t xml:space="preserve">valdeskenia96@gmail.com</t>
  </si>
  <si>
    <t xml:space="preserve">Yaineri Castillo Fentes</t>
  </si>
  <si>
    <t xml:space="preserve">yaineriscastillo057@gmail.com</t>
  </si>
  <si>
    <t xml:space="preserve">Luis Carlos del Toro Matos</t>
  </si>
  <si>
    <t xml:space="preserve">deltoromatosluiscarlos@gmail.com</t>
  </si>
  <si>
    <t xml:space="preserve">Luis Felipe</t>
  </si>
  <si>
    <t xml:space="preserve">luisfelipediazleyva@gmail.com</t>
  </si>
  <si>
    <t xml:space="preserve">Liusmel</t>
  </si>
  <si>
    <t xml:space="preserve">liusmel8912@gmail.com</t>
  </si>
  <si>
    <t xml:space="preserve">Noelvys</t>
  </si>
  <si>
    <t xml:space="preserve">Janny</t>
  </si>
  <si>
    <t xml:space="preserve">penajanny8@gmail.com</t>
  </si>
  <si>
    <t xml:space="preserve">Marislay Peña Blanco</t>
  </si>
  <si>
    <t xml:space="preserve">marislaypena2@gmail.com</t>
  </si>
  <si>
    <t xml:space="preserve">Lázara Orama Bango</t>
  </si>
  <si>
    <t xml:space="preserve">oramabangolazara@gmail.com</t>
  </si>
  <si>
    <t xml:space="preserve">David Mendoza Figueredo</t>
  </si>
  <si>
    <t xml:space="preserve">mendoza860224@gmail.com</t>
  </si>
  <si>
    <t xml:space="preserve">Maida Lage Zapata</t>
  </si>
  <si>
    <t xml:space="preserve">maidalagemaida@gmail.com</t>
  </si>
  <si>
    <t xml:space="preserve">Juana Yaimi Naranjo</t>
  </si>
  <si>
    <t xml:space="preserve">yaiminaranjo@gmail.com</t>
  </si>
  <si>
    <t xml:space="preserve">Keni Diaz Lozano</t>
  </si>
  <si>
    <t xml:space="preserve">kenidiazlozano@gmail.com</t>
  </si>
  <si>
    <t xml:space="preserve">Anexis Ceballo</t>
  </si>
  <si>
    <t xml:space="preserve">ceballoanexis@gmail.com</t>
  </si>
  <si>
    <t xml:space="preserve">Alexis Silega</t>
  </si>
  <si>
    <t xml:space="preserve">silegageorgealexis@gmail.com</t>
  </si>
  <si>
    <t xml:space="preserve">Carlos Jesus Hernandes Valdes</t>
  </si>
  <si>
    <t xml:space="preserve">valdeshernamdescarlosjesus@gmail.com</t>
  </si>
  <si>
    <t xml:space="preserve">Orbenis Caballero Pico</t>
  </si>
  <si>
    <t xml:space="preserve">cabaeirooribenos@gmail.com</t>
  </si>
  <si>
    <t xml:space="preserve">Otniel Baro Calzado</t>
  </si>
  <si>
    <t xml:space="preserve">otnieljrbarocalzado@gmail.com</t>
  </si>
  <si>
    <t xml:space="preserve">Raidel Garcia Quesada</t>
  </si>
  <si>
    <t xml:space="preserve">raidelgarciaquesada10@gmail.com</t>
  </si>
  <si>
    <t xml:space="preserve">David Alejandro González Estrada</t>
  </si>
  <si>
    <t xml:space="preserve">chicoestrada98@gmail.com</t>
  </si>
  <si>
    <t xml:space="preserve">Adriana</t>
  </si>
  <si>
    <t xml:space="preserve">adrianaluissanchez@yahoo.com</t>
  </si>
  <si>
    <t xml:space="preserve">Yunieski Rodriguez</t>
  </si>
  <si>
    <t xml:space="preserve">cubanocubaelcubano@gmail.com</t>
  </si>
  <si>
    <t xml:space="preserve">Jesus Portuondo Giron</t>
  </si>
  <si>
    <t xml:space="preserve">jesusportuondo23@gmail.com</t>
  </si>
  <si>
    <t xml:space="preserve">Francisco Ramos Duharte</t>
  </si>
  <si>
    <t xml:space="preserve">ramosduhartefrancisco@gmail.com</t>
  </si>
  <si>
    <t xml:space="preserve">Lisardo Sánchez Maldonado</t>
  </si>
  <si>
    <t xml:space="preserve">lizardosanchez57@gmail.com</t>
  </si>
  <si>
    <t xml:space="preserve">Alejandro Tamayo Cuellar</t>
  </si>
  <si>
    <t xml:space="preserve">alejandrotamayoyoel2@gmail.com</t>
  </si>
  <si>
    <t xml:space="preserve">Rosa Iliana González</t>
  </si>
  <si>
    <t xml:space="preserve">gomezrosailiana@gmail.com</t>
  </si>
  <si>
    <t xml:space="preserve">Miguel Angulo</t>
  </si>
  <si>
    <t xml:space="preserve">miguelangulorodriguez60@gmail.com</t>
  </si>
  <si>
    <t xml:space="preserve">Damaris Diaz Font</t>
  </si>
  <si>
    <t xml:space="preserve">orlando.rd2024@gmail.com</t>
  </si>
  <si>
    <t xml:space="preserve">Alexander Alcolea González</t>
  </si>
  <si>
    <t xml:space="preserve">alcoleaalexander706@gmail.com</t>
  </si>
  <si>
    <t xml:space="preserve">Maylin Brizuela Montero</t>
  </si>
  <si>
    <t xml:space="preserve">joaco.mayli@gmail.com</t>
  </si>
  <si>
    <t xml:space="preserve">José Antonio Zamora Bles</t>
  </si>
  <si>
    <t xml:space="preserve">joseantoniozamorables505@gmail.com</t>
  </si>
  <si>
    <t xml:space="preserve">cirailianamacias@gmail.com</t>
  </si>
  <si>
    <t xml:space="preserve">Yunior Perez Chavez</t>
  </si>
  <si>
    <t xml:space="preserve">yuniorperezchavez48@gmail.com</t>
  </si>
  <si>
    <t xml:space="preserve">Nidiel Cardenas</t>
  </si>
  <si>
    <t xml:space="preserve">nidielcardenas@gmail.com</t>
  </si>
  <si>
    <t xml:space="preserve">Rosendo Wong Casanas</t>
  </si>
  <si>
    <t xml:space="preserve">wongrosendo6@gmail.com</t>
  </si>
  <si>
    <t xml:space="preserve">Yolanda Fonseca Romero</t>
  </si>
  <si>
    <t xml:space="preserve">yolandafonsecaromero0@gmail.com</t>
  </si>
  <si>
    <t xml:space="preserve">Aymet Martinez Martinez</t>
  </si>
  <si>
    <t xml:space="preserve">alvarezagdiel@gmail.com</t>
  </si>
  <si>
    <t xml:space="preserve">Yadira Hernández Fleitas</t>
  </si>
  <si>
    <t xml:space="preserve">yachirahernandezfleitas@gmail.com</t>
  </si>
  <si>
    <t xml:space="preserve">Pablo Alberto Rodriguez Torres</t>
  </si>
  <si>
    <t xml:space="preserve">pabloarodrigueztorres@gmail.com</t>
  </si>
  <si>
    <t xml:space="preserve">Caridad Yendy Sanchez Reynoso</t>
  </si>
  <si>
    <t xml:space="preserve">yendysanchez750@gmail.com</t>
  </si>
  <si>
    <t xml:space="preserve">Ernesto Vazquez de Paz</t>
  </si>
  <si>
    <t xml:space="preserve">Dariela Vargas</t>
  </si>
  <si>
    <t xml:space="preserve">darielavargasjimenez27@gmail.com</t>
  </si>
  <si>
    <t xml:space="preserve">Yaritza Artimez Molina</t>
  </si>
  <si>
    <t xml:space="preserve">yaryartimez1982@gmail.com</t>
  </si>
  <si>
    <t xml:space="preserve">Gabriel Chavez Portuondo</t>
  </si>
  <si>
    <t xml:space="preserve">g22132464@gmail.com</t>
  </si>
  <si>
    <t xml:space="preserve">Kirenia Laws Riviaux</t>
  </si>
  <si>
    <t xml:space="preserve">kirenialeisriviaux@gmail.com</t>
  </si>
  <si>
    <t xml:space="preserve">Yenifer Sofia Collazo Mendoza</t>
  </si>
  <si>
    <t xml:space="preserve">Jorge Alberto Oliva Ramos</t>
  </si>
  <si>
    <t xml:space="preserve">jorgeaoliva.9898@gmail.com</t>
  </si>
  <si>
    <t xml:space="preserve">Lisbey Hernandez Cabellos</t>
  </si>
  <si>
    <t xml:space="preserve">lisbeyhc83@gmail.com</t>
  </si>
  <si>
    <t xml:space="preserve">Ada Elba Martinez Tamayo</t>
  </si>
  <si>
    <t xml:space="preserve">adaelvam@gmail.com</t>
  </si>
  <si>
    <t xml:space="preserve">Emilio Rodriguez Gonzalez</t>
  </si>
  <si>
    <t xml:space="preserve">Yamila Martinez Rodriguez</t>
  </si>
  <si>
    <t xml:space="preserve">yamilamartinezrodriguez977@gmail.com</t>
  </si>
  <si>
    <t xml:space="preserve">Dayan Adrian Frias</t>
  </si>
  <si>
    <t xml:space="preserve">friaadrian304@gmail.com</t>
  </si>
  <si>
    <t xml:space="preserve">Francisco Javier Cordero</t>
  </si>
  <si>
    <t xml:space="preserve">nolimarcedeno4@gmail.com</t>
  </si>
  <si>
    <t xml:space="preserve">Rodibel Montalban</t>
  </si>
  <si>
    <t xml:space="preserve">rodibelmontalban@gmail.com</t>
  </si>
  <si>
    <t xml:space="preserve">Roylan Antonio Murat Rosabal</t>
  </si>
  <si>
    <t xml:space="preserve">roylanmurat@gmail.com</t>
  </si>
  <si>
    <t xml:space="preserve">Yaumara Torriente Solis</t>
  </si>
  <si>
    <t xml:space="preserve">ytorrientesolis@gmail.com</t>
  </si>
  <si>
    <t xml:space="preserve">Yunieski Osorio</t>
  </si>
  <si>
    <t xml:space="preserve">yuniesky2112@gmail.com</t>
  </si>
  <si>
    <t xml:space="preserve">Yanislaydis</t>
  </si>
  <si>
    <t xml:space="preserve">yanislaidis367@gmail.com</t>
  </si>
  <si>
    <t xml:space="preserve">Yisel Cabrera</t>
  </si>
  <si>
    <t xml:space="preserve">yiselcabreraordonez@gmail.com</t>
  </si>
  <si>
    <t xml:space="preserve">Azaharis Fernandez</t>
  </si>
  <si>
    <t xml:space="preserve">azaharisfernandez7@gmail.com</t>
  </si>
  <si>
    <t xml:space="preserve">Ricardo Arteaga</t>
  </si>
  <si>
    <t xml:space="preserve">ricardoarteaga067@gmail.com</t>
  </si>
  <si>
    <t xml:space="preserve">Loydel Norchales</t>
  </si>
  <si>
    <t xml:space="preserve">uloydel@gmail.com</t>
  </si>
  <si>
    <t xml:space="preserve">Ariel Rodríguez Laborde</t>
  </si>
  <si>
    <t xml:space="preserve">rodriguezlabordeariel@gmail.com</t>
  </si>
  <si>
    <t xml:space="preserve">Jose Alberto Montes de Oca</t>
  </si>
  <si>
    <t xml:space="preserve">Carmen Gallardo</t>
  </si>
  <si>
    <t xml:space="preserve">carmengallardo2212@gmail.com</t>
  </si>
  <si>
    <t xml:space="preserve">Ivan López Vilariño</t>
  </si>
  <si>
    <t xml:space="preserve">ivan.vilarino2017@gmail.com</t>
  </si>
  <si>
    <t xml:space="preserve">Nelson Cortes Ortega</t>
  </si>
  <si>
    <t xml:space="preserve">nelsoncortezortega5@gmail.com</t>
  </si>
  <si>
    <t xml:space="preserve">Raidel Valdes Ramos</t>
  </si>
  <si>
    <t xml:space="preserve">raidelvaldes420@gmail.com</t>
  </si>
  <si>
    <t xml:space="preserve">Yarleidys Urrutia</t>
  </si>
  <si>
    <t xml:space="preserve">yarleidysurtia@gmail.com</t>
  </si>
  <si>
    <t xml:space="preserve">Reinaldo Falart</t>
  </si>
  <si>
    <t xml:space="preserve">reinaldofabart4@gmail.com</t>
  </si>
  <si>
    <t xml:space="preserve">Sandy Garcia Lopez</t>
  </si>
  <si>
    <t xml:space="preserve">garcialopezsandy31@gmail.com</t>
  </si>
  <si>
    <t xml:space="preserve">Ulises Miranda Pedroso</t>
  </si>
  <si>
    <t xml:space="preserve">um6911584@gmail.com</t>
  </si>
  <si>
    <t xml:space="preserve">Yudmila Batista</t>
  </si>
  <si>
    <t xml:space="preserve">milanmendozapelier@gmail.com</t>
  </si>
  <si>
    <t xml:space="preserve">Dairon Yoskiel Milan Iglesias</t>
  </si>
  <si>
    <t xml:space="preserve">nuvioladairon@gmail.com</t>
  </si>
  <si>
    <t xml:space="preserve">Dulvis Milagros Iglesias Lay</t>
  </si>
  <si>
    <t xml:space="preserve">dulvismilagros@gmail.com</t>
  </si>
  <si>
    <t xml:space="preserve">Alexander Rodríguez</t>
  </si>
  <si>
    <t xml:space="preserve">a10457767@gmail.com</t>
  </si>
  <si>
    <t xml:space="preserve">Yenia Isabel Diaz Granados</t>
  </si>
  <si>
    <t xml:space="preserve">diazyenia89@gmail.com</t>
  </si>
  <si>
    <t xml:space="preserve">Yamilka Ledesma Otano</t>
  </si>
  <si>
    <t xml:space="preserve">Saray Martinez Hernandez</t>
  </si>
  <si>
    <t xml:space="preserve">saraymartinezhernandez2@gmail.com</t>
  </si>
  <si>
    <t xml:space="preserve">Mibian George Torres</t>
  </si>
  <si>
    <t xml:space="preserve">georgetorresmibian@gmail.com</t>
  </si>
  <si>
    <t xml:space="preserve">Daike Dayan Morgado</t>
  </si>
  <si>
    <t xml:space="preserve">Gilberto Jesus Hernandez</t>
  </si>
  <si>
    <t xml:space="preserve">gilbertojesushernandez693@gmail.com</t>
  </si>
  <si>
    <t xml:space="preserve">Nelvis Maria Naranjo Gamboa</t>
  </si>
  <si>
    <t xml:space="preserve">nelvism.naranjo@gmail.com</t>
  </si>
  <si>
    <t xml:space="preserve">Raudelis Cruz Batista</t>
  </si>
  <si>
    <t xml:space="preserve">raudeliscruz87@gmail.com</t>
  </si>
  <si>
    <t xml:space="preserve">Daniel Orlando Collado</t>
  </si>
  <si>
    <t xml:space="preserve">Katheryn Gómez Matos</t>
  </si>
  <si>
    <t xml:space="preserve">katheringomezmatos2011@gmail.com</t>
  </si>
  <si>
    <t xml:space="preserve">Jorge Luis Garcia</t>
  </si>
  <si>
    <t xml:space="preserve">jorge.garcia161089@gmail.com</t>
  </si>
  <si>
    <t xml:space="preserve">Yordan Carpio Marrero</t>
  </si>
  <si>
    <t xml:space="preserve">Yorkis Piñeda</t>
  </si>
  <si>
    <t xml:space="preserve">piendamatosc@gmail.com</t>
  </si>
  <si>
    <t xml:space="preserve">Geydis Sotolongo</t>
  </si>
  <si>
    <t xml:space="preserve">sotolongoleyvageidy@gmail.com</t>
  </si>
  <si>
    <t xml:space="preserve">Keilap</t>
  </si>
  <si>
    <t xml:space="preserve">keilapmunos@gmail.com</t>
  </si>
  <si>
    <t xml:space="preserve">Yoendis Ortiz Cabreja</t>
  </si>
  <si>
    <t xml:space="preserve">yoendyortizcabreja@gmail.com</t>
  </si>
  <si>
    <t xml:space="preserve">Manuel Moya Hernández</t>
  </si>
  <si>
    <t xml:space="preserve">naivyrodriguez18@gmail.com</t>
  </si>
  <si>
    <t xml:space="preserve">Rudy Ortiz Olivares</t>
  </si>
  <si>
    <t xml:space="preserve">Nayelis Valdes</t>
  </si>
  <si>
    <t xml:space="preserve">nayelisv925@gmail.com</t>
  </si>
  <si>
    <t xml:space="preserve">Adrian Carlos Ricardo</t>
  </si>
  <si>
    <t xml:space="preserve">aricardoligurbia@gmail.com</t>
  </si>
  <si>
    <t xml:space="preserve">Janier Varela Reinoso</t>
  </si>
  <si>
    <t xml:space="preserve">janiervarelareinoso@gmail.com</t>
  </si>
  <si>
    <t xml:space="preserve">Alexander Mazorra</t>
  </si>
  <si>
    <t xml:space="preserve">Marina Hernandez Castro</t>
  </si>
  <si>
    <t xml:space="preserve">Ricardo Bernal Consuegra</t>
  </si>
  <si>
    <t xml:space="preserve">bernaconsuegra1986@gmail.com</t>
  </si>
  <si>
    <t xml:space="preserve">Racheli Bermudez Gonzalez</t>
  </si>
  <si>
    <t xml:space="preserve">Yodisleidis Oti Bravo</t>
  </si>
  <si>
    <t xml:space="preserve">otibravoy@gmail.com</t>
  </si>
  <si>
    <t xml:space="preserve">Miriam Nelys Pérez Martínez</t>
  </si>
  <si>
    <t xml:space="preserve">miriamnelysperezmartinez86@gmail.com</t>
  </si>
  <si>
    <t xml:space="preserve">Jose Alberto Aranda Cordova</t>
  </si>
  <si>
    <t xml:space="preserve">jalbertoarandacordova@gmail.com</t>
  </si>
  <si>
    <t xml:space="preserve">Ivonne Gonzales Plasencia</t>
  </si>
  <si>
    <t xml:space="preserve">santiago.0958@gmail.com</t>
  </si>
  <si>
    <t xml:space="preserve">Maria de los Angeles Trimiño Perez</t>
  </si>
  <si>
    <t xml:space="preserve">maratrimino@gmail.com</t>
  </si>
  <si>
    <t xml:space="preserve">Yasmany Guerra Enriquez</t>
  </si>
  <si>
    <t xml:space="preserve">guerrayasmany411@gmail.com</t>
  </si>
  <si>
    <t xml:space="preserve">Angel Luis Figueredo Llanes</t>
  </si>
  <si>
    <t xml:space="preserve">fuigueredoangelluis@gmail.com</t>
  </si>
  <si>
    <t xml:space="preserve">Yusnaidys Rojas Garcia</t>
  </si>
  <si>
    <t xml:space="preserve">yuneyrojasgarcia@gmail.com</t>
  </si>
  <si>
    <t xml:space="preserve">Sergio Charle Jardinez</t>
  </si>
  <si>
    <t xml:space="preserve">charlesezquivel97@gmail.com</t>
  </si>
  <si>
    <t xml:space="preserve">Alexey Segura Garbey</t>
  </si>
  <si>
    <t xml:space="preserve">seguragarveyalexey@gmail.com</t>
  </si>
  <si>
    <t xml:space="preserve">Wiliam Zamora Galan</t>
  </si>
  <si>
    <t xml:space="preserve">Rafael Ramón Ojeda Izaguirre</t>
  </si>
  <si>
    <t xml:space="preserve">rafaelojedaizaguirre@gmail.com</t>
  </si>
  <si>
    <t xml:space="preserve">Soraimi Guerra Menéndez</t>
  </si>
  <si>
    <t xml:space="preserve">soraimiguerramenendez@gmail.com</t>
  </si>
  <si>
    <t xml:space="preserve">Yanet Olivera Martinez</t>
  </si>
  <si>
    <t xml:space="preserve">yanetoliveramartinez67@gmail.com</t>
  </si>
  <si>
    <t xml:space="preserve">Mariagnis</t>
  </si>
  <si>
    <t xml:space="preserve">mariagnisperez459@gmail.com</t>
  </si>
  <si>
    <t xml:space="preserve">Dayan Arango Diaz</t>
  </si>
  <si>
    <t xml:space="preserve">arangodayan64@gmail.com</t>
  </si>
  <si>
    <t xml:space="preserve">Julio Cesar Morejon Garcia</t>
  </si>
  <si>
    <t xml:space="preserve">juliocesarmorejongarcia@gmail.com</t>
  </si>
  <si>
    <t xml:space="preserve">Lisandry Eloy Ortega Carmona</t>
  </si>
  <si>
    <t xml:space="preserve">Rafael Alejandro Gonzales Dieguez</t>
  </si>
  <si>
    <t xml:space="preserve">aledieguez84@gmail.com</t>
  </si>
  <si>
    <t xml:space="preserve">Evelin Livia Toledo Diaz</t>
  </si>
  <si>
    <t xml:space="preserve">evelintoledodiaz@gmail.com</t>
  </si>
  <si>
    <t xml:space="preserve">Carlos Jesus Riveron Garcia</t>
  </si>
  <si>
    <t xml:space="preserve">riberoncarlos@gmail.com</t>
  </si>
  <si>
    <t xml:space="preserve">Katisleidy Delgado Rodriguez</t>
  </si>
  <si>
    <t xml:space="preserve">alejandrojimenezdelgado012730@gmail.com</t>
  </si>
  <si>
    <t xml:space="preserve">José Luis Román Ravelo</t>
  </si>
  <si>
    <t xml:space="preserve">mirellaguerraroman@gmail.com</t>
  </si>
  <si>
    <t xml:space="preserve">Stirlin Mario Suarez</t>
  </si>
  <si>
    <t xml:space="preserve">suarezstirlin@gmail.com</t>
  </si>
  <si>
    <t xml:space="preserve">Grisel M Duboy Ramirez</t>
  </si>
  <si>
    <t xml:space="preserve">griseldoboy@gmail.com</t>
  </si>
  <si>
    <t xml:space="preserve">Daisy Rodriguez</t>
  </si>
  <si>
    <t xml:space="preserve">Roxana Somoano Carratala</t>
  </si>
  <si>
    <t xml:space="preserve">roxanasomoano1@gmail.com</t>
  </si>
  <si>
    <t xml:space="preserve">Andria Jimenez Villares</t>
  </si>
  <si>
    <t xml:space="preserve">andriajimenez90@gmail.com</t>
  </si>
  <si>
    <t xml:space="preserve">Arquimede Aguilera La Cruz</t>
  </si>
  <si>
    <t xml:space="preserve">aguileraalquimedes325@gmail.com</t>
  </si>
  <si>
    <t xml:space="preserve">Hade Cruzata Ayala</t>
  </si>
  <si>
    <t xml:space="preserve">Jose Carlos</t>
  </si>
  <si>
    <t xml:space="preserve">papopaporoca@gmail.com</t>
  </si>
  <si>
    <t xml:space="preserve">Yelier Soria Rizo</t>
  </si>
  <si>
    <t xml:space="preserve">yeliersoriarizo17@gmail.com</t>
  </si>
  <si>
    <t xml:space="preserve">Raúl Sanchez</t>
  </si>
  <si>
    <t xml:space="preserve">ferrasanchezraul@gmail.com</t>
  </si>
  <si>
    <t xml:space="preserve">Luis Gervacio Acosta Perez</t>
  </si>
  <si>
    <t xml:space="preserve">luisjerbacioacostaperez@gmail.com</t>
  </si>
  <si>
    <t xml:space="preserve">Aliesky Ricardo Armas</t>
  </si>
  <si>
    <t xml:space="preserve">alieskyricardoarmas359@gmail.com</t>
  </si>
  <si>
    <t xml:space="preserve">Idalmy Barroso</t>
  </si>
  <si>
    <t xml:space="preserve">idarmisbarroso@gmail.com</t>
  </si>
  <si>
    <t xml:space="preserve">Leonnis Alberto Ortega Naranjo</t>
  </si>
  <si>
    <t xml:space="preserve">leonnisorteganaranjo@gmail.com</t>
  </si>
  <si>
    <t xml:space="preserve">Olga Lidia Silva Parra</t>
  </si>
  <si>
    <t xml:space="preserve">1991@yopmail.com</t>
  </si>
  <si>
    <t xml:space="preserve">Andris Silvera Garcia</t>
  </si>
  <si>
    <t xml:space="preserve">andrissilver@gmail.com</t>
  </si>
  <si>
    <t xml:space="preserve">Dinorkis</t>
  </si>
  <si>
    <t xml:space="preserve">Victor Edel Armas Puello</t>
  </si>
  <si>
    <t xml:space="preserve">armaspuellovictor@gmail.com</t>
  </si>
  <si>
    <t xml:space="preserve">José Mailer Vazquez Cano</t>
  </si>
  <si>
    <t xml:space="preserve">leniaalvarez1988@gmail.com</t>
  </si>
  <si>
    <t xml:space="preserve">Lester Hernandez</t>
  </si>
  <si>
    <t xml:space="preserve">lesterhernandezchaco@gmail.com</t>
  </si>
  <si>
    <t xml:space="preserve">Yailenis Roman Valdes</t>
  </si>
  <si>
    <t xml:space="preserve">frometaavilayosdani@gmail.com</t>
  </si>
  <si>
    <t xml:space="preserve">Yanet Bermúdez Gonzalez</t>
  </si>
  <si>
    <t xml:space="preserve">yordanymirbatista@gmail.com</t>
  </si>
  <si>
    <t xml:space="preserve">Yoarquis</t>
  </si>
  <si>
    <t xml:space="preserve">valexism8@gmail.com</t>
  </si>
  <si>
    <t xml:space="preserve">Yoelkys Luna Larrazal</t>
  </si>
  <si>
    <t xml:space="preserve">lunayoelkys@gmail.com</t>
  </si>
  <si>
    <t xml:space="preserve">Orlenis Reyes Monjes</t>
  </si>
  <si>
    <t xml:space="preserve">orlenisreyesmonjes@gmail.com</t>
  </si>
  <si>
    <t xml:space="preserve">Yurileydi López Sánchez</t>
  </si>
  <si>
    <t xml:space="preserve">yurisleidilopezsanchez@gmail.com</t>
  </si>
  <si>
    <t xml:space="preserve">Daliuska Arias Melendez</t>
  </si>
  <si>
    <t xml:space="preserve">daliuskaariasmelendez371@gmail.com</t>
  </si>
  <si>
    <t xml:space="preserve">Daniel Celda</t>
  </si>
  <si>
    <t xml:space="preserve">danielceldatoscano@gmail.com</t>
  </si>
  <si>
    <t xml:space="preserve">Daniel Sánchez Rodriguez</t>
  </si>
  <si>
    <t xml:space="preserve">Dayana Mayo Gamez</t>
  </si>
  <si>
    <t xml:space="preserve">Yudith Betancourt Castell</t>
  </si>
  <si>
    <t xml:space="preserve">yisabela.82@gmail.com</t>
  </si>
  <si>
    <t xml:space="preserve">Dayani Cordoves Curbelo</t>
  </si>
  <si>
    <t xml:space="preserve">dayanicordoves@gmail.com</t>
  </si>
  <si>
    <t xml:space="preserve">Dailen Thomas Hermosilia</t>
  </si>
  <si>
    <t xml:space="preserve">dailenthomashermosilla@gmail.com</t>
  </si>
  <si>
    <t xml:space="preserve">Pedro Cándido Rodriguez Pena</t>
  </si>
  <si>
    <t xml:space="preserve">rodriguezpenap0@gmail.com</t>
  </si>
  <si>
    <t xml:space="preserve">yoanydominguez032@gmail.com</t>
  </si>
  <si>
    <t xml:space="preserve">Luis Miguel Serrano Ovalle</t>
  </si>
  <si>
    <t xml:space="preserve">luismiguelserranooballe@gmail.com</t>
  </si>
  <si>
    <t xml:space="preserve">Luis Orlando Frias Alvarez</t>
  </si>
  <si>
    <t xml:space="preserve">luisorlandofriasalvarez88@gmail.com</t>
  </si>
  <si>
    <t xml:space="preserve">Jeilys Castro Anaya</t>
  </si>
  <si>
    <t xml:space="preserve">jeilycastroanaya01@gmail.com</t>
  </si>
  <si>
    <t xml:space="preserve">Diulmer Delgado Gilbert</t>
  </si>
  <si>
    <t xml:space="preserve">diulmerdelgado67@gmail.com</t>
  </si>
  <si>
    <t xml:space="preserve">Hilda Yannoris Salazar Cedeño</t>
  </si>
  <si>
    <t xml:space="preserve">hildayannoris1976@gmail.com</t>
  </si>
  <si>
    <t xml:space="preserve">Lisandra Amanda Dominguez</t>
  </si>
  <si>
    <t xml:space="preserve">lissandradominguez70@gmail.com</t>
  </si>
  <si>
    <t xml:space="preserve">Reynier Flores Alvarez</t>
  </si>
  <si>
    <t xml:space="preserve">reynierfloresalvarez@gmail.com</t>
  </si>
  <si>
    <t xml:space="preserve">Caridad Talia Leyva Oliva</t>
  </si>
  <si>
    <t xml:space="preserve">thalialeyva60@gmail.com</t>
  </si>
  <si>
    <t xml:space="preserve">Mailon Garcia</t>
  </si>
  <si>
    <t xml:space="preserve">garciadenismailon@gmail.com</t>
  </si>
  <si>
    <t xml:space="preserve">Maikel Denis Urquiza Rosillo</t>
  </si>
  <si>
    <t xml:space="preserve">shsmaikel@gmail.com</t>
  </si>
  <si>
    <t xml:space="preserve">Danis</t>
  </si>
  <si>
    <t xml:space="preserve">darielsanchezsp931@gmail.com</t>
  </si>
  <si>
    <t xml:space="preserve">Alianny Rodriguez Vega</t>
  </si>
  <si>
    <t xml:space="preserve">aliannyrodriguez1994@gmail.com</t>
  </si>
  <si>
    <t xml:space="preserve">Yander</t>
  </si>
  <si>
    <t xml:space="preserve">yaididiazcavezyaidi@gmail.com</t>
  </si>
  <si>
    <t xml:space="preserve">Odlanier Torres Almaguer</t>
  </si>
  <si>
    <t xml:space="preserve">oslypachanga24@gmail.com</t>
  </si>
  <si>
    <t xml:space="preserve">Arlettis Barbara Reys</t>
  </si>
  <si>
    <t xml:space="preserve">arletisbarbarareyesaliaga@gmail.com</t>
  </si>
  <si>
    <t xml:space="preserve">Geordani Diaz Reyna</t>
  </si>
  <si>
    <t xml:space="preserve">diazreynageordani9@gmail.com</t>
  </si>
  <si>
    <t xml:space="preserve">Yoel Sarmiento Guerrero</t>
  </si>
  <si>
    <t xml:space="preserve">olgalidia1980a@gmail.com</t>
  </si>
  <si>
    <t xml:space="preserve">Yosniel Martinez Batista</t>
  </si>
  <si>
    <t xml:space="preserve">yosnielbatista1983@gmail.com</t>
  </si>
  <si>
    <t xml:space="preserve">Ada Lidia</t>
  </si>
  <si>
    <t xml:space="preserve">brocatreyadalidia@gmail.com</t>
  </si>
  <si>
    <t xml:space="preserve">Oscar Luis Alfonso</t>
  </si>
  <si>
    <t xml:space="preserve">alfonsooscarluis007@gmail.com</t>
  </si>
  <si>
    <t xml:space="preserve">Daniel Rodriguez Castro</t>
  </si>
  <si>
    <t xml:space="preserve">Rafael Sanchez del Toro</t>
  </si>
  <si>
    <t xml:space="preserve">bolorosalina6@gmail.com</t>
  </si>
  <si>
    <t xml:space="preserve">Irene Mercedes Vigo</t>
  </si>
  <si>
    <t xml:space="preserve">irenemercedessanchezvigo@gmail.com</t>
  </si>
  <si>
    <t xml:space="preserve">Leodan</t>
  </si>
  <si>
    <t xml:space="preserve">leodansantoscarrero56@gmail.com</t>
  </si>
  <si>
    <t xml:space="preserve">Jesus Enrique Ledesma</t>
  </si>
  <si>
    <t xml:space="preserve">Marisol Beritan Sanchez</t>
  </si>
  <si>
    <t xml:space="preserve">beritanmarisol@gmail.com</t>
  </si>
  <si>
    <t xml:space="preserve">Claudia Verdecia Aguilar</t>
  </si>
  <si>
    <t xml:space="preserve">claudiaverdeciaaguilar@gmail.com</t>
  </si>
  <si>
    <t xml:space="preserve">Mairelis Montes de Oca</t>
  </si>
  <si>
    <t xml:space="preserve">mairelismontesdeoca@gmail.com</t>
  </si>
  <si>
    <t xml:space="preserve">Freddys Hernandez</t>
  </si>
  <si>
    <t xml:space="preserve">freddyhenry2009@gmail.com</t>
  </si>
  <si>
    <t xml:space="preserve">Yankiel Gastón Pérez</t>
  </si>
  <si>
    <t xml:space="preserve">yanquielgastonperez13@gmail.com</t>
  </si>
  <si>
    <t xml:space="preserve">Nelson Gamez Delgado</t>
  </si>
  <si>
    <t xml:space="preserve">yarinelisgamez@gmail.com</t>
  </si>
  <si>
    <t xml:space="preserve">Osmay Venancio Carbonell</t>
  </si>
  <si>
    <t xml:space="preserve">Dasmary Almenares Batista</t>
  </si>
  <si>
    <t xml:space="preserve">dasmaryalmenarez@gmail.com</t>
  </si>
  <si>
    <t xml:space="preserve">Oniel Terrero Luis</t>
  </si>
  <si>
    <t xml:space="preserve">osnielterreroluis@gmail.com</t>
  </si>
  <si>
    <t xml:space="preserve">Joaquin Frometa Correa</t>
  </si>
  <si>
    <t xml:space="preserve">joaquinbruno220222@gmail.com</t>
  </si>
  <si>
    <t xml:space="preserve">Malbelis Leon Cruz</t>
  </si>
  <si>
    <t xml:space="preserve">Zulenma Maria Gonzalez Pena</t>
  </si>
  <si>
    <t xml:space="preserve">gonzalezzulenma@gmail.com</t>
  </si>
  <si>
    <t xml:space="preserve">Elvis Lopez Rodriguez</t>
  </si>
  <si>
    <t xml:space="preserve">lopezrodriguezelvis8@gmail.com</t>
  </si>
  <si>
    <t xml:space="preserve">Rosmery Serrano Brocat</t>
  </si>
  <si>
    <t xml:space="preserve">eva280167@gmail.com</t>
  </si>
  <si>
    <t xml:space="preserve">Yosvani Freyre</t>
  </si>
  <si>
    <t xml:space="preserve">freyressaezyosva@gmail.com</t>
  </si>
  <si>
    <t xml:space="preserve">Sarai Correa Guisado</t>
  </si>
  <si>
    <t xml:space="preserve">saraicorrea01@gmail.com</t>
  </si>
  <si>
    <t xml:space="preserve">Yenisleidys Rivero cardosa</t>
  </si>
  <si>
    <t xml:space="preserve">yenisrivero248@gmail.com</t>
  </si>
  <si>
    <t xml:space="preserve">Carlos Alberto Calogero Maita</t>
  </si>
  <si>
    <t xml:space="preserve">aliciacachutt7@gmail.com.</t>
  </si>
  <si>
    <t xml:space="preserve">Osniel Hechavarria</t>
  </si>
  <si>
    <t xml:space="preserve">leiserhechavarriabarsaga@gmail.com</t>
  </si>
  <si>
    <t xml:space="preserve">Milton Perez Tejeda</t>
  </si>
  <si>
    <t xml:space="preserve">tejedaperezmilton@gmail.com</t>
  </si>
  <si>
    <t xml:space="preserve">Orleydis Leyva</t>
  </si>
  <si>
    <t xml:space="preserve">Diana Reyes Iznaga</t>
  </si>
  <si>
    <t xml:space="preserve">dianariznaga.95@gmail.com</t>
  </si>
  <si>
    <t xml:space="preserve">Alberto</t>
  </si>
  <si>
    <t xml:space="preserve">alvertom405@gmail.com</t>
  </si>
  <si>
    <t xml:space="preserve">Yanelis Perez Crespo</t>
  </si>
  <si>
    <t xml:space="preserve">0925yanelis@gmail.com</t>
  </si>
  <si>
    <t xml:space="preserve">Laida</t>
  </si>
  <si>
    <t xml:space="preserve">laydamartinez795@gmail.com</t>
  </si>
  <si>
    <t xml:space="preserve">Mayelin Arrastre Pimentrel</t>
  </si>
  <si>
    <t xml:space="preserve">mayelinarrastre@gmail.com</t>
  </si>
  <si>
    <t xml:space="preserve">Jorge Luis Rosales Segranes</t>
  </si>
  <si>
    <t xml:space="preserve">gorgerosales89@gmail.com</t>
  </si>
  <si>
    <t xml:space="preserve">Jorge Manuel Tellez Benitez</t>
  </si>
  <si>
    <t xml:space="preserve">jorgemtellez460@gmail.com</t>
  </si>
  <si>
    <t xml:space="preserve">Marisleidis Sablon Duran</t>
  </si>
  <si>
    <t xml:space="preserve">sablonduranmarisleidis@gmail.com</t>
  </si>
  <si>
    <t xml:space="preserve">Frank Alain</t>
  </si>
  <si>
    <t xml:space="preserve">frankalain65@gmail.com</t>
  </si>
  <si>
    <t xml:space="preserve">Yaquelin Nuñez Corona</t>
  </si>
  <si>
    <t xml:space="preserve">alysacorona1991@gmail.com</t>
  </si>
  <si>
    <t xml:space="preserve">Francisco Martínez Ribera</t>
  </si>
  <si>
    <t xml:space="preserve">francisco.3019801@gmail.com</t>
  </si>
  <si>
    <t xml:space="preserve">Iroelvis Clavel Chacón</t>
  </si>
  <si>
    <t xml:space="preserve">iclavelchacon@gmail.com</t>
  </si>
  <si>
    <t xml:space="preserve">Maria Dolores Rubio Machado</t>
  </si>
  <si>
    <t xml:space="preserve">mariarubiomachado851@gmail.com</t>
  </si>
  <si>
    <t xml:space="preserve">Reina Zamora Rivero</t>
  </si>
  <si>
    <t xml:space="preserve">reinazamoraribero@gmail.com</t>
  </si>
  <si>
    <t xml:space="preserve">Yasmine Quindelan Coello</t>
  </si>
  <si>
    <t xml:space="preserve">yasminequindelancoello@gmail.com</t>
  </si>
  <si>
    <t xml:space="preserve">Maylen Herrera Bueno</t>
  </si>
  <si>
    <t xml:space="preserve">maylen7405@gmail.com</t>
  </si>
  <si>
    <t xml:space="preserve">Ernesto Luis Cruz Ricardo</t>
  </si>
  <si>
    <t xml:space="preserve">ernestocruz16272@gmail.com</t>
  </si>
  <si>
    <t xml:space="preserve">Anysleidys Hernandez Ramos</t>
  </si>
  <si>
    <t xml:space="preserve">anyleidyshernandezramos@gmail.com</t>
  </si>
  <si>
    <t xml:space="preserve">Guillermo Luis Chaveco</t>
  </si>
  <si>
    <t xml:space="preserve">chavecomk@gmail.com</t>
  </si>
  <si>
    <t xml:space="preserve">Raidel Valdés Hernández</t>
  </si>
  <si>
    <t xml:space="preserve">valdesraidel47@gmail.com</t>
  </si>
  <si>
    <t xml:space="preserve">Orlidia Barceló Pérez</t>
  </si>
  <si>
    <t xml:space="preserve">elespirituanoiclep71@gmail.com</t>
  </si>
  <si>
    <t xml:space="preserve">Hilda de la Caridad Infante Reyes</t>
  </si>
  <si>
    <t xml:space="preserve">hildainfantereyes@gmail.com</t>
  </si>
  <si>
    <t xml:space="preserve">Alber Daniel Vallin Amador</t>
  </si>
  <si>
    <t xml:space="preserve">vallinamador18@gmail.com</t>
  </si>
  <si>
    <t xml:space="preserve">José Yabrian Calas Borrego</t>
  </si>
  <si>
    <t xml:space="preserve">yabriancala@gmail.com</t>
  </si>
  <si>
    <t xml:space="preserve">Luis Enrique Castillo Bringa</t>
  </si>
  <si>
    <t xml:space="preserve">castillobringal@gmail.com</t>
  </si>
  <si>
    <t xml:space="preserve">Alexander Mendoza Leon</t>
  </si>
  <si>
    <t xml:space="preserve">analiamendozaabreu@gmail.com</t>
  </si>
  <si>
    <t xml:space="preserve">Humberto Cala Montalban</t>
  </si>
  <si>
    <t xml:space="preserve">humbertocala970@gmail.com</t>
  </si>
  <si>
    <t xml:space="preserve">Legna Yulieski Rondon Gonzalez</t>
  </si>
  <si>
    <t xml:space="preserve">legnarondon21@gmail.com</t>
  </si>
  <si>
    <t xml:space="preserve">Yuri Altabas</t>
  </si>
  <si>
    <t xml:space="preserve">Jesús Mario Castell Ramirez</t>
  </si>
  <si>
    <t xml:space="preserve">castellmario70@gmail.com</t>
  </si>
  <si>
    <t xml:space="preserve">oliverasusana227@gmail.com</t>
  </si>
  <si>
    <t xml:space="preserve">Yanelis R A Marrero</t>
  </si>
  <si>
    <t xml:space="preserve">yanelistrust1978@gmail.com</t>
  </si>
  <si>
    <t xml:space="preserve">Yoerlandy Clemente Gonzalez</t>
  </si>
  <si>
    <t xml:space="preserve">ycglez1992@gmail.com</t>
  </si>
  <si>
    <t xml:space="preserve">Daymara Quezada Pena</t>
  </si>
  <si>
    <t xml:space="preserve">daymaraquezadapena9@gmail.com</t>
  </si>
  <si>
    <t xml:space="preserve">Aliocha Herrera Gonzalez</t>
  </si>
  <si>
    <t xml:space="preserve">herreragonzalezaliocha@gmail.com</t>
  </si>
  <si>
    <t xml:space="preserve">Dayanira Napoles del Risco</t>
  </si>
  <si>
    <t xml:space="preserve">dayaniranapoles5@gmail.com</t>
  </si>
  <si>
    <t xml:space="preserve">Jorge Javier Lopez Ametller</t>
  </si>
  <si>
    <t xml:space="preserve">delosriosreyesleyanis@gmail.com</t>
  </si>
  <si>
    <t xml:space="preserve">Mineybis Estevez Sánchez</t>
  </si>
  <si>
    <t xml:space="preserve">mineibilialio77@gmail.com</t>
  </si>
  <si>
    <t xml:space="preserve">Yandy Felipe Araias</t>
  </si>
  <si>
    <t xml:space="preserve">felipeyandy53@gmail.com</t>
  </si>
  <si>
    <t xml:space="preserve">Jorge Joel Lopez Ametller</t>
  </si>
  <si>
    <t xml:space="preserve">leidiscarrazana1@gmail.com</t>
  </si>
  <si>
    <t xml:space="preserve">Maria Magdalena Rodriguez</t>
  </si>
  <si>
    <t xml:space="preserve">Daniel Rey Zayas Pavon</t>
  </si>
  <si>
    <t xml:space="preserve">zayaspavondanielrey@gmail.com</t>
  </si>
  <si>
    <t xml:space="preserve">Daimel Izaguirre</t>
  </si>
  <si>
    <t xml:space="preserve">daimelizaguirre94@gmail.com</t>
  </si>
  <si>
    <t xml:space="preserve">Fernando Matos Pelegrin</t>
  </si>
  <si>
    <t xml:space="preserve">fmatospelegrin@gmail.com</t>
  </si>
  <si>
    <t xml:space="preserve">Abraham Doret González</t>
  </si>
  <si>
    <t xml:space="preserve">abrahamdoretgonzalez@gmail.com</t>
  </si>
  <si>
    <t xml:space="preserve">Angelica Maria Claro Claro</t>
  </si>
  <si>
    <t xml:space="preserve">angelica.claro0806@gmail.com</t>
  </si>
  <si>
    <t xml:space="preserve">Anadelis</t>
  </si>
  <si>
    <t xml:space="preserve">anadelis28061978@gmail.com</t>
  </si>
  <si>
    <t xml:space="preserve">Yusiley Aguila Yanes</t>
  </si>
  <si>
    <t xml:space="preserve">yusileyaguilayanes@gmail.com</t>
  </si>
  <si>
    <t xml:space="preserve">Diley Diaz Cabrera</t>
  </si>
  <si>
    <t xml:space="preserve">dileydiazcabrera@gmail.com</t>
  </si>
  <si>
    <t xml:space="preserve">Rene Cruz Gomez</t>
  </si>
  <si>
    <t xml:space="preserve">renecgomez.09@gmail.com</t>
  </si>
  <si>
    <t xml:space="preserve">Yetsy</t>
  </si>
  <si>
    <t xml:space="preserve">anayancygood25@gmail.com</t>
  </si>
  <si>
    <t xml:space="preserve">Marilia Calzadilla Armas</t>
  </si>
  <si>
    <t xml:space="preserve">mariliaxx12@gmail.com</t>
  </si>
  <si>
    <t xml:space="preserve">Eduardo Leon Gonzales</t>
  </si>
  <si>
    <t xml:space="preserve">Niurka Morta Soto</t>
  </si>
  <si>
    <t xml:space="preserve">niurkamorfa938@gmail.com</t>
  </si>
  <si>
    <t xml:space="preserve">Ictiandro Blanco Martinez</t>
  </si>
  <si>
    <t xml:space="preserve">blancoictiandro@gmail.com</t>
  </si>
  <si>
    <t xml:space="preserve">Norca Gonzalez Ortiz</t>
  </si>
  <si>
    <t xml:space="preserve">norcagonzalezortiz@gmail.com</t>
  </si>
  <si>
    <t xml:space="preserve">Melissa Blanco Arias</t>
  </si>
  <si>
    <t xml:space="preserve">melissaba2003@gmail.com</t>
  </si>
  <si>
    <t xml:space="preserve">Julio Rodriguez Diaz</t>
  </si>
  <si>
    <t xml:space="preserve">juliorodriguezdiaz4@gmail.com</t>
  </si>
  <si>
    <t xml:space="preserve">Gretel Soler Cedeño</t>
  </si>
  <si>
    <t xml:space="preserve">gretelsoler85@gmail.com</t>
  </si>
  <si>
    <t xml:space="preserve">Maria Elena Pozo Alvarez</t>
  </si>
  <si>
    <t xml:space="preserve">Didier Gutierez Guerra</t>
  </si>
  <si>
    <t xml:space="preserve">didiergutierrezguerra@gmail.com</t>
  </si>
  <si>
    <t xml:space="preserve">Raul Javier Acosta Cabrera</t>
  </si>
  <si>
    <t xml:space="preserve">rauljavieracostacabrera@gmail.com</t>
  </si>
  <si>
    <t xml:space="preserve">Deslier Garces Rodriguez</t>
  </si>
  <si>
    <t xml:space="preserve">desliergarces@gmail.com</t>
  </si>
  <si>
    <t xml:space="preserve">Meilin Gabriel Canteno</t>
  </si>
  <si>
    <t xml:space="preserve">meilingabriel63@gmail.com</t>
  </si>
  <si>
    <t xml:space="preserve">Breyni Javier Urbaez</t>
  </si>
  <si>
    <t xml:space="preserve">burbaeznaut@gmail.com</t>
  </si>
  <si>
    <t xml:space="preserve">Rafael Alberto Reyes Cisnero</t>
  </si>
  <si>
    <t xml:space="preserve">rafaelcubalibre5@gmail.com</t>
  </si>
  <si>
    <t xml:space="preserve">Yordan Anel Barrera Goite</t>
  </si>
  <si>
    <t xml:space="preserve">yordananelbarreragoite@gmail.com</t>
  </si>
  <si>
    <t xml:space="preserve">Maelis Carmenates Buckerige</t>
  </si>
  <si>
    <t xml:space="preserve">maeliscarmenatebukerige@gmail.com</t>
  </si>
  <si>
    <t xml:space="preserve">Alexis Frómeta</t>
  </si>
  <si>
    <t xml:space="preserve">alexisfrometa95@gmail.com</t>
  </si>
  <si>
    <t xml:space="preserve">Lisbey Zulueta Vazquez</t>
  </si>
  <si>
    <t xml:space="preserve">lisbenyzulueta@gmail.com</t>
  </si>
  <si>
    <t xml:space="preserve">Mirtha Maria Ramirez Crook</t>
  </si>
  <si>
    <t xml:space="preserve">rodriguezrodriguezjuanrene@gmail.com</t>
  </si>
  <si>
    <t xml:space="preserve">frandiportal@gmail.com</t>
  </si>
  <si>
    <t xml:space="preserve">Lucrecia</t>
  </si>
  <si>
    <t xml:space="preserve">llucrecia.1991@gmail.com</t>
  </si>
  <si>
    <t xml:space="preserve">Dayana Albelo del Risco</t>
  </si>
  <si>
    <t xml:space="preserve">albelodayana@gmail.com</t>
  </si>
  <si>
    <t xml:space="preserve">Sebastian Rolides Fonticiella</t>
  </si>
  <si>
    <t xml:space="preserve">reycito010221@gmail.com</t>
  </si>
  <si>
    <t xml:space="preserve">Juan Enrique Torres Méndez</t>
  </si>
  <si>
    <t xml:space="preserve">enrique.010687@gmail.com</t>
  </si>
  <si>
    <t xml:space="preserve">Lázaro Elieser Luvin Cintra</t>
  </si>
  <si>
    <t xml:space="preserve">lazarolubincintra@gmail.com</t>
  </si>
  <si>
    <t xml:space="preserve">Maikel Corrales Lores</t>
  </si>
  <si>
    <t xml:space="preserve">lorescorralesmaikel@gmail.com</t>
  </si>
  <si>
    <t xml:space="preserve">Celia Virgen Vega Arias</t>
  </si>
  <si>
    <t xml:space="preserve">celiavegaarias51@gmail.com</t>
  </si>
  <si>
    <t xml:space="preserve">Brenda</t>
  </si>
  <si>
    <t xml:space="preserve">giorgecespedes@gmail.com</t>
  </si>
  <si>
    <t xml:space="preserve">Rosniel Mora Fraga</t>
  </si>
  <si>
    <t xml:space="preserve">morafragarosniel@gmail.com</t>
  </si>
  <si>
    <t xml:space="preserve">Nelvis Ramona Duboy</t>
  </si>
  <si>
    <t xml:space="preserve">nelvisramona@yopmail.com</t>
  </si>
  <si>
    <t xml:space="preserve">Isnai Frómeta Tose</t>
  </si>
  <si>
    <t xml:space="preserve">Ifrometatase@gmail.com</t>
  </si>
  <si>
    <t xml:space="preserve">Guillermo José Hernandez Cabrera</t>
  </si>
  <si>
    <t xml:space="preserve">Gleidy Pérez Pino</t>
  </si>
  <si>
    <t xml:space="preserve">gleidyperezpino@gmail.com</t>
  </si>
  <si>
    <t xml:space="preserve">Yodierkis Garcia Lopez</t>
  </si>
  <si>
    <t xml:space="preserve">yodiergarcia88@gmail.com</t>
  </si>
  <si>
    <t xml:space="preserve">Idania Consuegra Correa</t>
  </si>
  <si>
    <t xml:space="preserve">860123idania@gmail.com</t>
  </si>
  <si>
    <t xml:space="preserve">Pablo Anazco Cedeno</t>
  </si>
  <si>
    <t xml:space="preserve">pabloanazco57@gmail.com</t>
  </si>
  <si>
    <t xml:space="preserve">Carlos Alejandro Soto Gutierrez</t>
  </si>
  <si>
    <t xml:space="preserve">mastercarlosbarber@icloud.com</t>
  </si>
  <si>
    <t xml:space="preserve">Ana Gretel Zuñiga Garcia</t>
  </si>
  <si>
    <t xml:space="preserve">anagretell4@gmail.com</t>
  </si>
  <si>
    <t xml:space="preserve">Ramón Dariel González Ruiz</t>
  </si>
  <si>
    <t xml:space="preserve">darielgonzalez947@gmail.com</t>
  </si>
  <si>
    <t xml:space="preserve">Román Lorenzo Torrado Pernia</t>
  </si>
  <si>
    <t xml:space="preserve">Alain Betancourt Rodriguez</t>
  </si>
  <si>
    <t xml:space="preserve">alainbetancourt30@gmail.com</t>
  </si>
  <si>
    <t xml:space="preserve">Kirenia</t>
  </si>
  <si>
    <t xml:space="preserve">rieramolinakirenia@gmail.com</t>
  </si>
  <si>
    <t xml:space="preserve">Alexander San Pedro Alonso</t>
  </si>
  <si>
    <t xml:space="preserve">alexandersanpedro72@gmail.com</t>
  </si>
  <si>
    <t xml:space="preserve">Aliuska Hernandez Zamora</t>
  </si>
  <si>
    <t xml:space="preserve">yaddielmassaquerosales@gmail.com</t>
  </si>
  <si>
    <t xml:space="preserve">Jose Mario Paret Basulto</t>
  </si>
  <si>
    <t xml:space="preserve">paretbasultoj123@gmail.com</t>
  </si>
  <si>
    <t xml:space="preserve">Marielis Rivero Montero</t>
  </si>
  <si>
    <t xml:space="preserve">riveromonteromarielis@gmail.com</t>
  </si>
  <si>
    <t xml:space="preserve">Roberto Nuñez Socarras</t>
  </si>
  <si>
    <t xml:space="preserve">robertonunezsocarras@gmail.com</t>
  </si>
  <si>
    <t xml:space="preserve">Jorge Luis Velásquez Parra</t>
  </si>
  <si>
    <t xml:space="preserve">jorge.lparra64@gmail.com</t>
  </si>
  <si>
    <t xml:space="preserve">idealtorresbenavides@gmail.com</t>
  </si>
  <si>
    <t xml:space="preserve">Yosvanis Castillo Tamayo</t>
  </si>
  <si>
    <t xml:space="preserve">yosvanicastillo274@gmail.com</t>
  </si>
  <si>
    <t xml:space="preserve">Oreste Torres Portelles</t>
  </si>
  <si>
    <t xml:space="preserve">orestes883@gmail.com</t>
  </si>
  <si>
    <t xml:space="preserve">Meilin Gabriel Cantero</t>
  </si>
  <si>
    <t xml:space="preserve">Ediel Escobar Batista</t>
  </si>
  <si>
    <t xml:space="preserve">eeb100790@gmail.com</t>
  </si>
  <si>
    <t xml:space="preserve">Alexey Medero Carrasco</t>
  </si>
  <si>
    <t xml:space="preserve">alexeymedero992@gmail.com</t>
  </si>
  <si>
    <t xml:space="preserve">Sandy García Lopez</t>
  </si>
  <si>
    <t xml:space="preserve">Javier Espinosa Navarro</t>
  </si>
  <si>
    <t xml:space="preserve">javierespinosanavarro547@gmail.com</t>
  </si>
  <si>
    <t xml:space="preserve">Roxana Quintana Trujillo</t>
  </si>
  <si>
    <t xml:space="preserve">abbeyross9914@gmail.com</t>
  </si>
  <si>
    <t xml:space="preserve">Ileana Barreto Ferrer</t>
  </si>
  <si>
    <t xml:space="preserve">ileanabf93@gmail.com</t>
  </si>
  <si>
    <t xml:space="preserve">Jorge Alexei Perez Quintana</t>
  </si>
  <si>
    <t xml:space="preserve">jorgealexei88@gmail.com</t>
  </si>
  <si>
    <t xml:space="preserve">Iván Sarosa Curra</t>
  </si>
  <si>
    <t xml:space="preserve">isarosa797@gmail.com</t>
  </si>
  <si>
    <t xml:space="preserve">Mauglis lopez Suárez</t>
  </si>
  <si>
    <t xml:space="preserve">mauglislopez@gmail.com</t>
  </si>
  <si>
    <t xml:space="preserve">Alcides Lamarque González</t>
  </si>
  <si>
    <t xml:space="preserve">alcideslamarque7@gmail.com</t>
  </si>
  <si>
    <t xml:space="preserve">Obrien Cardentey Guerra</t>
  </si>
  <si>
    <t xml:space="preserve">obrieocg@gmail.com</t>
  </si>
  <si>
    <t xml:space="preserve">Viviana Sanamé</t>
  </si>
  <si>
    <t xml:space="preserve">vivianasaname8@gmail.com</t>
  </si>
  <si>
    <t xml:space="preserve">Daymara Brotons</t>
  </si>
  <si>
    <t xml:space="preserve">brotonsdaymara@gmail.com</t>
  </si>
  <si>
    <t xml:space="preserve">Maria Emilia</t>
  </si>
  <si>
    <t xml:space="preserve">gonzalezaguerojorgecarlos@gmail.com</t>
  </si>
  <si>
    <t xml:space="preserve">Yusniel Esteban Zapata Cala</t>
  </si>
  <si>
    <t xml:space="preserve">yusnielzapatacala@gmail.com</t>
  </si>
  <si>
    <t xml:space="preserve">Liset Portillo</t>
  </si>
  <si>
    <t xml:space="preserve">lopezportilloliset@gmail.com</t>
  </si>
  <si>
    <t xml:space="preserve">Beatriz Matos Hernández</t>
  </si>
  <si>
    <t xml:space="preserve">matosbia155@gmail.com</t>
  </si>
  <si>
    <t xml:space="preserve">Leonardo Carus Hernandez</t>
  </si>
  <si>
    <t xml:space="preserve">leonardocarusfernandez7@gmail.com</t>
  </si>
  <si>
    <t xml:space="preserve">Yisy</t>
  </si>
  <si>
    <t xml:space="preserve">yisy.landa@gmail.com</t>
  </si>
  <si>
    <t xml:space="preserve">Idarys Escobar Carvajal</t>
  </si>
  <si>
    <t xml:space="preserve">Idarysanthuanyanthuaned@gmail.com</t>
  </si>
  <si>
    <t xml:space="preserve">Joaquín Ignacio Quesada Pena</t>
  </si>
  <si>
    <t xml:space="preserve">ignacioquesada851@gmail.com</t>
  </si>
  <si>
    <t xml:space="preserve">Yordany Arniet Guevara</t>
  </si>
  <si>
    <t xml:space="preserve">bismaryamadortorres@gmail.com</t>
  </si>
  <si>
    <t xml:space="preserve">Maribel Sanchez Lopez</t>
  </si>
  <si>
    <t xml:space="preserve">marysanchez6908@gmail.com</t>
  </si>
  <si>
    <t xml:space="preserve">Luis Miguel Deturnell Gacría</t>
  </si>
  <si>
    <t xml:space="preserve">luismigueldeturnellgarcia@gmail.com</t>
  </si>
  <si>
    <t xml:space="preserve">Kirenia Pino Isaac</t>
  </si>
  <si>
    <t xml:space="preserve">kireniapinoisaac@gmail.com</t>
  </si>
  <si>
    <t xml:space="preserve">Jorvel Aciet Guzmán</t>
  </si>
  <si>
    <t xml:space="preserve">jorvelaciet174@gmail.com</t>
  </si>
  <si>
    <t xml:space="preserve">Pedro Pablo Garces Arcia</t>
  </si>
  <si>
    <t xml:space="preserve">pedrog8905@gmail.com</t>
  </si>
  <si>
    <t xml:space="preserve">Angela Hernandez</t>
  </si>
  <si>
    <t xml:space="preserve">angelacheche85@gmail.com</t>
  </si>
  <si>
    <t xml:space="preserve">Lisandra Sanchez Gamboa</t>
  </si>
  <si>
    <t xml:space="preserve">lisandrasanchezgamboa07@gmail.com</t>
  </si>
  <si>
    <t xml:space="preserve">Elisabet Sebasco Fernandez</t>
  </si>
  <si>
    <t xml:space="preserve">rafaelsebasco@gmail.com</t>
  </si>
  <si>
    <t xml:space="preserve">Ibrain Escobar Cabrera</t>
  </si>
  <si>
    <t xml:space="preserve">ibrainescobar75@gmail.com</t>
  </si>
  <si>
    <t xml:space="preserve">Yaité Mendoza</t>
  </si>
  <si>
    <t xml:space="preserve">yaitemendoza633@gmail.com</t>
  </si>
  <si>
    <t xml:space="preserve">Manuel Agustín Viera Veitia</t>
  </si>
  <si>
    <t xml:space="preserve">manuelveitia986@gmail.com</t>
  </si>
  <si>
    <t xml:space="preserve">Yosmani</t>
  </si>
  <si>
    <t xml:space="preserve">ymartinezmorales81@gmail.com</t>
  </si>
  <si>
    <t xml:space="preserve">Gleyvis Casal Gomez</t>
  </si>
  <si>
    <t xml:space="preserve">casalgomezgleyvis@gmail.com</t>
  </si>
  <si>
    <t xml:space="preserve">Idealtorresbenavides@cgmil</t>
  </si>
  <si>
    <t xml:space="preserve">Grisel Caballero Rodriguez</t>
  </si>
  <si>
    <t xml:space="preserve">caballerorodriguezgricel@gmail.com</t>
  </si>
  <si>
    <t xml:space="preserve">Eliesner Cruz Morales</t>
  </si>
  <si>
    <t xml:space="preserve">eliesnercruzmorales45@gmail.com</t>
  </si>
  <si>
    <t xml:space="preserve">Leydis Barrero Barrero</t>
  </si>
  <si>
    <t xml:space="preserve">leidisborreroborrero@gmail.com</t>
  </si>
  <si>
    <t xml:space="preserve">Jorge Riera Hernandez</t>
  </si>
  <si>
    <t xml:space="preserve">rierahernandezjorge44@gmail.com</t>
  </si>
  <si>
    <t xml:space="preserve">Kenia Caridad Chirino Calderón</t>
  </si>
  <si>
    <t xml:space="preserve">diazyosniel2@gmail.com</t>
  </si>
  <si>
    <t xml:space="preserve">Mairiobis Zamora Hechavarria</t>
  </si>
  <si>
    <t xml:space="preserve">zamorahechavarriamairiobis@gmail.com</t>
  </si>
  <si>
    <t xml:space="preserve">Randy Wilson Rodriguez</t>
  </si>
  <si>
    <t xml:space="preserve">randywilson890516@gmail.com</t>
  </si>
  <si>
    <t xml:space="preserve">Oldaniel</t>
  </si>
  <si>
    <t xml:space="preserve">joseoldanielalquilargarrido@gmail.com</t>
  </si>
  <si>
    <t xml:space="preserve">Leonardo Gomez Arias</t>
  </si>
  <si>
    <t xml:space="preserve">leonardogomezarias9788@gmail.com</t>
  </si>
  <si>
    <t xml:space="preserve">Yorlan Rafael Sollet Rueda</t>
  </si>
  <si>
    <t xml:space="preserve">solletyorlan@gmail.com</t>
  </si>
  <si>
    <t xml:space="preserve">Alexis Caballero Cervantes</t>
  </si>
  <si>
    <t xml:space="preserve">alexiscaballerocervantes70@gmail.com</t>
  </si>
  <si>
    <t xml:space="preserve">Yesenia de la Caridad Lagos Rodriguez</t>
  </si>
  <si>
    <t xml:space="preserve">ylr980725@gmail.com</t>
  </si>
  <si>
    <t xml:space="preserve">Juan Carlos Rojas</t>
  </si>
  <si>
    <t xml:space="preserve">jr1556943@gamil.com</t>
  </si>
  <si>
    <t xml:space="preserve">Yunaisy De la Caridad Perez Perez</t>
  </si>
  <si>
    <t xml:space="preserve">enmanueltirado2318@gmail.com</t>
  </si>
  <si>
    <t xml:space="preserve">Wisnelis Aguilar Aviles</t>
  </si>
  <si>
    <t xml:space="preserve">aguilarwis8430@gmail.com</t>
  </si>
  <si>
    <t xml:space="preserve">Brenda Cynthia Martinez</t>
  </si>
  <si>
    <t xml:space="preserve">corzo1994@yopmail.com</t>
  </si>
  <si>
    <t xml:space="preserve">Isaimy</t>
  </si>
  <si>
    <t xml:space="preserve">isaimyalarconpacheco@gmail.com</t>
  </si>
  <si>
    <t xml:space="preserve">Elianna Garcia Batista</t>
  </si>
  <si>
    <t xml:space="preserve">garciaelianna837@gmail.com</t>
  </si>
  <si>
    <t xml:space="preserve">Milka Cancio Quiada</t>
  </si>
  <si>
    <t xml:space="preserve">milkahugo91@gmail.com</t>
  </si>
  <si>
    <t xml:space="preserve">Jairo</t>
  </si>
  <si>
    <t xml:space="preserve">riverocarballoj@gmail.com</t>
  </si>
  <si>
    <t xml:space="preserve">Alexeys Rodriguez Guerra</t>
  </si>
  <si>
    <t xml:space="preserve">alexrodriguezgerra@gmail.com</t>
  </si>
  <si>
    <t xml:space="preserve">Luibin Águila Vega</t>
  </si>
  <si>
    <t xml:space="preserve">luibinaguila1308@gmail.com</t>
  </si>
  <si>
    <t xml:space="preserve">Yuselis Rodriguez Hardy</t>
  </si>
  <si>
    <t xml:space="preserve">yuseli848@gmail.com</t>
  </si>
  <si>
    <t xml:space="preserve">Mirna Maria Garcia Cruz</t>
  </si>
  <si>
    <t xml:space="preserve">mirnamga07@gmail.com</t>
  </si>
  <si>
    <t xml:space="preserve">Elio Omar Reina Hernández</t>
  </si>
  <si>
    <t xml:space="preserve">reinaldoreinacala@gmail.com</t>
  </si>
  <si>
    <t xml:space="preserve">Felipe Aguilar Velasco</t>
  </si>
  <si>
    <t xml:space="preserve">aguilarfelipe666@gmail.com</t>
  </si>
  <si>
    <t xml:space="preserve">Edith</t>
  </si>
  <si>
    <t xml:space="preserve">villegasamador@gmail.com</t>
  </si>
  <si>
    <t xml:space="preserve">Antonio Martinez</t>
  </si>
  <si>
    <t xml:space="preserve">antoniomartinez8716@gmail.com</t>
  </si>
  <si>
    <t xml:space="preserve">tirir891@gmail.com</t>
  </si>
  <si>
    <t xml:space="preserve">Yamile</t>
  </si>
  <si>
    <t xml:space="preserve">tamayocobiellasy@gmail.com</t>
  </si>
  <si>
    <t xml:space="preserve">Aleida Rojas Fernandez</t>
  </si>
  <si>
    <t xml:space="preserve">aleidarojasf06@gmail.com</t>
  </si>
  <si>
    <t xml:space="preserve">Ernesto Garces del Rio</t>
  </si>
  <si>
    <t xml:space="preserve">ernestogarce92@gmail.com</t>
  </si>
  <si>
    <t xml:space="preserve">Maribel Del Risco Moré</t>
  </si>
  <si>
    <t xml:space="preserve">delriscomaribel@gmail.com</t>
  </si>
  <si>
    <t xml:space="preserve">Lisandra Fuentes Pozo</t>
  </si>
  <si>
    <t xml:space="preserve">fuenteslizandra00@gmail.com</t>
  </si>
  <si>
    <t xml:space="preserve">Deliner Devilnord</t>
  </si>
  <si>
    <t xml:space="preserve">Albernis Clavel Herrera</t>
  </si>
  <si>
    <t xml:space="preserve">albernisclavelherrera301@gmail.com</t>
  </si>
  <si>
    <t xml:space="preserve">Yuliexy Baro Barrieres</t>
  </si>
  <si>
    <t xml:space="preserve">barobarrieres@gmail.com</t>
  </si>
  <si>
    <t xml:space="preserve">Mario Jose Garcia Ramirez</t>
  </si>
  <si>
    <t xml:space="preserve">garciaramirezmariojose@gmail.com</t>
  </si>
  <si>
    <t xml:space="preserve">Arlet Rodríguez Álvarez</t>
  </si>
  <si>
    <t xml:space="preserve">arletrodriguez058@gmail.com</t>
  </si>
  <si>
    <t xml:space="preserve">Osdany Rosales Rosabal</t>
  </si>
  <si>
    <t xml:space="preserve">osdanyrosales94@gmail.com</t>
  </si>
  <si>
    <t xml:space="preserve">Virginia</t>
  </si>
  <si>
    <t xml:space="preserve">terrerovirginia002@gmail.com</t>
  </si>
  <si>
    <t xml:space="preserve">Yaquelin Zamora Lastres</t>
  </si>
  <si>
    <t xml:space="preserve">Katia Frómeta Rondon</t>
  </si>
  <si>
    <t xml:space="preserve">frometarondon970502@gmail.com</t>
  </si>
  <si>
    <t xml:space="preserve">Juventino Colado Rodriguez</t>
  </si>
  <si>
    <t xml:space="preserve">juventinocolado6@gmail.com</t>
  </si>
  <si>
    <t xml:space="preserve">Armando Castillo Nunes</t>
  </si>
  <si>
    <t xml:space="preserve">castillonunesarmando@gmail.com</t>
  </si>
  <si>
    <t xml:space="preserve">Rolver David Ruiz Penton</t>
  </si>
  <si>
    <t xml:space="preserve">elenayaimaherreraalvarez881@gmail.com</t>
  </si>
  <si>
    <t xml:space="preserve">Taliha Rojas Perez</t>
  </si>
  <si>
    <t xml:space="preserve">taliharojas98@gmail.com</t>
  </si>
  <si>
    <t xml:space="preserve">Marlen Toledo Bedeli</t>
  </si>
  <si>
    <t xml:space="preserve">edilbertogarcia296@gmail</t>
  </si>
  <si>
    <t xml:space="preserve">Hermisleydi Ortiz Montero</t>
  </si>
  <si>
    <t xml:space="preserve">hermisleydio@gmail.com</t>
  </si>
  <si>
    <t xml:space="preserve">Manuel Castillo Nohaya</t>
  </si>
  <si>
    <t xml:space="preserve">Ramon Fuentes Rivero</t>
  </si>
  <si>
    <t xml:space="preserve">oceanlove7618@gmail.com</t>
  </si>
  <si>
    <t xml:space="preserve">Yandier Linares Ramos</t>
  </si>
  <si>
    <t xml:space="preserve">linaresyandel80@gmail.com</t>
  </si>
  <si>
    <t xml:space="preserve">Yoandy Padrón Rodríguez</t>
  </si>
  <si>
    <t xml:space="preserve">yoandypadron365@gmail.com</t>
  </si>
  <si>
    <t xml:space="preserve">Elianis Hernandez Gonzales</t>
  </si>
  <si>
    <t xml:space="preserve">elianishernandezgonzalez@gmail.com</t>
  </si>
  <si>
    <t xml:space="preserve">Emeibys Román Garcét</t>
  </si>
  <si>
    <t xml:space="preserve">emeibysroman771@gmail.com</t>
  </si>
  <si>
    <t xml:space="preserve">Blanca Gonzales</t>
  </si>
  <si>
    <t xml:space="preserve">blancaxxx752@gmail.com</t>
  </si>
  <si>
    <t xml:space="preserve">Damisela Marrero Hechavarria</t>
  </si>
  <si>
    <t xml:space="preserve">marisela770129@gmail.com</t>
  </si>
  <si>
    <t xml:space="preserve">Yandira Monteagudo</t>
  </si>
  <si>
    <t xml:space="preserve">monteagudoyandira@gmail.com</t>
  </si>
  <si>
    <t xml:space="preserve">Abdiel Roberto Tortoló</t>
  </si>
  <si>
    <t xml:space="preserve">abdieltortolo57@gmail.com</t>
  </si>
  <si>
    <t xml:space="preserve">Arturo</t>
  </si>
  <si>
    <t xml:space="preserve">Agdiel Álvarez Sosa</t>
  </si>
  <si>
    <t xml:space="preserve">alvarezsosaagdiel@gmail.com</t>
  </si>
  <si>
    <t xml:space="preserve">Sheyla</t>
  </si>
  <si>
    <t xml:space="preserve">sheylamorilloalonso@gmail.com</t>
  </si>
  <si>
    <t xml:space="preserve">Yeniselis Diaz Torriente</t>
  </si>
  <si>
    <t xml:space="preserve">yeniselisd@gmail.com</t>
  </si>
  <si>
    <t xml:space="preserve">Rolando Arturo Vega Portales</t>
  </si>
  <si>
    <t xml:space="preserve">vegarolando951@gmail.com</t>
  </si>
  <si>
    <t xml:space="preserve">Yasmani Falcon Vega</t>
  </si>
  <si>
    <t xml:space="preserve">yasmanifalconveqa@gmail.com</t>
  </si>
  <si>
    <t xml:space="preserve">Frank Higinio Bornot Matos</t>
  </si>
  <si>
    <t xml:space="preserve">frankbornotmatos@gmail.com</t>
  </si>
  <si>
    <t xml:space="preserve">yusdelcutinosierra@gmail.com</t>
  </si>
  <si>
    <t xml:space="preserve">Jorge Luis Alarcón Sánchez</t>
  </si>
  <si>
    <t xml:space="preserve">jorgeluisalarconsanchez.1964@gmail.com</t>
  </si>
  <si>
    <t xml:space="preserve">Orlando Hernandez Carvajal</t>
  </si>
  <si>
    <t xml:space="preserve">moralesdelianny539@gmail.com</t>
  </si>
  <si>
    <t xml:space="preserve">Ivan Pena Cedeño</t>
  </si>
  <si>
    <t xml:space="preserve">ivanpena502@gmail.com</t>
  </si>
  <si>
    <t xml:space="preserve">Yasmani Perera Torres</t>
  </si>
  <si>
    <t xml:space="preserve">yasmanypereratorres799@gmail.com</t>
  </si>
  <si>
    <t xml:space="preserve">aiselmachadoleyva@gmail.com</t>
  </si>
  <si>
    <t xml:space="preserve">Yoel Sanchez Sanchez</t>
  </si>
  <si>
    <t xml:space="preserve">Verónica Beatriz Medina Enriquez</t>
  </si>
  <si>
    <t xml:space="preserve">veronicam0606@gmail.com</t>
  </si>
  <si>
    <t xml:space="preserve">Melisa</t>
  </si>
  <si>
    <t xml:space="preserve">rodriguezmelisa1012@gmail.com</t>
  </si>
  <si>
    <t xml:space="preserve">Zoraida Trujillo Reyes</t>
  </si>
  <si>
    <t xml:space="preserve">Oslier Bravo Arias</t>
  </si>
  <si>
    <t xml:space="preserve">bhoslier@gmail.com</t>
  </si>
  <si>
    <t xml:space="preserve">Niurka Rivas Robert</t>
  </si>
  <si>
    <t xml:space="preserve">niurkar335@gmail.com</t>
  </si>
  <si>
    <t xml:space="preserve">Zoe de la Caridad Pichs Perez</t>
  </si>
  <si>
    <t xml:space="preserve">zoedelacaridadpichsperez@gmail.com</t>
  </si>
  <si>
    <t xml:space="preserve">Yacier Cabrera Vasallo</t>
  </si>
  <si>
    <t xml:space="preserve">Denis Olban Membrives Valdes</t>
  </si>
  <si>
    <t xml:space="preserve">valdesmelanie562@gmail.com</t>
  </si>
  <si>
    <t xml:space="preserve">Diana Rosa Ortiz Gonzalez</t>
  </si>
  <si>
    <t xml:space="preserve">frankabelgonzalesortiz@gmail.com</t>
  </si>
  <si>
    <t xml:space="preserve">Claire Stephanie Garcia Sanchez</t>
  </si>
  <si>
    <t xml:space="preserve">diogoalexis19@gmail.com</t>
  </si>
  <si>
    <t xml:space="preserve">Yunier Gamez</t>
  </si>
  <si>
    <t xml:space="preserve">sanchezyunier43@gmail.com</t>
  </si>
  <si>
    <t xml:space="preserve">Milán Castellano Valencia</t>
  </si>
  <si>
    <t xml:space="preserve">milancastellanosvalencia@gmail.com</t>
  </si>
  <si>
    <t xml:space="preserve">Daylin Torres Rodrigues</t>
  </si>
  <si>
    <t xml:space="preserve">daisyrodriguezmartinez65@gmail.com</t>
  </si>
  <si>
    <t xml:space="preserve">Walter Ramírez Mendoza</t>
  </si>
  <si>
    <t xml:space="preserve">ramirezmendozawalter@gmail.com</t>
  </si>
  <si>
    <t xml:space="preserve">Daniel Lorenzo Martinez Casalis</t>
  </si>
  <si>
    <t xml:space="preserve">danielmartinezcasalis@gmail.com</t>
  </si>
  <si>
    <t xml:space="preserve">Luis Enrique Perdomo Yanez</t>
  </si>
  <si>
    <t xml:space="preserve">Arturo Recio Rivera</t>
  </si>
  <si>
    <t xml:space="preserve">recioriveraa@gmail.com</t>
  </si>
  <si>
    <t xml:space="preserve">Yurisleydy</t>
  </si>
  <si>
    <t xml:space="preserve">yurisgarcia89@gmail.com</t>
  </si>
  <si>
    <t xml:space="preserve">Carlos Castañeda Quintas</t>
  </si>
  <si>
    <t xml:space="preserve">castanedacarlos196868@gmail.com</t>
  </si>
  <si>
    <t xml:space="preserve">Sonia Viviane</t>
  </si>
  <si>
    <t xml:space="preserve">Rafaela</t>
  </si>
  <si>
    <t xml:space="preserve">bladimiralarconquintana62@gmail</t>
  </si>
  <si>
    <t xml:space="preserve">Yariuska Laffita Guerrero</t>
  </si>
  <si>
    <t xml:space="preserve">laffitaguerreroyariuska@gmail.com</t>
  </si>
  <si>
    <t xml:space="preserve">Antonio Pablo Fonseca</t>
  </si>
  <si>
    <t xml:space="preserve">norbelicoello@gmail.com</t>
  </si>
  <si>
    <t xml:space="preserve">Felix Antonio Padron Fuentes</t>
  </si>
  <si>
    <t xml:space="preserve">tony.padron1974@gmail.com</t>
  </si>
  <si>
    <t xml:space="preserve">berta21890@gmail.com</t>
  </si>
  <si>
    <t xml:space="preserve">Giorbis Vidal Llamos</t>
  </si>
  <si>
    <t xml:space="preserve">giorbis08@gmail.com</t>
  </si>
  <si>
    <t xml:space="preserve">Mirtha Odilio Gonzalez</t>
  </si>
  <si>
    <t xml:space="preserve">Aliesmay La O Elias</t>
  </si>
  <si>
    <t xml:space="preserve">aliesmaylaoelias67@gmail.com</t>
  </si>
  <si>
    <t xml:space="preserve">Ernesto Escobar Valladares</t>
  </si>
  <si>
    <t xml:space="preserve">ernestoescobarvalladares35@gmail.com</t>
  </si>
  <si>
    <t xml:space="preserve">Ramón Andrés Morales Reytor</t>
  </si>
  <si>
    <t xml:space="preserve">reytorandres2@gmail.com</t>
  </si>
  <si>
    <t xml:space="preserve">Mirian</t>
  </si>
  <si>
    <t xml:space="preserve">gomezamauri71@gmail.com</t>
  </si>
  <si>
    <t xml:space="preserve">Zaydirma López Rosabal</t>
  </si>
  <si>
    <t xml:space="preserve">lopezrosabalz@gmail.com</t>
  </si>
  <si>
    <t xml:space="preserve">delgadoyisel71@gmail.com</t>
  </si>
  <si>
    <t xml:space="preserve">Daniel Menendez Gonzalez</t>
  </si>
  <si>
    <t xml:space="preserve">yetchiquichuanly@gmail.com</t>
  </si>
  <si>
    <t xml:space="preserve">Yarelis Carvajal Almaguer</t>
  </si>
  <si>
    <t xml:space="preserve">carvajalyarelis80@gmail.com</t>
  </si>
  <si>
    <t xml:space="preserve">Adriana Yaima Rosabal Alarcom</t>
  </si>
  <si>
    <t xml:space="preserve">radrianayaima@gmail.com</t>
  </si>
  <si>
    <t xml:space="preserve">Lesther Coizeau Barbosa</t>
  </si>
  <si>
    <t xml:space="preserve">barbosalesther299@gmail.com</t>
  </si>
  <si>
    <t xml:space="preserve">Yorvalis Navas Blanco</t>
  </si>
  <si>
    <t xml:space="preserve">Aldeny Castañeda</t>
  </si>
  <si>
    <t xml:space="preserve">aldenycastaneda80@gmail.com</t>
  </si>
  <si>
    <t xml:space="preserve">Rosaly Martinez Martin</t>
  </si>
  <si>
    <t xml:space="preserve">mrosaly874@gmail.com</t>
  </si>
  <si>
    <t xml:space="preserve">Yaima Leyva Arévalo</t>
  </si>
  <si>
    <t xml:space="preserve">yaimaleyvadiaz@gmail.com</t>
  </si>
  <si>
    <t xml:space="preserve">Yusleidy Castro Acosta</t>
  </si>
  <si>
    <t xml:space="preserve">danielmuro297@gmail.com</t>
  </si>
  <si>
    <t xml:space="preserve">Maikeny Díaz Alfonso</t>
  </si>
  <si>
    <t xml:space="preserve">maikenydiaz834@gmail.com</t>
  </si>
  <si>
    <t xml:space="preserve">Yainerys Gil Sanchez</t>
  </si>
  <si>
    <t xml:space="preserve">yainerysgil13@gmail.com</t>
  </si>
  <si>
    <t xml:space="preserve">Yosbel Emilio Palacio Perez</t>
  </si>
  <si>
    <t xml:space="preserve">yosbelpacios7@gmail.com</t>
  </si>
  <si>
    <t xml:space="preserve">Nexlan</t>
  </si>
  <si>
    <t xml:space="preserve">nuneznexlan550@gmail.com</t>
  </si>
  <si>
    <t xml:space="preserve">Ismael Royo Pérez</t>
  </si>
  <si>
    <t xml:space="preserve">ismaelroyoperez0@gmail.com</t>
  </si>
  <si>
    <t xml:space="preserve">Marbelis Guerrero Mayo</t>
  </si>
  <si>
    <t xml:space="preserve">guerreromayomarbelis@gmail.com</t>
  </si>
  <si>
    <t xml:space="preserve">Argelio Same Reyes</t>
  </si>
  <si>
    <t xml:space="preserve">argeliosame@gmail.com</t>
  </si>
  <si>
    <t xml:space="preserve">Yadiel Fonseca Ortega</t>
  </si>
  <si>
    <t xml:space="preserve">yadielfonseca7@gmail.com</t>
  </si>
  <si>
    <t xml:space="preserve">Karel Dias Linares</t>
  </si>
  <si>
    <t xml:space="preserve">Karla Garin Rey</t>
  </si>
  <si>
    <t xml:space="preserve">Nelly Amaya Perez Varona</t>
  </si>
  <si>
    <t xml:space="preserve">pnellyamaya@gmail.com</t>
  </si>
  <si>
    <t xml:space="preserve">Alian Hernandez Gomez</t>
  </si>
  <si>
    <t xml:space="preserve">mirualia82@gmail.comm</t>
  </si>
  <si>
    <t xml:space="preserve">Adonis Bazan Suarez</t>
  </si>
  <si>
    <t xml:space="preserve">adonisbazan3@gmail.com</t>
  </si>
  <si>
    <t xml:space="preserve">Adriel Osorio Pena</t>
  </si>
  <si>
    <t xml:space="preserve">adriel870703@gmail.com</t>
  </si>
  <si>
    <t xml:space="preserve">Cristian Infante Dura</t>
  </si>
  <si>
    <t xml:space="preserve">cristianinfadur@gmail.com</t>
  </si>
  <si>
    <t xml:space="preserve">Lázaro Yasmani Diaz Alons</t>
  </si>
  <si>
    <t xml:space="preserve">deenamoradovega@gemai.com</t>
  </si>
  <si>
    <t xml:space="preserve">Femiguel</t>
  </si>
  <si>
    <t xml:space="preserve">yonaglisfernandez@gmail.com</t>
  </si>
  <si>
    <t xml:space="preserve">Cleyder la Rosa Claro</t>
  </si>
  <si>
    <t xml:space="preserve">larosacleider@gmail.com</t>
  </si>
  <si>
    <t xml:space="preserve">Reinier Rodríguez Castro</t>
  </si>
  <si>
    <t xml:space="preserve">reinierrodriguezcastro1893@gmail.com</t>
  </si>
  <si>
    <t xml:space="preserve">Yandriel Alfonso Tornet</t>
  </si>
  <si>
    <t xml:space="preserve">yandryalfonso4@gmail.com</t>
  </si>
  <si>
    <t xml:space="preserve">Jorge Luis Mendez</t>
  </si>
  <si>
    <t xml:space="preserve">jorgemendez221086@gmail.com</t>
  </si>
  <si>
    <t xml:space="preserve">Lázaro Adrian Soto Pacheco</t>
  </si>
  <si>
    <t xml:space="preserve">sotolazaro850@gmail.com</t>
  </si>
  <si>
    <t xml:space="preserve">Yasnai Martinez Castillo</t>
  </si>
  <si>
    <t xml:space="preserve">martinezyasnay53@gmail.com</t>
  </si>
  <si>
    <t xml:space="preserve">Yusimi Mestre Vega</t>
  </si>
  <si>
    <t xml:space="preserve">marialuzd240@gmail.com</t>
  </si>
  <si>
    <t xml:space="preserve">Ramón Javier</t>
  </si>
  <si>
    <t xml:space="preserve">joselulv991120@gmail.com</t>
  </si>
  <si>
    <t xml:space="preserve">Alejandra Mayelin Alfonso de la Paz</t>
  </si>
  <si>
    <t xml:space="preserve">alelapaz2025@gmail.com</t>
  </si>
  <si>
    <t xml:space="preserve">Manuel Orlando Pena</t>
  </si>
  <si>
    <t xml:space="preserve">manuelpenagonzalez255@gmail.com</t>
  </si>
  <si>
    <t xml:space="preserve">Yusideisy Chamizo Padron</t>
  </si>
  <si>
    <t xml:space="preserve">yusideisychamizo84@gmail.com</t>
  </si>
  <si>
    <t xml:space="preserve">Julio Silva</t>
  </si>
  <si>
    <t xml:space="preserve">Luis Rondon Fajardo</t>
  </si>
  <si>
    <t xml:space="preserve">Yanela Vazquez Amaya</t>
  </si>
  <si>
    <t xml:space="preserve">yacielfleitas8@gmail.com</t>
  </si>
  <si>
    <t xml:space="preserve">Ramón Alberto Palomino Fonseca</t>
  </si>
  <si>
    <t xml:space="preserve">palominoramonfonseca@gmail.com</t>
  </si>
  <si>
    <t xml:space="preserve">Roxana Tarruella Campos</t>
  </si>
  <si>
    <t xml:space="preserve">roxanatarruella06@gmail.com</t>
  </si>
  <si>
    <t xml:space="preserve">Jorge Luis Perez Pena</t>
  </si>
  <si>
    <t xml:space="preserve">jorgeluisperezpena895@gmail.com</t>
  </si>
  <si>
    <t xml:space="preserve">Damian Marreno Gonzales</t>
  </si>
  <si>
    <t xml:space="preserve">dudurifjejd@gmail.com</t>
  </si>
  <si>
    <t xml:space="preserve">Andis Maldonado Piornos</t>
  </si>
  <si>
    <t xml:space="preserve">yuris.ramirez94@gmail.com</t>
  </si>
  <si>
    <t xml:space="preserve">Lionela Diminguez Ramirez</t>
  </si>
  <si>
    <t xml:space="preserve">dominguezramirezleonela@gmail.com</t>
  </si>
  <si>
    <t xml:space="preserve">Adrianlis Solas Vicet</t>
  </si>
  <si>
    <t xml:space="preserve">adrianlissolasvicet9@gmail.com</t>
  </si>
  <si>
    <t xml:space="preserve">Maikel Alfonso Rodriguez</t>
  </si>
  <si>
    <t xml:space="preserve">maikelalfonsorodriguez29@gmail.com</t>
  </si>
  <si>
    <t xml:space="preserve">Antonio Manuel Machado Iñeiro</t>
  </si>
  <si>
    <t xml:space="preserve">80709069@gmail.com</t>
  </si>
  <si>
    <t xml:space="preserve">Humberto Suarez Sevila</t>
  </si>
  <si>
    <t xml:space="preserve">suarezsevila12345@gmail.com</t>
  </si>
  <si>
    <t xml:space="preserve">Darwin Font</t>
  </si>
  <si>
    <t xml:space="preserve">darwinfont2022@gmail.com</t>
  </si>
  <si>
    <t xml:space="preserve">Yilanis Garcia Perez</t>
  </si>
  <si>
    <t xml:space="preserve">yilanisgarcia095@gmail.com</t>
  </si>
  <si>
    <t xml:space="preserve">Liannys María</t>
  </si>
  <si>
    <t xml:space="preserve">liannys161@gmail.com</t>
  </si>
  <si>
    <t xml:space="preserve">Frank Reinaldo Amaya Ortiz</t>
  </si>
  <si>
    <t xml:space="preserve">amayafrank241@gmail.com</t>
  </si>
  <si>
    <t xml:space="preserve">Mario de Jesús González Mojena</t>
  </si>
  <si>
    <t xml:space="preserve">Lizander</t>
  </si>
  <si>
    <t xml:space="preserve">lizanderrodriguezsosa384@gmail.com</t>
  </si>
  <si>
    <t xml:space="preserve">Diana</t>
  </si>
  <si>
    <t xml:space="preserve">dianapazosbatista@gmail.com</t>
  </si>
  <si>
    <t xml:space="preserve">Luisa Caridad Pérez</t>
  </si>
  <si>
    <t xml:space="preserve">luisacaridadperezsoto19@gmail.com</t>
  </si>
  <si>
    <t xml:space="preserve">Roberto Duran Martinez</t>
  </si>
  <si>
    <t xml:space="preserve">Alexis Antonio Gonzalez Cue</t>
  </si>
  <si>
    <t xml:space="preserve">alexisgonzalezcue@gmail.com</t>
  </si>
  <si>
    <t xml:space="preserve">Serguey Ramos Fonseca</t>
  </si>
  <si>
    <t xml:space="preserve">sergueyramos.25@gmail.com</t>
  </si>
  <si>
    <t xml:space="preserve">Claudia Oliva Muñoz</t>
  </si>
  <si>
    <t xml:space="preserve">ricardomarzomanzanet@gmail.com</t>
  </si>
  <si>
    <t xml:space="preserve">Keylin Tapanes Abreu</t>
  </si>
  <si>
    <t xml:space="preserve">keylintapane@gmail.com</t>
  </si>
  <si>
    <t xml:space="preserve">Yoandri Cano Martinez</t>
  </si>
  <si>
    <t xml:space="preserve">yoandricanomartinez4@gmail.com</t>
  </si>
  <si>
    <t xml:space="preserve">Georgis Cremé Amaya</t>
  </si>
  <si>
    <t xml:space="preserve">fliacremerodriguez24@gmail.com</t>
  </si>
  <si>
    <t xml:space="preserve">Yamirka / Ana Iris</t>
  </si>
  <si>
    <t xml:space="preserve">Yusdiel Galindo Ramos</t>
  </si>
  <si>
    <t xml:space="preserve">yusdielgalindo27@gmail.com</t>
  </si>
  <si>
    <t xml:space="preserve">José Ángel Lopez Ramires</t>
  </si>
  <si>
    <t xml:space="preserve">joseangel1990varadero@gmail.com</t>
  </si>
  <si>
    <t xml:space="preserve">Dayron Oña Mora</t>
  </si>
  <si>
    <t xml:space="preserve">daironona282@gmail.com</t>
  </si>
  <si>
    <t xml:space="preserve">Jesus Cedeño Sequera</t>
  </si>
  <si>
    <t xml:space="preserve">jesuscedeno280@gmail.com</t>
  </si>
  <si>
    <t xml:space="preserve">Adrian Galban</t>
  </si>
  <si>
    <t xml:space="preserve">adriangalban494@gmail.com</t>
  </si>
  <si>
    <t xml:space="preserve">Luis Enrique</t>
  </si>
  <si>
    <t xml:space="preserve">Sarmientosalinaluisenrique@gmail.com</t>
  </si>
  <si>
    <t xml:space="preserve">Ramon Pinatel Cruz</t>
  </si>
  <si>
    <t xml:space="preserve">ramonpinatelcruz@gmail.com</t>
  </si>
  <si>
    <t xml:space="preserve">Jean Espino Diaz</t>
  </si>
  <si>
    <t xml:space="preserve">jeanespino79@gmail.com</t>
  </si>
  <si>
    <t xml:space="preserve">Odeimys Rodriguez Campos</t>
  </si>
  <si>
    <t xml:space="preserve">odeimys1973@gmail.com</t>
  </si>
  <si>
    <t xml:space="preserve">Ricardo Diaz</t>
  </si>
  <si>
    <t xml:space="preserve">ametllersanz@gmail.com</t>
  </si>
  <si>
    <t xml:space="preserve">Mabel Figueredo Denis</t>
  </si>
  <si>
    <t xml:space="preserve">mabelbalto13@gmail.com</t>
  </si>
  <si>
    <t xml:space="preserve">Yiliamnis Perez Herrera</t>
  </si>
  <si>
    <t xml:space="preserve">maryluz.perezh66@gmail.com</t>
  </si>
  <si>
    <t xml:space="preserve">Ismael Acosta Chaviano</t>
  </si>
  <si>
    <t xml:space="preserve">ismselacosta25@gmail.com</t>
  </si>
  <si>
    <t xml:space="preserve">Yuleidys Veliz</t>
  </si>
  <si>
    <t xml:space="preserve">velizyuleidys@gmail.com</t>
  </si>
  <si>
    <t xml:space="preserve">Eduardo Olivera Benitez</t>
  </si>
  <si>
    <t xml:space="preserve">eduardolivera1.com@gmail.com</t>
  </si>
  <si>
    <t xml:space="preserve">Iosvani Benitez Buriel</t>
  </si>
  <si>
    <t xml:space="preserve">iosvanibenirez@gmail.com</t>
  </si>
  <si>
    <t xml:space="preserve">Mariel Santos Batista</t>
  </si>
  <si>
    <t xml:space="preserve">marielsantosb331@gmail.com</t>
  </si>
  <si>
    <t xml:space="preserve">Christian de Jesus Herrera Alvarez</t>
  </si>
  <si>
    <t xml:space="preserve">Marianela González Velázquez</t>
  </si>
  <si>
    <t xml:space="preserve">marianelagv89@gmail.com</t>
  </si>
  <si>
    <t xml:space="preserve">Yusniel Linares Sanchez</t>
  </si>
  <si>
    <t xml:space="preserve">yusniellinares756@gmail.com</t>
  </si>
  <si>
    <t xml:space="preserve">Yasenia Correa Ricardo</t>
  </si>
  <si>
    <t xml:space="preserve">Correayasenia@gemail.com</t>
  </si>
  <si>
    <t xml:space="preserve">Luis Alexis Rodriguez Nadereau</t>
  </si>
  <si>
    <t xml:space="preserve">luizalexrodrigues89@gmail.com</t>
  </si>
  <si>
    <t xml:space="preserve">Jorge Antonio Alfonso Hong</t>
  </si>
  <si>
    <t xml:space="preserve">Katia Herrera Sintes</t>
  </si>
  <si>
    <t xml:space="preserve">katiasinty@gmail.com</t>
  </si>
  <si>
    <t xml:space="preserve">Julio Enrique Salazal Castillo</t>
  </si>
  <si>
    <t xml:space="preserve">Juliohenrigue041026@gmail.com</t>
  </si>
  <si>
    <t xml:space="preserve">Adrian Rolando Quinones Escalona</t>
  </si>
  <si>
    <t xml:space="preserve">Moraima Hernandez Medina</t>
  </si>
  <si>
    <t xml:space="preserve">moraimehernandez968@gmail.com</t>
  </si>
  <si>
    <t xml:space="preserve">Joel Saavedra Tabares</t>
  </si>
  <si>
    <t xml:space="preserve">gattosaavedra00@gmail.com</t>
  </si>
  <si>
    <t xml:space="preserve">Yanker Bermudez Ruiz</t>
  </si>
  <si>
    <t xml:space="preserve">bermudezruizyanker@gmail.com</t>
  </si>
  <si>
    <t xml:space="preserve">Ramón Batista Lopez</t>
  </si>
  <si>
    <t xml:space="preserve">ramonbatistalopez8@gmail.com</t>
  </si>
  <si>
    <t xml:space="preserve">Youdel Rodríguez</t>
  </si>
  <si>
    <t xml:space="preserve">Edgar Marcial Sandoval Herrers</t>
  </si>
  <si>
    <t xml:space="preserve">sanoval1982edgar@gmail.com</t>
  </si>
  <si>
    <t xml:space="preserve">Alexander Mendoza Martín</t>
  </si>
  <si>
    <t xml:space="preserve">niliam.sofia@gmail.com</t>
  </si>
  <si>
    <t xml:space="preserve">Yusmary de la Caridad</t>
  </si>
  <si>
    <t xml:space="preserve">yusmaryacebal9@gmail.com</t>
  </si>
  <si>
    <t xml:space="preserve">Yoslan Alvarez Boza</t>
  </si>
  <si>
    <t xml:space="preserve">Ernesto Niebla Castillo</t>
  </si>
  <si>
    <t xml:space="preserve">ernestoniebla135@gmail.com</t>
  </si>
  <si>
    <t xml:space="preserve">Yordanis Rebe Ravelo</t>
  </si>
  <si>
    <t xml:space="preserve">y4759213@gmail.com</t>
  </si>
  <si>
    <t xml:space="preserve">Yoeslan Valdes Sanchez</t>
  </si>
  <si>
    <t xml:space="preserve">yoeslan14@gmail.com</t>
  </si>
  <si>
    <t xml:space="preserve">Yovany González Herrera</t>
  </si>
  <si>
    <t xml:space="preserve">yovawave76@gmail.com</t>
  </si>
  <si>
    <t xml:space="preserve">mogenaliban@gmail.com</t>
  </si>
  <si>
    <t xml:space="preserve">Yunior Deliz Soca</t>
  </si>
  <si>
    <t xml:space="preserve">junior.soca.br@gmail.com</t>
  </si>
  <si>
    <t xml:space="preserve">Yodalis Garcés Hernández</t>
  </si>
  <si>
    <t xml:space="preserve">Rolando Díaz Valdés</t>
  </si>
  <si>
    <t xml:space="preserve">rolandodiazvaldes0@gmail.com</t>
  </si>
  <si>
    <t xml:space="preserve">Carlos Luis Pérez Ramírez</t>
  </si>
  <si>
    <t xml:space="preserve">carlosluisperezramirez@gmail.com</t>
  </si>
  <si>
    <t xml:space="preserve">Sunaya Fadraga Chacon</t>
  </si>
  <si>
    <t xml:space="preserve">fadragasunaya@gmail.com</t>
  </si>
  <si>
    <t xml:space="preserve">Yelianis Ortiz Soriano</t>
  </si>
  <si>
    <t xml:space="preserve">ortizyeliany@gmail.com</t>
  </si>
  <si>
    <t xml:space="preserve">Rafael Sollet Mercantete</t>
  </si>
  <si>
    <t xml:space="preserve">solletrafael9@gmail.com</t>
  </si>
  <si>
    <t xml:space="preserve">Agustín Gomez Ramirez</t>
  </si>
  <si>
    <t xml:space="preserve">kialaalejandrina@gmail.com</t>
  </si>
  <si>
    <t xml:space="preserve">Enrique Cabrera Vega</t>
  </si>
  <si>
    <t xml:space="preserve">cabreraenrrique499@gmail.com</t>
  </si>
  <si>
    <t xml:space="preserve">Yolanda Rafaela Ramirez</t>
  </si>
  <si>
    <t xml:space="preserve">Yodeisi Gonzales</t>
  </si>
  <si>
    <t xml:space="preserve">fuentesmerinojulio@gmail.com</t>
  </si>
  <si>
    <t xml:space="preserve">Lisett Martinez Pillio Diaz</t>
  </si>
  <si>
    <t xml:space="preserve">martinezlisett935@gmail.com</t>
  </si>
  <si>
    <t xml:space="preserve">pelierdominguezkeity@gmail.com</t>
  </si>
  <si>
    <t xml:space="preserve">Ismael Borrero Bremejo</t>
  </si>
  <si>
    <t xml:space="preserve">Marcos Brayan Pantoja Leyva</t>
  </si>
  <si>
    <t xml:space="preserve">marcosbrayanpantojaleyva@gmail.com</t>
  </si>
  <si>
    <t xml:space="preserve">Daisy Guerrero Hernan</t>
  </si>
  <si>
    <t xml:space="preserve">dgh27614@gmil.com</t>
  </si>
  <si>
    <t xml:space="preserve">Yaquelin Torres Aguila</t>
  </si>
  <si>
    <t xml:space="preserve">torresyaquelin851@gmail.com</t>
  </si>
  <si>
    <t xml:space="preserve">Nelson Machado Frometa</t>
  </si>
  <si>
    <t xml:space="preserve">Charles Bravo (dominicano)</t>
  </si>
  <si>
    <t xml:space="preserve">bravocharles929@gmail.com</t>
  </si>
  <si>
    <t xml:space="preserve">Macxibel Cambara Ricardo</t>
  </si>
  <si>
    <t xml:space="preserve">macxibel3317@gmail.com</t>
  </si>
  <si>
    <t xml:space="preserve">Brenda Hernandez Llernandi</t>
  </si>
  <si>
    <t xml:space="preserve">brendamariahernandez6@gmail.com</t>
  </si>
  <si>
    <t xml:space="preserve">Yunior Díaz Ramos</t>
  </si>
  <si>
    <t xml:space="preserve">Carlos Javier</t>
  </si>
  <si>
    <t xml:space="preserve">Mirtha Odilio Nuevo</t>
  </si>
  <si>
    <t xml:space="preserve">Andres Laurencio Ortega</t>
  </si>
  <si>
    <t xml:space="preserve">andrewlaurencioortega@gmail.com</t>
  </si>
  <si>
    <t xml:space="preserve">Juana Lidia Rodriguez Garay</t>
  </si>
  <si>
    <t xml:space="preserve">chacharodriguez090@gmail.com</t>
  </si>
  <si>
    <t xml:space="preserve">Yaisel Benítez Hernández</t>
  </si>
  <si>
    <t xml:space="preserve">yaiselbenitez48@gmail.com</t>
  </si>
  <si>
    <t xml:space="preserve">olanoanisleidy@gmail.com</t>
  </si>
  <si>
    <t xml:space="preserve">Fabian Alejandro C Fuentes</t>
  </si>
  <si>
    <t xml:space="preserve">fabofuentes95@gmail.com</t>
  </si>
  <si>
    <t xml:space="preserve">Odalis Rojas Toca</t>
  </si>
  <si>
    <t xml:space="preserve">odalisrojas74@gmail.com</t>
  </si>
  <si>
    <t xml:space="preserve">Yaima García Veliz</t>
  </si>
  <si>
    <t xml:space="preserve">carlos51211miguel@gmail.com</t>
  </si>
  <si>
    <t xml:space="preserve">Mariselis Garcias Landroves</t>
  </si>
  <si>
    <t xml:space="preserve">mariseligarcia70@gmail.com</t>
  </si>
  <si>
    <t xml:space="preserve">Lisandra Batista Prades</t>
  </si>
  <si>
    <t xml:space="preserve">lisandrabatista2906@gmail.com</t>
  </si>
  <si>
    <t xml:space="preserve">Daniel Benitez Fajardo</t>
  </si>
  <si>
    <t xml:space="preserve">benitezdanielfajardo@gmail.com</t>
  </si>
  <si>
    <t xml:space="preserve">Yurisniel Estrada Rodriguez</t>
  </si>
  <si>
    <t xml:space="preserve">Yurisnielestradas@gmail.com</t>
  </si>
  <si>
    <t xml:space="preserve">Idael Novales</t>
  </si>
  <si>
    <t xml:space="preserve">novalesidael@gmail.com</t>
  </si>
  <si>
    <t xml:space="preserve">Yoshsuany Llerena sama</t>
  </si>
  <si>
    <t xml:space="preserve">yoshuanyllerena134@gmail.com</t>
  </si>
  <si>
    <t xml:space="preserve">Beatriz García Verdecia</t>
  </si>
  <si>
    <t xml:space="preserve">Mulkay Gonzalez Leiva</t>
  </si>
  <si>
    <t xml:space="preserve">gonzalezmulkay3@gemail.com</t>
  </si>
  <si>
    <t xml:space="preserve">Julio William Martin Perez</t>
  </si>
  <si>
    <t xml:space="preserve">juliowmartinperez@icloud.com</t>
  </si>
  <si>
    <t xml:space="preserve">Yusmaydis Campos de Melo</t>
  </si>
  <si>
    <t xml:space="preserve">agustinortizperez71@gmail.com</t>
  </si>
  <si>
    <t xml:space="preserve">Elianis Pang Rivas</t>
  </si>
  <si>
    <t xml:space="preserve">elianis.pang@gmail.com</t>
  </si>
  <si>
    <t xml:space="preserve">Saddam Iglesias Varga</t>
  </si>
  <si>
    <t xml:space="preserve">siglesiasvargas@gmail.com</t>
  </si>
  <si>
    <t xml:space="preserve">Miguel Larduet Filiu</t>
  </si>
  <si>
    <t xml:space="preserve">Luis Guerrero</t>
  </si>
  <si>
    <t xml:space="preserve">guichoguerrero26@gmail.com</t>
  </si>
  <si>
    <t xml:space="preserve">Manuel Alejandro Fernández Tamayo</t>
  </si>
  <si>
    <t xml:space="preserve">manuelfernandez270395@gmail.com</t>
  </si>
  <si>
    <t xml:space="preserve">Yudelmys fonseca Pérez</t>
  </si>
  <si>
    <t xml:space="preserve">dedilbertocedenopenin@gmail.com</t>
  </si>
  <si>
    <t xml:space="preserve">Daniel Corzo Alvarez</t>
  </si>
  <si>
    <t xml:space="preserve">Adriel Reina</t>
  </si>
  <si>
    <t xml:space="preserve">reinaadriel96@gmail.com</t>
  </si>
  <si>
    <t xml:space="preserve">Elier González blanco</t>
  </si>
  <si>
    <t xml:space="preserve">elier68p@gmail.com</t>
  </si>
  <si>
    <t xml:space="preserve">Yudanys Pinero Pérez</t>
  </si>
  <si>
    <t xml:space="preserve">yudanyspineroperez66@gmail.com</t>
  </si>
  <si>
    <t xml:space="preserve">Lisdeivis Casanova Baez</t>
  </si>
  <si>
    <t xml:space="preserve">lisdeiviscasanova@gmail.com</t>
  </si>
  <si>
    <t xml:space="preserve">Argelia Lopez</t>
  </si>
  <si>
    <t xml:space="preserve">melanydelaferrer@gmail.com</t>
  </si>
  <si>
    <t xml:space="preserve">Yoan Manuel Arevalo</t>
  </si>
  <si>
    <t xml:space="preserve">yoanmanuelarevalosalfaro@gmail.com</t>
  </si>
  <si>
    <t xml:space="preserve">Betsy Paez Valdes</t>
  </si>
  <si>
    <t xml:space="preserve">paezbetsy356@gmail.com</t>
  </si>
  <si>
    <t xml:space="preserve">Josué Forcelledo Barranco</t>
  </si>
  <si>
    <t xml:space="preserve">jforcelledo00@gmail.com</t>
  </si>
  <si>
    <t xml:space="preserve">Yulieska González Sánchez</t>
  </si>
  <si>
    <t xml:space="preserve">yulieskagonzalezsanchez@gmail.com</t>
  </si>
  <si>
    <t xml:space="preserve">Lisandro Antonio Ermus Pérez</t>
  </si>
  <si>
    <t xml:space="preserve">Frank Alejandro Vidal</t>
  </si>
  <si>
    <t xml:space="preserve">vidalfranko90@gmail.com</t>
  </si>
  <si>
    <t xml:space="preserve">Caridad Tamayo Castro</t>
  </si>
  <si>
    <t xml:space="preserve">caridadtamayo912@gmail.com</t>
  </si>
  <si>
    <t xml:space="preserve">Pablo Emmanuel Rico Suarez</t>
  </si>
  <si>
    <t xml:space="preserve">pabloemmanelricosuares199716@gmail.com</t>
  </si>
  <si>
    <t xml:space="preserve">Madelys Ortega Martínez</t>
  </si>
  <si>
    <t xml:space="preserve">madelys.ortega83@gmail.com</t>
  </si>
  <si>
    <t xml:space="preserve">Arianna Diaz Dieguez</t>
  </si>
  <si>
    <t xml:space="preserve">dieguezhilda8@gmail.com</t>
  </si>
  <si>
    <t xml:space="preserve">Dayron Reinoso</t>
  </si>
  <si>
    <t xml:space="preserve">dayronreinoso5@gmail.com</t>
  </si>
  <si>
    <t xml:space="preserve">Luis Miguel Morales Suarez</t>
  </si>
  <si>
    <t xml:space="preserve">lm0464827@gmail.com</t>
  </si>
  <si>
    <t xml:space="preserve">Michael Sesma Alarcon</t>
  </si>
  <si>
    <t xml:space="preserve">michelsesmaalarcon2411982@gmail</t>
  </si>
  <si>
    <t xml:space="preserve">Evelio Fajardo Betancourt</t>
  </si>
  <si>
    <t xml:space="preserve">fajardoevelio22@gmail.com</t>
  </si>
  <si>
    <t xml:space="preserve">Yamila Fuerte Hernandez</t>
  </si>
  <si>
    <t xml:space="preserve">yamilafuertehernandez84@gmail.com</t>
  </si>
  <si>
    <t xml:space="preserve">Yanay Capote Montero</t>
  </si>
  <si>
    <t xml:space="preserve">Lizt Salas Ramirez</t>
  </si>
  <si>
    <t xml:space="preserve">liztsalasaramirez@gmail.com</t>
  </si>
  <si>
    <t xml:space="preserve">Yoryana Limaya Constanten</t>
  </si>
  <si>
    <t xml:space="preserve">yoryanalimaya70@gmail.com</t>
  </si>
  <si>
    <t xml:space="preserve">Yudier Olivera</t>
  </si>
  <si>
    <t xml:space="preserve">yelenycanizaresvisanzay@gmail.com</t>
  </si>
  <si>
    <t xml:space="preserve">Leticia Quintana Galvez</t>
  </si>
  <si>
    <t xml:space="preserve">leticia.quintana18@gmail.com</t>
  </si>
  <si>
    <t xml:space="preserve">Selin Servera Paz</t>
  </si>
  <si>
    <t xml:space="preserve">cepedapaz1998@icloud.com</t>
  </si>
  <si>
    <t xml:space="preserve">Rayma Molina Lopez</t>
  </si>
  <si>
    <t xml:space="preserve">raymamolina31@gmail.com</t>
  </si>
  <si>
    <t xml:space="preserve">Esdineis Garcia</t>
  </si>
  <si>
    <t xml:space="preserve">garciaesdineis@gmail.com</t>
  </si>
  <si>
    <t xml:space="preserve">Alegna Echarte Valdivieso</t>
  </si>
  <si>
    <t xml:space="preserve">echartealegna5@gmail.com</t>
  </si>
  <si>
    <t xml:space="preserve">Allan Alonso Barquilla</t>
  </si>
  <si>
    <t xml:space="preserve">carmenbarquilla2006@gmail.com</t>
  </si>
  <si>
    <t xml:space="preserve">Michael Perez Cami</t>
  </si>
  <si>
    <t xml:space="preserve">michaelperez2843@gmail.com</t>
  </si>
  <si>
    <t xml:space="preserve">Reynier Ginarte Pelegrín</t>
  </si>
  <si>
    <t xml:space="preserve">Nayelisjf@icloud.com</t>
  </si>
  <si>
    <t xml:space="preserve">Yeni Homedes</t>
  </si>
  <si>
    <t xml:space="preserve">yeniha85@gmail.com</t>
  </si>
  <si>
    <t xml:space="preserve">Daniela Machado Sotomayor</t>
  </si>
  <si>
    <t xml:space="preserve">danielamachado26@icloud.com</t>
  </si>
  <si>
    <t xml:space="preserve">Roberlandy Duany Lebeque</t>
  </si>
  <si>
    <t xml:space="preserve">carlosenbrasil92@gmil.com</t>
  </si>
  <si>
    <t xml:space="preserve">Osiel Moreno Rodríguez</t>
  </si>
  <si>
    <t xml:space="preserve">osielmoreno993@gmail.com</t>
  </si>
  <si>
    <t xml:space="preserve">Yaumel Echevarría Caia</t>
  </si>
  <si>
    <t xml:space="preserve">yaumelechevarri2@gmail.com</t>
  </si>
  <si>
    <t xml:space="preserve">yuditgarcia055@gmail.com</t>
  </si>
  <si>
    <t xml:space="preserve">Elieser Vega Sardiña</t>
  </si>
  <si>
    <t xml:space="preserve">elieservega05gmail.com</t>
  </si>
  <si>
    <t xml:space="preserve">Margaret Garcia Torre</t>
  </si>
  <si>
    <t xml:space="preserve">roelvissu84@gmail.com</t>
  </si>
  <si>
    <t xml:space="preserve">Yoanis Garcia Guzman</t>
  </si>
  <si>
    <t xml:space="preserve">graciasyoanny1@gmail.com</t>
  </si>
  <si>
    <t xml:space="preserve">Kevin Denis C Sotolongo</t>
  </si>
  <si>
    <t xml:space="preserve">Carmenatekevin1999@gmail.com</t>
  </si>
  <si>
    <t xml:space="preserve">Neydi Santiesteban</t>
  </si>
  <si>
    <t xml:space="preserve">neydi.santiesteban@gmail.com</t>
  </si>
  <si>
    <t xml:space="preserve">Dunia Espino Turro</t>
  </si>
  <si>
    <t xml:space="preserve">duniaespinoturro@gmail.com</t>
  </si>
  <si>
    <t xml:space="preserve">Yoan Caballero Vaillant</t>
  </si>
  <si>
    <t xml:space="preserve">ariancaballero66@gmail.com</t>
  </si>
  <si>
    <t xml:space="preserve">Daniel Alejandro González Fuentes</t>
  </si>
  <si>
    <t xml:space="preserve">daniel58990411@gmail.com</t>
  </si>
  <si>
    <t xml:space="preserve">Isis Leyva Gonzales</t>
  </si>
  <si>
    <t xml:space="preserve">garciakeylen043@gmail.com</t>
  </si>
  <si>
    <t xml:space="preserve">Yasmani Alonso Hernández</t>
  </si>
  <si>
    <t xml:space="preserve">yaherhanleybradley1985@gmail.com</t>
  </si>
  <si>
    <t xml:space="preserve">Alexis Sánchez Leiva</t>
  </si>
  <si>
    <t xml:space="preserve">alexissanchezleyva9@gmal.com</t>
  </si>
  <si>
    <t xml:space="preserve">Leyani Reyes Alvarez</t>
  </si>
  <si>
    <t xml:space="preserve">leyanireyes93@gmail.com</t>
  </si>
  <si>
    <t xml:space="preserve">Carlos Alejandro Parra Zayas</t>
  </si>
  <si>
    <t xml:space="preserve">cparrazayas@gmail.com</t>
  </si>
  <si>
    <t xml:space="preserve">Susana de la Caridad Garcia Serrano</t>
  </si>
  <si>
    <t xml:space="preserve">susanagarciaserrano82@gmail.com</t>
  </si>
  <si>
    <t xml:space="preserve">Diana Rosa Pupo Parra</t>
  </si>
  <si>
    <t xml:space="preserve">Dianapupo4@gmail.com</t>
  </si>
  <si>
    <t xml:space="preserve">Yunier Cabrera Beto</t>
  </si>
  <si>
    <t xml:space="preserve">lunier1234@gmail.com</t>
  </si>
  <si>
    <t xml:space="preserve">Ana Gloria Zurbano</t>
  </si>
  <si>
    <t xml:space="preserve">Maidelis</t>
  </si>
  <si>
    <t xml:space="preserve">israelcarrazanagonzalez@gmail.com</t>
  </si>
  <si>
    <t xml:space="preserve">Omar González Paula</t>
  </si>
  <si>
    <t xml:space="preserve">omar920427@gmail.com</t>
  </si>
  <si>
    <t xml:space="preserve">Eddy Yunior Gamayo Calderón</t>
  </si>
  <si>
    <t xml:space="preserve">eddyun@icloud.com</t>
  </si>
  <si>
    <t xml:space="preserve">juancarlosromerolaguardia@gmail.com</t>
  </si>
  <si>
    <t xml:space="preserve">Olvein Lores Medina</t>
  </si>
  <si>
    <t xml:space="preserve">ainek577@gmail.com</t>
  </si>
  <si>
    <t xml:space="preserve">Reina Soledad Reina Beltran</t>
  </si>
  <si>
    <t xml:space="preserve">ochunreina03@gmail.com</t>
  </si>
  <si>
    <t xml:space="preserve">José Yoan Gálvez González</t>
  </si>
  <si>
    <t xml:space="preserve">joseyoangg86@gmail.com</t>
  </si>
  <si>
    <t xml:space="preserve">María Rosa Mendoza Marrero</t>
  </si>
  <si>
    <t xml:space="preserve">mendozamarreromariarosa@gmail.com</t>
  </si>
  <si>
    <t xml:space="preserve">Magbis Gallardo</t>
  </si>
  <si>
    <t xml:space="preserve">magbisgallardo@gmail.com</t>
  </si>
  <si>
    <t xml:space="preserve">Yudeisy Benitez</t>
  </si>
  <si>
    <t xml:space="preserve">yudeisybenitez1@gmail.com</t>
  </si>
  <si>
    <t xml:space="preserve">Leandro Perez Rodriguez</t>
  </si>
  <si>
    <t xml:space="preserve">leandroperezrodriguez93@gmail.com</t>
  </si>
  <si>
    <t xml:space="preserve">Belkis Dobarganes</t>
  </si>
  <si>
    <t xml:space="preserve">lilia.pereirarivera@gmail.com</t>
  </si>
  <si>
    <t xml:space="preserve">Aylin Nodarse Estrada</t>
  </si>
  <si>
    <t xml:space="preserve">nodarseaylin@gmail.com</t>
  </si>
  <si>
    <t xml:space="preserve">Jennifer Naila Dominguez</t>
  </si>
  <si>
    <t xml:space="preserve">jennifernailadominguezvaldes@gmail.com</t>
  </si>
  <si>
    <t xml:space="preserve">Luis Angel Garcés Rivero</t>
  </si>
  <si>
    <t xml:space="preserve">garcesriverol@gmail.com</t>
  </si>
  <si>
    <t xml:space="preserve">Reinier Lopez Rodriguez</t>
  </si>
  <si>
    <t xml:space="preserve">lreinier220@gmail.com</t>
  </si>
  <si>
    <t xml:space="preserve">Yadaris Pupo Rivera</t>
  </si>
  <si>
    <t xml:space="preserve">yadarispupo68@gmail.com</t>
  </si>
  <si>
    <t xml:space="preserve">Annety Sánchez Hernández</t>
  </si>
  <si>
    <t xml:space="preserve">arnntycu01@gmail.com</t>
  </si>
  <si>
    <t xml:space="preserve">Daimy Torres Martinez</t>
  </si>
  <si>
    <t xml:space="preserve">daimytorresmartinez@gmail.com</t>
  </si>
  <si>
    <t xml:space="preserve">Seida Rodríguez Becguer</t>
  </si>
  <si>
    <t xml:space="preserve">Seidarodriguez.11@gmail.com</t>
  </si>
  <si>
    <t xml:space="preserve">Arturo Pupo</t>
  </si>
  <si>
    <t xml:space="preserve">Jose Antonio Varona Vemus</t>
  </si>
  <si>
    <t xml:space="preserve">joseantoniovarona94@gmail.com</t>
  </si>
  <si>
    <t xml:space="preserve">Carlos Luis Valles Perez</t>
  </si>
  <si>
    <t xml:space="preserve">Irisleidys Cruz del Toro</t>
  </si>
  <si>
    <t xml:space="preserve">ivisleydisdeltoro@gmail.com</t>
  </si>
  <si>
    <t xml:space="preserve">Osmel Dominguez Garcia</t>
  </si>
  <si>
    <t xml:space="preserve">osmeldominguezgarcia000@gmail.com</t>
  </si>
  <si>
    <t xml:space="preserve">Nayla</t>
  </si>
  <si>
    <t xml:space="preserve">naylatamayo56@gmail.com</t>
  </si>
  <si>
    <t xml:space="preserve">Luis Angel Tejera Piedra</t>
  </si>
  <si>
    <t xml:space="preserve">luisangeltejerapiedra@gmail.com</t>
  </si>
  <si>
    <t xml:space="preserve">Adriel Acen Dickinson</t>
  </si>
  <si>
    <t xml:space="preserve">acendickinsonb@gmail.com</t>
  </si>
  <si>
    <t xml:space="preserve">Regla Caridad Gonzalez Plana</t>
  </si>
  <si>
    <t xml:space="preserve">teresabarrerolopez226@gmail.com</t>
  </si>
  <si>
    <t xml:space="preserve">Niurka Rodriguez Vazquez</t>
  </si>
  <si>
    <t xml:space="preserve">eidergarcia2409@gmail.com</t>
  </si>
  <si>
    <t xml:space="preserve">Sarai Cabrera Duvergel</t>
  </si>
  <si>
    <t xml:space="preserve">cabrerasarai1405@gmail.com</t>
  </si>
  <si>
    <t xml:space="preserve">Keila Larrosa Maruri</t>
  </si>
  <si>
    <t xml:space="preserve">keilalarrosa395@gmail.com</t>
  </si>
  <si>
    <t xml:space="preserve">Yoidelio Hidalgo</t>
  </si>
  <si>
    <t xml:space="preserve">Rosa Maria Medina Noa</t>
  </si>
  <si>
    <t xml:space="preserve">rm6886944@gmail.com</t>
  </si>
  <si>
    <t xml:space="preserve">Bellis Fonseca Suarez</t>
  </si>
  <si>
    <t xml:space="preserve">belkisfonseca571@gmail.com</t>
  </si>
  <si>
    <t xml:space="preserve">Yelenis Ojeda Rivera</t>
  </si>
  <si>
    <t xml:space="preserve">yelenisojedarivera@gamil.com</t>
  </si>
  <si>
    <t xml:space="preserve">Lianna Lianna Escosia Molinet</t>
  </si>
  <si>
    <t xml:space="preserve">Julio Cesar</t>
  </si>
  <si>
    <t xml:space="preserve">mirledisferrergola@gmail.com</t>
  </si>
  <si>
    <t xml:space="preserve">Yurbis Darlin González Palmero</t>
  </si>
  <si>
    <t xml:space="preserve">darlingpalmero2002@gmail.com</t>
  </si>
  <si>
    <t xml:space="preserve">Yirenia Avila Hernandez</t>
  </si>
  <si>
    <t xml:space="preserve">yirenavila17@gmail.com</t>
  </si>
  <si>
    <t xml:space="preserve">Sarahi Bornot García</t>
  </si>
  <si>
    <t xml:space="preserve">robertotornesverdecia@gmail.com</t>
  </si>
  <si>
    <t xml:space="preserve">Rodolfo Arias Torres</t>
  </si>
  <si>
    <t xml:space="preserve">rodolfoarias2025@gmail.com</t>
  </si>
  <si>
    <t xml:space="preserve">Luis José</t>
  </si>
  <si>
    <t xml:space="preserve">Javier Gamboa Gaínza</t>
  </si>
  <si>
    <t xml:space="preserve">Juerlingamboa40@gmail.com</t>
  </si>
  <si>
    <t xml:space="preserve">Katerine Mastrapa Calzadilla</t>
  </si>
  <si>
    <t xml:space="preserve">catalinacalzadilla622@gmail.com</t>
  </si>
  <si>
    <t xml:space="preserve">Jordanys Tellez Cervantes</t>
  </si>
  <si>
    <t xml:space="preserve">jordanystellez@gmail.com</t>
  </si>
  <si>
    <t xml:space="preserve">Rolando Perez Machin</t>
  </si>
  <si>
    <t xml:space="preserve">Laura Izquierdo Gómez</t>
  </si>
  <si>
    <t xml:space="preserve">izquierdolaura689@gmail.com</t>
  </si>
  <si>
    <t xml:space="preserve">Álvaro Antonio Hecahvarrí González</t>
  </si>
  <si>
    <t xml:space="preserve">Daniel Miranda Valera</t>
  </si>
  <si>
    <t xml:space="preserve">danielvalera0105@gmail.com</t>
  </si>
  <si>
    <t xml:space="preserve">Ariel Moreno Rey</t>
  </si>
  <si>
    <t xml:space="preserve">eltacoariel@gmail.com</t>
  </si>
  <si>
    <t xml:space="preserve">Yasline Alvarado Ramos</t>
  </si>
  <si>
    <t xml:space="preserve">yaslinealvaradoramos@gmail.com</t>
  </si>
  <si>
    <t xml:space="preserve">Daily Reynoso Santamaria</t>
  </si>
  <si>
    <t xml:space="preserve">marailydominguez382@gmail.com</t>
  </si>
  <si>
    <t xml:space="preserve">William Sánchez Peña</t>
  </si>
  <si>
    <t xml:space="preserve">williamsanchezpena01@gmail.com</t>
  </si>
  <si>
    <t xml:space="preserve">Yordanis Gamboa Arevalo</t>
  </si>
  <si>
    <t xml:space="preserve">yordanisarevalo1505@gmail.com</t>
  </si>
  <si>
    <t xml:space="preserve">Jonathan Rolando Baez Pena</t>
  </si>
  <si>
    <t xml:space="preserve">bpyony@gmail.com</t>
  </si>
  <si>
    <t xml:space="preserve">Jorge Aliexer Fajardo Figueredo</t>
  </si>
  <si>
    <t xml:space="preserve">fajardojorge838@gmail.com</t>
  </si>
  <si>
    <t xml:space="preserve">Lia</t>
  </si>
  <si>
    <t xml:space="preserve">katiaherre.2021@gmail.com</t>
  </si>
  <si>
    <t xml:space="preserve">Dioneisy Donate Reyes</t>
  </si>
  <si>
    <t xml:space="preserve">dioneisydr1983@gmail.com</t>
  </si>
  <si>
    <t xml:space="preserve">Carlos Alejandro</t>
  </si>
  <si>
    <t xml:space="preserve">Normi Coromoto Lopez Rojas</t>
  </si>
  <si>
    <t xml:space="preserve">lupitadr@yahoo.com</t>
  </si>
  <si>
    <t xml:space="preserve">Yamilka Villavicencio Montero</t>
  </si>
  <si>
    <t xml:space="preserve">yamilkavillavicenciomotero@gmail.com</t>
  </si>
  <si>
    <t xml:space="preserve">Danaisa Almaguer Pozo</t>
  </si>
  <si>
    <t xml:space="preserve">danaisaalmaguer0@gmail.com</t>
  </si>
  <si>
    <t xml:space="preserve">Henry Moreno Rodriguez</t>
  </si>
  <si>
    <t xml:space="preserve">pauljairon176@gmail.com</t>
  </si>
  <si>
    <t xml:space="preserve">Saily Zuñiga Matamoro</t>
  </si>
  <si>
    <t xml:space="preserve">zunigamatamorossaily@gmail.com</t>
  </si>
  <si>
    <t xml:space="preserve">Michael Mesa González</t>
  </si>
  <si>
    <t xml:space="preserve">Lázaro Enrique Márquez Cruz</t>
  </si>
  <si>
    <t xml:space="preserve">Betancourtmelbys@gmail.com</t>
  </si>
  <si>
    <t xml:space="preserve">Yasin Suarez Martinez</t>
  </si>
  <si>
    <t xml:space="preserve">Yasinsuarez1@gmail.com</t>
  </si>
  <si>
    <t xml:space="preserve">VANIA ZULUETA REYES</t>
  </si>
  <si>
    <t xml:space="preserve">Fernando Andres Paredes</t>
  </si>
  <si>
    <t xml:space="preserve">feredes.1946@gmail.com</t>
  </si>
  <si>
    <t xml:space="preserve">Adriel Alejandro Aliaga</t>
  </si>
  <si>
    <t xml:space="preserve">yudisel@gmail.com</t>
  </si>
  <si>
    <t xml:space="preserve">Barbielys Baez Varela</t>
  </si>
  <si>
    <t xml:space="preserve">barbielysbaezvarela@gmail.com</t>
  </si>
  <si>
    <t xml:space="preserve">Margarita Pavon Perez</t>
  </si>
  <si>
    <t xml:space="preserve">elysmargaritapavon@gmail.com</t>
  </si>
  <si>
    <t xml:space="preserve">Lixandra de la Cruz Sayas</t>
  </si>
  <si>
    <t xml:space="preserve">angelomar2025@hotmail.com</t>
  </si>
  <si>
    <t xml:space="preserve">Elianet Caridad Lopez Herrera</t>
  </si>
  <si>
    <t xml:space="preserve">lopezherreraelianet@gmail.com</t>
  </si>
  <si>
    <t xml:space="preserve">Alfredo Perez Guillen</t>
  </si>
  <si>
    <t xml:space="preserve">claribelguillen0@gmail.com</t>
  </si>
  <si>
    <t xml:space="preserve">Luis Serdaniel Garcia</t>
  </si>
  <si>
    <t xml:space="preserve">aymeeteresaga@gmail.com</t>
  </si>
  <si>
    <t xml:space="preserve">Jasiel Paula Moreno</t>
  </si>
  <si>
    <t xml:space="preserve">paulamorenojasiel@gmail.com</t>
  </si>
  <si>
    <t xml:space="preserve">Dayanis Marina</t>
  </si>
  <si>
    <t xml:space="preserve">José Luis González Castro</t>
  </si>
  <si>
    <t xml:space="preserve">joseluisgonzalezcatro185@gmail.com</t>
  </si>
  <si>
    <t xml:space="preserve">Frank Fernández Duanes</t>
  </si>
  <si>
    <t xml:space="preserve">yairemateoambar@gmail.com</t>
  </si>
  <si>
    <t xml:space="preserve">Kendry Enrique Triana Sánchez</t>
  </si>
  <si>
    <t xml:space="preserve">kendrytriana3@gmail.com</t>
  </si>
  <si>
    <t xml:space="preserve">Yancet Brito Sanchez</t>
  </si>
  <si>
    <t xml:space="preserve">yancetbs@gmail.com</t>
  </si>
  <si>
    <t xml:space="preserve">Leider Saiz Espinosa</t>
  </si>
  <si>
    <t xml:space="preserve">leidersaiz@gmail.com</t>
  </si>
  <si>
    <t xml:space="preserve">Yoani Gomez Hernandez</t>
  </si>
  <si>
    <t xml:space="preserve">yoanigomez76@gmail.com</t>
  </si>
  <si>
    <t xml:space="preserve">Eliecer Pino Meléndez</t>
  </si>
  <si>
    <t xml:space="preserve">eliecergb@gmail.com</t>
  </si>
  <si>
    <t xml:space="preserve">José Leandro De La Nuez Orihuela</t>
  </si>
  <si>
    <t xml:space="preserve">joseleandropepe14@gmail.com</t>
  </si>
  <si>
    <t xml:space="preserve">Elvis Garcia Augusti</t>
  </si>
  <si>
    <t xml:space="preserve">elvisgarciarodriguez2812@gmail.com</t>
  </si>
  <si>
    <t xml:space="preserve">Marlon</t>
  </si>
  <si>
    <t xml:space="preserve">Tania Denia Suarez torres</t>
  </si>
  <si>
    <t xml:space="preserve">Milena Vegas Rojas</t>
  </si>
  <si>
    <t xml:space="preserve">milenavegasrojas@gmail.com</t>
  </si>
  <si>
    <t xml:space="preserve">José David batista Rivero</t>
  </si>
  <si>
    <t xml:space="preserve">josedavidbatista250@gmail.com</t>
  </si>
  <si>
    <t xml:space="preserve">WILLIAM PENA CABALLERO</t>
  </si>
  <si>
    <t xml:space="preserve">Yosbani Milane Aguilera</t>
  </si>
  <si>
    <t xml:space="preserve">milaneaguileray@gmail.com</t>
  </si>
  <si>
    <t xml:space="preserve">Liosvel Luis Martinez</t>
  </si>
  <si>
    <t xml:space="preserve">liosvelluis@gmail.com</t>
  </si>
  <si>
    <t xml:space="preserve">Rubén Ojeda Hernández</t>
  </si>
  <si>
    <t xml:space="preserve">yiyo63042911404@gmail.com</t>
  </si>
  <si>
    <t xml:space="preserve">Yovanis</t>
  </si>
  <si>
    <t xml:space="preserve">Adrian Morales Soler</t>
  </si>
  <si>
    <t xml:space="preserve">moralesadeian110@gmail.com</t>
  </si>
  <si>
    <t xml:space="preserve">Luis Javier</t>
  </si>
  <si>
    <t xml:space="preserve">luismorodo03@gmail.com</t>
  </si>
  <si>
    <t xml:space="preserve">Yadayme Acosta Fajardo</t>
  </si>
  <si>
    <t xml:space="preserve">yadaymeacosta@gmail.com</t>
  </si>
  <si>
    <t xml:space="preserve">Ariosky Torres Perez</t>
  </si>
  <si>
    <t xml:space="preserve">arioskytorres@gmail.com</t>
  </si>
  <si>
    <t xml:space="preserve">Maitte Correa Hernandez</t>
  </si>
  <si>
    <t xml:space="preserve">correahernandezmaitte@gmail.com</t>
  </si>
  <si>
    <t xml:space="preserve">Ismara Mondelo Reyes</t>
  </si>
  <si>
    <t xml:space="preserve">mondeloreyesi@gmail.com</t>
  </si>
  <si>
    <t xml:space="preserve">Maikel Nino Lahera</t>
  </si>
  <si>
    <t xml:space="preserve">Daylen Vigo Calderin</t>
  </si>
  <si>
    <t xml:space="preserve">daylenvc@gmail.com</t>
  </si>
  <si>
    <t xml:space="preserve">Alejandro Vargas Fonseca</t>
  </si>
  <si>
    <t xml:space="preserve">vargasfonsecaalejandro3@gmail.com</t>
  </si>
  <si>
    <t xml:space="preserve">Arisley</t>
  </si>
  <si>
    <t xml:space="preserve">arisleymr@gmail.com</t>
  </si>
  <si>
    <t xml:space="preserve">Solange</t>
  </si>
  <si>
    <t xml:space="preserve">rayme.ronda@proton.me</t>
  </si>
  <si>
    <t xml:space="preserve">Arain</t>
  </si>
  <si>
    <t xml:space="preserve">Maria Leydis</t>
  </si>
  <si>
    <t xml:space="preserve">rodriguezargotam@gmail.com</t>
  </si>
  <si>
    <t xml:space="preserve">OMAR GARCIA GRANNUM</t>
  </si>
  <si>
    <t xml:space="preserve">garcia21071@gmail.com</t>
  </si>
  <si>
    <t xml:space="preserve">Lisbany Fonseca Abreu</t>
  </si>
  <si>
    <t xml:space="preserve">lisbanyfons@gmail.com</t>
  </si>
  <si>
    <t xml:space="preserve">Yuvisleidys Rodríguez</t>
  </si>
  <si>
    <t xml:space="preserve">yuvisrodriguez425@gmail.com</t>
  </si>
  <si>
    <t xml:space="preserve">Yoel Batista</t>
  </si>
  <si>
    <t xml:space="preserve">randielbatista6@gmail.com</t>
  </si>
  <si>
    <t xml:space="preserve">Osvil Riviaux Helps</t>
  </si>
  <si>
    <t xml:space="preserve">Osvilriviauxhelps@gmail.com</t>
  </si>
  <si>
    <t xml:space="preserve">adrianapaumier63@gmail.com</t>
  </si>
  <si>
    <t xml:space="preserve">rgk198214@gmail.com</t>
  </si>
  <si>
    <t xml:space="preserve">Oreste Miguel Gonzalez Hechavarria</t>
  </si>
  <si>
    <t xml:space="preserve">gonzalezhechavarriao@gmail.com</t>
  </si>
  <si>
    <t xml:space="preserve">Yoelmis Caballero Basulto</t>
  </si>
  <si>
    <t xml:space="preserve">laritzafrometal@gmail.com</t>
  </si>
  <si>
    <t xml:space="preserve">Alex</t>
  </si>
  <si>
    <t xml:space="preserve">Raiza Elena Merino Sanabr</t>
  </si>
  <si>
    <t xml:space="preserve">Amauri Ledesma Corrales</t>
  </si>
  <si>
    <t xml:space="preserve">Perezborrotomederos@gmail.com</t>
  </si>
  <si>
    <t xml:space="preserve">Klondy Morales Cruz</t>
  </si>
  <si>
    <t xml:space="preserve">klondymorales20@gmail.com</t>
  </si>
  <si>
    <t xml:space="preserve">Gustavo Garcia</t>
  </si>
  <si>
    <t xml:space="preserve">GEORGINA GUIBERT GONZALEZ</t>
  </si>
  <si>
    <t xml:space="preserve">georginaguibert301@gmail.com</t>
  </si>
  <si>
    <t xml:space="preserve">Leyani Morales Martinez</t>
  </si>
  <si>
    <t xml:space="preserve">moralesmartinezleyani@gmail.com</t>
  </si>
  <si>
    <t xml:space="preserve">Mariemi Difoour Esquivel</t>
  </si>
  <si>
    <t xml:space="preserve">mariemidifoour@gmail.com</t>
  </si>
  <si>
    <t xml:space="preserve">Yamilka Ferrales Milanes</t>
  </si>
  <si>
    <t xml:space="preserve">yamilkaferralesmilanes@gmail.com</t>
  </si>
  <si>
    <t xml:space="preserve">Alianna Sosa Alvarez</t>
  </si>
  <si>
    <t xml:space="preserve">jeyali120997@gmail.com</t>
  </si>
  <si>
    <t xml:space="preserve">Leandro Cruz Sarmiento</t>
  </si>
  <si>
    <t xml:space="preserve">hermescruz03@gmail.com</t>
  </si>
  <si>
    <t xml:space="preserve">Teresa Luisa Gómez Rodríguez</t>
  </si>
  <si>
    <t xml:space="preserve">maitegonzalez.rdguez@gmail.com</t>
  </si>
  <si>
    <t xml:space="preserve">Luis Hernandez veloz</t>
  </si>
  <si>
    <t xml:space="preserve">luishernandez.rosado66@gmail.com</t>
  </si>
  <si>
    <t xml:space="preserve">Gisela Ibarra Gracias</t>
  </si>
  <si>
    <t xml:space="preserve">giselaibarragracias@gmail.com</t>
  </si>
  <si>
    <t xml:space="preserve">Aimé García Quiala</t>
  </si>
  <si>
    <t xml:space="preserve">aimegarciaquiala@gmail.com</t>
  </si>
  <si>
    <t xml:space="preserve">Tahimi Batista Silva</t>
  </si>
  <si>
    <t xml:space="preserve">Olga Lina Garcia Ferrer</t>
  </si>
  <si>
    <t xml:space="preserve">garciaferrerlaritza@gmail.com</t>
  </si>
  <si>
    <t xml:space="preserve">Lankiu</t>
  </si>
  <si>
    <t xml:space="preserve">lankiu.curi@gmail.com</t>
  </si>
  <si>
    <t xml:space="preserve">Alexis Antonio Gonzalez</t>
  </si>
  <si>
    <t xml:space="preserve">alexigonzalezperez448@gmail.com</t>
  </si>
  <si>
    <t xml:space="preserve">Aelin Rodriguez Castanet</t>
  </si>
  <si>
    <t xml:space="preserve">mc705661@mail.com</t>
  </si>
  <si>
    <t xml:space="preserve">abreupablo141@gmail.com</t>
  </si>
  <si>
    <t xml:space="preserve">Youssef Alí Sanchez Tamayo</t>
  </si>
  <si>
    <t xml:space="preserve">Seniaolivero5@gmail.com</t>
  </si>
  <si>
    <t xml:space="preserve">Yuramis Martinez Alvarez</t>
  </si>
  <si>
    <t xml:space="preserve">martinezyuramis081@gmail.com</t>
  </si>
  <si>
    <t xml:space="preserve">Adrian Garcia Acosta</t>
  </si>
  <si>
    <t xml:space="preserve">keberaslan3@gmail.com</t>
  </si>
  <si>
    <t xml:space="preserve">Evelyn Marianny Rodriguez Rodriguez</t>
  </si>
  <si>
    <t xml:space="preserve">Orlando Lores Fuentes</t>
  </si>
  <si>
    <t xml:space="preserve">orlandolores821@gmail.com</t>
  </si>
  <si>
    <t xml:space="preserve">Jean Andrés Martinez Alvarez</t>
  </si>
  <si>
    <t xml:space="preserve">jeanmeymil@gmail.com</t>
  </si>
  <si>
    <t xml:space="preserve">luis</t>
  </si>
  <si>
    <t xml:space="preserve">torresfernandezluisramon92@gmail.com</t>
  </si>
  <si>
    <t xml:space="preserve">Alexis Gonzalez</t>
  </si>
  <si>
    <t xml:space="preserve">alexisgonzalezpedroso@gmail.com</t>
  </si>
  <si>
    <t xml:space="preserve">Daimi Rosales Viltres</t>
  </si>
  <si>
    <t xml:space="preserve">daimirosales26@gmail.com</t>
  </si>
  <si>
    <t xml:space="preserve">Yunisleisy Delgado León</t>
  </si>
  <si>
    <t xml:space="preserve">yunisleisy2898@gmail.com</t>
  </si>
  <si>
    <t xml:space="preserve">YORDIEL GARCES TORRES</t>
  </si>
  <si>
    <t xml:space="preserve">yordielgarcestorres518@gmail.com</t>
  </si>
  <si>
    <t xml:space="preserve">Anniela</t>
  </si>
  <si>
    <t xml:space="preserve">Amauris Suarez Pérez</t>
  </si>
  <si>
    <t xml:space="preserve">Elisban Llopiz Infante</t>
  </si>
  <si>
    <t xml:space="preserve">ellopizinfante@gmail.com</t>
  </si>
  <si>
    <t xml:space="preserve">Angel Troche Rodriguez</t>
  </si>
  <si>
    <t xml:space="preserve">Trocherodrigueza@gmail.com</t>
  </si>
  <si>
    <t xml:space="preserve">Isabel Álvarez Sebastián</t>
  </si>
  <si>
    <t xml:space="preserve">isabel13031987@gamil.com</t>
  </si>
  <si>
    <t xml:space="preserve">Tania Denia Suarez Torres</t>
  </si>
  <si>
    <t xml:space="preserve">ts872856@gmail.com</t>
  </si>
  <si>
    <t xml:space="preserve">Javier Figueredo Soto</t>
  </si>
  <si>
    <t xml:space="preserve">Carlos Jesus Valdez Hernandez</t>
  </si>
  <si>
    <t xml:space="preserve">Jose Alberto Reyes Zamora</t>
  </si>
  <si>
    <t xml:space="preserve">reyeszamora9810@gmail.com</t>
  </si>
  <si>
    <t xml:space="preserve">ARMANDO GONZALEZ</t>
  </si>
  <si>
    <t xml:space="preserve">Marbelis arzuaga Álvarez</t>
  </si>
  <si>
    <t xml:space="preserve">arzuagamarbelis@email.con</t>
  </si>
  <si>
    <t xml:space="preserve">Beatriz</t>
  </si>
  <si>
    <t xml:space="preserve">herreracruzbeatriz85@gmail.com</t>
  </si>
  <si>
    <t xml:space="preserve">Yolexander bueno</t>
  </si>
  <si>
    <t xml:space="preserve">yolexanderbuenodelis96@gmail.com</t>
  </si>
  <si>
    <t xml:space="preserve">David Ernesto Hernández Tamayo</t>
  </si>
  <si>
    <t xml:space="preserve">dehernandez.contact@gmail.com</t>
  </si>
  <si>
    <t xml:space="preserve">Juan Carlos Pérez Salazar</t>
  </si>
  <si>
    <t xml:space="preserve">Juancarlosperez299055@gmail.com</t>
  </si>
  <si>
    <t xml:space="preserve">Tommy Acosta Ramos</t>
  </si>
  <si>
    <t xml:space="preserve">Yenny Andriu</t>
  </si>
  <si>
    <t xml:space="preserve">andriufonseca080@gmail.com</t>
  </si>
  <si>
    <t xml:space="preserve">Alba Yoelkis</t>
  </si>
  <si>
    <t xml:space="preserve">Gianni Reyes Moro</t>
  </si>
  <si>
    <t xml:space="preserve">Jennifer Mercedes</t>
  </si>
  <si>
    <t xml:space="preserve">fajardo.delgado2005@gmail.com</t>
  </si>
  <si>
    <t xml:space="preserve">Eglis Pedro Agüero Gomez</t>
  </si>
  <si>
    <t xml:space="preserve">Michel Correa Almeida</t>
  </si>
  <si>
    <t xml:space="preserve">Armando Cedeño Betancourt</t>
  </si>
  <si>
    <t xml:space="preserve">Cedenoarmando825@gmail.com</t>
  </si>
  <si>
    <t xml:space="preserve">Rachel Diez Barrientos</t>
  </si>
  <si>
    <t xml:space="preserve">racheldiez222@gmail.com</t>
  </si>
  <si>
    <t xml:space="preserve">Luis Oslando Sotomayor Vargas</t>
  </si>
  <si>
    <t xml:space="preserve">luisoslandosotomayorvargas@gmail.com</t>
  </si>
  <si>
    <t xml:space="preserve">Aramis Lazarte Carmona</t>
  </si>
  <si>
    <t xml:space="preserve">lazartearamis029@gmail.com</t>
  </si>
  <si>
    <t xml:space="preserve">Malbelis León Cruz</t>
  </si>
  <si>
    <t xml:space="preserve">malbelisleon29@gmail.com</t>
  </si>
  <si>
    <t xml:space="preserve">Eliset García Orgalles</t>
  </si>
  <si>
    <t xml:space="preserve">Ana Bárbara Fellove Díaz</t>
  </si>
  <si>
    <t xml:space="preserve">afellovediaz@gmail.com</t>
  </si>
  <si>
    <t xml:space="preserve">Emílio Rodriguez Martínez</t>
  </si>
  <si>
    <t xml:space="preserve">Ailen Días Dieguez</t>
  </si>
  <si>
    <t xml:space="preserve">ailendiazdieguez0@gmail.com</t>
  </si>
  <si>
    <t xml:space="preserve">Yainel Vazques</t>
  </si>
  <si>
    <t xml:space="preserve">Yainelvazquez548@gmail.com</t>
  </si>
  <si>
    <t xml:space="preserve">Evelio Martinez Díaz</t>
  </si>
  <si>
    <t xml:space="preserve">melbaynaty@gmail.com</t>
  </si>
  <si>
    <t xml:space="preserve">Deysi Bermudez Nicot</t>
  </si>
  <si>
    <t xml:space="preserve">bermudeznicotdeysigloria@gmail.com</t>
  </si>
  <si>
    <t xml:space="preserve">Maikel Leyva Barnet</t>
  </si>
  <si>
    <t xml:space="preserve">leyvamaikel208@gmail.com</t>
  </si>
  <si>
    <t xml:space="preserve">Manuel Orlando Peña Gonzalez</t>
  </si>
  <si>
    <t xml:space="preserve">ilsagarciamaestre@gmail.com</t>
  </si>
  <si>
    <t xml:space="preserve">Yulian Reyes</t>
  </si>
  <si>
    <t xml:space="preserve">marloninchaurtieta2000@gmail.com</t>
  </si>
  <si>
    <t xml:space="preserve">Darien Ruiz Farrada</t>
  </si>
  <si>
    <t xml:space="preserve">Emilio Enrique Toujaguez Jerez</t>
  </si>
  <si>
    <t xml:space="preserve">emiliotoujagiez31@gmail.com</t>
  </si>
  <si>
    <t xml:space="preserve">Julio / Barbara Maure</t>
  </si>
  <si>
    <t xml:space="preserve">Daniel Zaragoza</t>
  </si>
  <si>
    <t xml:space="preserve">angelicarp.06@icloud.com</t>
  </si>
  <si>
    <t xml:space="preserve">Bryan</t>
  </si>
  <si>
    <t xml:space="preserve">bborregoisaac@gmail.com</t>
  </si>
  <si>
    <t xml:space="preserve">Dany Luis Vega Moya</t>
  </si>
  <si>
    <t xml:space="preserve">vdany181@gmail.com</t>
  </si>
  <si>
    <t xml:space="preserve">Miguel Ángel Rondon Tellez</t>
  </si>
  <si>
    <t xml:space="preserve">Yaikel Gonzalez perez</t>
  </si>
  <si>
    <t xml:space="preserve">yaikelgonzalezperez9@gmail.com</t>
  </si>
  <si>
    <t xml:space="preserve">Maidelin Mesa Breffe</t>
  </si>
  <si>
    <t xml:space="preserve">keniaiglesiasanjuan@gmail.com</t>
  </si>
  <si>
    <t xml:space="preserve">Alexander Poey Reyes</t>
  </si>
  <si>
    <t xml:space="preserve">Terry.poey@gmail.com</t>
  </si>
  <si>
    <t xml:space="preserve">Sailin</t>
  </si>
  <si>
    <t xml:space="preserve">jimenezsailin7@gmail.com</t>
  </si>
  <si>
    <t xml:space="preserve">JORGITO</t>
  </si>
  <si>
    <t xml:space="preserve">Rafael Maikol</t>
  </si>
  <si>
    <t xml:space="preserve">Mario Jaime Hernandez Gonzalez</t>
  </si>
  <si>
    <t xml:space="preserve">mariojaimehernandezgonzales@gmail.com</t>
  </si>
  <si>
    <t xml:space="preserve">Asdruval Alejandro Aguilar Parra</t>
  </si>
  <si>
    <t xml:space="preserve">Victor Osmanis Mendoza Ortiz</t>
  </si>
  <si>
    <t xml:space="preserve">osmanismendoza12@gmail.com</t>
  </si>
  <si>
    <t xml:space="preserve">Katia Herrera Díaz</t>
  </si>
  <si>
    <t xml:space="preserve">Osmany Izaguirre Rodriguez</t>
  </si>
  <si>
    <t xml:space="preserve">osmaizaguirre@gmail.com</t>
  </si>
  <si>
    <t xml:space="preserve">Rauly Eneydo Meriño Perez</t>
  </si>
  <si>
    <t xml:space="preserve">merinorauly2@gmail.com</t>
  </si>
  <si>
    <t xml:space="preserve">joseluissalgadochao16@gmail.com</t>
  </si>
  <si>
    <t xml:space="preserve">yanelam2001@gmail.com</t>
  </si>
  <si>
    <t xml:space="preserve">dayanisrosabal183@gmail.com</t>
  </si>
  <si>
    <t xml:space="preserve">napoleshernandezraiza@gmail.com</t>
  </si>
  <si>
    <t xml:space="preserve">litmaycantero@gmail.com</t>
  </si>
  <si>
    <t xml:space="preserve">yinamarina@yopmail.com</t>
  </si>
  <si>
    <t xml:space="preserve">diovaniscarrion1993@gmail.com</t>
  </si>
  <si>
    <t xml:space="preserve">perezperezgendris@gmail.com</t>
  </si>
  <si>
    <t xml:space="preserve">n2458619@gmail.com</t>
  </si>
  <si>
    <t xml:space="preserve">06/04/2026 1:31PM</t>
  </si>
  <si>
    <t xml:space="preserve">Saylilopez4736@gmail.com</t>
  </si>
  <si>
    <t xml:space="preserve">07/04/2026 9:40AM</t>
  </si>
  <si>
    <t xml:space="preserve">+55 41 8532-2122</t>
  </si>
  <si>
    <t xml:space="preserve">09/04/2026 9:18AM</t>
  </si>
  <si>
    <t xml:space="preserve">09/04/2026 9:42AM</t>
  </si>
  <si>
    <t xml:space="preserve">09/04/2026 10:18AM</t>
  </si>
  <si>
    <t xml:space="preserve">09/04/2026 11:17AM</t>
  </si>
  <si>
    <t xml:space="preserve">09/04/2026 11:26AM</t>
  </si>
  <si>
    <t xml:space="preserve">10/04/2026 9:27AM</t>
  </si>
  <si>
    <t xml:space="preserve">10/04/2026 9:21AM</t>
  </si>
  <si>
    <t xml:space="preserve">10/04/2026 9:33AM</t>
  </si>
  <si>
    <t xml:space="preserve">10/04/2026 9:37AM</t>
  </si>
  <si>
    <t xml:space="preserve">10/04/2026 9:47AM</t>
  </si>
  <si>
    <t xml:space="preserve">10/04/2026 11:22AM</t>
  </si>
  <si>
    <t xml:space="preserve">10/04/2026 12:02PM</t>
  </si>
  <si>
    <t xml:space="preserve">10/04/2026 12:01PM</t>
  </si>
  <si>
    <t xml:space="preserve">Bourricaudyselianis@gmail.com</t>
  </si>
  <si>
    <t xml:space="preserve">10/04/2026 12:06PM</t>
  </si>
  <si>
    <t xml:space="preserve">10/04/2026 1:50PM</t>
  </si>
  <si>
    <t xml:space="preserve">+51967206803, +55 95 8420-5374</t>
  </si>
  <si>
    <t xml:space="preserve">14/04/2026 9:28AM</t>
  </si>
  <si>
    <t xml:space="preserve">Baby  Ifrain ☀️</t>
  </si>
  <si>
    <t xml:space="preserve">14/04/2026 10:37AM</t>
  </si>
  <si>
    <t xml:space="preserve">15/04/2026 9:39AM</t>
  </si>
  <si>
    <t xml:space="preserve">16/04/2026 9:30AM</t>
  </si>
  <si>
    <t xml:space="preserve">16/04/2026 10:15AM</t>
  </si>
  <si>
    <t xml:space="preserve">+559584406323, +55 95 8440-6323</t>
  </si>
  <si>
    <t xml:space="preserve">17/04/2026 9:33AM</t>
  </si>
  <si>
    <t xml:space="preserve">17/04/2026 10:31AM</t>
  </si>
  <si>
    <t xml:space="preserve">17/04/2026 12:03PM</t>
  </si>
  <si>
    <t xml:space="preserve">18/04/2026 11:43AM</t>
  </si>
  <si>
    <t xml:space="preserve">+5511961169983, +559684049075</t>
  </si>
  <si>
    <t xml:space="preserve">+554199243938, +559584290218</t>
  </si>
  <si>
    <t xml:space="preserve">20/04/2026 9:49AM</t>
  </si>
  <si>
    <t xml:space="preserve">+559584130470, +559584292294</t>
  </si>
  <si>
    <t xml:space="preserve">23/04/2026 9:22AM</t>
  </si>
  <si>
    <t xml:space="preserve">23/04/2026 9:37AM</t>
  </si>
  <si>
    <t xml:space="preserve">Cesar yohanner capote alvarado</t>
  </si>
  <si>
    <t xml:space="preserve">23/04/2026 9:56AM</t>
  </si>
  <si>
    <t xml:space="preserve">27/04/2026 9:33AM</t>
  </si>
  <si>
    <t xml:space="preserve">26/04/2026 10:04AM</t>
  </si>
  <si>
    <t xml:space="preserve">26/04/2026 10:12AM</t>
  </si>
  <si>
    <t xml:space="preserve">27/04/2026 10:09AM</t>
  </si>
  <si>
    <t xml:space="preserve">28/04/2026 9:24AM</t>
  </si>
  <si>
    <t xml:space="preserve">28/04/2026 9:32AM</t>
  </si>
  <si>
    <t xml:space="preserve">01/05/2026 5:40PM</t>
  </si>
  <si>
    <t xml:space="preserve">01/05/2026 5:30PM</t>
  </si>
  <si>
    <t xml:space="preserve">01/05/2026 5:41PM</t>
  </si>
  <si>
    <t xml:space="preserve">01/05/2026 9:42AM</t>
  </si>
  <si>
    <t xml:space="preserve">+5355343019, +55984390336</t>
  </si>
  <si>
    <t xml:space="preserve">01/05/2026 9:40AM</t>
  </si>
  <si>
    <t xml:space="preserve">Demonstração de Fluxo de Caixa</t>
  </si>
  <si>
    <t xml:space="preserve">Data de Início do Fluxo</t>
  </si>
  <si>
    <t xml:space="preserve">Saldo em Conta Bancária</t>
  </si>
  <si>
    <t xml:space="preserve">Saldo em Dinheiro</t>
  </si>
  <si>
    <t xml:space="preserve">Saldo Total</t>
  </si>
  <si>
    <t xml:space="preserve">Data</t>
  </si>
  <si>
    <t xml:space="preserve">Entrada</t>
  </si>
  <si>
    <t xml:space="preserve">Saída</t>
  </si>
  <si>
    <t xml:space="preserve">Saldo Dia</t>
  </si>
</sst>
</file>

<file path=xl/styles.xml><?xml version="1.0" encoding="utf-8"?>
<styleSheet xmlns="http://schemas.openxmlformats.org/spreadsheetml/2006/main">
  <numFmts count="19">
    <numFmt numFmtId="164" formatCode="General"/>
    <numFmt numFmtId="165" formatCode="0"/>
    <numFmt numFmtId="166" formatCode="dd/mm/yyyy"/>
    <numFmt numFmtId="167" formatCode="&quot;R$ &quot;#,##0.00"/>
    <numFmt numFmtId="168" formatCode="00000"/>
    <numFmt numFmtId="169" formatCode="_-&quot;R$ &quot;* #,##0.00_-;&quot;-R$ &quot;* #,##0.00_-;_-&quot;R$ &quot;* \-??_-;_-@_-"/>
    <numFmt numFmtId="170" formatCode="&quot;R$ &quot;#,##0.00;[RED]&quot;-R$ &quot;#,##0.00"/>
    <numFmt numFmtId="171" formatCode="@"/>
    <numFmt numFmtId="172" formatCode="mmm\-yy"/>
    <numFmt numFmtId="173" formatCode="_-[$R$-416]\ * #,##0.00_-;\-[$R$-416]\ * #,##0.00_-;_-[$R$-416]\ * \-??_-;_-@_-"/>
    <numFmt numFmtId="174" formatCode="0\ %"/>
    <numFmt numFmtId="175" formatCode="0.00\ %"/>
    <numFmt numFmtId="176" formatCode="0.00"/>
    <numFmt numFmtId="177" formatCode="0.0"/>
    <numFmt numFmtId="178" formatCode="0.0%"/>
    <numFmt numFmtId="179" formatCode="&quot;R$ &quot;#,##0"/>
    <numFmt numFmtId="180" formatCode="General"/>
    <numFmt numFmtId="181" formatCode="_(&quot;R$&quot;* #,##0.00_);_(&quot;R$&quot;* \(#,##0.00\);_(&quot;R$&quot;* \-??_);_(@_)"/>
    <numFmt numFmtId="182" formatCode="0.00%"/>
  </numFmts>
  <fonts count="38">
    <font>
      <sz val="11"/>
      <color theme="1"/>
      <name val="Aptos Narrow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u val="single"/>
      <sz val="11"/>
      <color theme="10"/>
      <name val="Aptos Narrow"/>
      <family val="2"/>
      <charset val="1"/>
    </font>
    <font>
      <b val="true"/>
      <sz val="11"/>
      <color theme="1"/>
      <name val="Aptos Narrow"/>
      <family val="2"/>
      <charset val="1"/>
    </font>
    <font>
      <sz val="11"/>
      <color rgb="FF434343"/>
      <name val="Aptos Narrow"/>
      <family val="2"/>
      <charset val="1"/>
    </font>
    <font>
      <sz val="11"/>
      <name val="Aptos Narrow"/>
      <family val="2"/>
      <charset val="1"/>
    </font>
    <font>
      <sz val="12"/>
      <color theme="1"/>
      <name val="Arial"/>
      <family val="2"/>
      <charset val="1"/>
    </font>
    <font>
      <sz val="12"/>
      <color theme="1"/>
      <name val="Arial"/>
      <family val="0"/>
      <charset val="1"/>
    </font>
    <font>
      <sz val="12"/>
      <color theme="1"/>
      <name val="Proxima Nova"/>
      <family val="0"/>
      <charset val="1"/>
    </font>
    <font>
      <b val="true"/>
      <sz val="12"/>
      <color theme="0"/>
      <name val="Arial"/>
      <family val="0"/>
      <charset val="1"/>
    </font>
    <font>
      <b val="true"/>
      <sz val="12"/>
      <color theme="1"/>
      <name val="Aptos"/>
      <family val="2"/>
      <charset val="1"/>
    </font>
    <font>
      <b val="true"/>
      <sz val="11"/>
      <color theme="0"/>
      <name val="Aptos Narrow"/>
      <family val="2"/>
      <charset val="1"/>
    </font>
    <font>
      <sz val="11"/>
      <color theme="0"/>
      <name val="Aptos Narrow"/>
      <family val="2"/>
      <charset val="1"/>
    </font>
    <font>
      <b val="true"/>
      <sz val="12"/>
      <color theme="0"/>
      <name val="Arial"/>
      <family val="2"/>
      <charset val="1"/>
    </font>
    <font>
      <b val="true"/>
      <sz val="14"/>
      <color theme="0"/>
      <name val="Arial"/>
      <family val="2"/>
      <charset val="1"/>
    </font>
    <font>
      <b val="true"/>
      <sz val="20"/>
      <color theme="0"/>
      <name val="Arial"/>
      <family val="2"/>
      <charset val="1"/>
    </font>
    <font>
      <b val="true"/>
      <sz val="12"/>
      <color rgb="FF000000"/>
      <name val="Arial"/>
      <family val="2"/>
      <charset val="1"/>
    </font>
    <font>
      <b val="true"/>
      <sz val="12"/>
      <color theme="1"/>
      <name val="Arial"/>
      <family val="2"/>
      <charset val="1"/>
    </font>
    <font>
      <sz val="12"/>
      <color rgb="FF000000"/>
      <name val="Arial"/>
      <family val="2"/>
      <charset val="1"/>
    </font>
    <font>
      <sz val="12"/>
      <color theme="0"/>
      <name val="Arial"/>
      <family val="2"/>
      <charset val="1"/>
    </font>
    <font>
      <b val="true"/>
      <sz val="12"/>
      <color theme="1"/>
      <name val="Aptos Narrow"/>
      <family val="2"/>
      <charset val="1"/>
    </font>
    <font>
      <sz val="12"/>
      <color theme="1"/>
      <name val="Aptos Narrow"/>
      <family val="2"/>
      <charset val="1"/>
    </font>
    <font>
      <b val="true"/>
      <sz val="12"/>
      <color rgb="FFFFFFFF"/>
      <name val="Arial"/>
      <family val="2"/>
      <charset val="1"/>
    </font>
    <font>
      <u val="single"/>
      <sz val="12"/>
      <color theme="10"/>
      <name val="Arial"/>
      <family val="2"/>
      <charset val="1"/>
    </font>
    <font>
      <b val="true"/>
      <sz val="12"/>
      <color theme="0"/>
      <name val="Aptos Narrow"/>
      <family val="2"/>
      <charset val="1"/>
    </font>
    <font>
      <b val="true"/>
      <sz val="11"/>
      <name val="Montserrat"/>
      <family val="0"/>
      <charset val="1"/>
    </font>
    <font>
      <b val="true"/>
      <i val="true"/>
      <sz val="11"/>
      <name val="Montserrat"/>
      <family val="0"/>
      <charset val="1"/>
    </font>
    <font>
      <sz val="11"/>
      <color rgb="FF00B050"/>
      <name val="Aptos Narrow"/>
      <family val="2"/>
      <charset val="1"/>
    </font>
    <font>
      <sz val="11"/>
      <color rgb="FFFF0000"/>
      <name val="Aptos Narrow"/>
      <family val="2"/>
      <charset val="1"/>
    </font>
    <font>
      <b val="true"/>
      <sz val="14"/>
      <color rgb="FFFFFFFF"/>
      <name val="Aptos Narrow"/>
      <family val="2"/>
    </font>
    <font>
      <sz val="9"/>
      <color rgb="FFFFFFFF"/>
      <name val="Aptos Narrow"/>
      <family val="2"/>
    </font>
    <font>
      <sz val="11"/>
      <name val="Times New Roman"/>
      <family val="1"/>
    </font>
    <font>
      <b val="true"/>
      <sz val="16"/>
      <color rgb="FFFFFFFF"/>
      <name val="Aptos Narrow"/>
      <family val="2"/>
    </font>
    <font>
      <sz val="12"/>
      <color theme="0"/>
      <name val="Aptos Display"/>
      <family val="0"/>
    </font>
    <font>
      <sz val="20"/>
      <color theme="0"/>
      <name val="Aptos Narrow"/>
      <family val="0"/>
    </font>
    <font>
      <sz val="14"/>
      <color theme="0"/>
      <name val="Aptos Narrow"/>
      <family val="0"/>
    </font>
  </fonts>
  <fills count="15">
    <fill>
      <patternFill patternType="none"/>
    </fill>
    <fill>
      <patternFill patternType="gray125"/>
    </fill>
    <fill>
      <patternFill patternType="solid">
        <fgColor rgb="FFFFFF00"/>
        <bgColor rgb="FFFF9900"/>
      </patternFill>
    </fill>
    <fill>
      <patternFill patternType="solid">
        <fgColor rgb="FF1640D6"/>
        <bgColor rgb="FF135979"/>
      </patternFill>
    </fill>
    <fill>
      <patternFill patternType="solid">
        <fgColor theme="0" tint="-0.25"/>
        <bgColor rgb="FFB6BFC8"/>
      </patternFill>
    </fill>
    <fill>
      <patternFill patternType="solid">
        <fgColor theme="0" tint="-0.15"/>
        <bgColor rgb="FFD3D8DD"/>
      </patternFill>
    </fill>
    <fill>
      <patternFill patternType="solid">
        <fgColor theme="0"/>
        <bgColor rgb="FFD9D9D9"/>
      </patternFill>
    </fill>
    <fill>
      <patternFill patternType="solid">
        <fgColor theme="3" tint="0.4999"/>
        <bgColor rgb="FF4A86E8"/>
      </patternFill>
    </fill>
    <fill>
      <patternFill patternType="solid">
        <fgColor theme="4" tint="0.5999"/>
        <bgColor rgb="FFB2BCC6"/>
      </patternFill>
    </fill>
    <fill>
      <patternFill patternType="solid">
        <fgColor rgb="FF4A86E8"/>
        <bgColor rgb="FF4E95D9"/>
      </patternFill>
    </fill>
    <fill>
      <patternFill patternType="solid">
        <fgColor rgb="FFFF9900"/>
        <bgColor rgb="FFAEAEAE"/>
      </patternFill>
    </fill>
    <fill>
      <patternFill patternType="solid">
        <fgColor theme="1"/>
        <bgColor rgb="FF000080"/>
      </patternFill>
    </fill>
    <fill>
      <patternFill patternType="solid">
        <fgColor theme="2" tint="-0.25"/>
        <bgColor rgb="FFA1AEBA"/>
      </patternFill>
    </fill>
    <fill>
      <patternFill patternType="solid">
        <fgColor theme="1" tint="0.3499"/>
        <bgColor rgb="FF434343"/>
      </patternFill>
    </fill>
    <fill>
      <patternFill patternType="solid">
        <fgColor theme="2" tint="-0.5"/>
        <bgColor rgb="FF668298"/>
      </patternFill>
    </fill>
  </fills>
  <borders count="45">
    <border diagonalUp="false" diagonalDown="false">
      <left/>
      <right/>
      <top/>
      <bottom/>
      <diagonal/>
    </border>
    <border diagonalUp="false" diagonalDown="false">
      <left/>
      <right/>
      <top style="thin">
        <color theme="7"/>
      </top>
      <bottom/>
      <diagonal/>
    </border>
    <border diagonalUp="false" diagonalDown="false">
      <left style="thin"/>
      <right style="thin">
        <color rgb="FFCCCCCC"/>
      </right>
      <top style="thin"/>
      <bottom/>
      <diagonal/>
    </border>
    <border diagonalUp="false" diagonalDown="false">
      <left style="thin">
        <color rgb="FFCCCCCC"/>
      </left>
      <right style="thin">
        <color rgb="FFCCCCCC"/>
      </right>
      <top style="thin"/>
      <bottom/>
      <diagonal/>
    </border>
    <border diagonalUp="false" diagonalDown="false">
      <left style="thin">
        <color rgb="FFCCCCCC"/>
      </left>
      <right style="thin"/>
      <top style="thin"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/>
      <right/>
      <top/>
      <bottom style="thick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medium"/>
      <top/>
      <bottom/>
      <diagonal/>
    </border>
    <border diagonalUp="false" diagonalDown="false">
      <left/>
      <right style="medium"/>
      <top/>
      <bottom style="thin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/>
      <right style="medium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/>
      <right/>
      <top/>
      <bottom style="medium">
        <color rgb="FFB7B7B7"/>
      </bottom>
      <diagonal/>
    </border>
    <border diagonalUp="false" diagonalDown="false">
      <left style="medium">
        <color rgb="FFB7B7B7"/>
      </left>
      <right style="medium">
        <color rgb="FFB7B7B7"/>
      </right>
      <top style="medium">
        <color rgb="FFB7B7B7"/>
      </top>
      <bottom style="medium">
        <color rgb="FFB7B7B7"/>
      </bottom>
      <diagonal/>
    </border>
    <border diagonalUp="false" diagonalDown="false">
      <left style="medium">
        <color rgb="FFCCCCCC"/>
      </left>
      <right style="medium">
        <color rgb="FFB7B7B7"/>
      </right>
      <top style="medium">
        <color rgb="FFB7B7B7"/>
      </top>
      <bottom style="medium">
        <color rgb="FFB7B7B7"/>
      </bottom>
      <diagonal/>
    </border>
    <border diagonalUp="false" diagonalDown="false">
      <left/>
      <right style="thin"/>
      <top/>
      <bottom/>
      <diagonal/>
    </border>
    <border diagonalUp="false" diagonalDown="false">
      <left/>
      <right style="thin">
        <color theme="0" tint="-0.15"/>
      </right>
      <top/>
      <bottom/>
      <diagonal/>
    </border>
  </borders>
  <cellStyleXfs count="28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69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17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5" fillId="0" borderId="0" applyFont="true" applyBorder="false" applyAlignment="true" applyProtection="false">
      <alignment horizontal="left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1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" fillId="0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true" indent="0" shrinkToFit="false"/>
      <protection locked="true" hidden="false"/>
    </xf>
    <xf numFmtId="164" fontId="7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0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7" fontId="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8" fontId="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7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2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9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9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9" fillId="2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9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24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25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7" fontId="0" fillId="0" borderId="9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25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7" fontId="0" fillId="0" borderId="11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25" applyFont="false" applyBorder="true" applyAlignment="true" applyProtection="false">
      <alignment horizontal="left" vertical="bottom" textRotation="0" wrapText="false" indent="1" shrinkToFit="false"/>
      <protection locked="true" hidden="false"/>
    </xf>
    <xf numFmtId="164" fontId="0" fillId="0" borderId="10" xfId="25" applyFont="false" applyBorder="true" applyAlignment="true" applyProtection="false">
      <alignment horizontal="left" vertical="bottom" textRotation="0" wrapText="false" indent="1" shrinkToFit="false"/>
      <protection locked="true" hidden="false"/>
    </xf>
    <xf numFmtId="164" fontId="0" fillId="0" borderId="12" xfId="25" applyFont="false" applyBorder="true" applyAlignment="true" applyProtection="false">
      <alignment horizontal="left" vertical="bottom" textRotation="0" wrapText="false" indent="1" shrinkToFit="false"/>
      <protection locked="true" hidden="false"/>
    </xf>
    <xf numFmtId="167" fontId="0" fillId="0" borderId="13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4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7" fontId="5" fillId="0" borderId="15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1" shrinkToFit="false"/>
      <protection locked="true" hidden="false"/>
    </xf>
    <xf numFmtId="164" fontId="12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2" fontId="13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5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5" fontId="14" fillId="3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5" fillId="3" borderId="1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3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3" borderId="1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3" borderId="2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3" borderId="2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2" borderId="1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19" fillId="2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19" fillId="2" borderId="2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18" fillId="2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8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73" fontId="18" fillId="0" borderId="2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3" fontId="20" fillId="0" borderId="2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20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20" fillId="0" borderId="2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73" fontId="15" fillId="3" borderId="2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3" fontId="21" fillId="3" borderId="2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21" fillId="3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21" fillId="3" borderId="2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8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76" fontId="15" fillId="3" borderId="2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21" fillId="3" borderId="2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21" fillId="3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21" fillId="3" borderId="2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8" fillId="0" borderId="2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3" fontId="8" fillId="0" borderId="2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8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75" fontId="8" fillId="0" borderId="2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20" fillId="6" borderId="2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18" fillId="0" borderId="2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7" fontId="8" fillId="0" borderId="2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20" fillId="6" borderId="2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21" fillId="6" borderId="2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8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15" fillId="3" borderId="2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21" fillId="3" borderId="2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5" fillId="3" borderId="2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1" fillId="3" borderId="2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0" fillId="6" borderId="2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8" fillId="0" borderId="2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21" fillId="3" borderId="2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1" fillId="3" borderId="2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1" fillId="3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2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2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2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0" fillId="6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7" fillId="7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3" borderId="3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21" fillId="3" borderId="3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21" fillId="3" borderId="3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1" fillId="3" borderId="3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1" fillId="3" borderId="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9" fillId="0" borderId="2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8" fontId="8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2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5" fillId="3" borderId="2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21" fillId="3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3" borderId="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1" fillId="3" borderId="2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8" fillId="0" borderId="2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2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21" fillId="3" borderId="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4" fontId="8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8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8" fontId="8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8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2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9" fontId="20" fillId="0" borderId="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0" fillId="0" borderId="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4" fontId="8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21" fillId="3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3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3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8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0" borderId="3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3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3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3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8" fillId="0" borderId="1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2" fillId="8" borderId="3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9" fontId="22" fillId="2" borderId="3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8" borderId="3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8" borderId="3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8" borderId="3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2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9" fontId="23" fillId="0" borderId="2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9" fontId="23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29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9" fontId="23" fillId="0" borderId="2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2" borderId="3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22" fillId="2" borderId="3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22" fillId="2" borderId="3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9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1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7" fontId="0" fillId="0" borderId="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0" fillId="0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0" fillId="0" borderId="5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80" fontId="0" fillId="0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71" fontId="8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5" fontId="8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7" fontId="8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1" fontId="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7" fontId="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8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71" fontId="25" fillId="0" borderId="0" xfId="21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1" fontId="25" fillId="0" borderId="0" xfId="2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1" fontId="4" fillId="0" borderId="0" xfId="2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top" textRotation="0" wrapText="false" indent="0" shrinkToFit="false"/>
      <protection locked="true" hidden="false"/>
    </xf>
    <xf numFmtId="164" fontId="26" fillId="11" borderId="4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12" borderId="4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7" fillId="12" borderId="4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8" fillId="12" borderId="4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0" fillId="0" borderId="0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11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5" fillId="1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29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3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4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3" borderId="4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14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Hyperlink 1" xfId="21"/>
    <cellStyle name="Esquina de la tabla dinámica" xfId="22"/>
    <cellStyle name="Valor de la tabla dinámica" xfId="23"/>
    <cellStyle name="Campo de la tabla dinámica" xfId="24"/>
    <cellStyle name="Categoría de la tabla dinámica" xfId="25"/>
    <cellStyle name="Título de la tabla dinámica" xfId="26"/>
    <cellStyle name="Resultado de la tabla dinámica" xfId="27"/>
    <cellStyle name="*unknown*" xfId="20" builtinId="8"/>
  </cellStyles>
  <dxfs count="8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434343"/>
          <bgColor rgb="FF000000"/>
        </patternFill>
      </fill>
    </dxf>
    <dxf>
      <fill>
        <patternFill patternType="solid">
          <fgColor rgb="FF467886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ont>
        <color rgb="FF00B050"/>
      </font>
    </dxf>
    <dxf>
      <font>
        <color rgb="FFFF0000"/>
      </font>
      <fill>
        <patternFill/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B4BDC7"/>
      <rgbColor rgb="FF800000"/>
      <rgbColor rgb="FF00B050"/>
      <rgbColor rgb="FF000080"/>
      <rgbColor rgb="FF668298"/>
      <rgbColor rgb="FF800080"/>
      <rgbColor rgb="FF156082"/>
      <rgbColor rgb="FFBFBFBF"/>
      <rgbColor rgb="FF747474"/>
      <rgbColor rgb="FF9BA9B6"/>
      <rgbColor rgb="FF595959"/>
      <rgbColor rgb="FFC9CFD6"/>
      <rgbColor rgb="FFD3D8DD"/>
      <rgbColor rgb="FF660066"/>
      <rgbColor rgb="FFA1AEBA"/>
      <rgbColor rgb="FF135979"/>
      <rgbColor rgb="FFCCD2D8"/>
      <rgbColor rgb="FF000080"/>
      <rgbColor rgb="FFFF00FF"/>
      <rgbColor rgb="FFBCC5CD"/>
      <rgbColor rgb="FFB6BFC8"/>
      <rgbColor rgb="FF800080"/>
      <rgbColor rgb="FF800000"/>
      <rgbColor rgb="FF145D7D"/>
      <rgbColor rgb="FF0000FF"/>
      <rgbColor rgb="FF0F9ED5"/>
      <rgbColor rgb="FFD0D6DB"/>
      <rgbColor rgb="FFD9D9D9"/>
      <rgbColor rgb="FFC4CBD2"/>
      <rgbColor rgb="FF83CBEB"/>
      <rgbColor rgb="FFAEAEAE"/>
      <rgbColor rgb="FFB7B7B7"/>
      <rgbColor rgb="FFCCCCCC"/>
      <rgbColor rgb="FF4A86E8"/>
      <rgbColor rgb="FF4E95D9"/>
      <rgbColor rgb="FFB2BCC6"/>
      <rgbColor rgb="FFC0C7CF"/>
      <rgbColor rgb="FFFF9900"/>
      <rgbColor rgb="FF8799A9"/>
      <rgbColor rgb="FF4C728D"/>
      <rgbColor rgb="FF8C9DAC"/>
      <rgbColor rgb="FF0F455D"/>
      <rgbColor rgb="FF467886"/>
      <rgbColor rgb="FF114F6B"/>
      <rgbColor rgb="FF125573"/>
      <rgbColor rgb="FF7C91A3"/>
      <rgbColor rgb="FF768DA0"/>
      <rgbColor rgb="FF1640D6"/>
      <rgbColor rgb="FF43434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sharedStrings" Target="sharedStrings.xml"/><Relationship Id="rId16" Type="http://schemas.openxmlformats.org/officeDocument/2006/relationships/pivotCacheDefinition" Target="pivotCache/pivotCacheDefinition1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pt-BR" sz="1400" spc="-1" strike="noStrike">
                <a:solidFill>
                  <a:srgbClr val="ffffff"/>
                </a:solidFill>
                <a:latin typeface="Aptos Narrow"/>
              </a:defRPr>
            </a:pPr>
            <a:r>
              <a:rPr b="1" lang="pt-BR" sz="1400" spc="-1" strike="noStrike">
                <a:solidFill>
                  <a:srgbClr val="ffffff"/>
                </a:solidFill>
                <a:latin typeface="Aptos Narrow"/>
              </a:rPr>
              <a:t>Receita por Serviço</a:t>
            </a:r>
          </a:p>
        </c:rich>
      </c:tx>
      <c:layout>
        <c:manualLayout>
          <c:xMode val="edge"/>
          <c:yMode val="edge"/>
          <c:x val="0.017677439965923"/>
          <c:y val="0.0277505467159339"/>
        </c:manualLayout>
      </c:layout>
      <c:overlay val="0"/>
      <c:spPr>
        <a:noFill/>
        <a:ln w="0"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tx>
            <c:strRef>
              <c:f>'ANALISE ENTRADAS'!$F$4</c:f>
              <c:strCache>
                <c:ptCount val="1"/>
                <c:pt idx="0">
                  <c:v>Soma de VALOR</c:v>
                </c:pt>
              </c:strCache>
            </c:strRef>
          </c:tx>
          <c:spPr>
            <a:solidFill>
              <a:srgbClr val="1640d6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Aptos Narrow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'ANALISE ENTRADAS'!$E$5:$E$29</c:f>
              <c:strCache>
                <c:ptCount val="25"/>
                <c:pt idx="0">
                  <c:v>CAMB. END.</c:v>
                </c:pt>
                <c:pt idx="1">
                  <c:v>CAMB. ENDER.</c:v>
                </c:pt>
                <c:pt idx="2">
                  <c:v>CPF</c:v>
                </c:pt>
                <c:pt idx="3">
                  <c:v>DES. REF.</c:v>
                </c:pt>
                <c:pt idx="4">
                  <c:v>PDF ÚNICO</c:v>
                </c:pt>
                <c:pt idx="5">
                  <c:v>SISCONARE</c:v>
                </c:pt>
                <c:pt idx="6">
                  <c:v>CURRÍCULO</c:v>
                </c:pt>
                <c:pt idx="7">
                  <c:v>DILIGÊNCIA</c:v>
                </c:pt>
                <c:pt idx="8">
                  <c:v>CERTIDÃO CONSULAR</c:v>
                </c:pt>
                <c:pt idx="9">
                  <c:v>RENOVAR X JATAÍ</c:v>
                </c:pt>
                <c:pt idx="10">
                  <c:v>TRADUCCIÓN</c:v>
                </c:pt>
                <c:pt idx="11">
                  <c:v>CITA CONSULADO</c:v>
                </c:pt>
                <c:pt idx="12">
                  <c:v>RES. PMT.</c:v>
                </c:pt>
                <c:pt idx="13">
                  <c:v>VISA REU. FAM.</c:v>
                </c:pt>
                <c:pt idx="14">
                  <c:v>2DA VIA PROTOCOLO</c:v>
                </c:pt>
                <c:pt idx="15">
                  <c:v>AG. PF.</c:v>
                </c:pt>
                <c:pt idx="16">
                  <c:v>COMUNICACIÓN VIAJE</c:v>
                </c:pt>
                <c:pt idx="17">
                  <c:v>DESCONOCIDO</c:v>
                </c:pt>
                <c:pt idx="18">
                  <c:v>TRAD. CNH</c:v>
                </c:pt>
                <c:pt idx="19">
                  <c:v>RECUP. SISCONARE</c:v>
                </c:pt>
                <c:pt idx="20">
                  <c:v>PASAPORTE BRASIL</c:v>
                </c:pt>
                <c:pt idx="21">
                  <c:v>REN. PAS. CUB.</c:v>
                </c:pt>
                <c:pt idx="22">
                  <c:v>CNH X FLORIPA</c:v>
                </c:pt>
                <c:pt idx="23">
                  <c:v>PODER NOTARIAL</c:v>
                </c:pt>
                <c:pt idx="24">
                  <c:v>Total Resultado</c:v>
                </c:pt>
              </c:strCache>
            </c:strRef>
          </c:cat>
          <c:val>
            <c:numRef>
              <c:f>'ANALISE ENTRADAS'!$F$5:$F$29</c:f>
              <c:numCache>
                <c:formatCode>"R$ "#,##0.00</c:formatCode>
                <c:ptCount val="25"/>
                <c:pt idx="0">
                  <c:v>7115</c:v>
                </c:pt>
                <c:pt idx="1">
                  <c:v>245</c:v>
                </c:pt>
                <c:pt idx="2">
                  <c:v>1343</c:v>
                </c:pt>
                <c:pt idx="3">
                  <c:v>4503</c:v>
                </c:pt>
                <c:pt idx="4">
                  <c:v>9299</c:v>
                </c:pt>
                <c:pt idx="5">
                  <c:v>4958</c:v>
                </c:pt>
                <c:pt idx="6">
                  <c:v>60</c:v>
                </c:pt>
                <c:pt idx="7">
                  <c:v>180</c:v>
                </c:pt>
                <c:pt idx="8">
                  <c:v>1900</c:v>
                </c:pt>
                <c:pt idx="9">
                  <c:v>9097</c:v>
                </c:pt>
                <c:pt idx="10">
                  <c:v>7630</c:v>
                </c:pt>
                <c:pt idx="11">
                  <c:v>2220</c:v>
                </c:pt>
                <c:pt idx="12">
                  <c:v>12295</c:v>
                </c:pt>
                <c:pt idx="13">
                  <c:v>9800</c:v>
                </c:pt>
                <c:pt idx="14">
                  <c:v>60</c:v>
                </c:pt>
                <c:pt idx="15">
                  <c:v>16233</c:v>
                </c:pt>
                <c:pt idx="16">
                  <c:v>197</c:v>
                </c:pt>
                <c:pt idx="17">
                  <c:v>443</c:v>
                </c:pt>
                <c:pt idx="18">
                  <c:v>9501</c:v>
                </c:pt>
                <c:pt idx="19">
                  <c:v>480</c:v>
                </c:pt>
                <c:pt idx="20">
                  <c:v>150</c:v>
                </c:pt>
                <c:pt idx="21">
                  <c:v>1300</c:v>
                </c:pt>
                <c:pt idx="22">
                  <c:v>400</c:v>
                </c:pt>
                <c:pt idx="23">
                  <c:v>900</c:v>
                </c:pt>
                <c:pt idx="24">
                  <c:v>100309</c:v>
                </c:pt>
              </c:numCache>
            </c:numRef>
          </c:val>
        </c:ser>
        <c:gapWidth val="182"/>
        <c:overlap val="0"/>
        <c:axId val="53508684"/>
        <c:axId val="28556738"/>
      </c:barChart>
      <c:catAx>
        <c:axId val="535086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ffffff"/>
                </a:solidFill>
                <a:latin typeface="Aptos Narrow"/>
              </a:defRPr>
            </a:pPr>
          </a:p>
        </c:txPr>
        <c:crossAx val="28556738"/>
        <c:crosses val="autoZero"/>
        <c:auto val="1"/>
        <c:lblAlgn val="ctr"/>
        <c:lblOffset val="100"/>
        <c:noMultiLvlLbl val="0"/>
      </c:catAx>
      <c:valAx>
        <c:axId val="28556738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_(&quot;R$&quot;* #,##0.00_);_(&quot;R$&quot;* \(#,##0.00\);_(&quot;R$&quot;* \-??_);_(@_)" sourceLinked="0"/>
        <c:majorTickMark val="none"/>
        <c:minorTickMark val="none"/>
        <c:tickLblPos val="nextTo"/>
        <c:spPr>
          <a:ln w="1260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ffffff"/>
                </a:solidFill>
                <a:latin typeface="Aptos Narrow"/>
              </a:defRPr>
            </a:pPr>
          </a:p>
        </c:txPr>
        <c:crossAx val="53508684"/>
        <c:crosses val="autoZero"/>
        <c:crossBetween val="between"/>
        <c:majorUnit val="200"/>
      </c:valAx>
      <c:spPr>
        <a:noFill/>
        <a:ln w="0">
          <a:noFill/>
        </a:ln>
      </c:spPr>
    </c:plotArea>
    <c:plotVisOnly val="1"/>
    <c:dispBlanksAs val="gap"/>
  </c:chart>
  <c:spPr>
    <a:noFill/>
    <a:ln w="9360"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pt-BR" sz="1400" spc="-1" strike="noStrike">
                <a:solidFill>
                  <a:srgbClr val="ffffff"/>
                </a:solidFill>
                <a:latin typeface="Aptos Narrow"/>
              </a:defRPr>
            </a:pPr>
            <a:r>
              <a:rPr b="1" lang="pt-BR" sz="1400" spc="-1" strike="noStrike">
                <a:solidFill>
                  <a:srgbClr val="ffffff"/>
                </a:solidFill>
                <a:latin typeface="Aptos Narrow"/>
              </a:rPr>
              <a:t>Receitas Totais</a:t>
            </a:r>
          </a:p>
        </c:rich>
      </c:tx>
      <c:layout>
        <c:manualLayout>
          <c:xMode val="edge"/>
          <c:yMode val="edge"/>
          <c:x val="0.025752001731227"/>
          <c:y val="0.0277485533929511"/>
        </c:manualLayout>
      </c:layout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'ANALISE ENTRADAS'!$B$15</c:f>
              <c:strCache>
                <c:ptCount val="1"/>
                <c:pt idx="0">
                  <c:v>Soma de VALOR</c:v>
                </c:pt>
              </c:strCache>
            </c:strRef>
          </c:tx>
          <c:spPr>
            <a:solidFill>
              <a:srgbClr val="1640d6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Aptos Narrow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'ANALISE ENTRADAS'!$A$16:$A$22</c:f>
              <c:strCache>
                <c:ptCount val="7"/>
                <c:pt idx="0">
                  <c:v>2026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Total Resultado</c:v>
                </c:pt>
              </c:strCache>
            </c:strRef>
          </c:cat>
          <c:val>
            <c:numRef>
              <c:f>'ANALISE ENTRADAS'!$B$16:$B$22</c:f>
              <c:numCache>
                <c:formatCode>"R$ "#,##0.00</c:formatCode>
                <c:ptCount val="7"/>
                <c:pt idx="0">
                  <c:v>310266.01</c:v>
                </c:pt>
                <c:pt idx="1">
                  <c:v>60086.51</c:v>
                </c:pt>
                <c:pt idx="2">
                  <c:v>61156</c:v>
                </c:pt>
                <c:pt idx="3">
                  <c:v>87179.5</c:v>
                </c:pt>
                <c:pt idx="4">
                  <c:v>100309</c:v>
                </c:pt>
                <c:pt idx="5">
                  <c:v>1535</c:v>
                </c:pt>
                <c:pt idx="6">
                  <c:v>310266.01</c:v>
                </c:pt>
              </c:numCache>
            </c:numRef>
          </c:val>
        </c:ser>
        <c:gapWidth val="219"/>
        <c:overlap val="-27"/>
        <c:axId val="26532464"/>
        <c:axId val="59022263"/>
      </c:barChart>
      <c:catAx>
        <c:axId val="265324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ffffff"/>
                </a:solidFill>
                <a:latin typeface="Aptos Narrow"/>
              </a:defRPr>
            </a:pPr>
          </a:p>
        </c:txPr>
        <c:crossAx val="59022263"/>
        <c:crosses val="autoZero"/>
        <c:auto val="1"/>
        <c:lblAlgn val="ctr"/>
        <c:lblOffset val="100"/>
        <c:noMultiLvlLbl val="0"/>
      </c:catAx>
      <c:valAx>
        <c:axId val="59022263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_(&quot;R$&quot;* #,##0.00_);_(&quot;R$&quot;* \(#,##0.00\);_(&quot;R$&quot;* \-??_);_(@_)" sourceLinked="0"/>
        <c:majorTickMark val="none"/>
        <c:minorTickMark val="none"/>
        <c:tickLblPos val="nextTo"/>
        <c:spPr>
          <a:ln w="1260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ffffff"/>
                </a:solidFill>
                <a:latin typeface="Aptos Narrow"/>
              </a:defRPr>
            </a:pPr>
          </a:p>
        </c:txPr>
        <c:crossAx val="26532464"/>
        <c:crosses val="autoZero"/>
        <c:crossBetween val="between"/>
        <c:majorUnit val="500"/>
      </c:valAx>
      <c:spPr>
        <a:noFill/>
        <a:ln w="0">
          <a:noFill/>
        </a:ln>
      </c:spPr>
    </c:plotArea>
    <c:plotVisOnly val="1"/>
    <c:dispBlanksAs val="gap"/>
  </c:chart>
  <c:spPr>
    <a:noFill/>
    <a:ln w="936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pt-BR" sz="1400" spc="-1" strike="noStrike">
                <a:solidFill>
                  <a:srgbClr val="ffffff"/>
                </a:solidFill>
                <a:latin typeface="Aptos Narrow"/>
              </a:defRPr>
            </a:pPr>
            <a:r>
              <a:rPr b="1" lang="pt-BR" sz="1400" spc="-1" strike="noStrike">
                <a:solidFill>
                  <a:srgbClr val="ffffff"/>
                </a:solidFill>
                <a:latin typeface="Aptos Narrow"/>
              </a:rPr>
              <a:t>Evolução da Rentabilidade</a:t>
            </a:r>
          </a:p>
        </c:rich>
      </c:tx>
      <c:layout>
        <c:manualLayout>
          <c:xMode val="edge"/>
          <c:yMode val="edge"/>
          <c:x val="0.0170091027308192"/>
          <c:y val="0.013904250276505"/>
        </c:manualLayout>
      </c:layout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spPr>
            <a:solidFill>
              <a:srgbClr val="1640d6"/>
            </a:solidFill>
            <a:ln cap="sq" w="25560">
              <a:solidFill>
                <a:srgbClr val="1640d6"/>
              </a:solidFill>
              <a:round/>
            </a:ln>
          </c:spPr>
          <c:marker>
            <c:symbol val="diamond"/>
            <c:size val="6"/>
            <c:spPr>
              <a:solidFill>
                <a:srgbClr val="1640d6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Aptos Narrow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DRE!$C$7:$N$7</c:f>
              <c:numCache>
                <c:formatCode>mmm\-yy</c:formatCode>
                <c:ptCount val="12"/>
                <c:pt idx="0">
                  <c:v>ene-26</c:v>
                </c:pt>
                <c:pt idx="1">
                  <c:v>feb-26</c:v>
                </c:pt>
                <c:pt idx="2">
                  <c:v>mar-26</c:v>
                </c:pt>
                <c:pt idx="3">
                  <c:v>abr-26</c:v>
                </c:pt>
                <c:pt idx="4">
                  <c:v>may-26</c:v>
                </c:pt>
                <c:pt idx="5">
                  <c:v>jun-26</c:v>
                </c:pt>
                <c:pt idx="6">
                  <c:v>jul-26</c:v>
                </c:pt>
                <c:pt idx="7">
                  <c:v>ago-26</c:v>
                </c:pt>
                <c:pt idx="8">
                  <c:v>sep-26</c:v>
                </c:pt>
                <c:pt idx="9">
                  <c:v>oct-26</c:v>
                </c:pt>
                <c:pt idx="10">
                  <c:v>nov-26</c:v>
                </c:pt>
                <c:pt idx="11">
                  <c:v>dic-26</c:v>
                </c:pt>
              </c:numCache>
            </c:numRef>
          </c:cat>
          <c:val>
            <c:numRef>
              <c:f>DRE!$C$52:$N$52</c:f>
              <c:numCache>
                <c:formatCode>0.00\ %</c:formatCode>
                <c:ptCount val="12"/>
                <c:pt idx="0">
                  <c:v>0.407330364169928</c:v>
                </c:pt>
                <c:pt idx="1">
                  <c:v>0.352540388514618</c:v>
                </c:pt>
                <c:pt idx="2">
                  <c:v>0.457543863679438</c:v>
                </c:pt>
                <c:pt idx="3">
                  <c:v>0.404683839325524</c:v>
                </c:pt>
                <c:pt idx="4">
                  <c:v>1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57837625"/>
        <c:axId val="66016953"/>
      </c:lineChart>
      <c:dateAx>
        <c:axId val="57837625"/>
        <c:scaling>
          <c:orientation val="minMax"/>
        </c:scaling>
        <c:delete val="0"/>
        <c:axPos val="b"/>
        <c:numFmt formatCode="mmm\-yy" sourceLinked="0"/>
        <c:majorTickMark val="none"/>
        <c:minorTickMark val="none"/>
        <c:tickLblPos val="low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ffffff"/>
                </a:solidFill>
                <a:latin typeface="Aptos Narrow"/>
              </a:defRPr>
            </a:pPr>
          </a:p>
        </c:txPr>
        <c:crossAx val="66016953"/>
        <c:crosses val="autoZero"/>
        <c:auto val="1"/>
        <c:lblOffset val="100"/>
        <c:baseTimeUnit val="months"/>
        <c:noMultiLvlLbl val="0"/>
      </c:dateAx>
      <c:valAx>
        <c:axId val="66016953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.00%" sourceLinked="0"/>
        <c:majorTickMark val="none"/>
        <c:minorTickMark val="none"/>
        <c:tickLblPos val="nextTo"/>
        <c:spPr>
          <a:ln w="1260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ffffff"/>
                </a:solidFill>
                <a:latin typeface="Aptos Narrow"/>
              </a:defRPr>
            </a:pPr>
          </a:p>
        </c:txPr>
        <c:crossAx val="57837625"/>
        <c:crosses val="autoZero"/>
        <c:crossBetween val="between"/>
      </c:valAx>
      <c:spPr>
        <a:noFill/>
        <a:ln w="0">
          <a:noFill/>
        </a:ln>
      </c:spPr>
    </c:plotArea>
    <c:plotVisOnly val="1"/>
    <c:dispBlanksAs val="zero"/>
  </c:chart>
  <c:spPr>
    <a:noFill/>
    <a:ln w="9360"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en-US" sz="1600" spc="-1" strike="noStrike">
                <a:solidFill>
                  <a:srgbClr val="ffffff"/>
                </a:solidFill>
                <a:latin typeface="Aptos Narrow"/>
              </a:defRPr>
            </a:pPr>
            <a:r>
              <a:rPr b="1" lang="en-US" sz="1600" spc="-1" strike="noStrike">
                <a:solidFill>
                  <a:srgbClr val="ffffff"/>
                </a:solidFill>
                <a:latin typeface="Aptos Narrow"/>
              </a:rPr>
              <a:t>Gastos por Categoria</a:t>
            </a:r>
          </a:p>
        </c:rich>
      </c:tx>
      <c:layout>
        <c:manualLayout>
          <c:xMode val="edge"/>
          <c:yMode val="edge"/>
          <c:x val="0.0339751426242869"/>
          <c:y val="0.0278177113283496"/>
        </c:manualLayout>
      </c:layout>
      <c:overlay val="0"/>
      <c:spPr>
        <a:noFill/>
        <a:ln w="0"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tx>
            <c:strRef>
              <c:f>'ANÁLISE SAÍDA'!$C$33</c:f>
              <c:strCache>
                <c:ptCount val="1"/>
                <c:pt idx="0">
                  <c:v>Soma de VALOR</c:v>
                </c:pt>
              </c:strCache>
            </c:strRef>
          </c:tx>
          <c:spPr>
            <a:solidFill>
              <a:srgbClr val="1640d6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ptos Narrow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'ANÁLISE SAÍDA'!$B$34:$B$44</c:f>
              <c:strCache>
                <c:ptCount val="11"/>
                <c:pt idx="0">
                  <c:v>Comissão</c:v>
                </c:pt>
                <c:pt idx="1">
                  <c:v>Estorno</c:v>
                </c:pt>
                <c:pt idx="2">
                  <c:v>Estrutura</c:v>
                </c:pt>
                <c:pt idx="3">
                  <c:v>Impostos</c:v>
                </c:pt>
                <c:pt idx="4">
                  <c:v>Marketing</c:v>
                </c:pt>
                <c:pt idx="5">
                  <c:v>Materiais</c:v>
                </c:pt>
                <c:pt idx="6">
                  <c:v>Pessoal</c:v>
                </c:pt>
                <c:pt idx="7">
                  <c:v>ProLabore</c:v>
                </c:pt>
                <c:pt idx="8">
                  <c:v>Terceiros</c:v>
                </c:pt>
                <c:pt idx="9">
                  <c:v>Softwares</c:v>
                </c:pt>
                <c:pt idx="10">
                  <c:v>Total Geral</c:v>
                </c:pt>
              </c:strCache>
            </c:strRef>
          </c:cat>
          <c:val>
            <c:numRef>
              <c:f>'ANÁLISE SAÍDA'!$C$34:$C$44</c:f>
              <c:numCache>
                <c:formatCode>General</c:formatCode>
                <c:ptCount val="11"/>
                <c:pt idx="0">
                  <c:v>4228</c:v>
                </c:pt>
                <c:pt idx="1">
                  <c:v>830</c:v>
                </c:pt>
                <c:pt idx="2">
                  <c:v>2591</c:v>
                </c:pt>
                <c:pt idx="3">
                  <c:v>3572</c:v>
                </c:pt>
                <c:pt idx="4">
                  <c:v>14455</c:v>
                </c:pt>
                <c:pt idx="5">
                  <c:v>1420</c:v>
                </c:pt>
                <c:pt idx="6">
                  <c:v>10100</c:v>
                </c:pt>
                <c:pt idx="7">
                  <c:v>1443</c:v>
                </c:pt>
                <c:pt idx="8">
                  <c:v>8325</c:v>
                </c:pt>
                <c:pt idx="9">
                  <c:v>265</c:v>
                </c:pt>
                <c:pt idx="10">
                  <c:v>47229</c:v>
                </c:pt>
              </c:numCache>
            </c:numRef>
          </c:val>
        </c:ser>
        <c:gapWidth val="182"/>
        <c:overlap val="0"/>
        <c:axId val="49241601"/>
        <c:axId val="93269028"/>
      </c:barChart>
      <c:catAx>
        <c:axId val="49241601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ffffff"/>
                </a:solidFill>
                <a:latin typeface="Aptos Narrow"/>
              </a:defRPr>
            </a:pPr>
          </a:p>
        </c:txPr>
        <c:crossAx val="93269028"/>
        <c:crosses val="autoZero"/>
        <c:auto val="1"/>
        <c:lblAlgn val="ctr"/>
        <c:lblOffset val="100"/>
        <c:noMultiLvlLbl val="0"/>
      </c:catAx>
      <c:valAx>
        <c:axId val="93269028"/>
        <c:scaling>
          <c:orientation val="minMax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&quot;R$ &quot;#,##0.00" sourceLinked="0"/>
        <c:majorTickMark val="none"/>
        <c:minorTickMark val="none"/>
        <c:tickLblPos val="high"/>
        <c:spPr>
          <a:ln w="1260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ffffff"/>
                </a:solidFill>
                <a:latin typeface="Aptos Narrow"/>
              </a:defRPr>
            </a:pPr>
          </a:p>
        </c:txPr>
        <c:crossAx val="49241601"/>
        <c:crosses val="autoZero"/>
        <c:crossBetween val="between"/>
        <c:majorUnit val="500"/>
      </c:valAx>
      <c:spPr>
        <a:noFill/>
        <a:ln w="0">
          <a:noFill/>
        </a:ln>
      </c:spPr>
    </c:plotArea>
    <c:plotVisOnly val="1"/>
    <c:dispBlanksAs val="gap"/>
  </c:chart>
  <c:spPr>
    <a:noFill/>
    <a:ln w="9360">
      <a:noFill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en-US" sz="1600" spc="-1" strike="noStrike">
                <a:solidFill>
                  <a:srgbClr val="ffffff"/>
                </a:solidFill>
                <a:latin typeface="Aptos Narrow"/>
              </a:defRPr>
            </a:pPr>
            <a:r>
              <a:rPr b="1" lang="en-US" sz="1600" spc="-1" strike="noStrike">
                <a:solidFill>
                  <a:srgbClr val="ffffff"/>
                </a:solidFill>
                <a:latin typeface="Aptos Narrow"/>
              </a:rPr>
              <a:t>Gastos Totais</a:t>
            </a:r>
          </a:p>
        </c:rich>
      </c:tx>
      <c:layout>
        <c:manualLayout>
          <c:xMode val="edge"/>
          <c:yMode val="edge"/>
          <c:x val="0.0341455762392805"/>
          <c:y val="0.027952387321118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0727881196402"/>
          <c:y val="0.185635950247425"/>
          <c:w val="0.798682284040996"/>
          <c:h val="0.6303330212652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'ANÁLISE SAÍDA'!$G$33</c:f>
              <c:strCache>
                <c:ptCount val="1"/>
                <c:pt idx="0">
                  <c:v>Soma de VALOR</c:v>
                </c:pt>
              </c:strCache>
            </c:strRef>
          </c:tx>
          <c:spPr>
            <a:solidFill>
              <a:srgbClr val="1640d6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ptos Narrow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'ANÁLISE SAÍDA'!$F$34:$F$39</c:f>
              <c:strCache>
                <c:ptCount val="6"/>
                <c:pt idx="0">
                  <c:v>2026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Total Geral</c:v>
                </c:pt>
              </c:strCache>
            </c:strRef>
          </c:cat>
          <c:val>
            <c:numRef>
              <c:f>'ANÁLISE SAÍDA'!$G$34:$G$39</c:f>
              <c:numCache>
                <c:formatCode>General</c:formatCode>
                <c:ptCount val="6"/>
                <c:pt idx="0">
                  <c:v>181186</c:v>
                </c:pt>
                <c:pt idx="1">
                  <c:v>35612</c:v>
                </c:pt>
                <c:pt idx="2">
                  <c:v>39596</c:v>
                </c:pt>
                <c:pt idx="3">
                  <c:v>47229</c:v>
                </c:pt>
                <c:pt idx="4">
                  <c:v>58749</c:v>
                </c:pt>
                <c:pt idx="5">
                  <c:v>181186</c:v>
                </c:pt>
              </c:numCache>
            </c:numRef>
          </c:val>
        </c:ser>
        <c:gapWidth val="219"/>
        <c:overlap val="-27"/>
        <c:axId val="7035679"/>
        <c:axId val="8919663"/>
      </c:barChart>
      <c:catAx>
        <c:axId val="703567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ffffff"/>
                </a:solidFill>
                <a:latin typeface="Aptos Narrow"/>
              </a:defRPr>
            </a:pPr>
          </a:p>
        </c:txPr>
        <c:crossAx val="8919663"/>
        <c:crosses val="autoZero"/>
        <c:auto val="1"/>
        <c:lblAlgn val="ctr"/>
        <c:lblOffset val="100"/>
        <c:noMultiLvlLbl val="0"/>
      </c:catAx>
      <c:valAx>
        <c:axId val="8919663"/>
        <c:scaling>
          <c:orientation val="minMax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_(&quot;R$&quot;* #,##0.00_);_(&quot;R$&quot;* \(#,##0.00\);_(&quot;R$&quot;* \-??_);_(@_)" sourceLinked="0"/>
        <c:majorTickMark val="none"/>
        <c:minorTickMark val="none"/>
        <c:tickLblPos val="nextTo"/>
        <c:spPr>
          <a:ln w="1260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ffffff"/>
                </a:solidFill>
                <a:latin typeface="Aptos Narrow"/>
              </a:defRPr>
            </a:pPr>
          </a:p>
        </c:txPr>
        <c:crossAx val="7035679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noFill/>
    <a:ln w="9360">
      <a:noFill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pt-BR" sz="1600" spc="-1" strike="noStrike">
                <a:solidFill>
                  <a:srgbClr val="ffffff"/>
                </a:solidFill>
                <a:latin typeface="Aptos Narrow"/>
              </a:defRPr>
            </a:pPr>
            <a:r>
              <a:rPr b="1" lang="pt-BR" sz="1600" spc="-1" strike="noStrike">
                <a:solidFill>
                  <a:srgbClr val="ffffff"/>
                </a:solidFill>
                <a:latin typeface="Aptos Narrow"/>
              </a:rPr>
              <a:t>Composição do Gasto - Subcategoria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1"/>
        <c:ser>
          <c:idx val="0"/>
          <c:order val="0"/>
          <c:tx>
            <c:strRef>
              <c:f>'ANÁLISE SAÍDA'!$AL$4</c:f>
              <c:strCache>
                <c:ptCount val="1"/>
                <c:pt idx="0">
                  <c:v>GASTOSUB</c:v>
                </c:pt>
              </c:strCache>
            </c:strRef>
          </c:tx>
          <c:spPr>
            <a:solidFill>
              <a:srgbClr val="156082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0f455d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"/>
            <c:spPr>
              <a:solidFill>
                <a:srgbClr val="125573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2"/>
            <c:spPr>
              <a:solidFill>
                <a:srgbClr val="768da0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3"/>
            <c:spPr>
              <a:solidFill>
                <a:srgbClr val="b6bfc8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4"/>
            <c:spPr>
              <a:solidFill>
                <a:srgbClr val="114f6b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5"/>
            <c:spPr>
              <a:solidFill>
                <a:srgbClr val="c0c7cf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6"/>
            <c:spPr>
              <a:solidFill>
                <a:srgbClr val="c0c7cf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7"/>
            <c:spPr>
              <a:solidFill>
                <a:srgbClr val="145d7d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8"/>
            <c:spPr>
              <a:solidFill>
                <a:srgbClr val="135979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9"/>
            <c:spPr>
              <a:solidFill>
                <a:srgbClr val="4c728d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0"/>
            <c:spPr>
              <a:solidFill>
                <a:srgbClr val="668298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1"/>
            <c:spPr>
              <a:solidFill>
                <a:srgbClr val="7c91a3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2"/>
            <c:spPr>
              <a:solidFill>
                <a:srgbClr val="8c9dac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3"/>
            <c:spPr>
              <a:solidFill>
                <a:srgbClr val="b2bcc6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4"/>
            <c:spPr>
              <a:solidFill>
                <a:srgbClr val="8799a9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5"/>
            <c:spPr>
              <a:solidFill>
                <a:srgbClr val="d0d6db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6"/>
            <c:spPr>
              <a:solidFill>
                <a:srgbClr val="9ba9b6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7"/>
            <c:spPr>
              <a:solidFill>
                <a:srgbClr val="a1aeba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8"/>
            <c:spPr>
              <a:solidFill>
                <a:srgbClr val="b4bdc7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9"/>
            <c:spPr>
              <a:solidFill>
                <a:srgbClr val="d3d8dd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20"/>
            <c:spPr>
              <a:solidFill>
                <a:srgbClr val="c9cfd6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21"/>
            <c:spPr>
              <a:solidFill>
                <a:srgbClr val="d0d6db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22"/>
            <c:spPr>
              <a:solidFill>
                <a:srgbClr val="d0d6db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23"/>
            <c:spPr>
              <a:solidFill>
                <a:srgbClr val="bcc5cd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24"/>
            <c:spPr>
              <a:solidFill>
                <a:srgbClr val="c4cbd2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25"/>
            <c:spPr>
              <a:solidFill>
                <a:srgbClr val="ccd2d8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26"/>
            <c:spPr>
              <a:solidFill>
                <a:srgbClr val="d3d8dd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27"/>
            <c:spPr>
              <a:solidFill>
                <a:srgbClr val="d3d8dd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15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16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17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18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19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2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2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22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23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24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25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26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27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ffffff"/>
                      </a:solidFill>
                      <a:latin typeface="Aptos Narrow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900" spc="-1" strike="noStrike">
                    <a:solidFill>
                      <a:srgbClr val="ffffff"/>
                    </a:solidFill>
                    <a:latin typeface="Aptos Narrow"/>
                  </a:defRPr>
                </a:pPr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eparator>
</c:separator>
            <c:showLeaderLines val="1"/>
          </c:dLbls>
          <c:cat>
            <c:strRef>
              <c:f>'ANÁLISE SAÍDA'!$AK$5:$AK$32</c:f>
              <c:strCache>
                <c:ptCount val="28"/>
                <c:pt idx="0">
                  <c:v>Aquisição</c:v>
                </c:pt>
                <c:pt idx="1">
                  <c:v>Condomínio</c:v>
                </c:pt>
                <c:pt idx="2">
                  <c:v>Tradução</c:v>
                </c:pt>
                <c:pt idx="3">
                  <c:v>Eletricidade</c:v>
                </c:pt>
                <c:pt idx="4">
                  <c:v>Papelaria</c:v>
                </c:pt>
                <c:pt idx="5">
                  <c:v>DAS</c:v>
                </c:pt>
                <c:pt idx="6">
                  <c:v>Aluguel</c:v>
                </c:pt>
                <c:pt idx="7">
                  <c:v>Agendamiento</c:v>
                </c:pt>
                <c:pt idx="8">
                  <c:v>Marco</c:v>
                </c:pt>
                <c:pt idx="9">
                  <c:v>Equipamentos</c:v>
                </c:pt>
                <c:pt idx="10">
                  <c:v>Wifi</c:v>
                </c:pt>
                <c:pt idx="11">
                  <c:v>CPF</c:v>
                </c:pt>
                <c:pt idx="12">
                  <c:v>Dominio</c:v>
                </c:pt>
                <c:pt idx="13">
                  <c:v>Otros Serviços</c:v>
                </c:pt>
                <c:pt idx="14">
                  <c:v>Make</c:v>
                </c:pt>
                <c:pt idx="15">
                  <c:v>Meli+</c:v>
                </c:pt>
                <c:pt idx="16">
                  <c:v>Teléfono</c:v>
                </c:pt>
                <c:pt idx="17">
                  <c:v>Refreição</c:v>
                </c:pt>
                <c:pt idx="18">
                  <c:v>Google One</c:v>
                </c:pt>
                <c:pt idx="19">
                  <c:v>Sisconare</c:v>
                </c:pt>
                <c:pt idx="20">
                  <c:v>Canva</c:v>
                </c:pt>
                <c:pt idx="21">
                  <c:v>Widget Kommo</c:v>
                </c:pt>
                <c:pt idx="22">
                  <c:v>Capcut</c:v>
                </c:pt>
                <c:pt idx="23">
                  <c:v>Salário OP</c:v>
                </c:pt>
                <c:pt idx="24">
                  <c:v>Salário AT</c:v>
                </c:pt>
                <c:pt idx="25">
                  <c:v>Comisión AT</c:v>
                </c:pt>
                <c:pt idx="26">
                  <c:v>Comisión OP</c:v>
                </c:pt>
                <c:pt idx="27">
                  <c:v>Total Geral</c:v>
                </c:pt>
              </c:strCache>
            </c:strRef>
          </c:cat>
          <c:val>
            <c:numRef>
              <c:f>'ANÁLISE SAÍDA'!$AL$5:$AL$32</c:f>
              <c:numCache>
                <c:formatCode>_-"R$ "* #,##0.00_-;"-R$ "* #,##0.00_-;_-"R$ "* \-??_-;_-@_-</c:formatCode>
                <c:ptCount val="28"/>
                <c:pt idx="0">
                  <c:v>1554</c:v>
                </c:pt>
                <c:pt idx="1">
                  <c:v>407</c:v>
                </c:pt>
                <c:pt idx="2">
                  <c:v>1950</c:v>
                </c:pt>
                <c:pt idx="3">
                  <c:v>288</c:v>
                </c:pt>
                <c:pt idx="4">
                  <c:v>120</c:v>
                </c:pt>
                <c:pt idx="5">
                  <c:v>3572</c:v>
                </c:pt>
                <c:pt idx="6">
                  <c:v>1615</c:v>
                </c:pt>
                <c:pt idx="7">
                  <c:v>300</c:v>
                </c:pt>
                <c:pt idx="8">
                  <c:v>1443</c:v>
                </c:pt>
                <c:pt idx="9">
                  <c:v>670</c:v>
                </c:pt>
                <c:pt idx="10">
                  <c:v>201</c:v>
                </c:pt>
                <c:pt idx="11">
                  <c:v>60</c:v>
                </c:pt>
                <c:pt idx="12">
                  <c:v>41</c:v>
                </c:pt>
                <c:pt idx="13">
                  <c:v>244</c:v>
                </c:pt>
                <c:pt idx="14">
                  <c:v>58</c:v>
                </c:pt>
                <c:pt idx="15">
                  <c:v>10</c:v>
                </c:pt>
                <c:pt idx="16">
                  <c:v>20</c:v>
                </c:pt>
                <c:pt idx="17">
                  <c:v>187</c:v>
                </c:pt>
                <c:pt idx="18">
                  <c:v>1</c:v>
                </c:pt>
                <c:pt idx="19">
                  <c:v>135</c:v>
                </c:pt>
                <c:pt idx="20">
                  <c:v>35</c:v>
                </c:pt>
                <c:pt idx="21">
                  <c:v>54</c:v>
                </c:pt>
                <c:pt idx="22">
                  <c:v>66</c:v>
                </c:pt>
                <c:pt idx="23">
                  <c:v>1000</c:v>
                </c:pt>
                <c:pt idx="24">
                  <c:v>1500</c:v>
                </c:pt>
                <c:pt idx="25">
                  <c:v>1061</c:v>
                </c:pt>
                <c:pt idx="26">
                  <c:v>1003</c:v>
                </c:pt>
                <c:pt idx="27">
                  <c:v>3572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ffffff"/>
              </a:solidFill>
              <a:latin typeface="Aptos Narrow"/>
            </a:defRPr>
          </a:pPr>
        </a:p>
      </c:txPr>
    </c:legend>
    <c:plotVisOnly val="1"/>
    <c:dispBlanksAs val="gap"/>
  </c:chart>
  <c:spPr>
    <a:noFill/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3.png"/><Relationship Id="rId3" Type="http://schemas.openxmlformats.org/officeDocument/2006/relationships/image" Target="../media/image2.png"/><Relationship Id="rId4" Type="http://schemas.openxmlformats.org/officeDocument/2006/relationships/image" Target="../media/image3.png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<Relationship Id="rId3" Type="http://schemas.openxmlformats.org/officeDocument/2006/relationships/chart" Target="../charts/chart6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20</xdr:col>
      <xdr:colOff>510480</xdr:colOff>
      <xdr:row>0</xdr:row>
      <xdr:rowOff>167760</xdr:rowOff>
    </xdr:from>
    <xdr:to>
      <xdr:col>28</xdr:col>
      <xdr:colOff>43920</xdr:colOff>
      <xdr:row>2</xdr:row>
      <xdr:rowOff>154080</xdr:rowOff>
    </xdr:to>
    <xdr:pic>
      <xdr:nvPicPr>
        <xdr:cNvPr id="0" name="Imagem 1" descr=""/>
        <xdr:cNvPicPr/>
      </xdr:nvPicPr>
      <xdr:blipFill>
        <a:blip r:embed="rId1"/>
        <a:stretch/>
      </xdr:blipFill>
      <xdr:spPr>
        <a:xfrm>
          <a:off x="19832760" y="167760"/>
          <a:ext cx="5035320" cy="34812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297360</xdr:colOff>
      <xdr:row>0</xdr:row>
      <xdr:rowOff>0</xdr:rowOff>
    </xdr:from>
    <xdr:to>
      <xdr:col>1</xdr:col>
      <xdr:colOff>1363680</xdr:colOff>
      <xdr:row>5</xdr:row>
      <xdr:rowOff>55080</xdr:rowOff>
    </xdr:to>
    <xdr:grpSp>
      <xdr:nvGrpSpPr>
        <xdr:cNvPr id="1" name="Agrupar 8"/>
        <xdr:cNvGrpSpPr/>
      </xdr:nvGrpSpPr>
      <xdr:grpSpPr>
        <a:xfrm>
          <a:off x="297360" y="0"/>
          <a:ext cx="1500840" cy="960120"/>
          <a:chOff x="297360" y="0"/>
          <a:chExt cx="1500840" cy="960120"/>
        </a:xfrm>
      </xdr:grpSpPr>
      <xdr:pic>
        <xdr:nvPicPr>
          <xdr:cNvPr id="2" name="Imagem 2" descr=""/>
          <xdr:cNvPicPr/>
        </xdr:nvPicPr>
        <xdr:blipFill>
          <a:blip r:embed="rId1"/>
          <a:stretch/>
        </xdr:blipFill>
        <xdr:spPr>
          <a:xfrm>
            <a:off x="621360" y="0"/>
            <a:ext cx="801360" cy="660600"/>
          </a:xfrm>
          <a:prstGeom prst="rect">
            <a:avLst/>
          </a:prstGeom>
          <a:ln w="0">
            <a:noFill/>
          </a:ln>
        </xdr:spPr>
      </xdr:pic>
      <xdr:pic>
        <xdr:nvPicPr>
          <xdr:cNvPr id="3" name="Imagem 7" descr=""/>
          <xdr:cNvPicPr/>
        </xdr:nvPicPr>
        <xdr:blipFill>
          <a:blip r:embed="rId2"/>
          <a:stretch/>
        </xdr:blipFill>
        <xdr:spPr>
          <a:xfrm>
            <a:off x="297360" y="536760"/>
            <a:ext cx="1500840" cy="423360"/>
          </a:xfrm>
          <a:prstGeom prst="rect">
            <a:avLst/>
          </a:prstGeom>
          <a:ln w="0">
            <a:noFill/>
          </a:ln>
        </xdr:spPr>
      </xdr:pic>
    </xdr:grpSp>
    <xdr:clientData/>
  </xdr:twoCellAnchor>
  <xdr:twoCellAnchor editAs="twoCell">
    <xdr:from>
      <xdr:col>14</xdr:col>
      <xdr:colOff>609480</xdr:colOff>
      <xdr:row>0</xdr:row>
      <xdr:rowOff>0</xdr:rowOff>
    </xdr:from>
    <xdr:to>
      <xdr:col>17</xdr:col>
      <xdr:colOff>91080</xdr:colOff>
      <xdr:row>5</xdr:row>
      <xdr:rowOff>55080</xdr:rowOff>
    </xdr:to>
    <xdr:grpSp>
      <xdr:nvGrpSpPr>
        <xdr:cNvPr id="4" name="Agrupar 9"/>
        <xdr:cNvGrpSpPr/>
      </xdr:nvGrpSpPr>
      <xdr:grpSpPr>
        <a:xfrm>
          <a:off x="16062840" y="0"/>
          <a:ext cx="1893240" cy="960120"/>
          <a:chOff x="16062840" y="0"/>
          <a:chExt cx="1893240" cy="960120"/>
        </a:xfrm>
      </xdr:grpSpPr>
      <xdr:pic>
        <xdr:nvPicPr>
          <xdr:cNvPr id="5" name="Imagem 10" descr=""/>
          <xdr:cNvPicPr/>
        </xdr:nvPicPr>
        <xdr:blipFill>
          <a:blip r:embed="rId3"/>
          <a:stretch/>
        </xdr:blipFill>
        <xdr:spPr>
          <a:xfrm>
            <a:off x="16471800" y="0"/>
            <a:ext cx="1010880" cy="660600"/>
          </a:xfrm>
          <a:prstGeom prst="rect">
            <a:avLst/>
          </a:prstGeom>
          <a:ln w="0">
            <a:noFill/>
          </a:ln>
        </xdr:spPr>
      </xdr:pic>
      <xdr:pic>
        <xdr:nvPicPr>
          <xdr:cNvPr id="6" name="Imagem 11" descr=""/>
          <xdr:cNvPicPr/>
        </xdr:nvPicPr>
        <xdr:blipFill>
          <a:blip r:embed="rId4"/>
          <a:stretch/>
        </xdr:blipFill>
        <xdr:spPr>
          <a:xfrm>
            <a:off x="16062840" y="536760"/>
            <a:ext cx="1893240" cy="423360"/>
          </a:xfrm>
          <a:prstGeom prst="rect">
            <a:avLst/>
          </a:prstGeom>
          <a:ln w="0">
            <a:noFill/>
          </a:ln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15120</xdr:colOff>
      <xdr:row>0</xdr:row>
      <xdr:rowOff>30600</xdr:rowOff>
    </xdr:from>
    <xdr:to>
      <xdr:col>9</xdr:col>
      <xdr:colOff>586440</xdr:colOff>
      <xdr:row>26</xdr:row>
      <xdr:rowOff>99000</xdr:rowOff>
    </xdr:to>
    <xdr:graphicFrame>
      <xdr:nvGraphicFramePr>
        <xdr:cNvPr id="7" name="Gráfico 1"/>
        <xdr:cNvGraphicFramePr/>
      </xdr:nvGraphicFramePr>
      <xdr:xfrm>
        <a:off x="15120" y="30600"/>
        <a:ext cx="6760800" cy="4773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53280</xdr:colOff>
      <xdr:row>0</xdr:row>
      <xdr:rowOff>53280</xdr:rowOff>
    </xdr:from>
    <xdr:to>
      <xdr:col>22</xdr:col>
      <xdr:colOff>441720</xdr:colOff>
      <xdr:row>11</xdr:row>
      <xdr:rowOff>144360</xdr:rowOff>
    </xdr:to>
    <xdr:sp>
      <xdr:nvSpPr>
        <xdr:cNvPr id="8" name=""/>
        <xdr:cNvSpPr/>
      </xdr:nvSpPr>
      <xdr:spPr>
        <a:xfrm>
          <a:off x="14091120" y="53280"/>
          <a:ext cx="1764000" cy="2081880"/>
        </a:xfrm>
        <a:prstGeom prst="rect">
          <a:avLst/>
        </a:prstGeom>
        <a:solidFill>
          <a:srgbClr val="ffffff"/>
        </a:solidFill>
        <a:ln w="1">
          <a:solidFill>
            <a:srgbClr val="008000"/>
          </a:solidFill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r>
            <a:rPr b="0" lang="pt-BR" sz="1100" spc="-1" strike="noStrike">
              <a:latin typeface="Times New Roman"/>
            </a:rPr>
            <a:t>Esta forma representa uma segmentação de dados. Segmentações de dados têm suporte no Excel 2010 ou versões posteriores.</a:t>
          </a:r>
          <a:endParaRPr b="0" lang="es-ES" sz="1100" spc="-1" strike="noStrike">
            <a:latin typeface="Times New Roman"/>
          </a:endParaRPr>
        </a:p>
        <a:p>
          <a:endParaRPr b="0" lang="es-E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pt-BR" sz="1100" spc="-1" strike="noStrike">
              <a:latin typeface="Times New Roman"/>
            </a:rPr>
            <a:t>\Se a forma tiver sido modificada em uma versão anterior do Excel, ou se a pasta de trabalho tiver sido salva no Excel 2003 ou versões anteriores, a segmentação de dados não poderá ser usada.</a:t>
          </a:r>
          <a:endParaRPr b="0" lang="es-E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20</xdr:col>
      <xdr:colOff>53280</xdr:colOff>
      <xdr:row>11</xdr:row>
      <xdr:rowOff>167760</xdr:rowOff>
    </xdr:from>
    <xdr:to>
      <xdr:col>22</xdr:col>
      <xdr:colOff>441720</xdr:colOff>
      <xdr:row>27</xdr:row>
      <xdr:rowOff>121680</xdr:rowOff>
    </xdr:to>
    <xdr:sp>
      <xdr:nvSpPr>
        <xdr:cNvPr id="9" name=""/>
        <xdr:cNvSpPr/>
      </xdr:nvSpPr>
      <xdr:spPr>
        <a:xfrm>
          <a:off x="14091120" y="2158560"/>
          <a:ext cx="1764000" cy="2849400"/>
        </a:xfrm>
        <a:prstGeom prst="rect">
          <a:avLst/>
        </a:prstGeom>
        <a:solidFill>
          <a:srgbClr val="ffffff"/>
        </a:solidFill>
        <a:ln w="1">
          <a:solidFill>
            <a:srgbClr val="008000"/>
          </a:solidFill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r>
            <a:rPr b="0" lang="pt-BR" sz="1100" spc="-1" strike="noStrike">
              <a:latin typeface="Times New Roman"/>
            </a:rPr>
            <a:t>Esta forma representa uma segmentação de dados. Segmentações de dados têm suporte no Excel 2010 ou versões posteriores.</a:t>
          </a:r>
          <a:endParaRPr b="0" lang="es-ES" sz="1100" spc="-1" strike="noStrike">
            <a:latin typeface="Times New Roman"/>
          </a:endParaRPr>
        </a:p>
        <a:p>
          <a:endParaRPr b="0" lang="es-E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pt-BR" sz="1100" spc="-1" strike="noStrike">
              <a:latin typeface="Times New Roman"/>
            </a:rPr>
            <a:t>\Se a forma tiver sido modificada em uma versão anterior do Excel, ou se a pasta de trabalho tiver sido salva no Excel 2003 ou versões anteriores, a segmentação de dados não poderá ser usada.</a:t>
          </a:r>
          <a:endParaRPr b="0" lang="es-E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10</xdr:col>
      <xdr:colOff>45720</xdr:colOff>
      <xdr:row>12</xdr:row>
      <xdr:rowOff>106560</xdr:rowOff>
    </xdr:from>
    <xdr:to>
      <xdr:col>19</xdr:col>
      <xdr:colOff>510120</xdr:colOff>
      <xdr:row>27</xdr:row>
      <xdr:rowOff>129240</xdr:rowOff>
    </xdr:to>
    <xdr:graphicFrame>
      <xdr:nvGraphicFramePr>
        <xdr:cNvPr id="10" name="Gráfico 4"/>
        <xdr:cNvGraphicFramePr/>
      </xdr:nvGraphicFramePr>
      <xdr:xfrm>
        <a:off x="6922800" y="2278440"/>
        <a:ext cx="6653880" cy="27370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19</xdr:col>
      <xdr:colOff>731160</xdr:colOff>
      <xdr:row>12</xdr:row>
      <xdr:rowOff>106200</xdr:rowOff>
    </xdr:to>
    <xdr:graphicFrame>
      <xdr:nvGraphicFramePr>
        <xdr:cNvPr id="11" name="Gráfico 5"/>
        <xdr:cNvGraphicFramePr/>
      </xdr:nvGraphicFramePr>
      <xdr:xfrm>
        <a:off x="6877080" y="0"/>
        <a:ext cx="6920640" cy="22780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16</xdr:col>
      <xdr:colOff>266760</xdr:colOff>
      <xdr:row>1</xdr:row>
      <xdr:rowOff>122040</xdr:rowOff>
    </xdr:from>
    <xdr:to>
      <xdr:col>20</xdr:col>
      <xdr:colOff>518040</xdr:colOff>
      <xdr:row>8</xdr:row>
      <xdr:rowOff>152280</xdr:rowOff>
    </xdr:to>
    <xdr:sp>
      <xdr:nvSpPr>
        <xdr:cNvPr id="12" name="Retângulo: Cantos Arredondados 15"/>
        <xdr:cNvSpPr/>
      </xdr:nvSpPr>
      <xdr:spPr>
        <a:xfrm>
          <a:off x="11270160" y="303120"/>
          <a:ext cx="3002040" cy="1297080"/>
        </a:xfrm>
        <a:prstGeom prst="roundRect">
          <a:avLst>
            <a:gd name="adj" fmla="val 13149"/>
          </a:avLst>
        </a:prstGeom>
        <a:solidFill>
          <a:srgbClr val="595959"/>
        </a:solidFill>
        <a:ln w="19050">
          <a:solidFill>
            <a:srgbClr val="e8e8e8">
              <a:lumMod val="25000"/>
            </a:srgbClr>
          </a:solidFill>
          <a:miter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  <xdr:twoCellAnchor editAs="oneCell">
    <xdr:from>
      <xdr:col>0</xdr:col>
      <xdr:colOff>7560</xdr:colOff>
      <xdr:row>0</xdr:row>
      <xdr:rowOff>0</xdr:rowOff>
    </xdr:from>
    <xdr:to>
      <xdr:col>10</xdr:col>
      <xdr:colOff>197640</xdr:colOff>
      <xdr:row>27</xdr:row>
      <xdr:rowOff>121680</xdr:rowOff>
    </xdr:to>
    <xdr:graphicFrame>
      <xdr:nvGraphicFramePr>
        <xdr:cNvPr id="13" name="Gráfico 1"/>
        <xdr:cNvGraphicFramePr/>
      </xdr:nvGraphicFramePr>
      <xdr:xfrm>
        <a:off x="7560" y="0"/>
        <a:ext cx="7067160" cy="50079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175320</xdr:colOff>
      <xdr:row>11</xdr:row>
      <xdr:rowOff>160200</xdr:rowOff>
    </xdr:from>
    <xdr:to>
      <xdr:col>20</xdr:col>
      <xdr:colOff>182520</xdr:colOff>
      <xdr:row>26</xdr:row>
      <xdr:rowOff>137160</xdr:rowOff>
    </xdr:to>
    <xdr:graphicFrame>
      <xdr:nvGraphicFramePr>
        <xdr:cNvPr id="14" name="Gráfico 2"/>
        <xdr:cNvGraphicFramePr/>
      </xdr:nvGraphicFramePr>
      <xdr:xfrm>
        <a:off x="7052400" y="2151000"/>
        <a:ext cx="6884280" cy="2691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7560</xdr:colOff>
      <xdr:row>0</xdr:row>
      <xdr:rowOff>0</xdr:rowOff>
    </xdr:from>
    <xdr:to>
      <xdr:col>23</xdr:col>
      <xdr:colOff>167400</xdr:colOff>
      <xdr:row>13</xdr:row>
      <xdr:rowOff>121680</xdr:rowOff>
    </xdr:to>
    <xdr:sp>
      <xdr:nvSpPr>
        <xdr:cNvPr id="15" name=""/>
        <xdr:cNvSpPr/>
      </xdr:nvSpPr>
      <xdr:spPr>
        <a:xfrm>
          <a:off x="14449320" y="0"/>
          <a:ext cx="1535400" cy="2474280"/>
        </a:xfrm>
        <a:prstGeom prst="rect">
          <a:avLst/>
        </a:prstGeom>
        <a:solidFill>
          <a:srgbClr val="ffffff"/>
        </a:solidFill>
        <a:ln w="1">
          <a:solidFill>
            <a:srgbClr val="008000"/>
          </a:solidFill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r>
            <a:rPr b="0" lang="pt-BR" sz="1100" spc="-1" strike="noStrike">
              <a:latin typeface="Times New Roman"/>
            </a:rPr>
            <a:t>Esta forma representa uma segmentação de dados. Segmentações de dados têm suporte no Excel 2010 ou versões posteriores.</a:t>
          </a:r>
          <a:endParaRPr b="0" lang="es-ES" sz="1100" spc="-1" strike="noStrike">
            <a:latin typeface="Times New Roman"/>
          </a:endParaRPr>
        </a:p>
        <a:p>
          <a:endParaRPr b="0" lang="es-E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pt-BR" sz="1100" spc="-1" strike="noStrike">
              <a:latin typeface="Times New Roman"/>
            </a:rPr>
            <a:t>\Se a forma tiver sido modificada em uma versão anterior do Excel, ou se a pasta de trabalho tiver sido salva no Excel 2003 ou versões anteriores, a segmentação de dados não poderá ser usada.</a:t>
          </a:r>
          <a:endParaRPr b="0" lang="es-E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21</xdr:col>
      <xdr:colOff>7560</xdr:colOff>
      <xdr:row>13</xdr:row>
      <xdr:rowOff>106560</xdr:rowOff>
    </xdr:from>
    <xdr:to>
      <xdr:col>23</xdr:col>
      <xdr:colOff>190080</xdr:colOff>
      <xdr:row>28</xdr:row>
      <xdr:rowOff>14760</xdr:rowOff>
    </xdr:to>
    <xdr:sp>
      <xdr:nvSpPr>
        <xdr:cNvPr id="16" name=""/>
        <xdr:cNvSpPr/>
      </xdr:nvSpPr>
      <xdr:spPr>
        <a:xfrm>
          <a:off x="14449320" y="2459160"/>
          <a:ext cx="1558080" cy="2622960"/>
        </a:xfrm>
        <a:prstGeom prst="rect">
          <a:avLst/>
        </a:prstGeom>
        <a:solidFill>
          <a:srgbClr val="ffffff"/>
        </a:solidFill>
        <a:ln w="1">
          <a:solidFill>
            <a:srgbClr val="008000"/>
          </a:solidFill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r>
            <a:rPr b="0" lang="pt-BR" sz="1100" spc="-1" strike="noStrike">
              <a:latin typeface="Times New Roman"/>
            </a:rPr>
            <a:t>Esta forma representa uma segmentação de dados. Segmentações de dados têm suporte no Excel 2010 ou versões posteriores.</a:t>
          </a:r>
          <a:endParaRPr b="0" lang="es-ES" sz="1100" spc="-1" strike="noStrike">
            <a:latin typeface="Times New Roman"/>
          </a:endParaRPr>
        </a:p>
        <a:p>
          <a:endParaRPr b="0" lang="es-E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pt-BR" sz="1100" spc="-1" strike="noStrike">
              <a:latin typeface="Times New Roman"/>
            </a:rPr>
            <a:t>\Se a forma tiver sido modificada em uma versão anterior do Excel, ou se a pasta de trabalho tiver sido salva no Excel 2003 ou versões anteriores, a segmentação de dados não poderá ser usada.</a:t>
          </a:r>
          <a:endParaRPr b="0" lang="es-E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9</xdr:col>
      <xdr:colOff>167760</xdr:colOff>
      <xdr:row>0</xdr:row>
      <xdr:rowOff>23040</xdr:rowOff>
    </xdr:from>
    <xdr:to>
      <xdr:col>16</xdr:col>
      <xdr:colOff>182520</xdr:colOff>
      <xdr:row>12</xdr:row>
      <xdr:rowOff>137160</xdr:rowOff>
    </xdr:to>
    <xdr:graphicFrame>
      <xdr:nvGraphicFramePr>
        <xdr:cNvPr id="17" name="Gráfico 5"/>
        <xdr:cNvGraphicFramePr/>
      </xdr:nvGraphicFramePr>
      <xdr:xfrm>
        <a:off x="6357240" y="23040"/>
        <a:ext cx="4828680" cy="2286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twoCell">
    <xdr:from>
      <xdr:col>16</xdr:col>
      <xdr:colOff>281880</xdr:colOff>
      <xdr:row>1</xdr:row>
      <xdr:rowOff>137160</xdr:rowOff>
    </xdr:from>
    <xdr:to>
      <xdr:col>20</xdr:col>
      <xdr:colOff>510120</xdr:colOff>
      <xdr:row>4</xdr:row>
      <xdr:rowOff>151920</xdr:rowOff>
    </xdr:to>
    <xdr:sp>
      <xdr:nvSpPr>
        <xdr:cNvPr id="18" name="Retângulo: Cantos Arredondados 7"/>
        <xdr:cNvSpPr/>
      </xdr:nvSpPr>
      <xdr:spPr>
        <a:xfrm>
          <a:off x="11285280" y="318240"/>
          <a:ext cx="2979000" cy="557640"/>
        </a:xfrm>
        <a:prstGeom prst="roundRect">
          <a:avLst>
            <a:gd name="adj" fmla="val 29365"/>
          </a:avLst>
        </a:prstGeom>
        <a:solidFill>
          <a:srgbClr val="1640d6"/>
        </a:solidFill>
        <a:ln w="1905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chemeClr val="lt1"/>
              </a:solidFill>
              <a:latin typeface="Aptos Display"/>
            </a:rPr>
            <a:t>MAIOR GASTO DO MÊS SUBCATEGORIA</a:t>
          </a:r>
          <a:endParaRPr b="0" lang="es-ES" sz="1200" spc="-1" strike="noStrike">
            <a:latin typeface="Times New Roman"/>
          </a:endParaRPr>
        </a:p>
      </xdr:txBody>
    </xdr:sp>
    <xdr:clientData/>
  </xdr:twoCellAnchor>
  <xdr:twoCellAnchor editAs="twoCell">
    <xdr:from>
      <xdr:col>16</xdr:col>
      <xdr:colOff>312480</xdr:colOff>
      <xdr:row>4</xdr:row>
      <xdr:rowOff>160200</xdr:rowOff>
    </xdr:from>
    <xdr:to>
      <xdr:col>20</xdr:col>
      <xdr:colOff>495000</xdr:colOff>
      <xdr:row>7</xdr:row>
      <xdr:rowOff>37800</xdr:rowOff>
    </xdr:to>
    <xdr:sp>
      <xdr:nvSpPr>
        <xdr:cNvPr id="19" name="Retângulo: Cantos Arredondados 8"/>
        <xdr:cNvSpPr/>
      </xdr:nvSpPr>
      <xdr:spPr>
        <a:xfrm>
          <a:off x="11315880" y="884160"/>
          <a:ext cx="2933280" cy="420480"/>
        </a:xfrm>
        <a:prstGeom prst="roundRect">
          <a:avLst>
            <a:gd name="adj" fmla="val 16667"/>
          </a:avLst>
        </a:prstGeom>
        <a:noFill/>
        <a:ln w="1905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en-US" sz="2000" spc="-1" strike="noStrike">
              <a:solidFill>
                <a:schemeClr val="lt1"/>
              </a:solidFill>
              <a:latin typeface="Aptos Narrow"/>
            </a:rPr>
            <a:t>DAS</a:t>
          </a:r>
          <a:endParaRPr b="0" lang="es-ES" sz="2000" spc="-1" strike="noStrike">
            <a:latin typeface="Times New Roman"/>
          </a:endParaRPr>
        </a:p>
      </xdr:txBody>
    </xdr:sp>
    <xdr:clientData/>
  </xdr:twoCellAnchor>
  <xdr:twoCellAnchor editAs="twoCell">
    <xdr:from>
      <xdr:col>16</xdr:col>
      <xdr:colOff>289440</xdr:colOff>
      <xdr:row>6</xdr:row>
      <xdr:rowOff>91440</xdr:rowOff>
    </xdr:from>
    <xdr:to>
      <xdr:col>20</xdr:col>
      <xdr:colOff>502560</xdr:colOff>
      <xdr:row>8</xdr:row>
      <xdr:rowOff>144360</xdr:rowOff>
    </xdr:to>
    <xdr:sp>
      <xdr:nvSpPr>
        <xdr:cNvPr id="20" name="Retângulo: Cantos Arredondados 9"/>
        <xdr:cNvSpPr/>
      </xdr:nvSpPr>
      <xdr:spPr>
        <a:xfrm>
          <a:off x="11292840" y="1177200"/>
          <a:ext cx="2963880" cy="415080"/>
        </a:xfrm>
        <a:prstGeom prst="roundRect">
          <a:avLst>
            <a:gd name="adj" fmla="val 16667"/>
          </a:avLst>
        </a:prstGeom>
        <a:noFill/>
        <a:ln w="1905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en-US" sz="1400" spc="-1" strike="noStrike">
              <a:solidFill>
                <a:schemeClr val="lt1"/>
              </a:solidFill>
              <a:latin typeface="Aptos Narrow"/>
            </a:rPr>
            <a:t> </a:t>
          </a:r>
          <a:r>
            <a:rPr b="0" lang="en-US" sz="1400" spc="-1" strike="noStrike">
              <a:solidFill>
                <a:schemeClr val="lt1"/>
              </a:solidFill>
              <a:latin typeface="Aptos Narrow"/>
            </a:rPr>
            <a:t>R$ 3.572,00 </a:t>
          </a:r>
          <a:endParaRPr b="0" lang="es-ES" sz="1400" spc="-1" strike="noStrike">
            <a:latin typeface="Times New Roman"/>
          </a:endParaRPr>
        </a:p>
      </xdr:txBody>
    </xdr:sp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1337" createdVersion="3">
  <cacheSource type="worksheet">
    <worksheetSource ref="A1:S1338" sheet="ENTRADAS"/>
  </cacheSource>
  <cacheFields count="19">
    <cacheField name="FECHA" numFmtId="0">
      <sharedItems containsNonDate="0" containsDate="1" containsString="0" containsBlank="1" minDate="2026-01-01T00:00:00" maxDate="2026-05-01T00:00:00" count="91">
        <d v="2026-01-01T00:00:00"/>
        <d v="2026-02-01T00:00:00"/>
        <d v="2026-02-02T00:00:00"/>
        <d v="2026-02-03T00:00:00"/>
        <d v="2026-02-04T00:00:00"/>
        <d v="2026-02-05T00:00:00"/>
        <d v="2026-02-06T00:00:00"/>
        <d v="2026-02-07T00:00:00"/>
        <d v="2026-02-08T00:00:00"/>
        <d v="2026-02-09T00:00:00"/>
        <d v="2026-02-10T00:00:00"/>
        <d v="2026-02-11T00:00:00"/>
        <d v="2026-02-12T00:00:00"/>
        <d v="2026-02-13T00:00:00"/>
        <d v="2026-02-14T00:00:00"/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m/>
      </sharedItems>
    </cacheField>
    <cacheField name="NOMBRE PIX" numFmtId="0">
      <sharedItems containsBlank="1" count="1073">
        <s v="-"/>
        <s v=","/>
        <s v="64.001.657 Quintana"/>
        <s v="Abdiel Revilla Encinosa"/>
        <s v="Abeidys Coma Herrera"/>
        <s v="Abel Carrero castro"/>
        <s v="Abel García Reyes"/>
        <s v="Abel Sanchez Escobar"/>
        <s v="Acela Clavel martinez"/>
        <s v="ADALBERTO PUPO GOVEA"/>
        <s v="ADELINA PENA MACEO"/>
        <s v="Adinet Caridad Pérez Millan"/>
        <s v="ADM Fatto"/>
        <s v="Adonis Savon Rojas"/>
        <s v="Adrián Cabrera Quintal"/>
        <s v="Adrian Eduardo"/>
        <s v="Adrian Hernandez Gonzalez"/>
        <s v="Adrian Iván Sanguinety Febles"/>
        <s v="Adrian Rizco Utria"/>
        <s v="Adrian Rodriguez Licea"/>
        <s v="Adriana Almeida Dos Santos"/>
        <s v="Adriana Pena Arévalo"/>
        <s v="Adrianna las Mercedes B Ruiz"/>
        <s v="Adriano Cala Rodriguez"/>
        <s v="Adriel Castillo Amita"/>
        <s v="Adriel Delgado Robaina"/>
        <s v="Af Industria, comercio e distribuicao de materiais"/>
        <s v="Agustin Alayo Rivera"/>
        <s v="Aida Napoles Peralta"/>
        <s v="Aidel Ulloa Martín"/>
        <s v="Alain Contreras Redondo"/>
        <s v="Alain Cordero Munoz"/>
        <s v="Alain Ramos Martin"/>
        <s v="Albert Hidalgo Arévalo"/>
        <s v="Alberto Avila Gonzalez"/>
        <s v="Alberto Rives Gonzalez"/>
        <s v="Alcibiades Santiesteban Sanchez"/>
        <s v="Alcibiades Vaillant Ferrer"/>
        <s v="Alcides de Jesus Váldes Alvera"/>
        <s v="Aldo Guillen Riquelme"/>
        <s v="Alejandro Fernandez Monterde"/>
        <s v="Alejandro Fernando Pena Perez"/>
        <s v="Alejandro Gonzales Ametller"/>
        <s v="Alejandro Jesus Barredo Yera"/>
        <s v="Alex Souza Morais"/>
        <s v="Alexander Arturo Rojas Polo"/>
        <s v="Alexander Cutino fuentes"/>
        <s v="Alexander Enoa Lopez"/>
        <s v="Alexander Hidalgo Martinez"/>
        <s v="Alexander Mazorra Benitez"/>
        <s v="Alexander Nazareth Rondon Williams"/>
        <s v="Alexander Pirez Suarez"/>
        <s v="Alexander Ramos Lugo"/>
        <s v="Alexander Rodriguez Gil"/>
        <s v="Alexander Travieso Caraballo"/>
        <s v="ALEXANDRO JESUS FERNANDEZ RUBIO"/>
        <s v="Alexei Chang"/>
        <s v="ALEXEI TELLEZ NUNEZ"/>
        <s v="Alexey Romero Estrada"/>
        <s v="Alexis Arencibia Maza"/>
        <s v="Alexis Camilo Gonzalez Peraza"/>
        <s v="Alexis Castro Díaz"/>
        <s v="Alexis Esquivias Castro"/>
        <s v="Alexis Frank Zayas"/>
        <s v="Alexis J. Sousa Rodriguez"/>
        <s v="Alexis Lazaro Arteaga Piloto"/>
        <s v="Alexis Lozano Figueredo"/>
        <s v="Alexis Mauro Lazaga"/>
        <s v="Alfredo Rodríguez Medina"/>
        <s v="Alian Oscar ramirez"/>
        <s v="Aliane Pausa Guerra"/>
        <s v="Alianny Rodríguez Vega"/>
        <s v="Alietty Montenegro Parapar"/>
        <s v="Alison Perez Naranjo"/>
        <s v="Alvaro Pernia Gallardo"/>
        <s v="Alvaro Rodriguez Orasma"/>
        <s v="Álvaro Torres Castellanos"/>
        <s v="Amado Leiva Espinosa"/>
        <s v="Amanda Terry Martínez"/>
        <s v="AMELIA SERRANO MERINO"/>
        <s v="Ana Barbar Fellove Diaz"/>
        <s v="Ana Belkis Valdes Caturla"/>
        <s v="Ana Celia Toledo Oquendo"/>
        <s v="Ana Diaz Fernandez"/>
        <s v="Ana Iris Wester  Suárez"/>
        <s v="Ana Iris Wester Suarez"/>
        <s v="Ana Iris Wester Suárez"/>
        <s v="ANA IRMA NARANJO PEREZ"/>
        <s v="Ana Isabel Calderón Soto"/>
        <s v="Ana Isabel Viñas Chirino"/>
        <s v="Ana Margarita Montagne"/>
        <s v="Ana Maria Espinosa Rizo"/>
        <s v="Ana Maria Llanes Diaz"/>
        <s v="Anabel Arrate Mustelier"/>
        <s v="Anairis Caballero Blanco"/>
        <s v="Anarelis Nunez Borges"/>
        <s v="Anayrelis De Jesus Pino"/>
        <s v="Andreia dos Santos"/>
        <s v="Andrés Viña Carrasco"/>
        <s v="Andy Borroto Roche"/>
        <s v="Andy Dieguez Marquez"/>
        <s v="Andy Garai Sabido"/>
        <s v="ANGEL EDEL AVILA VELAZQUEZ"/>
        <s v="Angel Johan Granela Castillo"/>
        <s v="Ángel Luddis Aguirre Hung"/>
        <s v="Anier Fernandez Bertot"/>
        <s v="Anieska Ortiz Ge"/>
        <s v="Annareya Garcia"/>
        <s v="Annia Aniley Barriento"/>
        <s v="Anniu Daikenier Dervilla"/>
        <s v="Anniu Daikenier Dervilla Gómez"/>
        <s v="Antonio Leon Aguilar"/>
        <s v="Antuan Pérez Rondon"/>
        <s v="Arain Martinez Gonzalez"/>
        <s v="Arasay Padilla Bravo"/>
        <s v="Arian Pantoja Martinez"/>
        <s v="Arian Ramirez Portilla"/>
        <s v="Arian Rodriguez Paula"/>
        <s v="Ariannis Montoya Cabrera"/>
        <s v="Arlenys Garcia Soberao"/>
        <s v="Arley Paredes Martinez"/>
        <s v="ARMANDO ANCA CRESPO"/>
        <s v="ARMANDO GONZALEZ ESTUPINAN"/>
        <s v="ARMANDO MARIO HERNANDEZ CARMENATE"/>
        <s v="Armando Zamora Gallardo"/>
        <s v="Arnaldo Lazaro Hernandez Blanco"/>
        <s v="Arturo Perez Romero"/>
        <s v="Arturo Pérez Romero"/>
        <s v="Asahel Padilla Valdes"/>
        <s v="Augusto Eliseo Rodríguez"/>
        <s v="Aylen Roxana Chavez Ramirez"/>
        <s v="Aylin Chirino Perez"/>
        <s v="Aylin Lugones Gonzalez"/>
        <s v="Bárbara Fernandez Gonzalez"/>
        <s v="Barbara Perez Rodriguez"/>
        <s v="Beatris del Carme ZZ Bazan"/>
        <s v="Beatriz Cordivi Chávez"/>
        <s v="BEATRIZ DE LA CARIDAD SILVERIO RODRIGUEZ"/>
        <s v="Bernoidys Blanco Balbier"/>
        <s v="Berta Julia Alonso Esquivel"/>
        <s v="Braulio Batista"/>
        <s v="Brauna Sistemas Constructivos."/>
        <s v="Brayan Marin Savinge"/>
        <s v="Brian Uranga Salazar"/>
        <s v="BRUNO JESUS VILLALONGA BORGES"/>
        <s v="Caridad Gonzalez Loaces"/>
        <s v="Carlos Aguero Cardenas"/>
        <s v="Carlos Alberto Moreno"/>
        <s v="Carlos Alberto Reyes Martinez"/>
        <s v="Carlos Alejandro Pereda Santana"/>
        <s v="Carlos Eduardo Licontti Mundarain"/>
        <s v="Carlos Frometa Ramos"/>
        <s v="Carlos Gálvez Tamayo"/>
        <s v="Carlos José Martinez"/>
        <s v="Carlos Olavo Oliva Lopez"/>
        <s v="Carlos Poulut Ruiz"/>
        <s v="Carlos Ulises Gutierrez Silva"/>
        <s v="Celia da Rosa Boger Dias"/>
        <s v="César José Rodríguez Jiménez"/>
        <s v="César Yuriel Martínez Reyna"/>
        <s v="Chamilka Gonzalez Funes"/>
        <s v="Chamilka Gonzalez Funes Toranzo"/>
        <s v="Christian Yordan Tamayo Avila"/>
        <s v="Cindy Montes de Oca"/>
        <s v="Cindy Montes de Oca Corrales"/>
        <s v="Cira Iliana Macias Fonseca"/>
        <s v="Ciro Alberto Labaut Ramos"/>
        <s v="Clara Elene Reyes Puentes"/>
        <s v="Claudia Fonseca Santiesteban"/>
        <s v="Claudia Oliva Munoz"/>
        <s v="Claudia Romero Melendez"/>
        <s v="DAGOBERTO EZEQUIEL ESPINOSA RODRIGUEZ"/>
        <s v="Daily Mayea Leon"/>
        <s v="Dailyn Sanchez Aveille"/>
        <s v="Dailys Gutierrez Cuervo"/>
        <s v="Dailys Sanchez"/>
        <s v="Dainel Gonzales Ramirez"/>
        <s v="Dairon de la Paz Leyva"/>
        <s v="DALILA RACHEL CALA GONZALEZ"/>
        <s v="Danay Alguezabal Green"/>
        <s v="Danay Scull Figueroa"/>
        <s v="Danelys Tirce Sanz"/>
        <s v="Danessa De La Caridad Solano Osoa"/>
        <s v="Dani Yaniel Morejon Martinez"/>
        <s v="Dania Rodriguez Vaillant"/>
        <s v="Dania Sonia Zúñiga Duran"/>
        <s v="DANIEL  ORLANDO COLLADO"/>
        <s v="Daniel A A Hernandez"/>
        <s v="Daniel Alejandro Raimundo Portal"/>
        <s v="DANIEL DAVID FLORES VIQUILLON"/>
        <s v="Daniel David Perez Romero"/>
        <s v="Daniel Enrique Ramos Gonzalez"/>
        <s v="Daniel Ernesto Castillo Pérez"/>
        <s v="Daniel Faustino Sardinas Torres"/>
        <s v="Daniel Milan Diaz"/>
        <s v="DANIEL ORLANDO COLLADO"/>
        <s v="DANIEL ORLANDO COLLADO RODRIGUEZ"/>
        <s v="Daniela Abreu"/>
        <s v="Daniela Pereira do Santos"/>
        <s v="DANIELA PEREIRA DOS SANTOS"/>
        <s v="Daniela Segura Gomez"/>
        <s v="Danier Pérez Quesada"/>
        <s v="Danilo Emilio Arrieta Valdés"/>
        <s v="Danis Gonzalez Valdes"/>
        <s v="Danlier Almenares Isaac"/>
        <s v="Danny Alvarez Mondeja"/>
        <s v="Danny Linares Veitia"/>
        <s v="Darianna la Caridad G Craig"/>
        <s v="Dariannys L Comendador"/>
        <s v="Dariel Alexis González Quiñones"/>
        <s v="DARIEL VALERA PEREZ"/>
        <s v="Darien Alonso Pelayo"/>
        <s v="Darlenis Eugenia Prado Ladron de Gueva"/>
        <s v="DASMIR POMPA JIMENEZ"/>
        <s v="David Alfonso Torres"/>
        <s v="David De Jesus Alvarez Castaneda"/>
        <s v="David Emilio Cabrera Ortega"/>
        <s v="Dayami Ajete Machado"/>
        <s v="Dayami Minguez Ordonez"/>
        <s v="Dayan Morgado Espinosa"/>
        <s v="Dayana Arrechea"/>
        <s v="Dayana Arrechea Rodriguez"/>
        <s v="Dayana López Morales"/>
        <s v="Dayana Mayo Gámez"/>
        <s v="Dayane Bravo Reyes"/>
        <s v="Dayanis Marina Peña Romero"/>
        <s v="Dayannis Yisel Rosabal Paz"/>
        <s v="Dayexi Durruty Bisset"/>
        <s v="Dayron Adrian Benavides"/>
        <s v="Dayron Pérez"/>
        <s v="Daysi Rodriguez Romero"/>
        <s v="Deinler Matos Marin"/>
        <s v="Delmis Vicet Tamayo"/>
        <s v="Denis Bahades"/>
        <s v="Dennys Piña Ávila"/>
        <s v="Deyanira Valdes Renteria"/>
        <s v="Deyver Guevara Aleaga"/>
        <s v="Diagna Valdes Basante Zaldivar"/>
        <s v="Diana Rosa Rodriguez del Toro"/>
        <s v="Dianey de la Caridad Manso Villegas"/>
        <s v="Diansy Soto Marrero"/>
        <s v="Diarelys Soto Marrero"/>
        <s v="Didier Valdes Padron"/>
        <s v="Dinero"/>
        <s v="Dinheiro"/>
        <s v="Dinorkis Reyes Cardero"/>
        <s v="Diomar Casas Olivares"/>
        <s v="Diorge Mendoza Figueredo"/>
        <s v="Diosbel Fernandez Cruz"/>
        <s v="Diosvani Gonzales Arcos"/>
        <s v="Diovanis Carrión Martínez"/>
        <s v="Diuver Gonzalez Carmenaty"/>
        <s v="DORA ILSA RODRIGUEZ NUNEZ"/>
        <s v="Doralis Castillo Sanchez"/>
        <s v="Dorgis Paneca Aparicio"/>
        <s v="Dreidy Avila Hechavarría"/>
        <s v="Duany Alvarez Enrrique"/>
        <s v="Dulan Mineto Pozo"/>
        <s v="Dunia Elena Martinez Paneque"/>
        <s v="Duniesky Felix Cuellar"/>
        <s v="E. Costa Ferreira"/>
        <s v="ECONSTAR S.A."/>
        <s v="Eddy Cristhiam Lien Chacon"/>
        <s v="Eddy Ollalvides Viera"/>
        <s v="Edgar Serpa Barrera"/>
        <s v="Edilberto Lien Dinza"/>
        <s v="Edmilson Viana"/>
        <s v="Eduardo Alvarez Balbuena"/>
        <s v="Eduardo Aróstica Aparicio"/>
        <s v="Eduardo Batista Duque"/>
        <s v="Eduardo Tamayo leyva"/>
        <s v="Edwin Martinez Gutierrez"/>
        <s v="EFECTIVO"/>
        <s v="Efrain Antonio Fong Pena"/>
        <s v="Eiber Gamboa Kindelan"/>
        <s v="Elaine Perez Diaz"/>
        <s v="Elba Ortiz Frómeta"/>
        <s v="Elena Rodriguez Espinosa"/>
        <s v="Eleodoro Roberto Basullto"/>
        <s v="Eleodoro Roberto Basulto Basulto"/>
        <s v="Eliany Guevara Delgado"/>
        <s v="ELIANYS RODRIGUEZ ROQUE"/>
        <s v="Elias Salim Rojas"/>
        <s v="Elidio Werlich Junior"/>
        <s v="Elienai Castillo Zaldivar"/>
        <s v="Elieser Castro Castellanos"/>
        <s v="Elieser Reyes Rodriguez"/>
        <s v="Eliezer Moreno Blanco"/>
        <s v="Elio Alberto Tamayo Garcia"/>
        <s v="ELIZABETH CORRALES CORTES"/>
        <s v="ELIZABETH MATOS RODRIGUEZ"/>
        <s v="Elizabeth Perez Quevedo"/>
        <s v="Elizabeth Ruiz Paredes"/>
        <s v="Elmis Muñoz Ramirez"/>
        <s v="Elpidio Cisnero Masso"/>
        <s v="Elvia Lopez Carmenate"/>
        <s v="Elvis Pérez Perez"/>
        <s v="Em dinheiro"/>
        <s v="Emilio Rodríguez González"/>
        <s v="Enidia Paulina Almeida Reyes"/>
        <s v="Eniel Matos Perez"/>
        <s v="Enrique Valier Isargue"/>
        <s v="Eric Silva Araujo"/>
        <s v="Erick Laurence Mauricio"/>
        <s v="Erivando A L Silva"/>
        <s v="Erlin Rodriguez Ortega"/>
        <s v="Erlis Rodriguez Hernandez"/>
        <s v="Ernesto Joaquin Diaz leiva"/>
        <s v="Ernesto Lázaro Pérez Lugo"/>
        <s v="Ernesto Pablo Vasquez De Paz"/>
        <s v="Ernesto Pulido Vázquez"/>
        <s v="Ernesto Ramón Marín Rodríguez"/>
        <s v="Ernesto Roselló Quesada"/>
        <s v="Erzilí Oliveros Perez"/>
        <s v="Esbary Fundora Rosales"/>
        <s v="Esmerlinda Betancourt Villar"/>
        <s v="Esteban Molina Zayas"/>
        <s v="EUDALIS FERNANDEZ RODRIGUEZ"/>
        <s v="Eudalis Fernández Rodriguez"/>
        <s v="Eugenio Gey Gallol"/>
        <s v="Eulider Napoles Gonzalez"/>
        <s v="Evelyn Martin Chavez"/>
        <s v="Evelyn Rios Rodriguez"/>
        <s v="Ezequiel Calzadilla Plasencia"/>
        <s v="Fabiana Cristina de souza"/>
        <s v="Felix Barranco Espin"/>
        <s v="Felix Leon"/>
        <s v="FELIX LEON FIGUEROA"/>
        <s v="Fernanda Horstman"/>
        <s v="Fernando Milan Simón"/>
        <s v="Fernando Ojeda Guevara"/>
        <s v="FIDEL RODRIGUEZ PUPO"/>
        <s v="Fidel Villa Padron"/>
        <s v="Francisco Lázaro E Castillo"/>
        <s v="Francisco Lisvey Gonzalez"/>
        <s v="Frank Andux Mesa"/>
        <s v="FRANKLIN CONCEPCION VALDES"/>
        <s v="Freddy Romero Rodriguez"/>
        <s v="Freddys Acosta Hernandez"/>
        <s v="Fredis Ogusto Zambrano Martínez"/>
        <s v="FUSSTER MONTERO CASTELLANO"/>
        <s v="Gabriel Chaves Cabaletto"/>
        <s v="GABRIEL FLORENTINO CHOROT DIAZ"/>
        <s v="Geidis Ramirez Montero"/>
        <s v="Geidy Yilianis Bastarrica Echeverria"/>
        <s v="Gelen Marlene Garrido"/>
        <s v="Gendris Rubio"/>
        <s v="Geney Horta Ruiz"/>
        <s v="Geordanis Bonne Miranda"/>
        <s v="George Boris Calzado"/>
        <s v="Georky Nunez Fernandez"/>
        <s v="GEOVANYS TOIRAC"/>
        <s v="Gerardo rufino"/>
        <s v="Gerardo Rufino Galardy Aguila"/>
        <s v="Giberto Jesus Hernández Neyra"/>
        <s v="Gilberto E M Guerrero"/>
        <s v="Gilberto Enrique Menendez"/>
        <s v="Gilberto Enrrique Menendez"/>
        <s v="GILBERTO GONZALEZ TOLEDO"/>
        <s v="Gilberto Raul Matos Matos"/>
        <s v="Gilberto Santos Rodriguez"/>
        <s v="Gladis Maria Alarcón Fonseca"/>
        <s v="Glismari Mesa Aguilar"/>
        <s v="GREEY DE LA RIVA GARCIA"/>
        <s v="Guillermina Aguilar Sarmiento"/>
        <s v="Guillermo Barroso Basabe"/>
        <s v="Guillermo José Hernández Cabriales"/>
        <s v="Guillermo Montejo"/>
        <s v="Harol Tejeda Bueno"/>
        <s v="Hebe Teresa"/>
        <s v="Hector Rios Quintero"/>
        <s v="Helen Martinez Torres"/>
        <s v="Helier Padilla Martínez"/>
        <s v="Helio Dantes Santos"/>
        <s v="Henry Ezequiel Tito Hernandez"/>
        <s v="Henry Ramos Regalado"/>
        <s v="HERENIA TAMAYO HIDALGO"/>
        <s v="Hialia Lilian Cerza"/>
        <s v="Hianni Alejandro Arcis Pons"/>
        <s v="Hidio Rafael Garces Torres"/>
        <s v="Hiolario Luiz Bittencourt"/>
        <s v="HUMBERTO GRANADO CARRAZANA"/>
        <s v="IDAEL TORRES BENAVIDES"/>
        <s v="Idania Pérez Jimenez"/>
        <s v="Ilcy Yackeline Tabata hauran"/>
        <s v="ILIANA HAYDEE SORIANO QUIROS"/>
        <s v="Iliana Mercedes Perez Acosta"/>
        <s v="ILUMINADA DE LA CARIDAD PEREIDA HERNANDEZ"/>
        <s v="INCASA COMERCIO DE MOVES E COLC"/>
        <s v="Incasa Comercio de movies"/>
        <s v="Indira Gallardo Marrero"/>
        <s v="Ingrid Arencibia Rodriguez"/>
        <s v="Iosyel Contreras"/>
        <s v="Irisleidy Ramirez Cardena"/>
        <s v="Isabel Elvira Hechavarria Hernandez"/>
        <s v="Ismael Borrero Bermejo"/>
        <s v="Ivan David Rdgz"/>
        <s v="Ivet Roque Batista"/>
        <s v="Ivette Allegue Saavedra"/>
        <s v="Izaias Barbosa Junior"/>
        <s v="Jack Henry Hechavarria Almeida"/>
        <s v="Jainiel Fonseca Martínez"/>
        <s v="Jaksel Calvo Dominguez"/>
        <s v="Janet Castellon Gonzalez"/>
        <s v="Janet Gomez Zayas"/>
        <s v="Janett L C P Rodriguez"/>
        <s v="Janser Rivera Cristi"/>
        <s v="Jasiel Guerra  Loaces"/>
        <s v="Javier Garzon Moreno"/>
        <s v="Javier Jesús Alonso Moreno"/>
        <s v="Javier Ruiz Hernandez"/>
        <s v="Jaynier Caraballo Galan"/>
        <s v="Jean Marco Rivero"/>
        <s v="Jeihison Oswaldo Mora Reyes"/>
        <s v="Jeniffer Isabel Bernal Puentes"/>
        <s v="Jenner Arias Gamez"/>
        <s v="Jennifer de la Mercedes Ruiz Acosta"/>
        <s v="JENNIFER LLERENA UTRIA"/>
        <s v="Jenrys Llanes Roque"/>
        <s v="Jesús David Aguilar Figueroa"/>
        <s v="Jesus Diaz Armaignac"/>
        <s v="Jesús Enrique Ledesma Alvarez"/>
        <s v="Jesus Humerto Leonard Hernandez"/>
        <s v="Jesus Leonard Hernandez"/>
        <s v="Jesus Yeras Moya"/>
        <s v="Joan Eduardo Aguero Aranzola"/>
        <s v="Joel David Sanchez Perez"/>
        <s v="Joel Pérez Gutiérrez"/>
        <s v="Jolby Torres Sanchez"/>
        <s v="Jonatan Ruiz Miranda"/>
        <s v="Jonatan Vives Sanchez"/>
        <s v="Jonathan Ruiz Miranda"/>
        <s v="Jontan David Lopez Quinatana"/>
        <s v="JORDAN LABRADA GIL"/>
        <s v="Jorge Alejandro Sablon"/>
        <s v="Jorge Cesar Gonzalez Nunez"/>
        <s v="Jorge David Bardaji"/>
        <s v="Jorge Luis Arencibia Rodriguez"/>
        <s v="Jorge Luis Coello Vidal"/>
        <s v="Jorge Luis Martínez Paula"/>
        <s v="JORGE LUIS PEREZ YERO"/>
        <s v="Jorge Luis Silva Tamayo"/>
        <s v="Jorge Luis Veliz Pérez"/>
        <s v="Jorge Manuel Acosta Veloso"/>
        <s v="Jorge Michel Norona"/>
        <s v="Jorge Michel Norona Acosta"/>
        <s v="Jorge Osmay Guerra Lopez"/>
        <s v="Jorge Ramón Linares Castillo"/>
        <s v="Jorlam Lavalle Mustelier"/>
        <s v="Josbeny Benitez Alvarez"/>
        <s v="Jose A Fernandez Montero"/>
        <s v="Jose Afonso Ramos"/>
        <s v="José Agustín Sosa Osorio"/>
        <s v="José Antõnio Aniskievicz"/>
        <s v="José Antonio Concepción Suárez"/>
        <s v="Jose Antonio Polanco Torrivilla"/>
        <s v="José Carlos Quezada Estrada"/>
        <s v="José Jesús Ramón García"/>
        <s v="José Jesús Remón García"/>
        <s v="Jose Luis Carmenates Napoles"/>
        <s v="Jose Luis Collado Ulloa"/>
        <s v="Jose Luis Correa"/>
        <s v="Jose Luis Leach Callis"/>
        <s v="Jose Luis Machuat"/>
        <s v="Jose Luis Salgado Chao"/>
        <s v="José Manuel Carralero Pupo"/>
        <s v="Jose Manuel Reyes Gonzalez"/>
        <s v="Jose Manuel Reyes Gozalez"/>
        <s v="José Miguel Segura Martinez"/>
        <s v="Jose Norlan Marrero"/>
        <s v="Jose Pablo Delgado Marco"/>
        <s v="Jose Raul Hernandez Alonso"/>
        <s v="Jose Trajano Rosa"/>
        <s v="Josefa Reina Brito Diaz"/>
        <s v="Josiel Rodriguez Sierra"/>
        <s v="Josmay Antonio Rodriguez"/>
        <s v="Juan Alberto Aguilera Rodríguez"/>
        <s v="Juan Carlos Ibarra Yera"/>
        <s v="Juan Carlos Ruiz"/>
        <s v="Juan José López Agüero"/>
        <s v="Juan Mendoza Ramos"/>
        <s v="Juan Miguel Lopez Oses"/>
        <s v="Juan Miguel Tellez Feria"/>
        <s v="Julian González Velázquez"/>
        <s v="Julio Cesar Mesa Rubio"/>
        <s v="JULIO CESAR PEREZ PARRA"/>
        <s v="Julio Cesar Silva Diaz"/>
        <s v="Julio Rodríguez Sanchez"/>
        <s v="Junet Castro Ramos"/>
        <s v="JUNIOR VICENTE MELO NORONHА"/>
        <s v="Karel De Jesus Diaz Tornes"/>
        <s v="Karel Diaz Linares"/>
        <s v="Karla Medero Moreno"/>
        <s v="Karla Michele Masot Matos"/>
        <s v="Karla Perez Reyes"/>
        <s v="Keila Ramirez Palomino"/>
        <s v="Keity Pelier Dominguez"/>
        <s v="Kelly Cristiane Goncalves"/>
        <s v="Kelly Junia Araujo Da Silva"/>
        <s v="Kendry Santoya Pedroso"/>
        <s v="Laidaris Martines Mantilla"/>
        <s v="Larry Fernandez Verdecia"/>
        <s v="Laura Fernández Lugo"/>
        <s v="LAZARA INDILEYVIS MARIN TORRES"/>
        <s v="Lazara Karla Jerez Lale"/>
        <s v="Lazaro A. Izquierdo"/>
        <s v="Lazaro Luis Pereira Reyes"/>
        <s v="Lazaro Ruben Vicet Perez"/>
        <s v="Leandro Barbaro Cutting"/>
        <s v="Leandro L Marrero Matos"/>
        <s v="Leandro Luis Marrero Matos"/>
        <s v="Leandro Moreira Frometa"/>
        <s v="Ledian Portuondo Castro"/>
        <s v="LEIDIS LAURA Canosa  Interian"/>
        <s v="Leidis Laura Canosa Interian"/>
        <s v="Lenia Carida R Figueredo"/>
        <s v="Lenia Caridad Figueredo"/>
        <s v="Leodan Avila"/>
        <s v="Leoddis Rosales Pompa"/>
        <s v="Leonardis Morales Despaigne"/>
        <s v="Leonardo Arguelles León"/>
        <s v="Leonel Mendoza Marino"/>
        <s v="Leonid Reyes Rodriguez"/>
        <s v="Leony Autberto Rondón Salazar"/>
        <s v="Leticia B Hechagarrua"/>
        <s v="Leyanis Gómez Curó"/>
        <s v="Leydi Irinav Ayala Leon"/>
        <s v="Lia Mir Areviche"/>
        <s v="Lianet Alfonso Martinez"/>
        <s v="Lianet Romero Bello"/>
        <s v="Lídice Arbolaez Gonzalez"/>
        <s v="Lie Martinez Rivera"/>
        <s v="Liesnileisi Rodriguez Miranda"/>
        <s v="Liliana Barrios Alfonso"/>
        <s v="Liosbel mendoza arias"/>
        <s v="Lisandra Campos Rodriguez"/>
        <s v="Lisandra Corona Tamayo"/>
        <s v="Lisandra Garcia Martinez"/>
        <s v="Lisandra Machin Mena"/>
        <s v="Lisandry Eloi Ortega Carmona"/>
        <s v="Lisardo Gomez Charon"/>
        <s v="LISBET BLANCO DIAZ"/>
        <s v="LISBET GONZALEZ CAMEJO"/>
        <s v="Lisbet Valdes Richatts"/>
        <s v="Lisbet Virgen Azan Diaz"/>
        <s v="Lissandra Amada Dominguez Cabrera"/>
        <s v="LISSET LOPEZ GARCIA"/>
        <s v="Lisyanis Amelia Vega Hernández"/>
        <s v="Litmay de la Caridad Cantero Tartabull"/>
        <s v="Liyanis Rodriguez Guerra"/>
        <s v="Lizardo Andres Lopez Venega"/>
        <s v="Luana Figueiredo Coelho Machado"/>
        <s v="LUANDA ZAYAS MARTINEZ"/>
        <s v="Lucas Gabriel Alves"/>
        <s v="Ludmila Morales Llerena"/>
        <s v="Luga Antonia Ruiz"/>
        <s v="Luis Alejandro Veliz Garcia"/>
        <s v="Luis Angel Paneque Marino"/>
        <s v="Luis Angel Paneque Merino"/>
        <s v="Luis Damian Sibila"/>
        <s v="Luís Daniel Gutierrez Algarra"/>
        <s v="Luis Dariel Diaz Garcia"/>
        <s v="Luis Eduardo Riveron Ramirez"/>
        <s v="Luis Enrique Rodriguez Suarez"/>
        <s v="Luis Manuel Reyes Peres"/>
        <s v="Luis Manuel Rivero Romero"/>
        <s v="Luis Morales Molina"/>
        <s v="Luis Ruber Frometa Navarro"/>
        <s v="Luis Yasmany Sedeño Balbuena"/>
        <s v="Luisbel García Martínez"/>
        <s v="Luz Marvelia León Castillo"/>
        <s v="Madelyn Garcia Diaz"/>
        <s v="Magyury Hernandez Perez"/>
        <s v="MAIBEL SANCHEZ PENA"/>
        <s v="Maikel Niño Lahera"/>
        <s v="Maikel Portales Ramirez"/>
        <s v="Maikel Ramirez Riveron"/>
        <s v="Maiquel Toledo Capote"/>
        <s v="Manuel Alejandro Duarte Montenegro"/>
        <s v="Manuel De Jesús González Rondón"/>
        <s v="MARCELA MAURA DOMINGUEZ TELLEZ"/>
        <s v="Marco Antonio Haidar Fernandez"/>
        <s v="Marcos Arminan Moret"/>
        <s v="Marcos Pires Antunes"/>
        <s v="Mari Carmen Hall Villavicencio"/>
        <s v="Maria Beatriz Ramos Garcia"/>
        <s v="María De Jesús Cossio San Martin"/>
        <s v="Maria De La Gloria Ribeiro Cavalcante"/>
        <s v="Maria De Los Angeles Portal Portal"/>
        <s v="Maria Elena Coello Amaya"/>
        <s v="Maria Julia Kindelan Suarez"/>
        <s v="MARIA VICTORIA ESTRADA MILAN"/>
        <s v="María Victoria Sanabria"/>
        <s v="Marian Ferrer Neyra"/>
        <s v="Mariannis Norat Suarez"/>
        <s v="Mariano Rafael Barbosa Delgado"/>
        <s v="Maricela Pérez Gutiérrez"/>
        <s v="Maricelis Reyes Santana"/>
        <s v="Mariet Lara Garcia"/>
        <s v="Marilin Gonzalez Ricardo"/>
        <s v="Marina Hernández Castro"/>
        <s v="Marisol Betancourt Reyes"/>
        <s v="Marisol Garcia La O"/>
        <s v="Maritza Castañeda Ge"/>
        <s v="Marlene Pérez Dominguez"/>
        <s v="Marlies Yero Martínez"/>
        <s v="Marlon Omar Leyva Rodriguez"/>
        <s v="Martha Elizabeth F Carcaces"/>
        <s v="Mayelin Molina Diaz"/>
        <s v="Mayelin Pérez Medina"/>
        <s v="Mayla de la Caridad Diaz Herrera"/>
        <s v="Maylen Pino Miranda"/>
        <s v="Mayrelis Blanco Betancourt"/>
        <s v="MEIVIS DIAZ lAZO"/>
        <s v="Melany Díaz Gómez"/>
        <s v="Melany Sotolongo Aguero"/>
        <s v="Melisa Maura Ferrer Rodriguez"/>
        <s v="Melissa Hunt Rodriguez"/>
        <s v="Melissa Rodriguez Matos"/>
        <s v="Meylin de la Caridad Macías Bustamante"/>
        <s v="Michael Rico Camellon"/>
        <s v="Michel Ernesto Socarras Martinez"/>
        <s v="Michel Inidio Pozo Fonseca"/>
        <s v="Michel Piedra Sanchez"/>
        <s v="Michel Reyes Ordaz"/>
        <s v="Michel Richard Tamayo Teyes"/>
        <s v="Midiala Hernandez Venero"/>
        <s v="Migdalia Ampudia Mulet"/>
        <s v="Miguel Alejandro Trenal Ladrón de Guevara"/>
        <s v="Miguel Angel Lazarte Gomez"/>
        <s v="Mijail Martinez Hernández"/>
        <s v="Miladis Ribeaux Terry"/>
        <s v="Miladys Silva Diaz"/>
        <s v="Milba Fonseca Martinez"/>
        <s v="Mildrey Abreus Rivalta"/>
        <s v="Mileidy García García"/>
        <s v="Minervis Maria del Castillo Gonzalez"/>
        <s v="Miralia Cabrela Gonzales"/>
        <s v="Miriam Osman Montero"/>
        <s v="Mirledis Justiz Agramonte"/>
        <s v="Misael Torres Serrano"/>
        <s v="Misleidy Yamile Pérez Calderón"/>
        <s v="Mylene Isabel Martinez Garcia"/>
        <s v="Nayla Del Valle Quesada"/>
        <s v="Neivis Villavicencio"/>
        <s v="NELSON CARRILLO VERDENCIA"/>
        <s v="Nelson Echarte zamora"/>
        <s v="Nelson Garcia Caceres"/>
        <s v="Nelson Manuel Correa Solano"/>
        <s v="Nelson Peña Gutiérrez"/>
        <s v="Nelsy Morales Lima"/>
        <s v="NEOBER AGUSTIN DERVILLA ESPINOSA"/>
        <s v="Nereida Marquez Heredia"/>
        <s v="Nerelys Hernandez Gonzalez"/>
        <s v="NERSYS SANTANA JAURIGA"/>
        <s v="NEYDIS CARIDAD VALDEZ DIAZ"/>
        <s v="Neylan Jesus Lopez Enriquez"/>
        <s v="Nilen Felicia Yanez Menendez"/>
        <s v="Niosbanis De la paz corria"/>
        <s v="Niurka Ramos la O"/>
        <s v="Niurka Raveiro Santos"/>
        <s v="Niuvis batista"/>
        <s v="Niuvis Batista Mustelier"/>
        <s v="Noé Escobar Feria"/>
        <s v="Noelia Estela Duarte"/>
        <s v="Nolaida Garrido"/>
        <s v="Noremi Ballester Mesa"/>
        <s v="Norges Coss Santana"/>
        <s v="Noslen Castilla del Rosario"/>
        <s v="Nosleydis Mena Lorenzo"/>
        <s v="Octavio Agustin Rodriguez Miranda"/>
        <s v="Octavio Ernesto Testa Alfonso"/>
        <s v="Odalys Alvarez Perez"/>
        <s v="Odel Fajardo Sanchez"/>
        <s v="Odelys Crespo Zaldivar"/>
        <s v="Odelys Maikel Crespo Zaldivar"/>
        <s v="Odette Clemente"/>
        <s v="Ofelia De la Caridad Vega"/>
        <s v="Ofelia Zambrana Gonzalez"/>
        <s v="Olga Lidia Guerra Chavez"/>
        <s v="OLGA MARIA MUNOZ GONZALEZ"/>
        <s v="Omar Escobelo Villafana"/>
        <s v="Omar Mora"/>
        <s v="Omar Rodriguez Prieto"/>
        <s v="Omar Suren Martinez"/>
        <s v="Onelys Hernandez Dominguez"/>
        <s v="Orestes Gonzalez Hernandez"/>
        <s v="Orlando Miguel Rodriguez Alvarez"/>
        <s v="Orlando Miguel Rodríguez Álvarez"/>
        <s v="Orleanna Marzo Suarez"/>
        <s v="Orleydis Frómeta García"/>
        <s v="Orleydis Leyva Cedeno"/>
        <s v="ORLINDA ALFONSO PANACO"/>
        <s v="Ormedis Ramos Bautista"/>
        <s v="Oscar Garcia Quintana"/>
        <s v="Osdaily Aguila Chacon"/>
        <s v="Osdelky Barbara Cervantes"/>
        <s v="Osiel Milian Perez"/>
        <s v="Oslaidy Home Rodriguez"/>
        <s v="Oslander Lavrada Herrera"/>
        <s v="Oslanier Alfonso Mesa"/>
        <s v="Osmani Valdes Valdes"/>
        <s v="Osmany Carballosa Gómez"/>
        <s v="Osmany Fernandez Torres"/>
        <s v="Osmany Hernandez del Sol"/>
        <s v="OSMANY MARCEL FABRÉ"/>
        <s v="Osmar Antonio Gongora"/>
        <s v="Osmar Ramirez"/>
        <s v="Osmar Suren Martinez"/>
        <s v="Osmay Carbonell"/>
        <s v="Osmel Garcia Rodriguez"/>
        <s v="Osnaivis Garcia Naranjo"/>
        <s v="Osniel Martinez Lara"/>
        <s v="Osniel Reinaldo Cruz"/>
        <s v="Osniel Zayas Fernandez"/>
        <s v="Osvaldo Fernandez Cruz"/>
        <s v="Ovidio Osmany Hernández Balsinde"/>
        <s v="Pablo Alain Toscano Reyes"/>
        <s v="Pablo Luis Ramírez Cabo"/>
        <s v="Patricia M Benitez Castro"/>
        <s v="Patricia Saavedra Verdecia"/>
        <s v="Paulo Martins"/>
        <s v="Paulo Roberto Gomez Souza"/>
        <s v="Pavel Estrada"/>
        <s v="Pavel Rafael Gonzalez Penate"/>
        <s v="Pedro Alberto Hernandez Maura"/>
        <s v="Pedro Antonio Araujo Quesada"/>
        <s v="Pedro Candido Rodriguez Pena"/>
        <s v="Pedro Garces Arcia"/>
        <s v="Pedro Leyva Gordo"/>
        <s v="Pedro Luis Carrillo"/>
        <s v="Pedro Olivera Hipolito"/>
        <s v="Pedro Pablo León Senges"/>
        <s v="Pedro Ramon Nunez Marimon"/>
        <s v="Racheli Bermudez Gonzales"/>
        <s v="Rafael Diaz Garces"/>
        <s v="Rafael Díaz Núñez"/>
        <s v="Rafael Fonseca Ricardo"/>
        <s v="Rafael Hernandez Colome"/>
        <s v="Rafael Morgado Amarales"/>
        <s v="Rafael Norberto Plano Grinam"/>
        <s v="Raida Adelaida Cardoso Arteaga"/>
        <s v="Raidel Buron Diaz"/>
        <s v="Raidel Hernandez Rio"/>
        <s v="Raidelys Viltres Nunes"/>
        <s v="Raidelys Viltres Nunez"/>
        <s v="Raima Hidalgo Rodriguez"/>
        <s v="Raiza Nápoles Hernandez"/>
        <s v="Ramon Alejandro Gutierrez Charon"/>
        <s v="Ramon de la Cruz Belia"/>
        <s v="Ramon Javier Moreno Ortiz"/>
        <s v="Ramon Jose Diaz"/>
        <s v="Ramón Mauricio LaO Curbelo"/>
        <s v="Randy Perez Ferrer"/>
        <s v="Raquel María Díaz Badell"/>
        <s v="Raudel Novo Sanchez"/>
        <s v="Raul Alvarez Alvarez"/>
        <s v="Raúl Licea Suárez"/>
        <s v="Rayma Hidalgo Rodriguez"/>
        <s v="Raymond Martinez Fernandez"/>
        <s v="Raysel Lázaro Baez Reyes"/>
        <s v="Reginaldo Ecker"/>
        <s v="Regla Sayli Lopez"/>
        <s v="Reidy Napoles Perez"/>
        <s v="Reiler Samón Furones"/>
        <s v="Reina Derisleidy"/>
        <s v="Reinaldo Collado Ayala"/>
        <s v="Reineri Jay Azahares"/>
        <s v="Reinier Diaz Cortina"/>
        <s v="Reinier Gonzales Hecheverria"/>
        <s v="Rene Cruz Vega"/>
        <s v="René Humberto Lahera Mora"/>
        <s v="René Miguel Dopico Chavez"/>
        <s v="René Silverio Caballero Romeu"/>
        <s v="Renier Guillermo Diago Herrera"/>
        <s v="Rey Tony González Cabrera"/>
        <s v="Reylandi Lantigua Garcia"/>
        <s v="Reynier Diaz Diaz"/>
        <s v="Reynier Díaz Díaz"/>
        <s v="Reynier Garcia Busutil"/>
        <s v="Reynier Graupierre "/>
        <s v="Reynier Pulido Mesa"/>
        <s v="Ricardo Balbino Baluja Gordillo"/>
        <s v="Ricardo Diaz Crespo"/>
        <s v="Ricardo Gonzalez Korets"/>
        <s v="Ricardo Perera Ortiz"/>
        <s v="Ricardo Rodriguez Rodriguez"/>
        <s v="Roberto Janet Durruty"/>
        <s v="Roberto Jesús Salazar"/>
        <s v="Roberto Leandro Dominguez Gouyonnet"/>
        <s v="Roberto Leon Folgoso"/>
        <s v="Roberto Martinez Suarez"/>
        <s v="Roberto Molinas Rodriguez"/>
        <s v="Roberto Perez Fernandez"/>
        <s v="Roberto Racet Pimentel"/>
        <s v="Roberto René Baptista"/>
        <s v="Roberto Sanchez Carrero"/>
        <s v="ROBIEL HIDALGO RODRIGUEZ"/>
        <s v="RODIS NARINO HERNANDEZ"/>
        <s v="Rodrigo Lázaro Leyva"/>
        <s v="Roelder Ramirez"/>
        <s v="Roelkis Torres"/>
        <s v="Roelsi Roja Leyva"/>
        <s v="Rogelio Carrion Leyva"/>
        <s v="Roger Matos"/>
        <s v="Rogério Gustavo Scarsi"/>
        <s v="Roilandy Cabrera Rangel"/>
        <s v="Roinier Orozco Delgado"/>
        <s v="Rolando Navarrete Limonta"/>
        <s v="ROLANDO RAMOS POSTILLO"/>
        <s v="Rolando Rodriguez Hernandez"/>
        <s v="Rolando Savigne Beris"/>
        <s v="Rolando Tagle Gonzalez"/>
        <s v="Ronald N Alburquerque"/>
        <s v="Ronny Ortega Tabares"/>
        <s v="Rony Roca Diaz"/>
        <s v="Rosa Fernandez Ruiz"/>
        <s v="Rosa Gálvez Sánchez"/>
        <s v="Rosabel Maria Reyes"/>
        <s v="Rosabel Moya Borrego"/>
        <s v="Rosario Nunez Guerrero"/>
        <s v="Roxana Gonzalez Cabrera"/>
        <s v="Roxana Laffita Noa"/>
        <s v="Roydel Eduardo García Fiffe"/>
        <s v="RUDIEL DE LA CARIDAD PAEZ LEIVA"/>
        <s v="Rudis Ortiz Olivares"/>
        <s v="Ruliver Capote Contreras"/>
        <s v="Ruth Giana lopez"/>
        <s v="Sandra de la Caridad Pimentel"/>
        <s v="Sandra Falco"/>
        <s v="SARA BOUSSAKA"/>
        <s v="Sarahy Veliz Miranda"/>
        <s v="Saremis Cordero Martinez"/>
        <s v="Senia Olivero Hidalgo"/>
        <s v="Serguei Blanco Tabera"/>
        <s v="Serguey Prieto Marrero"/>
        <s v="Sheila Chaquira Moreno Tamayo"/>
        <s v="Sheila de la Caridad Goris"/>
        <s v="Sintia Noblet"/>
        <s v="Sonia Eduviges Semanat Robert"/>
        <s v="Sonia Viviane Jimenez Carpi"/>
        <s v="Surema Ferrer Gola"/>
        <s v="SUREMYS PAVON MADERA"/>
        <s v="Susana Garcia Suarez"/>
        <s v="Susana Olivera Leyva"/>
        <s v="SUYINKA SERRANO GUERRA"/>
        <s v="Tania González García"/>
        <s v="Teresita de la Cruz Jacob"/>
        <s v="UVER CABRERA LORA"/>
        <s v="Valeria do Carmo"/>
        <s v="Valeris Hernandez Fleitas"/>
        <s v="Vania Zulueta Reyes"/>
        <s v="Verde Card"/>
        <s v="Victor Anier Mora López"/>
        <s v="Victor Daniel Perez"/>
        <s v="Victor M Debora Moreno"/>
        <s v="Victor Manuel"/>
        <s v="Victor Manuel Blanco Quintana"/>
        <s v="Victor Manuel Debora Moreno"/>
        <s v="Victor Manuel Marquez Rodriguez"/>
        <s v="Víctor Manuel Munoz Padron"/>
        <s v="Victor Ramon Bordon Blanc"/>
        <s v="Vilma Nefertity Mora Suris"/>
        <s v="Vismay Jesus Agüero Puig"/>
        <s v="Vivian Rodriguez Agras"/>
        <s v="Vladimir Orta Brunet"/>
        <s v="Vladimir Ortiz Cantero"/>
        <s v="Vladimir Silva Silva"/>
        <s v="Wandy Campos Ojeda"/>
        <s v="Wendy Zuloaga Victorio"/>
        <s v="Wilian Gonzalez Cano"/>
        <s v="Williams David Portela Landa"/>
        <s v="Willian Zamora Galan"/>
        <s v="Wisley Mederos Guerra"/>
        <s v="Wisley Vederos Guerra"/>
        <s v="Wliser Martinez Sánchez"/>
        <s v="Woovi Institucion de pagamentop LTDA"/>
        <s v="Xavier de la Cruz Pérez"/>
        <s v="Yadian Martinez Cata"/>
        <s v="Yadira Giron Mesa"/>
        <s v="YADIRA MARTINEZ RODRIGUEZ"/>
        <s v="Yadira Mayo Pache"/>
        <s v="Yadira Piedra Mela"/>
        <s v="Yailen Lopez Rubie"/>
        <s v="Yailen Rodriguez Sacerio"/>
        <s v="YAILENY OLIVA FUENTES"/>
        <s v="Yaily Gil Cue"/>
        <s v="Yaíma Leyva Arévalo"/>
        <s v="Yaima Roman Grinan"/>
        <s v="Yainelys Domínguez Alemán"/>
        <s v="Yaiquel Rondon Góngora"/>
        <s v="Yalicia Pompa Román"/>
        <s v="YAMIL MEDINA DIAZ"/>
        <s v="Yamila Gomez Martinez"/>
        <s v="Yamila Mesa Moya"/>
        <s v="Yamile Ham Chiong"/>
        <s v="Yamile Rivera Valdes"/>
        <s v="Yamilka Ledesma"/>
        <s v="YANAYS CAPOTE MONTERO"/>
        <s v="Yancell Carbenas Bravo"/>
        <s v="Yander Diaz Mena"/>
        <s v="Yandi Luis Contreras Mesa"/>
        <s v="Yandry Perez Rodriguez"/>
        <s v="YANEISY ELENA MUNOZ RIZO"/>
        <s v="Yaneisys Carbonell Giron"/>
        <s v="Yanela Moreno Pons"/>
        <s v="Yanelis Ávila Aguilar"/>
        <s v="Yanelis Sanchez Trujillo"/>
        <s v="Yaneski Marrero Pacheco"/>
        <s v="Yaneski Varona Cruz"/>
        <s v="Yanet Amelia Villacencio Mato"/>
        <s v="YANET AMELIA VILLAVICENCIO MATO"/>
        <s v="YANET BERMUDEZ GONZALEZ"/>
        <s v="Yanet Gonzalez Torres"/>
        <s v="Yanet Guerra Suarez"/>
        <s v="Yanet Vega Mayedo"/>
        <s v="Yanet Verdecia Pacheco"/>
        <s v="Yanetsy Brito González"/>
        <s v="Yanetsy Hernandez Mejias"/>
        <s v="Yaneya Rueda Clapera"/>
        <s v="Yaniet Castillo Sanchez"/>
        <s v="Yanior Enrique Serrano Maso"/>
        <s v="Yanisleidis Acosta Martinez"/>
        <s v="Yanisleidys Díaz Ortega"/>
        <s v="Yanitza Sánchez Santiesteban"/>
        <s v="Yanmelis Rivera Perez"/>
        <s v="Yanoy Duarte Duarte"/>
        <s v="Yansel Ruiz Fernandez"/>
        <s v="Yaquelin Zamora Lastre"/>
        <s v="Yarianni Oquendo Urgelles"/>
        <s v="Yaritza del Carmen Sanchez"/>
        <s v="Yasmani Álvarez Guilarte"/>
        <s v="Yasmani Benzol Alfonzo"/>
        <s v="Yasmany Delgado"/>
        <s v="Yasmany García Almeira"/>
        <s v="Yasmany Villalonga Perez"/>
        <s v="Yasnai Pineda Torres"/>
        <s v="Yasniel Roman Tellez"/>
        <s v="Yaudenis Poll Perez"/>
        <s v="Yaymara Calunga Guilarte"/>
        <s v="Yeleni Roiq Diaz"/>
        <s v="YELENNI LEMES PADRON"/>
        <s v="Yendry Acevedo Viera"/>
        <s v="Yendrys Maso Lacoste"/>
        <s v="YENIFER PACHECO DE LA CRUZ"/>
        <s v="Yenisleidi Rodriguez"/>
        <s v="Yenisleidy Ortega Cairo"/>
        <s v="Yenney Chacón Cortina"/>
        <s v="Yennifer Sofia Collazo Mendoza"/>
        <s v="Yenny Brown Carrero"/>
        <s v="Yeraily Cabrera Rodriguez"/>
        <s v="Yerandy Castellanos Reyes"/>
        <s v="Yerandy Fabian"/>
        <s v="Yerannys Jesus Elias Figueredo"/>
        <s v="Yeretnys Sahay González"/>
        <s v="Yessica Hernandez Fernandez"/>
        <s v="Yessika Quintana Fraga"/>
        <s v="Yexander Tejeda Rigna"/>
        <s v="Yhoan Manuel Toledo"/>
        <s v="Yilian Pérez Quintero"/>
        <s v="Yilver Guerrero  Benitez"/>
        <s v="Yilver Guerrero Benitez"/>
        <s v="Yiuvan Elena Pino Bringuez"/>
        <s v="Yixellis R Rodriguez"/>
        <s v="Yoan Manuel Hernandez"/>
        <s v="Yoandra Pantoja  leyva"/>
        <s v="Yoandra Ramos Arias"/>
        <s v="Yoandra Reymond Rojas"/>
        <s v="Yoandri Martí Vidal"/>
        <s v="Yoandri Zapata Vara"/>
        <s v="Yoandris Castellanos Cruz"/>
        <s v="Yoandrys Banteur Alvarez"/>
        <s v="Yoandy Gonzales Calderin"/>
        <s v="Yoanis Vera Carrión"/>
        <s v="Yoany Dominguez Bernal"/>
        <s v="Yobany Molina"/>
        <s v="Yoel Alexander Pino Segura"/>
        <s v="Yoel Cornelio Gonzalez"/>
        <s v="Yoel Gonzalez Perez"/>
        <s v="Yoel Pacheco Dávila"/>
        <s v="Yoel Roney Maqueira González"/>
        <s v="Yoel Rosales Calderon"/>
        <s v="Yoelkis Alba Rodriguez"/>
        <s v="Yoelvis López Bernal"/>
        <s v="Yoenni Matos Pascual"/>
        <s v="YOENNI SENTIL LAO"/>
        <s v="Yohana Blanco Mora"/>
        <s v="Yohander Fernandez Escobar"/>
        <s v="Yohandra Limonta Moneyo"/>
        <s v="Yoisel Llerena Ibarra"/>
        <s v="Yoisy Martinez Fresneda"/>
        <s v="YOLAIDIS HERNANDEZ GALINDO"/>
        <s v="Yolanda"/>
        <s v="Yolanda Zarzuela"/>
        <s v="Yoleisis Perez Martinez"/>
        <s v="Yolimar del Carmen Torrivilla"/>
        <s v="Yolimiles Heredia Osoria"/>
        <s v="Yoniesky Avila Perez"/>
        <s v="Yordan Diaz Guerra"/>
        <s v="Yordan Leyva Ramirez"/>
        <s v="Yordania Mendez"/>
        <s v="Yorlan Collazo Blanco"/>
        <s v="YORLEYDIS GOMEZ NAVARRO"/>
        <s v="Yorleydis Gómez Navarro"/>
        <s v="Yosbany Bravo Sanchez"/>
        <s v="Yosdel Carpio Ozuna"/>
        <s v="Yosef  Ferrer Espinosa"/>
        <s v="Yosef Ferrer Espinosa"/>
        <s v="Yosiel Placencia Gutierrez"/>
        <s v="YOSNEL MARTINEZ DIAZ"/>
        <s v="Yosnelvys Cardosa Lobaina"/>
        <s v="Yosnelvys Cardoza Lobaina"/>
        <s v="Yosney Chapeau Cruz"/>
        <s v="Yosniel Abrines Maseda"/>
        <s v="Yosue Benedicto Alonso Velazques"/>
        <s v="Yosvany Juan Barrera Madrazo"/>
        <s v="Yovanis Durand Castillo"/>
        <s v="YOYMAR SANCHEZ ROSALES"/>
        <s v="Yrachy Rodriguez Fernandez"/>
        <s v="Yudel Castillo Diaz"/>
        <s v="Yudelka Galan Gomez"/>
        <s v="YUDELKA GALAN RODRIGUEZ"/>
        <s v="Yudelki Oviedo Hernandez"/>
        <s v="Yudelkys Perez Pulgaron"/>
        <s v="YUDELMIS RAMIREZ CRUZ"/>
        <s v="Yudenia Matos Nunez"/>
        <s v="Yudeny Rojas Gomez"/>
        <s v="Yudit Garcia Reyes"/>
        <s v="Yudith Zapata Terrero"/>
        <s v="Yudmila Batista Miranda"/>
        <s v="Yuleidys Veliz Miranda"/>
        <s v="Yulian Rafael Reyes Molina"/>
        <s v="Yulier Cisnero Medina"/>
        <s v="Yuliesky Billetero Arcolea"/>
        <s v="Yulinka Rico Rivero"/>
        <s v="Yunel Herrera Sol"/>
        <s v="YUNEYSI DIAZ TORRES"/>
        <s v="YUNEYSIS HERNANDEZ ENAMORADO"/>
        <s v="Yuniel Stable"/>
        <s v="Yunier la Rosa Ortega"/>
        <s v="YUNIER MARTINEZ CHAVEZ"/>
        <s v="YUNIER R Rodriguez"/>
        <s v="Yuniesky Montero Segura"/>
        <s v="Yuniet Arevalo Munoz"/>
        <s v="Yunior Abdala"/>
        <s v="Yunior Aguado Carballea"/>
        <s v="Yunior Benitez Alonso"/>
        <s v="Yunipza Macias Rodriguez"/>
        <s v="YUNISLEYDI RIVERO GARCIA"/>
        <s v="Yunisleydis Rivero"/>
        <s v="Yunito Benitez Alonso"/>
        <s v="Yuremys Gonzales Diaz"/>
        <s v="Yuri A. Altabas Pereida"/>
        <s v="Yurina Rojas"/>
        <s v="Yurina Rojas Tellez"/>
        <s v="Yurisleidis C Marquez"/>
        <s v="Yurisleidis Cabrera Marquez"/>
        <s v="YURISLEISI LARA LENDYS"/>
        <s v="Yurrien Guerrero Acosta"/>
        <s v="Yusbel Flores Garcia"/>
        <s v="Yusdel Cutino Sierra"/>
        <s v="Yusleivi Rodríguez"/>
        <s v="Yusmaira castillo ruiz"/>
        <s v="Yusnely Munoz Bulnes"/>
        <s v="Yusnely Ramos Pozo"/>
        <s v="YUSNIEX ACOSTA CRUZ"/>
        <s v="Yusnuelvys Rosabal Soto"/>
        <s v="Yuvisnel Rivera Garcia"/>
        <s v="Zanet Rodriguez Lameiro"/>
        <s v="Zarelys Perez Hernandez"/>
        <s v="ZORAIDA LINARES GARCIA"/>
        <s v="Zurizaday Torres Vazquez"/>
        <m/>
      </sharedItems>
    </cacheField>
    <cacheField name="VALOR" numFmtId="0">
      <sharedItems containsString="0" containsBlank="1" containsNumber="1" minValue="-1" maxValue="7270" count="115">
        <n v="-1"/>
        <n v="0"/>
        <n v="20"/>
        <n v="30"/>
        <n v="40"/>
        <n v="45"/>
        <n v="47"/>
        <n v="50"/>
        <n v="53"/>
        <n v="60"/>
        <n v="70"/>
        <n v="73.5"/>
        <n v="74"/>
        <n v="75"/>
        <n v="80"/>
        <n v="87"/>
        <n v="90"/>
        <n v="95"/>
        <n v="97"/>
        <n v="100"/>
        <n v="108"/>
        <n v="110"/>
        <n v="117"/>
        <n v="120"/>
        <n v="123"/>
        <n v="128"/>
        <n v="130"/>
        <n v="135"/>
        <n v="140"/>
        <n v="145"/>
        <n v="147"/>
        <n v="148"/>
        <n v="149"/>
        <n v="150"/>
        <n v="160"/>
        <n v="167"/>
        <n v="180"/>
        <n v="187"/>
        <n v="194"/>
        <n v="197"/>
        <n v="200"/>
        <n v="210"/>
        <n v="220"/>
        <n v="222"/>
        <n v="225"/>
        <n v="230"/>
        <n v="240"/>
        <n v="241"/>
        <n v="242"/>
        <n v="244"/>
        <n v="245"/>
        <n v="249"/>
        <n v="250"/>
        <n v="266"/>
        <n v="270"/>
        <n v="280"/>
        <n v="284.51"/>
        <n v="290"/>
        <n v="291"/>
        <n v="294"/>
        <n v="295"/>
        <n v="298"/>
        <n v="300"/>
        <n v="314"/>
        <n v="315"/>
        <n v="320"/>
        <n v="340"/>
        <n v="350"/>
        <n v="354"/>
        <n v="360"/>
        <n v="367"/>
        <n v="369"/>
        <n v="388"/>
        <n v="394"/>
        <n v="400"/>
        <n v="420"/>
        <n v="430"/>
        <n v="436"/>
        <n v="437"/>
        <n v="440"/>
        <n v="441"/>
        <n v="443"/>
        <n v="450"/>
        <n v="480"/>
        <n v="485"/>
        <n v="491"/>
        <n v="500"/>
        <n v="513"/>
        <n v="525"/>
        <n v="580"/>
        <n v="585"/>
        <n v="588"/>
        <n v="600"/>
        <n v="660"/>
        <n v="700"/>
        <n v="750"/>
        <n v="780"/>
        <n v="800"/>
        <n v="840"/>
        <n v="900"/>
        <n v="917"/>
        <n v="930"/>
        <n v="950"/>
        <n v="1000"/>
        <n v="1200"/>
        <n v="1500"/>
        <n v="1540"/>
        <n v="1650"/>
        <n v="3816"/>
        <n v="3830"/>
        <n v="3840"/>
        <n v="3905"/>
        <n v="4550"/>
        <n v="7270"/>
        <m/>
      </sharedItems>
    </cacheField>
    <cacheField name="SERVICIO" numFmtId="0">
      <sharedItems count="25">
        <s v="2DA VIA PROTOCOLO"/>
        <s v="AG. PF."/>
        <s v="ANT. CRIM. BRASIL"/>
        <s v="CAMB. END."/>
        <s v="CAMB. ENDER."/>
        <s v="CERTIDÃO CONSULAR"/>
        <s v="CITA CONSULADO"/>
        <s v="CNH X FLORIPA"/>
        <s v="COMUNICACIÓN VIAJE"/>
        <s v="CPF"/>
        <s v="CURRÍCULO"/>
        <s v="DES. REF."/>
        <s v="DESCONOCIDO"/>
        <s v="DILIGÊNCIA"/>
        <s v="PASAPORTE BRASIL"/>
        <s v="PDF ÚNICO"/>
        <s v="PODER NOTARIAL"/>
        <s v="RECUP. SISCONARE"/>
        <s v="REN. PAS. CUB."/>
        <s v="RENOVAR X JATAÍ"/>
        <s v="RES. PMT."/>
        <s v="SISCONARE"/>
        <s v="TRAD. CNH"/>
        <s v="TRADUCCIÓN"/>
        <s v="VISA REU. FAM."/>
      </sharedItems>
    </cacheField>
    <cacheField name="CLIENTE" numFmtId="0">
      <sharedItems count="1087">
        <s v="Abdiel Fuentes Orfila"/>
        <s v="Abdiel Revilla Encinosa"/>
        <s v="Abeidys Coma Herrera"/>
        <s v="Abel García Reyes"/>
        <s v="Abel jimenez zayas"/>
        <s v="Abel Lopez Perez /Infornatico"/>
        <s v="Abel Sanchez Escobar"/>
        <s v="Adelina Peña Maceo"/>
        <s v="Adinet Caridad Pérez Millan"/>
        <s v="Adrián Cabrera Quintal"/>
        <s v="Adrian Eduardo"/>
        <s v="Adrian Iván Sanguinety Febles"/>
        <s v="Adrian Rizco Utria"/>
        <s v="Adrian Rodriguez Licea"/>
        <s v="Adriana (suegra de Dayana Santiago)"/>
        <s v="Adriana Pena Arévalo"/>
        <s v="Adrianna las Mercedes B Ruiz"/>
        <s v="Adriano Cala Rodriguez"/>
        <s v="Adriano Gabriel Barroso Faxa"/>
        <s v="Adriel Castillo Amita"/>
        <s v="Adriel Delgado Robaina"/>
        <s v="Agustín Alayo Rivera"/>
        <s v="Aida Napoles Peralta/Osmel"/>
        <s v="Aidel Ulloa Martín"/>
        <s v="Alain"/>
        <s v="Alain Contreras Redondo"/>
        <s v="Alain Daniel"/>
        <s v="Alberto Rives Gonzalez"/>
        <s v="Alcibiades Santiesteban Sanchez"/>
        <s v="Alcibiades Vaillant Ferrer"/>
        <s v="Alcides de Jesus Váldes Alvera"/>
        <s v="Aldo Guillen Riquelme"/>
        <s v="Aleida"/>
        <s v="Alejandra"/>
        <s v="Alejandro Fernandez Monterde"/>
        <s v="Alejandro Fernando Pena Perez"/>
        <s v="Alejandro Gonzales Ametller"/>
        <s v="Alejandro Jesus Barredo Yera"/>
        <s v="Alejandro Rivero Rodríguez"/>
        <s v="Alexander Arturo Rojas Polo"/>
        <s v="Alexander Cutino fuentes"/>
        <s v="Alexander Enoa Lopez"/>
        <s v="Alexander Hidalgo Martinez"/>
        <s v="Alexander Hidalgo Martinez/ ARIEL BENITEZ"/>
        <s v="Alexander Mazorra Benitez"/>
        <s v="Alexander Pirez Suarez"/>
        <s v="Alexander Travieso Caraballo"/>
        <s v="Alexandra Maturell"/>
        <s v="ALEXANDRO JESUS FERNANDEZ RUBIO"/>
        <s v="Alexey Romero Estrada"/>
        <s v="Alexis Arencibia Maza"/>
        <s v="Alexis Camilo González Peraza"/>
        <s v="Alexis Castro Díaz"/>
        <s v="Alexis Esquivias Castro"/>
        <s v="Alexis Frank Zayas"/>
        <s v="Alexis José de Sousa Rodríguez"/>
        <s v="Alexis Lazaro Arteaga Piloto"/>
        <s v="Alexis Lozano Figueredo"/>
        <s v="Alexis Mauro Lazaga"/>
        <s v="Alexis Mauro Lazaga/Lazaro Garcia"/>
        <s v="Alexis Naranjo"/>
        <s v="Alexis PedroTamayo"/>
        <s v="Alfredo Horta Espinosa"/>
        <s v="Alfredo Rodríguez Medina"/>
        <s v="Aliane Pausa Guerra"/>
        <s v="Alianny Rodríguez Vega"/>
        <s v="Alietty Montenegro Parapar"/>
        <s v="Alison Pérez Naranjo"/>
        <s v="Alvaro Matos Limonta"/>
        <s v="Amado Leiva Espinosa"/>
        <s v="Amanda Terry Martinez"/>
        <s v="Amarilys Torne Gray"/>
        <s v="Amauri Cortina Larrea"/>
        <s v="Amauris Fernandez Santiesteban"/>
        <s v="Ana Belkis Valdes Caturla"/>
        <s v="Ana Celia Toledo Oquendo"/>
        <s v="Ana Iris Wester  Suárez"/>
        <s v="Ana Iris Wester Suárez"/>
        <s v="ANA IRMA NARANJO PEREZ"/>
        <s v="ANA IRMA NARANJOPEREZ"/>
        <s v="Ana Isabel Calderón Soto"/>
        <s v="Ana Isabel Viñas Chirino"/>
        <s v="Ana Maria Llanes Diaz"/>
        <s v="Ana Maria Llorente Vargas"/>
        <s v="Ana Maria Yorente Vargas"/>
        <s v="Anabel Arrate Mustelier"/>
        <s v="Anairis Caballero Blanco"/>
        <s v="Anarelis Nunez Borges"/>
        <s v="Andrés Viña Carrasco"/>
        <s v="Andy Borroto Roche"/>
        <s v="Andy Dieguez Marquez"/>
        <s v="ANGEL EDEL AVILA VELAZQUEZ"/>
        <s v="Ángel Luddis Aguirre Hung"/>
        <s v="Angel Orlando Cano Gómez"/>
        <s v="Angela"/>
        <s v="Angela Causilla Balán"/>
        <s v="Anieska Ortiz Ge"/>
        <s v="Anisley"/>
        <s v="Annareya Garcia"/>
        <s v="Anne Avila Ibarra"/>
        <s v="Anniu Daikenier Dervilla"/>
        <s v="Anniu Daikenier Dervilla Gómez"/>
        <s v="Antonio Leon Aguilar"/>
        <s v="Antuan Pérez Rondon"/>
        <s v="Arain Martinez Gonzalez"/>
        <s v="Arasay Padilla Bravo"/>
        <s v="Arealys Abreu"/>
        <s v="Arian Ramirez Portilla"/>
        <s v="Arian Rodriguez Paula"/>
        <s v="Arian Vento Ramos"/>
        <s v="Ariannis Montoya Cabrera"/>
        <s v="Ariel Herrera Gomez"/>
        <s v="Ariel Pineiro Alvarez"/>
        <s v="Arlenes Caral Gómez"/>
        <s v="Arlenys García Soberao"/>
        <s v="Arley Paredes Martinez"/>
        <s v="Armando Anca Crespo"/>
        <s v="ARMANDO GONZALEZ ESTUPINAN"/>
        <s v="ARMANDO GONZALEZ ESTUPINAN / Marilin Sarmiento"/>
        <s v="Arnaldo Lázaro"/>
        <s v="Arturo Pérez Romero"/>
        <s v="Asahel Padilla Valdés"/>
        <s v="Asdruval Alejandro Aguila"/>
        <s v="Ayamey Molina Villa Urrutia"/>
        <s v="Aylen Roxana Chavez Ramirez"/>
        <s v="Aylin Chirino Perez"/>
        <s v="Aylin Chirino Perez / Kendry Santoya Pedroso"/>
        <s v="Aylin Lugones Gonzalez"/>
        <s v="Aylin Marina Vicet Aguilar"/>
        <s v="Bárbara Acosta"/>
        <s v="Bárbara Fernandez Gonzale"/>
        <s v="Bárbara Fernandez Gonzalez"/>
        <s v="Barbara Perez Rodriguez"/>
        <s v="Beatriz Cordivi Chávez"/>
        <s v="Beatriz Del Carmen Zaragoza Zayas Bazan"/>
        <s v="Bela/Royland Court"/>
        <s v="Bernoidys Blanco Balbier"/>
        <s v="Berta Julia Alonso Esquivel"/>
        <s v="Braulio Batista"/>
        <s v="Caridad Gonzalez Loaces"/>
        <s v="Carlos"/>
        <s v="Carlos Aguero Cardenas"/>
        <s v="Carlos Alberto Esquivel Chavez"/>
        <s v="Carlos Alberto Moreno"/>
        <s v="Carlos Alberto Reyes Martinez"/>
        <s v="Carlos Alejandro Pereda Santana"/>
        <s v="Carlos Eduardo Torrico Justiniano"/>
        <s v="Carlos Frometa Ramos"/>
        <s v="Carlos Gálvez Tamayo"/>
        <s v="Carlos Javier Lemus Mesa"/>
        <s v="Carlos Javier Yera"/>
        <s v="Carlos Javier Yera / EP"/>
        <s v="Carlos José Martinez"/>
        <s v="Carlos L"/>
        <s v="Carlos Manuel Hinojosa Torres"/>
        <s v="Carlos Miguel rosales serrano"/>
        <s v="Carlos Olavo Oliva Lopez"/>
        <s v="Carlos Ulises Gutierrez Silva"/>
        <s v="Carmen Rosa"/>
        <s v="César José Rodríguez Jiménez"/>
        <s v="Cesar Yohanner Capote Alvarado"/>
        <s v="César Yuriel Martínez Reyna"/>
        <s v="Christian Yordan Tamayo Ávila"/>
        <s v="Cira Iliana Macias Fonseca"/>
        <s v="Ciro Alberto Labaut Ramos"/>
        <s v="Claudia"/>
        <s v="Claudia Fonseca Santiesteban"/>
        <s v="Claudia Oliva Munoz"/>
        <s v="Claudia Romero Melendez"/>
        <s v="Clauio"/>
        <s v="Corella"/>
        <s v="Cristhian Enrique Perez Avila"/>
        <s v="Cristian Jose Collazo Rodriguez"/>
        <s v="Cristofer González Quintosa"/>
        <s v="Cynthia"/>
        <s v="Dagoberto"/>
        <s v="DAILY MAYEA LEON"/>
        <s v="Dailys Gutierrez Cuervo"/>
        <s v="Dailys Sanchez"/>
        <s v="Dainel Gonzales Ramirez"/>
        <s v="Dairon de la Paz Leyva"/>
        <s v="Dalia"/>
        <s v="Dalila Rachel Cala"/>
        <s v="Danay Scull Figueroa"/>
        <s v="Danelys Tirce Sanz"/>
        <s v="Daniel  Rafael F Hernandez"/>
        <s v="Daniel A A Hernandez"/>
        <s v="Daniel Alejandro Raimundo Portal"/>
        <s v="DANIEL DAVID FLORES VIQUILLON"/>
        <s v="Daniel David Perez Romero"/>
        <s v="Daniel Enrique Ramos Gonzalez"/>
        <s v="Daniel Ernesto Castillo Pérez"/>
        <s v="Daniel Faustino Sardinas Torres"/>
        <s v="DANIEL ORLANDO COLLADO"/>
        <s v="DANIEL ORLANDO COLLADO / CPF Nivian"/>
        <s v="DANIEL ORLANDO COLLADO RODRIGUEZ"/>
        <s v="Daniela Abreu"/>
        <s v="Daniela Fuentes Reyes"/>
        <s v="Daniela Reyes"/>
        <s v="Danier Pérez Quesada"/>
        <s v="Danilo Emilio Arrieta Valdés"/>
        <s v="Danis Gonzalez Valdes"/>
        <s v="Danlier Almenares Isaac"/>
        <s v="Danny Alvarez Mondeja"/>
        <s v="Danny Linares Veitia"/>
        <s v="Darianny Gonsalez Lopez"/>
        <s v="Dariannys Labrada Comendador"/>
        <s v="Dariel"/>
        <s v="Dariel Alexis González Quiñones"/>
        <s v="DARIEL VALERA PEREZ"/>
        <s v="Darien Alonso Pelayo"/>
        <s v="Darily Diaz Roja"/>
        <s v="Darwin García"/>
        <s v="David Alfonso Torres"/>
        <s v="David de Jesus Alvarez Castaneda"/>
        <s v="David Emilio Cabrera Ortega"/>
        <s v="David Humberto Matías Laredo"/>
        <s v="Dayami Cruz Ramirez"/>
        <s v="Dayami Minguez Ordonez"/>
        <s v="Dayami Torres Hernandez"/>
        <s v="Dayamis Rodriguez Cantin"/>
        <s v="Dayan Morgado espinosa"/>
        <s v="Dayana Arrechea Rodriguez"/>
        <s v="Dayana Arrechea Rodriguez/Manuel Arrechea"/>
        <s v="Dayana Avila Molina"/>
        <s v="Dayana Eylin Franco Astorga / Elayne"/>
        <s v="Dayana López Morales"/>
        <s v="Dayana Macias Rodríguez"/>
        <s v="Dayana Mayo Gámez"/>
        <s v="Dayana Santiago de la Torre"/>
        <s v="Dayane Bravo Reyes"/>
        <s v="Dayanes Quiala"/>
        <s v="Dayanis Marina Peña Romero"/>
        <s v="Dayannis Yisel Rosabal Paz"/>
        <s v="Daybel Rodrigues consuegr"/>
        <s v="Dayexi Durruty Bisset"/>
        <s v="Daynis"/>
        <s v="Daynis Ramos Zamora"/>
        <s v="Dayron Pérez"/>
        <s v="Daysi Rodriguez Romero"/>
        <s v="Deinler Matos Marin"/>
        <s v="Deivys Rodríguez Rodríguez"/>
        <s v="Delmis Vicet Tamayo"/>
        <s v="Dennys Piña Ávila"/>
        <s v="Desconocido"/>
        <s v="Deyanira Valdes Renteria"/>
        <s v="Deynis D  Echemendia Done"/>
        <s v="Deyver Guevara Aleaga"/>
        <s v="Deyvis Pérez Villar"/>
        <s v="Diagna Valdes Basante Zaldivar"/>
        <s v="Diana Rosa Rodriguez del Toro"/>
        <s v="Dianey de la Caridad Manso Villegas"/>
        <s v="Diansy Soto Marrero"/>
        <s v="Diarelys Soto Marrero"/>
        <s v="Diaz Yander"/>
        <s v="Didier Valdes Padron"/>
        <s v="Dinorkis Reyes Cardero"/>
        <s v="Dioglis"/>
        <s v="Diomar Casas Olivares"/>
        <s v="Dionel Gomez Gonzalez"/>
        <s v="Diorge Mendoza Figueredo"/>
        <s v="Diosbel Fernandez Cruz"/>
        <s v="Diosvani Gonzales Arcos"/>
        <s v="Diovanis Carrión Martínez"/>
        <s v="Donato Perez Merique"/>
        <s v="Dora"/>
        <s v="Doraine"/>
        <s v="Doralis Castillo Sanchez"/>
        <s v="Dorgis Paneca Aparicio"/>
        <s v="Dreidy Avila Hechavarría"/>
        <s v="Duany  Enrrique Alvarez"/>
        <s v="Dulan Mineto Pozo"/>
        <s v="Dunia Elena Martinez Paneque"/>
        <s v="Duniesky Felix Cuellar"/>
        <s v="Eddy Cristhiam Lien Chacon"/>
        <s v="Eddy Ollalvides Viera"/>
        <s v="Eddys Mengana"/>
        <s v="Edgar Serpa Barrera"/>
        <s v="Edilberto Lien Dínza"/>
        <s v="Eduardo Alvarez Balbuena"/>
        <s v="Eduardo Aróstica Aparicio"/>
        <s v="Eduardo Batista Duque"/>
        <s v="Eduardo León Gonzalez"/>
        <s v="Edwin Martinez Gutierrez"/>
        <s v="Efrain Antonio Fong Pena"/>
        <s v="Elaine Perez Díaz"/>
        <s v="Elba Ortiz Frómeta"/>
        <s v="Elena Rodriguez Espinosa"/>
        <s v="Eleodoro Roberto Basullto"/>
        <s v="Eleodoro Roberto Basulto Basulto"/>
        <s v="Eliamdris"/>
        <s v="Elianis Bourricaudy Ricardo"/>
        <s v="Eliany Guevara Delgado"/>
        <s v="Eliany Rodriguez Roque"/>
        <s v="Elianys"/>
        <s v="Elias Salim Rojas"/>
        <s v="Elienai"/>
        <s v="Elienai Castillo Zaldivar"/>
        <s v="Elieser Castro Castellanos"/>
        <s v="Elieser Reyes Rodriguez"/>
        <s v="Eliezer Moreno Blanco"/>
        <s v="Elio Alberto Tamayo Garcia"/>
        <s v="Elio AlbertoTamayo Garcia"/>
        <s v="Elizabeth"/>
        <s v="Elizabeth Matos"/>
        <s v="Elizabeth Perez Quevedo"/>
        <s v="Elizabeth Ruiz Paredes"/>
        <s v="Elmis Muñoz Ramirez"/>
        <s v="Elpidio Cisnero Masso"/>
        <s v="Elvia López Carmenate"/>
        <s v="Elvis Pérez Perez"/>
        <s v="Emilio Perez Alonso"/>
        <s v="Emilio Reinier Pedroso Vento"/>
        <s v="Emilio Rodríguez González"/>
        <s v="Enia Ortiz Leyva"/>
        <s v="Eniel Matos Perez"/>
        <s v="Enrique Miranda López"/>
        <s v="Enrique Valier Isargue"/>
        <s v="Erick Laurence Mauricio"/>
        <s v="Erlis Enrique faria Vigoa"/>
        <s v="Erlis Rodriguez hernandez"/>
        <s v="Ernesto Joaquin Diaz leiva"/>
        <s v="Ernesto Lázaro Pérez Lugo"/>
        <s v="Ernesto Pablo Vázquez de Paz"/>
        <s v="Ernesto Pulido Vázquez"/>
        <s v="Ernesto Ramón Marín Rodríguez"/>
        <s v="Ernesto Roselló Quesada"/>
        <s v="Erzilí Oliveros Perez"/>
        <s v="Esbary Fundora Rosales"/>
        <s v="Esmerlinda Betancourt Villar"/>
        <s v="Esteban Molina Zayas"/>
        <s v="Estefany Fernández"/>
        <s v="Eudalis Fernández"/>
        <s v="Eudalis Fernández Rodriguez"/>
        <s v="Eulider Napoles Gonzalez"/>
        <s v="Evelyn Martin Chavez"/>
        <s v="Ezequiel Calzadilla Plasencia"/>
        <s v="Felix Barranco Espin"/>
        <s v="Felix Leon"/>
        <s v="FELIX LEON FIGUEROA"/>
        <s v="Fernando Milan Simón"/>
        <s v="Fidel Villa Padron"/>
        <s v="Francisco Hernández Vizoso"/>
        <s v="Francisco Lázaro Espinosa Castillo"/>
        <s v="Francisco Lisvey Gonzalez"/>
        <s v="Frank Andux Mesa"/>
        <s v="FUSSTER MONTERO CASTELLANO"/>
        <s v="Gabriel Chaves Cabaletto"/>
        <s v="GABRIEL FLORENTINO CHOROT DIAZ"/>
        <s v="Geidis Ramirez Montero"/>
        <s v="Geidy Yilianis Bastarrica Echeverría"/>
        <s v="Gelen Marlene Garrido"/>
        <s v="Geordanis Bonne Miranda"/>
        <s v="George Boris Calzado"/>
        <s v="Georky Nunez Fernandez"/>
        <s v="Geovanys Toirac Rodriguez"/>
        <s v="Giberto Jesus Hernández Neyra"/>
        <s v="Gilberto Enrique Menendez"/>
        <s v="Gilberto Enrique Menendez Guerrero"/>
        <s v="Gilberto Enrrique Menendez"/>
        <s v="Gilberto Gonzalez Toledo"/>
        <s v="Gilberto Raul Matos Matos"/>
        <s v="Gilberto Santos Rodriguez"/>
        <s v="Giorkis Mengana"/>
        <s v="Gisell"/>
        <s v="Gladis Maria Alarcón Fonseca"/>
        <s v="Glismari Mesa Aguilar"/>
        <s v="Greey de la Riva Garcia"/>
        <s v="Guillermina Aguilar Sarmiento"/>
        <s v="Guillermo José Hernández Cabriales"/>
        <s v="Guillermo Montejo"/>
        <s v="Guillermo Roca Franco"/>
        <s v="Harol Tejeda Bueno"/>
        <s v="Héctor Rios Quintero"/>
        <s v="Helen Martinez Torres"/>
        <s v="Helier Padilla Martínez"/>
        <s v="Henry Ezequiel Tito Hernandez"/>
        <s v="Herenia Tamayo Hidalgo"/>
        <s v="Heriberto Benítez Gómez"/>
        <s v="Hernel Batista Hernandez"/>
        <s v="Hiala Lilian Cerza"/>
        <s v="Hianni Alejandro Arcis Pons"/>
        <s v="Hidio Rafael Garces Torres"/>
        <s v="Ibrahin Bernabeu"/>
        <s v="Idael Torres Benavides"/>
        <s v="Idalis Melba Rubio González"/>
        <s v="Idania Pérez Jimenez"/>
        <s v="Ifrain"/>
        <s v="ILIANA HAYDEE SORIANO QUIROS"/>
        <s v="Iliana Mercedes Perez Acosta"/>
        <s v="Indira Gallardo Marrero"/>
        <s v="Inés Dilu Herrera"/>
        <s v="Ingrid Arencibia Rodriguez"/>
        <s v="Iosyel Contreras"/>
        <s v="Irisleidy Ramirez Cardena"/>
        <s v="Isis"/>
        <s v="Ismael Borrero Bermejo"/>
        <s v="Ivet Roque Batista"/>
        <s v="Ivette Allegue Saavedra"/>
        <s v="Izabela Figueras Kindelan"/>
        <s v="Jainiel Fonseca Martínez"/>
        <s v="Jaksel Calvo Dominguez"/>
        <s v="Janet Castellón Gonzalez"/>
        <s v="Jasiel Guerra  Loaces"/>
        <s v="Javier Del Valle Lollola"/>
        <s v="Javier Garzon Moreno"/>
        <s v="Javier Jesús Alonso Moreno"/>
        <s v="Javier Ruiz Hernandez"/>
        <s v="Jaynier Caraballo Galán"/>
        <s v="Jean Marco Rivero"/>
        <s v="Jeihison Oswaldo Mora Reyes"/>
        <s v="Jendrys Clavel Morales"/>
        <s v="Jeniffer Isabel Bernal Puentes"/>
        <s v="Jeniffer Patricia Martin Urquiola"/>
        <s v="Jenner Arias Gamez"/>
        <s v="Jennifer Llerena Utria"/>
        <s v="Jessika Quintana Fraga"/>
        <s v="Jesús David Aguilar Figueroa"/>
        <s v="Jesus Diaz Armaignac"/>
        <s v="Jesús Enrique Ledesma Alvarez"/>
        <s v="Jesus Oliver García"/>
        <s v="Jesus Yeras Moya"/>
        <s v="Jeyser de los Angeles"/>
        <s v="Jhonny"/>
        <s v="Joel David Sanchez Perez"/>
        <s v="Joel Ernesto Alonso"/>
        <s v="Jolby Torres Sanchez"/>
        <s v="Jonathan Andrés Rodríguez Muñoz"/>
        <s v="Jorge César González Núñez"/>
        <s v="Jorge David"/>
        <s v="Jorge Dayron Mendez Maynard"/>
        <s v="Jorge Luis"/>
        <s v="Jorge Luis Acosta Lopéz"/>
        <s v="Jorge Luis Arencibia Rodriguez"/>
        <s v="Jorge Luis Coello Vidal"/>
        <s v="Jorge Luis Martínez Paula"/>
        <s v="Jorge Luis Pérez Yero."/>
        <s v="Jorge Luis Sanchez Rivera"/>
        <s v="Jorge Luis Veliz Pérez"/>
        <s v="Jorge Michel"/>
        <s v="Jorge Michel Norona Acosta"/>
        <s v="Jorge Ramón Linares Castillo"/>
        <s v="Jorlam Lavalle Mustelier"/>
        <s v="Josbeny Benitez Alvarez"/>
        <s v="José Agustín Sosa Osorio"/>
        <s v="Jose Alberto"/>
        <s v="José Antonio Concepción Suárez"/>
        <s v="Jose Antonio Polanco Torrivilla"/>
        <s v="José Carlos Quezada Estrada"/>
        <s v="José Fernández Montero"/>
        <s v="José Jesús Ramón García"/>
        <s v="José Jesús Remón García"/>
        <s v="Jose Luis"/>
        <s v="José Luis Carmenates Nápoles"/>
        <s v="Jose Luis Collado Ulloa"/>
        <s v="José Luis García Lopez"/>
        <s v="Jose Luis Machuat"/>
        <s v="Jose Luis Salgado Chao"/>
        <s v="José Manuel Carralero Pupo"/>
        <s v="Jose Manuel Ferrera Sanchez"/>
        <s v="José Miguel Segura Martinez"/>
        <s v="Jose Norlan Marrero Figueredo"/>
        <s v="Jose Pablo Delgado Marco"/>
        <s v="José Raúl Hernández Alonso"/>
        <s v="Josefa Reina Brito Diaz"/>
        <s v="Josiel Rodriguez Sierra"/>
        <s v="Josmay Antonio Rodriguez"/>
        <s v="Juan Alberto Aguilera Rodríguez"/>
        <s v="Juan Carlos Ibarra Yera"/>
        <s v="Juan José López Agüero"/>
        <s v="Juan Miguel Lopez Oses"/>
        <s v="Juan Miguel Tellez Feria"/>
        <s v="Juana"/>
        <s v="Julian González Velázquez"/>
        <s v="Julio Cesar Aguilar Valdes"/>
        <s v="Julio Cesar Mesa Rubio"/>
        <s v="Julio Cesar Silva Diaz"/>
        <s v="Julio Rodríguez Sanchez"/>
        <s v="Junet Castro Ramos"/>
        <s v="Justo Ortiz Maso"/>
        <s v="Karel de Jesús Díaz Tornes"/>
        <s v="Karel Diaz Linares"/>
        <s v="Karla Medero Moreno"/>
        <s v="Karla Michele Masot Matos"/>
        <s v="Karla Perez Reyes"/>
        <s v="Katia"/>
        <s v="Katiusca Cabrera González"/>
        <s v="Keila Torres Jiménez"/>
        <s v="Keity"/>
        <s v="Keity Pelier Dominguez"/>
        <s v="Kenia Arrechea Perez"/>
        <s v="Keytis Chacon Fuentes"/>
        <s v="Lachy"/>
        <s v="Larry Fernandez Verdecia"/>
        <s v="Laura Fernández Lugo"/>
        <s v="Lázaro Arturo Ledesma Izquierdo"/>
        <s v="Lazaro Luis Pereira Reyes"/>
        <s v="Leandro Barbaro Cutting"/>
        <s v="Leandro Esteban Petrakis"/>
        <s v="Leandro Luis Marrero Matos"/>
        <s v="Leandro Moreira Frometa"/>
        <s v="Leandro Rabí Guerra"/>
        <s v="Ledian Portuondo Castro"/>
        <s v="Leduan"/>
        <s v="LEIDIS LAURA"/>
        <s v="Leidis Laura Canosa Interian"/>
        <s v="Leinnis Lahera Alvarez"/>
        <s v="Leoddis Rosales Pompa"/>
        <s v="Leonardis Morales"/>
        <s v="Leonardo"/>
        <s v="Leonardo Arguelles León"/>
        <s v="Leonardo Barrientos Gorguet"/>
        <s v="Leonel Mendoza Marino"/>
        <s v="Leony Autberto Rondón Salazar"/>
        <s v="Leyanet"/>
        <s v="Leyanis Gómez Curó"/>
        <s v="Leydi Irinav Ayala Leon"/>
        <s v="Lia Mir Areviche"/>
        <s v="Lianet Alfonso Martinez"/>
        <s v="Lianet Romero Bello"/>
        <s v="Lídice Arbolaez Gonzalez"/>
        <s v="Lidys Castellanos Marti"/>
        <s v="Lie Martinez"/>
        <s v="Liesnileisi Rodriguez Miranda"/>
        <s v="Liosbel Mendoza Arias"/>
        <s v="Lisandra Campos Rodriguez / Adrisley"/>
        <s v="Lisandra Corona Tamayo"/>
        <s v="Lisandra García Martínez"/>
        <s v="Lisandry Eloi Ortega Carmona"/>
        <s v="Lisardo Gomez Charon"/>
        <s v="Lisbel Guerrero Menéndez"/>
        <s v="Lisbet Araujo"/>
        <s v="Lisbet Blanco Diaz"/>
        <s v="LISBET GONZALEZ CAMEJO"/>
        <s v="Lisbet Valdes Richatts"/>
        <s v="Lisbeth Góngora Hernández"/>
        <s v="Liset Maria Hernandez Barsag"/>
        <s v="Lissandra Amada Dominguez Cabrera"/>
        <s v="Lisset Bravo Muchuli"/>
        <s v="LISSET LOPEZ GARCIA"/>
        <s v="Lisyanis Amelia Vega Hernández"/>
        <s v="Litmay de la Caridad Cantero Tartabull"/>
        <s v="Lizardo Andres Lopez Venega"/>
        <s v="Loiret Martin Diaz"/>
        <s v="Lorena"/>
        <s v="Lourdes Pantoja Leyva"/>
        <s v="Luanda Zayas Martínez"/>
        <s v="Ludmila Morales Llerena"/>
        <s v="Luis Alberto García Coca"/>
        <s v="Luis Alejandro Veliz Garcia"/>
        <s v="Luis Angel Paneque Marino"/>
        <s v="Luis Angel Paneque Merino"/>
        <s v="Luis Daniel Aguilera"/>
        <s v="Luís Daniel Gutierrez Algarra"/>
        <s v="Luis Dariel Diaz Garcia"/>
        <s v="Luis Eduardo Riveron Ramirez"/>
        <s v="Luis Enrique Rodriguez Suarez"/>
        <s v="Luis Manuel Reyes Peres"/>
        <s v="Luis Miguel Suárez Leiva"/>
        <s v="Luis Morales Molina"/>
        <s v="Luis Ruber Frometa Navarro"/>
        <s v="Luis Walfrido"/>
        <s v="Luis Yasmany Sedeño Balbuena"/>
        <s v="Luisbel García Martínez"/>
        <s v="Madeleyne Flores Mezquía"/>
        <s v="Madelyn Garcia Diaz"/>
        <s v="Magalys Negret"/>
        <s v="Magalys Perez Gutierrez"/>
        <s v="Magdalena González Hernandez"/>
        <s v="Magdielis Castro Rodríguez"/>
        <s v="Magyury Hernandez Perez"/>
        <s v="Maikel Espinosa Rodríguez"/>
        <s v="Maikel Niño Lahera"/>
        <s v="Maikel Ramirez Riveron"/>
        <s v="Maiquel Toledo Capote"/>
        <s v="Maira Cabrera"/>
        <s v="Maite Ortega"/>
        <s v="Manuel Alejandro Duarte Montenegro"/>
        <s v="Manuel De Jesús González Rondón"/>
        <s v="Manuel Enrique Betancourt Cabreja"/>
        <s v="Manuel Fabián (Vecino)"/>
        <s v="Manuel Silvestre"/>
        <s v="Marcela Maura Dominguez Tellez"/>
        <s v="Marco Antonio Pozo"/>
        <s v="Marcos Arminan Moret"/>
        <s v="Mari Carmen"/>
        <s v="Maria Beatriz Ramos Garcia"/>
        <s v="María De Jesús Cossio San Martin"/>
        <s v="Maria De Los Angeles Portal Portal"/>
        <s v="Maria Elena Coello Amaya"/>
        <s v="Maria Esther"/>
        <s v="Maria Julia Kindelan Suarez"/>
        <s v="Maria Mercedes"/>
        <s v="Maria Victoria"/>
        <s v="Marialy Sabido"/>
        <s v="Mariam Santiesteban Martínez"/>
        <s v="Marian Ferrer Neyra"/>
        <s v="Mariannis Norat Suarez"/>
        <s v="Mariano Rafael Barbosa Delgado"/>
        <s v="Maricela Pérez Gutiérrez"/>
        <s v="Maricelis Reyes Santana"/>
        <s v="Mariet Lara Garcia"/>
        <s v="Marilin Gonzalez Ricardo/ Dixan"/>
        <s v="Marilin Gonzalez Ricardo/Arael angel"/>
        <s v="Marina Hernández Castro"/>
        <s v="Marisbet Perez Moralez"/>
        <s v="Marisol Betancourt Reyes"/>
        <s v="Marisol Garcia La O"/>
        <s v="Maritza Castañeda Ge"/>
        <s v="Marlene Pérez Dominguez"/>
        <s v="Marlies Yero Martínez"/>
        <s v="Marlin Trujillo Suarez"/>
        <s v="Marlon Omar Leyva Rodriguez"/>
        <s v="Martha Elizabeth F Carcaces"/>
        <s v="Mary Luz Bauta Perez"/>
        <s v="Maydelis Fis Almeida"/>
        <s v="Mayelin Pérez Medina"/>
        <s v="Mayla de la Caridad Diaz Herrera"/>
        <s v="Maylen Pino Miranda"/>
        <s v="Mayra Guerrero Cabrera"/>
        <s v="Mayrelis Blanco Betancourt"/>
        <s v="Melanitha"/>
        <s v="Melany Díaz Gómez"/>
        <s v="Melissa"/>
        <s v="Melissa Garcia de la Torre"/>
        <s v="Melissa Hunt Rodriguez"/>
        <s v="Mercy Quintana"/>
        <s v="Meylin de la Caridad Macías Bustamante."/>
        <s v="Michael Rico Camellon"/>
        <s v="Michel Ernesto Socarras Martinez"/>
        <s v="Michel Piedra Sanchez"/>
        <s v="Michel Reyes Ordaz"/>
        <s v="Michel Richard Tamayo Teyes"/>
        <s v="Midiala Hernandez Venero"/>
        <s v="Miguel Alejandro Trenal Ladrón de Guevara"/>
        <s v="Miguel Azan Hidalgo"/>
        <s v="Miguel Idelmar Avalo Carmenates"/>
        <s v="Mijail Martinez Hernández"/>
        <s v="Miladis Ribeaux Terry"/>
        <s v="Miladysm Silva Diaz"/>
        <s v="mildreyabreusrivalta"/>
        <s v="Mileidy García García"/>
        <s v="Milene Pimentel Pérez"/>
        <s v="Minervis Maria del Castillo Gonzalez"/>
        <s v="Mireidys López Pérez"/>
        <s v="Mireya Lucia Charón Chavez"/>
        <s v="Miriam Osman Montero"/>
        <s v="Mirledis Justiz Agramonte"/>
        <s v="Misael Torres Serrano"/>
        <s v="Misleidy Yamile Pérez Calderón"/>
        <s v="Mylene Isabel Martinez Garcia"/>
        <s v="Nancy Hechavarria Cuello"/>
        <s v="Nelda Orasma Zamora"/>
        <s v="Nelson Echarte zamora"/>
        <s v="Nelson García"/>
        <s v="Nelson Manuel Correa Solano"/>
        <s v="Nelson Marcelo Helguera"/>
        <s v="Nelsy Morales Lima"/>
        <s v="Neober Agustín Dervilla Espinosa"/>
        <s v="Nereida Márquez Heredia"/>
        <s v="Nerelys Hernandez Gonzalez"/>
        <s v="Nestali Palmero Marixon"/>
        <s v="Neuris Oriel Ruiz"/>
        <s v="Neydis Caridad Valdez Díaz"/>
        <s v="Neylan Jesus Lopez Enriquez"/>
        <s v="Nilen Felicia Yanez Menendez"/>
        <s v="Niudda Rodriguez Labañino"/>
        <s v="Niuris Moulton"/>
        <s v="Niurka Ramos la O"/>
        <s v="Niurka Raveiro Santos"/>
        <s v="Noé Escobar Feria"/>
        <s v="Noelia Estela Duarte"/>
        <s v="Noraida"/>
        <s v="Noremi Ballester Mesa"/>
        <s v="Norges Coss Santana"/>
        <s v="Noslen Castilla del Rosario"/>
        <s v="Nosleydis Mena Lorenzo"/>
        <s v="Octavio Agustin Rodriguez Miranda"/>
        <s v="Octavio Ernesto Testa Alfonso"/>
        <s v="Odalys Alvarez Perez"/>
        <s v="Odelys Maikel Crespo Zaldivar"/>
        <s v="Odys Maria Esparraguera Almenares"/>
        <s v="Ofelia De la Caridad Vega"/>
        <s v="Ofelia Zambrana Gonzalez"/>
        <s v="Olga Lidia Guerra Chavez"/>
        <s v="Olga Maria Munoz"/>
        <s v="OLGA MARIA MUNOZ GONZALEZ"/>
        <s v="Omar Mora"/>
        <s v="Omar Rodriguez Prieto"/>
        <s v="Omar Suren Martinez"/>
        <s v="Onelys Hernandez Dominguez"/>
        <s v="Orestes Gonzalez Hernandez"/>
        <s v="Orlando Miguel Rodriguez Alvarez"/>
        <s v="Orlando Miguel Rodríguez Álvarez"/>
        <s v="Orleydis Leyva Cedeno"/>
        <s v="Orleydis Leyva Cedeno/Pedro"/>
        <s v="ORLINDA ALFONSO PANACO"/>
        <s v="Ormedis Ramos Bautista"/>
        <s v="Oscar Garcia Quintana"/>
        <s v="Osiel Milian Perez"/>
        <s v="Oslaidy Home Rodriguez"/>
        <s v="Oslander Lavrada Herrera"/>
        <s v="Oslanier Alfonso Mesa"/>
        <s v="Osmani Morales Martin"/>
        <s v="Osmani Valdes Valdes"/>
        <s v="Osmany Carballosa Gómez"/>
        <s v="Osmany Fernandez"/>
        <s v="Osmany Hernandez del Sol"/>
        <s v="OSMANY MARCEL FABRÉ"/>
        <s v="Osmar"/>
        <s v="Osmar Abel Poll Morales"/>
        <s v="Osmar Antonio Gongora"/>
        <s v="Osmay Carbonell"/>
        <s v="Osmel Garcia Rodriguez"/>
        <s v="Osniel Martinez Lara"/>
        <s v="Osniel Zayas Fernández"/>
        <s v="Osvaldo Fernandez"/>
        <s v="Ovidio Osmany Hernández Balsinde"/>
        <s v="Pablo Alain Toscano Reyes"/>
        <s v="Pablo Luis Ramírez Cabo"/>
        <s v="Patricia Maria Benitez Castro"/>
        <s v="Patricia S Saavedra"/>
        <s v="Paulino Vladimir Rosell Quesada"/>
        <s v="Pavel Estrada"/>
        <s v="Pedro Alberto Hernandez Maura"/>
        <s v="Pedro Antonio Araujo Quesada"/>
        <s v="Pedro Garces Arcia"/>
        <s v="Pedro Jorge Gonzalez Acosta"/>
        <s v="Pedro Leyva Gordo"/>
        <s v="Pedro Luis Carrillo"/>
        <s v="Pedro Pablo León Senges"/>
        <s v="Pedro Ramon Nunez Marimon"/>
        <s v="Racheli Bermudez Gonzales"/>
        <s v="Rafael del Risco Jimenez"/>
        <s v="Rafael Díaz"/>
        <s v="Rafael Díaz Núñez"/>
        <s v="Rafael Fonseca Ricardo"/>
        <s v="Rafael Hernandez Colome"/>
        <s v="Rafael Morgado"/>
        <s v="Rafael Norberto Plano Grinam"/>
        <s v="Raida Adelaida Cardoso Arteaga"/>
        <s v="Raidel Buron Diaz"/>
        <s v="Raidel Hernandez Rio"/>
        <s v="Raiza Nápoles Hernandez"/>
        <s v="Ramon de la Cruz Belia"/>
        <s v="Ramon Javier Moreno Ortiz"/>
        <s v="Ramón Mauricio LaO Curbelo"/>
        <s v="Raquel María Díaz Badell"/>
        <s v="Raudel Cutiño Lorente"/>
        <s v="Raul"/>
        <s v="Raul / Raidelys"/>
        <s v="Raul Alvarez Alvarez"/>
        <s v="Raúl Licea Suárez"/>
        <s v="Raul/ Raidelys"/>
        <s v="Rayma Hidalgo Rodriguez"/>
        <s v="Rayme Ronda González"/>
        <s v="Raymond Martinez Fernandez"/>
        <s v="Raysel Lázaro Báez Reyes"/>
        <s v="Regla Sayli Lopez"/>
        <s v="Reidy Napoles Perez"/>
        <s v="Reiler Samón Furones"/>
        <s v="Reina Derisleidy"/>
        <s v="Reinaldo"/>
        <s v="Reinaldo Collado Ayala"/>
        <s v="Reinaldo Collado Ayala / Randy"/>
        <s v="Reineri Jay Azahares"/>
        <s v="Reinier"/>
        <s v="Reinier Altabas"/>
        <s v="Reinier Gonzales Hecheverria"/>
        <s v="Rene Cruz Vega"/>
        <s v="René Humberto Lahera Mora"/>
        <s v="René Miguel Dopico Chavez"/>
        <s v="René Silverio Caballero Romeu"/>
        <s v="Renier Guillermo Diago Herrera"/>
        <s v="Rey Luis Díaz Vives"/>
        <s v="Rey Tony González Cabrera"/>
        <s v="Reylandi Lantigua Garcia"/>
        <s v="Reynier Díaz Díaz"/>
        <s v="Reynier Garcia Busutil"/>
        <s v="Reynier Pulido Mesa"/>
        <s v="Ricardo"/>
        <s v="Ricardo Balbino Baluja Gordillo"/>
        <s v="Ricardo Geovanis Suárez Reyes ( telf cubano)"/>
        <s v="Ricardo Geovanis Suárez Reyes ( telf cunabo)"/>
        <s v="Ricardo Gonzalez Korets"/>
        <s v="Ricardo Perera Ortiz"/>
        <s v="Ricardo Rodriguez Rodriguez"/>
        <s v="Robert"/>
        <s v="Roberto"/>
        <s v="Roberto Janet Durruty"/>
        <s v="Roberto Jesús Salazar"/>
        <s v="Roberto Leandro Dominguez Gouyonnet"/>
        <s v="Roberto Leon Folgoso"/>
        <s v="Roberto Martinez Suarez"/>
        <s v="Roberto Parra"/>
        <s v="Roberto Perez Fernandez / Pedro Luis Acosta"/>
        <s v="Roberto Racet Pimentel"/>
        <s v="Roberto René Baptista"/>
        <s v="Robiel Hidalgo"/>
        <s v="ROBIEL HIDALGO RODRIGUEZ"/>
        <s v="RODIS NARINO HERNANDEZ"/>
        <s v="Rodney terry muñoz"/>
        <s v="Rodrigo Lázaro Leyva"/>
        <s v="Roel Reyes Rojas"/>
        <s v="Roelder Ramirez"/>
        <s v="Roelkis Torres"/>
        <s v="Roelsi Roja Leyva"/>
        <s v="Rogelio Carrion Leyva"/>
        <s v="Roger Matos"/>
        <s v="Roilandy Cabrera Rangel"/>
        <s v="Roinier Orozco Delgado"/>
        <s v="Rolando Navarrete Limonta"/>
        <s v="Rolando Perez Machín"/>
        <s v="Rolando Rodriguez Hernandez"/>
        <s v="Rolando Savigne"/>
        <s v="Ronald N Alburquerque"/>
        <s v="Ronney Jacinto Ocaña de Moya"/>
        <s v="Ronny Ortega Tabares"/>
        <s v="Rony Roca Diaz"/>
        <s v="Rony Roca Diaz/Neivis"/>
        <s v="ROSA Fernandez Ruiz"/>
        <s v="Rosa Gálvez Sánchez"/>
        <s v="Rosa Maria Diaz Rodriguez"/>
        <s v="Rosabel Maria Reyes"/>
        <s v="Rosario Nunez Guerrero"/>
        <s v="Roxana Gonzalez Cabrera"/>
        <s v="Roxana Laffita Noa"/>
        <s v="Roydel Eduardo García Fiffe"/>
        <s v="Roylan"/>
        <s v="Rudis Ortiz Olivares"/>
        <s v="Rudy"/>
        <s v="Ruliver Capote Contreras"/>
        <s v="Sandra de la Caridad Pimentel"/>
        <s v="Sandra Mesa Rizo"/>
        <s v="Sarahy Veliz Miranda"/>
        <s v="Saremis Cordero Martinez"/>
        <s v="Saymel Choy del Campo"/>
        <s v="Senia Olivero Hidalgo"/>
        <s v="Serguei Blanco"/>
        <s v="Serguey Prieto Marrero"/>
        <s v="Shakira Mallo"/>
        <s v="Sheila Chaquira Moreno Tamayo"/>
        <s v="Sonia Viviane Jimenez Carpi"/>
        <s v="Stalin Perez Rivero"/>
        <s v="Stefani de la Caridad González García"/>
        <s v="Surema Ferrer Gola"/>
        <s v="Suremys Pavón Madera"/>
        <s v="Suris"/>
        <s v="SUYINKA SERRANO GUERRA"/>
        <s v="Tania González García"/>
        <s v="Teresita de la Cruz Jacob"/>
        <s v="Thalía"/>
        <s v="Uver Cabrera Lora"/>
        <s v="Valeris Hernandez fleitas"/>
        <s v="Vanessa Villalejo Matos"/>
        <s v="Vania"/>
        <s v="VERÓNICA HERNÁNDEZ URGELLES"/>
        <s v="Victor Anier Mora López"/>
        <s v="Victor Daniel Perez"/>
        <s v="Victor Manuel Debora Moreno"/>
        <s v="Victor Manuel Marquez Rodriguez"/>
        <s v="Víctor Manuel Munoz Padron"/>
        <s v="Victor Manuel OP / Herminio Tellez"/>
        <s v="Victor Ramon Bordon Blanc"/>
        <s v="Virgen Dels Chaveco"/>
        <s v="Vismay Jesus Agüero Puig"/>
        <s v="Vivian Rodriguez Agras"/>
        <s v="Vladimir Coronado Romero"/>
        <s v="Vladimir Fernández Rodríguez"/>
        <s v="Vladimir Orta Brunet"/>
        <s v="Vladimir Ortiz"/>
        <s v="Vladimir Ortiz Cantero"/>
        <s v="Vladimir Silva Silva"/>
        <s v="Wandy Campos Ojeda"/>
        <s v="Wilian Gonzalez Cano"/>
        <s v="Willian Zamora Galan"/>
        <s v="Wisley Mederos Guerra"/>
        <s v="Wisley Vederos Guerra"/>
        <s v="Wliser Martinez Sánchez"/>
        <s v="Xavier de la Cruz Pérez"/>
        <s v="Xiomy Cabrera"/>
        <s v="Yadian Martinez Cata"/>
        <s v="Yadier/ Guatavo Martínez Cruz"/>
        <s v="Yadira Giron Mesa"/>
        <s v="Yadira Martinez Rodríguez"/>
        <s v="Yadira Mayo Pache"/>
        <s v="Yadira Piedra Mela"/>
        <s v="Yadna González Brito"/>
        <s v="Yailén López Rubié"/>
        <s v="Yailenis Girón de Arma"/>
        <s v="YAILENY OLIVA FUENTES"/>
        <s v="Yaily Gil Cue"/>
        <s v="Yaima González Hernández"/>
        <s v="Yaíma Leyva Arévalo"/>
        <s v="Yaima Roman Grinan"/>
        <s v="Yainelys Domínguez Alemán"/>
        <s v="Yaiquel Rondon Góngora"/>
        <s v="Yalicia Pompa Román"/>
        <s v="Yamil medina"/>
        <s v="Yamila Gomez Martinez"/>
        <s v="Yamila Mesa Moya"/>
        <s v="Yamile Ham Chiong"/>
        <s v="Yamiley Gómez Pérez"/>
        <s v="Yamilka Ledesma"/>
        <s v="YANAYS CAPOTE MONTERO"/>
        <s v="Yancell Carbenas Bravo"/>
        <s v="Yander Diaz Mena"/>
        <s v="Yandi Luis Contreras mesa"/>
        <s v="Yandry Perez Rodriguez"/>
        <s v="Yaneisy Elena Munoz Rizo"/>
        <s v="Yaneisys Carbonell Giron"/>
        <s v="Yanela Fabat Moracen"/>
        <s v="Yanela Flabia Román Leyva"/>
        <s v="Yanela Moreno Pons"/>
        <s v="Yanelis Sanchez Trujillo"/>
        <s v="Yaneski Marrero Pacheco"/>
        <s v="Yaneski Varona Cruz"/>
        <s v="Yanet"/>
        <s v="Yanet Amelia Villacencio Mato"/>
        <s v="YANET AMELIA VILLAVICENCIO"/>
        <s v="Yanet Bermudez Gonzalez"/>
        <s v="Yanet Gonzalez Torres"/>
        <s v="Yanet Guerra Suarez"/>
        <s v="Yanet Vega Mayedo"/>
        <s v="Yanetsy Brito González"/>
        <s v="Yaneya Rueda Clapera"/>
        <s v="Yanior Enrique Serrano Maso"/>
        <s v="Yanisleidis"/>
        <s v="Yanisleidis Acosta Martinez"/>
        <s v="Yanisleidy Martinez Aguado"/>
        <s v="Yanisleidys Díaz Ortega"/>
        <s v="Yanitza Sánchez Santiesteban"/>
        <s v="Yanmelis Rivera Perez"/>
        <s v="Yanoy Duarte Duarte"/>
        <s v="Yansel Ruiz Fernandez"/>
        <s v="Yaquelin Zamora Lastre"/>
        <s v="Yarianni Oquendo Urgelles"/>
        <s v="Yaroslav De La Rosa Vela"/>
        <s v="Yasmani Álvarez Guilarte"/>
        <s v="Yasmani Benzol Alfonzo"/>
        <s v="Yasmani Boudet Fernández"/>
        <s v="Yasmani Yandris Boudet Fernández"/>
        <s v="Yasmany Delgado"/>
        <s v="Yasmany García Almeira"/>
        <s v="Yasmany Pérez Véliz"/>
        <s v="Yasmany Villalonga Perez"/>
        <s v="Yasnai Pineda Torres"/>
        <s v="Yasneily Velazquez Asevedo"/>
        <s v="Yasniel Roman Tellez"/>
        <s v="Yaymara Calunga Guilarte"/>
        <s v="Yeimi Aldma"/>
        <s v="Yendry Acevedo"/>
        <s v="Yendrys Maso Lacoste"/>
        <s v="Yeney Hernández / Adrian Hernandez"/>
        <s v="Yenia Ventura"/>
        <s v="Yenifer Pacheco De La Cruz"/>
        <s v="Yenis"/>
        <s v="Yenisleidi Rodriguez"/>
        <s v="Yenisleidy Ortega Cairo"/>
        <s v="Yenisley Morejon Fernandez"/>
        <s v="Yennifer Sofia Collazo Mendoza"/>
        <s v="Yenny Brown Carrero"/>
        <s v="Yerandy Castellanos Reyes"/>
        <s v="Yerannys Jesus Elias Figueredo"/>
        <s v="Yeretnys Sahay González"/>
        <s v="Yessica Morales Sanchez / Raudel Novo"/>
        <s v="Yexander"/>
        <s v="Yhoan Manuel Toledo"/>
        <s v="Yilian Pérez Quintero"/>
        <s v="Yilver Guerrero Beatriz"/>
        <s v="Yilver Guerrero Benitez"/>
        <s v="Yirenia Soledad Cabrero Moreno"/>
        <s v="Yisel"/>
        <s v="Yiuvan Elena Pino Bringuez"/>
        <s v="Yiuvan Elena Pino Bringuez (Jose Alejandro Torres)"/>
        <s v="Yiuvan Elena Pino Bringuez / Jose Edggar"/>
        <s v="Yixellis Rodriguez Rodriguez"/>
        <s v="Yoamne"/>
        <s v="Yoan Manuel Hernandez"/>
        <s v="Yoandra Ramos Arias"/>
        <s v="Yoandra Reymond Rojas"/>
        <s v="Yoandri Martí Vidal"/>
        <s v="Yoandri Socarra Reyna"/>
        <s v="Yoandri Zapata Vara"/>
        <s v="Yoandris Castellanos Cruz"/>
        <s v="Yoandris Ramirez Castro"/>
        <s v="Yoandrys Banteur Alvarez"/>
        <s v="Yoanis Vera Carrión"/>
        <s v="Yoanny Anate Gonzalez"/>
        <s v="Yoanys Mora"/>
        <s v="Yobany Molina"/>
        <s v="Yoel Alexander Pino Segura"/>
        <s v="Yoel Cornelio Gonzalez"/>
        <s v="Yoel Enrique Montes de Oca Acosta"/>
        <s v="Yoel Gonzalez Perez"/>
        <s v="Yoel Pacheco Dávila"/>
        <s v="Yoel Roney Maqueira González"/>
        <s v="Yoelkis Alba Rodriguez"/>
        <s v="Yoelvis López Bernal"/>
        <s v="Yoenni"/>
        <s v="Yoenni Matos Pascual"/>
        <s v="Yohana Blanco Mora"/>
        <s v="Yoikel Gomez"/>
        <s v="Yoisel Llerena Ibarra"/>
        <s v="Yoisy Martinez Fresneda"/>
        <s v="Yolaidis Hernandez Galindo"/>
        <s v="Yolanda"/>
        <s v="Yolanda Zarzuela"/>
        <s v="Yolimar del Carmen Torrivilla"/>
        <s v="Yoni Lay"/>
        <s v="Yoniesky Avila"/>
        <s v="Yordán Alexis Gómez Barreto"/>
        <s v="Yordan Diaz Guerra"/>
        <s v="Yordania Mendez"/>
        <s v="Yorlan Collazo Blanco"/>
        <s v="Yorleydis Gómez Navarro"/>
        <s v="Yosbany Bravo Sanchez"/>
        <s v="Yosbel"/>
        <s v="Yosbel Rojas"/>
        <s v="Yosdel Carpio Ozuna"/>
        <s v="Yosef  Ferrer Espinosa"/>
        <s v="Yosef Ferrer Espinosa"/>
        <s v="Yosiel"/>
        <s v="Yosleidy"/>
        <s v="Yosney Chapeau Cruz"/>
        <s v="Yosniel Abrines"/>
        <s v="Yosue Benedicto Alonso Velazques"/>
        <s v="Yosvany Juan Barrera Madrazo"/>
        <s v="Yovanis Durand Castillo"/>
        <s v="Yoysel"/>
        <s v="YRachy Rodriguez Fernandez"/>
        <s v="Yudel Castillo Diaz"/>
        <s v="Yudelka"/>
        <s v="YUDELKA GALAN RODRIGUEZ"/>
        <s v="Yudelki Oviedo Hernandez"/>
        <s v="Yudelkys Perez Pulgaron"/>
        <s v="Yudelmis Ramirez Cruz"/>
        <s v="Yudenia Matos Nunez"/>
        <s v="Yudeny Rojas Gomez"/>
        <s v="Yudith Zapata Terrero"/>
        <s v="Yudmila Batista Miranda"/>
        <s v="Yuleidys Veliz Miranda"/>
        <s v="Yuleisys Milan Peraza"/>
        <s v="Yuletsy Pimentel Recio"/>
        <s v="Yulian Rafael Reyes Molina"/>
        <s v="Yulier Cisnero Medina"/>
        <s v="Yuliesky Billetero Arcolea"/>
        <s v="Yulinka Rico Rivero"/>
        <s v="Yunayca"/>
        <s v="Yunel Herrera Sol"/>
        <s v="YUNEYSI DIAZ TORRES"/>
        <s v="Yuneysi Hernandez Enamorado"/>
        <s v="Yuniel Stable"/>
        <s v="Yunier la rosa ortega"/>
        <s v="Yunier Martinez Chavez"/>
        <s v="YUNIER R Rodriguez"/>
        <s v="Yunier Sánchez Marquez"/>
        <s v="Yuniesky Montero Segura"/>
        <s v="Yuniet Arevalo Muñoz"/>
        <s v="Yunior Abdala"/>
        <s v="Yunior Aguado Carballea"/>
        <s v="Yunipza"/>
        <s v="Yunipza Macias Rodriguez"/>
        <s v="Yunisleydis Rivero"/>
        <s v="Yunito Benitez Alonso"/>
        <s v="Yurina Rojas"/>
        <s v="Yurina Rojas Tellez"/>
        <s v="Yurisleidis Cabrera Marquez"/>
        <s v="Yurrien Guerrero Acosta"/>
        <s v="Yury"/>
        <s v="Yusbel Flores Garcia"/>
        <s v="Yusdanis Morejon"/>
        <s v="Yusleivi Rodríguez"/>
        <s v="Yusmaira castillo ruiz"/>
        <s v="Yusnaby Anca Placencia"/>
        <s v="Yusnely Munoz Bulnes"/>
        <s v="Yusnely Ramos Pozo"/>
        <s v="Yusney Corrales Perez"/>
        <s v="Yusnuelvys Rosabal Sotto"/>
        <s v="Yussier Ortega"/>
        <s v="Yuvisnel Rivera Garcia"/>
        <s v="Zanet Rodriguez Lameiro"/>
        <s v="Zarelys Perez Hernandez"/>
        <s v="Zoraida Díaz Márquez"/>
        <s v="Zoraida Linares Garcia"/>
        <s v="Zulema Verdecia Gonzalez"/>
        <s v="Zurizaday Torres Vazquez"/>
      </sharedItems>
    </cacheField>
    <cacheField name="TELEFONO" numFmtId="0">
      <sharedItems containsBlank="1" containsMixedTypes="1" containsNumber="1" containsInteger="1" minValue="5350748276" maxValue="5599984004588" count="1050">
        <n v="5350748276"/>
        <n v="5351116579"/>
        <n v="5351902311"/>
        <n v="5352070096"/>
        <n v="5352428007"/>
        <n v="5352483372"/>
        <n v="5352578161"/>
        <n v="5352754834"/>
        <n v="5352772934"/>
        <n v="5352935154"/>
        <n v="5353198044"/>
        <n v="5353274916"/>
        <n v="5353552585"/>
        <n v="5353645608"/>
        <n v="5354001951"/>
        <n v="5354075225"/>
        <n v="5354081128"/>
        <n v="5354386217"/>
        <n v="5354629954"/>
        <n v="5354639742"/>
        <n v="5354714239"/>
        <n v="5354824405"/>
        <n v="5355278360"/>
        <n v="5355398812"/>
        <n v="5355629785"/>
        <n v="5355635519"/>
        <n v="5356671474"/>
        <n v="5356796940"/>
        <n v="5358091217"/>
        <n v="5358105752"/>
        <n v="5358232839"/>
        <n v="5358358101"/>
        <n v="5358366148"/>
        <n v="5358557775"/>
        <n v="5358746935"/>
        <n v="5358849134"/>
        <n v="5926440647"/>
        <n v="5927379604"/>
        <n v="5927498912"/>
        <n v="5927501751"/>
        <n v="5977148130"/>
        <n v="5978206983"/>
        <n v="5978274291"/>
        <n v="5978331307"/>
        <n v="12394467745"/>
        <n v="15123166403"/>
        <n v="17673171185"/>
        <n v="17866539853"/>
        <n v="18135737867"/>
        <n v="18562664691"/>
        <n v="51967206803"/>
        <n v="55984390336"/>
        <n v="56972408728"/>
        <n v="56990727434"/>
        <n v="59172330170"/>
        <n v="59892373641"/>
        <n v="59892375350"/>
        <n v="59893876880"/>
        <n v="59895930973"/>
        <n v="95984026581"/>
        <n v="553172099905"/>
        <n v="553173657197"/>
        <n v="553182986802"/>
        <n v="553195677687"/>
        <n v="553198470552"/>
        <n v="553387028836"/>
        <n v="553397017278"/>
        <n v="553491516413"/>
        <n v="553491539667"/>
        <n v="553491649559"/>
        <n v="553497060180"/>
        <n v="553497063853"/>
        <n v="553499098215"/>
        <n v="553499432464"/>
        <n v="553591616260"/>
        <n v="553796633849"/>
        <n v="553798069518"/>
        <n v="553798577114"/>
        <n v="553799589574"/>
        <n v="553897538058"/>
        <n v="553898364580"/>
        <n v="553898460938"/>
        <n v="554120006005"/>
        <n v="554174031174"/>
        <n v="554184014887"/>
        <n v="554184060700"/>
        <n v="554184117770"/>
        <n v="554184341753"/>
        <n v="554184391627"/>
        <n v="554184521162"/>
        <n v="554184534419"/>
        <n v="554184536785"/>
        <n v="554184537514"/>
        <n v="554184546223"/>
        <n v="554184549679"/>
        <n v="554184654238"/>
        <n v="554184708349"/>
        <n v="554184731481"/>
        <n v="554184740618"/>
        <n v="554184753747"/>
        <n v="554184767483"/>
        <n v="554184816184"/>
        <n v="554184901771"/>
        <n v="554184924912"/>
        <n v="554185030431"/>
        <n v="554185042577"/>
        <n v="554185049202"/>
        <n v="554185081260"/>
        <n v="554185082889"/>
        <n v="554185252121"/>
        <n v="554185257686"/>
        <n v="554185322122"/>
        <n v="554187122977"/>
        <n v="554187182858"/>
        <n v="554187270635"/>
        <n v="554187292927"/>
        <n v="554187387956"/>
        <n v="554187487769"/>
        <n v="554187657319"/>
        <n v="554187657458"/>
        <n v="554187671962"/>
        <n v="554187708060"/>
        <n v="554187764013"/>
        <n v="554187832107"/>
        <n v="554188170690"/>
        <n v="554188177502"/>
        <n v="554188195394"/>
        <n v="554188277050"/>
        <n v="554188492542"/>
        <n v="554188900028"/>
        <n v="554188940578"/>
        <n v="554188980211"/>
        <n v="554191036564"/>
        <n v="554191076146"/>
        <n v="554191126913"/>
        <n v="554191155690"/>
        <n v="554191664435"/>
        <n v="554191678109"/>
        <n v="554191733801"/>
        <n v="554192032291"/>
        <n v="554192047427"/>
        <n v="554192055170"/>
        <n v="554192121651"/>
        <n v="554192137912"/>
        <n v="554192184353"/>
        <n v="554192270407"/>
        <n v="554192449900"/>
        <n v="554192511762"/>
        <n v="554192511990"/>
        <n v="554192524215"/>
        <n v="554192565332"/>
        <n v="554192657040"/>
        <n v="554192694545"/>
        <n v="554192839942"/>
        <n v="554192858366"/>
        <n v="554195022066"/>
        <n v="554195034361"/>
        <n v="554195121320"/>
        <n v="554195149904"/>
        <n v="554195225216"/>
        <n v="554195228608"/>
        <n v="554195245057"/>
        <n v="554195298746"/>
        <n v="554195298798"/>
        <n v="554195341173"/>
        <n v="554195358551"/>
        <n v="554195365537"/>
        <n v="554195365684"/>
        <n v="554195389264"/>
        <n v="554195393903"/>
        <n v="554195404109"/>
        <n v="554195428908"/>
        <n v="554195433912"/>
        <n v="554195465524"/>
        <n v="554195482482"/>
        <n v="554195504940"/>
        <n v="554195570306"/>
        <n v="554195612956"/>
        <n v="554195629454"/>
        <n v="554195652015"/>
        <n v="554195674753"/>
        <n v="554195677826"/>
        <n v="554195688649"/>
        <n v="554195716705"/>
        <n v="554195731097"/>
        <n v="554195773334"/>
        <n v="554195831409"/>
        <n v="554195835616"/>
        <n v="554195850524"/>
        <n v="554195873308"/>
        <n v="554196044273"/>
        <n v="554196086817"/>
        <n v="554196104209"/>
        <n v="554196154328"/>
        <n v="554196158416"/>
        <n v="554196168782"/>
        <n v="554196177288"/>
        <n v="554196185150"/>
        <n v="554196222257"/>
        <n v="554196224290"/>
        <n v="554196240699"/>
        <n v="554196250915"/>
        <n v="554196277713"/>
        <n v="554196335415"/>
        <n v="554196358252"/>
        <n v="554196371137"/>
        <n v="554196550828"/>
        <n v="554196591179"/>
        <n v="554196609704"/>
        <n v="554196630785"/>
        <n v="554196698636"/>
        <n v="554196893842"/>
        <n v="554196975586"/>
        <n v="554196988319"/>
        <n v="554197020243"/>
        <n v="554197024987"/>
        <n v="554197032682"/>
        <n v="554197035604"/>
        <n v="554197054059"/>
        <n v="554197069532"/>
        <n v="554197116202"/>
        <n v="554197121323"/>
        <n v="554197159485"/>
        <n v="554197169992"/>
        <n v="554197203642"/>
        <n v="554197259591"/>
        <n v="554197327053"/>
        <n v="554197344383"/>
        <n v="554197358577"/>
        <n v="554197435481"/>
        <n v="554197483033"/>
        <n v="554197483195"/>
        <n v="554197483606"/>
        <n v="554197486923"/>
        <n v="554198065234"/>
        <n v="554198111746"/>
        <n v="554198157513"/>
        <n v="554198194655"/>
        <n v="554198217657"/>
        <n v="554198218403"/>
        <n v="554198227019"/>
        <n v="554198317851"/>
        <n v="554198337434"/>
        <n v="554198341904"/>
        <n v="554198341911"/>
        <n v="554198466712"/>
        <n v="554198534399"/>
        <n v="554198637077"/>
        <n v="554198670387"/>
        <n v="554198690517"/>
        <n v="554198700879"/>
        <n v="554198706895"/>
        <n v="554198735582"/>
        <n v="554198738275"/>
        <n v="554198792302"/>
        <n v="554198853152"/>
        <n v="554199038220"/>
        <n v="554199041813"/>
        <n v="554199071114"/>
        <n v="554199074412"/>
        <n v="554199077538"/>
        <n v="554199243938"/>
        <n v="554199416289"/>
        <n v="554199529757"/>
        <n v="554199542433"/>
        <n v="554199549345"/>
        <n v="554199625900"/>
        <n v="554199684888"/>
        <n v="554199696560"/>
        <n v="554199701770"/>
        <n v="554199713028"/>
        <n v="554199744863"/>
        <n v="554199753797"/>
        <n v="554199765508"/>
        <n v="554199794689"/>
        <n v="554199922513"/>
        <n v="554288290435"/>
        <n v="554291120985"/>
        <n v="554299407537"/>
        <n v="554374005439"/>
        <n v="554396351109"/>
        <n v="554396374743"/>
        <n v="554399109161"/>
        <n v="554399341820"/>
        <n v="554420023673"/>
        <n v="554499393941"/>
        <n v="554584058903"/>
        <n v="554588019937"/>
        <n v="554588318080"/>
        <n v="554588413388"/>
        <n v="554591090864"/>
        <n v="554591148411"/>
        <n v="554591393777"/>
        <n v="554591410925"/>
        <n v="554591414688"/>
        <n v="554591459833"/>
        <n v="554598099536"/>
        <n v="554598292823"/>
        <n v="554598357193"/>
        <n v="554598428190"/>
        <n v="554598459653"/>
        <n v="554599167180"/>
        <n v="554599647201"/>
        <n v="554599849949"/>
        <n v="554599904385"/>
        <n v="554691206930"/>
        <n v="554691346097"/>
        <n v="554699784263"/>
        <n v="554720039077"/>
        <n v="554733863796"/>
        <n v="554784251030"/>
        <n v="554784715632"/>
        <n v="554788347947"/>
        <n v="554788892712"/>
        <n v="554789227501"/>
        <n v="554791101878"/>
        <n v="554791177858"/>
        <n v="554791259392"/>
        <n v="554791370820"/>
        <n v="554791489195"/>
        <n v="554791530689"/>
        <n v="554791577539"/>
        <n v="554791920955"/>
        <n v="554791936352"/>
        <n v="554792009109"/>
        <n v="554792221708"/>
        <n v="554792263213"/>
        <n v="554792283713"/>
        <n v="554792542707"/>
        <n v="554792923533"/>
        <n v="554796011911"/>
        <n v="554796019207"/>
        <n v="554796044414"/>
        <n v="554796179219"/>
        <n v="554796225595"/>
        <n v="554796394436"/>
        <n v="554796460379"/>
        <n v="554796489301"/>
        <n v="554796532166"/>
        <n v="554796557384"/>
        <n v="554796585089"/>
        <n v="554796680782"/>
        <n v="554796694284"/>
        <n v="554796725733"/>
        <n v="554796822290"/>
        <n v="554796953769"/>
        <n v="554797064604"/>
        <n v="554797187024"/>
        <n v="554797276206"/>
        <n v="554797307888"/>
        <n v="554797403502"/>
        <n v="554797595855"/>
        <n v="554797946128"/>
        <n v="554799009126"/>
        <n v="554799105471"/>
        <n v="554799296245"/>
        <n v="554799469458"/>
        <n v="554799483157"/>
        <n v="554799527846"/>
        <n v="554799607160"/>
        <n v="554820005875"/>
        <n v="554884391398"/>
        <n v="554884400484"/>
        <n v="554884510279"/>
        <n v="554884540636"/>
        <n v="554884760990"/>
        <n v="554888031224"/>
        <n v="554888036597"/>
        <n v="554888124202"/>
        <n v="554888148413"/>
        <n v="554888205225"/>
        <n v="554888212591"/>
        <n v="554888213118"/>
        <n v="554888233617"/>
        <n v="554888249508"/>
        <n v="554888273081"/>
        <n v="554888294362"/>
        <n v="554888323036"/>
        <n v="554888655936"/>
        <n v="554888678530"/>
        <n v="554888684882"/>
        <n v="554888710492"/>
        <n v="554888759979"/>
        <n v="554888762765"/>
        <n v="554888798345"/>
        <n v="554891043169"/>
        <n v="554891097084"/>
        <n v="554891103355"/>
        <n v="554891196924"/>
        <n v="554891223863"/>
        <n v="554891328250"/>
        <n v="554891344683"/>
        <n v="554891355259"/>
        <n v="554891393292"/>
        <n v="554891410061"/>
        <n v="554891467653"/>
        <n v="554891592085"/>
        <n v="554891604682"/>
        <n v="554891612707"/>
        <n v="554891620095"/>
        <n v="554891705244"/>
        <n v="554891726832"/>
        <n v="554891730563"/>
        <n v="554891786304"/>
        <n v="554891808764"/>
        <n v="554891876579"/>
        <n v="554891899926"/>
        <n v="554891901581"/>
        <n v="554892042767"/>
        <n v="554892089032"/>
        <n v="554892114578"/>
        <n v="554892190656"/>
        <n v="554892191781"/>
        <n v="554892221060"/>
        <n v="554892223404"/>
        <n v="554892235520"/>
        <n v="554896027847"/>
        <n v="554896062328"/>
        <n v="554896112864"/>
        <n v="554896115041"/>
        <n v="554896146544"/>
        <n v="554896170510"/>
        <n v="554896192290"/>
        <n v="554896314101"/>
        <n v="554896396962"/>
        <n v="554896405461"/>
        <n v="554896467877"/>
        <n v="554896708679"/>
        <n v="554896730405"/>
        <n v="554896760203"/>
        <n v="554896871939"/>
        <n v="554896872910"/>
        <n v="554896993334"/>
        <n v="554898064561"/>
        <n v="554898099771"/>
        <n v="554898153102"/>
        <n v="554899027196"/>
        <n v="554899074401"/>
        <n v="554899107133"/>
        <n v="554899263876"/>
        <n v="554899269382"/>
        <n v="554899331747"/>
        <n v="554899355449"/>
        <n v="554899362867"/>
        <n v="554899373488"/>
        <n v="554899378524"/>
        <n v="554899484493"/>
        <n v="554899523485"/>
        <n v="554899546712"/>
        <n v="554899597391"/>
        <n v="554899666491"/>
        <n v="554899673194"/>
        <n v="554899679695"/>
        <n v="554899686782"/>
        <n v="554899744413"/>
        <n v="554899757333"/>
        <n v="554899929652"/>
        <n v="554988035815"/>
        <n v="554988315310"/>
        <n v="554988392769"/>
        <n v="554989075796"/>
        <n v="554991149314"/>
        <n v="554991633193"/>
        <n v="554991700503"/>
        <n v="554991718851"/>
        <n v="554991814968"/>
        <n v="554991857313"/>
        <n v="554998113765"/>
        <n v="554998144215"/>
        <n v="554999051886"/>
        <n v="554999284093"/>
        <n v="554999696825"/>
        <n v="555180212892"/>
        <n v="555180467608"/>
        <n v="555181489643"/>
        <n v="555191771677"/>
        <n v="555192219023"/>
        <n v="555193667337"/>
        <n v="555195167967"/>
        <n v="555195558065"/>
        <n v="555195957069"/>
        <n v="555197087967"/>
        <n v="555197095550"/>
        <n v="555199071192"/>
        <n v="555399912728"/>
        <n v="555481044944"/>
        <n v="555481420122"/>
        <n v="555491032659"/>
        <n v="555491051058"/>
        <n v="555491253833"/>
        <n v="555491544469"/>
        <n v="555491558430"/>
        <n v="555491573911"/>
        <n v="555491661267"/>
        <n v="555491818668"/>
        <n v="555492173217"/>
        <n v="555492623688"/>
        <n v="555493512191"/>
        <n v="555493620297"/>
        <n v="555493624207"/>
        <n v="555494826336"/>
        <n v="555494900026"/>
        <n v="555496030412"/>
        <n v="555496045048"/>
        <n v="555496101264"/>
        <n v="555496188529"/>
        <n v="555496205451"/>
        <n v="555496212443"/>
        <n v="555496221711"/>
        <n v="555496242893"/>
        <n v="555496355996"/>
        <n v="555496390051"/>
        <n v="555496404223"/>
        <n v="555496415399"/>
        <n v="555496483450"/>
        <n v="555496612650"/>
        <n v="555496705292"/>
        <n v="555496712062"/>
        <n v="555496829535"/>
        <n v="555496832215"/>
        <n v="555496939511"/>
        <n v="555496941819"/>
        <n v="555497130115"/>
        <n v="555499000296"/>
        <n v="555499152221"/>
        <n v="555499158578"/>
        <n v="555499271067"/>
        <n v="555499335401"/>
        <n v="555499426873"/>
        <n v="555499481372"/>
        <n v="555499527909"/>
        <n v="555499593428"/>
        <n v="555499935802"/>
        <n v="555499975991"/>
        <n v="555591460601"/>
        <n v="555599169585"/>
        <n v="556181448094"/>
        <n v="556182059813"/>
        <n v="556182201243"/>
        <n v="556182203911"/>
        <n v="556182281409"/>
        <n v="556184883893"/>
        <n v="556191246670"/>
        <n v="556195290537"/>
        <n v="556196234251"/>
        <n v="556199420044"/>
        <n v="556199807330"/>
        <n v="556281066019"/>
        <n v="556281304277"/>
        <n v="556281570618"/>
        <n v="556281656833"/>
        <n v="556281696528"/>
        <n v="556282267165"/>
        <n v="556284270683"/>
        <n v="556291104005"/>
        <n v="556291721257"/>
        <n v="556291727502"/>
        <n v="556291953437"/>
        <n v="556292588139"/>
        <n v="556293190449"/>
        <n v="556293420458"/>
        <n v="556294035268"/>
        <n v="556294446991"/>
        <n v="556294514130"/>
        <n v="556295305022"/>
        <n v="556296100124"/>
        <n v="556296184787"/>
        <n v="556296899164"/>
        <n v="556298141589"/>
        <n v="556298148841"/>
        <n v="556298601358"/>
        <n v="556481168509"/>
        <n v="556481189667"/>
        <n v="556492304444"/>
        <n v="556499427827"/>
        <n v="556581182225"/>
        <n v="556581378556"/>
        <n v="556592235073"/>
        <n v="556592567596"/>
        <n v="556592775212"/>
        <n v="556592781023"/>
        <n v="556592781869"/>
        <n v="556593121934"/>
        <n v="556593533998"/>
        <n v="556593630827"/>
        <n v="556596075375"/>
        <n v="556596713278"/>
        <n v="556599736852"/>
        <n v="556599813011"/>
        <n v="556681034055"/>
        <n v="556692637187"/>
        <n v="556696363433"/>
        <n v="556791940687"/>
        <n v="556793206551"/>
        <n v="556793272381"/>
        <n v="556796027284"/>
        <n v="556796990362"/>
        <n v="556799197437"/>
        <n v="556799952165"/>
        <n v="556881028303"/>
        <n v="556892494439"/>
        <n v="556892547445"/>
        <n v="556992121074"/>
        <n v="556992398228"/>
        <n v="557183600311"/>
        <n v="557499429575"/>
        <n v="557581266204"/>
        <n v="557591514132"/>
        <n v="557996814334"/>
        <n v="557998794174"/>
        <n v="558398148019"/>
        <n v="558481672392"/>
        <n v="558596624436"/>
        <n v="558599840325"/>
        <n v="558699496132"/>
        <n v="558888460284"/>
        <n v="558896038771"/>
        <n v="558899155871"/>
        <n v="559176014001"/>
        <n v="559185551838"/>
        <n v="559188237892"/>
        <n v="559191317072"/>
        <n v="559284719334"/>
        <n v="559285842268"/>
        <n v="559286190187"/>
        <n v="559292295665"/>
        <n v="559293407788"/>
        <n v="559295035429"/>
        <n v="559381173597"/>
        <n v="559392429984"/>
        <n v="559484201567"/>
        <n v="559492892477"/>
        <n v="559574000950"/>
        <n v="559574001949"/>
        <n v="559574003085"/>
        <n v="559574003780"/>
        <n v="559574004024"/>
        <n v="559574004938"/>
        <n v="559581020941"/>
        <n v="559581022640"/>
        <n v="559581036890"/>
        <n v="559581046851"/>
        <n v="559581218465"/>
        <n v="559581257313"/>
        <n v="559581263433"/>
        <n v="559584003335"/>
        <n v="559584018059"/>
        <n v="559584019185"/>
        <n v="559584019799"/>
        <n v="559584027060"/>
        <n v="559584028602"/>
        <n v="559584032367"/>
        <n v="559584033004"/>
        <n v="559584033434"/>
        <n v="559584037292"/>
        <n v="559584038633"/>
        <n v="559584049437"/>
        <n v="559584066875"/>
        <n v="559584069889"/>
        <n v="559584077454"/>
        <n v="559584077552"/>
        <n v="559584081146"/>
        <n v="559584085211"/>
        <n v="559584091065"/>
        <n v="559584093409"/>
        <n v="559584096367"/>
        <n v="559584098028"/>
        <n v="559584103861"/>
        <n v="559584107108"/>
        <n v="559584107398"/>
        <n v="559584108420"/>
        <n v="559584121787"/>
        <n v="559584121964"/>
        <n v="559584122441"/>
        <n v="559584126524"/>
        <n v="559584129734"/>
        <n v="559584130470"/>
        <n v="559584133906"/>
        <n v="559584137039"/>
        <n v="559584142619"/>
        <n v="559584143145"/>
        <n v="559584145214"/>
        <n v="559584148374"/>
        <n v="559584149807"/>
        <n v="559584150760"/>
        <n v="559584153038"/>
        <n v="559584156470"/>
        <n v="559584157754"/>
        <n v="559584159812"/>
        <n v="559584176828"/>
        <n v="559584187020"/>
        <n v="559584187791"/>
        <n v="559584193767"/>
        <n v="559584197916"/>
        <n v="559584202265"/>
        <n v="559584205495"/>
        <n v="559584214940"/>
        <n v="559584215058"/>
        <n v="559584217378"/>
        <n v="559584217382"/>
        <n v="559584218547"/>
        <n v="559584223667"/>
        <n v="559584224624"/>
        <n v="559584227041"/>
        <n v="559584229035"/>
        <n v="559584229250"/>
        <n v="559584229364"/>
        <n v="559584230858"/>
        <n v="559584239520"/>
        <n v="559584242837"/>
        <n v="559584250378"/>
        <n v="559584256973"/>
        <n v="559584259372"/>
        <n v="559584260066"/>
        <n v="559584270396"/>
        <n v="559584270638"/>
        <n v="559584270895"/>
        <n v="559584271257"/>
        <n v="559584273585"/>
        <n v="559584274508"/>
        <n v="559584275470"/>
        <n v="559584275807"/>
        <n v="559584276647"/>
        <n v="559584280086"/>
        <n v="559584280929"/>
        <n v="559584281951"/>
        <n v="559584285608"/>
        <n v="559584286486"/>
        <n v="559584288624"/>
        <n v="559584288985"/>
        <n v="559584290986"/>
        <n v="559584291424"/>
        <n v="559584293436"/>
        <n v="559584293648"/>
        <n v="559584294505"/>
        <n v="559584294614"/>
        <n v="559584295833"/>
        <n v="559584296837"/>
        <n v="559584297065"/>
        <n v="559584297218"/>
        <n v="559584297376"/>
        <n v="559584297885"/>
        <n v="559584297991"/>
        <n v="559584298044"/>
        <n v="559584298986"/>
        <n v="559584300001"/>
        <n v="559584301375"/>
        <n v="559584303596"/>
        <n v="559584303664"/>
        <n v="559584303962"/>
        <n v="559584305924"/>
        <n v="559584371182"/>
        <n v="559584374004"/>
        <n v="559584374405"/>
        <n v="559584374439"/>
        <n v="559584374965"/>
        <n v="559584377071"/>
        <n v="559584377249"/>
        <n v="559584379233"/>
        <n v="559584381108"/>
        <n v="559584381582"/>
        <n v="559584382054"/>
        <n v="559584389502"/>
        <n v="559584393882"/>
        <n v="559584394421"/>
        <n v="559584395827"/>
        <n v="559584397891"/>
        <n v="559584398079"/>
        <n v="559584399049"/>
        <n v="559584406323"/>
        <n v="559584406992"/>
        <n v="559584407526"/>
        <n v="559584407722"/>
        <n v="559584408113"/>
        <n v="559584409492"/>
        <n v="559591119749"/>
        <n v="559591121594"/>
        <n v="559591133364"/>
        <n v="559591136177"/>
        <n v="559591143897"/>
        <n v="559591161397"/>
        <n v="559591162047"/>
        <n v="559591197182"/>
        <n v="559591206341"/>
        <n v="559591212862"/>
        <n v="559591232996"/>
        <n v="559591259323"/>
        <n v="559591266145"/>
        <n v="559591343034"/>
        <n v="559591372343"/>
        <n v="559591384506"/>
        <n v="559591403308"/>
        <n v="559591413889"/>
        <n v="559591418110"/>
        <n v="559591464074"/>
        <n v="559591467720"/>
        <n v="559591481352"/>
        <n v="559591515615"/>
        <n v="559591526125"/>
        <n v="559591538723"/>
        <n v="559591552964"/>
        <n v="559591572378"/>
        <n v="559591582924"/>
        <n v="559591618846"/>
        <n v="559591631140"/>
        <n v="559591640869"/>
        <n v="559591699534"/>
        <n v="559591750294"/>
        <n v="559591756033"/>
        <n v="559599773288"/>
        <n v="559599774507"/>
        <n v="559674008127"/>
        <n v="559681063104"/>
        <n v="559681082485"/>
        <n v="559681212077"/>
        <n v="559684026663"/>
        <n v="559684029500"/>
        <n v="559684050662"/>
        <n v="559684065516"/>
        <n v="559684076463"/>
        <n v="559684078095"/>
        <n v="559684135194"/>
        <n v="559684137851"/>
        <n v="559684162886"/>
        <n v="559684163679"/>
        <n v="559684165897"/>
        <n v="559684194434"/>
        <n v="559684226988"/>
        <n v="559684243786"/>
        <n v="559684329227"/>
        <n v="559684352871"/>
        <n v="559684379823"/>
        <n v="559691115942"/>
        <n v="559885995663"/>
        <n v="559985281722"/>
        <n v="573106910116"/>
        <n v="573337148051"/>
        <n v="5219986579643"/>
        <n v="5491130059179"/>
        <n v="5511910622660"/>
        <n v="5511912250930"/>
        <n v="5511913031958"/>
        <n v="5511913367912"/>
        <n v="5511914109545"/>
        <n v="5511914950427"/>
        <n v="5511914977254"/>
        <n v="5511914978143"/>
        <n v="5511914996906"/>
        <n v="5511915214646"/>
        <n v="5511915303477"/>
        <n v="5511915444004"/>
        <n v="5511915678356"/>
        <n v="5511916718221"/>
        <n v="5511916892827"/>
        <n v="5511918514374"/>
        <n v="5511919074749"/>
        <n v="5511919505742"/>
        <n v="5511920484500"/>
        <n v="5511920569001"/>
        <n v="5511921393093"/>
        <n v="5511922769090"/>
        <n v="5511925345059"/>
        <n v="5511926331610"/>
        <n v="5511930845594"/>
        <n v="5511932216166"/>
        <n v="5511933370691"/>
        <n v="5511938011568"/>
        <n v="5511939074534"/>
        <n v="5511939372460"/>
        <n v="5511939493328"/>
        <n v="5511940232561"/>
        <n v="5511940418338"/>
        <n v="5511940545012"/>
        <n v="5511941916855"/>
        <n v="5511944895016"/>
        <n v="5511945187117"/>
        <n v="5511947383448"/>
        <n v="5511947417866"/>
        <n v="5511947689597"/>
        <n v="5511947852613"/>
        <n v="5511947875395"/>
        <n v="5511948466849"/>
        <n v="5511948563300"/>
        <n v="5511950286989"/>
        <n v="5511950684877"/>
        <n v="5511951653484"/>
        <n v="5511951661862"/>
        <n v="5511951668733"/>
        <n v="5511954079148"/>
        <n v="5511954715763"/>
        <n v="5511956063396"/>
        <n v="5511958059266"/>
        <n v="5511959302227"/>
        <n v="5511961169983"/>
        <n v="5511961328620"/>
        <n v="5511962142161"/>
        <n v="5511962853945"/>
        <n v="5511963130113"/>
        <n v="5511965208670"/>
        <n v="5511965251647"/>
        <n v="5511966578758"/>
        <n v="5511968360356"/>
        <n v="5511968730004"/>
        <n v="5511969750717"/>
        <n v="5511970780168"/>
        <n v="5511970838150"/>
        <n v="5511972143364"/>
        <n v="5511972698113"/>
        <n v="5511973514388"/>
        <n v="5511974163807"/>
        <n v="5511974300728"/>
        <n v="5511974977625"/>
        <n v="5511975290592"/>
        <n v="5511975322786"/>
        <n v="5511976465945"/>
        <n v="5511978322734"/>
        <n v="5511979682047"/>
        <n v="5511981103520"/>
        <n v="5511981288679"/>
        <n v="5511981375920"/>
        <n v="5511981656902"/>
        <n v="5511982228198"/>
        <n v="5511982597796"/>
        <n v="5511984238459"/>
        <n v="5511988036255"/>
        <n v="5511988137960"/>
        <n v="5511989087179"/>
        <n v="5511989205119"/>
        <n v="5511989492611"/>
        <n v="5511991061427"/>
        <n v="5511992231257"/>
        <n v="5511992304927"/>
        <n v="5511992406888"/>
        <n v="5511992965364"/>
        <n v="5511994261080"/>
        <n v="5511994901726"/>
        <n v="5511995352903"/>
        <n v="5511996128658"/>
        <n v="5511996490310"/>
        <n v="5511996897904"/>
        <n v="5512394467745"/>
        <n v="5512981378624"/>
        <n v="5512997171486"/>
        <n v="5512997624936"/>
        <n v="5513974230688"/>
        <n v="5513996062412"/>
        <n v="5514981372724"/>
        <n v="5514997514747"/>
        <n v="5515988353024"/>
        <n v="5515997610656"/>
        <n v="5515997938402"/>
        <n v="5515997945687"/>
        <n v="5515997950933"/>
        <n v="5515997985942"/>
        <n v="5515998541153"/>
        <n v="5515998719885"/>
        <n v="5516981060788"/>
        <n v="5516993411002"/>
        <n v="5516993705903"/>
        <n v="5516993929176"/>
        <n v="5516994306925"/>
        <n v="5517920006718"/>
        <n v="5518996452405"/>
        <n v="5518997281568"/>
        <n v="5519920004822"/>
        <n v="5519953304682"/>
        <n v="5519971704468"/>
        <n v="5519981147822"/>
        <n v="5519981160412"/>
        <n v="5519981183492"/>
        <n v="5519981269940"/>
        <n v="5519981530343"/>
        <n v="5519981574706"/>
        <n v="5519981715481"/>
        <n v="5519988335383"/>
        <n v="5519989545325"/>
        <n v="5519989668621"/>
        <n v="5519991928299"/>
        <n v="5519992392675"/>
        <n v="5519993215719"/>
        <n v="5519996916795"/>
        <n v="5519998144461"/>
        <n v="5519998862857"/>
        <n v="5519998932978"/>
        <n v="5519998985969"/>
        <n v="5521959334195"/>
        <n v="5521965012203"/>
        <n v="5521969875829"/>
        <n v="5521971476824"/>
        <n v="5521982245006"/>
        <n v="5521983506624"/>
        <n v="5521998053023"/>
        <n v="5527988445838"/>
        <n v="5527998262615"/>
        <n v="5527999533616"/>
        <n v="5541995096750"/>
        <n v="5541995345890"/>
        <n v="5541995438489"/>
        <n v="5541997175695"/>
        <n v="5541998997071"/>
        <n v="5541999436517"/>
        <n v="5545984032301"/>
        <n v="5547933811978"/>
        <n v="5547933835549"/>
        <n v="5547996027323"/>
        <n v="5547997462797"/>
        <n v="5547999879884"/>
        <n v="5548920008175"/>
        <n v="5548920023448"/>
        <n v="5548933813308"/>
        <n v="5548988118678"/>
        <n v="5548988189377"/>
        <n v="5548988254427"/>
        <n v="5548988493540"/>
        <n v="5548988805800"/>
        <n v="5548991237049"/>
        <n v="5548991753053"/>
        <n v="5548996335616"/>
        <n v="5548999792387"/>
        <n v="5549999696825"/>
        <n v="5551981880231"/>
        <n v="5554933002353"/>
        <n v="5554999456197"/>
        <n v="5561933008118"/>
        <n v="5562982116925"/>
        <n v="5565992235073"/>
        <n v="5569992374587"/>
        <n v="5594920005243"/>
        <n v="5595920007750"/>
        <n v="5595920008541"/>
        <n v="5595920012132"/>
        <n v="5595920012312"/>
        <n v="5595920012313"/>
        <n v="5595981257313"/>
        <n v="5595984025752"/>
        <n v="5595984028971"/>
        <n v="5595984045583"/>
        <n v="5595984061138"/>
        <n v="5595984107266"/>
        <n v="5595984143873"/>
        <n v="5596984192145"/>
        <n v="5599984004588"/>
        <s v="+53 63105252"/>
        <s v="+55 41 9217-1409, +554192171409"/>
        <s v="+554792283713, +559584245430"/>
        <s v="53 63105252"/>
        <s v="55 41 999687301"/>
        <s v="55 95 8415-9594"/>
        <s v="55 95981218465"/>
        <m/>
      </sharedItems>
    </cacheField>
    <cacheField name="EMAIL" numFmtId="0">
      <sharedItems containsBlank="1" containsMixedTypes="1" containsNumber="1" containsInteger="1" minValue="0" maxValue="0" count="918">
        <n v="0"/>
        <s v="_deyvertrombong@gmail.com"/>
        <s v="-"/>
        <s v=","/>
        <s v=",,"/>
        <s v="."/>
        <s v=".."/>
        <s v="..."/>
        <s v="...."/>
        <s v="0.Diovaniscarrion1993@gmail.com"/>
        <s v="010202ro@gmail.com"/>
        <s v="1962josefab@gmail.com"/>
        <s v="1995mialeonc@gmail.com"/>
        <s v="7rp8f8uc@gmail.com"/>
        <s v="abdielfuentes0222@gmail.com"/>
        <s v="abelgarciareyes96@gmail.com"/>
        <s v="abeljimenezzayas@gmail.com"/>
        <s v="abicoma39@gmail.com"/>
        <s v="acala1492@gmail.com"/>
        <s v="acano6076@gmail.com"/>
        <s v="acevedo.viera1782@gmail.com"/>
        <s v="adfernandez1985@gmail.com"/>
        <s v="adinetperez16@gmail.com"/>
        <s v="adrianapenaarevalo@gmail.com"/>
        <s v="adrianquinones574@gmail.com"/>
        <s v="Adriansanguinety@gmail.com"/>
        <s v="adrielcastillo1986@gmail.com"/>
        <s v="afernandez@starsamdc.com"/>
        <s v="aguadomartinezyanisleidy@gmail.com"/>
        <s v="Aguiaryosbel@gmail.com"/>
        <s v="aguilerarodriguezjuan9@gmail.com"/>
        <s v="ailinmarina93@gmail.com"/>
        <s v="albertoroco1408@gmail.com"/>
        <s v="alcibiadesanches@gmail.com"/>
        <s v="alcidesdjesus05@gmail.com"/>
        <s v="alegema48@gmail.com"/>
        <s v="alejandro.mezquia@gmail.com"/>
        <s v="alejandroarcis5@gmail.com"/>
        <s v="alejandrobarredocafu@gmail.com"/>
        <s v="alejandrodelgadotressord@gmail.com"/>
        <s v="alejandromonterde84@gmail.com"/>
        <s v="alejodavid49@gmail.com"/>
        <s v="alennimarino54@gmail.com"/>
        <s v="alexander85one@gmail.com"/>
        <s v="alexandercuellotamayo02@gmail.com"/>
        <s v="alexanderenoalopez6@gmail.com"/>
        <s v="alexanderperezdrullet@gmail.com"/>
        <s v="alexanderpirez450@gmail.com"/>
        <s v="alexanderrojaspolo185@gmail.com"/>
        <s v="alexandertravieso26@gmail.com"/>
        <s v="alexandra.maturell.18@gmail.com"/>
        <s v="alexandrojesusfernandezrubio@gmail.com"/>
        <s v="alexeyromeroestrada9@gmail.com"/>
        <s v="alexisarencibia24@gmail.com, juliomujicaroig@gmail.com"/>
        <s v="alexisleandro1989@yopmail"/>
        <s v="alexisyordan252@gmail.com"/>
        <s v="alexiszayadiaz@gmail.com"/>
        <s v="alexraspmc@gmail.com"/>
        <s v="alfonsoguerra2407@gmail.com"/>
        <s v="alfonsomartinezlianet@gmail.com"/>
        <s v="alianepausaguerra@gmail.com"/>
        <s v="aliciagranela@gmail.com"/>
        <s v="alietty0312@gmail.com"/>
        <s v="aliexacostachaviano@gmail.com"/>
        <s v="Almenaresdanlier@gmail.com"/>
        <s v="alonsotemprano88@gmail.com"/>
        <s v="alvarezodalys3@gmail.com, fernadofrometab72@gmail.com"/>
        <s v="amadoleivaespinosa1969@gmail.com"/>
        <s v="amartinezgonzalez247@gmail.com"/>
        <s v="amauricortina845@gmail.com"/>
        <s v="amaurissantiesteban1998@gmail.com"/>
        <s v="amauryramgar@gmail.com"/>
        <s v="ametller98@gmail.com"/>
        <s v="anaceliat237@gmail.com"/>
        <s v="anafinca2024@gmail.com"/>
        <s v="anairicaballero@gmail.com"/>
        <s v="anairiswestersuarez58@gmail.com"/>
        <s v="anaisabelcalderonsoto@gmail.com"/>
        <s v="anamariayorente2@gmail.com"/>
        <s v="anarelis384@gmail.com"/>
        <s v="anayoel2018@gmail.com"/>
        <s v="ancacrespoarmando@gmail.com"/>
        <s v="androluismm@gmail.com"/>
        <s v="andyborroto33@gmail.com"/>
        <s v="andyduiegues@gmail.com"/>
        <s v="andygaray00@gmail.com"/>
        <s v="angel881015@hotmail.com"/>
        <s v="angelacausilla81@gmail.com"/>
        <s v="angeledel0108@gmail.comv"/>
        <s v="angelesportalmaria@gmail.com"/>
        <s v="angelgranela96@gmail.com, caral.arlenes@gmail.com"/>
        <s v="anitarizo88@gmail.com"/>
        <s v="anyvinas85@gmail.com"/>
        <s v="ar7375300@gmail.com"/>
        <s v="arasay.2000@gmail.com"/>
        <s v="ariannismontoya92@gmail.com"/>
        <s v="arianramirez611@gmail.con"/>
        <s v="arianrodriguez809@gmail.com"/>
        <s v="arieldejesuspacheco@gmail.com"/>
        <s v="arielyasmany16@gmail.com"/>
        <s v="arleenrosa582@gmail.com"/>
        <s v="arleypm83@gmail.com"/>
        <s v="arlinobregon517@gmail.com"/>
        <s v="armandomario2019@gmail"/>
        <s v="arturoledesma1989@gmail.com"/>
        <s v="aryanpantoja8610@gmail.com"/>
        <s v="asahelpadilla99@gmail.com"/>
        <s v="asdruvalalejandroa@gmail.com"/>
        <s v="ayameymolina360@gmail.com"/>
        <s v="aylenchavezramirez@gmail.com"/>
        <s v="aylinlugones82@gmail.com"/>
        <s v="B20191587@GMAIL,COM"/>
        <s v="balujaricardo888@gmail.com"/>
        <s v="barbaraacostasuarez@gmail.com"/>
        <s v="barbarafernandezgonzale@gmail.com"/>
        <s v="barbaroenamoradoponce@gmail.com"/>
        <s v="barbosadelgadomariano@gmail.com"/>
        <s v="bardajimilan@gmail.com"/>
        <s v="barrientosleonardo40@gmail.com"/>
        <s v="bastidaadrianna@gmail.com"/>
        <s v="batistabraulio448@gmail.com"/>
        <s v="bblancobalbier@gmail.com"/>
        <s v="belettyuri@gmail.com"/>
        <s v="benitezyunior15@gmail.com"/>
        <s v="bermudezracheli7@gmail.com"/>
        <s v="bertajulia2025@gmail.com"/>
        <s v="BERTHLAHERA@GMAIL.COM"/>
        <s v="bj872961@gmail.com"/>
        <s v="blancobetancourtmayrelis@gmail.comm"/>
        <s v="borreroismael7@gmail.com"/>
        <s v="bourricaudyselianis@gmail.com"/>
        <s v="bramosgarcia008@gmail.com, tommyacosta511@gmail.com"/>
        <s v="brasilecharte4@gmail.com"/>
        <s v="brasilrobertocarlos2000@gmail.com"/>
        <s v="bzaragoza180@gmail.com"/>
        <s v="caboluis11@gmail.com"/>
        <s v="cabreradavid9903@gmail.com"/>
        <s v="cabreraquintanaladrian@gmail.com"/>
        <s v="calzadillaplasenciaezequiel@gmail.com"/>
        <s v="capotecontrerasruliver@gmail.com"/>
        <s v="carlosaguerocardenas@gmail"/>
        <s v="carlosalbertoesquivelchavez@gmail.com"/>
        <s v="carlosfrometa1989@gmail.com"/>
        <s v="carlosjavierlemusmesa@gmail.com"/>
        <s v="Carlosm790201@gmail.com"/>
        <s v="carlosmanuelr107@gmail.com"/>
        <s v="carlosrefugio01@gmail.com"/>
        <s v="carlyperezmartinez3@gmail.com"/>
        <s v="carmenfe880@gmail.com"/>
        <s v="Carraleromora318@gmail.com"/>
        <s v="castillosanchezdoralis@gmail.com"/>
        <s v="cesaryurielm@gmail.com"/>
        <s v="cezar03rodrigue@gmail.com"/>
        <s v="chikstars4@gmail.com"/>
        <s v="chinachuchi3@gmail.com"/>
        <s v="chirinoaylin529@gmail.com"/>
        <s v="christianyordantamayoavila@gmail.com"/>
        <s v="cirailianamaciasfonseca@gmail.com"/>
        <s v="ciroalbertolabautramos@gmail.com"/>
        <s v="cisneroy185@gmail.com"/>
        <s v="claudemiro.g.neto@gmail.com"/>
        <s v="claudiaarletisramostorres@gmail.com"/>
        <s v="claudiafomsecas@gmail.com"/>
        <s v="Claudialopezramirez944@gmail.com"/>
        <s v="clauoliva05@gmail.com"/>
        <s v="cmichaelrico@gmail.com"/>
        <s v="cmoreno58944670@gmail.com"/>
        <s v="collazoyorlan5@gmail.com"/>
        <s v="concepcionsuarezjose@gmail.com"/>
        <s v="contrerasalain79@gmail.com"/>
        <s v="cordovesbatistayunieskisamuel@gmail.comm"/>
        <s v="coronalisandra87@gmail.com"/>
        <s v="crespoodelys@gmail.com"/>
        <s v="cristofergonzalez18cg@gmail.com"/>
        <s v="cuentagoggle79@gmail.com, yurisleidiscabreramarquez@gmail.com"/>
        <s v="cug51964@gmail.com"/>
        <s v="cutinofuentesa@gmail.com"/>
        <s v="cynthianoblet3@gmail.com"/>
        <s v="daikemorgado7@gmail.com"/>
        <s v="dailyssanchez489@gmail.com"/>
        <s v="danayscull86@gmail.com"/>
        <s v="daniazuniga145@gmail.com"/>
        <s v="daniel.perez871103@gmail.com"/>
        <s v="daniel530215@gmail.com"/>
        <s v="danielcollado243@gmail.com"/>
        <s v="danielrodriguezcastro5@gmail.com"/>
        <s v="dannafr3102@gmail.com"/>
        <s v="dannyalvarez731205@gmail.com"/>
        <s v="dannylinaresveitia86@gmail.com"/>
        <s v="danyalvez9908@gmail.com"/>
        <s v="dariannygonzalezlopez86@gmail.com"/>
        <s v="darielavargasjimenez27@gmail.com, darielsanchezsp931@gmail.com"/>
        <s v="darielbenitezperez1@gmail.com"/>
        <s v="darielramirezhernandez44@gmail.com"/>
        <s v="darienpelayo@yahoo.com"/>
        <s v="darrietaval@gmail.com"/>
        <s v="darwin.garcia.aguierre01@gmail.com"/>
        <s v="davidhumbertomatiaslaredo@gmail.com"/>
        <s v="dayamicantin@gmail.com"/>
        <s v="dayamicruz113@gmail.com"/>
        <s v="dayana1808molina@gmail.com"/>
        <s v="dayanamaciasrodriguez373@gmail.com"/>
        <s v="dayanamayo97@gmail.com"/>
        <s v="dayanatrinidad91@gmail.com"/>
        <s v="dayanetbravo26@gmail.com"/>
        <s v="dayanisrosabal183@gmail.com, estradayunior91@gmail.com"/>
        <s v="dayilm696@gmail.com"/>
        <s v="daynis.ramos@icloud.com"/>
        <s v="daysirodriguezromero9403@gmail.com"/>
        <s v="ddelapazleyva@gmail.com"/>
        <s v="deivyrodriguez7608@gmail.com"/>
        <s v="delacruzbeliaranmon@gmail.com"/>
        <s v="delgadorobainaadriel@gmail.com"/>
        <s v="delllatitud3550@proton.me"/>
        <s v="deniasantiesteban0@gmail.com"/>
        <s v="dennyspinaavila@gmail.com"/>
        <s v="dernestojoaquin@gmail.com"/>
        <s v="dervillagomezanniu@gmail.com"/>
        <s v="desousaalexis21@gmail.com"/>
        <s v="deusescobarbrasil@gmail.com"/>
        <s v="deyavaldez970@gmail.com"/>
        <s v="deynis76@gmail.com"/>
        <s v="deyviswuaydariam@gmail.com"/>
        <s v="dfrancoastorga@gmail.com"/>
        <s v="diagnavaldesbasante@gmail.com"/>
        <s v="diansysotomarrero@gmail.com"/>
        <s v="diazgyordan@gmail.com"/>
        <s v="dinorkis4@gmail.com"/>
        <s v="dionelgomez666@gmail.com"/>
        <s v="diormendozaf@gmail.com"/>
        <s v="diosbelfernandezcruz4@gmail.com"/>
        <s v="diugarcia74@gmail.com"/>
        <s v="djesus0595@gmail.com, carloroque080595@gmail.com"/>
        <s v="dm9972987@gmail.com"/>
        <s v="dmatosmarin@gmail.com"/>
        <s v="dminervismaria@gemail.com"/>
        <s v="donatoperezmerique@gmail.com"/>
        <s v="dorgispaneca9@gmail.com"/>
        <s v="dreidy.avila27@gmail.com"/>
        <s v="dulanmineto@gmail.com"/>
        <s v="dulcearciavinent@gmil.com"/>
        <s v="duniaelenamartinez@gmail.com"/>
        <s v="durrutybissetdayexi@gmail.com"/>
        <s v="e0497519@gmail.com"/>
        <s v="eblismustelier2@gmail.com"/>
        <s v="eddymengana1@gmail.com"/>
        <s v="eddyollalvidesviera14@gmeil.con"/>
        <s v="edgarserpa804@gmail.com"/>
        <s v="edilberto@.com.cu"/>
        <s v="eduardoarostica8@gmail.com"/>
        <s v="eduardobatistaduque674@gmail.com"/>
        <s v="eduardoleongonzalez352@gmail.com"/>
        <s v="edwinmartinezgutierrez14@gmail.com"/>
        <s v="efrainfong27@gmail.com"/>
        <s v="efundora74@gmail.com"/>
        <s v="Elbafrometa4@gmail.com"/>
        <s v="eldani.76503@yahoo.com"/>
        <s v="eliandrisgamez@gmail.com"/>
        <s v="eliassalim1982@gmail.com"/>
        <s v="elienaicastillozaldivar@gmail.com, mailinballesterriverrra@gmail.com"/>
        <s v="eliesereltiti@gmail.com"/>
        <s v="eliezerblanco.02.000@gmail.com"/>
        <s v="eliotamayogarcia10@gmail.com"/>
        <s v="elisabet.gonsalem@gmail.com"/>
        <s v="elmas2ro@gmail.com"/>
        <s v="elpidiocisneromasso@gmail"/>
        <s v="elvialopezcarmenate@gmail.com, elvialopezcarmenate75@gmail.com"/>
        <s v="elyangieithan7708@gmail.com"/>
        <s v="Email.*anamariallanes93@gmail.com"/>
        <s v="emolinazayas@gmail.com"/>
        <s v="enesty69@gmail.com"/>
        <s v="eniaortizleyva@gmail.com"/>
        <s v="enriquemiradalopez85@gmail.com, claudiaarletisramostorres@gmail.com"/>
        <s v="enriquevalier52@gmail.com"/>
        <s v="enriquezalvarezduany@gmail.com"/>
        <s v="erikclaurencemauricio@gmail.com"/>
        <s v="ernestoperezlugo55@gmail.com"/>
        <s v="ernestovazquezdepaz@gmail.com"/>
        <s v="errodgz01@gmail.com, lauraecharrimunoz@gmail.com"/>
        <s v="escobarferianoe@gmail.com"/>
        <s v="esmerlindaesmerlinda@gmail.com"/>
        <s v="espinosafrank60@gmail.com"/>
        <s v="espinosavalladaresnori@gmail.com"/>
        <s v="esqueviasalexis054@gmail.com"/>
        <s v="esquiviasalexis054@gmail.com"/>
        <s v="Estefanyfernandezmesa17@gmail.com"/>
        <s v="estrabaopradojosecarlos@gmail.com"/>
        <s v="estradamilanmariavictoria@gmail.com"/>
        <s v="eudalisfernandez98@gmail.com"/>
        <s v="evelynmartinchavez@gmail.com"/>
        <s v="f19710101@gmail.com"/>
        <s v="f88419295@gmail.com"/>
        <s v="F9047729@gmail.com"/>
        <s v="felixbarranco37@gmail.com"/>
        <s v="felixleonfigueroa1@gmail.com"/>
        <s v="fernandezruizrosa99@gmail.com"/>
        <s v="ferrerahernandezdanielrafael7@gmail.com"/>
        <s v="ferrermarian998@gmail.com"/>
        <s v="ferreryosef@gmail.com"/>
        <s v="fidelvillapadrpn01@gmail.com"/>
        <s v="figueredoyerannyelias@gmail.com"/>
        <s v="fleitasvaleris@gmail.com"/>
        <s v="floresyusbel6@gmail.com"/>
        <s v="fonsecajainiel@gmail.com"/>
        <s v="fonsecaricardorafael101@gmail.com"/>
        <s v="fonsecayailet663@gmail.com"/>
        <s v="Fransiscoglez76@gmail.com"/>
        <s v="fusstermontero@gmail.com"/>
        <s v="gabrielchorotdiaz@gmail.com"/>
        <s v="gadielodilio@gmail.com"/>
        <s v="galardigilyosleidy@gmail.com"/>
        <s v="gallardoindira12@gmail.com"/>
        <s v="gallardoindira12@gmail.com, fyankiel5@gmail.com, rodriguezyaima880@gmail.com, nanyfloresruiz60@gmail.com"/>
        <s v="garciaespinosayanet@gmail.com"/>
        <s v="garciareynier67@gmail.com"/>
        <s v="garciasoberaoa@gmail.com"/>
        <s v="geidisramirez@gmail.com"/>
        <s v="geidyyilian@gmail.com, rogersegurasosa@gmail.con"/>
        <s v="gelengarrido7@gmail.com"/>
        <s v="georgisborisbravo@gmail.com"/>
        <s v="gilberto94santos@gmail.com"/>
        <s v="gilbertogtlmd@gmail.com"/>
        <s v="Gilbertojesushernandez693@gmail.com"/>
        <s v="gilbertomenendez2@gmail.com"/>
        <s v="ginzalezreinier@gmail.com"/>
        <s v="giorkismengana88@gmail.com"/>
        <s v="gisellperez9601@gmail.com"/>
        <s v="gladysestherfonsecachavez@gmail.com"/>
        <s v="gluisalberto163@gmail.com"/>
        <s v="godefoy1988@gmail.com"/>
        <s v="gomezleyanis53@gmail.com"/>
        <s v="gongoraosmar39@gmail.com"/>
        <s v="gonzalezmendezisrael7@gmail.com"/>
        <s v="graciaosmel04@gmail.com"/>
        <s v="granadobarbaradiaz1234@gmail.com"/>
        <s v="guilleenbrasil@gmail.com"/>
        <s v="guillenriquelmea@gmail.com"/>
        <s v="guillerminaaguilarsarmiento@gmail.com"/>
        <s v="guillermobarrosobasabe@gmail.com"/>
        <s v="guillermorocafranco@gmail.com"/>
        <s v="gyurrien@gmail.com"/>
        <s v="hectorquinterorios08@gmail.com"/>
        <s v="helierpadillamartinez@gmail.com"/>
        <s v="henryrosadocastillo76r@gmail.com"/>
        <s v="hernandezg96126@gmail.com"/>
        <s v="hernandezgonzalezadrian@gmail.com"/>
        <s v="hernandezosmany933@gmail.com"/>
        <s v="hidalgorobiel23@gmail.com"/>
        <s v="hinojosatorrescarlosmanuel@gmail.com"/>
        <s v="holaMidalissilva79@gmail.com"/>
        <s v="humbertomatias04090776249@gmail.com"/>
        <s v="huntrodriguez4@gmail.com"/>
        <s v="Ibrahinbernabeumorgado@gmail.com, kgarciarodriguez3@gmail.com"/>
        <s v="idalisrubio038@gmail.com"/>
        <s v="Idealtorresbenavides@gmail.com"/>
        <s v="idelkyscabezacorrias@gmail.com, elianysrodriguez94@gmail.com"/>
        <s v="Ifrainguerra114@gmail.com"/>
        <s v="inesdiluherrera@gmail.com"/>
        <s v="ing.andux@gmail.com"/>
        <s v="iraudi29@gmail.com"/>
        <s v="Irisleydiramirez36@gmail.com"/>
        <s v="ismaelgeovannetoirac@gmail.com"/>
        <s v="j90302001@gmail.com"/>
        <s v="jakselcalvo486@gmail.com"/>
        <s v="janetcastellon80@gmail.com"/>
        <s v="javierjam1994@gmail.com"/>
        <s v="javierleesma1357@gmail.com"/>
        <s v="jaynier13@gmail.com"/>
        <s v="jdavidsperez@gmail.com"/>
        <s v="jeicolrondon@gmail.com"/>
        <s v="jenifferpatriciamartinurquiola@gmail.com"/>
        <s v="jennerarias271211@gmail.com"/>
        <s v="jess.quintana87@gmail.com"/>
        <s v="jesusalbertogonzalezmorciego@gmail.com"/>
        <s v="jesusdiazarmaignac@gmail.com"/>
        <s v="jesusolivergarcia02@gmail.com"/>
        <s v="jesusyeras@gmail.com"/>
        <s v="jeyserdelosangeles@gmail.com, wp6077120@mail.com"/>
        <s v="jg4203695@gmail.com"/>
        <s v="jmrdenascimento@gmail.com"/>
        <s v="joelmolina1507@gmail.com"/>
        <s v="jolbytorres9@gmail.com"/>
        <s v="jonatandavidlopezquintana@gmail.com"/>
        <s v="jorge.perez.yero@gmail.com"/>
        <s v="jorgedayron542@gmail.com"/>
        <s v="jorgeluis930501@gmail.com"/>
        <s v="jorgeluiscuellovidal@gmail.com"/>
        <s v="jorgelvp72@gmail.com"/>
        <s v="jorgemichelcuban@gmail.com"/>
        <s v="jorlamlavallemustelier@gmail.com"/>
        <s v="josbenybenitezalvarez@gmail.com"/>
        <s v="jose1981paco@gmail.com"/>
        <s v="Joseagustinsosaosorio@gmail.com"/>
        <s v="joseantoniohernandezsilot@gmail.com, yurileydis82@gmail.com"/>
        <s v="joseantoniopolancotorrivilla@gmail.com"/>
        <s v="josecarlosquezada0@gmail.com"/>
        <s v="josecarmenates2000@gmail.com"/>
        <s v="josefernandez19031962@gmail.com"/>
        <s v="joseluis930927@gmail.com"/>
        <s v="joseluiscolladoulloa8@gmail.com"/>
        <s v="josepitoflauta@gmail.com"/>
        <s v="josepupobr99@gmail.com"/>
        <s v="josiel51120@gmail.com"/>
        <s v="josmay.rdz86@gmail.com"/>
        <s v="jrlinaresk.br@gmail.com"/>
        <s v="juanariveeo686@gmail.com"/>
        <s v="juancarloibarrayera@gmail.com"/>
        <s v="juanmigueltellez62@gmail.com"/>
        <s v="juliakindelan@gmail.com"/>
        <s v="juliangv870216@gmail.com"/>
        <s v="Julio Rodríguez Sanchez"/>
        <s v="juliocl2jcv@gmail.com"/>
        <s v="juliolopezarma@gmail.com"/>
        <s v="k4m1k4z3marin@gmail.com"/>
        <s v="karelio1992@gmail.com"/>
        <s v="karelquinterodavila92@gmail.com"/>
        <s v="karlaaguirre607@gmail.com"/>
        <s v="karlaanaeli818@gmail.com"/>
        <s v="karlamasot1@gmail.com"/>
        <s v="katiarome80@gmail.com"/>
        <s v="kd532881@gmail.com"/>
        <s v="keniaarrechea58@gmail.com"/>
        <s v="keytiscfuentes@gmail.com"/>
        <s v="kt8909242@gamil.com"/>
        <s v="labradadariannys@gmail.coml, yasmanyoduardogrant@gmail.com"/>
        <s v="lamdronf77@gmail.com"/>
        <s v="laritzablancotorres@gmail.com"/>
        <s v="laurafernandzlugo@gmail.com"/>
        <s v="lazaroalexe052@gmail.com"/>
        <s v="lazaroluisbj22@gmail.com"/>
        <s v="lazaroreyneriodiazquintana@gmail.com"/>
        <s v="lazarorubenvicetperez@gmail.com"/>
        <s v="ldgalgarra86@gmail.com"/>
        <s v="ledesmaotanoyamilka@gmail.com"/>
        <s v="leidiandino@gmail.com"/>
        <s v="LEIDISLAURAINTERIAN@GMAIL.COM"/>
        <s v="leidyventura024@gmail.com"/>
        <s v="lele900210@gmail.com"/>
        <s v="leoh81667@gmail.com"/>
        <s v="leonardoarguellesleon87@gmail.com"/>
        <s v="leydiayalaleon@gmail.com"/>
        <s v="leyvacedenoorleydis@gmail.com"/>
        <s v="lianelamendozalao@gmail.com"/>
        <s v="liaromero2008@gmail.com"/>
        <s v="licea1879@gmail.com"/>
        <s v="lidicegonzalez1980@gmail.com"/>
        <s v="lidyscastellanos1966@gmail.com"/>
        <s v="liemartinez01@gmail.com"/>
        <s v="lienbarbaracordero@gmail.com"/>
        <s v="liennilaheraalvarez@gmail.com"/>
        <s v="liesnileisir@gmail.com"/>
        <s v="lilicerzamorales@gmail.com"/>
        <s v="lirianoluqueroberto28@gmail.com"/>
        <s v="lirv9310@gmail.com"/>
        <s v="lisandracampos1993@gmail.com"/>
        <s v="lisandryeloiortegacarmona@gmail.com"/>
        <s v="lisardogomez305@gmail.com"/>
        <s v="lisbetd499@gmail.com"/>
        <s v="lisbetlisdania@gmail.com"/>
        <s v="lisbetpiki@gmail.com"/>
        <s v="lisetmariahernandezbarsaga@gmail.com"/>
        <s v="lisneymivalle88@gmail.com"/>
        <s v="lisneymivalle88@gmail.com, vdeboramoreno@gmail.com"/>
        <s v="Lissandra Amada Dominguez Cabrera"/>
        <s v="lissetbravomuchuli87@gmail.com"/>
        <s v="lissetlopezgarcia816@gmail.com"/>
        <s v="lissetterodriguezvarela@gmail.com, joseluissalgadochao16@gmail.com"/>
        <s v="lisvaldes92@gmail.com"/>
        <s v="lisvega260@gmail.com"/>
        <s v="litmaycantero@gmail.com, litru.1991@gmail.com, rubencantero966@gmail.com"/>
        <s v="lizyrp1206@gmail.com"/>
        <s v="llizardoandres@gmail.com"/>
        <s v="lmmygl1992@gmail.com"/>
        <s v="lopezabelp85@gmail.com"/>
        <s v="lopezbernalyoelvis49@gmail.com"/>
        <s v="lopezgomezdanielalain@gmail.com"/>
        <s v="lopezosesjm70@gmail.com"/>
        <s v="lorenanoel055@gmail.com"/>
        <s v="lospetra.com@gmail.com"/>
        <s v="lourdesmariapantojaleyva@gmail.com"/>
        <s v="lozanofigueredoalexi@gmail.com"/>
        <s v="lr1102897@gmail.com"/>
        <s v="lsanchezcutting@gmail.com"/>
        <s v="luisalbertogonzalez1609@gmail.com"/>
        <s v="luisangelpaneque1992@gmail.com"/>
        <s v="luisdarieldiazgarcia@gmail.com"/>
        <s v="luismiguelleyva99@gmail.com"/>
        <s v="m05829124@gmail.com"/>
        <s v="machadomilletmanuel@gmail.com"/>
        <s v="machinoperezrolando1986@gmail.com"/>
        <s v="madeleyneflores7407@gmail.com"/>
        <s v="magalysperez042@gmail"/>
        <s v="magañaorlando325@gmail.com"/>
        <s v="magdielis94@gmail.com"/>
        <s v="magyuryhernandezperez@gmail.com"/>
        <s v="maikele374@gmail.com"/>
        <s v="maikelrr87@gmail.com"/>
        <s v="mairacabrera618@gmail.com"/>
        <s v="manuelbetancourt1605@gmail.com"/>
        <s v="manueldejesusgonzalesrondon@gmail.com"/>
        <s v="manuelreyezperezluiz@gmail.com"/>
        <s v="marceladomingueztellez99@gmail.com"/>
        <s v="marcopozo.fonseca@gmail.com"/>
        <s v="marcosarminanmoret@gmail.com"/>
        <s v="mariacaridadmustelierO@gmail.com"/>
        <s v="marialuisabarreras78@gmail.com, marialuisabarreramartinez06@gmail.com"/>
        <s v="mariannisnorat@gmail.com"/>
        <s v="maricelaperezgutierrez29@gmail.com"/>
        <s v="marihallvilla@gmail.com"/>
        <s v="marinahernandezcastro1995@gmail.com"/>
        <s v="marisolbetancourtreyes096@gmail.com"/>
        <s v="marisolgarcialao@mail.com"/>
        <s v="maritzacastaned@outlook.com"/>
        <s v="marlenisperes2026@gmail.com"/>
        <s v="marliesyeromartinez@gmail.com"/>
        <s v="Marlonleyva125@gmail.com"/>
        <s v="marthafrometa044@gmail.com"/>
        <s v="martinrzcruz77@gmail.com"/>
        <s v="maryluzbautaperez3@gmail.com"/>
        <s v="marywittson9723@gmail.com"/>
        <s v="matoselizabeth799@gmail.com"/>
        <s v="matoseniel@gmail.com"/>
        <s v="matoshernandezroger@gmail.com"/>
        <s v="maurieyoyi@gmail.com"/>
        <s v="mayealeondaily@gmail.com"/>
        <s v="maykolalfredo65@gmail.com"/>
        <s v="maylenpino@icloud.com"/>
        <s v="mcapote1985@gmail.com"/>
        <s v="mebemaria8209@gmail.com"/>
        <s v="melany20051302@gmail.com"/>
        <s v="melisagt760@gmail.com"/>
        <s v="mendozaariasleosbel@gmail.com"/>
        <s v="meylinmacias42@gmail.com"/>
        <s v="mg6952301@gmail.com"/>
        <s v="miameypedro@gmail.com"/>
        <s v="michelreyesordaz60@gmail.com"/>
        <s v="midialahernandezvenero@gmail.com"/>
        <s v="migdaliaampudiamulet@gmail.com"/>
        <s v="migdalismendoza6@gmail.com"/>
        <s v="migue.segura900913@gmail.com"/>
        <s v="miguelazan1968@gmail.com"/>
        <s v="miguelt8207@gmail.com"/>
        <s v="miladosribeaix@gmail.com"/>
        <s v="miladysmieresinfante0@gmail.com, ferreryosef@gmail.com"/>
        <s v="milanyuleisys1@gmail.com"/>
        <s v="mileidygarcia361@gmail.com"/>
        <s v="milianosiel59@gmail.com"/>
        <s v="miliomili38@gmail.com"/>
        <s v="mireyacharon5@gmail.com"/>
        <s v="mn9073785@gmail.com"/>
        <s v="moralesalmeidaleordanmichel@gmail.com"/>
        <s v="moralesnelsy969@gmail.com"/>
        <s v="moralestamayo64@gmail.com"/>
        <s v="morejonaplle@gmail.com"/>
        <s v="morejonyeni82@gmail.com"/>
        <s v="Moroelanimal1@gmail.com"/>
        <s v="moultonzamoraniuris@gmail.com"/>
        <s v="msodiani5@gmail.com, anibalgonzalezfernandez1@gmail.com"/>
        <s v="munozelmis694@gmail.com"/>
        <s v="munozrizoyaneisyelena@gmail.com"/>
        <s v="mylenemtnez75@gmail.com"/>
        <s v="n2458619@gmail.com, emartinezf68@gmail.com"/>
        <s v="nancyhechavarriacuello@gmail.com"/>
        <s v="nanychng1105@gmail.com"/>
        <s v="nanygaby96@gmail.com, yordy5797@gmail.com, jimenezyoandry475@gmail.com, nperezoramas@gmail.com"/>
        <s v="napoleshernandezraiza@gmail.com, flordenisamargotsaumell@gmail.com"/>
        <s v="nefertitimora66@gmail.com"/>
        <s v="neldaorasma353@gmail.com"/>
        <s v="nelsonmanuelcorreasolano@gmail.com"/>
        <s v="neoberdervilla@gmail.com"/>
        <s v="nereidamarquez557@gmail.com"/>
        <s v="nerynery275@gmail.com"/>
        <s v="NEURIS1998@GMAIL.COM"/>
        <s v="neylanenriquez@gmail.com"/>
        <s v="ngcaceres9@gmail.com"/>
        <s v="nildaceciliabarrionuevovaldes@gmail.com"/>
        <s v="nitobarrosofaxa@gmail.com"/>
        <s v="niuddarodriguezlabanino01@gmail.com"/>
        <s v="niurkalaoo@gmail.com"/>
        <s v="nmaikel55@gmail.com"/>
        <s v="no"/>
        <s v="Noelia Estela Duarte"/>
        <s v="noelobregoncorrales@gmail.com, yaneznilen405@gmail.com"/>
        <s v="noremi.ballestet@gmail.com"/>
        <s v="noslan@gmail.com"/>
        <s v="noslencastilla0@gmail.com"/>
        <s v="nunezfernandezgeorky@gmail.com"/>
        <s v="nunezguerrerorosario971011@gmail.com"/>
        <s v="oamanycarballosa@gmail.com"/>
        <s v="octavioagustin6@gmail.com"/>
        <s v="octavioetesta@gmail.com"/>
        <s v="odysmariaesparragueraalmenarez@gmail.com"/>
        <s v="ofeliazambrana3@gmail.com"/>
        <s v="ogundatetura03@gmail.com"/>
        <s v="Olgagch95@gmail.com"/>
        <s v="oliverosperezerzili@gmail.com"/>
        <s v="Omarpoll755@gmail.com"/>
        <s v="omarsuren2@gmail.com"/>
        <s v="omglz2010@gmail.com"/>
        <s v="orestegonzalez1969@gmail."/>
        <s v="orestesgarcia85@gmail.com"/>
        <s v="orlandomiguelrodriguezalvarez@gmail.com"/>
        <s v="ortavladimir06@gmail.com"/>
        <s v="ortizjusto83@gmail.com"/>
        <s v="ortizolivaresrufus@gmail.com"/>
        <s v="oshunydf@gmail.com"/>
        <s v="oslanieralfonsomesa@gmail.com"/>
        <s v="osmanyfernandeztorres@gmail.com"/>
        <s v="osmanymarcelf@gmail.com"/>
        <s v="osmaycarbonellcabrera@gmail.com"/>
        <s v="osmelmontalvonapoles1@gmail.com"/>
        <s v="osnielm243@gmail.com"/>
        <s v="Osnielreinaldo489@gmail.com"/>
        <s v="osnielzayas1@gmail.com"/>
        <s v="pabloalain61@gmail.com"/>
        <s v="palmajimenez539@gmail.com"/>
        <s v="pattybc1999@gmail.com"/>
        <s v="pavonsuremys@gmail.com"/>
        <s v="pdmhavana@gmail.com"/>
        <s v="pedroaraujoq69@gmail.com"/>
        <s v="pedroleyvagordo73@gmail.com"/>
        <s v="pedroyeison2512@gmail.com"/>
        <s v="Pelierdominguezkeity@gmail.com"/>
        <s v="penaadelina235@gmail.com"/>
        <s v="perezantuan510@gmail.com"/>
        <s v="perezdanielito64@gmail.com"/>
        <s v="perezdanier720@grmail.com"/>
        <s v="perezdayron98@gmail.com"/>
        <s v="Perezfernandezr093@gmail.com"/>
        <s v="perezjimenezidania@gmail.com"/>
        <s v="perezmayelin062@gmail.com"/>
        <s v="pereznaranjoalison48@gmail.com"/>
        <s v="perezperezgendris@gmail.com, geidyesterperez96@gmail.com"/>
        <s v="perezromeroarturo4@gmail.com"/>
        <s v="pichi.love11120@gmail.com"/>
        <s v="pilianamercedes@gmail.com"/>
        <s v="pilli0477@gmail.com"/>
        <s v="pinosegurayoel@gmail.com"/>
        <s v="placenciayosiel@gmail.com"/>
        <s v="pn468716@gmail.com"/>
        <s v="puentesvarona0378@gmail"/>
        <s v="pulidomesareynier@gmail.com"/>
        <s v="quintanamercy847@gmail.com"/>
        <s v="rabileandro53@gmail.com"/>
        <s v="racielaguilarmejias@gmail.com"/>
        <s v="rafael730426@gmail.com"/>
        <s v="rafaeldiaznunezq@gmail.com"/>
        <s v="rafaelgarces713@gmail.com"/>
        <s v="rafah70jun@gmail.com"/>
        <s v="raidel.buron@gmail.com"/>
        <s v="raidelhernandezrio@gmail.com"/>
        <s v="raiselbaez@gmail.com"/>
        <s v="ramonjaviermorenoortiz@gmail.com"/>
        <s v="ramonmauriciolaocurbelo@gmail.com"/>
        <s v="ramosariasyoandra@gmail.com"/>
        <s v="ramosbautistaolmedis83@gmail.com"/>
        <s v="Raquelmdb933@gmail.com"/>
        <s v="raulmatosmatosgilberto@gmail.com"/>
        <s v="rayme.ronda@gmail.com"/>
        <s v="raymondmf07@gmail.com"/>
        <s v="rd310558@gmail.com"/>
        <s v="regnitor88@gmail.com"/>
        <s v="reidyperez72@gmail.com"/>
        <s v="reinaguerra676@gmail.com"/>
        <s v="reinaldocollado.2022@gmail.com"/>
        <s v="reinaldocollado.2022@yahoo.com"/>
        <s v="reinerijay1990@gmail.com"/>
        <s v="reinishernandezreyes96@gmail.com"/>
        <s v="renecaballeroromeocaballero@gmail.com"/>
        <s v="renecv1959@gmail.com"/>
        <s v="renemigueldopicochavez@gmail.com"/>
        <s v="reniercubadiago@gmail.com"/>
        <s v="revillaabdiel@gmail.com"/>
        <s v="reyd43005@gmail.com"/>
        <s v="reyeslaritza505@gmail.com"/>
        <s v="reynierddiaz@gmail.com"/>
        <s v="reytony.gonzalez@gmail.com"/>
        <s v="ricardogusmansi676@gmail.com"/>
        <s v="ricardoortizwilson@gmil.com"/>
        <s v="ricardopereraortiz72@gmail.com"/>
        <s v="ricardopupoanniella@gmail.com"/>
        <s v="ricardosuarez@nauta.com.cu"/>
        <s v="rivera.cannon1965@gmail.com"/>
        <s v="riveramichek575@gmailcom"/>
        <s v="riveraperezyanmelis@gmail.com"/>
        <s v="riveroyuvis521@gmail.com"/>
        <s v="rizcoadrian@gmail.com, mejiascaballerosuselmaite@gmail.com"/>
        <s v="robertobatistamartinez35@gmail.com"/>
        <s v="robertogouyonnet37@gmail.com"/>
        <s v="robertojanetdurruthy7802@gmail.com"/>
        <s v="robertomolina636@gmail.com"/>
        <s v="Robertoracetpimentel1234@gmail.com"/>
        <s v="robertorobertoleonfolgoso@gmail.com"/>
        <s v="robesalazarcambas@gmail.com"/>
        <s v="rodelkis87@gmail.com"/>
        <s v="rodneyterry052@gmail.com"/>
        <s v="rodrigolazaroleyvatorres@gmail.com"/>
        <s v="rodriguezchauandy@gmail.com"/>
        <s v="rodriguezerlis404@gmail.com"/>
        <s v="rodriguezmatosmelissa5@gmail.com"/>
        <s v="rodriguezmunozjonathanandres2@gmail.com"/>
        <s v="roelderramirezlago1@gmail.com"/>
        <s v="roelreyesrojas@gmail.com"/>
        <s v="roelsirojaleiba@gmail.com"/>
        <s v="rogenajose1@gmail.com"/>
        <s v="roilandycabrera09@gmail.com"/>
        <s v="roinierorozco551@gmail.com"/>
        <s v="rojasyurina1@gmail.com"/>
        <s v="ronneyocana023@gmail.com"/>
        <s v="ronnyortegatabares23@gmail.com"/>
        <s v="ronyrocadiaz302@gmail.com"/>
        <s v="rosabalsottoyunita@gmail.com"/>
        <s v="rosalysortega4@gmail.com"/>
        <s v="rosamariadiasrodriguez6@gmail.com"/>
        <s v="roselloernesto2@gmail.com"/>
        <s v="roxanalaffita1227@gmail.com"/>
        <s v="roydelfiffe96@gmail.com"/>
        <s v="rsarmientoechevarria3@gmail.com"/>
        <s v="ruberluisfrometa@gmail.com"/>
        <s v="rudielpaezleiva@gmail.com"/>
        <s v="rviltres801@gmail.com"/>
        <s v="salasalfonsoalejandra@gmail.com"/>
        <s v="sanchezoriassirdeljesus@gmail.com"/>
        <s v="sandragarciareinoso@gmail.com"/>
        <s v="sandragomezpimemtel814@gmail.com"/>
        <s v="Sarahyvelizmiranda.30@gmail.com"/>
        <s v="saylilopez4736@gmail.com"/>
        <s v="saymelchoy986@gmail.com"/>
        <s v="semo.fajardo@gmail.com"/>
        <s v="seniaolivero5@gmail.com"/>
        <s v="sentillaoy@gmail.com"/>
        <s v="serranoyanior3@gmail.com"/>
        <s v="shakirac9908@gmail.com, brayanuranga022@gmail.com"/>
        <s v="siddoelrosalespompa@gmail.com"/>
        <s v="silvasilvavladimir9@gmail.com"/>
        <s v="siviran.31@gmail.com"/>
        <s v="socarrasmichel067@gmail.com"/>
        <s v="sofiacubabrasil@gmail.com"/>
        <s v="soniavivianejimenez@gmail.com"/>
        <s v="stalin6906@gmail.com"/>
        <s v="stefaniglez99@gmail.com"/>
        <s v="stefanysuarezcorcho@gmail.com"/>
        <s v="suarezalain1974@gmail.com"/>
        <s v="suchellabradaherrera94@gmail.com"/>
        <s v="suremaferrergola@gmail.com"/>
        <s v="suyinkas@gmail.com"/>
        <s v="t2922533@gmail.com"/>
        <s v="tamayosheila24@gmail.com"/>
        <s v="taniagonzalves7@gmail.com"/>
        <s v="tatianamarinorodriguez5@gmail.com"/>
        <s v="teresitadelacruz6503@gmail.com, moralesmenadomingo@gmail.com"/>
        <s v="thaiscossio@gmail.com"/>
        <s v="thaliavivas2005@gmail.com"/>
        <s v="torneamarilis@gmail.com"/>
        <s v="ulloaleonismael@gmail.com"/>
        <s v="uvercabreralora870@gmail.com"/>
        <s v="valdesosmany01@gmail.com"/>
        <s v="valdespadrondidier@gmail"/>
        <s v="valeraperezdariel@gmail.com"/>
        <s v="vanessavillalejo756@gmail.com"/>
        <s v="vegamayedoyanet@gmail.com"/>
        <s v="vegamayeoyanet@gmail.com"/>
        <s v="ventoarian77@gmail.com"/>
        <s v="veronikhu93@gmail.com"/>
        <s v="vicettamayodelmis@gmail.com"/>
        <s v="Victoraniermoralopez1@gmail.com"/>
        <s v="victormanuelmunozpadron398@gmail.com"/>
        <s v="VINACARRASCOA@GMAIL.COM"/>
        <s v="virgendelas41@gmail.com"/>
        <s v="vismayjesus@gmail.com"/>
        <s v="vladimirbolokk@gmail.com"/>
        <s v="vladimirrosell111@gmail.com"/>
        <s v="Vlataton2015@gmail.com"/>
        <s v="vrodriguezagras@gmail.com"/>
        <s v="wandycamposojeda5@gmail.com"/>
        <s v="wilimely11@gmail.com"/>
        <s v="willianzamoragalan51@gmail.com"/>
        <s v="wily.mederos@gmail.com"/>
        <s v="wlisermartinez01@gmail.com"/>
        <s v="wuilfredolopezisaac@gmail.com"/>
        <s v="xavierdelacruz55@gmail.com"/>
        <s v="xiomycabrera318@gmil.com"/>
        <s v="Y8566635@Gmail.com"/>
        <s v="yadiramr1995@gmail.com"/>
        <s v="yadna1984@gmail.com"/>
        <s v="yaidelinalfonsomartinesz@gmail.com"/>
        <s v="yailygilcue@gmail.com"/>
        <s v="yaima830405@gmail.com.Telef"/>
        <s v="yaimaroman01@gmail.com"/>
        <s v="yaliciaroman88@gmail.com"/>
        <s v="yambookanofficiel@gmail.com"/>
        <s v="yamil medina2025@gmail.com"/>
        <s v="yamilagmartinez88@gmail.com"/>
        <s v="yamilamoya266@gmail.com"/>
        <s v="yamileygomezperez@gmail.com"/>
        <s v="yanayscm@gmail.com"/>
        <s v="yanderdiaz9912@gmail.com"/>
        <s v="yandiluis123@gmail.com"/>
        <s v="yandryperez990@gmail.com"/>
        <s v="yandydiaz9622@gmail.com"/>
        <s v="yaneisyscarbonell3@gmail.com"/>
        <s v="yanelafabat@gmail.com"/>
        <s v="yanelam2001@gmail.com, manuelalejandrocedeno81@gmail.com"/>
        <s v="yanelaromanleyva@gmail.com"/>
        <s v="yanesanchez870425@yahoo.com"/>
        <s v="Yanetgonzaleztorres1983@gmail.com"/>
        <s v="yanethamchiong@gmail.com"/>
        <s v="yanetmato89@gmail.com"/>
        <s v="yanetmedina270@gmail.com"/>
        <s v="yaneyarueda@gmail.com"/>
        <s v="yaniacosta467@gmail.com"/>
        <s v="yanieltuti@gmail.com"/>
        <s v="yanisleidysdiaz333@gmail.com"/>
        <s v="yanitzasanchezsantiesteban@gmail.com"/>
        <s v="yanlucas.atenas@gmail.com"/>
        <s v="yannisanategonzalez684@gmail"/>
        <s v="yanselruiz0299@gmil.com, liusmilarevueltanaranjo@gmail.com"/>
        <s v="yariannioquendourgelles@gmail.com"/>
        <s v="yasmani.yandris@gmail.com"/>
        <s v="yasmany.villalonga@gmail.com"/>
        <s v="yasmanycrespoperez@gmail.com"/>
        <s v="yasmanyga1989@gmail.com"/>
        <s v="yasneily155@gmail.com"/>
        <s v="yasser.valerab@gmail.com"/>
        <s v="yaymara.cg@gmail.com"/>
        <s v="ybanteur@gmail.com"/>
        <s v="yenisleidirodriguez770@gmail.com"/>
        <s v="yennybrown15@gmail.com"/>
        <s v="yeracarlosjavier@gmail.com"/>
        <s v="yerandytorres88@gmial.com"/>
        <s v="yeretnysglez@gmail.com"/>
        <s v="yerotattoo@gmail.com"/>
        <s v="yessicamoralessanchez86@gmail.com"/>
        <s v="yexandertejeda@gmail.com"/>
        <s v="ygironmesa@gmail.com"/>
        <s v="yiliannisblanco552@gamil.con"/>
        <s v="yilverguerrerodlt@gmail.com"/>
        <s v="yinamarina@yopmail.com, aleidaortega@yopmail.com, yanelys1977@yopmail.com, pilotosureiny@gmail.com"/>
        <s v="yivanpino@gmail.com"/>
        <s v="yixellis77@gmail.com"/>
        <s v="ymartinezcata@gmail.com"/>
        <s v="yoan.liki@gmail.com"/>
        <s v="yoandrareymond76@gmail.com"/>
        <s v="yoandrimartiv@gmail.com"/>
        <s v="yoandriscastellanoscruz@gmail.com"/>
        <s v="yoandrisramirezcastro@gmail.com"/>
        <s v="yoandrissocarras@gmail.com"/>
        <s v="yoanismora090@gmail.com"/>
        <s v="yoanisveracarrion604@gmail.com"/>
        <s v="yoanydominguez032@gmail.com, yoanyyoany665@gmail.com"/>
        <s v="yobanymr79@gmail.com"/>
        <s v="yoelgonzalezmorejonmoises@gmail.com"/>
        <s v="yoelkis.alba@gmail.com"/>
        <s v="yoelroneymaqueira@gmail.com"/>
        <s v="Yoelrosales456@gmail.com"/>
        <s v="yoendriamaro@gmail.com"/>
        <s v="yoennimp91@gmail.com"/>
        <s v="yohanablanco267@gmail.com"/>
        <s v="yohannercapote2022@gmail.com"/>
        <s v="yohantoledo92@gmail.com"/>
        <s v="yoikelgomez18@gmail.com"/>
        <s v="yoiselllerenaibarra@gmail.com"/>
        <s v="yoisymartinez59@gmail.com"/>
        <s v="yolaidisernandez@gmail.com"/>
        <s v="yolandaalcantara209@gmail.com"/>
        <s v="Yolimardelcarmentorrivilla@gmail.com"/>
        <s v="yonimamu83@gmail.com"/>
        <s v="yordanisbonnemiranda@gmail.com"/>
        <s v="yorleidisgomeznavarro0@gmail.com"/>
        <s v="yosbanyjunior@gmail.com"/>
        <s v="yosdel382@gmail.com"/>
        <s v="yosneychapeauxcruz@gmail.com"/>
        <s v="Yosnielabrines4@gmail.com"/>
        <s v="yovanisdurand@gmail.com"/>
        <s v="yoyselherediamorel@gmail.com"/>
        <s v="ypveliz87@gmail.com"/>
        <s v="yrachyrodriguezfernandez@gmail.com"/>
        <s v="yudelcastillodiaz@gmail.com"/>
        <s v="Yudelkagalan7@gmail.com"/>
        <s v="yudelkioviedo550@gmail.com"/>
        <s v="yudeniamn@gmail.com"/>
        <s v="yudenyrojasgomez567@gmail.com"/>
        <s v="yudmilabatista31@gmail.com"/>
        <s v="yuletsypimentelrecio@gmail.com"/>
        <s v="yulianreyes570@gmail.com"/>
        <s v="yulieskybilletero653@gmail.com"/>
        <s v="yulieskysanchez25@gmail.com"/>
        <s v="yulirr7809@gmail.com"/>
        <s v="yunaycamartinez3@gmail.com"/>
        <s v="yuneisysdias794@gmail.com"/>
        <s v="yunelherrera0@gmail.com"/>
        <s v="yunetcastro894@gmail.com"/>
        <s v="yuniaguiyenricardo@gmail.com"/>
        <s v="yuniel.stable91@gmail.com"/>
        <s v="yunier07martinez@gmail.com"/>
        <s v="yunierlarosa676@gmail.com"/>
        <s v="yuniersanchezmarquez@gmail.com"/>
        <s v="yunieskymonterosegura@gmail.com"/>
        <s v="Yunietarevalo912@gmail.com"/>
        <s v="yuniorabdala140785@gmail.com"/>
        <s v="yuniorbras89@gmail.com"/>
        <s v="yunipza@gmail.com"/>
        <s v="yunisleydidr1985@gmail.com"/>
        <s v="yurienrivera17@gmail.com"/>
        <s v="yusmairaangel1214@gmail.com"/>
        <s v="yusnabyanca093@gmail.com"/>
        <s v="yusnelymunoz680@gmail.com"/>
        <s v="yusnelyramospozos@gmail.com"/>
        <s v="yusniertrust78@gmail.com"/>
        <s v="yvalurodriguez416@gmail.com"/>
        <s v="zamomg15@gmail.com"/>
        <s v="zapatayoandri70@gmail.com"/>
        <s v="zarelys.perez.2022@gmail.com"/>
        <s v="zayasmartinezluanda@gmail.com, alexisplanche67@gmail.com"/>
        <s v="zoraidadiazmarquez9@gmail.com"/>
        <s v="zoraidalinares273@gmail.com"/>
        <s v="zyudith02@gmail.com"/>
        <m/>
      </sharedItems>
    </cacheField>
    <cacheField name="PAÍS" numFmtId="0">
      <sharedItems containsBlank="1" count="5">
        <s v="ARGENTINA"/>
        <s v="BOLIVIA"/>
        <s v="CUBA"/>
        <s v="VENEZUELA"/>
        <m/>
      </sharedItems>
    </cacheField>
    <cacheField name="ATENDENTE" numFmtId="0">
      <sharedItems containsBlank="1" count="6">
        <s v="ERIC"/>
        <s v="JESSICA"/>
        <s v="LARITZA"/>
        <s v="MICHEL"/>
        <s v="SOLANGE"/>
        <m/>
      </sharedItems>
    </cacheField>
    <cacheField name="UTM_SOURCE" numFmtId="0">
      <sharedItems containsBlank="1" count="9">
        <s v="facebook"/>
        <s v="FB_MESSENGER"/>
        <s v="ig"/>
        <s v="Instagram"/>
        <s v="INSTAGRAM_BIO"/>
        <s v="META ADS"/>
        <s v="metaads"/>
        <s v="tiktok"/>
        <m/>
      </sharedItems>
    </cacheField>
    <cacheField name="UTM_CAMPAIGN" numFmtId="0">
      <sharedItems containsBlank="1" count="14">
        <s v="[INT] [WA] [TRA] [VZL] TRAD. JUR."/>
        <s v="[INT][WA-2139][TRA][CUB][CON][ADV+][F] AG. PF."/>
        <s v="[INT][WA-2139][TRA][CUB][CON][ADV+][F] CERT. CONS."/>
        <s v="[INT][WA-2139][TRA][CUB][CON][ADV+][F]DES.REF."/>
        <s v="[INT][WA-2139][TRA][CUB][CON][ADV+][F]RES.PMT."/>
        <s v="[INT][WA-2139][TRA][CUB][CON][ADV+][F]TRAD. CNH"/>
        <s v="[LEAD]+[ADV%2B]+[SITE]+[TRA]+[TES]+[POS.+ADV%2B]+[F]+CAMB.+END."/>
        <s v="CAMB. END."/>
        <s v="Cambio de Dirección"/>
        <s v="Desarchivamiento Refugio"/>
        <s v="RES. PMT."/>
        <s v="servicios generales"/>
        <s v="social"/>
        <m/>
      </sharedItems>
    </cacheField>
    <cacheField name="UTM_CONTENT" numFmtId="0">
      <sharedItems containsBlank="1" count="29">
        <s v="AD01 - AG. PF."/>
        <s v="AD01 - CAMB. END."/>
        <s v="AD01 - RES. PMT."/>
        <s v="AD01-RES.PMT."/>
        <s v="AD01-TRAD.CNH"/>
        <s v="AD02 - AG. PF."/>
        <s v="AD02 - CAMB. END."/>
        <s v="AD02 - CERT. CONS."/>
        <s v="AD02 - RES. PMT."/>
        <s v="AD02-RES.PMT."/>
        <s v="AD02-TRAD.CNH"/>
        <s v="AD03 - AG. PF."/>
        <s v="AD03 - CAMB. END."/>
        <s v="AD03 - CERT. CONS."/>
        <s v="AD03 - RES. PMT."/>
        <s v="AD04 - RES. PMT."/>
        <s v="AD04-DES.REF."/>
        <s v="AD04-RES.PMT."/>
        <s v="AD05-RES.PMT."/>
        <s v="AD05-TRAD.CNH"/>
        <s v="AD06 - RES. PMT."/>
        <s v="AD07 - CAMB. END."/>
        <s v="AD08 - RES. PMT."/>
        <s v="AD10 - RES. PMT."/>
        <s v="Caixa de pergunta cambio dirección são paulo"/>
        <s v="Caixa de pergunta refugio archivado"/>
        <s v="Caixa de pergunta refugio archivado curitiba"/>
        <s v="Imagen servicios 2"/>
        <m/>
      </sharedItems>
    </cacheField>
    <cacheField name="UTM_MEDIUM" numFmtId="0">
      <sharedItems containsBlank="1" count="10">
        <s v="Anuncio"/>
        <s v="bio"/>
        <s v="Facebook_Mobile_Feed"/>
        <s v="Facebook_Mobile_Reels"/>
        <s v="IMAGEN"/>
        <s v="organico"/>
        <s v="PAGO"/>
        <s v="social"/>
        <s v="VIDEO"/>
        <m/>
      </sharedItems>
    </cacheField>
    <cacheField name="RECORRENCIA" numFmtId="0">
      <sharedItems containsBlank="1" count="3">
        <s v="NUEVO"/>
        <s v="RECORRENTE"/>
        <m/>
      </sharedItems>
    </cacheField>
    <cacheField name="CIUDAD" numFmtId="0">
      <sharedItems containsBlank="1" count="68">
        <s v="BALNEARIO CAMBORIU"/>
        <s v="BAURU"/>
        <s v="BELO HORIZONTE"/>
        <s v="BLUMENAU"/>
        <s v="BOA VISTA"/>
        <s v="BRASILIA, DF"/>
        <s v="CÁCERES"/>
        <s v="CAMPINAS"/>
        <s v="CASCAVEL"/>
        <s v="CAXIAS DO SUL"/>
        <s v="CAXIAS DO SUL, RS"/>
        <s v="CHAPECÓ"/>
        <s v="CRICIÚMA"/>
        <s v="CRICIÚMA, SC"/>
        <s v="CUIABÁ"/>
        <s v="CUIABÁ, MT"/>
        <s v="CURITIBA"/>
        <s v="CURITIBA, PR"/>
        <s v="DESCONOCIDA"/>
        <s v="DIVINÓPOLIS"/>
        <s v="FAZENDA RIO GRANDE"/>
        <s v="FLORIANÓPOLIS"/>
        <s v="FLORIANÓPOLIS, SC"/>
        <s v="FOZ DO IGUAÇU"/>
        <s v="GOIÂNIA"/>
        <s v="GRAMADO"/>
        <s v="GUARULHOS"/>
        <s v="IÇARA"/>
        <s v="ITAJAÍ"/>
        <s v="ITAPEMA"/>
        <s v="JAGUARIÚNA"/>
        <s v="JOINVILLE"/>
        <s v="JOINVILLE, SC"/>
        <s v="JUNDIAÍ"/>
        <s v="LAGES"/>
        <s v="LAGOA GRANDE"/>
        <s v="LONDRINA"/>
        <s v="MANAUS"/>
        <s v="NOVA AURORA"/>
        <s v="NOVA BASSANO"/>
        <s v="OSASCO"/>
        <s v="PALHOÇA"/>
        <s v="PALHOÇA, SC"/>
        <s v="PALMEIRA"/>
        <s v="PEÑA"/>
        <s v="PLANALTO"/>
        <s v="PONTA GROSSA"/>
        <s v="PONTE LACERDA"/>
        <s v="PORTO ALEGRE"/>
        <s v="RIBERÃO PRETO"/>
        <s v="RIO VERDE"/>
        <s v="RIO VERDE, GO"/>
        <s v="SALVADOR DE BAHÍA"/>
        <s v="SÃO CARLOS"/>
        <s v="SÃO FELIX DO XINGU"/>
        <s v="SÃO JOSÉ"/>
        <s v="SÃO JOSÉ DO RIO PRETO"/>
        <s v="SÃO JOSÉ DOS CAMPOS"/>
        <s v="SÃO LUIS"/>
        <s v="SÃO PAULO"/>
        <s v="SÃO PAULO, SP"/>
        <s v="SERRA"/>
        <s v="SOROCABA"/>
        <s v="TIJUCAS"/>
        <s v="TUBARÃO"/>
        <s v="UBERLÂNDIA"/>
        <s v="VÁRZEA PAULISTA"/>
        <m/>
      </sharedItems>
    </cacheField>
    <cacheField name="ESTADO" numFmtId="0">
      <sharedItems containsBlank="1" count="17">
        <s v="AMAZONAS"/>
        <s v="BAHIA"/>
        <s v="DESCONOCIDO"/>
        <s v="ESPÍRITO SANTO"/>
        <s v="GOIÁS"/>
        <s v="MARANHÃO"/>
        <s v="MATO GROSSO"/>
        <s v="MINAS GERAIS"/>
        <s v="PARÁ"/>
        <s v="PARANÁ"/>
        <s v="RIO DE JANEIRO"/>
        <s v="RIO GRANDE DO NORTE"/>
        <s v="RIO GRANDE DO SUL"/>
        <s v="RORAIMA"/>
        <s v="SANTA CATARINA"/>
        <s v="SÃO PAULO"/>
        <m/>
      </sharedItems>
    </cacheField>
    <cacheField name="CPF" numFmtId="0">
      <sharedItems containsString="0" containsBlank="1" containsNumber="1" minValue="-1" maxValue="80266235921" count="62">
        <n v="-1"/>
        <n v="0"/>
        <n v="116.59663288"/>
        <n v="9711970"/>
        <n v="17632984"/>
        <n v="70776962"/>
        <n v="1129537609"/>
        <n v="1446983900"/>
        <n v="2058995953"/>
        <n v="3260836934"/>
        <n v="3612457934"/>
        <n v="3934853900"/>
        <n v="4798465968"/>
        <n v="4818917818"/>
        <n v="4862384900"/>
        <n v="5438993300"/>
        <n v="5505550991"/>
        <n v="6648622687"/>
        <n v="7223595272"/>
        <n v="7245296081"/>
        <n v="7370502090"/>
        <n v="8769800944"/>
        <n v="8788290832"/>
        <n v="11194032273"/>
        <n v="11230766260"/>
        <n v="11338823230"/>
        <n v="11344978223"/>
        <n v="11410556271"/>
        <n v="11439813248"/>
        <n v="11463353260"/>
        <n v="11475548206"/>
        <n v="11481124218"/>
        <n v="11548490237"/>
        <n v="11571517286"/>
        <n v="11598761269"/>
        <n v="11604335262"/>
        <n v="11606849280"/>
        <n v="11611357233"/>
        <n v="11650080255"/>
        <n v="11683391209"/>
        <n v="11744534276"/>
        <n v="11747991295"/>
        <n v="11756732264"/>
        <n v="11760658235"/>
        <n v="11769074252"/>
        <n v="11771951273"/>
        <n v="11796446203"/>
        <n v="11846626226"/>
        <n v="11888879203"/>
        <n v="11891946277"/>
        <n v="11908589248"/>
        <n v="11953040217"/>
        <n v="11971989207"/>
        <n v="11982961279"/>
        <n v="12004244259"/>
        <n v="12013426275"/>
        <n v="12490090143"/>
        <n v="12610735170"/>
        <n v="12986585949"/>
        <n v="13225243949"/>
        <n v="80266235921"/>
        <m/>
      </sharedItems>
    </cacheField>
    <cacheField name="MES" numFmtId="0">
      <sharedItems containsString="0" containsBlank="1" containsNumber="1" containsInteger="1" minValue="1" maxValue="5" count="6">
        <n v="1"/>
        <n v="2"/>
        <n v="3"/>
        <n v="4"/>
        <n v="5"/>
        <m/>
      </sharedItems>
    </cacheField>
    <cacheField name="ANO" numFmtId="0">
      <sharedItems containsString="0" containsBlank="1" containsNumber="1" containsInteger="1" minValue="2026" maxValue="2026" count="2">
        <n v="2026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37">
  <r>
    <x v="0"/>
    <x v="1072"/>
    <x v="108"/>
    <x v="11"/>
    <x v="244"/>
    <x v="1049"/>
    <x v="917"/>
    <x v="4"/>
    <x v="5"/>
    <x v="8"/>
    <x v="13"/>
    <x v="28"/>
    <x v="9"/>
    <x v="2"/>
    <x v="67"/>
    <x v="16"/>
    <x v="61"/>
    <x v="0"/>
    <x v="0"/>
  </r>
  <r>
    <x v="0"/>
    <x v="1072"/>
    <x v="111"/>
    <x v="3"/>
    <x v="244"/>
    <x v="1049"/>
    <x v="917"/>
    <x v="4"/>
    <x v="5"/>
    <x v="8"/>
    <x v="13"/>
    <x v="28"/>
    <x v="9"/>
    <x v="2"/>
    <x v="67"/>
    <x v="16"/>
    <x v="61"/>
    <x v="0"/>
    <x v="0"/>
  </r>
  <r>
    <x v="0"/>
    <x v="1072"/>
    <x v="110"/>
    <x v="9"/>
    <x v="244"/>
    <x v="1049"/>
    <x v="917"/>
    <x v="4"/>
    <x v="5"/>
    <x v="8"/>
    <x v="13"/>
    <x v="28"/>
    <x v="9"/>
    <x v="2"/>
    <x v="67"/>
    <x v="16"/>
    <x v="61"/>
    <x v="0"/>
    <x v="0"/>
  </r>
  <r>
    <x v="0"/>
    <x v="1072"/>
    <x v="98"/>
    <x v="15"/>
    <x v="244"/>
    <x v="1049"/>
    <x v="917"/>
    <x v="4"/>
    <x v="5"/>
    <x v="8"/>
    <x v="13"/>
    <x v="28"/>
    <x v="9"/>
    <x v="2"/>
    <x v="67"/>
    <x v="16"/>
    <x v="61"/>
    <x v="0"/>
    <x v="0"/>
  </r>
  <r>
    <x v="0"/>
    <x v="1072"/>
    <x v="109"/>
    <x v="21"/>
    <x v="244"/>
    <x v="1049"/>
    <x v="917"/>
    <x v="4"/>
    <x v="5"/>
    <x v="8"/>
    <x v="13"/>
    <x v="28"/>
    <x v="9"/>
    <x v="2"/>
    <x v="67"/>
    <x v="16"/>
    <x v="61"/>
    <x v="0"/>
    <x v="0"/>
  </r>
  <r>
    <x v="0"/>
    <x v="1072"/>
    <x v="106"/>
    <x v="6"/>
    <x v="244"/>
    <x v="1049"/>
    <x v="917"/>
    <x v="4"/>
    <x v="5"/>
    <x v="8"/>
    <x v="13"/>
    <x v="28"/>
    <x v="9"/>
    <x v="2"/>
    <x v="67"/>
    <x v="16"/>
    <x v="61"/>
    <x v="0"/>
    <x v="0"/>
  </r>
  <r>
    <x v="0"/>
    <x v="1072"/>
    <x v="113"/>
    <x v="23"/>
    <x v="244"/>
    <x v="1049"/>
    <x v="917"/>
    <x v="4"/>
    <x v="5"/>
    <x v="8"/>
    <x v="13"/>
    <x v="28"/>
    <x v="9"/>
    <x v="2"/>
    <x v="67"/>
    <x v="16"/>
    <x v="61"/>
    <x v="0"/>
    <x v="0"/>
  </r>
  <r>
    <x v="0"/>
    <x v="1072"/>
    <x v="75"/>
    <x v="10"/>
    <x v="244"/>
    <x v="1049"/>
    <x v="917"/>
    <x v="4"/>
    <x v="5"/>
    <x v="8"/>
    <x v="13"/>
    <x v="28"/>
    <x v="9"/>
    <x v="2"/>
    <x v="67"/>
    <x v="16"/>
    <x v="61"/>
    <x v="0"/>
    <x v="0"/>
  </r>
  <r>
    <x v="0"/>
    <x v="1072"/>
    <x v="44"/>
    <x v="13"/>
    <x v="244"/>
    <x v="1049"/>
    <x v="917"/>
    <x v="4"/>
    <x v="5"/>
    <x v="8"/>
    <x v="13"/>
    <x v="28"/>
    <x v="9"/>
    <x v="2"/>
    <x v="67"/>
    <x v="16"/>
    <x v="61"/>
    <x v="0"/>
    <x v="0"/>
  </r>
  <r>
    <x v="0"/>
    <x v="1072"/>
    <x v="112"/>
    <x v="20"/>
    <x v="244"/>
    <x v="1049"/>
    <x v="917"/>
    <x v="4"/>
    <x v="5"/>
    <x v="8"/>
    <x v="13"/>
    <x v="28"/>
    <x v="9"/>
    <x v="2"/>
    <x v="67"/>
    <x v="16"/>
    <x v="61"/>
    <x v="0"/>
    <x v="0"/>
  </r>
  <r>
    <x v="0"/>
    <x v="1072"/>
    <x v="39"/>
    <x v="8"/>
    <x v="244"/>
    <x v="1049"/>
    <x v="917"/>
    <x v="4"/>
    <x v="5"/>
    <x v="8"/>
    <x v="13"/>
    <x v="28"/>
    <x v="9"/>
    <x v="2"/>
    <x v="67"/>
    <x v="16"/>
    <x v="61"/>
    <x v="0"/>
    <x v="0"/>
  </r>
  <r>
    <x v="0"/>
    <x v="1072"/>
    <x v="82"/>
    <x v="5"/>
    <x v="244"/>
    <x v="1049"/>
    <x v="917"/>
    <x v="4"/>
    <x v="5"/>
    <x v="8"/>
    <x v="13"/>
    <x v="28"/>
    <x v="9"/>
    <x v="2"/>
    <x v="67"/>
    <x v="16"/>
    <x v="61"/>
    <x v="0"/>
    <x v="0"/>
  </r>
  <r>
    <x v="0"/>
    <x v="1072"/>
    <x v="100"/>
    <x v="1"/>
    <x v="244"/>
    <x v="1049"/>
    <x v="917"/>
    <x v="4"/>
    <x v="5"/>
    <x v="8"/>
    <x v="13"/>
    <x v="28"/>
    <x v="9"/>
    <x v="2"/>
    <x v="67"/>
    <x v="16"/>
    <x v="61"/>
    <x v="0"/>
    <x v="0"/>
  </r>
  <r>
    <x v="0"/>
    <x v="756"/>
    <x v="28"/>
    <x v="22"/>
    <x v="751"/>
    <x v="965"/>
    <x v="3"/>
    <x v="4"/>
    <x v="0"/>
    <x v="5"/>
    <x v="11"/>
    <x v="27"/>
    <x v="0"/>
    <x v="2"/>
    <x v="67"/>
    <x v="16"/>
    <x v="61"/>
    <x v="0"/>
    <x v="0"/>
  </r>
  <r>
    <x v="0"/>
    <x v="1"/>
    <x v="16"/>
    <x v="1"/>
    <x v="32"/>
    <x v="601"/>
    <x v="552"/>
    <x v="4"/>
    <x v="0"/>
    <x v="8"/>
    <x v="13"/>
    <x v="28"/>
    <x v="9"/>
    <x v="2"/>
    <x v="67"/>
    <x v="16"/>
    <x v="61"/>
    <x v="0"/>
    <x v="0"/>
  </r>
  <r>
    <x v="0"/>
    <x v="1"/>
    <x v="14"/>
    <x v="9"/>
    <x v="170"/>
    <x v="170"/>
    <x v="550"/>
    <x v="4"/>
    <x v="0"/>
    <x v="8"/>
    <x v="13"/>
    <x v="28"/>
    <x v="9"/>
    <x v="2"/>
    <x v="67"/>
    <x v="16"/>
    <x v="61"/>
    <x v="0"/>
    <x v="0"/>
  </r>
  <r>
    <x v="0"/>
    <x v="0"/>
    <x v="16"/>
    <x v="3"/>
    <x v="919"/>
    <x v="945"/>
    <x v="807"/>
    <x v="4"/>
    <x v="0"/>
    <x v="8"/>
    <x v="13"/>
    <x v="28"/>
    <x v="9"/>
    <x v="2"/>
    <x v="67"/>
    <x v="16"/>
    <x v="61"/>
    <x v="0"/>
    <x v="0"/>
  </r>
  <r>
    <x v="0"/>
    <x v="900"/>
    <x v="55"/>
    <x v="23"/>
    <x v="906"/>
    <x v="64"/>
    <x v="796"/>
    <x v="4"/>
    <x v="0"/>
    <x v="8"/>
    <x v="13"/>
    <x v="28"/>
    <x v="9"/>
    <x v="2"/>
    <x v="67"/>
    <x v="16"/>
    <x v="61"/>
    <x v="0"/>
    <x v="0"/>
  </r>
  <r>
    <x v="0"/>
    <x v="943"/>
    <x v="33"/>
    <x v="22"/>
    <x v="952"/>
    <x v="484"/>
    <x v="213"/>
    <x v="4"/>
    <x v="4"/>
    <x v="8"/>
    <x v="13"/>
    <x v="28"/>
    <x v="9"/>
    <x v="2"/>
    <x v="67"/>
    <x v="16"/>
    <x v="61"/>
    <x v="0"/>
    <x v="0"/>
  </r>
  <r>
    <x v="0"/>
    <x v="391"/>
    <x v="69"/>
    <x v="9"/>
    <x v="392"/>
    <x v="817"/>
    <x v="334"/>
    <x v="4"/>
    <x v="0"/>
    <x v="8"/>
    <x v="13"/>
    <x v="28"/>
    <x v="9"/>
    <x v="2"/>
    <x v="67"/>
    <x v="16"/>
    <x v="61"/>
    <x v="0"/>
    <x v="0"/>
  </r>
  <r>
    <x v="0"/>
    <x v="277"/>
    <x v="14"/>
    <x v="9"/>
    <x v="287"/>
    <x v="77"/>
    <x v="0"/>
    <x v="4"/>
    <x v="3"/>
    <x v="8"/>
    <x v="13"/>
    <x v="28"/>
    <x v="9"/>
    <x v="2"/>
    <x v="67"/>
    <x v="16"/>
    <x v="61"/>
    <x v="0"/>
    <x v="0"/>
  </r>
  <r>
    <x v="0"/>
    <x v="53"/>
    <x v="75"/>
    <x v="15"/>
    <x v="1023"/>
    <x v="1009"/>
    <x v="310"/>
    <x v="4"/>
    <x v="4"/>
    <x v="8"/>
    <x v="13"/>
    <x v="28"/>
    <x v="9"/>
    <x v="2"/>
    <x v="67"/>
    <x v="16"/>
    <x v="61"/>
    <x v="0"/>
    <x v="0"/>
  </r>
  <r>
    <x v="0"/>
    <x v="602"/>
    <x v="18"/>
    <x v="15"/>
    <x v="607"/>
    <x v="421"/>
    <x v="511"/>
    <x v="4"/>
    <x v="4"/>
    <x v="0"/>
    <x v="10"/>
    <x v="2"/>
    <x v="6"/>
    <x v="2"/>
    <x v="67"/>
    <x v="16"/>
    <x v="61"/>
    <x v="0"/>
    <x v="0"/>
  </r>
  <r>
    <x v="0"/>
    <x v="534"/>
    <x v="33"/>
    <x v="22"/>
    <x v="524"/>
    <x v="722"/>
    <x v="531"/>
    <x v="4"/>
    <x v="0"/>
    <x v="8"/>
    <x v="13"/>
    <x v="28"/>
    <x v="9"/>
    <x v="2"/>
    <x v="67"/>
    <x v="16"/>
    <x v="61"/>
    <x v="0"/>
    <x v="0"/>
  </r>
  <r>
    <x v="0"/>
    <x v="945"/>
    <x v="69"/>
    <x v="15"/>
    <x v="957"/>
    <x v="793"/>
    <x v="826"/>
    <x v="4"/>
    <x v="0"/>
    <x v="8"/>
    <x v="13"/>
    <x v="28"/>
    <x v="9"/>
    <x v="2"/>
    <x v="67"/>
    <x v="16"/>
    <x v="61"/>
    <x v="0"/>
    <x v="0"/>
  </r>
  <r>
    <x v="0"/>
    <x v="0"/>
    <x v="30"/>
    <x v="11"/>
    <x v="642"/>
    <x v="826"/>
    <x v="2"/>
    <x v="4"/>
    <x v="4"/>
    <x v="5"/>
    <x v="9"/>
    <x v="25"/>
    <x v="0"/>
    <x v="2"/>
    <x v="67"/>
    <x v="16"/>
    <x v="61"/>
    <x v="0"/>
    <x v="0"/>
  </r>
  <r>
    <x v="0"/>
    <x v="721"/>
    <x v="16"/>
    <x v="3"/>
    <x v="60"/>
    <x v="727"/>
    <x v="3"/>
    <x v="4"/>
    <x v="0"/>
    <x v="8"/>
    <x v="13"/>
    <x v="28"/>
    <x v="9"/>
    <x v="2"/>
    <x v="67"/>
    <x v="16"/>
    <x v="61"/>
    <x v="0"/>
    <x v="0"/>
  </r>
  <r>
    <x v="0"/>
    <x v="321"/>
    <x v="14"/>
    <x v="9"/>
    <x v="335"/>
    <x v="1015"/>
    <x v="289"/>
    <x v="4"/>
    <x v="0"/>
    <x v="6"/>
    <x v="6"/>
    <x v="28"/>
    <x v="3"/>
    <x v="2"/>
    <x v="67"/>
    <x v="16"/>
    <x v="61"/>
    <x v="0"/>
    <x v="0"/>
  </r>
  <r>
    <x v="0"/>
    <x v="884"/>
    <x v="92"/>
    <x v="23"/>
    <x v="445"/>
    <x v="217"/>
    <x v="233"/>
    <x v="4"/>
    <x v="3"/>
    <x v="8"/>
    <x v="13"/>
    <x v="28"/>
    <x v="9"/>
    <x v="2"/>
    <x v="67"/>
    <x v="16"/>
    <x v="61"/>
    <x v="0"/>
    <x v="0"/>
  </r>
  <r>
    <x v="0"/>
    <x v="0"/>
    <x v="33"/>
    <x v="22"/>
    <x v="703"/>
    <x v="155"/>
    <x v="2"/>
    <x v="4"/>
    <x v="4"/>
    <x v="8"/>
    <x v="13"/>
    <x v="28"/>
    <x v="9"/>
    <x v="2"/>
    <x v="67"/>
    <x v="16"/>
    <x v="61"/>
    <x v="0"/>
    <x v="0"/>
  </r>
  <r>
    <x v="0"/>
    <x v="0"/>
    <x v="33"/>
    <x v="22"/>
    <x v="868"/>
    <x v="291"/>
    <x v="2"/>
    <x v="4"/>
    <x v="4"/>
    <x v="8"/>
    <x v="13"/>
    <x v="28"/>
    <x v="9"/>
    <x v="2"/>
    <x v="67"/>
    <x v="16"/>
    <x v="61"/>
    <x v="0"/>
    <x v="0"/>
  </r>
  <r>
    <x v="0"/>
    <x v="348"/>
    <x v="33"/>
    <x v="5"/>
    <x v="352"/>
    <x v="290"/>
    <x v="867"/>
    <x v="4"/>
    <x v="3"/>
    <x v="8"/>
    <x v="13"/>
    <x v="28"/>
    <x v="9"/>
    <x v="2"/>
    <x v="67"/>
    <x v="16"/>
    <x v="61"/>
    <x v="0"/>
    <x v="0"/>
  </r>
  <r>
    <x v="0"/>
    <x v="163"/>
    <x v="14"/>
    <x v="9"/>
    <x v="1071"/>
    <x v="11"/>
    <x v="553"/>
    <x v="4"/>
    <x v="4"/>
    <x v="8"/>
    <x v="13"/>
    <x v="28"/>
    <x v="9"/>
    <x v="2"/>
    <x v="67"/>
    <x v="16"/>
    <x v="61"/>
    <x v="0"/>
    <x v="0"/>
  </r>
  <r>
    <x v="0"/>
    <x v="267"/>
    <x v="28"/>
    <x v="22"/>
    <x v="279"/>
    <x v="857"/>
    <x v="2"/>
    <x v="4"/>
    <x v="4"/>
    <x v="8"/>
    <x v="13"/>
    <x v="28"/>
    <x v="9"/>
    <x v="2"/>
    <x v="67"/>
    <x v="16"/>
    <x v="61"/>
    <x v="0"/>
    <x v="0"/>
  </r>
  <r>
    <x v="0"/>
    <x v="871"/>
    <x v="62"/>
    <x v="15"/>
    <x v="854"/>
    <x v="394"/>
    <x v="759"/>
    <x v="4"/>
    <x v="0"/>
    <x v="8"/>
    <x v="13"/>
    <x v="28"/>
    <x v="9"/>
    <x v="2"/>
    <x v="67"/>
    <x v="16"/>
    <x v="61"/>
    <x v="0"/>
    <x v="0"/>
  </r>
  <r>
    <x v="0"/>
    <x v="691"/>
    <x v="59"/>
    <x v="11"/>
    <x v="694"/>
    <x v="642"/>
    <x v="441"/>
    <x v="2"/>
    <x v="3"/>
    <x v="8"/>
    <x v="13"/>
    <x v="28"/>
    <x v="9"/>
    <x v="2"/>
    <x v="67"/>
    <x v="16"/>
    <x v="61"/>
    <x v="0"/>
    <x v="0"/>
  </r>
  <r>
    <x v="0"/>
    <x v="1069"/>
    <x v="36"/>
    <x v="3"/>
    <x v="1082"/>
    <x v="351"/>
    <x v="912"/>
    <x v="4"/>
    <x v="4"/>
    <x v="0"/>
    <x v="7"/>
    <x v="1"/>
    <x v="6"/>
    <x v="2"/>
    <x v="67"/>
    <x v="16"/>
    <x v="61"/>
    <x v="0"/>
    <x v="0"/>
  </r>
  <r>
    <x v="0"/>
    <x v="232"/>
    <x v="85"/>
    <x v="21"/>
    <x v="242"/>
    <x v="95"/>
    <x v="764"/>
    <x v="4"/>
    <x v="4"/>
    <x v="8"/>
    <x v="13"/>
    <x v="28"/>
    <x v="9"/>
    <x v="2"/>
    <x v="67"/>
    <x v="16"/>
    <x v="61"/>
    <x v="0"/>
    <x v="0"/>
  </r>
  <r>
    <x v="0"/>
    <x v="0"/>
    <x v="36"/>
    <x v="13"/>
    <x v="154"/>
    <x v="895"/>
    <x v="348"/>
    <x v="4"/>
    <x v="3"/>
    <x v="8"/>
    <x v="13"/>
    <x v="28"/>
    <x v="9"/>
    <x v="2"/>
    <x v="67"/>
    <x v="16"/>
    <x v="61"/>
    <x v="0"/>
    <x v="0"/>
  </r>
  <r>
    <x v="0"/>
    <x v="0"/>
    <x v="114"/>
    <x v="20"/>
    <x v="128"/>
    <x v="368"/>
    <x v="2"/>
    <x v="4"/>
    <x v="4"/>
    <x v="5"/>
    <x v="11"/>
    <x v="27"/>
    <x v="0"/>
    <x v="2"/>
    <x v="67"/>
    <x v="16"/>
    <x v="61"/>
    <x v="0"/>
    <x v="0"/>
  </r>
  <r>
    <x v="0"/>
    <x v="614"/>
    <x v="86"/>
    <x v="24"/>
    <x v="622"/>
    <x v="34"/>
    <x v="2"/>
    <x v="4"/>
    <x v="3"/>
    <x v="3"/>
    <x v="13"/>
    <x v="28"/>
    <x v="1"/>
    <x v="2"/>
    <x v="67"/>
    <x v="16"/>
    <x v="61"/>
    <x v="0"/>
    <x v="0"/>
  </r>
  <r>
    <x v="0"/>
    <x v="40"/>
    <x v="16"/>
    <x v="3"/>
    <x v="34"/>
    <x v="754"/>
    <x v="40"/>
    <x v="4"/>
    <x v="0"/>
    <x v="8"/>
    <x v="13"/>
    <x v="28"/>
    <x v="9"/>
    <x v="2"/>
    <x v="67"/>
    <x v="16"/>
    <x v="61"/>
    <x v="0"/>
    <x v="0"/>
  </r>
  <r>
    <x v="0"/>
    <x v="392"/>
    <x v="14"/>
    <x v="3"/>
    <x v="393"/>
    <x v="269"/>
    <x v="453"/>
    <x v="4"/>
    <x v="4"/>
    <x v="8"/>
    <x v="13"/>
    <x v="28"/>
    <x v="9"/>
    <x v="2"/>
    <x v="67"/>
    <x v="16"/>
    <x v="61"/>
    <x v="0"/>
    <x v="0"/>
  </r>
  <r>
    <x v="0"/>
    <x v="0"/>
    <x v="23"/>
    <x v="15"/>
    <x v="1061"/>
    <x v="471"/>
    <x v="2"/>
    <x v="4"/>
    <x v="4"/>
    <x v="8"/>
    <x v="13"/>
    <x v="28"/>
    <x v="9"/>
    <x v="2"/>
    <x v="67"/>
    <x v="16"/>
    <x v="61"/>
    <x v="0"/>
    <x v="0"/>
  </r>
  <r>
    <x v="0"/>
    <x v="1"/>
    <x v="36"/>
    <x v="1"/>
    <x v="122"/>
    <x v="724"/>
    <x v="107"/>
    <x v="4"/>
    <x v="0"/>
    <x v="8"/>
    <x v="13"/>
    <x v="28"/>
    <x v="9"/>
    <x v="2"/>
    <x v="67"/>
    <x v="16"/>
    <x v="61"/>
    <x v="0"/>
    <x v="0"/>
  </r>
  <r>
    <x v="0"/>
    <x v="987"/>
    <x v="84"/>
    <x v="1"/>
    <x v="413"/>
    <x v="875"/>
    <x v="370"/>
    <x v="4"/>
    <x v="0"/>
    <x v="8"/>
    <x v="13"/>
    <x v="28"/>
    <x v="9"/>
    <x v="2"/>
    <x v="67"/>
    <x v="16"/>
    <x v="61"/>
    <x v="0"/>
    <x v="0"/>
  </r>
  <r>
    <x v="0"/>
    <x v="158"/>
    <x v="16"/>
    <x v="9"/>
    <x v="159"/>
    <x v="1039"/>
    <x v="152"/>
    <x v="4"/>
    <x v="0"/>
    <x v="8"/>
    <x v="13"/>
    <x v="28"/>
    <x v="9"/>
    <x v="2"/>
    <x v="67"/>
    <x v="16"/>
    <x v="61"/>
    <x v="0"/>
    <x v="0"/>
  </r>
  <r>
    <x v="0"/>
    <x v="1030"/>
    <x v="16"/>
    <x v="1"/>
    <x v="1041"/>
    <x v="858"/>
    <x v="538"/>
    <x v="4"/>
    <x v="3"/>
    <x v="8"/>
    <x v="13"/>
    <x v="28"/>
    <x v="9"/>
    <x v="2"/>
    <x v="67"/>
    <x v="16"/>
    <x v="61"/>
    <x v="0"/>
    <x v="0"/>
  </r>
  <r>
    <x v="0"/>
    <x v="954"/>
    <x v="62"/>
    <x v="23"/>
    <x v="964"/>
    <x v="850"/>
    <x v="830"/>
    <x v="4"/>
    <x v="4"/>
    <x v="8"/>
    <x v="13"/>
    <x v="28"/>
    <x v="9"/>
    <x v="2"/>
    <x v="67"/>
    <x v="16"/>
    <x v="61"/>
    <x v="0"/>
    <x v="0"/>
  </r>
  <r>
    <x v="0"/>
    <x v="350"/>
    <x v="36"/>
    <x v="9"/>
    <x v="354"/>
    <x v="614"/>
    <x v="586"/>
    <x v="4"/>
    <x v="0"/>
    <x v="8"/>
    <x v="13"/>
    <x v="28"/>
    <x v="9"/>
    <x v="2"/>
    <x v="67"/>
    <x v="16"/>
    <x v="61"/>
    <x v="0"/>
    <x v="0"/>
  </r>
  <r>
    <x v="0"/>
    <x v="93"/>
    <x v="16"/>
    <x v="3"/>
    <x v="85"/>
    <x v="605"/>
    <x v="504"/>
    <x v="4"/>
    <x v="4"/>
    <x v="8"/>
    <x v="13"/>
    <x v="28"/>
    <x v="9"/>
    <x v="2"/>
    <x v="67"/>
    <x v="16"/>
    <x v="61"/>
    <x v="0"/>
    <x v="0"/>
  </r>
  <r>
    <x v="0"/>
    <x v="437"/>
    <x v="33"/>
    <x v="22"/>
    <x v="433"/>
    <x v="270"/>
    <x v="2"/>
    <x v="4"/>
    <x v="4"/>
    <x v="8"/>
    <x v="13"/>
    <x v="28"/>
    <x v="9"/>
    <x v="2"/>
    <x v="67"/>
    <x v="16"/>
    <x v="61"/>
    <x v="0"/>
    <x v="0"/>
  </r>
  <r>
    <x v="0"/>
    <x v="117"/>
    <x v="30"/>
    <x v="21"/>
    <x v="108"/>
    <x v="983"/>
    <x v="97"/>
    <x v="4"/>
    <x v="4"/>
    <x v="8"/>
    <x v="13"/>
    <x v="28"/>
    <x v="9"/>
    <x v="2"/>
    <x v="67"/>
    <x v="16"/>
    <x v="61"/>
    <x v="0"/>
    <x v="0"/>
  </r>
  <r>
    <x v="0"/>
    <x v="1072"/>
    <x v="14"/>
    <x v="3"/>
    <x v="969"/>
    <x v="775"/>
    <x v="836"/>
    <x v="4"/>
    <x v="0"/>
    <x v="8"/>
    <x v="13"/>
    <x v="28"/>
    <x v="9"/>
    <x v="2"/>
    <x v="67"/>
    <x v="16"/>
    <x v="61"/>
    <x v="0"/>
    <x v="0"/>
  </r>
  <r>
    <x v="0"/>
    <x v="874"/>
    <x v="33"/>
    <x v="1"/>
    <x v="876"/>
    <x v="96"/>
    <x v="777"/>
    <x v="2"/>
    <x v="4"/>
    <x v="8"/>
    <x v="13"/>
    <x v="28"/>
    <x v="9"/>
    <x v="2"/>
    <x v="67"/>
    <x v="16"/>
    <x v="61"/>
    <x v="0"/>
    <x v="0"/>
  </r>
  <r>
    <x v="0"/>
    <x v="919"/>
    <x v="38"/>
    <x v="1"/>
    <x v="925"/>
    <x v="529"/>
    <x v="809"/>
    <x v="4"/>
    <x v="0"/>
    <x v="8"/>
    <x v="13"/>
    <x v="28"/>
    <x v="9"/>
    <x v="2"/>
    <x v="67"/>
    <x v="16"/>
    <x v="61"/>
    <x v="0"/>
    <x v="0"/>
  </r>
  <r>
    <x v="0"/>
    <x v="0"/>
    <x v="9"/>
    <x v="10"/>
    <x v="937"/>
    <x v="608"/>
    <x v="2"/>
    <x v="4"/>
    <x v="4"/>
    <x v="8"/>
    <x v="13"/>
    <x v="28"/>
    <x v="9"/>
    <x v="2"/>
    <x v="67"/>
    <x v="16"/>
    <x v="61"/>
    <x v="0"/>
    <x v="0"/>
  </r>
  <r>
    <x v="0"/>
    <x v="2"/>
    <x v="33"/>
    <x v="22"/>
    <x v="787"/>
    <x v="943"/>
    <x v="102"/>
    <x v="4"/>
    <x v="3"/>
    <x v="8"/>
    <x v="13"/>
    <x v="28"/>
    <x v="9"/>
    <x v="2"/>
    <x v="67"/>
    <x v="16"/>
    <x v="61"/>
    <x v="0"/>
    <x v="0"/>
  </r>
  <r>
    <x v="0"/>
    <x v="211"/>
    <x v="52"/>
    <x v="24"/>
    <x v="210"/>
    <x v="976"/>
    <x v="194"/>
    <x v="4"/>
    <x v="4"/>
    <x v="8"/>
    <x v="13"/>
    <x v="28"/>
    <x v="9"/>
    <x v="2"/>
    <x v="67"/>
    <x v="16"/>
    <x v="61"/>
    <x v="0"/>
    <x v="0"/>
  </r>
  <r>
    <x v="0"/>
    <x v="961"/>
    <x v="14"/>
    <x v="3"/>
    <x v="970"/>
    <x v="775"/>
    <x v="836"/>
    <x v="4"/>
    <x v="0"/>
    <x v="8"/>
    <x v="13"/>
    <x v="28"/>
    <x v="9"/>
    <x v="2"/>
    <x v="67"/>
    <x v="16"/>
    <x v="61"/>
    <x v="0"/>
    <x v="0"/>
  </r>
  <r>
    <x v="0"/>
    <x v="164"/>
    <x v="14"/>
    <x v="9"/>
    <x v="427"/>
    <x v="891"/>
    <x v="700"/>
    <x v="4"/>
    <x v="2"/>
    <x v="8"/>
    <x v="13"/>
    <x v="28"/>
    <x v="9"/>
    <x v="2"/>
    <x v="67"/>
    <x v="16"/>
    <x v="61"/>
    <x v="0"/>
    <x v="0"/>
  </r>
  <r>
    <x v="0"/>
    <x v="910"/>
    <x v="14"/>
    <x v="3"/>
    <x v="918"/>
    <x v="945"/>
    <x v="807"/>
    <x v="4"/>
    <x v="0"/>
    <x v="8"/>
    <x v="13"/>
    <x v="28"/>
    <x v="9"/>
    <x v="2"/>
    <x v="67"/>
    <x v="16"/>
    <x v="61"/>
    <x v="0"/>
    <x v="0"/>
  </r>
  <r>
    <x v="0"/>
    <x v="389"/>
    <x v="65"/>
    <x v="9"/>
    <x v="266"/>
    <x v="35"/>
    <x v="3"/>
    <x v="4"/>
    <x v="0"/>
    <x v="8"/>
    <x v="13"/>
    <x v="28"/>
    <x v="9"/>
    <x v="2"/>
    <x v="67"/>
    <x v="16"/>
    <x v="61"/>
    <x v="0"/>
    <x v="0"/>
  </r>
  <r>
    <x v="0"/>
    <x v="1072"/>
    <x v="103"/>
    <x v="24"/>
    <x v="622"/>
    <x v="34"/>
    <x v="529"/>
    <x v="4"/>
    <x v="5"/>
    <x v="8"/>
    <x v="13"/>
    <x v="28"/>
    <x v="9"/>
    <x v="2"/>
    <x v="67"/>
    <x v="16"/>
    <x v="61"/>
    <x v="0"/>
    <x v="0"/>
  </r>
  <r>
    <x v="0"/>
    <x v="0"/>
    <x v="36"/>
    <x v="13"/>
    <x v="154"/>
    <x v="895"/>
    <x v="348"/>
    <x v="4"/>
    <x v="3"/>
    <x v="8"/>
    <x v="13"/>
    <x v="28"/>
    <x v="9"/>
    <x v="2"/>
    <x v="67"/>
    <x v="16"/>
    <x v="61"/>
    <x v="0"/>
    <x v="0"/>
  </r>
  <r>
    <x v="0"/>
    <x v="1072"/>
    <x v="56"/>
    <x v="3"/>
    <x v="583"/>
    <x v="1016"/>
    <x v="502"/>
    <x v="4"/>
    <x v="5"/>
    <x v="8"/>
    <x v="13"/>
    <x v="28"/>
    <x v="9"/>
    <x v="2"/>
    <x v="67"/>
    <x v="16"/>
    <x v="61"/>
    <x v="0"/>
    <x v="0"/>
  </r>
  <r>
    <x v="0"/>
    <x v="145"/>
    <x v="36"/>
    <x v="9"/>
    <x v="139"/>
    <x v="4"/>
    <x v="309"/>
    <x v="4"/>
    <x v="3"/>
    <x v="8"/>
    <x v="13"/>
    <x v="28"/>
    <x v="9"/>
    <x v="2"/>
    <x v="67"/>
    <x v="16"/>
    <x v="61"/>
    <x v="0"/>
    <x v="0"/>
  </r>
  <r>
    <x v="0"/>
    <x v="477"/>
    <x v="19"/>
    <x v="8"/>
    <x v="468"/>
    <x v="17"/>
    <x v="406"/>
    <x v="4"/>
    <x v="0"/>
    <x v="8"/>
    <x v="13"/>
    <x v="28"/>
    <x v="9"/>
    <x v="2"/>
    <x v="67"/>
    <x v="16"/>
    <x v="61"/>
    <x v="0"/>
    <x v="0"/>
  </r>
  <r>
    <x v="0"/>
    <x v="1072"/>
    <x v="103"/>
    <x v="20"/>
    <x v="812"/>
    <x v="505"/>
    <x v="489"/>
    <x v="4"/>
    <x v="2"/>
    <x v="8"/>
    <x v="13"/>
    <x v="28"/>
    <x v="9"/>
    <x v="2"/>
    <x v="67"/>
    <x v="16"/>
    <x v="61"/>
    <x v="0"/>
    <x v="0"/>
  </r>
  <r>
    <x v="0"/>
    <x v="1014"/>
    <x v="28"/>
    <x v="22"/>
    <x v="1026"/>
    <x v="685"/>
    <x v="917"/>
    <x v="4"/>
    <x v="2"/>
    <x v="8"/>
    <x v="13"/>
    <x v="28"/>
    <x v="9"/>
    <x v="2"/>
    <x v="67"/>
    <x v="16"/>
    <x v="61"/>
    <x v="0"/>
    <x v="0"/>
  </r>
  <r>
    <x v="0"/>
    <x v="1072"/>
    <x v="33"/>
    <x v="1"/>
    <x v="579"/>
    <x v="531"/>
    <x v="917"/>
    <x v="4"/>
    <x v="0"/>
    <x v="8"/>
    <x v="13"/>
    <x v="28"/>
    <x v="9"/>
    <x v="2"/>
    <x v="67"/>
    <x v="16"/>
    <x v="61"/>
    <x v="0"/>
    <x v="0"/>
  </r>
  <r>
    <x v="0"/>
    <x v="366"/>
    <x v="33"/>
    <x v="1"/>
    <x v="369"/>
    <x v="476"/>
    <x v="344"/>
    <x v="4"/>
    <x v="4"/>
    <x v="8"/>
    <x v="13"/>
    <x v="28"/>
    <x v="9"/>
    <x v="2"/>
    <x v="67"/>
    <x v="16"/>
    <x v="61"/>
    <x v="0"/>
    <x v="0"/>
  </r>
  <r>
    <x v="0"/>
    <x v="124"/>
    <x v="82"/>
    <x v="15"/>
    <x v="590"/>
    <x v="1028"/>
    <x v="519"/>
    <x v="4"/>
    <x v="0"/>
    <x v="8"/>
    <x v="13"/>
    <x v="28"/>
    <x v="9"/>
    <x v="2"/>
    <x v="67"/>
    <x v="16"/>
    <x v="61"/>
    <x v="0"/>
    <x v="0"/>
  </r>
  <r>
    <x v="0"/>
    <x v="1072"/>
    <x v="33"/>
    <x v="22"/>
    <x v="112"/>
    <x v="447"/>
    <x v="99"/>
    <x v="4"/>
    <x v="0"/>
    <x v="8"/>
    <x v="13"/>
    <x v="28"/>
    <x v="9"/>
    <x v="2"/>
    <x v="67"/>
    <x v="16"/>
    <x v="61"/>
    <x v="0"/>
    <x v="0"/>
  </r>
  <r>
    <x v="0"/>
    <x v="1072"/>
    <x v="103"/>
    <x v="20"/>
    <x v="617"/>
    <x v="582"/>
    <x v="244"/>
    <x v="4"/>
    <x v="0"/>
    <x v="8"/>
    <x v="13"/>
    <x v="28"/>
    <x v="9"/>
    <x v="2"/>
    <x v="67"/>
    <x v="16"/>
    <x v="61"/>
    <x v="0"/>
    <x v="0"/>
  </r>
  <r>
    <x v="0"/>
    <x v="1072"/>
    <x v="9"/>
    <x v="10"/>
    <x v="959"/>
    <x v="365"/>
    <x v="554"/>
    <x v="4"/>
    <x v="0"/>
    <x v="8"/>
    <x v="13"/>
    <x v="28"/>
    <x v="9"/>
    <x v="2"/>
    <x v="67"/>
    <x v="16"/>
    <x v="61"/>
    <x v="0"/>
    <x v="0"/>
  </r>
  <r>
    <x v="0"/>
    <x v="390"/>
    <x v="87"/>
    <x v="11"/>
    <x v="390"/>
    <x v="994"/>
    <x v="311"/>
    <x v="4"/>
    <x v="0"/>
    <x v="8"/>
    <x v="13"/>
    <x v="28"/>
    <x v="9"/>
    <x v="2"/>
    <x v="67"/>
    <x v="16"/>
    <x v="61"/>
    <x v="0"/>
    <x v="0"/>
  </r>
  <r>
    <x v="0"/>
    <x v="1072"/>
    <x v="33"/>
    <x v="22"/>
    <x v="902"/>
    <x v="214"/>
    <x v="794"/>
    <x v="4"/>
    <x v="0"/>
    <x v="8"/>
    <x v="13"/>
    <x v="28"/>
    <x v="9"/>
    <x v="2"/>
    <x v="67"/>
    <x v="16"/>
    <x v="61"/>
    <x v="0"/>
    <x v="0"/>
  </r>
  <r>
    <x v="0"/>
    <x v="1072"/>
    <x v="84"/>
    <x v="1"/>
    <x v="685"/>
    <x v="512"/>
    <x v="598"/>
    <x v="4"/>
    <x v="4"/>
    <x v="8"/>
    <x v="13"/>
    <x v="28"/>
    <x v="9"/>
    <x v="2"/>
    <x v="67"/>
    <x v="16"/>
    <x v="61"/>
    <x v="0"/>
    <x v="0"/>
  </r>
  <r>
    <x v="0"/>
    <x v="1004"/>
    <x v="28"/>
    <x v="22"/>
    <x v="1016"/>
    <x v="574"/>
    <x v="869"/>
    <x v="4"/>
    <x v="4"/>
    <x v="8"/>
    <x v="13"/>
    <x v="28"/>
    <x v="9"/>
    <x v="2"/>
    <x v="67"/>
    <x v="16"/>
    <x v="61"/>
    <x v="0"/>
    <x v="0"/>
  </r>
  <r>
    <x v="0"/>
    <x v="282"/>
    <x v="9"/>
    <x v="10"/>
    <x v="295"/>
    <x v="465"/>
    <x v="258"/>
    <x v="4"/>
    <x v="4"/>
    <x v="8"/>
    <x v="13"/>
    <x v="28"/>
    <x v="9"/>
    <x v="2"/>
    <x v="67"/>
    <x v="16"/>
    <x v="61"/>
    <x v="0"/>
    <x v="0"/>
  </r>
  <r>
    <x v="0"/>
    <x v="729"/>
    <x v="33"/>
    <x v="22"/>
    <x v="728"/>
    <x v="559"/>
    <x v="620"/>
    <x v="4"/>
    <x v="0"/>
    <x v="8"/>
    <x v="13"/>
    <x v="28"/>
    <x v="9"/>
    <x v="2"/>
    <x v="67"/>
    <x v="16"/>
    <x v="61"/>
    <x v="0"/>
    <x v="0"/>
  </r>
  <r>
    <x v="0"/>
    <x v="482"/>
    <x v="28"/>
    <x v="22"/>
    <x v="471"/>
    <x v="625"/>
    <x v="407"/>
    <x v="4"/>
    <x v="0"/>
    <x v="8"/>
    <x v="13"/>
    <x v="28"/>
    <x v="9"/>
    <x v="2"/>
    <x v="67"/>
    <x v="16"/>
    <x v="61"/>
    <x v="0"/>
    <x v="0"/>
  </r>
  <r>
    <x v="0"/>
    <x v="833"/>
    <x v="25"/>
    <x v="15"/>
    <x v="837"/>
    <x v="650"/>
    <x v="729"/>
    <x v="4"/>
    <x v="0"/>
    <x v="8"/>
    <x v="13"/>
    <x v="28"/>
    <x v="9"/>
    <x v="2"/>
    <x v="67"/>
    <x v="16"/>
    <x v="61"/>
    <x v="0"/>
    <x v="0"/>
  </r>
  <r>
    <x v="0"/>
    <x v="271"/>
    <x v="33"/>
    <x v="22"/>
    <x v="283"/>
    <x v="967"/>
    <x v="252"/>
    <x v="4"/>
    <x v="0"/>
    <x v="8"/>
    <x v="13"/>
    <x v="28"/>
    <x v="9"/>
    <x v="2"/>
    <x v="67"/>
    <x v="16"/>
    <x v="61"/>
    <x v="0"/>
    <x v="0"/>
  </r>
  <r>
    <x v="0"/>
    <x v="353"/>
    <x v="82"/>
    <x v="1"/>
    <x v="237"/>
    <x v="653"/>
    <x v="207"/>
    <x v="4"/>
    <x v="0"/>
    <x v="8"/>
    <x v="13"/>
    <x v="28"/>
    <x v="9"/>
    <x v="2"/>
    <x v="67"/>
    <x v="16"/>
    <x v="61"/>
    <x v="0"/>
    <x v="0"/>
  </r>
  <r>
    <x v="0"/>
    <x v="879"/>
    <x v="40"/>
    <x v="3"/>
    <x v="883"/>
    <x v="556"/>
    <x v="834"/>
    <x v="4"/>
    <x v="4"/>
    <x v="8"/>
    <x v="13"/>
    <x v="28"/>
    <x v="9"/>
    <x v="2"/>
    <x v="67"/>
    <x v="16"/>
    <x v="61"/>
    <x v="0"/>
    <x v="0"/>
  </r>
  <r>
    <x v="0"/>
    <x v="154"/>
    <x v="16"/>
    <x v="3"/>
    <x v="156"/>
    <x v="282"/>
    <x v="214"/>
    <x v="4"/>
    <x v="3"/>
    <x v="8"/>
    <x v="13"/>
    <x v="28"/>
    <x v="9"/>
    <x v="2"/>
    <x v="67"/>
    <x v="16"/>
    <x v="61"/>
    <x v="0"/>
    <x v="0"/>
  </r>
  <r>
    <x v="0"/>
    <x v="168"/>
    <x v="40"/>
    <x v="6"/>
    <x v="166"/>
    <x v="385"/>
    <x v="162"/>
    <x v="4"/>
    <x v="4"/>
    <x v="8"/>
    <x v="13"/>
    <x v="28"/>
    <x v="9"/>
    <x v="2"/>
    <x v="67"/>
    <x v="16"/>
    <x v="61"/>
    <x v="0"/>
    <x v="0"/>
  </r>
  <r>
    <x v="0"/>
    <x v="352"/>
    <x v="82"/>
    <x v="1"/>
    <x v="236"/>
    <x v="653"/>
    <x v="207"/>
    <x v="4"/>
    <x v="0"/>
    <x v="8"/>
    <x v="13"/>
    <x v="28"/>
    <x v="9"/>
    <x v="2"/>
    <x v="67"/>
    <x v="16"/>
    <x v="61"/>
    <x v="0"/>
    <x v="0"/>
  </r>
  <r>
    <x v="0"/>
    <x v="852"/>
    <x v="40"/>
    <x v="3"/>
    <x v="883"/>
    <x v="556"/>
    <x v="834"/>
    <x v="4"/>
    <x v="4"/>
    <x v="8"/>
    <x v="13"/>
    <x v="28"/>
    <x v="9"/>
    <x v="2"/>
    <x v="67"/>
    <x v="16"/>
    <x v="61"/>
    <x v="0"/>
    <x v="0"/>
  </r>
  <r>
    <x v="0"/>
    <x v="54"/>
    <x v="33"/>
    <x v="22"/>
    <x v="46"/>
    <x v="906"/>
    <x v="49"/>
    <x v="4"/>
    <x v="0"/>
    <x v="8"/>
    <x v="13"/>
    <x v="28"/>
    <x v="9"/>
    <x v="2"/>
    <x v="67"/>
    <x v="16"/>
    <x v="61"/>
    <x v="0"/>
    <x v="0"/>
  </r>
  <r>
    <x v="0"/>
    <x v="340"/>
    <x v="33"/>
    <x v="22"/>
    <x v="346"/>
    <x v="827"/>
    <x v="307"/>
    <x v="4"/>
    <x v="0"/>
    <x v="8"/>
    <x v="13"/>
    <x v="28"/>
    <x v="9"/>
    <x v="2"/>
    <x v="67"/>
    <x v="16"/>
    <x v="61"/>
    <x v="0"/>
    <x v="0"/>
  </r>
  <r>
    <x v="0"/>
    <x v="340"/>
    <x v="33"/>
    <x v="5"/>
    <x v="346"/>
    <x v="827"/>
    <x v="307"/>
    <x v="4"/>
    <x v="0"/>
    <x v="8"/>
    <x v="13"/>
    <x v="28"/>
    <x v="9"/>
    <x v="2"/>
    <x v="67"/>
    <x v="16"/>
    <x v="61"/>
    <x v="0"/>
    <x v="0"/>
  </r>
  <r>
    <x v="0"/>
    <x v="207"/>
    <x v="69"/>
    <x v="1"/>
    <x v="989"/>
    <x v="666"/>
    <x v="847"/>
    <x v="4"/>
    <x v="0"/>
    <x v="5"/>
    <x v="9"/>
    <x v="25"/>
    <x v="0"/>
    <x v="2"/>
    <x v="67"/>
    <x v="16"/>
    <x v="61"/>
    <x v="0"/>
    <x v="0"/>
  </r>
  <r>
    <x v="0"/>
    <x v="682"/>
    <x v="33"/>
    <x v="22"/>
    <x v="687"/>
    <x v="362"/>
    <x v="149"/>
    <x v="4"/>
    <x v="4"/>
    <x v="8"/>
    <x v="13"/>
    <x v="28"/>
    <x v="9"/>
    <x v="2"/>
    <x v="67"/>
    <x v="16"/>
    <x v="61"/>
    <x v="0"/>
    <x v="0"/>
  </r>
  <r>
    <x v="0"/>
    <x v="818"/>
    <x v="34"/>
    <x v="3"/>
    <x v="823"/>
    <x v="1032"/>
    <x v="10"/>
    <x v="4"/>
    <x v="0"/>
    <x v="0"/>
    <x v="7"/>
    <x v="6"/>
    <x v="6"/>
    <x v="2"/>
    <x v="67"/>
    <x v="16"/>
    <x v="61"/>
    <x v="0"/>
    <x v="0"/>
  </r>
  <r>
    <x v="0"/>
    <x v="953"/>
    <x v="33"/>
    <x v="22"/>
    <x v="963"/>
    <x v="698"/>
    <x v="300"/>
    <x v="4"/>
    <x v="3"/>
    <x v="8"/>
    <x v="13"/>
    <x v="28"/>
    <x v="9"/>
    <x v="2"/>
    <x v="67"/>
    <x v="16"/>
    <x v="61"/>
    <x v="0"/>
    <x v="0"/>
  </r>
  <r>
    <x v="0"/>
    <x v="821"/>
    <x v="16"/>
    <x v="3"/>
    <x v="825"/>
    <x v="557"/>
    <x v="677"/>
    <x v="4"/>
    <x v="3"/>
    <x v="0"/>
    <x v="10"/>
    <x v="14"/>
    <x v="6"/>
    <x v="2"/>
    <x v="67"/>
    <x v="16"/>
    <x v="61"/>
    <x v="0"/>
    <x v="0"/>
  </r>
  <r>
    <x v="0"/>
    <x v="256"/>
    <x v="18"/>
    <x v="1"/>
    <x v="270"/>
    <x v="492"/>
    <x v="274"/>
    <x v="4"/>
    <x v="0"/>
    <x v="8"/>
    <x v="13"/>
    <x v="28"/>
    <x v="9"/>
    <x v="2"/>
    <x v="67"/>
    <x v="16"/>
    <x v="61"/>
    <x v="0"/>
    <x v="0"/>
  </r>
  <r>
    <x v="0"/>
    <x v="7"/>
    <x v="33"/>
    <x v="22"/>
    <x v="6"/>
    <x v="917"/>
    <x v="219"/>
    <x v="4"/>
    <x v="0"/>
    <x v="8"/>
    <x v="13"/>
    <x v="28"/>
    <x v="9"/>
    <x v="2"/>
    <x v="67"/>
    <x v="16"/>
    <x v="61"/>
    <x v="0"/>
    <x v="0"/>
  </r>
  <r>
    <x v="0"/>
    <x v="194"/>
    <x v="16"/>
    <x v="3"/>
    <x v="571"/>
    <x v="702"/>
    <x v="495"/>
    <x v="4"/>
    <x v="0"/>
    <x v="0"/>
    <x v="7"/>
    <x v="12"/>
    <x v="6"/>
    <x v="2"/>
    <x v="67"/>
    <x v="16"/>
    <x v="61"/>
    <x v="0"/>
    <x v="0"/>
  </r>
  <r>
    <x v="0"/>
    <x v="691"/>
    <x v="33"/>
    <x v="22"/>
    <x v="695"/>
    <x v="642"/>
    <x v="441"/>
    <x v="2"/>
    <x v="0"/>
    <x v="8"/>
    <x v="13"/>
    <x v="28"/>
    <x v="9"/>
    <x v="2"/>
    <x v="67"/>
    <x v="16"/>
    <x v="61"/>
    <x v="0"/>
    <x v="0"/>
  </r>
  <r>
    <x v="0"/>
    <x v="955"/>
    <x v="33"/>
    <x v="22"/>
    <x v="985"/>
    <x v="381"/>
    <x v="845"/>
    <x v="4"/>
    <x v="4"/>
    <x v="5"/>
    <x v="11"/>
    <x v="27"/>
    <x v="0"/>
    <x v="2"/>
    <x v="67"/>
    <x v="16"/>
    <x v="61"/>
    <x v="0"/>
    <x v="0"/>
  </r>
  <r>
    <x v="0"/>
    <x v="763"/>
    <x v="33"/>
    <x v="22"/>
    <x v="759"/>
    <x v="658"/>
    <x v="662"/>
    <x v="4"/>
    <x v="0"/>
    <x v="8"/>
    <x v="13"/>
    <x v="28"/>
    <x v="9"/>
    <x v="2"/>
    <x v="67"/>
    <x v="16"/>
    <x v="61"/>
    <x v="0"/>
    <x v="0"/>
  </r>
  <r>
    <x v="0"/>
    <x v="485"/>
    <x v="14"/>
    <x v="3"/>
    <x v="129"/>
    <x v="414"/>
    <x v="113"/>
    <x v="4"/>
    <x v="0"/>
    <x v="8"/>
    <x v="13"/>
    <x v="28"/>
    <x v="9"/>
    <x v="2"/>
    <x v="67"/>
    <x v="16"/>
    <x v="61"/>
    <x v="0"/>
    <x v="0"/>
  </r>
  <r>
    <x v="0"/>
    <x v="79"/>
    <x v="33"/>
    <x v="22"/>
    <x v="155"/>
    <x v="806"/>
    <x v="4"/>
    <x v="4"/>
    <x v="0"/>
    <x v="8"/>
    <x v="13"/>
    <x v="28"/>
    <x v="9"/>
    <x v="2"/>
    <x v="67"/>
    <x v="16"/>
    <x v="61"/>
    <x v="0"/>
    <x v="0"/>
  </r>
  <r>
    <x v="0"/>
    <x v="357"/>
    <x v="33"/>
    <x v="5"/>
    <x v="359"/>
    <x v="74"/>
    <x v="323"/>
    <x v="4"/>
    <x v="3"/>
    <x v="8"/>
    <x v="13"/>
    <x v="28"/>
    <x v="9"/>
    <x v="2"/>
    <x v="67"/>
    <x v="16"/>
    <x v="61"/>
    <x v="0"/>
    <x v="0"/>
  </r>
  <r>
    <x v="0"/>
    <x v="426"/>
    <x v="33"/>
    <x v="22"/>
    <x v="424"/>
    <x v="413"/>
    <x v="368"/>
    <x v="4"/>
    <x v="0"/>
    <x v="8"/>
    <x v="13"/>
    <x v="28"/>
    <x v="9"/>
    <x v="2"/>
    <x v="67"/>
    <x v="16"/>
    <x v="61"/>
    <x v="0"/>
    <x v="0"/>
  </r>
  <r>
    <x v="0"/>
    <x v="730"/>
    <x v="33"/>
    <x v="22"/>
    <x v="729"/>
    <x v="181"/>
    <x v="4"/>
    <x v="4"/>
    <x v="0"/>
    <x v="8"/>
    <x v="13"/>
    <x v="28"/>
    <x v="9"/>
    <x v="2"/>
    <x v="67"/>
    <x v="16"/>
    <x v="61"/>
    <x v="0"/>
    <x v="0"/>
  </r>
  <r>
    <x v="0"/>
    <x v="367"/>
    <x v="30"/>
    <x v="11"/>
    <x v="370"/>
    <x v="914"/>
    <x v="335"/>
    <x v="4"/>
    <x v="4"/>
    <x v="8"/>
    <x v="13"/>
    <x v="28"/>
    <x v="9"/>
    <x v="2"/>
    <x v="67"/>
    <x v="16"/>
    <x v="61"/>
    <x v="0"/>
    <x v="0"/>
  </r>
  <r>
    <x v="0"/>
    <x v="723"/>
    <x v="33"/>
    <x v="22"/>
    <x v="723"/>
    <x v="819"/>
    <x v="2"/>
    <x v="4"/>
    <x v="4"/>
    <x v="8"/>
    <x v="13"/>
    <x v="28"/>
    <x v="9"/>
    <x v="2"/>
    <x v="67"/>
    <x v="16"/>
    <x v="61"/>
    <x v="0"/>
    <x v="0"/>
  </r>
  <r>
    <x v="0"/>
    <x v="523"/>
    <x v="33"/>
    <x v="22"/>
    <x v="513"/>
    <x v="30"/>
    <x v="2"/>
    <x v="4"/>
    <x v="4"/>
    <x v="8"/>
    <x v="13"/>
    <x v="28"/>
    <x v="9"/>
    <x v="2"/>
    <x v="67"/>
    <x v="16"/>
    <x v="61"/>
    <x v="0"/>
    <x v="0"/>
  </r>
  <r>
    <x v="0"/>
    <x v="986"/>
    <x v="48"/>
    <x v="1"/>
    <x v="1001"/>
    <x v="866"/>
    <x v="857"/>
    <x v="4"/>
    <x v="0"/>
    <x v="5"/>
    <x v="9"/>
    <x v="25"/>
    <x v="0"/>
    <x v="2"/>
    <x v="67"/>
    <x v="16"/>
    <x v="61"/>
    <x v="0"/>
    <x v="0"/>
  </r>
  <r>
    <x v="0"/>
    <x v="596"/>
    <x v="30"/>
    <x v="11"/>
    <x v="599"/>
    <x v="81"/>
    <x v="507"/>
    <x v="4"/>
    <x v="0"/>
    <x v="8"/>
    <x v="13"/>
    <x v="28"/>
    <x v="9"/>
    <x v="2"/>
    <x v="67"/>
    <x v="16"/>
    <x v="61"/>
    <x v="0"/>
    <x v="0"/>
  </r>
  <r>
    <x v="0"/>
    <x v="641"/>
    <x v="36"/>
    <x v="23"/>
    <x v="649"/>
    <x v="639"/>
    <x v="2"/>
    <x v="4"/>
    <x v="4"/>
    <x v="8"/>
    <x v="13"/>
    <x v="28"/>
    <x v="9"/>
    <x v="2"/>
    <x v="67"/>
    <x v="16"/>
    <x v="61"/>
    <x v="0"/>
    <x v="0"/>
  </r>
  <r>
    <x v="0"/>
    <x v="244"/>
    <x v="33"/>
    <x v="22"/>
    <x v="580"/>
    <x v="1012"/>
    <x v="2"/>
    <x v="4"/>
    <x v="3"/>
    <x v="8"/>
    <x v="13"/>
    <x v="28"/>
    <x v="9"/>
    <x v="2"/>
    <x v="67"/>
    <x v="16"/>
    <x v="61"/>
    <x v="0"/>
    <x v="0"/>
  </r>
  <r>
    <x v="0"/>
    <x v="306"/>
    <x v="16"/>
    <x v="3"/>
    <x v="320"/>
    <x v="318"/>
    <x v="698"/>
    <x v="4"/>
    <x v="4"/>
    <x v="8"/>
    <x v="13"/>
    <x v="28"/>
    <x v="9"/>
    <x v="2"/>
    <x v="67"/>
    <x v="16"/>
    <x v="61"/>
    <x v="0"/>
    <x v="0"/>
  </r>
  <r>
    <x v="0"/>
    <x v="222"/>
    <x v="103"/>
    <x v="20"/>
    <x v="226"/>
    <x v="742"/>
    <x v="206"/>
    <x v="4"/>
    <x v="3"/>
    <x v="8"/>
    <x v="13"/>
    <x v="28"/>
    <x v="9"/>
    <x v="2"/>
    <x v="67"/>
    <x v="16"/>
    <x v="61"/>
    <x v="0"/>
    <x v="0"/>
  </r>
  <r>
    <x v="0"/>
    <x v="97"/>
    <x v="19"/>
    <x v="1"/>
    <x v="1002"/>
    <x v="837"/>
    <x v="860"/>
    <x v="4"/>
    <x v="4"/>
    <x v="5"/>
    <x v="11"/>
    <x v="27"/>
    <x v="0"/>
    <x v="2"/>
    <x v="67"/>
    <x v="16"/>
    <x v="61"/>
    <x v="0"/>
    <x v="0"/>
  </r>
  <r>
    <x v="0"/>
    <x v="304"/>
    <x v="40"/>
    <x v="3"/>
    <x v="220"/>
    <x v="158"/>
    <x v="198"/>
    <x v="4"/>
    <x v="4"/>
    <x v="8"/>
    <x v="13"/>
    <x v="28"/>
    <x v="9"/>
    <x v="2"/>
    <x v="67"/>
    <x v="16"/>
    <x v="61"/>
    <x v="0"/>
    <x v="0"/>
  </r>
  <r>
    <x v="0"/>
    <x v="646"/>
    <x v="16"/>
    <x v="3"/>
    <x v="653"/>
    <x v="108"/>
    <x v="132"/>
    <x v="4"/>
    <x v="4"/>
    <x v="5"/>
    <x v="8"/>
    <x v="24"/>
    <x v="0"/>
    <x v="2"/>
    <x v="67"/>
    <x v="16"/>
    <x v="61"/>
    <x v="0"/>
    <x v="0"/>
  </r>
  <r>
    <x v="0"/>
    <x v="607"/>
    <x v="16"/>
    <x v="13"/>
    <x v="613"/>
    <x v="679"/>
    <x v="516"/>
    <x v="4"/>
    <x v="0"/>
    <x v="8"/>
    <x v="13"/>
    <x v="28"/>
    <x v="9"/>
    <x v="2"/>
    <x v="67"/>
    <x v="16"/>
    <x v="61"/>
    <x v="0"/>
    <x v="0"/>
  </r>
  <r>
    <x v="0"/>
    <x v="117"/>
    <x v="36"/>
    <x v="1"/>
    <x v="108"/>
    <x v="983"/>
    <x v="97"/>
    <x v="4"/>
    <x v="4"/>
    <x v="8"/>
    <x v="13"/>
    <x v="28"/>
    <x v="9"/>
    <x v="2"/>
    <x v="67"/>
    <x v="16"/>
    <x v="61"/>
    <x v="0"/>
    <x v="0"/>
  </r>
  <r>
    <x v="0"/>
    <x v="559"/>
    <x v="44"/>
    <x v="3"/>
    <x v="485"/>
    <x v="700"/>
    <x v="419"/>
    <x v="4"/>
    <x v="0"/>
    <x v="8"/>
    <x v="13"/>
    <x v="28"/>
    <x v="9"/>
    <x v="2"/>
    <x v="67"/>
    <x v="16"/>
    <x v="61"/>
    <x v="0"/>
    <x v="0"/>
  </r>
  <r>
    <x v="0"/>
    <x v="424"/>
    <x v="33"/>
    <x v="22"/>
    <x v="421"/>
    <x v="228"/>
    <x v="376"/>
    <x v="4"/>
    <x v="3"/>
    <x v="8"/>
    <x v="13"/>
    <x v="28"/>
    <x v="9"/>
    <x v="2"/>
    <x v="67"/>
    <x v="16"/>
    <x v="61"/>
    <x v="0"/>
    <x v="0"/>
  </r>
  <r>
    <x v="0"/>
    <x v="442"/>
    <x v="30"/>
    <x v="11"/>
    <x v="438"/>
    <x v="708"/>
    <x v="387"/>
    <x v="4"/>
    <x v="4"/>
    <x v="8"/>
    <x v="13"/>
    <x v="28"/>
    <x v="9"/>
    <x v="2"/>
    <x v="67"/>
    <x v="16"/>
    <x v="61"/>
    <x v="0"/>
    <x v="0"/>
  </r>
  <r>
    <x v="0"/>
    <x v="653"/>
    <x v="45"/>
    <x v="1"/>
    <x v="660"/>
    <x v="856"/>
    <x v="0"/>
    <x v="4"/>
    <x v="4"/>
    <x v="8"/>
    <x v="13"/>
    <x v="28"/>
    <x v="9"/>
    <x v="2"/>
    <x v="67"/>
    <x v="16"/>
    <x v="61"/>
    <x v="0"/>
    <x v="0"/>
  </r>
  <r>
    <x v="0"/>
    <x v="867"/>
    <x v="30"/>
    <x v="11"/>
    <x v="872"/>
    <x v="1001"/>
    <x v="734"/>
    <x v="4"/>
    <x v="0"/>
    <x v="8"/>
    <x v="13"/>
    <x v="28"/>
    <x v="9"/>
    <x v="2"/>
    <x v="67"/>
    <x v="16"/>
    <x v="61"/>
    <x v="0"/>
    <x v="0"/>
  </r>
  <r>
    <x v="0"/>
    <x v="918"/>
    <x v="33"/>
    <x v="22"/>
    <x v="552"/>
    <x v="457"/>
    <x v="2"/>
    <x v="4"/>
    <x v="4"/>
    <x v="8"/>
    <x v="13"/>
    <x v="28"/>
    <x v="9"/>
    <x v="2"/>
    <x v="67"/>
    <x v="16"/>
    <x v="61"/>
    <x v="0"/>
    <x v="0"/>
  </r>
  <r>
    <x v="0"/>
    <x v="23"/>
    <x v="62"/>
    <x v="5"/>
    <x v="17"/>
    <x v="396"/>
    <x v="18"/>
    <x v="4"/>
    <x v="4"/>
    <x v="8"/>
    <x v="13"/>
    <x v="28"/>
    <x v="9"/>
    <x v="2"/>
    <x v="67"/>
    <x v="16"/>
    <x v="61"/>
    <x v="0"/>
    <x v="0"/>
  </r>
  <r>
    <x v="0"/>
    <x v="860"/>
    <x v="30"/>
    <x v="11"/>
    <x v="861"/>
    <x v="580"/>
    <x v="766"/>
    <x v="4"/>
    <x v="0"/>
    <x v="8"/>
    <x v="13"/>
    <x v="28"/>
    <x v="9"/>
    <x v="2"/>
    <x v="67"/>
    <x v="16"/>
    <x v="61"/>
    <x v="0"/>
    <x v="0"/>
  </r>
  <r>
    <x v="0"/>
    <x v="95"/>
    <x v="30"/>
    <x v="11"/>
    <x v="87"/>
    <x v="949"/>
    <x v="79"/>
    <x v="4"/>
    <x v="3"/>
    <x v="8"/>
    <x v="13"/>
    <x v="28"/>
    <x v="9"/>
    <x v="2"/>
    <x v="67"/>
    <x v="16"/>
    <x v="61"/>
    <x v="0"/>
    <x v="0"/>
  </r>
  <r>
    <x v="0"/>
    <x v="240"/>
    <x v="52"/>
    <x v="24"/>
    <x v="252"/>
    <x v="854"/>
    <x v="225"/>
    <x v="4"/>
    <x v="0"/>
    <x v="8"/>
    <x v="13"/>
    <x v="28"/>
    <x v="9"/>
    <x v="2"/>
    <x v="67"/>
    <x v="16"/>
    <x v="61"/>
    <x v="0"/>
    <x v="0"/>
  </r>
  <r>
    <x v="0"/>
    <x v="111"/>
    <x v="16"/>
    <x v="3"/>
    <x v="102"/>
    <x v="718"/>
    <x v="12"/>
    <x v="4"/>
    <x v="0"/>
    <x v="0"/>
    <x v="7"/>
    <x v="12"/>
    <x v="6"/>
    <x v="2"/>
    <x v="67"/>
    <x v="16"/>
    <x v="61"/>
    <x v="0"/>
    <x v="0"/>
  </r>
  <r>
    <x v="0"/>
    <x v="617"/>
    <x v="16"/>
    <x v="13"/>
    <x v="625"/>
    <x v="165"/>
    <x v="351"/>
    <x v="4"/>
    <x v="0"/>
    <x v="8"/>
    <x v="13"/>
    <x v="28"/>
    <x v="9"/>
    <x v="2"/>
    <x v="67"/>
    <x v="16"/>
    <x v="61"/>
    <x v="0"/>
    <x v="0"/>
  </r>
  <r>
    <x v="0"/>
    <x v="439"/>
    <x v="58"/>
    <x v="1"/>
    <x v="435"/>
    <x v="984"/>
    <x v="385"/>
    <x v="4"/>
    <x v="0"/>
    <x v="3"/>
    <x v="12"/>
    <x v="28"/>
    <x v="5"/>
    <x v="2"/>
    <x v="67"/>
    <x v="16"/>
    <x v="61"/>
    <x v="0"/>
    <x v="0"/>
  </r>
  <r>
    <x v="0"/>
    <x v="165"/>
    <x v="18"/>
    <x v="1"/>
    <x v="163"/>
    <x v="618"/>
    <x v="157"/>
    <x v="4"/>
    <x v="0"/>
    <x v="8"/>
    <x v="13"/>
    <x v="28"/>
    <x v="9"/>
    <x v="2"/>
    <x v="67"/>
    <x v="16"/>
    <x v="61"/>
    <x v="0"/>
    <x v="0"/>
  </r>
  <r>
    <x v="0"/>
    <x v="1042"/>
    <x v="44"/>
    <x v="3"/>
    <x v="1057"/>
    <x v="604"/>
    <x v="897"/>
    <x v="4"/>
    <x v="0"/>
    <x v="8"/>
    <x v="13"/>
    <x v="28"/>
    <x v="9"/>
    <x v="2"/>
    <x v="67"/>
    <x v="16"/>
    <x v="61"/>
    <x v="0"/>
    <x v="0"/>
  </r>
  <r>
    <x v="0"/>
    <x v="486"/>
    <x v="35"/>
    <x v="11"/>
    <x v="476"/>
    <x v="1049"/>
    <x v="917"/>
    <x v="4"/>
    <x v="5"/>
    <x v="8"/>
    <x v="13"/>
    <x v="28"/>
    <x v="9"/>
    <x v="2"/>
    <x v="67"/>
    <x v="16"/>
    <x v="61"/>
    <x v="0"/>
    <x v="0"/>
  </r>
  <r>
    <x v="0"/>
    <x v="799"/>
    <x v="62"/>
    <x v="23"/>
    <x v="802"/>
    <x v="552"/>
    <x v="696"/>
    <x v="4"/>
    <x v="4"/>
    <x v="8"/>
    <x v="13"/>
    <x v="28"/>
    <x v="9"/>
    <x v="2"/>
    <x v="67"/>
    <x v="16"/>
    <x v="61"/>
    <x v="0"/>
    <x v="0"/>
  </r>
  <r>
    <x v="0"/>
    <x v="685"/>
    <x v="33"/>
    <x v="22"/>
    <x v="690"/>
    <x v="863"/>
    <x v="3"/>
    <x v="4"/>
    <x v="0"/>
    <x v="8"/>
    <x v="13"/>
    <x v="28"/>
    <x v="9"/>
    <x v="2"/>
    <x v="67"/>
    <x v="16"/>
    <x v="61"/>
    <x v="0"/>
    <x v="0"/>
  </r>
  <r>
    <x v="0"/>
    <x v="995"/>
    <x v="23"/>
    <x v="15"/>
    <x v="1008"/>
    <x v="466"/>
    <x v="865"/>
    <x v="4"/>
    <x v="0"/>
    <x v="8"/>
    <x v="13"/>
    <x v="28"/>
    <x v="9"/>
    <x v="2"/>
    <x v="67"/>
    <x v="16"/>
    <x v="61"/>
    <x v="0"/>
    <x v="0"/>
  </r>
  <r>
    <x v="0"/>
    <x v="1003"/>
    <x v="28"/>
    <x v="22"/>
    <x v="1015"/>
    <x v="784"/>
    <x v="868"/>
    <x v="4"/>
    <x v="0"/>
    <x v="8"/>
    <x v="13"/>
    <x v="28"/>
    <x v="9"/>
    <x v="2"/>
    <x v="67"/>
    <x v="16"/>
    <x v="61"/>
    <x v="0"/>
    <x v="0"/>
  </r>
  <r>
    <x v="0"/>
    <x v="527"/>
    <x v="9"/>
    <x v="10"/>
    <x v="517"/>
    <x v="872"/>
    <x v="39"/>
    <x v="4"/>
    <x v="0"/>
    <x v="8"/>
    <x v="13"/>
    <x v="28"/>
    <x v="9"/>
    <x v="2"/>
    <x v="67"/>
    <x v="16"/>
    <x v="61"/>
    <x v="0"/>
    <x v="0"/>
  </r>
  <r>
    <x v="0"/>
    <x v="243"/>
    <x v="46"/>
    <x v="15"/>
    <x v="217"/>
    <x v="636"/>
    <x v="199"/>
    <x v="4"/>
    <x v="0"/>
    <x v="8"/>
    <x v="13"/>
    <x v="28"/>
    <x v="9"/>
    <x v="2"/>
    <x v="67"/>
    <x v="16"/>
    <x v="61"/>
    <x v="0"/>
    <x v="0"/>
  </r>
  <r>
    <x v="0"/>
    <x v="1044"/>
    <x v="33"/>
    <x v="22"/>
    <x v="1059"/>
    <x v="293"/>
    <x v="899"/>
    <x v="4"/>
    <x v="0"/>
    <x v="5"/>
    <x v="11"/>
    <x v="27"/>
    <x v="0"/>
    <x v="2"/>
    <x v="67"/>
    <x v="16"/>
    <x v="61"/>
    <x v="0"/>
    <x v="0"/>
  </r>
  <r>
    <x v="0"/>
    <x v="50"/>
    <x v="16"/>
    <x v="3"/>
    <x v="1009"/>
    <x v="997"/>
    <x v="866"/>
    <x v="4"/>
    <x v="4"/>
    <x v="5"/>
    <x v="11"/>
    <x v="27"/>
    <x v="0"/>
    <x v="2"/>
    <x v="67"/>
    <x v="16"/>
    <x v="61"/>
    <x v="0"/>
    <x v="0"/>
  </r>
  <r>
    <x v="0"/>
    <x v="186"/>
    <x v="86"/>
    <x v="24"/>
    <x v="193"/>
    <x v="809"/>
    <x v="184"/>
    <x v="4"/>
    <x v="3"/>
    <x v="8"/>
    <x v="13"/>
    <x v="28"/>
    <x v="9"/>
    <x v="2"/>
    <x v="67"/>
    <x v="16"/>
    <x v="61"/>
    <x v="0"/>
    <x v="0"/>
  </r>
  <r>
    <x v="0"/>
    <x v="788"/>
    <x v="64"/>
    <x v="1"/>
    <x v="790"/>
    <x v="935"/>
    <x v="693"/>
    <x v="4"/>
    <x v="0"/>
    <x v="8"/>
    <x v="13"/>
    <x v="28"/>
    <x v="9"/>
    <x v="2"/>
    <x v="67"/>
    <x v="16"/>
    <x v="61"/>
    <x v="0"/>
    <x v="0"/>
  </r>
  <r>
    <x v="2"/>
    <x v="1062"/>
    <x v="27"/>
    <x v="3"/>
    <x v="1073"/>
    <x v="996"/>
    <x v="904"/>
    <x v="4"/>
    <x v="0"/>
    <x v="6"/>
    <x v="6"/>
    <x v="28"/>
    <x v="2"/>
    <x v="2"/>
    <x v="67"/>
    <x v="16"/>
    <x v="61"/>
    <x v="1"/>
    <x v="0"/>
  </r>
  <r>
    <x v="2"/>
    <x v="475"/>
    <x v="33"/>
    <x v="22"/>
    <x v="466"/>
    <x v="929"/>
    <x v="403"/>
    <x v="4"/>
    <x v="4"/>
    <x v="8"/>
    <x v="13"/>
    <x v="28"/>
    <x v="9"/>
    <x v="2"/>
    <x v="67"/>
    <x v="16"/>
    <x v="61"/>
    <x v="1"/>
    <x v="0"/>
  </r>
  <r>
    <x v="2"/>
    <x v="892"/>
    <x v="33"/>
    <x v="22"/>
    <x v="898"/>
    <x v="774"/>
    <x v="791"/>
    <x v="4"/>
    <x v="0"/>
    <x v="8"/>
    <x v="13"/>
    <x v="28"/>
    <x v="9"/>
    <x v="2"/>
    <x v="67"/>
    <x v="16"/>
    <x v="61"/>
    <x v="1"/>
    <x v="0"/>
  </r>
  <r>
    <x v="2"/>
    <x v="890"/>
    <x v="30"/>
    <x v="11"/>
    <x v="896"/>
    <x v="987"/>
    <x v="369"/>
    <x v="4"/>
    <x v="4"/>
    <x v="8"/>
    <x v="13"/>
    <x v="28"/>
    <x v="9"/>
    <x v="2"/>
    <x v="67"/>
    <x v="16"/>
    <x v="61"/>
    <x v="1"/>
    <x v="0"/>
  </r>
  <r>
    <x v="2"/>
    <x v="345"/>
    <x v="38"/>
    <x v="3"/>
    <x v="351"/>
    <x v="687"/>
    <x v="318"/>
    <x v="4"/>
    <x v="4"/>
    <x v="0"/>
    <x v="7"/>
    <x v="1"/>
    <x v="6"/>
    <x v="2"/>
    <x v="67"/>
    <x v="16"/>
    <x v="61"/>
    <x v="1"/>
    <x v="0"/>
  </r>
  <r>
    <x v="2"/>
    <x v="369"/>
    <x v="33"/>
    <x v="22"/>
    <x v="780"/>
    <x v="800"/>
    <x v="678"/>
    <x v="4"/>
    <x v="4"/>
    <x v="8"/>
    <x v="13"/>
    <x v="28"/>
    <x v="9"/>
    <x v="2"/>
    <x v="67"/>
    <x v="16"/>
    <x v="61"/>
    <x v="1"/>
    <x v="0"/>
  </r>
  <r>
    <x v="2"/>
    <x v="571"/>
    <x v="46"/>
    <x v="3"/>
    <x v="565"/>
    <x v="692"/>
    <x v="438"/>
    <x v="4"/>
    <x v="0"/>
    <x v="8"/>
    <x v="13"/>
    <x v="28"/>
    <x v="9"/>
    <x v="2"/>
    <x v="67"/>
    <x v="16"/>
    <x v="61"/>
    <x v="1"/>
    <x v="0"/>
  </r>
  <r>
    <x v="2"/>
    <x v="571"/>
    <x v="46"/>
    <x v="1"/>
    <x v="565"/>
    <x v="692"/>
    <x v="438"/>
    <x v="4"/>
    <x v="0"/>
    <x v="8"/>
    <x v="13"/>
    <x v="28"/>
    <x v="9"/>
    <x v="2"/>
    <x v="67"/>
    <x v="16"/>
    <x v="61"/>
    <x v="1"/>
    <x v="0"/>
  </r>
  <r>
    <x v="2"/>
    <x v="528"/>
    <x v="18"/>
    <x v="3"/>
    <x v="518"/>
    <x v="804"/>
    <x v="59"/>
    <x v="4"/>
    <x v="4"/>
    <x v="8"/>
    <x v="13"/>
    <x v="28"/>
    <x v="9"/>
    <x v="2"/>
    <x v="67"/>
    <x v="16"/>
    <x v="61"/>
    <x v="1"/>
    <x v="0"/>
  </r>
  <r>
    <x v="2"/>
    <x v="430"/>
    <x v="38"/>
    <x v="3"/>
    <x v="851"/>
    <x v="203"/>
    <x v="752"/>
    <x v="4"/>
    <x v="1"/>
    <x v="8"/>
    <x v="13"/>
    <x v="28"/>
    <x v="9"/>
    <x v="2"/>
    <x v="67"/>
    <x v="16"/>
    <x v="61"/>
    <x v="1"/>
    <x v="0"/>
  </r>
  <r>
    <x v="2"/>
    <x v="306"/>
    <x v="33"/>
    <x v="22"/>
    <x v="320"/>
    <x v="318"/>
    <x v="698"/>
    <x v="4"/>
    <x v="4"/>
    <x v="8"/>
    <x v="13"/>
    <x v="28"/>
    <x v="9"/>
    <x v="2"/>
    <x v="67"/>
    <x v="16"/>
    <x v="61"/>
    <x v="1"/>
    <x v="0"/>
  </r>
  <r>
    <x v="1"/>
    <x v="897"/>
    <x v="30"/>
    <x v="11"/>
    <x v="903"/>
    <x v="564"/>
    <x v="433"/>
    <x v="4"/>
    <x v="3"/>
    <x v="8"/>
    <x v="13"/>
    <x v="28"/>
    <x v="9"/>
    <x v="2"/>
    <x v="67"/>
    <x v="16"/>
    <x v="61"/>
    <x v="1"/>
    <x v="0"/>
  </r>
  <r>
    <x v="1"/>
    <x v="31"/>
    <x v="16"/>
    <x v="1"/>
    <x v="93"/>
    <x v="726"/>
    <x v="19"/>
    <x v="4"/>
    <x v="4"/>
    <x v="8"/>
    <x v="13"/>
    <x v="28"/>
    <x v="9"/>
    <x v="2"/>
    <x v="67"/>
    <x v="16"/>
    <x v="61"/>
    <x v="1"/>
    <x v="0"/>
  </r>
  <r>
    <x v="1"/>
    <x v="240"/>
    <x v="86"/>
    <x v="24"/>
    <x v="252"/>
    <x v="854"/>
    <x v="225"/>
    <x v="4"/>
    <x v="0"/>
    <x v="8"/>
    <x v="13"/>
    <x v="28"/>
    <x v="9"/>
    <x v="2"/>
    <x v="67"/>
    <x v="16"/>
    <x v="61"/>
    <x v="1"/>
    <x v="0"/>
  </r>
  <r>
    <x v="2"/>
    <x v="1065"/>
    <x v="52"/>
    <x v="20"/>
    <x v="700"/>
    <x v="250"/>
    <x v="3"/>
    <x v="4"/>
    <x v="0"/>
    <x v="0"/>
    <x v="10"/>
    <x v="22"/>
    <x v="6"/>
    <x v="2"/>
    <x v="67"/>
    <x v="16"/>
    <x v="61"/>
    <x v="1"/>
    <x v="0"/>
  </r>
  <r>
    <x v="2"/>
    <x v="689"/>
    <x v="52"/>
    <x v="24"/>
    <x v="865"/>
    <x v="602"/>
    <x v="3"/>
    <x v="4"/>
    <x v="0"/>
    <x v="8"/>
    <x v="13"/>
    <x v="28"/>
    <x v="9"/>
    <x v="2"/>
    <x v="67"/>
    <x v="16"/>
    <x v="61"/>
    <x v="1"/>
    <x v="0"/>
  </r>
  <r>
    <x v="3"/>
    <x v="622"/>
    <x v="30"/>
    <x v="11"/>
    <x v="185"/>
    <x v="783"/>
    <x v="296"/>
    <x v="4"/>
    <x v="0"/>
    <x v="8"/>
    <x v="13"/>
    <x v="28"/>
    <x v="9"/>
    <x v="2"/>
    <x v="67"/>
    <x v="16"/>
    <x v="61"/>
    <x v="1"/>
    <x v="0"/>
  </r>
  <r>
    <x v="3"/>
    <x v="317"/>
    <x v="33"/>
    <x v="15"/>
    <x v="332"/>
    <x v="374"/>
    <x v="288"/>
    <x v="4"/>
    <x v="0"/>
    <x v="8"/>
    <x v="13"/>
    <x v="28"/>
    <x v="9"/>
    <x v="2"/>
    <x v="67"/>
    <x v="16"/>
    <x v="61"/>
    <x v="1"/>
    <x v="0"/>
  </r>
  <r>
    <x v="3"/>
    <x v="854"/>
    <x v="23"/>
    <x v="15"/>
    <x v="858"/>
    <x v="405"/>
    <x v="625"/>
    <x v="4"/>
    <x v="0"/>
    <x v="8"/>
    <x v="13"/>
    <x v="28"/>
    <x v="9"/>
    <x v="2"/>
    <x v="67"/>
    <x v="16"/>
    <x v="61"/>
    <x v="1"/>
    <x v="0"/>
  </r>
  <r>
    <x v="3"/>
    <x v="334"/>
    <x v="30"/>
    <x v="21"/>
    <x v="344"/>
    <x v="883"/>
    <x v="306"/>
    <x v="4"/>
    <x v="0"/>
    <x v="8"/>
    <x v="13"/>
    <x v="28"/>
    <x v="9"/>
    <x v="2"/>
    <x v="67"/>
    <x v="16"/>
    <x v="61"/>
    <x v="1"/>
    <x v="0"/>
  </r>
  <r>
    <x v="3"/>
    <x v="960"/>
    <x v="23"/>
    <x v="15"/>
    <x v="531"/>
    <x v="762"/>
    <x v="458"/>
    <x v="4"/>
    <x v="0"/>
    <x v="8"/>
    <x v="13"/>
    <x v="28"/>
    <x v="9"/>
    <x v="2"/>
    <x v="67"/>
    <x v="16"/>
    <x v="61"/>
    <x v="1"/>
    <x v="0"/>
  </r>
  <r>
    <x v="3"/>
    <x v="382"/>
    <x v="86"/>
    <x v="20"/>
    <x v="384"/>
    <x v="667"/>
    <x v="354"/>
    <x v="4"/>
    <x v="0"/>
    <x v="8"/>
    <x v="13"/>
    <x v="28"/>
    <x v="9"/>
    <x v="2"/>
    <x v="67"/>
    <x v="16"/>
    <x v="61"/>
    <x v="1"/>
    <x v="0"/>
  </r>
  <r>
    <x v="3"/>
    <x v="406"/>
    <x v="23"/>
    <x v="15"/>
    <x v="97"/>
    <x v="344"/>
    <x v="683"/>
    <x v="4"/>
    <x v="0"/>
    <x v="8"/>
    <x v="13"/>
    <x v="28"/>
    <x v="9"/>
    <x v="2"/>
    <x v="67"/>
    <x v="16"/>
    <x v="61"/>
    <x v="1"/>
    <x v="0"/>
  </r>
  <r>
    <x v="6"/>
    <x v="80"/>
    <x v="67"/>
    <x v="19"/>
    <x v="420"/>
    <x v="579"/>
    <x v="375"/>
    <x v="4"/>
    <x v="0"/>
    <x v="8"/>
    <x v="13"/>
    <x v="28"/>
    <x v="9"/>
    <x v="2"/>
    <x v="67"/>
    <x v="16"/>
    <x v="61"/>
    <x v="1"/>
    <x v="0"/>
  </r>
  <r>
    <x v="2"/>
    <x v="668"/>
    <x v="62"/>
    <x v="15"/>
    <x v="675"/>
    <x v="393"/>
    <x v="585"/>
    <x v="4"/>
    <x v="4"/>
    <x v="8"/>
    <x v="13"/>
    <x v="28"/>
    <x v="9"/>
    <x v="2"/>
    <x v="67"/>
    <x v="16"/>
    <x v="61"/>
    <x v="1"/>
    <x v="0"/>
  </r>
  <r>
    <x v="2"/>
    <x v="903"/>
    <x v="23"/>
    <x v="15"/>
    <x v="909"/>
    <x v="627"/>
    <x v="559"/>
    <x v="4"/>
    <x v="0"/>
    <x v="8"/>
    <x v="13"/>
    <x v="28"/>
    <x v="9"/>
    <x v="2"/>
    <x v="67"/>
    <x v="16"/>
    <x v="61"/>
    <x v="1"/>
    <x v="0"/>
  </r>
  <r>
    <x v="2"/>
    <x v="907"/>
    <x v="18"/>
    <x v="11"/>
    <x v="914"/>
    <x v="263"/>
    <x v="804"/>
    <x v="4"/>
    <x v="4"/>
    <x v="8"/>
    <x v="13"/>
    <x v="28"/>
    <x v="9"/>
    <x v="2"/>
    <x v="67"/>
    <x v="16"/>
    <x v="61"/>
    <x v="1"/>
    <x v="0"/>
  </r>
  <r>
    <x v="3"/>
    <x v="106"/>
    <x v="40"/>
    <x v="6"/>
    <x v="96"/>
    <x v="234"/>
    <x v="0"/>
    <x v="4"/>
    <x v="0"/>
    <x v="8"/>
    <x v="13"/>
    <x v="28"/>
    <x v="9"/>
    <x v="2"/>
    <x v="67"/>
    <x v="16"/>
    <x v="61"/>
    <x v="1"/>
    <x v="0"/>
  </r>
  <r>
    <x v="3"/>
    <x v="692"/>
    <x v="23"/>
    <x v="1"/>
    <x v="696"/>
    <x v="715"/>
    <x v="483"/>
    <x v="4"/>
    <x v="4"/>
    <x v="8"/>
    <x v="13"/>
    <x v="28"/>
    <x v="9"/>
    <x v="2"/>
    <x v="67"/>
    <x v="16"/>
    <x v="61"/>
    <x v="1"/>
    <x v="0"/>
  </r>
  <r>
    <x v="4"/>
    <x v="764"/>
    <x v="33"/>
    <x v="22"/>
    <x v="760"/>
    <x v="1024"/>
    <x v="2"/>
    <x v="4"/>
    <x v="4"/>
    <x v="8"/>
    <x v="13"/>
    <x v="28"/>
    <x v="9"/>
    <x v="2"/>
    <x v="67"/>
    <x v="16"/>
    <x v="61"/>
    <x v="1"/>
    <x v="0"/>
  </r>
  <r>
    <x v="3"/>
    <x v="668"/>
    <x v="36"/>
    <x v="13"/>
    <x v="675"/>
    <x v="393"/>
    <x v="585"/>
    <x v="4"/>
    <x v="4"/>
    <x v="8"/>
    <x v="13"/>
    <x v="28"/>
    <x v="9"/>
    <x v="2"/>
    <x v="67"/>
    <x v="16"/>
    <x v="61"/>
    <x v="1"/>
    <x v="0"/>
  </r>
  <r>
    <x v="4"/>
    <x v="109"/>
    <x v="28"/>
    <x v="22"/>
    <x v="100"/>
    <x v="499"/>
    <x v="2"/>
    <x v="4"/>
    <x v="4"/>
    <x v="8"/>
    <x v="13"/>
    <x v="28"/>
    <x v="9"/>
    <x v="2"/>
    <x v="67"/>
    <x v="16"/>
    <x v="61"/>
    <x v="1"/>
    <x v="0"/>
  </r>
  <r>
    <x v="4"/>
    <x v="302"/>
    <x v="36"/>
    <x v="1"/>
    <x v="544"/>
    <x v="6"/>
    <x v="477"/>
    <x v="4"/>
    <x v="0"/>
    <x v="8"/>
    <x v="13"/>
    <x v="28"/>
    <x v="9"/>
    <x v="2"/>
    <x v="67"/>
    <x v="16"/>
    <x v="61"/>
    <x v="1"/>
    <x v="0"/>
  </r>
  <r>
    <x v="4"/>
    <x v="69"/>
    <x v="18"/>
    <x v="1"/>
    <x v="972"/>
    <x v="539"/>
    <x v="835"/>
    <x v="4"/>
    <x v="4"/>
    <x v="8"/>
    <x v="13"/>
    <x v="28"/>
    <x v="9"/>
    <x v="2"/>
    <x v="67"/>
    <x v="16"/>
    <x v="61"/>
    <x v="1"/>
    <x v="0"/>
  </r>
  <r>
    <x v="4"/>
    <x v="842"/>
    <x v="69"/>
    <x v="1"/>
    <x v="846"/>
    <x v="502"/>
    <x v="617"/>
    <x v="4"/>
    <x v="0"/>
    <x v="8"/>
    <x v="13"/>
    <x v="28"/>
    <x v="9"/>
    <x v="2"/>
    <x v="67"/>
    <x v="16"/>
    <x v="61"/>
    <x v="1"/>
    <x v="0"/>
  </r>
  <r>
    <x v="4"/>
    <x v="914"/>
    <x v="30"/>
    <x v="1"/>
    <x v="922"/>
    <x v="522"/>
    <x v="3"/>
    <x v="4"/>
    <x v="0"/>
    <x v="8"/>
    <x v="13"/>
    <x v="28"/>
    <x v="9"/>
    <x v="2"/>
    <x v="67"/>
    <x v="16"/>
    <x v="61"/>
    <x v="1"/>
    <x v="0"/>
  </r>
  <r>
    <x v="4"/>
    <x v="778"/>
    <x v="52"/>
    <x v="1"/>
    <x v="777"/>
    <x v="496"/>
    <x v="675"/>
    <x v="4"/>
    <x v="3"/>
    <x v="8"/>
    <x v="13"/>
    <x v="28"/>
    <x v="9"/>
    <x v="2"/>
    <x v="67"/>
    <x v="16"/>
    <x v="61"/>
    <x v="1"/>
    <x v="0"/>
  </r>
  <r>
    <x v="4"/>
    <x v="423"/>
    <x v="86"/>
    <x v="20"/>
    <x v="487"/>
    <x v="323"/>
    <x v="423"/>
    <x v="4"/>
    <x v="0"/>
    <x v="8"/>
    <x v="13"/>
    <x v="28"/>
    <x v="9"/>
    <x v="2"/>
    <x v="67"/>
    <x v="16"/>
    <x v="61"/>
    <x v="1"/>
    <x v="0"/>
  </r>
  <r>
    <x v="3"/>
    <x v="106"/>
    <x v="95"/>
    <x v="24"/>
    <x v="96"/>
    <x v="234"/>
    <x v="0"/>
    <x v="4"/>
    <x v="0"/>
    <x v="8"/>
    <x v="13"/>
    <x v="28"/>
    <x v="9"/>
    <x v="2"/>
    <x v="67"/>
    <x v="16"/>
    <x v="61"/>
    <x v="1"/>
    <x v="0"/>
  </r>
  <r>
    <x v="4"/>
    <x v="580"/>
    <x v="86"/>
    <x v="20"/>
    <x v="582"/>
    <x v="398"/>
    <x v="501"/>
    <x v="4"/>
    <x v="0"/>
    <x v="8"/>
    <x v="13"/>
    <x v="28"/>
    <x v="9"/>
    <x v="2"/>
    <x v="67"/>
    <x v="16"/>
    <x v="61"/>
    <x v="1"/>
    <x v="0"/>
  </r>
  <r>
    <x v="4"/>
    <x v="569"/>
    <x v="23"/>
    <x v="15"/>
    <x v="563"/>
    <x v="831"/>
    <x v="2"/>
    <x v="4"/>
    <x v="4"/>
    <x v="8"/>
    <x v="13"/>
    <x v="28"/>
    <x v="9"/>
    <x v="2"/>
    <x v="67"/>
    <x v="16"/>
    <x v="61"/>
    <x v="1"/>
    <x v="0"/>
  </r>
  <r>
    <x v="4"/>
    <x v="30"/>
    <x v="33"/>
    <x v="22"/>
    <x v="25"/>
    <x v="619"/>
    <x v="169"/>
    <x v="4"/>
    <x v="4"/>
    <x v="8"/>
    <x v="13"/>
    <x v="28"/>
    <x v="9"/>
    <x v="2"/>
    <x v="67"/>
    <x v="16"/>
    <x v="61"/>
    <x v="1"/>
    <x v="0"/>
  </r>
  <r>
    <x v="3"/>
    <x v="949"/>
    <x v="30"/>
    <x v="19"/>
    <x v="961"/>
    <x v="243"/>
    <x v="827"/>
    <x v="4"/>
    <x v="3"/>
    <x v="8"/>
    <x v="13"/>
    <x v="28"/>
    <x v="9"/>
    <x v="2"/>
    <x v="67"/>
    <x v="16"/>
    <x v="61"/>
    <x v="1"/>
    <x v="0"/>
  </r>
  <r>
    <x v="4"/>
    <x v="265"/>
    <x v="18"/>
    <x v="3"/>
    <x v="278"/>
    <x v="173"/>
    <x v="248"/>
    <x v="4"/>
    <x v="1"/>
    <x v="5"/>
    <x v="11"/>
    <x v="27"/>
    <x v="0"/>
    <x v="2"/>
    <x v="67"/>
    <x v="16"/>
    <x v="61"/>
    <x v="1"/>
    <x v="0"/>
  </r>
  <r>
    <x v="4"/>
    <x v="139"/>
    <x v="30"/>
    <x v="19"/>
    <x v="137"/>
    <x v="314"/>
    <x v="125"/>
    <x v="4"/>
    <x v="4"/>
    <x v="8"/>
    <x v="13"/>
    <x v="28"/>
    <x v="9"/>
    <x v="2"/>
    <x v="67"/>
    <x v="16"/>
    <x v="61"/>
    <x v="1"/>
    <x v="0"/>
  </r>
  <r>
    <x v="4"/>
    <x v="995"/>
    <x v="30"/>
    <x v="11"/>
    <x v="1008"/>
    <x v="466"/>
    <x v="865"/>
    <x v="4"/>
    <x v="0"/>
    <x v="8"/>
    <x v="13"/>
    <x v="28"/>
    <x v="9"/>
    <x v="2"/>
    <x v="67"/>
    <x v="16"/>
    <x v="61"/>
    <x v="1"/>
    <x v="0"/>
  </r>
  <r>
    <x v="5"/>
    <x v="137"/>
    <x v="30"/>
    <x v="21"/>
    <x v="0"/>
    <x v="335"/>
    <x v="14"/>
    <x v="4"/>
    <x v="0"/>
    <x v="8"/>
    <x v="13"/>
    <x v="28"/>
    <x v="9"/>
    <x v="2"/>
    <x v="67"/>
    <x v="16"/>
    <x v="61"/>
    <x v="1"/>
    <x v="0"/>
  </r>
  <r>
    <x v="5"/>
    <x v="562"/>
    <x v="33"/>
    <x v="22"/>
    <x v="555"/>
    <x v="540"/>
    <x v="3"/>
    <x v="4"/>
    <x v="0"/>
    <x v="8"/>
    <x v="13"/>
    <x v="28"/>
    <x v="9"/>
    <x v="2"/>
    <x v="67"/>
    <x v="16"/>
    <x v="61"/>
    <x v="1"/>
    <x v="0"/>
  </r>
  <r>
    <x v="5"/>
    <x v="141"/>
    <x v="33"/>
    <x v="22"/>
    <x v="169"/>
    <x v="542"/>
    <x v="160"/>
    <x v="4"/>
    <x v="1"/>
    <x v="8"/>
    <x v="13"/>
    <x v="28"/>
    <x v="9"/>
    <x v="2"/>
    <x v="67"/>
    <x v="16"/>
    <x v="61"/>
    <x v="1"/>
    <x v="0"/>
  </r>
  <r>
    <x v="5"/>
    <x v="700"/>
    <x v="28"/>
    <x v="22"/>
    <x v="702"/>
    <x v="972"/>
    <x v="606"/>
    <x v="4"/>
    <x v="0"/>
    <x v="5"/>
    <x v="11"/>
    <x v="27"/>
    <x v="0"/>
    <x v="2"/>
    <x v="67"/>
    <x v="16"/>
    <x v="61"/>
    <x v="1"/>
    <x v="0"/>
  </r>
  <r>
    <x v="5"/>
    <x v="1072"/>
    <x v="33"/>
    <x v="22"/>
    <x v="378"/>
    <x v="746"/>
    <x v="2"/>
    <x v="4"/>
    <x v="4"/>
    <x v="8"/>
    <x v="13"/>
    <x v="28"/>
    <x v="9"/>
    <x v="2"/>
    <x v="67"/>
    <x v="16"/>
    <x v="61"/>
    <x v="1"/>
    <x v="0"/>
  </r>
  <r>
    <x v="5"/>
    <x v="752"/>
    <x v="33"/>
    <x v="22"/>
    <x v="746"/>
    <x v="41"/>
    <x v="653"/>
    <x v="4"/>
    <x v="0"/>
    <x v="8"/>
    <x v="13"/>
    <x v="28"/>
    <x v="9"/>
    <x v="2"/>
    <x v="67"/>
    <x v="16"/>
    <x v="61"/>
    <x v="1"/>
    <x v="0"/>
  </r>
  <r>
    <x v="5"/>
    <x v="674"/>
    <x v="16"/>
    <x v="3"/>
    <x v="158"/>
    <x v="473"/>
    <x v="148"/>
    <x v="4"/>
    <x v="0"/>
    <x v="8"/>
    <x v="13"/>
    <x v="28"/>
    <x v="9"/>
    <x v="2"/>
    <x v="67"/>
    <x v="16"/>
    <x v="61"/>
    <x v="1"/>
    <x v="0"/>
  </r>
  <r>
    <x v="5"/>
    <x v="893"/>
    <x v="33"/>
    <x v="5"/>
    <x v="899"/>
    <x v="596"/>
    <x v="792"/>
    <x v="4"/>
    <x v="4"/>
    <x v="8"/>
    <x v="13"/>
    <x v="28"/>
    <x v="9"/>
    <x v="2"/>
    <x v="67"/>
    <x v="16"/>
    <x v="61"/>
    <x v="1"/>
    <x v="0"/>
  </r>
  <r>
    <x v="5"/>
    <x v="806"/>
    <x v="30"/>
    <x v="11"/>
    <x v="809"/>
    <x v="130"/>
    <x v="705"/>
    <x v="4"/>
    <x v="1"/>
    <x v="8"/>
    <x v="13"/>
    <x v="28"/>
    <x v="9"/>
    <x v="2"/>
    <x v="67"/>
    <x v="16"/>
    <x v="61"/>
    <x v="1"/>
    <x v="0"/>
  </r>
  <r>
    <x v="5"/>
    <x v="989"/>
    <x v="33"/>
    <x v="22"/>
    <x v="1003"/>
    <x v="684"/>
    <x v="861"/>
    <x v="4"/>
    <x v="1"/>
    <x v="8"/>
    <x v="13"/>
    <x v="28"/>
    <x v="9"/>
    <x v="2"/>
    <x v="67"/>
    <x v="16"/>
    <x v="61"/>
    <x v="1"/>
    <x v="0"/>
  </r>
  <r>
    <x v="5"/>
    <x v="360"/>
    <x v="83"/>
    <x v="15"/>
    <x v="362"/>
    <x v="444"/>
    <x v="320"/>
    <x v="4"/>
    <x v="4"/>
    <x v="8"/>
    <x v="13"/>
    <x v="28"/>
    <x v="9"/>
    <x v="2"/>
    <x v="67"/>
    <x v="16"/>
    <x v="61"/>
    <x v="1"/>
    <x v="0"/>
  </r>
  <r>
    <x v="4"/>
    <x v="475"/>
    <x v="33"/>
    <x v="22"/>
    <x v="466"/>
    <x v="929"/>
    <x v="403"/>
    <x v="4"/>
    <x v="4"/>
    <x v="8"/>
    <x v="13"/>
    <x v="28"/>
    <x v="9"/>
    <x v="2"/>
    <x v="67"/>
    <x v="16"/>
    <x v="61"/>
    <x v="1"/>
    <x v="0"/>
  </r>
  <r>
    <x v="5"/>
    <x v="385"/>
    <x v="40"/>
    <x v="6"/>
    <x v="388"/>
    <x v="611"/>
    <x v="2"/>
    <x v="4"/>
    <x v="4"/>
    <x v="8"/>
    <x v="13"/>
    <x v="28"/>
    <x v="9"/>
    <x v="2"/>
    <x v="67"/>
    <x v="16"/>
    <x v="61"/>
    <x v="1"/>
    <x v="0"/>
  </r>
  <r>
    <x v="5"/>
    <x v="610"/>
    <x v="86"/>
    <x v="24"/>
    <x v="617"/>
    <x v="582"/>
    <x v="244"/>
    <x v="4"/>
    <x v="0"/>
    <x v="8"/>
    <x v="13"/>
    <x v="28"/>
    <x v="9"/>
    <x v="2"/>
    <x v="67"/>
    <x v="16"/>
    <x v="61"/>
    <x v="1"/>
    <x v="0"/>
  </r>
  <r>
    <x v="5"/>
    <x v="276"/>
    <x v="9"/>
    <x v="10"/>
    <x v="286"/>
    <x v="93"/>
    <x v="255"/>
    <x v="4"/>
    <x v="4"/>
    <x v="5"/>
    <x v="11"/>
    <x v="27"/>
    <x v="0"/>
    <x v="2"/>
    <x v="67"/>
    <x v="16"/>
    <x v="61"/>
    <x v="1"/>
    <x v="0"/>
  </r>
  <r>
    <x v="6"/>
    <x v="837"/>
    <x v="23"/>
    <x v="1"/>
    <x v="816"/>
    <x v="392"/>
    <x v="708"/>
    <x v="4"/>
    <x v="4"/>
    <x v="8"/>
    <x v="13"/>
    <x v="28"/>
    <x v="9"/>
    <x v="2"/>
    <x v="67"/>
    <x v="16"/>
    <x v="61"/>
    <x v="1"/>
    <x v="0"/>
  </r>
  <r>
    <x v="6"/>
    <x v="447"/>
    <x v="18"/>
    <x v="3"/>
    <x v="441"/>
    <x v="260"/>
    <x v="404"/>
    <x v="4"/>
    <x v="4"/>
    <x v="8"/>
    <x v="13"/>
    <x v="28"/>
    <x v="9"/>
    <x v="2"/>
    <x v="67"/>
    <x v="16"/>
    <x v="61"/>
    <x v="1"/>
    <x v="0"/>
  </r>
  <r>
    <x v="5"/>
    <x v="465"/>
    <x v="18"/>
    <x v="1"/>
    <x v="458"/>
    <x v="973"/>
    <x v="401"/>
    <x v="4"/>
    <x v="4"/>
    <x v="8"/>
    <x v="13"/>
    <x v="28"/>
    <x v="9"/>
    <x v="2"/>
    <x v="67"/>
    <x v="16"/>
    <x v="61"/>
    <x v="1"/>
    <x v="0"/>
  </r>
  <r>
    <x v="6"/>
    <x v="568"/>
    <x v="18"/>
    <x v="3"/>
    <x v="562"/>
    <x v="632"/>
    <x v="2"/>
    <x v="4"/>
    <x v="4"/>
    <x v="0"/>
    <x v="7"/>
    <x v="21"/>
    <x v="6"/>
    <x v="2"/>
    <x v="67"/>
    <x v="16"/>
    <x v="61"/>
    <x v="1"/>
    <x v="0"/>
  </r>
  <r>
    <x v="6"/>
    <x v="623"/>
    <x v="7"/>
    <x v="10"/>
    <x v="630"/>
    <x v="1022"/>
    <x v="3"/>
    <x v="4"/>
    <x v="1"/>
    <x v="8"/>
    <x v="13"/>
    <x v="28"/>
    <x v="9"/>
    <x v="2"/>
    <x v="67"/>
    <x v="16"/>
    <x v="61"/>
    <x v="1"/>
    <x v="0"/>
  </r>
  <r>
    <x v="6"/>
    <x v="609"/>
    <x v="23"/>
    <x v="1"/>
    <x v="616"/>
    <x v="920"/>
    <x v="630"/>
    <x v="4"/>
    <x v="4"/>
    <x v="5"/>
    <x v="11"/>
    <x v="27"/>
    <x v="0"/>
    <x v="2"/>
    <x v="67"/>
    <x v="16"/>
    <x v="61"/>
    <x v="1"/>
    <x v="0"/>
  </r>
  <r>
    <x v="6"/>
    <x v="795"/>
    <x v="33"/>
    <x v="0"/>
    <x v="797"/>
    <x v="832"/>
    <x v="687"/>
    <x v="4"/>
    <x v="4"/>
    <x v="8"/>
    <x v="13"/>
    <x v="28"/>
    <x v="9"/>
    <x v="2"/>
    <x v="67"/>
    <x v="16"/>
    <x v="61"/>
    <x v="1"/>
    <x v="0"/>
  </r>
  <r>
    <x v="6"/>
    <x v="470"/>
    <x v="33"/>
    <x v="22"/>
    <x v="462"/>
    <x v="948"/>
    <x v="618"/>
    <x v="4"/>
    <x v="0"/>
    <x v="8"/>
    <x v="13"/>
    <x v="28"/>
    <x v="9"/>
    <x v="2"/>
    <x v="67"/>
    <x v="16"/>
    <x v="61"/>
    <x v="1"/>
    <x v="0"/>
  </r>
  <r>
    <x v="6"/>
    <x v="627"/>
    <x v="30"/>
    <x v="11"/>
    <x v="146"/>
    <x v="600"/>
    <x v="537"/>
    <x v="4"/>
    <x v="0"/>
    <x v="5"/>
    <x v="11"/>
    <x v="27"/>
    <x v="0"/>
    <x v="2"/>
    <x v="67"/>
    <x v="16"/>
    <x v="61"/>
    <x v="1"/>
    <x v="0"/>
  </r>
  <r>
    <x v="6"/>
    <x v="917"/>
    <x v="38"/>
    <x v="3"/>
    <x v="924"/>
    <x v="356"/>
    <x v="163"/>
    <x v="4"/>
    <x v="1"/>
    <x v="8"/>
    <x v="13"/>
    <x v="28"/>
    <x v="9"/>
    <x v="2"/>
    <x v="67"/>
    <x v="16"/>
    <x v="61"/>
    <x v="1"/>
    <x v="0"/>
  </r>
  <r>
    <x v="6"/>
    <x v="744"/>
    <x v="82"/>
    <x v="5"/>
    <x v="749"/>
    <x v="955"/>
    <x v="720"/>
    <x v="4"/>
    <x v="1"/>
    <x v="8"/>
    <x v="13"/>
    <x v="28"/>
    <x v="9"/>
    <x v="2"/>
    <x v="67"/>
    <x v="16"/>
    <x v="61"/>
    <x v="1"/>
    <x v="0"/>
  </r>
  <r>
    <x v="6"/>
    <x v="17"/>
    <x v="33"/>
    <x v="22"/>
    <x v="11"/>
    <x v="488"/>
    <x v="25"/>
    <x v="4"/>
    <x v="1"/>
    <x v="8"/>
    <x v="13"/>
    <x v="28"/>
    <x v="9"/>
    <x v="2"/>
    <x v="67"/>
    <x v="16"/>
    <x v="61"/>
    <x v="1"/>
    <x v="0"/>
  </r>
  <r>
    <x v="6"/>
    <x v="990"/>
    <x v="23"/>
    <x v="10"/>
    <x v="1004"/>
    <x v="369"/>
    <x v="862"/>
    <x v="4"/>
    <x v="1"/>
    <x v="8"/>
    <x v="13"/>
    <x v="28"/>
    <x v="9"/>
    <x v="2"/>
    <x v="67"/>
    <x v="16"/>
    <x v="61"/>
    <x v="1"/>
    <x v="0"/>
  </r>
  <r>
    <x v="6"/>
    <x v="814"/>
    <x v="18"/>
    <x v="15"/>
    <x v="817"/>
    <x v="448"/>
    <x v="709"/>
    <x v="4"/>
    <x v="1"/>
    <x v="8"/>
    <x v="13"/>
    <x v="28"/>
    <x v="9"/>
    <x v="2"/>
    <x v="67"/>
    <x v="16"/>
    <x v="61"/>
    <x v="1"/>
    <x v="0"/>
  </r>
  <r>
    <x v="6"/>
    <x v="8"/>
    <x v="33"/>
    <x v="22"/>
    <x v="581"/>
    <x v="797"/>
    <x v="3"/>
    <x v="4"/>
    <x v="0"/>
    <x v="5"/>
    <x v="11"/>
    <x v="27"/>
    <x v="0"/>
    <x v="2"/>
    <x v="67"/>
    <x v="16"/>
    <x v="61"/>
    <x v="1"/>
    <x v="0"/>
  </r>
  <r>
    <x v="6"/>
    <x v="658"/>
    <x v="59"/>
    <x v="11"/>
    <x v="536"/>
    <x v="78"/>
    <x v="460"/>
    <x v="4"/>
    <x v="0"/>
    <x v="5"/>
    <x v="9"/>
    <x v="25"/>
    <x v="0"/>
    <x v="2"/>
    <x v="67"/>
    <x v="16"/>
    <x v="61"/>
    <x v="1"/>
    <x v="0"/>
  </r>
  <r>
    <x v="6"/>
    <x v="64"/>
    <x v="16"/>
    <x v="3"/>
    <x v="55"/>
    <x v="635"/>
    <x v="218"/>
    <x v="4"/>
    <x v="1"/>
    <x v="5"/>
    <x v="11"/>
    <x v="27"/>
    <x v="0"/>
    <x v="2"/>
    <x v="67"/>
    <x v="16"/>
    <x v="61"/>
    <x v="1"/>
    <x v="0"/>
  </r>
  <r>
    <x v="6"/>
    <x v="911"/>
    <x v="34"/>
    <x v="3"/>
    <x v="918"/>
    <x v="945"/>
    <x v="807"/>
    <x v="4"/>
    <x v="0"/>
    <x v="8"/>
    <x v="13"/>
    <x v="28"/>
    <x v="9"/>
    <x v="2"/>
    <x v="67"/>
    <x v="16"/>
    <x v="61"/>
    <x v="1"/>
    <x v="0"/>
  </r>
  <r>
    <x v="6"/>
    <x v="375"/>
    <x v="62"/>
    <x v="24"/>
    <x v="181"/>
    <x v="541"/>
    <x v="3"/>
    <x v="4"/>
    <x v="0"/>
    <x v="8"/>
    <x v="13"/>
    <x v="28"/>
    <x v="9"/>
    <x v="2"/>
    <x v="67"/>
    <x v="16"/>
    <x v="61"/>
    <x v="1"/>
    <x v="0"/>
  </r>
  <r>
    <x v="6"/>
    <x v="856"/>
    <x v="62"/>
    <x v="23"/>
    <x v="856"/>
    <x v="721"/>
    <x v="763"/>
    <x v="4"/>
    <x v="4"/>
    <x v="8"/>
    <x v="13"/>
    <x v="28"/>
    <x v="9"/>
    <x v="2"/>
    <x v="67"/>
    <x v="16"/>
    <x v="61"/>
    <x v="1"/>
    <x v="0"/>
  </r>
  <r>
    <x v="6"/>
    <x v="827"/>
    <x v="33"/>
    <x v="22"/>
    <x v="455"/>
    <x v="802"/>
    <x v="398"/>
    <x v="4"/>
    <x v="0"/>
    <x v="8"/>
    <x v="13"/>
    <x v="28"/>
    <x v="9"/>
    <x v="2"/>
    <x v="67"/>
    <x v="16"/>
    <x v="61"/>
    <x v="1"/>
    <x v="0"/>
  </r>
  <r>
    <x v="6"/>
    <x v="574"/>
    <x v="46"/>
    <x v="15"/>
    <x v="572"/>
    <x v="617"/>
    <x v="579"/>
    <x v="4"/>
    <x v="0"/>
    <x v="8"/>
    <x v="13"/>
    <x v="28"/>
    <x v="9"/>
    <x v="2"/>
    <x v="67"/>
    <x v="16"/>
    <x v="61"/>
    <x v="1"/>
    <x v="0"/>
  </r>
  <r>
    <x v="6"/>
    <x v="1053"/>
    <x v="89"/>
    <x v="1"/>
    <x v="1065"/>
    <x v="493"/>
    <x v="707"/>
    <x v="4"/>
    <x v="4"/>
    <x v="8"/>
    <x v="13"/>
    <x v="28"/>
    <x v="9"/>
    <x v="2"/>
    <x v="67"/>
    <x v="16"/>
    <x v="61"/>
    <x v="1"/>
    <x v="0"/>
  </r>
  <r>
    <x v="6"/>
    <x v="161"/>
    <x v="86"/>
    <x v="20"/>
    <x v="282"/>
    <x v="651"/>
    <x v="251"/>
    <x v="4"/>
    <x v="3"/>
    <x v="8"/>
    <x v="13"/>
    <x v="28"/>
    <x v="9"/>
    <x v="2"/>
    <x v="67"/>
    <x v="16"/>
    <x v="61"/>
    <x v="1"/>
    <x v="0"/>
  </r>
  <r>
    <x v="9"/>
    <x v="472"/>
    <x v="33"/>
    <x v="22"/>
    <x v="561"/>
    <x v="843"/>
    <x v="5"/>
    <x v="4"/>
    <x v="0"/>
    <x v="8"/>
    <x v="13"/>
    <x v="28"/>
    <x v="9"/>
    <x v="2"/>
    <x v="67"/>
    <x v="16"/>
    <x v="61"/>
    <x v="1"/>
    <x v="0"/>
  </r>
  <r>
    <x v="9"/>
    <x v="648"/>
    <x v="30"/>
    <x v="11"/>
    <x v="655"/>
    <x v="1010"/>
    <x v="568"/>
    <x v="4"/>
    <x v="4"/>
    <x v="5"/>
    <x v="11"/>
    <x v="27"/>
    <x v="0"/>
    <x v="2"/>
    <x v="67"/>
    <x v="16"/>
    <x v="61"/>
    <x v="1"/>
    <x v="0"/>
  </r>
  <r>
    <x v="7"/>
    <x v="922"/>
    <x v="14"/>
    <x v="3"/>
    <x v="928"/>
    <x v="340"/>
    <x v="810"/>
    <x v="4"/>
    <x v="4"/>
    <x v="8"/>
    <x v="13"/>
    <x v="28"/>
    <x v="9"/>
    <x v="2"/>
    <x v="67"/>
    <x v="16"/>
    <x v="61"/>
    <x v="1"/>
    <x v="0"/>
  </r>
  <r>
    <x v="8"/>
    <x v="973"/>
    <x v="23"/>
    <x v="1"/>
    <x v="987"/>
    <x v="22"/>
    <x v="848"/>
    <x v="4"/>
    <x v="1"/>
    <x v="5"/>
    <x v="9"/>
    <x v="26"/>
    <x v="0"/>
    <x v="2"/>
    <x v="67"/>
    <x v="16"/>
    <x v="61"/>
    <x v="1"/>
    <x v="0"/>
  </r>
  <r>
    <x v="8"/>
    <x v="130"/>
    <x v="59"/>
    <x v="11"/>
    <x v="124"/>
    <x v="219"/>
    <x v="109"/>
    <x v="4"/>
    <x v="0"/>
    <x v="8"/>
    <x v="13"/>
    <x v="28"/>
    <x v="9"/>
    <x v="2"/>
    <x v="67"/>
    <x v="16"/>
    <x v="61"/>
    <x v="1"/>
    <x v="0"/>
  </r>
  <r>
    <x v="7"/>
    <x v="337"/>
    <x v="18"/>
    <x v="3"/>
    <x v="437"/>
    <x v="184"/>
    <x v="682"/>
    <x v="4"/>
    <x v="1"/>
    <x v="8"/>
    <x v="13"/>
    <x v="28"/>
    <x v="9"/>
    <x v="2"/>
    <x v="67"/>
    <x v="16"/>
    <x v="61"/>
    <x v="1"/>
    <x v="0"/>
  </r>
  <r>
    <x v="9"/>
    <x v="334"/>
    <x v="23"/>
    <x v="1"/>
    <x v="344"/>
    <x v="883"/>
    <x v="306"/>
    <x v="4"/>
    <x v="0"/>
    <x v="8"/>
    <x v="13"/>
    <x v="28"/>
    <x v="9"/>
    <x v="2"/>
    <x v="67"/>
    <x v="16"/>
    <x v="61"/>
    <x v="1"/>
    <x v="0"/>
  </r>
  <r>
    <x v="9"/>
    <x v="707"/>
    <x v="30"/>
    <x v="11"/>
    <x v="709"/>
    <x v="87"/>
    <x v="71"/>
    <x v="4"/>
    <x v="4"/>
    <x v="8"/>
    <x v="13"/>
    <x v="28"/>
    <x v="9"/>
    <x v="2"/>
    <x v="67"/>
    <x v="16"/>
    <x v="61"/>
    <x v="1"/>
    <x v="0"/>
  </r>
  <r>
    <x v="9"/>
    <x v="105"/>
    <x v="23"/>
    <x v="15"/>
    <x v="1018"/>
    <x v="792"/>
    <x v="682"/>
    <x v="4"/>
    <x v="1"/>
    <x v="8"/>
    <x v="13"/>
    <x v="28"/>
    <x v="9"/>
    <x v="2"/>
    <x v="67"/>
    <x v="16"/>
    <x v="61"/>
    <x v="1"/>
    <x v="0"/>
  </r>
  <r>
    <x v="9"/>
    <x v="513"/>
    <x v="62"/>
    <x v="23"/>
    <x v="504"/>
    <x v="643"/>
    <x v="2"/>
    <x v="4"/>
    <x v="0"/>
    <x v="5"/>
    <x v="9"/>
    <x v="25"/>
    <x v="0"/>
    <x v="2"/>
    <x v="67"/>
    <x v="16"/>
    <x v="61"/>
    <x v="1"/>
    <x v="0"/>
  </r>
  <r>
    <x v="9"/>
    <x v="464"/>
    <x v="79"/>
    <x v="11"/>
    <x v="457"/>
    <x v="712"/>
    <x v="466"/>
    <x v="4"/>
    <x v="1"/>
    <x v="8"/>
    <x v="13"/>
    <x v="28"/>
    <x v="9"/>
    <x v="2"/>
    <x v="67"/>
    <x v="16"/>
    <x v="61"/>
    <x v="1"/>
    <x v="0"/>
  </r>
  <r>
    <x v="9"/>
    <x v="233"/>
    <x v="9"/>
    <x v="10"/>
    <x v="385"/>
    <x v="508"/>
    <x v="353"/>
    <x v="4"/>
    <x v="4"/>
    <x v="8"/>
    <x v="13"/>
    <x v="28"/>
    <x v="9"/>
    <x v="2"/>
    <x v="67"/>
    <x v="16"/>
    <x v="61"/>
    <x v="1"/>
    <x v="0"/>
  </r>
  <r>
    <x v="9"/>
    <x v="621"/>
    <x v="18"/>
    <x v="3"/>
    <x v="629"/>
    <x v="565"/>
    <x v="736"/>
    <x v="4"/>
    <x v="2"/>
    <x v="0"/>
    <x v="7"/>
    <x v="6"/>
    <x v="6"/>
    <x v="2"/>
    <x v="67"/>
    <x v="16"/>
    <x v="61"/>
    <x v="1"/>
    <x v="0"/>
  </r>
  <r>
    <x v="7"/>
    <x v="722"/>
    <x v="19"/>
    <x v="1"/>
    <x v="73"/>
    <x v="937"/>
    <x v="70"/>
    <x v="4"/>
    <x v="0"/>
    <x v="8"/>
    <x v="13"/>
    <x v="28"/>
    <x v="9"/>
    <x v="2"/>
    <x v="67"/>
    <x v="16"/>
    <x v="61"/>
    <x v="1"/>
    <x v="0"/>
  </r>
  <r>
    <x v="9"/>
    <x v="60"/>
    <x v="33"/>
    <x v="22"/>
    <x v="51"/>
    <x v="942"/>
    <x v="2"/>
    <x v="4"/>
    <x v="4"/>
    <x v="8"/>
    <x v="13"/>
    <x v="28"/>
    <x v="9"/>
    <x v="2"/>
    <x v="67"/>
    <x v="16"/>
    <x v="61"/>
    <x v="1"/>
    <x v="0"/>
  </r>
  <r>
    <x v="9"/>
    <x v="3"/>
    <x v="33"/>
    <x v="22"/>
    <x v="1"/>
    <x v="822"/>
    <x v="672"/>
    <x v="4"/>
    <x v="0"/>
    <x v="8"/>
    <x v="13"/>
    <x v="28"/>
    <x v="9"/>
    <x v="2"/>
    <x v="67"/>
    <x v="16"/>
    <x v="61"/>
    <x v="1"/>
    <x v="0"/>
  </r>
  <r>
    <x v="9"/>
    <x v="1064"/>
    <x v="48"/>
    <x v="3"/>
    <x v="1076"/>
    <x v="161"/>
    <x v="907"/>
    <x v="4"/>
    <x v="4"/>
    <x v="0"/>
    <x v="7"/>
    <x v="6"/>
    <x v="9"/>
    <x v="2"/>
    <x v="67"/>
    <x v="16"/>
    <x v="61"/>
    <x v="1"/>
    <x v="0"/>
  </r>
  <r>
    <x v="9"/>
    <x v="537"/>
    <x v="39"/>
    <x v="8"/>
    <x v="527"/>
    <x v="753"/>
    <x v="263"/>
    <x v="4"/>
    <x v="1"/>
    <x v="5"/>
    <x v="11"/>
    <x v="27"/>
    <x v="0"/>
    <x v="2"/>
    <x v="67"/>
    <x v="16"/>
    <x v="61"/>
    <x v="1"/>
    <x v="0"/>
  </r>
  <r>
    <x v="9"/>
    <x v="1026"/>
    <x v="33"/>
    <x v="22"/>
    <x v="1038"/>
    <x v="928"/>
    <x v="881"/>
    <x v="4"/>
    <x v="1"/>
    <x v="8"/>
    <x v="13"/>
    <x v="28"/>
    <x v="9"/>
    <x v="2"/>
    <x v="67"/>
    <x v="16"/>
    <x v="61"/>
    <x v="1"/>
    <x v="0"/>
  </r>
  <r>
    <x v="6"/>
    <x v="630"/>
    <x v="28"/>
    <x v="22"/>
    <x v="637"/>
    <x v="348"/>
    <x v="723"/>
    <x v="4"/>
    <x v="0"/>
    <x v="8"/>
    <x v="13"/>
    <x v="28"/>
    <x v="9"/>
    <x v="2"/>
    <x v="67"/>
    <x v="16"/>
    <x v="61"/>
    <x v="1"/>
    <x v="0"/>
  </r>
  <r>
    <x v="6"/>
    <x v="364"/>
    <x v="19"/>
    <x v="8"/>
    <x v="368"/>
    <x v="91"/>
    <x v="337"/>
    <x v="4"/>
    <x v="4"/>
    <x v="8"/>
    <x v="13"/>
    <x v="28"/>
    <x v="9"/>
    <x v="2"/>
    <x v="67"/>
    <x v="16"/>
    <x v="61"/>
    <x v="1"/>
    <x v="0"/>
  </r>
  <r>
    <x v="6"/>
    <x v="326"/>
    <x v="30"/>
    <x v="11"/>
    <x v="338"/>
    <x v="327"/>
    <x v="292"/>
    <x v="4"/>
    <x v="0"/>
    <x v="8"/>
    <x v="13"/>
    <x v="28"/>
    <x v="9"/>
    <x v="2"/>
    <x v="67"/>
    <x v="16"/>
    <x v="61"/>
    <x v="1"/>
    <x v="0"/>
  </r>
  <r>
    <x v="6"/>
    <x v="690"/>
    <x v="9"/>
    <x v="15"/>
    <x v="614"/>
    <x v="377"/>
    <x v="518"/>
    <x v="4"/>
    <x v="5"/>
    <x v="8"/>
    <x v="13"/>
    <x v="28"/>
    <x v="9"/>
    <x v="2"/>
    <x v="67"/>
    <x v="16"/>
    <x v="61"/>
    <x v="1"/>
    <x v="0"/>
  </r>
  <r>
    <x v="9"/>
    <x v="525"/>
    <x v="30"/>
    <x v="11"/>
    <x v="515"/>
    <x v="75"/>
    <x v="330"/>
    <x v="4"/>
    <x v="1"/>
    <x v="5"/>
    <x v="9"/>
    <x v="25"/>
    <x v="0"/>
    <x v="2"/>
    <x v="67"/>
    <x v="16"/>
    <x v="61"/>
    <x v="1"/>
    <x v="0"/>
  </r>
  <r>
    <x v="10"/>
    <x v="797"/>
    <x v="30"/>
    <x v="21"/>
    <x v="798"/>
    <x v="931"/>
    <x v="347"/>
    <x v="4"/>
    <x v="0"/>
    <x v="5"/>
    <x v="9"/>
    <x v="25"/>
    <x v="0"/>
    <x v="2"/>
    <x v="67"/>
    <x v="16"/>
    <x v="61"/>
    <x v="1"/>
    <x v="0"/>
  </r>
  <r>
    <x v="10"/>
    <x v="781"/>
    <x v="28"/>
    <x v="22"/>
    <x v="779"/>
    <x v="729"/>
    <x v="641"/>
    <x v="4"/>
    <x v="0"/>
    <x v="8"/>
    <x v="13"/>
    <x v="28"/>
    <x v="9"/>
    <x v="2"/>
    <x v="67"/>
    <x v="16"/>
    <x v="61"/>
    <x v="1"/>
    <x v="0"/>
  </r>
  <r>
    <x v="9"/>
    <x v="739"/>
    <x v="33"/>
    <x v="22"/>
    <x v="738"/>
    <x v="397"/>
    <x v="5"/>
    <x v="4"/>
    <x v="0"/>
    <x v="5"/>
    <x v="9"/>
    <x v="25"/>
    <x v="0"/>
    <x v="2"/>
    <x v="67"/>
    <x v="16"/>
    <x v="61"/>
    <x v="1"/>
    <x v="0"/>
  </r>
  <r>
    <x v="10"/>
    <x v="289"/>
    <x v="95"/>
    <x v="20"/>
    <x v="303"/>
    <x v="240"/>
    <x v="3"/>
    <x v="4"/>
    <x v="0"/>
    <x v="8"/>
    <x v="13"/>
    <x v="28"/>
    <x v="9"/>
    <x v="2"/>
    <x v="67"/>
    <x v="16"/>
    <x v="61"/>
    <x v="1"/>
    <x v="0"/>
  </r>
  <r>
    <x v="9"/>
    <x v="1027"/>
    <x v="33"/>
    <x v="22"/>
    <x v="4"/>
    <x v="375"/>
    <x v="16"/>
    <x v="4"/>
    <x v="4"/>
    <x v="5"/>
    <x v="11"/>
    <x v="27"/>
    <x v="0"/>
    <x v="2"/>
    <x v="67"/>
    <x v="16"/>
    <x v="61"/>
    <x v="1"/>
    <x v="0"/>
  </r>
  <r>
    <x v="10"/>
    <x v="67"/>
    <x v="28"/>
    <x v="22"/>
    <x v="58"/>
    <x v="969"/>
    <x v="3"/>
    <x v="4"/>
    <x v="0"/>
    <x v="8"/>
    <x v="13"/>
    <x v="28"/>
    <x v="9"/>
    <x v="2"/>
    <x v="67"/>
    <x v="16"/>
    <x v="61"/>
    <x v="1"/>
    <x v="0"/>
  </r>
  <r>
    <x v="10"/>
    <x v="134"/>
    <x v="18"/>
    <x v="1"/>
    <x v="132"/>
    <x v="877"/>
    <x v="111"/>
    <x v="4"/>
    <x v="1"/>
    <x v="8"/>
    <x v="13"/>
    <x v="28"/>
    <x v="9"/>
    <x v="2"/>
    <x v="67"/>
    <x v="16"/>
    <x v="61"/>
    <x v="1"/>
    <x v="0"/>
  </r>
  <r>
    <x v="9"/>
    <x v="234"/>
    <x v="23"/>
    <x v="15"/>
    <x v="243"/>
    <x v="747"/>
    <x v="215"/>
    <x v="4"/>
    <x v="0"/>
    <x v="8"/>
    <x v="13"/>
    <x v="28"/>
    <x v="9"/>
    <x v="2"/>
    <x v="67"/>
    <x v="16"/>
    <x v="61"/>
    <x v="1"/>
    <x v="0"/>
  </r>
  <r>
    <x v="10"/>
    <x v="171"/>
    <x v="62"/>
    <x v="23"/>
    <x v="175"/>
    <x v="688"/>
    <x v="3"/>
    <x v="4"/>
    <x v="0"/>
    <x v="8"/>
    <x v="13"/>
    <x v="28"/>
    <x v="9"/>
    <x v="2"/>
    <x v="67"/>
    <x v="16"/>
    <x v="61"/>
    <x v="1"/>
    <x v="0"/>
  </r>
  <r>
    <x v="10"/>
    <x v="428"/>
    <x v="30"/>
    <x v="11"/>
    <x v="426"/>
    <x v="814"/>
    <x v="381"/>
    <x v="4"/>
    <x v="0"/>
    <x v="5"/>
    <x v="9"/>
    <x v="25"/>
    <x v="0"/>
    <x v="2"/>
    <x v="67"/>
    <x v="16"/>
    <x v="61"/>
    <x v="1"/>
    <x v="0"/>
  </r>
  <r>
    <x v="10"/>
    <x v="849"/>
    <x v="28"/>
    <x v="22"/>
    <x v="661"/>
    <x v="656"/>
    <x v="2"/>
    <x v="4"/>
    <x v="4"/>
    <x v="8"/>
    <x v="13"/>
    <x v="28"/>
    <x v="9"/>
    <x v="2"/>
    <x v="67"/>
    <x v="16"/>
    <x v="61"/>
    <x v="1"/>
    <x v="0"/>
  </r>
  <r>
    <x v="10"/>
    <x v="220"/>
    <x v="62"/>
    <x v="23"/>
    <x v="801"/>
    <x v="379"/>
    <x v="695"/>
    <x v="4"/>
    <x v="4"/>
    <x v="8"/>
    <x v="13"/>
    <x v="28"/>
    <x v="9"/>
    <x v="2"/>
    <x v="67"/>
    <x v="16"/>
    <x v="61"/>
    <x v="1"/>
    <x v="0"/>
  </r>
  <r>
    <x v="10"/>
    <x v="155"/>
    <x v="30"/>
    <x v="11"/>
    <x v="599"/>
    <x v="81"/>
    <x v="507"/>
    <x v="4"/>
    <x v="0"/>
    <x v="8"/>
    <x v="13"/>
    <x v="28"/>
    <x v="9"/>
    <x v="2"/>
    <x v="67"/>
    <x v="16"/>
    <x v="61"/>
    <x v="1"/>
    <x v="0"/>
  </r>
  <r>
    <x v="9"/>
    <x v="322"/>
    <x v="33"/>
    <x v="22"/>
    <x v="713"/>
    <x v="20"/>
    <x v="333"/>
    <x v="4"/>
    <x v="4"/>
    <x v="8"/>
    <x v="13"/>
    <x v="28"/>
    <x v="9"/>
    <x v="2"/>
    <x v="67"/>
    <x v="16"/>
    <x v="61"/>
    <x v="1"/>
    <x v="0"/>
  </r>
  <r>
    <x v="10"/>
    <x v="356"/>
    <x v="26"/>
    <x v="22"/>
    <x v="357"/>
    <x v="74"/>
    <x v="323"/>
    <x v="4"/>
    <x v="3"/>
    <x v="8"/>
    <x v="13"/>
    <x v="28"/>
    <x v="9"/>
    <x v="2"/>
    <x v="67"/>
    <x v="16"/>
    <x v="61"/>
    <x v="1"/>
    <x v="0"/>
  </r>
  <r>
    <x v="10"/>
    <x v="262"/>
    <x v="52"/>
    <x v="24"/>
    <x v="274"/>
    <x v="281"/>
    <x v="2"/>
    <x v="4"/>
    <x v="4"/>
    <x v="0"/>
    <x v="10"/>
    <x v="15"/>
    <x v="6"/>
    <x v="2"/>
    <x v="67"/>
    <x v="16"/>
    <x v="61"/>
    <x v="1"/>
    <x v="0"/>
  </r>
  <r>
    <x v="10"/>
    <x v="70"/>
    <x v="62"/>
    <x v="23"/>
    <x v="64"/>
    <x v="136"/>
    <x v="60"/>
    <x v="4"/>
    <x v="4"/>
    <x v="8"/>
    <x v="13"/>
    <x v="28"/>
    <x v="9"/>
    <x v="2"/>
    <x v="67"/>
    <x v="16"/>
    <x v="61"/>
    <x v="1"/>
    <x v="0"/>
  </r>
  <r>
    <x v="10"/>
    <x v="660"/>
    <x v="23"/>
    <x v="15"/>
    <x v="669"/>
    <x v="428"/>
    <x v="903"/>
    <x v="4"/>
    <x v="0"/>
    <x v="8"/>
    <x v="13"/>
    <x v="28"/>
    <x v="9"/>
    <x v="2"/>
    <x v="67"/>
    <x v="16"/>
    <x v="61"/>
    <x v="1"/>
    <x v="0"/>
  </r>
  <r>
    <x v="10"/>
    <x v="688"/>
    <x v="33"/>
    <x v="21"/>
    <x v="693"/>
    <x v="299"/>
    <x v="601"/>
    <x v="4"/>
    <x v="1"/>
    <x v="8"/>
    <x v="13"/>
    <x v="28"/>
    <x v="9"/>
    <x v="2"/>
    <x v="67"/>
    <x v="16"/>
    <x v="61"/>
    <x v="1"/>
    <x v="0"/>
  </r>
  <r>
    <x v="9"/>
    <x v="502"/>
    <x v="42"/>
    <x v="21"/>
    <x v="494"/>
    <x v="390"/>
    <x v="0"/>
    <x v="4"/>
    <x v="0"/>
    <x v="8"/>
    <x v="13"/>
    <x v="28"/>
    <x v="9"/>
    <x v="2"/>
    <x v="67"/>
    <x v="16"/>
    <x v="61"/>
    <x v="1"/>
    <x v="0"/>
  </r>
  <r>
    <x v="10"/>
    <x v="505"/>
    <x v="16"/>
    <x v="3"/>
    <x v="495"/>
    <x v="709"/>
    <x v="104"/>
    <x v="4"/>
    <x v="4"/>
    <x v="8"/>
    <x v="13"/>
    <x v="28"/>
    <x v="9"/>
    <x v="2"/>
    <x v="67"/>
    <x v="16"/>
    <x v="61"/>
    <x v="1"/>
    <x v="0"/>
  </r>
  <r>
    <x v="10"/>
    <x v="110"/>
    <x v="30"/>
    <x v="11"/>
    <x v="101"/>
    <x v="470"/>
    <x v="217"/>
    <x v="4"/>
    <x v="1"/>
    <x v="7"/>
    <x v="12"/>
    <x v="28"/>
    <x v="5"/>
    <x v="2"/>
    <x v="67"/>
    <x v="16"/>
    <x v="61"/>
    <x v="1"/>
    <x v="0"/>
  </r>
  <r>
    <x v="10"/>
    <x v="38"/>
    <x v="40"/>
    <x v="23"/>
    <x v="30"/>
    <x v="735"/>
    <x v="34"/>
    <x v="4"/>
    <x v="0"/>
    <x v="8"/>
    <x v="13"/>
    <x v="28"/>
    <x v="9"/>
    <x v="2"/>
    <x v="67"/>
    <x v="16"/>
    <x v="61"/>
    <x v="1"/>
    <x v="0"/>
  </r>
  <r>
    <x v="11"/>
    <x v="310"/>
    <x v="33"/>
    <x v="22"/>
    <x v="324"/>
    <x v="757"/>
    <x v="270"/>
    <x v="4"/>
    <x v="2"/>
    <x v="8"/>
    <x v="13"/>
    <x v="28"/>
    <x v="9"/>
    <x v="2"/>
    <x v="67"/>
    <x v="16"/>
    <x v="61"/>
    <x v="1"/>
    <x v="0"/>
  </r>
  <r>
    <x v="10"/>
    <x v="843"/>
    <x v="33"/>
    <x v="22"/>
    <x v="843"/>
    <x v="145"/>
    <x v="739"/>
    <x v="4"/>
    <x v="2"/>
    <x v="8"/>
    <x v="13"/>
    <x v="28"/>
    <x v="9"/>
    <x v="2"/>
    <x v="67"/>
    <x v="16"/>
    <x v="61"/>
    <x v="1"/>
    <x v="0"/>
  </r>
  <r>
    <x v="9"/>
    <x v="122"/>
    <x v="54"/>
    <x v="1"/>
    <x v="117"/>
    <x v="472"/>
    <x v="704"/>
    <x v="4"/>
    <x v="3"/>
    <x v="8"/>
    <x v="13"/>
    <x v="28"/>
    <x v="9"/>
    <x v="2"/>
    <x v="67"/>
    <x v="16"/>
    <x v="61"/>
    <x v="1"/>
    <x v="0"/>
  </r>
  <r>
    <x v="10"/>
    <x v="928"/>
    <x v="18"/>
    <x v="3"/>
    <x v="935"/>
    <x v="962"/>
    <x v="667"/>
    <x v="4"/>
    <x v="0"/>
    <x v="8"/>
    <x v="13"/>
    <x v="28"/>
    <x v="9"/>
    <x v="2"/>
    <x v="67"/>
    <x v="16"/>
    <x v="61"/>
    <x v="1"/>
    <x v="0"/>
  </r>
  <r>
    <x v="7"/>
    <x v="443"/>
    <x v="6"/>
    <x v="11"/>
    <x v="595"/>
    <x v="424"/>
    <x v="487"/>
    <x v="4"/>
    <x v="4"/>
    <x v="8"/>
    <x v="13"/>
    <x v="28"/>
    <x v="9"/>
    <x v="2"/>
    <x v="67"/>
    <x v="16"/>
    <x v="61"/>
    <x v="1"/>
    <x v="0"/>
  </r>
  <r>
    <x v="7"/>
    <x v="738"/>
    <x v="62"/>
    <x v="1"/>
    <x v="737"/>
    <x v="933"/>
    <x v="648"/>
    <x v="4"/>
    <x v="0"/>
    <x v="8"/>
    <x v="13"/>
    <x v="28"/>
    <x v="9"/>
    <x v="2"/>
    <x v="67"/>
    <x v="16"/>
    <x v="61"/>
    <x v="1"/>
    <x v="0"/>
  </r>
  <r>
    <x v="8"/>
    <x v="579"/>
    <x v="33"/>
    <x v="22"/>
    <x v="578"/>
    <x v="707"/>
    <x v="499"/>
    <x v="4"/>
    <x v="1"/>
    <x v="8"/>
    <x v="13"/>
    <x v="28"/>
    <x v="9"/>
    <x v="2"/>
    <x v="67"/>
    <x v="16"/>
    <x v="61"/>
    <x v="1"/>
    <x v="0"/>
  </r>
  <r>
    <x v="6"/>
    <x v="919"/>
    <x v="19"/>
    <x v="19"/>
    <x v="925"/>
    <x v="529"/>
    <x v="809"/>
    <x v="4"/>
    <x v="0"/>
    <x v="8"/>
    <x v="13"/>
    <x v="28"/>
    <x v="9"/>
    <x v="2"/>
    <x v="67"/>
    <x v="16"/>
    <x v="61"/>
    <x v="1"/>
    <x v="0"/>
  </r>
  <r>
    <x v="10"/>
    <x v="785"/>
    <x v="23"/>
    <x v="15"/>
    <x v="785"/>
    <x v="429"/>
    <x v="679"/>
    <x v="4"/>
    <x v="0"/>
    <x v="8"/>
    <x v="13"/>
    <x v="28"/>
    <x v="9"/>
    <x v="2"/>
    <x v="67"/>
    <x v="16"/>
    <x v="61"/>
    <x v="1"/>
    <x v="0"/>
  </r>
  <r>
    <x v="10"/>
    <x v="1001"/>
    <x v="33"/>
    <x v="22"/>
    <x v="1014"/>
    <x v="321"/>
    <x v="167"/>
    <x v="4"/>
    <x v="4"/>
    <x v="8"/>
    <x v="13"/>
    <x v="28"/>
    <x v="9"/>
    <x v="2"/>
    <x v="67"/>
    <x v="16"/>
    <x v="61"/>
    <x v="1"/>
    <x v="0"/>
  </r>
  <r>
    <x v="10"/>
    <x v="759"/>
    <x v="86"/>
    <x v="20"/>
    <x v="756"/>
    <x v="99"/>
    <x v="659"/>
    <x v="4"/>
    <x v="2"/>
    <x v="8"/>
    <x v="13"/>
    <x v="28"/>
    <x v="9"/>
    <x v="2"/>
    <x v="67"/>
    <x v="16"/>
    <x v="61"/>
    <x v="1"/>
    <x v="0"/>
  </r>
  <r>
    <x v="10"/>
    <x v="574"/>
    <x v="33"/>
    <x v="22"/>
    <x v="572"/>
    <x v="617"/>
    <x v="579"/>
    <x v="4"/>
    <x v="2"/>
    <x v="8"/>
    <x v="13"/>
    <x v="28"/>
    <x v="9"/>
    <x v="2"/>
    <x v="67"/>
    <x v="16"/>
    <x v="61"/>
    <x v="1"/>
    <x v="0"/>
  </r>
  <r>
    <x v="10"/>
    <x v="645"/>
    <x v="33"/>
    <x v="22"/>
    <x v="57"/>
    <x v="908"/>
    <x v="480"/>
    <x v="4"/>
    <x v="0"/>
    <x v="8"/>
    <x v="13"/>
    <x v="28"/>
    <x v="9"/>
    <x v="2"/>
    <x v="67"/>
    <x v="16"/>
    <x v="61"/>
    <x v="1"/>
    <x v="0"/>
  </r>
  <r>
    <x v="10"/>
    <x v="514"/>
    <x v="62"/>
    <x v="20"/>
    <x v="505"/>
    <x v="643"/>
    <x v="435"/>
    <x v="4"/>
    <x v="0"/>
    <x v="8"/>
    <x v="13"/>
    <x v="28"/>
    <x v="9"/>
    <x v="2"/>
    <x v="67"/>
    <x v="16"/>
    <x v="61"/>
    <x v="1"/>
    <x v="0"/>
  </r>
  <r>
    <x v="11"/>
    <x v="800"/>
    <x v="33"/>
    <x v="22"/>
    <x v="804"/>
    <x v="536"/>
    <x v="701"/>
    <x v="4"/>
    <x v="4"/>
    <x v="8"/>
    <x v="13"/>
    <x v="28"/>
    <x v="9"/>
    <x v="2"/>
    <x v="67"/>
    <x v="16"/>
    <x v="61"/>
    <x v="1"/>
    <x v="0"/>
  </r>
  <r>
    <x v="11"/>
    <x v="659"/>
    <x v="23"/>
    <x v="1"/>
    <x v="668"/>
    <x v="982"/>
    <x v="578"/>
    <x v="4"/>
    <x v="4"/>
    <x v="8"/>
    <x v="13"/>
    <x v="28"/>
    <x v="9"/>
    <x v="2"/>
    <x v="67"/>
    <x v="16"/>
    <x v="61"/>
    <x v="1"/>
    <x v="0"/>
  </r>
  <r>
    <x v="11"/>
    <x v="195"/>
    <x v="52"/>
    <x v="24"/>
    <x v="193"/>
    <x v="809"/>
    <x v="184"/>
    <x v="4"/>
    <x v="3"/>
    <x v="8"/>
    <x v="13"/>
    <x v="28"/>
    <x v="9"/>
    <x v="2"/>
    <x v="67"/>
    <x v="16"/>
    <x v="61"/>
    <x v="1"/>
    <x v="0"/>
  </r>
  <r>
    <x v="11"/>
    <x v="486"/>
    <x v="9"/>
    <x v="10"/>
    <x v="476"/>
    <x v="179"/>
    <x v="13"/>
    <x v="4"/>
    <x v="4"/>
    <x v="8"/>
    <x v="13"/>
    <x v="28"/>
    <x v="9"/>
    <x v="2"/>
    <x v="67"/>
    <x v="16"/>
    <x v="61"/>
    <x v="1"/>
    <x v="0"/>
  </r>
  <r>
    <x v="11"/>
    <x v="906"/>
    <x v="23"/>
    <x v="15"/>
    <x v="474"/>
    <x v="1014"/>
    <x v="411"/>
    <x v="4"/>
    <x v="4"/>
    <x v="8"/>
    <x v="13"/>
    <x v="28"/>
    <x v="9"/>
    <x v="2"/>
    <x v="67"/>
    <x v="16"/>
    <x v="61"/>
    <x v="1"/>
    <x v="0"/>
  </r>
  <r>
    <x v="11"/>
    <x v="906"/>
    <x v="18"/>
    <x v="3"/>
    <x v="474"/>
    <x v="1014"/>
    <x v="411"/>
    <x v="4"/>
    <x v="4"/>
    <x v="8"/>
    <x v="13"/>
    <x v="28"/>
    <x v="9"/>
    <x v="2"/>
    <x v="67"/>
    <x v="16"/>
    <x v="61"/>
    <x v="1"/>
    <x v="0"/>
  </r>
  <r>
    <x v="11"/>
    <x v="870"/>
    <x v="23"/>
    <x v="15"/>
    <x v="874"/>
    <x v="777"/>
    <x v="775"/>
    <x v="4"/>
    <x v="4"/>
    <x v="8"/>
    <x v="13"/>
    <x v="28"/>
    <x v="9"/>
    <x v="2"/>
    <x v="67"/>
    <x v="16"/>
    <x v="61"/>
    <x v="1"/>
    <x v="0"/>
  </r>
  <r>
    <x v="11"/>
    <x v="775"/>
    <x v="23"/>
    <x v="22"/>
    <x v="775"/>
    <x v="83"/>
    <x v="676"/>
    <x v="4"/>
    <x v="1"/>
    <x v="8"/>
    <x v="13"/>
    <x v="28"/>
    <x v="9"/>
    <x v="2"/>
    <x v="67"/>
    <x v="16"/>
    <x v="61"/>
    <x v="1"/>
    <x v="0"/>
  </r>
  <r>
    <x v="11"/>
    <x v="395"/>
    <x v="18"/>
    <x v="1"/>
    <x v="396"/>
    <x v="845"/>
    <x v="129"/>
    <x v="4"/>
    <x v="2"/>
    <x v="8"/>
    <x v="13"/>
    <x v="28"/>
    <x v="9"/>
    <x v="2"/>
    <x v="67"/>
    <x v="16"/>
    <x v="61"/>
    <x v="1"/>
    <x v="0"/>
  </r>
  <r>
    <x v="11"/>
    <x v="687"/>
    <x v="22"/>
    <x v="1"/>
    <x v="692"/>
    <x v="299"/>
    <x v="601"/>
    <x v="4"/>
    <x v="1"/>
    <x v="8"/>
    <x v="13"/>
    <x v="28"/>
    <x v="9"/>
    <x v="2"/>
    <x v="67"/>
    <x v="16"/>
    <x v="61"/>
    <x v="1"/>
    <x v="0"/>
  </r>
  <r>
    <x v="11"/>
    <x v="988"/>
    <x v="33"/>
    <x v="22"/>
    <x v="257"/>
    <x v="23"/>
    <x v="523"/>
    <x v="4"/>
    <x v="1"/>
    <x v="8"/>
    <x v="13"/>
    <x v="28"/>
    <x v="9"/>
    <x v="2"/>
    <x v="67"/>
    <x v="16"/>
    <x v="61"/>
    <x v="1"/>
    <x v="0"/>
  </r>
  <r>
    <x v="11"/>
    <x v="968"/>
    <x v="23"/>
    <x v="22"/>
    <x v="981"/>
    <x v="112"/>
    <x v="843"/>
    <x v="4"/>
    <x v="4"/>
    <x v="8"/>
    <x v="13"/>
    <x v="28"/>
    <x v="9"/>
    <x v="2"/>
    <x v="67"/>
    <x v="16"/>
    <x v="61"/>
    <x v="1"/>
    <x v="0"/>
  </r>
  <r>
    <x v="11"/>
    <x v="438"/>
    <x v="13"/>
    <x v="19"/>
    <x v="434"/>
    <x v="256"/>
    <x v="386"/>
    <x v="4"/>
    <x v="4"/>
    <x v="8"/>
    <x v="13"/>
    <x v="28"/>
    <x v="9"/>
    <x v="2"/>
    <x v="67"/>
    <x v="16"/>
    <x v="61"/>
    <x v="1"/>
    <x v="0"/>
  </r>
  <r>
    <x v="11"/>
    <x v="301"/>
    <x v="33"/>
    <x v="22"/>
    <x v="317"/>
    <x v="177"/>
    <x v="273"/>
    <x v="4"/>
    <x v="1"/>
    <x v="8"/>
    <x v="13"/>
    <x v="28"/>
    <x v="9"/>
    <x v="2"/>
    <x v="67"/>
    <x v="16"/>
    <x v="61"/>
    <x v="1"/>
    <x v="0"/>
  </r>
  <r>
    <x v="11"/>
    <x v="323"/>
    <x v="38"/>
    <x v="3"/>
    <x v="336"/>
    <x v="593"/>
    <x v="138"/>
    <x v="4"/>
    <x v="4"/>
    <x v="8"/>
    <x v="13"/>
    <x v="28"/>
    <x v="9"/>
    <x v="2"/>
    <x v="67"/>
    <x v="16"/>
    <x v="61"/>
    <x v="1"/>
    <x v="0"/>
  </r>
  <r>
    <x v="11"/>
    <x v="812"/>
    <x v="62"/>
    <x v="23"/>
    <x v="672"/>
    <x v="607"/>
    <x v="282"/>
    <x v="4"/>
    <x v="1"/>
    <x v="8"/>
    <x v="13"/>
    <x v="28"/>
    <x v="9"/>
    <x v="2"/>
    <x v="67"/>
    <x v="16"/>
    <x v="61"/>
    <x v="1"/>
    <x v="0"/>
  </r>
  <r>
    <x v="11"/>
    <x v="197"/>
    <x v="83"/>
    <x v="15"/>
    <x v="196"/>
    <x v="406"/>
    <x v="3"/>
    <x v="4"/>
    <x v="0"/>
    <x v="8"/>
    <x v="13"/>
    <x v="28"/>
    <x v="9"/>
    <x v="2"/>
    <x v="67"/>
    <x v="16"/>
    <x v="61"/>
    <x v="1"/>
    <x v="0"/>
  </r>
  <r>
    <x v="12"/>
    <x v="14"/>
    <x v="33"/>
    <x v="22"/>
    <x v="9"/>
    <x v="1023"/>
    <x v="137"/>
    <x v="4"/>
    <x v="4"/>
    <x v="8"/>
    <x v="13"/>
    <x v="28"/>
    <x v="9"/>
    <x v="2"/>
    <x v="67"/>
    <x v="16"/>
    <x v="61"/>
    <x v="1"/>
    <x v="0"/>
  </r>
  <r>
    <x v="11"/>
    <x v="592"/>
    <x v="23"/>
    <x v="15"/>
    <x v="71"/>
    <x v="36"/>
    <x v="753"/>
    <x v="4"/>
    <x v="0"/>
    <x v="8"/>
    <x v="13"/>
    <x v="28"/>
    <x v="9"/>
    <x v="2"/>
    <x v="67"/>
    <x v="16"/>
    <x v="61"/>
    <x v="1"/>
    <x v="0"/>
  </r>
  <r>
    <x v="11"/>
    <x v="812"/>
    <x v="33"/>
    <x v="1"/>
    <x v="672"/>
    <x v="607"/>
    <x v="282"/>
    <x v="4"/>
    <x v="4"/>
    <x v="8"/>
    <x v="13"/>
    <x v="28"/>
    <x v="9"/>
    <x v="2"/>
    <x v="67"/>
    <x v="16"/>
    <x v="61"/>
    <x v="1"/>
    <x v="0"/>
  </r>
  <r>
    <x v="12"/>
    <x v="1047"/>
    <x v="46"/>
    <x v="15"/>
    <x v="1062"/>
    <x v="1019"/>
    <x v="901"/>
    <x v="4"/>
    <x v="2"/>
    <x v="8"/>
    <x v="13"/>
    <x v="28"/>
    <x v="9"/>
    <x v="2"/>
    <x v="67"/>
    <x v="16"/>
    <x v="61"/>
    <x v="1"/>
    <x v="0"/>
  </r>
  <r>
    <x v="10"/>
    <x v="1071"/>
    <x v="46"/>
    <x v="15"/>
    <x v="1086"/>
    <x v="782"/>
    <x v="115"/>
    <x v="4"/>
    <x v="4"/>
    <x v="8"/>
    <x v="13"/>
    <x v="28"/>
    <x v="9"/>
    <x v="2"/>
    <x v="67"/>
    <x v="16"/>
    <x v="61"/>
    <x v="1"/>
    <x v="0"/>
  </r>
  <r>
    <x v="13"/>
    <x v="327"/>
    <x v="23"/>
    <x v="15"/>
    <x v="339"/>
    <x v="327"/>
    <x v="294"/>
    <x v="4"/>
    <x v="0"/>
    <x v="8"/>
    <x v="13"/>
    <x v="28"/>
    <x v="9"/>
    <x v="2"/>
    <x v="67"/>
    <x v="16"/>
    <x v="61"/>
    <x v="1"/>
    <x v="0"/>
  </r>
  <r>
    <x v="13"/>
    <x v="1067"/>
    <x v="33"/>
    <x v="22"/>
    <x v="1080"/>
    <x v="881"/>
    <x v="685"/>
    <x v="4"/>
    <x v="4"/>
    <x v="8"/>
    <x v="13"/>
    <x v="28"/>
    <x v="9"/>
    <x v="2"/>
    <x v="67"/>
    <x v="16"/>
    <x v="61"/>
    <x v="1"/>
    <x v="0"/>
  </r>
  <r>
    <x v="12"/>
    <x v="990"/>
    <x v="9"/>
    <x v="10"/>
    <x v="1004"/>
    <x v="369"/>
    <x v="862"/>
    <x v="4"/>
    <x v="1"/>
    <x v="8"/>
    <x v="13"/>
    <x v="28"/>
    <x v="9"/>
    <x v="2"/>
    <x v="67"/>
    <x v="16"/>
    <x v="61"/>
    <x v="1"/>
    <x v="0"/>
  </r>
  <r>
    <x v="12"/>
    <x v="797"/>
    <x v="30"/>
    <x v="21"/>
    <x v="799"/>
    <x v="931"/>
    <x v="347"/>
    <x v="4"/>
    <x v="0"/>
    <x v="8"/>
    <x v="13"/>
    <x v="28"/>
    <x v="9"/>
    <x v="2"/>
    <x v="67"/>
    <x v="16"/>
    <x v="61"/>
    <x v="1"/>
    <x v="0"/>
  </r>
  <r>
    <x v="12"/>
    <x v="609"/>
    <x v="69"/>
    <x v="1"/>
    <x v="616"/>
    <x v="920"/>
    <x v="808"/>
    <x v="4"/>
    <x v="0"/>
    <x v="8"/>
    <x v="13"/>
    <x v="28"/>
    <x v="9"/>
    <x v="2"/>
    <x v="67"/>
    <x v="16"/>
    <x v="61"/>
    <x v="1"/>
    <x v="0"/>
  </r>
  <r>
    <x v="12"/>
    <x v="809"/>
    <x v="62"/>
    <x v="15"/>
    <x v="241"/>
    <x v="454"/>
    <x v="210"/>
    <x v="4"/>
    <x v="4"/>
    <x v="8"/>
    <x v="13"/>
    <x v="28"/>
    <x v="9"/>
    <x v="2"/>
    <x v="67"/>
    <x v="16"/>
    <x v="61"/>
    <x v="1"/>
    <x v="0"/>
  </r>
  <r>
    <x v="12"/>
    <x v="224"/>
    <x v="29"/>
    <x v="3"/>
    <x v="230"/>
    <x v="431"/>
    <x v="204"/>
    <x v="4"/>
    <x v="4"/>
    <x v="8"/>
    <x v="13"/>
    <x v="28"/>
    <x v="9"/>
    <x v="2"/>
    <x v="67"/>
    <x v="16"/>
    <x v="61"/>
    <x v="1"/>
    <x v="0"/>
  </r>
  <r>
    <x v="12"/>
    <x v="55"/>
    <x v="33"/>
    <x v="22"/>
    <x v="48"/>
    <x v="1007"/>
    <x v="51"/>
    <x v="4"/>
    <x v="4"/>
    <x v="8"/>
    <x v="13"/>
    <x v="28"/>
    <x v="9"/>
    <x v="2"/>
    <x v="67"/>
    <x v="16"/>
    <x v="61"/>
    <x v="1"/>
    <x v="0"/>
  </r>
  <r>
    <x v="12"/>
    <x v="257"/>
    <x v="9"/>
    <x v="2"/>
    <x v="271"/>
    <x v="98"/>
    <x v="239"/>
    <x v="4"/>
    <x v="2"/>
    <x v="8"/>
    <x v="13"/>
    <x v="28"/>
    <x v="9"/>
    <x v="2"/>
    <x v="67"/>
    <x v="16"/>
    <x v="61"/>
    <x v="1"/>
    <x v="0"/>
  </r>
  <r>
    <x v="12"/>
    <x v="415"/>
    <x v="23"/>
    <x v="22"/>
    <x v="414"/>
    <x v="276"/>
    <x v="371"/>
    <x v="4"/>
    <x v="4"/>
    <x v="8"/>
    <x v="13"/>
    <x v="28"/>
    <x v="9"/>
    <x v="2"/>
    <x v="67"/>
    <x v="16"/>
    <x v="61"/>
    <x v="1"/>
    <x v="0"/>
  </r>
  <r>
    <x v="12"/>
    <x v="364"/>
    <x v="40"/>
    <x v="8"/>
    <x v="368"/>
    <x v="91"/>
    <x v="337"/>
    <x v="4"/>
    <x v="4"/>
    <x v="8"/>
    <x v="13"/>
    <x v="28"/>
    <x v="9"/>
    <x v="2"/>
    <x v="67"/>
    <x v="16"/>
    <x v="61"/>
    <x v="1"/>
    <x v="0"/>
  </r>
  <r>
    <x v="13"/>
    <x v="725"/>
    <x v="33"/>
    <x v="22"/>
    <x v="724"/>
    <x v="583"/>
    <x v="621"/>
    <x v="4"/>
    <x v="0"/>
    <x v="8"/>
    <x v="13"/>
    <x v="28"/>
    <x v="9"/>
    <x v="2"/>
    <x v="67"/>
    <x v="16"/>
    <x v="61"/>
    <x v="1"/>
    <x v="0"/>
  </r>
  <r>
    <x v="13"/>
    <x v="275"/>
    <x v="92"/>
    <x v="20"/>
    <x v="285"/>
    <x v="412"/>
    <x v="267"/>
    <x v="4"/>
    <x v="4"/>
    <x v="8"/>
    <x v="13"/>
    <x v="28"/>
    <x v="9"/>
    <x v="2"/>
    <x v="67"/>
    <x v="16"/>
    <x v="61"/>
    <x v="1"/>
    <x v="0"/>
  </r>
  <r>
    <x v="13"/>
    <x v="1019"/>
    <x v="33"/>
    <x v="22"/>
    <x v="1031"/>
    <x v="176"/>
    <x v="877"/>
    <x v="4"/>
    <x v="1"/>
    <x v="8"/>
    <x v="13"/>
    <x v="28"/>
    <x v="9"/>
    <x v="2"/>
    <x v="67"/>
    <x v="16"/>
    <x v="61"/>
    <x v="1"/>
    <x v="0"/>
  </r>
  <r>
    <x v="14"/>
    <x v="408"/>
    <x v="9"/>
    <x v="10"/>
    <x v="405"/>
    <x v="851"/>
    <x v="917"/>
    <x v="4"/>
    <x v="0"/>
    <x v="8"/>
    <x v="13"/>
    <x v="28"/>
    <x v="9"/>
    <x v="2"/>
    <x v="67"/>
    <x v="16"/>
    <x v="61"/>
    <x v="1"/>
    <x v="0"/>
  </r>
  <r>
    <x v="13"/>
    <x v="410"/>
    <x v="37"/>
    <x v="15"/>
    <x v="407"/>
    <x v="329"/>
    <x v="917"/>
    <x v="4"/>
    <x v="1"/>
    <x v="8"/>
    <x v="13"/>
    <x v="28"/>
    <x v="9"/>
    <x v="2"/>
    <x v="67"/>
    <x v="16"/>
    <x v="61"/>
    <x v="1"/>
    <x v="0"/>
  </r>
  <r>
    <x v="14"/>
    <x v="489"/>
    <x v="46"/>
    <x v="15"/>
    <x v="1042"/>
    <x v="675"/>
    <x v="544"/>
    <x v="4"/>
    <x v="0"/>
    <x v="8"/>
    <x v="13"/>
    <x v="28"/>
    <x v="9"/>
    <x v="2"/>
    <x v="67"/>
    <x v="16"/>
    <x v="61"/>
    <x v="1"/>
    <x v="0"/>
  </r>
  <r>
    <x v="14"/>
    <x v="702"/>
    <x v="33"/>
    <x v="22"/>
    <x v="705"/>
    <x v="719"/>
    <x v="588"/>
    <x v="4"/>
    <x v="0"/>
    <x v="8"/>
    <x v="13"/>
    <x v="28"/>
    <x v="9"/>
    <x v="2"/>
    <x v="67"/>
    <x v="16"/>
    <x v="61"/>
    <x v="1"/>
    <x v="0"/>
  </r>
  <r>
    <x v="14"/>
    <x v="831"/>
    <x v="33"/>
    <x v="11"/>
    <x v="834"/>
    <x v="938"/>
    <x v="917"/>
    <x v="4"/>
    <x v="0"/>
    <x v="8"/>
    <x v="13"/>
    <x v="28"/>
    <x v="9"/>
    <x v="2"/>
    <x v="67"/>
    <x v="16"/>
    <x v="61"/>
    <x v="1"/>
    <x v="0"/>
  </r>
  <r>
    <x v="14"/>
    <x v="828"/>
    <x v="33"/>
    <x v="11"/>
    <x v="832"/>
    <x v="359"/>
    <x v="724"/>
    <x v="4"/>
    <x v="1"/>
    <x v="0"/>
    <x v="10"/>
    <x v="20"/>
    <x v="6"/>
    <x v="2"/>
    <x v="67"/>
    <x v="16"/>
    <x v="61"/>
    <x v="1"/>
    <x v="0"/>
  </r>
  <r>
    <x v="15"/>
    <x v="769"/>
    <x v="23"/>
    <x v="1"/>
    <x v="768"/>
    <x v="194"/>
    <x v="324"/>
    <x v="4"/>
    <x v="1"/>
    <x v="8"/>
    <x v="13"/>
    <x v="28"/>
    <x v="9"/>
    <x v="2"/>
    <x v="67"/>
    <x v="16"/>
    <x v="61"/>
    <x v="1"/>
    <x v="0"/>
  </r>
  <r>
    <x v="15"/>
    <x v="798"/>
    <x v="23"/>
    <x v="6"/>
    <x v="800"/>
    <x v="15"/>
    <x v="917"/>
    <x v="4"/>
    <x v="0"/>
    <x v="8"/>
    <x v="13"/>
    <x v="28"/>
    <x v="9"/>
    <x v="2"/>
    <x v="67"/>
    <x v="16"/>
    <x v="61"/>
    <x v="1"/>
    <x v="0"/>
  </r>
  <r>
    <x v="15"/>
    <x v="37"/>
    <x v="33"/>
    <x v="22"/>
    <x v="29"/>
    <x v="673"/>
    <x v="917"/>
    <x v="4"/>
    <x v="0"/>
    <x v="8"/>
    <x v="13"/>
    <x v="28"/>
    <x v="9"/>
    <x v="2"/>
    <x v="67"/>
    <x v="16"/>
    <x v="61"/>
    <x v="1"/>
    <x v="0"/>
  </r>
  <r>
    <x v="14"/>
    <x v="518"/>
    <x v="26"/>
    <x v="3"/>
    <x v="507"/>
    <x v="558"/>
    <x v="733"/>
    <x v="4"/>
    <x v="3"/>
    <x v="8"/>
    <x v="13"/>
    <x v="28"/>
    <x v="9"/>
    <x v="2"/>
    <x v="67"/>
    <x v="16"/>
    <x v="61"/>
    <x v="1"/>
    <x v="0"/>
  </r>
  <r>
    <x v="14"/>
    <x v="815"/>
    <x v="4"/>
    <x v="15"/>
    <x v="818"/>
    <x v="439"/>
    <x v="710"/>
    <x v="4"/>
    <x v="4"/>
    <x v="8"/>
    <x v="13"/>
    <x v="28"/>
    <x v="9"/>
    <x v="2"/>
    <x v="67"/>
    <x v="16"/>
    <x v="61"/>
    <x v="1"/>
    <x v="0"/>
  </r>
  <r>
    <x v="16"/>
    <x v="805"/>
    <x v="28"/>
    <x v="22"/>
    <x v="58"/>
    <x v="969"/>
    <x v="3"/>
    <x v="4"/>
    <x v="0"/>
    <x v="8"/>
    <x v="13"/>
    <x v="28"/>
    <x v="9"/>
    <x v="2"/>
    <x v="67"/>
    <x v="16"/>
    <x v="61"/>
    <x v="1"/>
    <x v="0"/>
  </r>
  <r>
    <x v="15"/>
    <x v="248"/>
    <x v="16"/>
    <x v="15"/>
    <x v="261"/>
    <x v="766"/>
    <x v="230"/>
    <x v="4"/>
    <x v="0"/>
    <x v="8"/>
    <x v="13"/>
    <x v="28"/>
    <x v="9"/>
    <x v="2"/>
    <x v="67"/>
    <x v="16"/>
    <x v="61"/>
    <x v="1"/>
    <x v="0"/>
  </r>
  <r>
    <x v="16"/>
    <x v="661"/>
    <x v="23"/>
    <x v="1"/>
    <x v="509"/>
    <x v="418"/>
    <x v="118"/>
    <x v="4"/>
    <x v="4"/>
    <x v="8"/>
    <x v="13"/>
    <x v="28"/>
    <x v="9"/>
    <x v="2"/>
    <x v="67"/>
    <x v="16"/>
    <x v="61"/>
    <x v="1"/>
    <x v="0"/>
  </r>
  <r>
    <x v="16"/>
    <x v="519"/>
    <x v="28"/>
    <x v="22"/>
    <x v="508"/>
    <x v="637"/>
    <x v="2"/>
    <x v="4"/>
    <x v="4"/>
    <x v="8"/>
    <x v="13"/>
    <x v="28"/>
    <x v="9"/>
    <x v="2"/>
    <x v="67"/>
    <x v="16"/>
    <x v="61"/>
    <x v="1"/>
    <x v="0"/>
  </r>
  <r>
    <x v="16"/>
    <x v="682"/>
    <x v="9"/>
    <x v="10"/>
    <x v="892"/>
    <x v="8"/>
    <x v="787"/>
    <x v="4"/>
    <x v="4"/>
    <x v="8"/>
    <x v="13"/>
    <x v="28"/>
    <x v="9"/>
    <x v="2"/>
    <x v="67"/>
    <x v="16"/>
    <x v="61"/>
    <x v="1"/>
    <x v="0"/>
  </r>
  <r>
    <x v="16"/>
    <x v="940"/>
    <x v="36"/>
    <x v="10"/>
    <x v="565"/>
    <x v="692"/>
    <x v="438"/>
    <x v="4"/>
    <x v="0"/>
    <x v="8"/>
    <x v="13"/>
    <x v="28"/>
    <x v="9"/>
    <x v="2"/>
    <x v="67"/>
    <x v="16"/>
    <x v="61"/>
    <x v="1"/>
    <x v="0"/>
  </r>
  <r>
    <x v="16"/>
    <x v="190"/>
    <x v="62"/>
    <x v="15"/>
    <x v="189"/>
    <x v="460"/>
    <x v="182"/>
    <x v="4"/>
    <x v="1"/>
    <x v="8"/>
    <x v="13"/>
    <x v="28"/>
    <x v="9"/>
    <x v="2"/>
    <x v="67"/>
    <x v="16"/>
    <x v="61"/>
    <x v="1"/>
    <x v="0"/>
  </r>
  <r>
    <x v="16"/>
    <x v="905"/>
    <x v="46"/>
    <x v="1"/>
    <x v="913"/>
    <x v="104"/>
    <x v="802"/>
    <x v="4"/>
    <x v="1"/>
    <x v="8"/>
    <x v="13"/>
    <x v="28"/>
    <x v="9"/>
    <x v="2"/>
    <x v="67"/>
    <x v="16"/>
    <x v="61"/>
    <x v="1"/>
    <x v="0"/>
  </r>
  <r>
    <x v="16"/>
    <x v="1041"/>
    <x v="33"/>
    <x v="22"/>
    <x v="1055"/>
    <x v="811"/>
    <x v="908"/>
    <x v="4"/>
    <x v="0"/>
    <x v="5"/>
    <x v="11"/>
    <x v="27"/>
    <x v="0"/>
    <x v="2"/>
    <x v="67"/>
    <x v="16"/>
    <x v="61"/>
    <x v="1"/>
    <x v="0"/>
  </r>
  <r>
    <x v="16"/>
    <x v="972"/>
    <x v="83"/>
    <x v="15"/>
    <x v="1072"/>
    <x v="674"/>
    <x v="5"/>
    <x v="4"/>
    <x v="0"/>
    <x v="8"/>
    <x v="13"/>
    <x v="28"/>
    <x v="9"/>
    <x v="2"/>
    <x v="67"/>
    <x v="16"/>
    <x v="61"/>
    <x v="1"/>
    <x v="0"/>
  </r>
  <r>
    <x v="16"/>
    <x v="101"/>
    <x v="18"/>
    <x v="3"/>
    <x v="594"/>
    <x v="991"/>
    <x v="85"/>
    <x v="4"/>
    <x v="4"/>
    <x v="8"/>
    <x v="13"/>
    <x v="28"/>
    <x v="9"/>
    <x v="2"/>
    <x v="67"/>
    <x v="16"/>
    <x v="61"/>
    <x v="1"/>
    <x v="0"/>
  </r>
  <r>
    <x v="16"/>
    <x v="226"/>
    <x v="70"/>
    <x v="21"/>
    <x v="233"/>
    <x v="452"/>
    <x v="205"/>
    <x v="4"/>
    <x v="1"/>
    <x v="8"/>
    <x v="13"/>
    <x v="28"/>
    <x v="9"/>
    <x v="2"/>
    <x v="67"/>
    <x v="16"/>
    <x v="61"/>
    <x v="1"/>
    <x v="0"/>
  </r>
  <r>
    <x v="17"/>
    <x v="757"/>
    <x v="23"/>
    <x v="6"/>
    <x v="752"/>
    <x v="828"/>
    <x v="8"/>
    <x v="4"/>
    <x v="1"/>
    <x v="8"/>
    <x v="13"/>
    <x v="28"/>
    <x v="9"/>
    <x v="2"/>
    <x v="67"/>
    <x v="16"/>
    <x v="61"/>
    <x v="1"/>
    <x v="0"/>
  </r>
  <r>
    <x v="16"/>
    <x v="226"/>
    <x v="61"/>
    <x v="15"/>
    <x v="233"/>
    <x v="452"/>
    <x v="205"/>
    <x v="4"/>
    <x v="1"/>
    <x v="8"/>
    <x v="13"/>
    <x v="28"/>
    <x v="9"/>
    <x v="2"/>
    <x v="67"/>
    <x v="16"/>
    <x v="61"/>
    <x v="1"/>
    <x v="0"/>
  </r>
  <r>
    <x v="17"/>
    <x v="206"/>
    <x v="13"/>
    <x v="19"/>
    <x v="204"/>
    <x v="612"/>
    <x v="188"/>
    <x v="4"/>
    <x v="4"/>
    <x v="8"/>
    <x v="13"/>
    <x v="28"/>
    <x v="9"/>
    <x v="2"/>
    <x v="67"/>
    <x v="16"/>
    <x v="61"/>
    <x v="1"/>
    <x v="0"/>
  </r>
  <r>
    <x v="17"/>
    <x v="367"/>
    <x v="23"/>
    <x v="19"/>
    <x v="370"/>
    <x v="914"/>
    <x v="335"/>
    <x v="4"/>
    <x v="0"/>
    <x v="8"/>
    <x v="13"/>
    <x v="28"/>
    <x v="9"/>
    <x v="2"/>
    <x v="67"/>
    <x v="16"/>
    <x v="61"/>
    <x v="1"/>
    <x v="0"/>
  </r>
  <r>
    <x v="17"/>
    <x v="747"/>
    <x v="57"/>
    <x v="11"/>
    <x v="743"/>
    <x v="1025"/>
    <x v="565"/>
    <x v="4"/>
    <x v="1"/>
    <x v="8"/>
    <x v="13"/>
    <x v="28"/>
    <x v="9"/>
    <x v="2"/>
    <x v="67"/>
    <x v="16"/>
    <x v="61"/>
    <x v="1"/>
    <x v="0"/>
  </r>
  <r>
    <x v="17"/>
    <x v="887"/>
    <x v="17"/>
    <x v="3"/>
    <x v="893"/>
    <x v="1027"/>
    <x v="488"/>
    <x v="4"/>
    <x v="4"/>
    <x v="8"/>
    <x v="13"/>
    <x v="28"/>
    <x v="9"/>
    <x v="2"/>
    <x v="67"/>
    <x v="16"/>
    <x v="61"/>
    <x v="1"/>
    <x v="0"/>
  </r>
  <r>
    <x v="17"/>
    <x v="6"/>
    <x v="30"/>
    <x v="11"/>
    <x v="3"/>
    <x v="1037"/>
    <x v="15"/>
    <x v="4"/>
    <x v="4"/>
    <x v="5"/>
    <x v="11"/>
    <x v="27"/>
    <x v="0"/>
    <x v="2"/>
    <x v="67"/>
    <x v="16"/>
    <x v="61"/>
    <x v="1"/>
    <x v="0"/>
  </r>
  <r>
    <x v="17"/>
    <x v="548"/>
    <x v="77"/>
    <x v="3"/>
    <x v="541"/>
    <x v="936"/>
    <x v="469"/>
    <x v="4"/>
    <x v="1"/>
    <x v="8"/>
    <x v="13"/>
    <x v="28"/>
    <x v="9"/>
    <x v="2"/>
    <x v="67"/>
    <x v="16"/>
    <x v="61"/>
    <x v="1"/>
    <x v="0"/>
  </r>
  <r>
    <x v="17"/>
    <x v="1022"/>
    <x v="30"/>
    <x v="11"/>
    <x v="1034"/>
    <x v="999"/>
    <x v="879"/>
    <x v="4"/>
    <x v="4"/>
    <x v="8"/>
    <x v="13"/>
    <x v="28"/>
    <x v="9"/>
    <x v="2"/>
    <x v="67"/>
    <x v="16"/>
    <x v="61"/>
    <x v="1"/>
    <x v="0"/>
  </r>
  <r>
    <x v="17"/>
    <x v="349"/>
    <x v="19"/>
    <x v="3"/>
    <x v="353"/>
    <x v="199"/>
    <x v="319"/>
    <x v="4"/>
    <x v="4"/>
    <x v="5"/>
    <x v="11"/>
    <x v="27"/>
    <x v="0"/>
    <x v="2"/>
    <x v="67"/>
    <x v="16"/>
    <x v="61"/>
    <x v="1"/>
    <x v="0"/>
  </r>
  <r>
    <x v="17"/>
    <x v="452"/>
    <x v="33"/>
    <x v="22"/>
    <x v="444"/>
    <x v="288"/>
    <x v="392"/>
    <x v="4"/>
    <x v="1"/>
    <x v="5"/>
    <x v="9"/>
    <x v="25"/>
    <x v="0"/>
    <x v="2"/>
    <x v="67"/>
    <x v="16"/>
    <x v="61"/>
    <x v="1"/>
    <x v="0"/>
  </r>
  <r>
    <x v="16"/>
    <x v="840"/>
    <x v="52"/>
    <x v="20"/>
    <x v="842"/>
    <x v="283"/>
    <x v="738"/>
    <x v="4"/>
    <x v="0"/>
    <x v="8"/>
    <x v="13"/>
    <x v="28"/>
    <x v="9"/>
    <x v="2"/>
    <x v="67"/>
    <x v="16"/>
    <x v="61"/>
    <x v="1"/>
    <x v="0"/>
  </r>
  <r>
    <x v="16"/>
    <x v="514"/>
    <x v="62"/>
    <x v="23"/>
    <x v="505"/>
    <x v="1033"/>
    <x v="435"/>
    <x v="4"/>
    <x v="0"/>
    <x v="8"/>
    <x v="13"/>
    <x v="28"/>
    <x v="9"/>
    <x v="2"/>
    <x v="67"/>
    <x v="16"/>
    <x v="61"/>
    <x v="1"/>
    <x v="0"/>
  </r>
  <r>
    <x v="17"/>
    <x v="671"/>
    <x v="23"/>
    <x v="15"/>
    <x v="678"/>
    <x v="1011"/>
    <x v="590"/>
    <x v="4"/>
    <x v="1"/>
    <x v="8"/>
    <x v="13"/>
    <x v="28"/>
    <x v="9"/>
    <x v="2"/>
    <x v="67"/>
    <x v="16"/>
    <x v="61"/>
    <x v="1"/>
    <x v="0"/>
  </r>
  <r>
    <x v="18"/>
    <x v="848"/>
    <x v="18"/>
    <x v="3"/>
    <x v="852"/>
    <x v="272"/>
    <x v="755"/>
    <x v="4"/>
    <x v="1"/>
    <x v="8"/>
    <x v="13"/>
    <x v="28"/>
    <x v="9"/>
    <x v="2"/>
    <x v="67"/>
    <x v="16"/>
    <x v="61"/>
    <x v="1"/>
    <x v="0"/>
  </r>
  <r>
    <x v="17"/>
    <x v="160"/>
    <x v="52"/>
    <x v="24"/>
    <x v="282"/>
    <x v="651"/>
    <x v="251"/>
    <x v="4"/>
    <x v="4"/>
    <x v="8"/>
    <x v="13"/>
    <x v="28"/>
    <x v="9"/>
    <x v="2"/>
    <x v="67"/>
    <x v="16"/>
    <x v="61"/>
    <x v="1"/>
    <x v="0"/>
  </r>
  <r>
    <x v="18"/>
    <x v="188"/>
    <x v="68"/>
    <x v="19"/>
    <x v="187"/>
    <x v="515"/>
    <x v="2"/>
    <x v="4"/>
    <x v="4"/>
    <x v="8"/>
    <x v="13"/>
    <x v="28"/>
    <x v="9"/>
    <x v="2"/>
    <x v="67"/>
    <x v="16"/>
    <x v="61"/>
    <x v="1"/>
    <x v="0"/>
  </r>
  <r>
    <x v="17"/>
    <x v="664"/>
    <x v="104"/>
    <x v="20"/>
    <x v="671"/>
    <x v="253"/>
    <x v="581"/>
    <x v="4"/>
    <x v="0"/>
    <x v="0"/>
    <x v="10"/>
    <x v="15"/>
    <x v="6"/>
    <x v="2"/>
    <x v="67"/>
    <x v="16"/>
    <x v="61"/>
    <x v="1"/>
    <x v="0"/>
  </r>
  <r>
    <x v="18"/>
    <x v="981"/>
    <x v="59"/>
    <x v="19"/>
    <x v="592"/>
    <x v="1004"/>
    <x v="854"/>
    <x v="4"/>
    <x v="1"/>
    <x v="8"/>
    <x v="13"/>
    <x v="28"/>
    <x v="9"/>
    <x v="2"/>
    <x v="67"/>
    <x v="16"/>
    <x v="61"/>
    <x v="1"/>
    <x v="0"/>
  </r>
  <r>
    <x v="18"/>
    <x v="330"/>
    <x v="40"/>
    <x v="6"/>
    <x v="227"/>
    <x v="671"/>
    <x v="201"/>
    <x v="4"/>
    <x v="0"/>
    <x v="8"/>
    <x v="13"/>
    <x v="28"/>
    <x v="9"/>
    <x v="2"/>
    <x v="67"/>
    <x v="16"/>
    <x v="61"/>
    <x v="1"/>
    <x v="0"/>
  </r>
  <r>
    <x v="19"/>
    <x v="1070"/>
    <x v="46"/>
    <x v="15"/>
    <x v="1084"/>
    <x v="825"/>
    <x v="915"/>
    <x v="4"/>
    <x v="1"/>
    <x v="8"/>
    <x v="13"/>
    <x v="28"/>
    <x v="9"/>
    <x v="2"/>
    <x v="67"/>
    <x v="16"/>
    <x v="61"/>
    <x v="1"/>
    <x v="0"/>
  </r>
  <r>
    <x v="19"/>
    <x v="920"/>
    <x v="33"/>
    <x v="22"/>
    <x v="956"/>
    <x v="652"/>
    <x v="917"/>
    <x v="4"/>
    <x v="4"/>
    <x v="8"/>
    <x v="13"/>
    <x v="28"/>
    <x v="9"/>
    <x v="2"/>
    <x v="67"/>
    <x v="16"/>
    <x v="61"/>
    <x v="1"/>
    <x v="0"/>
  </r>
  <r>
    <x v="19"/>
    <x v="898"/>
    <x v="9"/>
    <x v="10"/>
    <x v="904"/>
    <x v="366"/>
    <x v="795"/>
    <x v="4"/>
    <x v="0"/>
    <x v="8"/>
    <x v="13"/>
    <x v="28"/>
    <x v="9"/>
    <x v="2"/>
    <x v="67"/>
    <x v="16"/>
    <x v="61"/>
    <x v="1"/>
    <x v="0"/>
  </r>
  <r>
    <x v="19"/>
    <x v="586"/>
    <x v="33"/>
    <x v="22"/>
    <x v="587"/>
    <x v="266"/>
    <x v="751"/>
    <x v="4"/>
    <x v="3"/>
    <x v="8"/>
    <x v="13"/>
    <x v="28"/>
    <x v="9"/>
    <x v="2"/>
    <x v="67"/>
    <x v="16"/>
    <x v="61"/>
    <x v="1"/>
    <x v="0"/>
  </r>
  <r>
    <x v="19"/>
    <x v="501"/>
    <x v="33"/>
    <x v="22"/>
    <x v="493"/>
    <x v="581"/>
    <x v="426"/>
    <x v="4"/>
    <x v="4"/>
    <x v="8"/>
    <x v="13"/>
    <x v="28"/>
    <x v="9"/>
    <x v="2"/>
    <x v="67"/>
    <x v="16"/>
    <x v="61"/>
    <x v="1"/>
    <x v="0"/>
  </r>
  <r>
    <x v="19"/>
    <x v="84"/>
    <x v="46"/>
    <x v="1"/>
    <x v="76"/>
    <x v="767"/>
    <x v="76"/>
    <x v="4"/>
    <x v="1"/>
    <x v="8"/>
    <x v="13"/>
    <x v="28"/>
    <x v="9"/>
    <x v="2"/>
    <x v="67"/>
    <x v="16"/>
    <x v="61"/>
    <x v="1"/>
    <x v="0"/>
  </r>
  <r>
    <x v="19"/>
    <x v="1034"/>
    <x v="28"/>
    <x v="22"/>
    <x v="1047"/>
    <x v="737"/>
    <x v="887"/>
    <x v="4"/>
    <x v="0"/>
    <x v="8"/>
    <x v="13"/>
    <x v="28"/>
    <x v="9"/>
    <x v="2"/>
    <x v="67"/>
    <x v="16"/>
    <x v="61"/>
    <x v="1"/>
    <x v="0"/>
  </r>
  <r>
    <x v="19"/>
    <x v="996"/>
    <x v="33"/>
    <x v="22"/>
    <x v="543"/>
    <x v="300"/>
    <x v="3"/>
    <x v="4"/>
    <x v="1"/>
    <x v="8"/>
    <x v="13"/>
    <x v="28"/>
    <x v="9"/>
    <x v="2"/>
    <x v="67"/>
    <x v="16"/>
    <x v="61"/>
    <x v="1"/>
    <x v="0"/>
  </r>
  <r>
    <x v="19"/>
    <x v="217"/>
    <x v="33"/>
    <x v="22"/>
    <x v="5"/>
    <x v="535"/>
    <x v="473"/>
    <x v="4"/>
    <x v="0"/>
    <x v="8"/>
    <x v="13"/>
    <x v="28"/>
    <x v="9"/>
    <x v="2"/>
    <x v="67"/>
    <x v="16"/>
    <x v="61"/>
    <x v="1"/>
    <x v="0"/>
  </r>
  <r>
    <x v="20"/>
    <x v="292"/>
    <x v="44"/>
    <x v="3"/>
    <x v="306"/>
    <x v="453"/>
    <x v="470"/>
    <x v="4"/>
    <x v="4"/>
    <x v="8"/>
    <x v="13"/>
    <x v="28"/>
    <x v="9"/>
    <x v="2"/>
    <x v="67"/>
    <x v="16"/>
    <x v="61"/>
    <x v="1"/>
    <x v="0"/>
  </r>
  <r>
    <x v="20"/>
    <x v="167"/>
    <x v="23"/>
    <x v="1"/>
    <x v="558"/>
    <x v="898"/>
    <x v="486"/>
    <x v="4"/>
    <x v="1"/>
    <x v="8"/>
    <x v="13"/>
    <x v="28"/>
    <x v="9"/>
    <x v="2"/>
    <x v="67"/>
    <x v="16"/>
    <x v="61"/>
    <x v="1"/>
    <x v="0"/>
  </r>
  <r>
    <x v="20"/>
    <x v="225"/>
    <x v="23"/>
    <x v="1"/>
    <x v="232"/>
    <x v="904"/>
    <x v="525"/>
    <x v="4"/>
    <x v="0"/>
    <x v="8"/>
    <x v="13"/>
    <x v="28"/>
    <x v="9"/>
    <x v="2"/>
    <x v="67"/>
    <x v="16"/>
    <x v="61"/>
    <x v="1"/>
    <x v="0"/>
  </r>
  <r>
    <x v="20"/>
    <x v="560"/>
    <x v="30"/>
    <x v="11"/>
    <x v="553"/>
    <x v="326"/>
    <x v="432"/>
    <x v="4"/>
    <x v="4"/>
    <x v="5"/>
    <x v="9"/>
    <x v="25"/>
    <x v="0"/>
    <x v="2"/>
    <x v="67"/>
    <x v="16"/>
    <x v="61"/>
    <x v="1"/>
    <x v="0"/>
  </r>
  <r>
    <x v="20"/>
    <x v="765"/>
    <x v="92"/>
    <x v="23"/>
    <x v="761"/>
    <x v="426"/>
    <x v="663"/>
    <x v="4"/>
    <x v="4"/>
    <x v="8"/>
    <x v="13"/>
    <x v="28"/>
    <x v="9"/>
    <x v="2"/>
    <x v="67"/>
    <x v="16"/>
    <x v="61"/>
    <x v="1"/>
    <x v="0"/>
  </r>
  <r>
    <x v="20"/>
    <x v="727"/>
    <x v="105"/>
    <x v="20"/>
    <x v="694"/>
    <x v="1048"/>
    <x v="441"/>
    <x v="2"/>
    <x v="3"/>
    <x v="8"/>
    <x v="13"/>
    <x v="28"/>
    <x v="9"/>
    <x v="2"/>
    <x v="67"/>
    <x v="16"/>
    <x v="61"/>
    <x v="1"/>
    <x v="0"/>
  </r>
  <r>
    <x v="22"/>
    <x v="175"/>
    <x v="18"/>
    <x v="3"/>
    <x v="178"/>
    <x v="110"/>
    <x v="179"/>
    <x v="4"/>
    <x v="0"/>
    <x v="8"/>
    <x v="13"/>
    <x v="28"/>
    <x v="9"/>
    <x v="2"/>
    <x v="67"/>
    <x v="16"/>
    <x v="61"/>
    <x v="1"/>
    <x v="0"/>
  </r>
  <r>
    <x v="21"/>
    <x v="923"/>
    <x v="18"/>
    <x v="3"/>
    <x v="930"/>
    <x v="277"/>
    <x v="812"/>
    <x v="4"/>
    <x v="4"/>
    <x v="8"/>
    <x v="13"/>
    <x v="28"/>
    <x v="9"/>
    <x v="2"/>
    <x v="67"/>
    <x v="16"/>
    <x v="61"/>
    <x v="1"/>
    <x v="0"/>
  </r>
  <r>
    <x v="22"/>
    <x v="904"/>
    <x v="86"/>
    <x v="20"/>
    <x v="910"/>
    <x v="852"/>
    <x v="800"/>
    <x v="4"/>
    <x v="0"/>
    <x v="8"/>
    <x v="13"/>
    <x v="28"/>
    <x v="9"/>
    <x v="2"/>
    <x v="67"/>
    <x v="16"/>
    <x v="61"/>
    <x v="1"/>
    <x v="0"/>
  </r>
  <r>
    <x v="22"/>
    <x v="12"/>
    <x v="33"/>
    <x v="1"/>
    <x v="140"/>
    <x v="853"/>
    <x v="144"/>
    <x v="4"/>
    <x v="4"/>
    <x v="8"/>
    <x v="13"/>
    <x v="28"/>
    <x v="9"/>
    <x v="2"/>
    <x v="67"/>
    <x v="16"/>
    <x v="61"/>
    <x v="1"/>
    <x v="0"/>
  </r>
  <r>
    <x v="22"/>
    <x v="588"/>
    <x v="30"/>
    <x v="11"/>
    <x v="588"/>
    <x v="27"/>
    <x v="89"/>
    <x v="4"/>
    <x v="4"/>
    <x v="8"/>
    <x v="13"/>
    <x v="28"/>
    <x v="9"/>
    <x v="2"/>
    <x v="67"/>
    <x v="16"/>
    <x v="61"/>
    <x v="1"/>
    <x v="0"/>
  </r>
  <r>
    <x v="22"/>
    <x v="346"/>
    <x v="28"/>
    <x v="22"/>
    <x v="432"/>
    <x v="672"/>
    <x v="61"/>
    <x v="4"/>
    <x v="4"/>
    <x v="5"/>
    <x v="11"/>
    <x v="27"/>
    <x v="0"/>
    <x v="2"/>
    <x v="67"/>
    <x v="16"/>
    <x v="61"/>
    <x v="1"/>
    <x v="0"/>
  </r>
  <r>
    <x v="22"/>
    <x v="886"/>
    <x v="46"/>
    <x v="15"/>
    <x v="891"/>
    <x v="387"/>
    <x v="786"/>
    <x v="4"/>
    <x v="0"/>
    <x v="8"/>
    <x v="13"/>
    <x v="28"/>
    <x v="9"/>
    <x v="2"/>
    <x v="67"/>
    <x v="16"/>
    <x v="61"/>
    <x v="1"/>
    <x v="0"/>
  </r>
  <r>
    <x v="22"/>
    <x v="858"/>
    <x v="23"/>
    <x v="15"/>
    <x v="859"/>
    <x v="661"/>
    <x v="461"/>
    <x v="4"/>
    <x v="0"/>
    <x v="8"/>
    <x v="13"/>
    <x v="28"/>
    <x v="9"/>
    <x v="2"/>
    <x v="67"/>
    <x v="16"/>
    <x v="61"/>
    <x v="1"/>
    <x v="0"/>
  </r>
  <r>
    <x v="22"/>
    <x v="867"/>
    <x v="23"/>
    <x v="1"/>
    <x v="872"/>
    <x v="1001"/>
    <x v="734"/>
    <x v="4"/>
    <x v="0"/>
    <x v="8"/>
    <x v="13"/>
    <x v="28"/>
    <x v="9"/>
    <x v="2"/>
    <x v="67"/>
    <x v="16"/>
    <x v="61"/>
    <x v="1"/>
    <x v="0"/>
  </r>
  <r>
    <x v="22"/>
    <x v="1052"/>
    <x v="38"/>
    <x v="3"/>
    <x v="767"/>
    <x v="44"/>
    <x v="2"/>
    <x v="4"/>
    <x v="1"/>
    <x v="8"/>
    <x v="13"/>
    <x v="28"/>
    <x v="9"/>
    <x v="2"/>
    <x v="67"/>
    <x v="16"/>
    <x v="61"/>
    <x v="1"/>
    <x v="0"/>
  </r>
  <r>
    <x v="22"/>
    <x v="932"/>
    <x v="52"/>
    <x v="20"/>
    <x v="939"/>
    <x v="45"/>
    <x v="2"/>
    <x v="4"/>
    <x v="4"/>
    <x v="8"/>
    <x v="13"/>
    <x v="28"/>
    <x v="9"/>
    <x v="2"/>
    <x v="67"/>
    <x v="16"/>
    <x v="61"/>
    <x v="1"/>
    <x v="0"/>
  </r>
  <r>
    <x v="22"/>
    <x v="361"/>
    <x v="104"/>
    <x v="20"/>
    <x v="365"/>
    <x v="628"/>
    <x v="327"/>
    <x v="4"/>
    <x v="3"/>
    <x v="8"/>
    <x v="13"/>
    <x v="28"/>
    <x v="9"/>
    <x v="2"/>
    <x v="67"/>
    <x v="16"/>
    <x v="61"/>
    <x v="1"/>
    <x v="0"/>
  </r>
  <r>
    <x v="22"/>
    <x v="1050"/>
    <x v="9"/>
    <x v="12"/>
    <x v="1064"/>
    <x v="461"/>
    <x v="123"/>
    <x v="4"/>
    <x v="3"/>
    <x v="8"/>
    <x v="13"/>
    <x v="28"/>
    <x v="9"/>
    <x v="2"/>
    <x v="67"/>
    <x v="16"/>
    <x v="61"/>
    <x v="1"/>
    <x v="0"/>
  </r>
  <r>
    <x v="22"/>
    <x v="579"/>
    <x v="23"/>
    <x v="15"/>
    <x v="578"/>
    <x v="707"/>
    <x v="499"/>
    <x v="4"/>
    <x v="1"/>
    <x v="8"/>
    <x v="13"/>
    <x v="28"/>
    <x v="9"/>
    <x v="2"/>
    <x v="67"/>
    <x v="16"/>
    <x v="61"/>
    <x v="1"/>
    <x v="0"/>
  </r>
  <r>
    <x v="22"/>
    <x v="773"/>
    <x v="23"/>
    <x v="15"/>
    <x v="772"/>
    <x v="322"/>
    <x v="668"/>
    <x v="4"/>
    <x v="4"/>
    <x v="8"/>
    <x v="13"/>
    <x v="28"/>
    <x v="9"/>
    <x v="2"/>
    <x v="67"/>
    <x v="16"/>
    <x v="61"/>
    <x v="1"/>
    <x v="0"/>
  </r>
  <r>
    <x v="22"/>
    <x v="939"/>
    <x v="59"/>
    <x v="19"/>
    <x v="949"/>
    <x v="595"/>
    <x v="824"/>
    <x v="4"/>
    <x v="4"/>
    <x v="5"/>
    <x v="11"/>
    <x v="27"/>
    <x v="0"/>
    <x v="2"/>
    <x v="67"/>
    <x v="16"/>
    <x v="61"/>
    <x v="1"/>
    <x v="0"/>
  </r>
  <r>
    <x v="22"/>
    <x v="307"/>
    <x v="33"/>
    <x v="22"/>
    <x v="321"/>
    <x v="626"/>
    <x v="216"/>
    <x v="4"/>
    <x v="4"/>
    <x v="8"/>
    <x v="13"/>
    <x v="28"/>
    <x v="9"/>
    <x v="2"/>
    <x v="67"/>
    <x v="16"/>
    <x v="61"/>
    <x v="1"/>
    <x v="0"/>
  </r>
  <r>
    <x v="22"/>
    <x v="579"/>
    <x v="23"/>
    <x v="15"/>
    <x v="578"/>
    <x v="707"/>
    <x v="499"/>
    <x v="4"/>
    <x v="1"/>
    <x v="8"/>
    <x v="13"/>
    <x v="28"/>
    <x v="9"/>
    <x v="2"/>
    <x v="67"/>
    <x v="16"/>
    <x v="61"/>
    <x v="1"/>
    <x v="0"/>
  </r>
  <r>
    <x v="20"/>
    <x v="992"/>
    <x v="23"/>
    <x v="1"/>
    <x v="1006"/>
    <x v="298"/>
    <x v="864"/>
    <x v="4"/>
    <x v="3"/>
    <x v="8"/>
    <x v="13"/>
    <x v="28"/>
    <x v="9"/>
    <x v="2"/>
    <x v="67"/>
    <x v="16"/>
    <x v="61"/>
    <x v="1"/>
    <x v="0"/>
  </r>
  <r>
    <x v="22"/>
    <x v="1035"/>
    <x v="16"/>
    <x v="3"/>
    <x v="1049"/>
    <x v="678"/>
    <x v="890"/>
    <x v="4"/>
    <x v="0"/>
    <x v="0"/>
    <x v="10"/>
    <x v="14"/>
    <x v="6"/>
    <x v="2"/>
    <x v="67"/>
    <x v="16"/>
    <x v="61"/>
    <x v="1"/>
    <x v="0"/>
  </r>
  <r>
    <x v="22"/>
    <x v="1035"/>
    <x v="30"/>
    <x v="21"/>
    <x v="1049"/>
    <x v="678"/>
    <x v="890"/>
    <x v="4"/>
    <x v="0"/>
    <x v="8"/>
    <x v="13"/>
    <x v="28"/>
    <x v="9"/>
    <x v="2"/>
    <x v="67"/>
    <x v="16"/>
    <x v="61"/>
    <x v="1"/>
    <x v="0"/>
  </r>
  <r>
    <x v="22"/>
    <x v="1035"/>
    <x v="23"/>
    <x v="1"/>
    <x v="1049"/>
    <x v="678"/>
    <x v="890"/>
    <x v="4"/>
    <x v="0"/>
    <x v="8"/>
    <x v="13"/>
    <x v="28"/>
    <x v="9"/>
    <x v="2"/>
    <x v="67"/>
    <x v="16"/>
    <x v="61"/>
    <x v="1"/>
    <x v="0"/>
  </r>
  <r>
    <x v="23"/>
    <x v="658"/>
    <x v="30"/>
    <x v="11"/>
    <x v="536"/>
    <x v="78"/>
    <x v="460"/>
    <x v="4"/>
    <x v="0"/>
    <x v="8"/>
    <x v="13"/>
    <x v="28"/>
    <x v="9"/>
    <x v="2"/>
    <x v="67"/>
    <x v="16"/>
    <x v="61"/>
    <x v="1"/>
    <x v="0"/>
  </r>
  <r>
    <x v="23"/>
    <x v="492"/>
    <x v="33"/>
    <x v="22"/>
    <x v="482"/>
    <x v="738"/>
    <x v="36"/>
    <x v="4"/>
    <x v="3"/>
    <x v="8"/>
    <x v="13"/>
    <x v="28"/>
    <x v="9"/>
    <x v="2"/>
    <x v="67"/>
    <x v="16"/>
    <x v="61"/>
    <x v="1"/>
    <x v="0"/>
  </r>
  <r>
    <x v="23"/>
    <x v="936"/>
    <x v="9"/>
    <x v="10"/>
    <x v="946"/>
    <x v="164"/>
    <x v="2"/>
    <x v="4"/>
    <x v="4"/>
    <x v="8"/>
    <x v="13"/>
    <x v="28"/>
    <x v="9"/>
    <x v="2"/>
    <x v="67"/>
    <x v="16"/>
    <x v="61"/>
    <x v="1"/>
    <x v="0"/>
  </r>
  <r>
    <x v="23"/>
    <x v="980"/>
    <x v="13"/>
    <x v="1"/>
    <x v="996"/>
    <x v="546"/>
    <x v="853"/>
    <x v="4"/>
    <x v="4"/>
    <x v="8"/>
    <x v="13"/>
    <x v="28"/>
    <x v="9"/>
    <x v="2"/>
    <x v="67"/>
    <x v="16"/>
    <x v="61"/>
    <x v="1"/>
    <x v="0"/>
  </r>
  <r>
    <x v="23"/>
    <x v="152"/>
    <x v="23"/>
    <x v="15"/>
    <x v="148"/>
    <x v="748"/>
    <x v="147"/>
    <x v="4"/>
    <x v="4"/>
    <x v="8"/>
    <x v="13"/>
    <x v="28"/>
    <x v="9"/>
    <x v="2"/>
    <x v="67"/>
    <x v="16"/>
    <x v="61"/>
    <x v="1"/>
    <x v="0"/>
  </r>
  <r>
    <x v="24"/>
    <x v="899"/>
    <x v="42"/>
    <x v="6"/>
    <x v="905"/>
    <x v="144"/>
    <x v="746"/>
    <x v="2"/>
    <x v="4"/>
    <x v="8"/>
    <x v="13"/>
    <x v="28"/>
    <x v="9"/>
    <x v="2"/>
    <x v="67"/>
    <x v="16"/>
    <x v="61"/>
    <x v="1"/>
    <x v="0"/>
  </r>
  <r>
    <x v="23"/>
    <x v="269"/>
    <x v="33"/>
    <x v="22"/>
    <x v="281"/>
    <x v="59"/>
    <x v="250"/>
    <x v="2"/>
    <x v="1"/>
    <x v="8"/>
    <x v="13"/>
    <x v="28"/>
    <x v="9"/>
    <x v="2"/>
    <x v="67"/>
    <x v="16"/>
    <x v="61"/>
    <x v="1"/>
    <x v="0"/>
  </r>
  <r>
    <x v="23"/>
    <x v="1029"/>
    <x v="18"/>
    <x v="1"/>
    <x v="1040"/>
    <x v="878"/>
    <x v="882"/>
    <x v="2"/>
    <x v="3"/>
    <x v="8"/>
    <x v="13"/>
    <x v="28"/>
    <x v="9"/>
    <x v="2"/>
    <x v="67"/>
    <x v="16"/>
    <x v="61"/>
    <x v="1"/>
    <x v="0"/>
  </r>
  <r>
    <x v="24"/>
    <x v="387"/>
    <x v="69"/>
    <x v="1"/>
    <x v="767"/>
    <x v="940"/>
    <x v="837"/>
    <x v="2"/>
    <x v="1"/>
    <x v="8"/>
    <x v="13"/>
    <x v="28"/>
    <x v="9"/>
    <x v="2"/>
    <x v="67"/>
    <x v="16"/>
    <x v="61"/>
    <x v="1"/>
    <x v="0"/>
  </r>
  <r>
    <x v="24"/>
    <x v="287"/>
    <x v="23"/>
    <x v="15"/>
    <x v="300"/>
    <x v="458"/>
    <x v="261"/>
    <x v="2"/>
    <x v="4"/>
    <x v="8"/>
    <x v="13"/>
    <x v="28"/>
    <x v="9"/>
    <x v="2"/>
    <x v="67"/>
    <x v="16"/>
    <x v="61"/>
    <x v="1"/>
    <x v="0"/>
  </r>
  <r>
    <x v="24"/>
    <x v="948"/>
    <x v="23"/>
    <x v="6"/>
    <x v="960"/>
    <x v="569"/>
    <x v="737"/>
    <x v="2"/>
    <x v="0"/>
    <x v="8"/>
    <x v="13"/>
    <x v="28"/>
    <x v="9"/>
    <x v="2"/>
    <x v="67"/>
    <x v="16"/>
    <x v="61"/>
    <x v="1"/>
    <x v="0"/>
  </r>
  <r>
    <x v="24"/>
    <x v="831"/>
    <x v="23"/>
    <x v="1"/>
    <x v="834"/>
    <x v="938"/>
    <x v="725"/>
    <x v="2"/>
    <x v="0"/>
    <x v="8"/>
    <x v="13"/>
    <x v="28"/>
    <x v="9"/>
    <x v="2"/>
    <x v="67"/>
    <x v="16"/>
    <x v="61"/>
    <x v="1"/>
    <x v="0"/>
  </r>
  <r>
    <x v="24"/>
    <x v="983"/>
    <x v="59"/>
    <x v="21"/>
    <x v="998"/>
    <x v="213"/>
    <x v="474"/>
    <x v="2"/>
    <x v="0"/>
    <x v="8"/>
    <x v="13"/>
    <x v="28"/>
    <x v="9"/>
    <x v="2"/>
    <x v="67"/>
    <x v="16"/>
    <x v="61"/>
    <x v="1"/>
    <x v="0"/>
  </r>
  <r>
    <x v="24"/>
    <x v="425"/>
    <x v="62"/>
    <x v="1"/>
    <x v="1051"/>
    <x v="703"/>
    <x v="154"/>
    <x v="2"/>
    <x v="0"/>
    <x v="1"/>
    <x v="13"/>
    <x v="28"/>
    <x v="9"/>
    <x v="2"/>
    <x v="67"/>
    <x v="16"/>
    <x v="61"/>
    <x v="1"/>
    <x v="0"/>
  </r>
  <r>
    <x v="24"/>
    <x v="425"/>
    <x v="33"/>
    <x v="6"/>
    <x v="1051"/>
    <x v="703"/>
    <x v="154"/>
    <x v="2"/>
    <x v="0"/>
    <x v="8"/>
    <x v="13"/>
    <x v="28"/>
    <x v="9"/>
    <x v="2"/>
    <x v="67"/>
    <x v="16"/>
    <x v="61"/>
    <x v="1"/>
    <x v="0"/>
  </r>
  <r>
    <x v="24"/>
    <x v="319"/>
    <x v="62"/>
    <x v="1"/>
    <x v="298"/>
    <x v="12"/>
    <x v="260"/>
    <x v="2"/>
    <x v="4"/>
    <x v="8"/>
    <x v="13"/>
    <x v="28"/>
    <x v="9"/>
    <x v="2"/>
    <x v="67"/>
    <x v="16"/>
    <x v="61"/>
    <x v="1"/>
    <x v="0"/>
  </r>
  <r>
    <x v="24"/>
    <x v="966"/>
    <x v="23"/>
    <x v="12"/>
    <x v="979"/>
    <x v="79"/>
    <x v="654"/>
    <x v="2"/>
    <x v="4"/>
    <x v="8"/>
    <x v="13"/>
    <x v="28"/>
    <x v="9"/>
    <x v="2"/>
    <x v="67"/>
    <x v="16"/>
    <x v="61"/>
    <x v="1"/>
    <x v="0"/>
  </r>
  <r>
    <x v="24"/>
    <x v="747"/>
    <x v="46"/>
    <x v="19"/>
    <x v="743"/>
    <x v="577"/>
    <x v="565"/>
    <x v="2"/>
    <x v="1"/>
    <x v="8"/>
    <x v="13"/>
    <x v="28"/>
    <x v="9"/>
    <x v="2"/>
    <x v="67"/>
    <x v="16"/>
    <x v="61"/>
    <x v="1"/>
    <x v="0"/>
  </r>
  <r>
    <x v="24"/>
    <x v="931"/>
    <x v="40"/>
    <x v="1"/>
    <x v="938"/>
    <x v="29"/>
    <x v="35"/>
    <x v="2"/>
    <x v="1"/>
    <x v="8"/>
    <x v="13"/>
    <x v="28"/>
    <x v="9"/>
    <x v="2"/>
    <x v="67"/>
    <x v="16"/>
    <x v="61"/>
    <x v="1"/>
    <x v="0"/>
  </r>
  <r>
    <x v="24"/>
    <x v="1058"/>
    <x v="33"/>
    <x v="22"/>
    <x v="1068"/>
    <x v="304"/>
    <x v="340"/>
    <x v="2"/>
    <x v="1"/>
    <x v="8"/>
    <x v="13"/>
    <x v="28"/>
    <x v="9"/>
    <x v="2"/>
    <x v="67"/>
    <x v="16"/>
    <x v="61"/>
    <x v="1"/>
    <x v="0"/>
  </r>
  <r>
    <x v="24"/>
    <x v="494"/>
    <x v="92"/>
    <x v="24"/>
    <x v="484"/>
    <x v="138"/>
    <x v="417"/>
    <x v="2"/>
    <x v="3"/>
    <x v="8"/>
    <x v="13"/>
    <x v="28"/>
    <x v="9"/>
    <x v="2"/>
    <x v="67"/>
    <x v="16"/>
    <x v="61"/>
    <x v="1"/>
    <x v="0"/>
  </r>
  <r>
    <x v="22"/>
    <x v="933"/>
    <x v="14"/>
    <x v="9"/>
    <x v="942"/>
    <x v="1020"/>
    <x v="605"/>
    <x v="2"/>
    <x v="0"/>
    <x v="8"/>
    <x v="13"/>
    <x v="28"/>
    <x v="9"/>
    <x v="2"/>
    <x v="67"/>
    <x v="16"/>
    <x v="61"/>
    <x v="1"/>
    <x v="0"/>
  </r>
  <r>
    <x v="23"/>
    <x v="1035"/>
    <x v="16"/>
    <x v="1"/>
    <x v="1049"/>
    <x v="678"/>
    <x v="890"/>
    <x v="2"/>
    <x v="0"/>
    <x v="8"/>
    <x v="13"/>
    <x v="28"/>
    <x v="9"/>
    <x v="2"/>
    <x v="67"/>
    <x v="16"/>
    <x v="61"/>
    <x v="1"/>
    <x v="0"/>
  </r>
  <r>
    <x v="23"/>
    <x v="777"/>
    <x v="46"/>
    <x v="1"/>
    <x v="1083"/>
    <x v="500"/>
    <x v="914"/>
    <x v="2"/>
    <x v="4"/>
    <x v="8"/>
    <x v="13"/>
    <x v="28"/>
    <x v="9"/>
    <x v="2"/>
    <x v="67"/>
    <x v="16"/>
    <x v="61"/>
    <x v="1"/>
    <x v="0"/>
  </r>
  <r>
    <x v="24"/>
    <x v="401"/>
    <x v="21"/>
    <x v="23"/>
    <x v="400"/>
    <x v="467"/>
    <x v="303"/>
    <x v="2"/>
    <x v="3"/>
    <x v="8"/>
    <x v="13"/>
    <x v="28"/>
    <x v="9"/>
    <x v="2"/>
    <x v="67"/>
    <x v="16"/>
    <x v="61"/>
    <x v="1"/>
    <x v="0"/>
  </r>
  <r>
    <x v="24"/>
    <x v="20"/>
    <x v="19"/>
    <x v="3"/>
    <x v="479"/>
    <x v="150"/>
    <x v="603"/>
    <x v="2"/>
    <x v="4"/>
    <x v="8"/>
    <x v="13"/>
    <x v="28"/>
    <x v="9"/>
    <x v="2"/>
    <x v="67"/>
    <x v="16"/>
    <x v="61"/>
    <x v="1"/>
    <x v="0"/>
  </r>
  <r>
    <x v="24"/>
    <x v="643"/>
    <x v="28"/>
    <x v="22"/>
    <x v="404"/>
    <x v="5"/>
    <x v="362"/>
    <x v="2"/>
    <x v="4"/>
    <x v="8"/>
    <x v="13"/>
    <x v="28"/>
    <x v="9"/>
    <x v="2"/>
    <x v="67"/>
    <x v="16"/>
    <x v="61"/>
    <x v="1"/>
    <x v="0"/>
  </r>
  <r>
    <x v="24"/>
    <x v="5"/>
    <x v="3"/>
    <x v="12"/>
    <x v="1019"/>
    <x v="231"/>
    <x v="2"/>
    <x v="2"/>
    <x v="4"/>
    <x v="8"/>
    <x v="13"/>
    <x v="28"/>
    <x v="9"/>
    <x v="2"/>
    <x v="67"/>
    <x v="16"/>
    <x v="61"/>
    <x v="1"/>
    <x v="0"/>
  </r>
  <r>
    <x v="24"/>
    <x v="938"/>
    <x v="18"/>
    <x v="3"/>
    <x v="60"/>
    <x v="727"/>
    <x v="54"/>
    <x v="2"/>
    <x v="0"/>
    <x v="8"/>
    <x v="13"/>
    <x v="28"/>
    <x v="9"/>
    <x v="2"/>
    <x v="67"/>
    <x v="16"/>
    <x v="61"/>
    <x v="1"/>
    <x v="0"/>
  </r>
  <r>
    <x v="24"/>
    <x v="845"/>
    <x v="14"/>
    <x v="15"/>
    <x v="848"/>
    <x v="829"/>
    <x v="745"/>
    <x v="2"/>
    <x v="1"/>
    <x v="5"/>
    <x v="11"/>
    <x v="27"/>
    <x v="0"/>
    <x v="2"/>
    <x v="67"/>
    <x v="16"/>
    <x v="61"/>
    <x v="1"/>
    <x v="0"/>
  </r>
  <r>
    <x v="25"/>
    <x v="182"/>
    <x v="74"/>
    <x v="23"/>
    <x v="927"/>
    <x v="840"/>
    <x v="5"/>
    <x v="2"/>
    <x v="1"/>
    <x v="8"/>
    <x v="13"/>
    <x v="28"/>
    <x v="9"/>
    <x v="2"/>
    <x v="67"/>
    <x v="16"/>
    <x v="61"/>
    <x v="1"/>
    <x v="0"/>
  </r>
  <r>
    <x v="25"/>
    <x v="611"/>
    <x v="75"/>
    <x v="23"/>
    <x v="618"/>
    <x v="383"/>
    <x v="526"/>
    <x v="2"/>
    <x v="1"/>
    <x v="8"/>
    <x v="13"/>
    <x v="28"/>
    <x v="9"/>
    <x v="2"/>
    <x v="67"/>
    <x v="16"/>
    <x v="61"/>
    <x v="1"/>
    <x v="0"/>
  </r>
  <r>
    <x v="24"/>
    <x v="121"/>
    <x v="23"/>
    <x v="1"/>
    <x v="1074"/>
    <x v="67"/>
    <x v="905"/>
    <x v="2"/>
    <x v="1"/>
    <x v="5"/>
    <x v="9"/>
    <x v="25"/>
    <x v="0"/>
    <x v="2"/>
    <x v="67"/>
    <x v="16"/>
    <x v="61"/>
    <x v="1"/>
    <x v="0"/>
  </r>
  <r>
    <x v="25"/>
    <x v="242"/>
    <x v="30"/>
    <x v="19"/>
    <x v="255"/>
    <x v="989"/>
    <x v="757"/>
    <x v="2"/>
    <x v="4"/>
    <x v="8"/>
    <x v="13"/>
    <x v="28"/>
    <x v="9"/>
    <x v="0"/>
    <x v="67"/>
    <x v="16"/>
    <x v="61"/>
    <x v="1"/>
    <x v="0"/>
  </r>
  <r>
    <x v="25"/>
    <x v="773"/>
    <x v="30"/>
    <x v="11"/>
    <x v="772"/>
    <x v="322"/>
    <x v="668"/>
    <x v="2"/>
    <x v="4"/>
    <x v="8"/>
    <x v="13"/>
    <x v="28"/>
    <x v="9"/>
    <x v="2"/>
    <x v="67"/>
    <x v="16"/>
    <x v="61"/>
    <x v="1"/>
    <x v="0"/>
  </r>
  <r>
    <x v="26"/>
    <x v="869"/>
    <x v="59"/>
    <x v="15"/>
    <x v="452"/>
    <x v="1003"/>
    <x v="329"/>
    <x v="2"/>
    <x v="0"/>
    <x v="8"/>
    <x v="13"/>
    <x v="28"/>
    <x v="9"/>
    <x v="2"/>
    <x v="67"/>
    <x v="16"/>
    <x v="61"/>
    <x v="1"/>
    <x v="0"/>
  </r>
  <r>
    <x v="26"/>
    <x v="636"/>
    <x v="46"/>
    <x v="15"/>
    <x v="643"/>
    <x v="313"/>
    <x v="235"/>
    <x v="2"/>
    <x v="0"/>
    <x v="8"/>
    <x v="13"/>
    <x v="28"/>
    <x v="9"/>
    <x v="2"/>
    <x v="67"/>
    <x v="16"/>
    <x v="61"/>
    <x v="1"/>
    <x v="0"/>
  </r>
  <r>
    <x v="26"/>
    <x v="546"/>
    <x v="30"/>
    <x v="11"/>
    <x v="539"/>
    <x v="248"/>
    <x v="465"/>
    <x v="2"/>
    <x v="0"/>
    <x v="8"/>
    <x v="13"/>
    <x v="28"/>
    <x v="9"/>
    <x v="2"/>
    <x v="67"/>
    <x v="16"/>
    <x v="61"/>
    <x v="1"/>
    <x v="0"/>
  </r>
  <r>
    <x v="26"/>
    <x v="791"/>
    <x v="33"/>
    <x v="22"/>
    <x v="793"/>
    <x v="599"/>
    <x v="555"/>
    <x v="2"/>
    <x v="4"/>
    <x v="8"/>
    <x v="13"/>
    <x v="28"/>
    <x v="9"/>
    <x v="2"/>
    <x v="67"/>
    <x v="16"/>
    <x v="61"/>
    <x v="1"/>
    <x v="0"/>
  </r>
  <r>
    <x v="27"/>
    <x v="556"/>
    <x v="46"/>
    <x v="1"/>
    <x v="549"/>
    <x v="563"/>
    <x v="100"/>
    <x v="2"/>
    <x v="1"/>
    <x v="8"/>
    <x v="13"/>
    <x v="28"/>
    <x v="9"/>
    <x v="2"/>
    <x v="67"/>
    <x v="16"/>
    <x v="61"/>
    <x v="1"/>
    <x v="0"/>
  </r>
  <r>
    <x v="27"/>
    <x v="185"/>
    <x v="46"/>
    <x v="1"/>
    <x v="319"/>
    <x v="371"/>
    <x v="181"/>
    <x v="2"/>
    <x v="1"/>
    <x v="5"/>
    <x v="9"/>
    <x v="25"/>
    <x v="0"/>
    <x v="2"/>
    <x v="67"/>
    <x v="16"/>
    <x v="61"/>
    <x v="1"/>
    <x v="0"/>
  </r>
  <r>
    <x v="26"/>
    <x v="144"/>
    <x v="3"/>
    <x v="12"/>
    <x v="880"/>
    <x v="9"/>
    <x v="781"/>
    <x v="2"/>
    <x v="1"/>
    <x v="8"/>
    <x v="13"/>
    <x v="28"/>
    <x v="9"/>
    <x v="2"/>
    <x v="67"/>
    <x v="16"/>
    <x v="61"/>
    <x v="1"/>
    <x v="0"/>
  </r>
  <r>
    <x v="25"/>
    <x v="113"/>
    <x v="2"/>
    <x v="12"/>
    <x v="104"/>
    <x v="755"/>
    <x v="68"/>
    <x v="2"/>
    <x v="3"/>
    <x v="8"/>
    <x v="13"/>
    <x v="28"/>
    <x v="9"/>
    <x v="2"/>
    <x v="67"/>
    <x v="16"/>
    <x v="61"/>
    <x v="1"/>
    <x v="0"/>
  </r>
  <r>
    <x v="26"/>
    <x v="821"/>
    <x v="92"/>
    <x v="23"/>
    <x v="825"/>
    <x v="553"/>
    <x v="677"/>
    <x v="2"/>
    <x v="4"/>
    <x v="8"/>
    <x v="13"/>
    <x v="28"/>
    <x v="9"/>
    <x v="2"/>
    <x v="67"/>
    <x v="16"/>
    <x v="61"/>
    <x v="1"/>
    <x v="0"/>
  </r>
  <r>
    <x v="27"/>
    <x v="166"/>
    <x v="28"/>
    <x v="22"/>
    <x v="164"/>
    <x v="417"/>
    <x v="158"/>
    <x v="2"/>
    <x v="0"/>
    <x v="8"/>
    <x v="13"/>
    <x v="28"/>
    <x v="9"/>
    <x v="2"/>
    <x v="67"/>
    <x v="16"/>
    <x v="61"/>
    <x v="1"/>
    <x v="0"/>
  </r>
  <r>
    <x v="27"/>
    <x v="120"/>
    <x v="5"/>
    <x v="19"/>
    <x v="115"/>
    <x v="386"/>
    <x v="101"/>
    <x v="2"/>
    <x v="2"/>
    <x v="8"/>
    <x v="13"/>
    <x v="28"/>
    <x v="9"/>
    <x v="2"/>
    <x v="67"/>
    <x v="16"/>
    <x v="61"/>
    <x v="1"/>
    <x v="0"/>
  </r>
  <r>
    <x v="27"/>
    <x v="35"/>
    <x v="33"/>
    <x v="22"/>
    <x v="27"/>
    <x v="725"/>
    <x v="636"/>
    <x v="2"/>
    <x v="1"/>
    <x v="8"/>
    <x v="13"/>
    <x v="28"/>
    <x v="9"/>
    <x v="2"/>
    <x v="67"/>
    <x v="16"/>
    <x v="61"/>
    <x v="1"/>
    <x v="0"/>
  </r>
  <r>
    <x v="27"/>
    <x v="503"/>
    <x v="33"/>
    <x v="22"/>
    <x v="1079"/>
    <x v="169"/>
    <x v="2"/>
    <x v="2"/>
    <x v="0"/>
    <x v="8"/>
    <x v="13"/>
    <x v="28"/>
    <x v="9"/>
    <x v="2"/>
    <x v="67"/>
    <x v="16"/>
    <x v="61"/>
    <x v="1"/>
    <x v="0"/>
  </r>
  <r>
    <x v="29"/>
    <x v="294"/>
    <x v="28"/>
    <x v="22"/>
    <x v="308"/>
    <x v="438"/>
    <x v="265"/>
    <x v="2"/>
    <x v="0"/>
    <x v="8"/>
    <x v="13"/>
    <x v="28"/>
    <x v="9"/>
    <x v="2"/>
    <x v="67"/>
    <x v="16"/>
    <x v="61"/>
    <x v="2"/>
    <x v="0"/>
  </r>
  <r>
    <x v="28"/>
    <x v="250"/>
    <x v="59"/>
    <x v="19"/>
    <x v="263"/>
    <x v="616"/>
    <x v="9"/>
    <x v="2"/>
    <x v="4"/>
    <x v="8"/>
    <x v="13"/>
    <x v="28"/>
    <x v="9"/>
    <x v="2"/>
    <x v="67"/>
    <x v="16"/>
    <x v="61"/>
    <x v="2"/>
    <x v="0"/>
  </r>
  <r>
    <x v="29"/>
    <x v="595"/>
    <x v="23"/>
    <x v="12"/>
    <x v="598"/>
    <x v="1017"/>
    <x v="116"/>
    <x v="2"/>
    <x v="1"/>
    <x v="8"/>
    <x v="13"/>
    <x v="28"/>
    <x v="9"/>
    <x v="0"/>
    <x v="67"/>
    <x v="16"/>
    <x v="61"/>
    <x v="2"/>
    <x v="0"/>
  </r>
  <r>
    <x v="29"/>
    <x v="1039"/>
    <x v="18"/>
    <x v="3"/>
    <x v="1053"/>
    <x v="477"/>
    <x v="895"/>
    <x v="2"/>
    <x v="1"/>
    <x v="8"/>
    <x v="13"/>
    <x v="28"/>
    <x v="9"/>
    <x v="0"/>
    <x v="67"/>
    <x v="16"/>
    <x v="61"/>
    <x v="2"/>
    <x v="0"/>
  </r>
  <r>
    <x v="29"/>
    <x v="423"/>
    <x v="39"/>
    <x v="14"/>
    <x v="487"/>
    <x v="323"/>
    <x v="423"/>
    <x v="2"/>
    <x v="3"/>
    <x v="8"/>
    <x v="13"/>
    <x v="28"/>
    <x v="9"/>
    <x v="1"/>
    <x v="67"/>
    <x v="16"/>
    <x v="61"/>
    <x v="2"/>
    <x v="0"/>
  </r>
  <r>
    <x v="29"/>
    <x v="547"/>
    <x v="11"/>
    <x v="19"/>
    <x v="540"/>
    <x v="526"/>
    <x v="468"/>
    <x v="2"/>
    <x v="1"/>
    <x v="8"/>
    <x v="13"/>
    <x v="28"/>
    <x v="9"/>
    <x v="0"/>
    <x v="67"/>
    <x v="16"/>
    <x v="61"/>
    <x v="2"/>
    <x v="0"/>
  </r>
  <r>
    <x v="30"/>
    <x v="951"/>
    <x v="38"/>
    <x v="3"/>
    <x v="962"/>
    <x v="174"/>
    <x v="831"/>
    <x v="2"/>
    <x v="4"/>
    <x v="8"/>
    <x v="13"/>
    <x v="28"/>
    <x v="9"/>
    <x v="0"/>
    <x v="67"/>
    <x v="16"/>
    <x v="61"/>
    <x v="2"/>
    <x v="0"/>
  </r>
  <r>
    <x v="29"/>
    <x v="894"/>
    <x v="39"/>
    <x v="8"/>
    <x v="900"/>
    <x v="966"/>
    <x v="793"/>
    <x v="2"/>
    <x v="1"/>
    <x v="8"/>
    <x v="13"/>
    <x v="28"/>
    <x v="9"/>
    <x v="0"/>
    <x v="67"/>
    <x v="16"/>
    <x v="61"/>
    <x v="2"/>
    <x v="0"/>
  </r>
  <r>
    <x v="30"/>
    <x v="67"/>
    <x v="30"/>
    <x v="21"/>
    <x v="59"/>
    <x v="969"/>
    <x v="3"/>
    <x v="2"/>
    <x v="3"/>
    <x v="8"/>
    <x v="13"/>
    <x v="28"/>
    <x v="9"/>
    <x v="1"/>
    <x v="67"/>
    <x v="16"/>
    <x v="61"/>
    <x v="2"/>
    <x v="0"/>
  </r>
  <r>
    <x v="30"/>
    <x v="263"/>
    <x v="30"/>
    <x v="11"/>
    <x v="275"/>
    <x v="900"/>
    <x v="246"/>
    <x v="2"/>
    <x v="1"/>
    <x v="8"/>
    <x v="13"/>
    <x v="28"/>
    <x v="9"/>
    <x v="0"/>
    <x v="67"/>
    <x v="16"/>
    <x v="61"/>
    <x v="2"/>
    <x v="0"/>
  </r>
  <r>
    <x v="30"/>
    <x v="67"/>
    <x v="23"/>
    <x v="1"/>
    <x v="59"/>
    <x v="969"/>
    <x v="3"/>
    <x v="2"/>
    <x v="3"/>
    <x v="8"/>
    <x v="13"/>
    <x v="28"/>
    <x v="9"/>
    <x v="1"/>
    <x v="67"/>
    <x v="16"/>
    <x v="61"/>
    <x v="2"/>
    <x v="0"/>
  </r>
  <r>
    <x v="30"/>
    <x v="662"/>
    <x v="23"/>
    <x v="1"/>
    <x v="548"/>
    <x v="624"/>
    <x v="328"/>
    <x v="2"/>
    <x v="1"/>
    <x v="8"/>
    <x v="13"/>
    <x v="28"/>
    <x v="9"/>
    <x v="0"/>
    <x v="67"/>
    <x v="16"/>
    <x v="61"/>
    <x v="2"/>
    <x v="0"/>
  </r>
  <r>
    <x v="30"/>
    <x v="511"/>
    <x v="33"/>
    <x v="22"/>
    <x v="500"/>
    <x v="765"/>
    <x v="425"/>
    <x v="2"/>
    <x v="1"/>
    <x v="5"/>
    <x v="0"/>
    <x v="28"/>
    <x v="0"/>
    <x v="0"/>
    <x v="67"/>
    <x v="16"/>
    <x v="61"/>
    <x v="2"/>
    <x v="0"/>
  </r>
  <r>
    <x v="30"/>
    <x v="396"/>
    <x v="33"/>
    <x v="22"/>
    <x v="311"/>
    <x v="835"/>
    <x v="2"/>
    <x v="2"/>
    <x v="4"/>
    <x v="5"/>
    <x v="11"/>
    <x v="27"/>
    <x v="0"/>
    <x v="0"/>
    <x v="67"/>
    <x v="16"/>
    <x v="61"/>
    <x v="2"/>
    <x v="0"/>
  </r>
  <r>
    <x v="30"/>
    <x v="836"/>
    <x v="30"/>
    <x v="11"/>
    <x v="841"/>
    <x v="963"/>
    <x v="747"/>
    <x v="2"/>
    <x v="1"/>
    <x v="8"/>
    <x v="13"/>
    <x v="28"/>
    <x v="9"/>
    <x v="0"/>
    <x v="67"/>
    <x v="16"/>
    <x v="61"/>
    <x v="2"/>
    <x v="0"/>
  </r>
  <r>
    <x v="30"/>
    <x v="405"/>
    <x v="38"/>
    <x v="3"/>
    <x v="950"/>
    <x v="660"/>
    <x v="153"/>
    <x v="2"/>
    <x v="1"/>
    <x v="8"/>
    <x v="13"/>
    <x v="28"/>
    <x v="9"/>
    <x v="0"/>
    <x v="67"/>
    <x v="16"/>
    <x v="61"/>
    <x v="2"/>
    <x v="0"/>
  </r>
  <r>
    <x v="30"/>
    <x v="853"/>
    <x v="9"/>
    <x v="12"/>
    <x v="857"/>
    <x v="812"/>
    <x v="765"/>
    <x v="2"/>
    <x v="4"/>
    <x v="8"/>
    <x v="13"/>
    <x v="28"/>
    <x v="9"/>
    <x v="0"/>
    <x v="67"/>
    <x v="16"/>
    <x v="61"/>
    <x v="2"/>
    <x v="0"/>
  </r>
  <r>
    <x v="30"/>
    <x v="299"/>
    <x v="18"/>
    <x v="1"/>
    <x v="615"/>
    <x v="921"/>
    <x v="243"/>
    <x v="2"/>
    <x v="4"/>
    <x v="8"/>
    <x v="13"/>
    <x v="28"/>
    <x v="9"/>
    <x v="0"/>
    <x v="67"/>
    <x v="16"/>
    <x v="61"/>
    <x v="2"/>
    <x v="0"/>
  </r>
  <r>
    <x v="30"/>
    <x v="311"/>
    <x v="23"/>
    <x v="1"/>
    <x v="325"/>
    <x v="865"/>
    <x v="413"/>
    <x v="2"/>
    <x v="4"/>
    <x v="8"/>
    <x v="13"/>
    <x v="28"/>
    <x v="9"/>
    <x v="0"/>
    <x v="67"/>
    <x v="16"/>
    <x v="61"/>
    <x v="2"/>
    <x v="0"/>
  </r>
  <r>
    <x v="30"/>
    <x v="615"/>
    <x v="23"/>
    <x v="12"/>
    <x v="621"/>
    <x v="350"/>
    <x v="2"/>
    <x v="2"/>
    <x v="4"/>
    <x v="8"/>
    <x v="13"/>
    <x v="28"/>
    <x v="9"/>
    <x v="0"/>
    <x v="67"/>
    <x v="16"/>
    <x v="61"/>
    <x v="2"/>
    <x v="0"/>
  </r>
  <r>
    <x v="30"/>
    <x v="1002"/>
    <x v="33"/>
    <x v="22"/>
    <x v="1015"/>
    <x v="784"/>
    <x v="868"/>
    <x v="2"/>
    <x v="3"/>
    <x v="8"/>
    <x v="13"/>
    <x v="28"/>
    <x v="9"/>
    <x v="1"/>
    <x v="67"/>
    <x v="16"/>
    <x v="61"/>
    <x v="2"/>
    <x v="0"/>
  </r>
  <r>
    <x v="30"/>
    <x v="1060"/>
    <x v="33"/>
    <x v="22"/>
    <x v="982"/>
    <x v="886"/>
    <x v="846"/>
    <x v="2"/>
    <x v="1"/>
    <x v="5"/>
    <x v="11"/>
    <x v="27"/>
    <x v="0"/>
    <x v="0"/>
    <x v="67"/>
    <x v="16"/>
    <x v="61"/>
    <x v="2"/>
    <x v="0"/>
  </r>
  <r>
    <x v="30"/>
    <x v="926"/>
    <x v="46"/>
    <x v="6"/>
    <x v="933"/>
    <x v="795"/>
    <x v="2"/>
    <x v="2"/>
    <x v="4"/>
    <x v="8"/>
    <x v="13"/>
    <x v="28"/>
    <x v="9"/>
    <x v="0"/>
    <x v="67"/>
    <x v="16"/>
    <x v="61"/>
    <x v="2"/>
    <x v="0"/>
  </r>
  <r>
    <x v="30"/>
    <x v="526"/>
    <x v="18"/>
    <x v="3"/>
    <x v="516"/>
    <x v="479"/>
    <x v="440"/>
    <x v="2"/>
    <x v="1"/>
    <x v="8"/>
    <x v="13"/>
    <x v="28"/>
    <x v="9"/>
    <x v="0"/>
    <x v="67"/>
    <x v="16"/>
    <x v="61"/>
    <x v="2"/>
    <x v="0"/>
  </r>
  <r>
    <x v="31"/>
    <x v="662"/>
    <x v="30"/>
    <x v="21"/>
    <x v="511"/>
    <x v="418"/>
    <x v="118"/>
    <x v="2"/>
    <x v="3"/>
    <x v="8"/>
    <x v="13"/>
    <x v="28"/>
    <x v="9"/>
    <x v="1"/>
    <x v="67"/>
    <x v="16"/>
    <x v="61"/>
    <x v="2"/>
    <x v="0"/>
  </r>
  <r>
    <x v="31"/>
    <x v="724"/>
    <x v="33"/>
    <x v="22"/>
    <x v="171"/>
    <x v="317"/>
    <x v="0"/>
    <x v="2"/>
    <x v="4"/>
    <x v="8"/>
    <x v="13"/>
    <x v="28"/>
    <x v="9"/>
    <x v="0"/>
    <x v="67"/>
    <x v="16"/>
    <x v="61"/>
    <x v="2"/>
    <x v="0"/>
  </r>
  <r>
    <x v="31"/>
    <x v="325"/>
    <x v="19"/>
    <x v="3"/>
    <x v="337"/>
    <x v="988"/>
    <x v="293"/>
    <x v="2"/>
    <x v="4"/>
    <x v="8"/>
    <x v="13"/>
    <x v="28"/>
    <x v="9"/>
    <x v="0"/>
    <x v="67"/>
    <x v="16"/>
    <x v="61"/>
    <x v="2"/>
    <x v="0"/>
  </r>
  <r>
    <x v="31"/>
    <x v="908"/>
    <x v="62"/>
    <x v="1"/>
    <x v="915"/>
    <x v="47"/>
    <x v="644"/>
    <x v="2"/>
    <x v="1"/>
    <x v="5"/>
    <x v="9"/>
    <x v="25"/>
    <x v="0"/>
    <x v="0"/>
    <x v="67"/>
    <x v="16"/>
    <x v="61"/>
    <x v="2"/>
    <x v="0"/>
  </r>
  <r>
    <x v="31"/>
    <x v="149"/>
    <x v="23"/>
    <x v="15"/>
    <x v="145"/>
    <x v="645"/>
    <x v="146"/>
    <x v="2"/>
    <x v="1"/>
    <x v="8"/>
    <x v="13"/>
    <x v="28"/>
    <x v="9"/>
    <x v="0"/>
    <x v="67"/>
    <x v="16"/>
    <x v="61"/>
    <x v="2"/>
    <x v="0"/>
  </r>
  <r>
    <x v="31"/>
    <x v="1008"/>
    <x v="59"/>
    <x v="19"/>
    <x v="1022"/>
    <x v="507"/>
    <x v="638"/>
    <x v="2"/>
    <x v="4"/>
    <x v="5"/>
    <x v="9"/>
    <x v="25"/>
    <x v="0"/>
    <x v="0"/>
    <x v="67"/>
    <x v="16"/>
    <x v="61"/>
    <x v="2"/>
    <x v="0"/>
  </r>
  <r>
    <x v="31"/>
    <x v="817"/>
    <x v="18"/>
    <x v="3"/>
    <x v="821"/>
    <x v="330"/>
    <x v="892"/>
    <x v="2"/>
    <x v="3"/>
    <x v="8"/>
    <x v="13"/>
    <x v="28"/>
    <x v="9"/>
    <x v="1"/>
    <x v="67"/>
    <x v="16"/>
    <x v="61"/>
    <x v="2"/>
    <x v="0"/>
  </r>
  <r>
    <x v="31"/>
    <x v="909"/>
    <x v="58"/>
    <x v="3"/>
    <x v="916"/>
    <x v="401"/>
    <x v="632"/>
    <x v="2"/>
    <x v="1"/>
    <x v="8"/>
    <x v="13"/>
    <x v="28"/>
    <x v="9"/>
    <x v="0"/>
    <x v="67"/>
    <x v="16"/>
    <x v="61"/>
    <x v="2"/>
    <x v="0"/>
  </r>
  <r>
    <x v="31"/>
    <x v="121"/>
    <x v="59"/>
    <x v="1"/>
    <x v="116"/>
    <x v="69"/>
    <x v="81"/>
    <x v="2"/>
    <x v="4"/>
    <x v="8"/>
    <x v="13"/>
    <x v="28"/>
    <x v="9"/>
    <x v="0"/>
    <x v="67"/>
    <x v="16"/>
    <x v="61"/>
    <x v="2"/>
    <x v="0"/>
  </r>
  <r>
    <x v="31"/>
    <x v="928"/>
    <x v="30"/>
    <x v="11"/>
    <x v="935"/>
    <x v="962"/>
    <x v="667"/>
    <x v="2"/>
    <x v="3"/>
    <x v="8"/>
    <x v="13"/>
    <x v="28"/>
    <x v="9"/>
    <x v="1"/>
    <x v="67"/>
    <x v="16"/>
    <x v="61"/>
    <x v="2"/>
    <x v="0"/>
  </r>
  <r>
    <x v="31"/>
    <x v="706"/>
    <x v="33"/>
    <x v="22"/>
    <x v="711"/>
    <x v="336"/>
    <x v="331"/>
    <x v="2"/>
    <x v="0"/>
    <x v="8"/>
    <x v="13"/>
    <x v="28"/>
    <x v="9"/>
    <x v="0"/>
    <x v="67"/>
    <x v="16"/>
    <x v="61"/>
    <x v="2"/>
    <x v="0"/>
  </r>
  <r>
    <x v="31"/>
    <x v="460"/>
    <x v="33"/>
    <x v="22"/>
    <x v="454"/>
    <x v="232"/>
    <x v="399"/>
    <x v="2"/>
    <x v="1"/>
    <x v="8"/>
    <x v="13"/>
    <x v="28"/>
    <x v="9"/>
    <x v="0"/>
    <x v="67"/>
    <x v="16"/>
    <x v="61"/>
    <x v="2"/>
    <x v="0"/>
  </r>
  <r>
    <x v="31"/>
    <x v="242"/>
    <x v="30"/>
    <x v="11"/>
    <x v="255"/>
    <x v="989"/>
    <x v="757"/>
    <x v="2"/>
    <x v="3"/>
    <x v="8"/>
    <x v="13"/>
    <x v="28"/>
    <x v="9"/>
    <x v="1"/>
    <x v="67"/>
    <x v="16"/>
    <x v="61"/>
    <x v="2"/>
    <x v="0"/>
  </r>
  <r>
    <x v="30"/>
    <x v="491"/>
    <x v="62"/>
    <x v="24"/>
    <x v="481"/>
    <x v="519"/>
    <x v="414"/>
    <x v="2"/>
    <x v="3"/>
    <x v="8"/>
    <x v="13"/>
    <x v="28"/>
    <x v="9"/>
    <x v="1"/>
    <x v="67"/>
    <x v="16"/>
    <x v="61"/>
    <x v="2"/>
    <x v="0"/>
  </r>
  <r>
    <x v="31"/>
    <x v="327"/>
    <x v="14"/>
    <x v="15"/>
    <x v="339"/>
    <x v="1044"/>
    <x v="294"/>
    <x v="2"/>
    <x v="3"/>
    <x v="8"/>
    <x v="13"/>
    <x v="28"/>
    <x v="9"/>
    <x v="1"/>
    <x v="67"/>
    <x v="16"/>
    <x v="61"/>
    <x v="2"/>
    <x v="0"/>
  </r>
  <r>
    <x v="31"/>
    <x v="151"/>
    <x v="23"/>
    <x v="15"/>
    <x v="147"/>
    <x v="376"/>
    <x v="142"/>
    <x v="2"/>
    <x v="1"/>
    <x v="5"/>
    <x v="9"/>
    <x v="25"/>
    <x v="0"/>
    <x v="0"/>
    <x v="67"/>
    <x v="16"/>
    <x v="61"/>
    <x v="2"/>
    <x v="0"/>
  </r>
  <r>
    <x v="31"/>
    <x v="142"/>
    <x v="104"/>
    <x v="20"/>
    <x v="47"/>
    <x v="513"/>
    <x v="50"/>
    <x v="2"/>
    <x v="0"/>
    <x v="2"/>
    <x v="12"/>
    <x v="28"/>
    <x v="7"/>
    <x v="0"/>
    <x v="67"/>
    <x v="16"/>
    <x v="61"/>
    <x v="2"/>
    <x v="0"/>
  </r>
  <r>
    <x v="31"/>
    <x v="742"/>
    <x v="33"/>
    <x v="1"/>
    <x v="741"/>
    <x v="257"/>
    <x v="649"/>
    <x v="2"/>
    <x v="4"/>
    <x v="8"/>
    <x v="13"/>
    <x v="28"/>
    <x v="9"/>
    <x v="0"/>
    <x v="67"/>
    <x v="16"/>
    <x v="61"/>
    <x v="2"/>
    <x v="0"/>
  </r>
  <r>
    <x v="31"/>
    <x v="422"/>
    <x v="30"/>
    <x v="21"/>
    <x v="644"/>
    <x v="334"/>
    <x v="350"/>
    <x v="2"/>
    <x v="4"/>
    <x v="8"/>
    <x v="13"/>
    <x v="28"/>
    <x v="9"/>
    <x v="0"/>
    <x v="67"/>
    <x v="16"/>
    <x v="61"/>
    <x v="2"/>
    <x v="0"/>
  </r>
  <r>
    <x v="31"/>
    <x v="600"/>
    <x v="33"/>
    <x v="14"/>
    <x v="604"/>
    <x v="233"/>
    <x v="509"/>
    <x v="2"/>
    <x v="3"/>
    <x v="8"/>
    <x v="13"/>
    <x v="28"/>
    <x v="9"/>
    <x v="1"/>
    <x v="67"/>
    <x v="16"/>
    <x v="61"/>
    <x v="2"/>
    <x v="0"/>
  </r>
  <r>
    <x v="31"/>
    <x v="354"/>
    <x v="30"/>
    <x v="19"/>
    <x v="356"/>
    <x v="268"/>
    <x v="322"/>
    <x v="2"/>
    <x v="4"/>
    <x v="5"/>
    <x v="11"/>
    <x v="27"/>
    <x v="0"/>
    <x v="0"/>
    <x v="67"/>
    <x v="16"/>
    <x v="61"/>
    <x v="2"/>
    <x v="0"/>
  </r>
  <r>
    <x v="31"/>
    <x v="656"/>
    <x v="30"/>
    <x v="19"/>
    <x v="664"/>
    <x v="403"/>
    <x v="573"/>
    <x v="2"/>
    <x v="4"/>
    <x v="8"/>
    <x v="13"/>
    <x v="28"/>
    <x v="9"/>
    <x v="0"/>
    <x v="67"/>
    <x v="16"/>
    <x v="61"/>
    <x v="2"/>
    <x v="0"/>
  </r>
  <r>
    <x v="31"/>
    <x v="959"/>
    <x v="23"/>
    <x v="15"/>
    <x v="968"/>
    <x v="787"/>
    <x v="332"/>
    <x v="2"/>
    <x v="1"/>
    <x v="8"/>
    <x v="13"/>
    <x v="28"/>
    <x v="9"/>
    <x v="0"/>
    <x v="67"/>
    <x v="16"/>
    <x v="61"/>
    <x v="2"/>
    <x v="0"/>
  </r>
  <r>
    <x v="31"/>
    <x v="1006"/>
    <x v="58"/>
    <x v="3"/>
    <x v="1020"/>
    <x v="1040"/>
    <x v="543"/>
    <x v="2"/>
    <x v="1"/>
    <x v="8"/>
    <x v="13"/>
    <x v="28"/>
    <x v="9"/>
    <x v="0"/>
    <x v="67"/>
    <x v="16"/>
    <x v="61"/>
    <x v="2"/>
    <x v="0"/>
  </r>
  <r>
    <x v="31"/>
    <x v="719"/>
    <x v="23"/>
    <x v="1"/>
    <x v="720"/>
    <x v="1026"/>
    <x v="616"/>
    <x v="2"/>
    <x v="1"/>
    <x v="7"/>
    <x v="12"/>
    <x v="28"/>
    <x v="5"/>
    <x v="0"/>
    <x v="67"/>
    <x v="16"/>
    <x v="61"/>
    <x v="2"/>
    <x v="0"/>
  </r>
  <r>
    <x v="32"/>
    <x v="44"/>
    <x v="82"/>
    <x v="23"/>
    <x v="673"/>
    <x v="980"/>
    <x v="583"/>
    <x v="2"/>
    <x v="1"/>
    <x v="8"/>
    <x v="13"/>
    <x v="28"/>
    <x v="9"/>
    <x v="0"/>
    <x v="67"/>
    <x v="16"/>
    <x v="61"/>
    <x v="2"/>
    <x v="0"/>
  </r>
  <r>
    <x v="32"/>
    <x v="563"/>
    <x v="33"/>
    <x v="22"/>
    <x v="556"/>
    <x v="892"/>
    <x v="481"/>
    <x v="2"/>
    <x v="4"/>
    <x v="5"/>
    <x v="11"/>
    <x v="27"/>
    <x v="0"/>
    <x v="0"/>
    <x v="67"/>
    <x v="16"/>
    <x v="61"/>
    <x v="2"/>
    <x v="0"/>
  </r>
  <r>
    <x v="32"/>
    <x v="589"/>
    <x v="30"/>
    <x v="15"/>
    <x v="589"/>
    <x v="358"/>
    <x v="44"/>
    <x v="2"/>
    <x v="1"/>
    <x v="8"/>
    <x v="13"/>
    <x v="28"/>
    <x v="9"/>
    <x v="0"/>
    <x v="67"/>
    <x v="16"/>
    <x v="61"/>
    <x v="2"/>
    <x v="0"/>
  </r>
  <r>
    <x v="30"/>
    <x v="491"/>
    <x v="62"/>
    <x v="24"/>
    <x v="481"/>
    <x v="519"/>
    <x v="414"/>
    <x v="2"/>
    <x v="3"/>
    <x v="8"/>
    <x v="13"/>
    <x v="28"/>
    <x v="9"/>
    <x v="1"/>
    <x v="67"/>
    <x v="16"/>
    <x v="61"/>
    <x v="2"/>
    <x v="0"/>
  </r>
  <r>
    <x v="32"/>
    <x v="529"/>
    <x v="80"/>
    <x v="21"/>
    <x v="839"/>
    <x v="869"/>
    <x v="2"/>
    <x v="2"/>
    <x v="4"/>
    <x v="8"/>
    <x v="13"/>
    <x v="28"/>
    <x v="9"/>
    <x v="0"/>
    <x v="67"/>
    <x v="16"/>
    <x v="61"/>
    <x v="2"/>
    <x v="0"/>
  </r>
  <r>
    <x v="32"/>
    <x v="733"/>
    <x v="23"/>
    <x v="15"/>
    <x v="731"/>
    <x v="680"/>
    <x v="639"/>
    <x v="2"/>
    <x v="1"/>
    <x v="8"/>
    <x v="13"/>
    <x v="28"/>
    <x v="9"/>
    <x v="0"/>
    <x v="67"/>
    <x v="16"/>
    <x v="61"/>
    <x v="2"/>
    <x v="0"/>
  </r>
  <r>
    <x v="32"/>
    <x v="733"/>
    <x v="18"/>
    <x v="3"/>
    <x v="731"/>
    <x v="680"/>
    <x v="639"/>
    <x v="2"/>
    <x v="1"/>
    <x v="8"/>
    <x v="13"/>
    <x v="28"/>
    <x v="9"/>
    <x v="0"/>
    <x v="67"/>
    <x v="16"/>
    <x v="61"/>
    <x v="2"/>
    <x v="0"/>
  </r>
  <r>
    <x v="32"/>
    <x v="821"/>
    <x v="74"/>
    <x v="20"/>
    <x v="825"/>
    <x v="553"/>
    <x v="677"/>
    <x v="2"/>
    <x v="3"/>
    <x v="8"/>
    <x v="13"/>
    <x v="28"/>
    <x v="9"/>
    <x v="1"/>
    <x v="67"/>
    <x v="16"/>
    <x v="61"/>
    <x v="2"/>
    <x v="0"/>
  </r>
  <r>
    <x v="32"/>
    <x v="313"/>
    <x v="42"/>
    <x v="19"/>
    <x v="327"/>
    <x v="533"/>
    <x v="595"/>
    <x v="2"/>
    <x v="4"/>
    <x v="8"/>
    <x v="13"/>
    <x v="28"/>
    <x v="9"/>
    <x v="0"/>
    <x v="67"/>
    <x v="16"/>
    <x v="61"/>
    <x v="2"/>
    <x v="0"/>
  </r>
  <r>
    <x v="32"/>
    <x v="481"/>
    <x v="33"/>
    <x v="22"/>
    <x v="470"/>
    <x v="909"/>
    <x v="476"/>
    <x v="2"/>
    <x v="1"/>
    <x v="5"/>
    <x v="5"/>
    <x v="19"/>
    <x v="8"/>
    <x v="0"/>
    <x v="67"/>
    <x v="16"/>
    <x v="61"/>
    <x v="2"/>
    <x v="0"/>
  </r>
  <r>
    <x v="33"/>
    <x v="51"/>
    <x v="28"/>
    <x v="22"/>
    <x v="45"/>
    <x v="498"/>
    <x v="47"/>
    <x v="2"/>
    <x v="0"/>
    <x v="8"/>
    <x v="13"/>
    <x v="28"/>
    <x v="9"/>
    <x v="0"/>
    <x v="67"/>
    <x v="16"/>
    <x v="61"/>
    <x v="2"/>
    <x v="0"/>
  </r>
  <r>
    <x v="32"/>
    <x v="231"/>
    <x v="52"/>
    <x v="20"/>
    <x v="240"/>
    <x v="84"/>
    <x v="234"/>
    <x v="2"/>
    <x v="0"/>
    <x v="0"/>
    <x v="10"/>
    <x v="20"/>
    <x v="6"/>
    <x v="0"/>
    <x v="67"/>
    <x v="16"/>
    <x v="61"/>
    <x v="2"/>
    <x v="0"/>
  </r>
  <r>
    <x v="32"/>
    <x v="965"/>
    <x v="18"/>
    <x v="3"/>
    <x v="545"/>
    <x v="946"/>
    <x v="479"/>
    <x v="2"/>
    <x v="4"/>
    <x v="5"/>
    <x v="11"/>
    <x v="27"/>
    <x v="0"/>
    <x v="0"/>
    <x v="67"/>
    <x v="16"/>
    <x v="61"/>
    <x v="2"/>
    <x v="0"/>
  </r>
  <r>
    <x v="33"/>
    <x v="328"/>
    <x v="48"/>
    <x v="3"/>
    <x v="1043"/>
    <x v="32"/>
    <x v="883"/>
    <x v="2"/>
    <x v="4"/>
    <x v="8"/>
    <x v="13"/>
    <x v="28"/>
    <x v="9"/>
    <x v="0"/>
    <x v="67"/>
    <x v="16"/>
    <x v="61"/>
    <x v="2"/>
    <x v="0"/>
  </r>
  <r>
    <x v="32"/>
    <x v="529"/>
    <x v="80"/>
    <x v="21"/>
    <x v="839"/>
    <x v="869"/>
    <x v="2"/>
    <x v="2"/>
    <x v="4"/>
    <x v="8"/>
    <x v="13"/>
    <x v="28"/>
    <x v="9"/>
    <x v="0"/>
    <x v="67"/>
    <x v="16"/>
    <x v="61"/>
    <x v="2"/>
    <x v="0"/>
  </r>
  <r>
    <x v="32"/>
    <x v="734"/>
    <x v="30"/>
    <x v="21"/>
    <x v="732"/>
    <x v="899"/>
    <x v="124"/>
    <x v="2"/>
    <x v="3"/>
    <x v="8"/>
    <x v="13"/>
    <x v="28"/>
    <x v="9"/>
    <x v="1"/>
    <x v="67"/>
    <x v="16"/>
    <x v="61"/>
    <x v="2"/>
    <x v="0"/>
  </r>
  <r>
    <x v="32"/>
    <x v="734"/>
    <x v="46"/>
    <x v="1"/>
    <x v="732"/>
    <x v="899"/>
    <x v="124"/>
    <x v="2"/>
    <x v="3"/>
    <x v="8"/>
    <x v="13"/>
    <x v="28"/>
    <x v="9"/>
    <x v="1"/>
    <x v="67"/>
    <x v="16"/>
    <x v="61"/>
    <x v="2"/>
    <x v="0"/>
  </r>
  <r>
    <x v="33"/>
    <x v="332"/>
    <x v="18"/>
    <x v="3"/>
    <x v="341"/>
    <x v="167"/>
    <x v="299"/>
    <x v="2"/>
    <x v="4"/>
    <x v="8"/>
    <x v="13"/>
    <x v="28"/>
    <x v="9"/>
    <x v="0"/>
    <x v="67"/>
    <x v="16"/>
    <x v="61"/>
    <x v="2"/>
    <x v="0"/>
  </r>
  <r>
    <x v="32"/>
    <x v="73"/>
    <x v="30"/>
    <x v="11"/>
    <x v="67"/>
    <x v="114"/>
    <x v="631"/>
    <x v="2"/>
    <x v="1"/>
    <x v="8"/>
    <x v="13"/>
    <x v="28"/>
    <x v="9"/>
    <x v="0"/>
    <x v="67"/>
    <x v="16"/>
    <x v="61"/>
    <x v="2"/>
    <x v="0"/>
  </r>
  <r>
    <x v="33"/>
    <x v="39"/>
    <x v="33"/>
    <x v="22"/>
    <x v="31"/>
    <x v="985"/>
    <x v="336"/>
    <x v="2"/>
    <x v="0"/>
    <x v="5"/>
    <x v="11"/>
    <x v="27"/>
    <x v="0"/>
    <x v="0"/>
    <x v="67"/>
    <x v="16"/>
    <x v="61"/>
    <x v="2"/>
    <x v="0"/>
  </r>
  <r>
    <x v="33"/>
    <x v="81"/>
    <x v="38"/>
    <x v="3"/>
    <x v="74"/>
    <x v="717"/>
    <x v="80"/>
    <x v="2"/>
    <x v="4"/>
    <x v="5"/>
    <x v="11"/>
    <x v="27"/>
    <x v="0"/>
    <x v="0"/>
    <x v="67"/>
    <x v="16"/>
    <x v="61"/>
    <x v="2"/>
    <x v="0"/>
  </r>
  <r>
    <x v="33"/>
    <x v="24"/>
    <x v="23"/>
    <x v="15"/>
    <x v="19"/>
    <x v="364"/>
    <x v="26"/>
    <x v="2"/>
    <x v="0"/>
    <x v="8"/>
    <x v="13"/>
    <x v="28"/>
    <x v="9"/>
    <x v="0"/>
    <x v="67"/>
    <x v="16"/>
    <x v="61"/>
    <x v="2"/>
    <x v="0"/>
  </r>
  <r>
    <x v="33"/>
    <x v="857"/>
    <x v="33"/>
    <x v="22"/>
    <x v="856"/>
    <x v="721"/>
    <x v="763"/>
    <x v="2"/>
    <x v="3"/>
    <x v="8"/>
    <x v="13"/>
    <x v="28"/>
    <x v="9"/>
    <x v="1"/>
    <x v="67"/>
    <x v="16"/>
    <x v="61"/>
    <x v="2"/>
    <x v="0"/>
  </r>
  <r>
    <x v="33"/>
    <x v="1068"/>
    <x v="33"/>
    <x v="22"/>
    <x v="1081"/>
    <x v="275"/>
    <x v="910"/>
    <x v="2"/>
    <x v="0"/>
    <x v="8"/>
    <x v="13"/>
    <x v="28"/>
    <x v="9"/>
    <x v="0"/>
    <x v="67"/>
    <x v="16"/>
    <x v="61"/>
    <x v="2"/>
    <x v="0"/>
  </r>
  <r>
    <x v="33"/>
    <x v="146"/>
    <x v="62"/>
    <x v="22"/>
    <x v="141"/>
    <x v="750"/>
    <x v="140"/>
    <x v="2"/>
    <x v="4"/>
    <x v="8"/>
    <x v="13"/>
    <x v="28"/>
    <x v="9"/>
    <x v="0"/>
    <x v="67"/>
    <x v="16"/>
    <x v="61"/>
    <x v="2"/>
    <x v="0"/>
  </r>
  <r>
    <x v="33"/>
    <x v="26"/>
    <x v="18"/>
    <x v="3"/>
    <x v="212"/>
    <x v="103"/>
    <x v="196"/>
    <x v="2"/>
    <x v="1"/>
    <x v="5"/>
    <x v="9"/>
    <x v="25"/>
    <x v="0"/>
    <x v="0"/>
    <x v="67"/>
    <x v="16"/>
    <x v="61"/>
    <x v="2"/>
    <x v="0"/>
  </r>
  <r>
    <x v="33"/>
    <x v="432"/>
    <x v="39"/>
    <x v="14"/>
    <x v="423"/>
    <x v="864"/>
    <x v="382"/>
    <x v="2"/>
    <x v="4"/>
    <x v="8"/>
    <x v="13"/>
    <x v="28"/>
    <x v="9"/>
    <x v="0"/>
    <x v="67"/>
    <x v="16"/>
    <x v="61"/>
    <x v="2"/>
    <x v="0"/>
  </r>
  <r>
    <x v="33"/>
    <x v="612"/>
    <x v="30"/>
    <x v="19"/>
    <x v="620"/>
    <x v="239"/>
    <x v="128"/>
    <x v="2"/>
    <x v="4"/>
    <x v="8"/>
    <x v="13"/>
    <x v="28"/>
    <x v="9"/>
    <x v="0"/>
    <x v="67"/>
    <x v="16"/>
    <x v="61"/>
    <x v="2"/>
    <x v="0"/>
  </r>
  <r>
    <x v="33"/>
    <x v="118"/>
    <x v="49"/>
    <x v="3"/>
    <x v="110"/>
    <x v="271"/>
    <x v="95"/>
    <x v="2"/>
    <x v="4"/>
    <x v="8"/>
    <x v="13"/>
    <x v="28"/>
    <x v="9"/>
    <x v="0"/>
    <x v="67"/>
    <x v="16"/>
    <x v="61"/>
    <x v="2"/>
    <x v="0"/>
  </r>
  <r>
    <x v="33"/>
    <x v="598"/>
    <x v="70"/>
    <x v="19"/>
    <x v="601"/>
    <x v="606"/>
    <x v="0"/>
    <x v="2"/>
    <x v="4"/>
    <x v="8"/>
    <x v="13"/>
    <x v="28"/>
    <x v="9"/>
    <x v="0"/>
    <x v="67"/>
    <x v="16"/>
    <x v="61"/>
    <x v="2"/>
    <x v="0"/>
  </r>
  <r>
    <x v="33"/>
    <x v="19"/>
    <x v="33"/>
    <x v="22"/>
    <x v="13"/>
    <x v="734"/>
    <x v="444"/>
    <x v="2"/>
    <x v="1"/>
    <x v="5"/>
    <x v="5"/>
    <x v="4"/>
    <x v="4"/>
    <x v="0"/>
    <x v="67"/>
    <x v="16"/>
    <x v="61"/>
    <x v="2"/>
    <x v="0"/>
  </r>
  <r>
    <x v="33"/>
    <x v="104"/>
    <x v="33"/>
    <x v="22"/>
    <x v="92"/>
    <x v="349"/>
    <x v="86"/>
    <x v="2"/>
    <x v="4"/>
    <x v="8"/>
    <x v="13"/>
    <x v="28"/>
    <x v="9"/>
    <x v="0"/>
    <x v="67"/>
    <x v="16"/>
    <x v="61"/>
    <x v="2"/>
    <x v="0"/>
  </r>
  <r>
    <x v="33"/>
    <x v="948"/>
    <x v="39"/>
    <x v="14"/>
    <x v="960"/>
    <x v="569"/>
    <x v="737"/>
    <x v="2"/>
    <x v="3"/>
    <x v="8"/>
    <x v="13"/>
    <x v="28"/>
    <x v="9"/>
    <x v="1"/>
    <x v="67"/>
    <x v="16"/>
    <x v="61"/>
    <x v="2"/>
    <x v="0"/>
  </r>
  <r>
    <x v="33"/>
    <x v="230"/>
    <x v="99"/>
    <x v="20"/>
    <x v="239"/>
    <x v="532"/>
    <x v="208"/>
    <x v="2"/>
    <x v="3"/>
    <x v="8"/>
    <x v="13"/>
    <x v="28"/>
    <x v="9"/>
    <x v="1"/>
    <x v="67"/>
    <x v="16"/>
    <x v="61"/>
    <x v="2"/>
    <x v="0"/>
  </r>
  <r>
    <x v="31"/>
    <x v="904"/>
    <x v="86"/>
    <x v="20"/>
    <x v="910"/>
    <x v="852"/>
    <x v="800"/>
    <x v="2"/>
    <x v="0"/>
    <x v="8"/>
    <x v="13"/>
    <x v="28"/>
    <x v="9"/>
    <x v="0"/>
    <x v="67"/>
    <x v="16"/>
    <x v="61"/>
    <x v="2"/>
    <x v="0"/>
  </r>
  <r>
    <x v="31"/>
    <x v="510"/>
    <x v="32"/>
    <x v="15"/>
    <x v="499"/>
    <x v="808"/>
    <x v="82"/>
    <x v="2"/>
    <x v="2"/>
    <x v="8"/>
    <x v="13"/>
    <x v="28"/>
    <x v="9"/>
    <x v="0"/>
    <x v="67"/>
    <x v="16"/>
    <x v="61"/>
    <x v="2"/>
    <x v="0"/>
  </r>
  <r>
    <x v="33"/>
    <x v="759"/>
    <x v="86"/>
    <x v="20"/>
    <x v="756"/>
    <x v="99"/>
    <x v="659"/>
    <x v="2"/>
    <x v="2"/>
    <x v="8"/>
    <x v="13"/>
    <x v="28"/>
    <x v="9"/>
    <x v="0"/>
    <x v="67"/>
    <x v="16"/>
    <x v="61"/>
    <x v="2"/>
    <x v="0"/>
  </r>
  <r>
    <x v="33"/>
    <x v="206"/>
    <x v="13"/>
    <x v="19"/>
    <x v="204"/>
    <x v="612"/>
    <x v="188"/>
    <x v="2"/>
    <x v="4"/>
    <x v="8"/>
    <x v="13"/>
    <x v="28"/>
    <x v="9"/>
    <x v="0"/>
    <x v="67"/>
    <x v="16"/>
    <x v="61"/>
    <x v="2"/>
    <x v="0"/>
  </r>
  <r>
    <x v="33"/>
    <x v="211"/>
    <x v="52"/>
    <x v="24"/>
    <x v="210"/>
    <x v="976"/>
    <x v="194"/>
    <x v="2"/>
    <x v="4"/>
    <x v="8"/>
    <x v="13"/>
    <x v="28"/>
    <x v="9"/>
    <x v="0"/>
    <x v="67"/>
    <x v="16"/>
    <x v="61"/>
    <x v="2"/>
    <x v="0"/>
  </r>
  <r>
    <x v="33"/>
    <x v="121"/>
    <x v="19"/>
    <x v="1"/>
    <x v="1074"/>
    <x v="67"/>
    <x v="905"/>
    <x v="2"/>
    <x v="3"/>
    <x v="8"/>
    <x v="13"/>
    <x v="28"/>
    <x v="9"/>
    <x v="1"/>
    <x v="67"/>
    <x v="16"/>
    <x v="61"/>
    <x v="2"/>
    <x v="0"/>
  </r>
  <r>
    <x v="33"/>
    <x v="88"/>
    <x v="105"/>
    <x v="20"/>
    <x v="80"/>
    <x v="223"/>
    <x v="77"/>
    <x v="2"/>
    <x v="1"/>
    <x v="8"/>
    <x v="13"/>
    <x v="28"/>
    <x v="9"/>
    <x v="0"/>
    <x v="67"/>
    <x v="16"/>
    <x v="61"/>
    <x v="2"/>
    <x v="0"/>
  </r>
  <r>
    <x v="33"/>
    <x v="285"/>
    <x v="36"/>
    <x v="1"/>
    <x v="371"/>
    <x v="978"/>
    <x v="339"/>
    <x v="2"/>
    <x v="4"/>
    <x v="8"/>
    <x v="13"/>
    <x v="28"/>
    <x v="9"/>
    <x v="0"/>
    <x v="67"/>
    <x v="16"/>
    <x v="61"/>
    <x v="2"/>
    <x v="0"/>
  </r>
  <r>
    <x v="33"/>
    <x v="285"/>
    <x v="38"/>
    <x v="3"/>
    <x v="371"/>
    <x v="978"/>
    <x v="339"/>
    <x v="2"/>
    <x v="4"/>
    <x v="8"/>
    <x v="13"/>
    <x v="28"/>
    <x v="9"/>
    <x v="0"/>
    <x v="67"/>
    <x v="16"/>
    <x v="61"/>
    <x v="2"/>
    <x v="0"/>
  </r>
  <r>
    <x v="33"/>
    <x v="68"/>
    <x v="30"/>
    <x v="19"/>
    <x v="63"/>
    <x v="237"/>
    <x v="93"/>
    <x v="2"/>
    <x v="0"/>
    <x v="5"/>
    <x v="9"/>
    <x v="25"/>
    <x v="0"/>
    <x v="0"/>
    <x v="67"/>
    <x v="16"/>
    <x v="61"/>
    <x v="2"/>
    <x v="0"/>
  </r>
  <r>
    <x v="33"/>
    <x v="502"/>
    <x v="36"/>
    <x v="15"/>
    <x v="494"/>
    <x v="390"/>
    <x v="427"/>
    <x v="2"/>
    <x v="3"/>
    <x v="8"/>
    <x v="13"/>
    <x v="28"/>
    <x v="9"/>
    <x v="1"/>
    <x v="67"/>
    <x v="16"/>
    <x v="61"/>
    <x v="2"/>
    <x v="0"/>
  </r>
  <r>
    <x v="33"/>
    <x v="993"/>
    <x v="30"/>
    <x v="21"/>
    <x v="1007"/>
    <x v="298"/>
    <x v="864"/>
    <x v="2"/>
    <x v="3"/>
    <x v="8"/>
    <x v="13"/>
    <x v="28"/>
    <x v="9"/>
    <x v="1"/>
    <x v="67"/>
    <x v="16"/>
    <x v="61"/>
    <x v="2"/>
    <x v="0"/>
  </r>
  <r>
    <x v="33"/>
    <x v="822"/>
    <x v="43"/>
    <x v="11"/>
    <x v="826"/>
    <x v="621"/>
    <x v="715"/>
    <x v="2"/>
    <x v="1"/>
    <x v="8"/>
    <x v="13"/>
    <x v="28"/>
    <x v="9"/>
    <x v="0"/>
    <x v="67"/>
    <x v="16"/>
    <x v="61"/>
    <x v="2"/>
    <x v="0"/>
  </r>
  <r>
    <x v="34"/>
    <x v="183"/>
    <x v="40"/>
    <x v="3"/>
    <x v="929"/>
    <x v="992"/>
    <x v="28"/>
    <x v="2"/>
    <x v="3"/>
    <x v="8"/>
    <x v="13"/>
    <x v="28"/>
    <x v="9"/>
    <x v="1"/>
    <x v="67"/>
    <x v="16"/>
    <x v="61"/>
    <x v="2"/>
    <x v="0"/>
  </r>
  <r>
    <x v="34"/>
    <x v="768"/>
    <x v="33"/>
    <x v="22"/>
    <x v="766"/>
    <x v="548"/>
    <x v="673"/>
    <x v="2"/>
    <x v="4"/>
    <x v="8"/>
    <x v="13"/>
    <x v="28"/>
    <x v="9"/>
    <x v="0"/>
    <x v="67"/>
    <x v="16"/>
    <x v="61"/>
    <x v="2"/>
    <x v="0"/>
  </r>
  <r>
    <x v="34"/>
    <x v="49"/>
    <x v="30"/>
    <x v="19"/>
    <x v="44"/>
    <x v="749"/>
    <x v="43"/>
    <x v="2"/>
    <x v="3"/>
    <x v="8"/>
    <x v="13"/>
    <x v="28"/>
    <x v="9"/>
    <x v="1"/>
    <x v="67"/>
    <x v="16"/>
    <x v="61"/>
    <x v="2"/>
    <x v="0"/>
  </r>
  <r>
    <x v="34"/>
    <x v="236"/>
    <x v="18"/>
    <x v="3"/>
    <x v="247"/>
    <x v="415"/>
    <x v="1"/>
    <x v="2"/>
    <x v="4"/>
    <x v="8"/>
    <x v="13"/>
    <x v="28"/>
    <x v="9"/>
    <x v="0"/>
    <x v="67"/>
    <x v="16"/>
    <x v="61"/>
    <x v="2"/>
    <x v="0"/>
  </r>
  <r>
    <x v="34"/>
    <x v="946"/>
    <x v="30"/>
    <x v="21"/>
    <x v="958"/>
    <x v="816"/>
    <x v="712"/>
    <x v="2"/>
    <x v="0"/>
    <x v="8"/>
    <x v="13"/>
    <x v="28"/>
    <x v="9"/>
    <x v="0"/>
    <x v="67"/>
    <x v="16"/>
    <x v="61"/>
    <x v="2"/>
    <x v="0"/>
  </r>
  <r>
    <x v="34"/>
    <x v="855"/>
    <x v="18"/>
    <x v="3"/>
    <x v="859"/>
    <x v="661"/>
    <x v="462"/>
    <x v="2"/>
    <x v="3"/>
    <x v="8"/>
    <x v="13"/>
    <x v="28"/>
    <x v="9"/>
    <x v="1"/>
    <x v="67"/>
    <x v="16"/>
    <x v="61"/>
    <x v="2"/>
    <x v="0"/>
  </r>
  <r>
    <x v="34"/>
    <x v="885"/>
    <x v="71"/>
    <x v="15"/>
    <x v="890"/>
    <x v="360"/>
    <x v="2"/>
    <x v="2"/>
    <x v="3"/>
    <x v="8"/>
    <x v="13"/>
    <x v="28"/>
    <x v="9"/>
    <x v="0"/>
    <x v="67"/>
    <x v="16"/>
    <x v="61"/>
    <x v="2"/>
    <x v="0"/>
  </r>
  <r>
    <x v="34"/>
    <x v="338"/>
    <x v="33"/>
    <x v="22"/>
    <x v="38"/>
    <x v="68"/>
    <x v="785"/>
    <x v="2"/>
    <x v="1"/>
    <x v="8"/>
    <x v="13"/>
    <x v="28"/>
    <x v="9"/>
    <x v="0"/>
    <x v="67"/>
    <x v="16"/>
    <x v="61"/>
    <x v="2"/>
    <x v="0"/>
  </r>
  <r>
    <x v="34"/>
    <x v="413"/>
    <x v="33"/>
    <x v="22"/>
    <x v="410"/>
    <x v="555"/>
    <x v="2"/>
    <x v="3"/>
    <x v="0"/>
    <x v="8"/>
    <x v="13"/>
    <x v="28"/>
    <x v="9"/>
    <x v="0"/>
    <x v="67"/>
    <x v="16"/>
    <x v="61"/>
    <x v="2"/>
    <x v="0"/>
  </r>
  <r>
    <x v="34"/>
    <x v="62"/>
    <x v="33"/>
    <x v="19"/>
    <x v="53"/>
    <x v="587"/>
    <x v="283"/>
    <x v="2"/>
    <x v="3"/>
    <x v="8"/>
    <x v="13"/>
    <x v="28"/>
    <x v="9"/>
    <x v="0"/>
    <x v="67"/>
    <x v="16"/>
    <x v="61"/>
    <x v="2"/>
    <x v="0"/>
  </r>
  <r>
    <x v="34"/>
    <x v="567"/>
    <x v="18"/>
    <x v="3"/>
    <x v="560"/>
    <x v="697"/>
    <x v="718"/>
    <x v="2"/>
    <x v="1"/>
    <x v="0"/>
    <x v="10"/>
    <x v="14"/>
    <x v="6"/>
    <x v="0"/>
    <x v="67"/>
    <x v="16"/>
    <x v="61"/>
    <x v="2"/>
    <x v="0"/>
  </r>
  <r>
    <x v="34"/>
    <x v="329"/>
    <x v="72"/>
    <x v="3"/>
    <x v="340"/>
    <x v="354"/>
    <x v="291"/>
    <x v="2"/>
    <x v="1"/>
    <x v="5"/>
    <x v="8"/>
    <x v="24"/>
    <x v="0"/>
    <x v="0"/>
    <x v="67"/>
    <x v="16"/>
    <x v="61"/>
    <x v="2"/>
    <x v="0"/>
  </r>
  <r>
    <x v="35"/>
    <x v="429"/>
    <x v="49"/>
    <x v="3"/>
    <x v="165"/>
    <x v="33"/>
    <x v="161"/>
    <x v="2"/>
    <x v="4"/>
    <x v="8"/>
    <x v="13"/>
    <x v="28"/>
    <x v="9"/>
    <x v="0"/>
    <x v="67"/>
    <x v="16"/>
    <x v="61"/>
    <x v="2"/>
    <x v="0"/>
  </r>
  <r>
    <x v="35"/>
    <x v="441"/>
    <x v="33"/>
    <x v="22"/>
    <x v="431"/>
    <x v="434"/>
    <x v="2"/>
    <x v="2"/>
    <x v="4"/>
    <x v="8"/>
    <x v="13"/>
    <x v="28"/>
    <x v="9"/>
    <x v="0"/>
    <x v="67"/>
    <x v="16"/>
    <x v="61"/>
    <x v="2"/>
    <x v="0"/>
  </r>
  <r>
    <x v="35"/>
    <x v="726"/>
    <x v="23"/>
    <x v="1"/>
    <x v="725"/>
    <x v="433"/>
    <x v="619"/>
    <x v="2"/>
    <x v="4"/>
    <x v="5"/>
    <x v="5"/>
    <x v="10"/>
    <x v="4"/>
    <x v="0"/>
    <x v="67"/>
    <x v="16"/>
    <x v="61"/>
    <x v="2"/>
    <x v="0"/>
  </r>
  <r>
    <x v="35"/>
    <x v="699"/>
    <x v="30"/>
    <x v="19"/>
    <x v="701"/>
    <x v="262"/>
    <x v="743"/>
    <x v="2"/>
    <x v="1"/>
    <x v="8"/>
    <x v="13"/>
    <x v="28"/>
    <x v="9"/>
    <x v="0"/>
    <x v="67"/>
    <x v="16"/>
    <x v="61"/>
    <x v="2"/>
    <x v="0"/>
  </r>
  <r>
    <x v="35"/>
    <x v="699"/>
    <x v="23"/>
    <x v="15"/>
    <x v="701"/>
    <x v="262"/>
    <x v="743"/>
    <x v="2"/>
    <x v="1"/>
    <x v="8"/>
    <x v="13"/>
    <x v="28"/>
    <x v="9"/>
    <x v="0"/>
    <x v="67"/>
    <x v="16"/>
    <x v="61"/>
    <x v="2"/>
    <x v="0"/>
  </r>
  <r>
    <x v="35"/>
    <x v="300"/>
    <x v="33"/>
    <x v="22"/>
    <x v="315"/>
    <x v="586"/>
    <x v="521"/>
    <x v="2"/>
    <x v="1"/>
    <x v="8"/>
    <x v="13"/>
    <x v="28"/>
    <x v="9"/>
    <x v="0"/>
    <x v="67"/>
    <x v="16"/>
    <x v="61"/>
    <x v="2"/>
    <x v="0"/>
  </r>
  <r>
    <x v="36"/>
    <x v="1046"/>
    <x v="23"/>
    <x v="15"/>
    <x v="569"/>
    <x v="634"/>
    <x v="493"/>
    <x v="2"/>
    <x v="1"/>
    <x v="8"/>
    <x v="13"/>
    <x v="28"/>
    <x v="9"/>
    <x v="0"/>
    <x v="67"/>
    <x v="16"/>
    <x v="61"/>
    <x v="2"/>
    <x v="0"/>
  </r>
  <r>
    <x v="36"/>
    <x v="826"/>
    <x v="33"/>
    <x v="22"/>
    <x v="831"/>
    <x v="162"/>
    <x v="139"/>
    <x v="2"/>
    <x v="4"/>
    <x v="5"/>
    <x v="5"/>
    <x v="10"/>
    <x v="4"/>
    <x v="0"/>
    <x v="67"/>
    <x v="16"/>
    <x v="61"/>
    <x v="2"/>
    <x v="0"/>
  </r>
  <r>
    <x v="35"/>
    <x v="378"/>
    <x v="30"/>
    <x v="11"/>
    <x v="381"/>
    <x v="244"/>
    <x v="37"/>
    <x v="2"/>
    <x v="4"/>
    <x v="8"/>
    <x v="13"/>
    <x v="28"/>
    <x v="9"/>
    <x v="0"/>
    <x v="67"/>
    <x v="16"/>
    <x v="61"/>
    <x v="2"/>
    <x v="0"/>
  </r>
  <r>
    <x v="34"/>
    <x v="493"/>
    <x v="30"/>
    <x v="21"/>
    <x v="483"/>
    <x v="373"/>
    <x v="418"/>
    <x v="2"/>
    <x v="4"/>
    <x v="8"/>
    <x v="13"/>
    <x v="28"/>
    <x v="9"/>
    <x v="0"/>
    <x v="67"/>
    <x v="16"/>
    <x v="61"/>
    <x v="2"/>
    <x v="0"/>
  </r>
  <r>
    <x v="36"/>
    <x v="877"/>
    <x v="23"/>
    <x v="15"/>
    <x v="879"/>
    <x v="756"/>
    <x v="780"/>
    <x v="2"/>
    <x v="0"/>
    <x v="8"/>
    <x v="13"/>
    <x v="28"/>
    <x v="9"/>
    <x v="0"/>
    <x v="67"/>
    <x v="16"/>
    <x v="61"/>
    <x v="2"/>
    <x v="0"/>
  </r>
  <r>
    <x v="36"/>
    <x v="675"/>
    <x v="33"/>
    <x v="22"/>
    <x v="680"/>
    <x v="86"/>
    <x v="172"/>
    <x v="2"/>
    <x v="1"/>
    <x v="8"/>
    <x v="13"/>
    <x v="28"/>
    <x v="9"/>
    <x v="0"/>
    <x v="67"/>
    <x v="16"/>
    <x v="61"/>
    <x v="2"/>
    <x v="0"/>
  </r>
  <r>
    <x v="35"/>
    <x v="950"/>
    <x v="34"/>
    <x v="1"/>
    <x v="259"/>
    <x v="713"/>
    <x v="228"/>
    <x v="2"/>
    <x v="3"/>
    <x v="8"/>
    <x v="13"/>
    <x v="28"/>
    <x v="9"/>
    <x v="1"/>
    <x v="67"/>
    <x v="16"/>
    <x v="61"/>
    <x v="2"/>
    <x v="0"/>
  </r>
  <r>
    <x v="36"/>
    <x v="400"/>
    <x v="29"/>
    <x v="3"/>
    <x v="917"/>
    <x v="134"/>
    <x v="313"/>
    <x v="2"/>
    <x v="1"/>
    <x v="5"/>
    <x v="11"/>
    <x v="27"/>
    <x v="0"/>
    <x v="0"/>
    <x v="67"/>
    <x v="16"/>
    <x v="61"/>
    <x v="2"/>
    <x v="0"/>
  </r>
  <r>
    <x v="36"/>
    <x v="335"/>
    <x v="33"/>
    <x v="22"/>
    <x v="345"/>
    <x v="924"/>
    <x v="358"/>
    <x v="2"/>
    <x v="4"/>
    <x v="8"/>
    <x v="13"/>
    <x v="28"/>
    <x v="9"/>
    <x v="0"/>
    <x v="67"/>
    <x v="16"/>
    <x v="61"/>
    <x v="2"/>
    <x v="0"/>
  </r>
  <r>
    <x v="36"/>
    <x v="487"/>
    <x v="33"/>
    <x v="22"/>
    <x v="477"/>
    <x v="468"/>
    <x v="410"/>
    <x v="2"/>
    <x v="0"/>
    <x v="8"/>
    <x v="13"/>
    <x v="28"/>
    <x v="9"/>
    <x v="0"/>
    <x v="67"/>
    <x v="16"/>
    <x v="61"/>
    <x v="2"/>
    <x v="0"/>
  </r>
  <r>
    <x v="36"/>
    <x v="208"/>
    <x v="59"/>
    <x v="15"/>
    <x v="206"/>
    <x v="516"/>
    <x v="424"/>
    <x v="2"/>
    <x v="1"/>
    <x v="8"/>
    <x v="13"/>
    <x v="28"/>
    <x v="9"/>
    <x v="0"/>
    <x v="67"/>
    <x v="16"/>
    <x v="61"/>
    <x v="2"/>
    <x v="0"/>
  </r>
  <r>
    <x v="36"/>
    <x v="930"/>
    <x v="30"/>
    <x v="15"/>
    <x v="870"/>
    <x v="48"/>
    <x v="772"/>
    <x v="2"/>
    <x v="4"/>
    <x v="0"/>
    <x v="7"/>
    <x v="21"/>
    <x v="6"/>
    <x v="0"/>
    <x v="67"/>
    <x v="16"/>
    <x v="61"/>
    <x v="2"/>
    <x v="0"/>
  </r>
  <r>
    <x v="36"/>
    <x v="85"/>
    <x v="59"/>
    <x v="21"/>
    <x v="229"/>
    <x v="55"/>
    <x v="338"/>
    <x v="2"/>
    <x v="0"/>
    <x v="8"/>
    <x v="13"/>
    <x v="28"/>
    <x v="9"/>
    <x v="0"/>
    <x v="67"/>
    <x v="16"/>
    <x v="61"/>
    <x v="2"/>
    <x v="0"/>
  </r>
  <r>
    <x v="36"/>
    <x v="85"/>
    <x v="59"/>
    <x v="15"/>
    <x v="229"/>
    <x v="55"/>
    <x v="338"/>
    <x v="2"/>
    <x v="0"/>
    <x v="8"/>
    <x v="13"/>
    <x v="28"/>
    <x v="9"/>
    <x v="0"/>
    <x v="67"/>
    <x v="16"/>
    <x v="61"/>
    <x v="2"/>
    <x v="0"/>
  </r>
  <r>
    <x v="34"/>
    <x v="980"/>
    <x v="13"/>
    <x v="15"/>
    <x v="996"/>
    <x v="546"/>
    <x v="853"/>
    <x v="2"/>
    <x v="4"/>
    <x v="8"/>
    <x v="13"/>
    <x v="28"/>
    <x v="9"/>
    <x v="0"/>
    <x v="67"/>
    <x v="16"/>
    <x v="61"/>
    <x v="2"/>
    <x v="0"/>
  </r>
  <r>
    <x v="36"/>
    <x v="85"/>
    <x v="24"/>
    <x v="11"/>
    <x v="229"/>
    <x v="55"/>
    <x v="338"/>
    <x v="2"/>
    <x v="0"/>
    <x v="8"/>
    <x v="13"/>
    <x v="28"/>
    <x v="9"/>
    <x v="0"/>
    <x v="67"/>
    <x v="16"/>
    <x v="61"/>
    <x v="2"/>
    <x v="0"/>
  </r>
  <r>
    <x v="36"/>
    <x v="701"/>
    <x v="33"/>
    <x v="22"/>
    <x v="704"/>
    <x v="265"/>
    <x v="756"/>
    <x v="2"/>
    <x v="4"/>
    <x v="5"/>
    <x v="5"/>
    <x v="10"/>
    <x v="4"/>
    <x v="0"/>
    <x v="67"/>
    <x v="16"/>
    <x v="61"/>
    <x v="2"/>
    <x v="0"/>
  </r>
  <r>
    <x v="36"/>
    <x v="597"/>
    <x v="62"/>
    <x v="24"/>
    <x v="600"/>
    <x v="206"/>
    <x v="886"/>
    <x v="2"/>
    <x v="4"/>
    <x v="8"/>
    <x v="13"/>
    <x v="28"/>
    <x v="9"/>
    <x v="0"/>
    <x v="67"/>
    <x v="16"/>
    <x v="61"/>
    <x v="2"/>
    <x v="0"/>
  </r>
  <r>
    <x v="36"/>
    <x v="495"/>
    <x v="62"/>
    <x v="1"/>
    <x v="296"/>
    <x v="70"/>
    <x v="259"/>
    <x v="2"/>
    <x v="1"/>
    <x v="8"/>
    <x v="13"/>
    <x v="28"/>
    <x v="9"/>
    <x v="0"/>
    <x v="67"/>
    <x v="16"/>
    <x v="61"/>
    <x v="2"/>
    <x v="0"/>
  </r>
  <r>
    <x v="35"/>
    <x v="976"/>
    <x v="30"/>
    <x v="19"/>
    <x v="991"/>
    <x v="404"/>
    <x v="637"/>
    <x v="2"/>
    <x v="3"/>
    <x v="8"/>
    <x v="13"/>
    <x v="28"/>
    <x v="9"/>
    <x v="0"/>
    <x v="67"/>
    <x v="16"/>
    <x v="61"/>
    <x v="2"/>
    <x v="0"/>
  </r>
  <r>
    <x v="34"/>
    <x v="789"/>
    <x v="18"/>
    <x v="3"/>
    <x v="791"/>
    <x v="230"/>
    <x v="688"/>
    <x v="2"/>
    <x v="1"/>
    <x v="0"/>
    <x v="7"/>
    <x v="1"/>
    <x v="6"/>
    <x v="0"/>
    <x v="67"/>
    <x v="16"/>
    <x v="61"/>
    <x v="2"/>
    <x v="0"/>
  </r>
  <r>
    <x v="36"/>
    <x v="984"/>
    <x v="30"/>
    <x v="19"/>
    <x v="1000"/>
    <x v="254"/>
    <x v="856"/>
    <x v="2"/>
    <x v="1"/>
    <x v="5"/>
    <x v="9"/>
    <x v="25"/>
    <x v="0"/>
    <x v="0"/>
    <x v="67"/>
    <x v="16"/>
    <x v="61"/>
    <x v="2"/>
    <x v="0"/>
  </r>
  <r>
    <x v="36"/>
    <x v="984"/>
    <x v="23"/>
    <x v="1"/>
    <x v="430"/>
    <x v="14"/>
    <x v="384"/>
    <x v="2"/>
    <x v="4"/>
    <x v="8"/>
    <x v="13"/>
    <x v="28"/>
    <x v="9"/>
    <x v="0"/>
    <x v="67"/>
    <x v="16"/>
    <x v="61"/>
    <x v="2"/>
    <x v="0"/>
  </r>
  <r>
    <x v="37"/>
    <x v="686"/>
    <x v="33"/>
    <x v="22"/>
    <x v="691"/>
    <x v="480"/>
    <x v="599"/>
    <x v="2"/>
    <x v="1"/>
    <x v="5"/>
    <x v="5"/>
    <x v="4"/>
    <x v="4"/>
    <x v="0"/>
    <x v="67"/>
    <x v="16"/>
    <x v="61"/>
    <x v="2"/>
    <x v="0"/>
  </r>
  <r>
    <x v="37"/>
    <x v="572"/>
    <x v="69"/>
    <x v="15"/>
    <x v="570"/>
    <x v="388"/>
    <x v="494"/>
    <x v="2"/>
    <x v="0"/>
    <x v="8"/>
    <x v="13"/>
    <x v="28"/>
    <x v="9"/>
    <x v="0"/>
    <x v="67"/>
    <x v="16"/>
    <x v="61"/>
    <x v="2"/>
    <x v="0"/>
  </r>
  <r>
    <x v="37"/>
    <x v="787"/>
    <x v="79"/>
    <x v="23"/>
    <x v="789"/>
    <x v="1031"/>
    <x v="689"/>
    <x v="2"/>
    <x v="0"/>
    <x v="8"/>
    <x v="13"/>
    <x v="28"/>
    <x v="9"/>
    <x v="0"/>
    <x v="67"/>
    <x v="16"/>
    <x v="61"/>
    <x v="2"/>
    <x v="0"/>
  </r>
  <r>
    <x v="36"/>
    <x v="1013"/>
    <x v="23"/>
    <x v="1"/>
    <x v="1025"/>
    <x v="979"/>
    <x v="872"/>
    <x v="2"/>
    <x v="4"/>
    <x v="8"/>
    <x v="13"/>
    <x v="28"/>
    <x v="9"/>
    <x v="0"/>
    <x v="67"/>
    <x v="16"/>
    <x v="61"/>
    <x v="2"/>
    <x v="0"/>
  </r>
  <r>
    <x v="36"/>
    <x v="526"/>
    <x v="23"/>
    <x v="10"/>
    <x v="516"/>
    <x v="479"/>
    <x v="440"/>
    <x v="2"/>
    <x v="3"/>
    <x v="8"/>
    <x v="13"/>
    <x v="28"/>
    <x v="9"/>
    <x v="1"/>
    <x v="67"/>
    <x v="16"/>
    <x v="61"/>
    <x v="2"/>
    <x v="0"/>
  </r>
  <r>
    <x v="36"/>
    <x v="517"/>
    <x v="33"/>
    <x v="22"/>
    <x v="198"/>
    <x v="890"/>
    <x v="3"/>
    <x v="2"/>
    <x v="0"/>
    <x v="8"/>
    <x v="13"/>
    <x v="28"/>
    <x v="9"/>
    <x v="0"/>
    <x v="67"/>
    <x v="16"/>
    <x v="61"/>
    <x v="2"/>
    <x v="0"/>
  </r>
  <r>
    <x v="37"/>
    <x v="343"/>
    <x v="59"/>
    <x v="11"/>
    <x v="349"/>
    <x v="440"/>
    <x v="316"/>
    <x v="2"/>
    <x v="4"/>
    <x v="8"/>
    <x v="13"/>
    <x v="28"/>
    <x v="9"/>
    <x v="0"/>
    <x v="67"/>
    <x v="16"/>
    <x v="61"/>
    <x v="2"/>
    <x v="0"/>
  </r>
  <r>
    <x v="37"/>
    <x v="728"/>
    <x v="30"/>
    <x v="11"/>
    <x v="726"/>
    <x v="778"/>
    <x v="240"/>
    <x v="2"/>
    <x v="3"/>
    <x v="8"/>
    <x v="13"/>
    <x v="28"/>
    <x v="9"/>
    <x v="1"/>
    <x v="67"/>
    <x v="16"/>
    <x v="61"/>
    <x v="2"/>
    <x v="0"/>
  </r>
  <r>
    <x v="37"/>
    <x v="212"/>
    <x v="18"/>
    <x v="3"/>
    <x v="290"/>
    <x v="995"/>
    <x v="257"/>
    <x v="2"/>
    <x v="3"/>
    <x v="5"/>
    <x v="8"/>
    <x v="24"/>
    <x v="0"/>
    <x v="0"/>
    <x v="67"/>
    <x v="16"/>
    <x v="61"/>
    <x v="2"/>
    <x v="0"/>
  </r>
  <r>
    <x v="37"/>
    <x v="497"/>
    <x v="16"/>
    <x v="3"/>
    <x v="755"/>
    <x v="752"/>
    <x v="658"/>
    <x v="2"/>
    <x v="1"/>
    <x v="8"/>
    <x v="13"/>
    <x v="28"/>
    <x v="9"/>
    <x v="0"/>
    <x v="67"/>
    <x v="16"/>
    <x v="61"/>
    <x v="2"/>
    <x v="0"/>
  </r>
  <r>
    <x v="37"/>
    <x v="784"/>
    <x v="23"/>
    <x v="1"/>
    <x v="784"/>
    <x v="435"/>
    <x v="728"/>
    <x v="2"/>
    <x v="4"/>
    <x v="8"/>
    <x v="13"/>
    <x v="28"/>
    <x v="9"/>
    <x v="0"/>
    <x v="67"/>
    <x v="16"/>
    <x v="61"/>
    <x v="2"/>
    <x v="0"/>
  </r>
  <r>
    <x v="37"/>
    <x v="18"/>
    <x v="20"/>
    <x v="21"/>
    <x v="12"/>
    <x v="187"/>
    <x v="686"/>
    <x v="2"/>
    <x v="1"/>
    <x v="8"/>
    <x v="13"/>
    <x v="28"/>
    <x v="9"/>
    <x v="0"/>
    <x v="67"/>
    <x v="16"/>
    <x v="61"/>
    <x v="2"/>
    <x v="0"/>
  </r>
  <r>
    <x v="37"/>
    <x v="18"/>
    <x v="83"/>
    <x v="1"/>
    <x v="12"/>
    <x v="187"/>
    <x v="686"/>
    <x v="2"/>
    <x v="1"/>
    <x v="8"/>
    <x v="13"/>
    <x v="28"/>
    <x v="9"/>
    <x v="0"/>
    <x v="67"/>
    <x v="16"/>
    <x v="61"/>
    <x v="2"/>
    <x v="0"/>
  </r>
  <r>
    <x v="37"/>
    <x v="120"/>
    <x v="33"/>
    <x v="22"/>
    <x v="115"/>
    <x v="386"/>
    <x v="101"/>
    <x v="2"/>
    <x v="3"/>
    <x v="8"/>
    <x v="13"/>
    <x v="28"/>
    <x v="9"/>
    <x v="1"/>
    <x v="67"/>
    <x v="16"/>
    <x v="61"/>
    <x v="2"/>
    <x v="0"/>
  </r>
  <r>
    <x v="37"/>
    <x v="177"/>
    <x v="59"/>
    <x v="11"/>
    <x v="180"/>
    <x v="76"/>
    <x v="209"/>
    <x v="2"/>
    <x v="4"/>
    <x v="5"/>
    <x v="9"/>
    <x v="25"/>
    <x v="0"/>
    <x v="0"/>
    <x v="67"/>
    <x v="16"/>
    <x v="61"/>
    <x v="2"/>
    <x v="0"/>
  </r>
  <r>
    <x v="37"/>
    <x v="242"/>
    <x v="13"/>
    <x v="21"/>
    <x v="255"/>
    <x v="989"/>
    <x v="757"/>
    <x v="2"/>
    <x v="3"/>
    <x v="8"/>
    <x v="13"/>
    <x v="28"/>
    <x v="9"/>
    <x v="1"/>
    <x v="67"/>
    <x v="16"/>
    <x v="61"/>
    <x v="2"/>
    <x v="0"/>
  </r>
  <r>
    <x v="37"/>
    <x v="501"/>
    <x v="33"/>
    <x v="5"/>
    <x v="493"/>
    <x v="581"/>
    <x v="426"/>
    <x v="2"/>
    <x v="3"/>
    <x v="8"/>
    <x v="13"/>
    <x v="28"/>
    <x v="9"/>
    <x v="1"/>
    <x v="67"/>
    <x v="16"/>
    <x v="61"/>
    <x v="2"/>
    <x v="0"/>
  </r>
  <r>
    <x v="37"/>
    <x v="796"/>
    <x v="92"/>
    <x v="23"/>
    <x v="624"/>
    <x v="805"/>
    <x v="530"/>
    <x v="2"/>
    <x v="3"/>
    <x v="8"/>
    <x v="13"/>
    <x v="28"/>
    <x v="9"/>
    <x v="1"/>
    <x v="67"/>
    <x v="16"/>
    <x v="61"/>
    <x v="2"/>
    <x v="0"/>
  </r>
  <r>
    <x v="37"/>
    <x v="251"/>
    <x v="33"/>
    <x v="22"/>
    <x v="993"/>
    <x v="523"/>
    <x v="2"/>
    <x v="2"/>
    <x v="4"/>
    <x v="8"/>
    <x v="13"/>
    <x v="28"/>
    <x v="9"/>
    <x v="0"/>
    <x v="67"/>
    <x v="16"/>
    <x v="61"/>
    <x v="2"/>
    <x v="0"/>
  </r>
  <r>
    <x v="37"/>
    <x v="652"/>
    <x v="23"/>
    <x v="1"/>
    <x v="659"/>
    <x v="544"/>
    <x v="570"/>
    <x v="2"/>
    <x v="1"/>
    <x v="5"/>
    <x v="9"/>
    <x v="25"/>
    <x v="0"/>
    <x v="0"/>
    <x v="67"/>
    <x v="16"/>
    <x v="61"/>
    <x v="2"/>
    <x v="0"/>
  </r>
  <r>
    <x v="38"/>
    <x v="553"/>
    <x v="33"/>
    <x v="22"/>
    <x v="867"/>
    <x v="305"/>
    <x v="770"/>
    <x v="2"/>
    <x v="1"/>
    <x v="5"/>
    <x v="5"/>
    <x v="10"/>
    <x v="4"/>
    <x v="0"/>
    <x v="67"/>
    <x v="16"/>
    <x v="61"/>
    <x v="2"/>
    <x v="0"/>
  </r>
  <r>
    <x v="37"/>
    <x v="958"/>
    <x v="33"/>
    <x v="22"/>
    <x v="967"/>
    <x v="338"/>
    <x v="859"/>
    <x v="2"/>
    <x v="0"/>
    <x v="8"/>
    <x v="13"/>
    <x v="28"/>
    <x v="9"/>
    <x v="0"/>
    <x v="67"/>
    <x v="16"/>
    <x v="61"/>
    <x v="2"/>
    <x v="0"/>
  </r>
  <r>
    <x v="37"/>
    <x v="240"/>
    <x v="95"/>
    <x v="24"/>
    <x v="252"/>
    <x v="854"/>
    <x v="225"/>
    <x v="2"/>
    <x v="0"/>
    <x v="8"/>
    <x v="13"/>
    <x v="28"/>
    <x v="9"/>
    <x v="0"/>
    <x v="67"/>
    <x v="16"/>
    <x v="61"/>
    <x v="2"/>
    <x v="0"/>
  </r>
  <r>
    <x v="38"/>
    <x v="956"/>
    <x v="30"/>
    <x v="3"/>
    <x v="416"/>
    <x v="204"/>
    <x v="372"/>
    <x v="2"/>
    <x v="4"/>
    <x v="8"/>
    <x v="13"/>
    <x v="28"/>
    <x v="9"/>
    <x v="0"/>
    <x v="67"/>
    <x v="16"/>
    <x v="61"/>
    <x v="2"/>
    <x v="0"/>
  </r>
  <r>
    <x v="37"/>
    <x v="87"/>
    <x v="59"/>
    <x v="19"/>
    <x v="79"/>
    <x v="115"/>
    <x v="6"/>
    <x v="2"/>
    <x v="1"/>
    <x v="8"/>
    <x v="13"/>
    <x v="28"/>
    <x v="9"/>
    <x v="0"/>
    <x v="67"/>
    <x v="16"/>
    <x v="61"/>
    <x v="2"/>
    <x v="0"/>
  </r>
  <r>
    <x v="37"/>
    <x v="463"/>
    <x v="23"/>
    <x v="18"/>
    <x v="456"/>
    <x v="1013"/>
    <x v="2"/>
    <x v="2"/>
    <x v="4"/>
    <x v="8"/>
    <x v="13"/>
    <x v="28"/>
    <x v="9"/>
    <x v="0"/>
    <x v="67"/>
    <x v="16"/>
    <x v="61"/>
    <x v="2"/>
    <x v="0"/>
  </r>
  <r>
    <x v="38"/>
    <x v="565"/>
    <x v="38"/>
    <x v="3"/>
    <x v="130"/>
    <x v="514"/>
    <x v="2"/>
    <x v="2"/>
    <x v="4"/>
    <x v="8"/>
    <x v="13"/>
    <x v="28"/>
    <x v="9"/>
    <x v="0"/>
    <x v="67"/>
    <x v="16"/>
    <x v="61"/>
    <x v="2"/>
    <x v="0"/>
  </r>
  <r>
    <x v="38"/>
    <x v="28"/>
    <x v="30"/>
    <x v="19"/>
    <x v="22"/>
    <x v="207"/>
    <x v="610"/>
    <x v="2"/>
    <x v="0"/>
    <x v="5"/>
    <x v="9"/>
    <x v="25"/>
    <x v="0"/>
    <x v="0"/>
    <x v="67"/>
    <x v="16"/>
    <x v="61"/>
    <x v="2"/>
    <x v="0"/>
  </r>
  <r>
    <x v="38"/>
    <x v="891"/>
    <x v="30"/>
    <x v="19"/>
    <x v="897"/>
    <x v="400"/>
    <x v="789"/>
    <x v="2"/>
    <x v="1"/>
    <x v="8"/>
    <x v="13"/>
    <x v="28"/>
    <x v="9"/>
    <x v="0"/>
    <x v="67"/>
    <x v="16"/>
    <x v="61"/>
    <x v="2"/>
    <x v="0"/>
  </r>
  <r>
    <x v="38"/>
    <x v="816"/>
    <x v="38"/>
    <x v="3"/>
    <x v="820"/>
    <x v="157"/>
    <x v="295"/>
    <x v="2"/>
    <x v="0"/>
    <x v="8"/>
    <x v="13"/>
    <x v="28"/>
    <x v="9"/>
    <x v="0"/>
    <x v="67"/>
    <x v="16"/>
    <x v="61"/>
    <x v="2"/>
    <x v="0"/>
  </r>
  <r>
    <x v="38"/>
    <x v="734"/>
    <x v="33"/>
    <x v="22"/>
    <x v="732"/>
    <x v="899"/>
    <x v="124"/>
    <x v="2"/>
    <x v="3"/>
    <x v="8"/>
    <x v="13"/>
    <x v="28"/>
    <x v="9"/>
    <x v="1"/>
    <x v="67"/>
    <x v="16"/>
    <x v="61"/>
    <x v="2"/>
    <x v="0"/>
  </r>
  <r>
    <x v="38"/>
    <x v="448"/>
    <x v="30"/>
    <x v="11"/>
    <x v="442"/>
    <x v="786"/>
    <x v="389"/>
    <x v="2"/>
    <x v="0"/>
    <x v="8"/>
    <x v="13"/>
    <x v="28"/>
    <x v="9"/>
    <x v="0"/>
    <x v="67"/>
    <x v="16"/>
    <x v="61"/>
    <x v="2"/>
    <x v="0"/>
  </r>
  <r>
    <x v="38"/>
    <x v="219"/>
    <x v="23"/>
    <x v="6"/>
    <x v="221"/>
    <x v="188"/>
    <x v="178"/>
    <x v="2"/>
    <x v="3"/>
    <x v="8"/>
    <x v="13"/>
    <x v="28"/>
    <x v="9"/>
    <x v="1"/>
    <x v="67"/>
    <x v="16"/>
    <x v="61"/>
    <x v="2"/>
    <x v="0"/>
  </r>
  <r>
    <x v="38"/>
    <x v="434"/>
    <x v="33"/>
    <x v="22"/>
    <x v="61"/>
    <x v="794"/>
    <x v="2"/>
    <x v="2"/>
    <x v="4"/>
    <x v="8"/>
    <x v="13"/>
    <x v="28"/>
    <x v="9"/>
    <x v="0"/>
    <x v="67"/>
    <x v="16"/>
    <x v="61"/>
    <x v="2"/>
    <x v="0"/>
  </r>
  <r>
    <x v="38"/>
    <x v="45"/>
    <x v="36"/>
    <x v="10"/>
    <x v="39"/>
    <x v="109"/>
    <x v="48"/>
    <x v="2"/>
    <x v="3"/>
    <x v="8"/>
    <x v="13"/>
    <x v="28"/>
    <x v="9"/>
    <x v="1"/>
    <x v="67"/>
    <x v="16"/>
    <x v="61"/>
    <x v="2"/>
    <x v="0"/>
  </r>
  <r>
    <x v="38"/>
    <x v="239"/>
    <x v="46"/>
    <x v="1"/>
    <x v="251"/>
    <x v="175"/>
    <x v="557"/>
    <x v="2"/>
    <x v="1"/>
    <x v="5"/>
    <x v="9"/>
    <x v="26"/>
    <x v="0"/>
    <x v="0"/>
    <x v="67"/>
    <x v="16"/>
    <x v="61"/>
    <x v="2"/>
    <x v="0"/>
  </r>
  <r>
    <x v="38"/>
    <x v="324"/>
    <x v="46"/>
    <x v="1"/>
    <x v="626"/>
    <x v="888"/>
    <x v="642"/>
    <x v="2"/>
    <x v="0"/>
    <x v="8"/>
    <x v="13"/>
    <x v="28"/>
    <x v="9"/>
    <x v="0"/>
    <x v="67"/>
    <x v="16"/>
    <x v="61"/>
    <x v="2"/>
    <x v="0"/>
  </r>
  <r>
    <x v="38"/>
    <x v="90"/>
    <x v="33"/>
    <x v="22"/>
    <x v="205"/>
    <x v="570"/>
    <x v="190"/>
    <x v="2"/>
    <x v="0"/>
    <x v="5"/>
    <x v="11"/>
    <x v="27"/>
    <x v="0"/>
    <x v="0"/>
    <x v="67"/>
    <x v="16"/>
    <x v="61"/>
    <x v="2"/>
    <x v="0"/>
  </r>
  <r>
    <x v="39"/>
    <x v="77"/>
    <x v="33"/>
    <x v="22"/>
    <x v="69"/>
    <x v="296"/>
    <x v="67"/>
    <x v="2"/>
    <x v="0"/>
    <x v="8"/>
    <x v="13"/>
    <x v="28"/>
    <x v="9"/>
    <x v="0"/>
    <x v="67"/>
    <x v="16"/>
    <x v="61"/>
    <x v="2"/>
    <x v="0"/>
  </r>
  <r>
    <x v="38"/>
    <x v="36"/>
    <x v="39"/>
    <x v="8"/>
    <x v="28"/>
    <x v="331"/>
    <x v="33"/>
    <x v="2"/>
    <x v="0"/>
    <x v="8"/>
    <x v="13"/>
    <x v="28"/>
    <x v="9"/>
    <x v="0"/>
    <x v="67"/>
    <x v="16"/>
    <x v="61"/>
    <x v="2"/>
    <x v="0"/>
  </r>
  <r>
    <x v="38"/>
    <x v="636"/>
    <x v="23"/>
    <x v="15"/>
    <x v="643"/>
    <x v="313"/>
    <x v="235"/>
    <x v="2"/>
    <x v="0"/>
    <x v="8"/>
    <x v="13"/>
    <x v="28"/>
    <x v="9"/>
    <x v="0"/>
    <x v="67"/>
    <x v="16"/>
    <x v="61"/>
    <x v="2"/>
    <x v="0"/>
  </r>
  <r>
    <x v="38"/>
    <x v="72"/>
    <x v="2"/>
    <x v="12"/>
    <x v="66"/>
    <x v="912"/>
    <x v="62"/>
    <x v="2"/>
    <x v="3"/>
    <x v="8"/>
    <x v="13"/>
    <x v="28"/>
    <x v="9"/>
    <x v="1"/>
    <x v="67"/>
    <x v="16"/>
    <x v="61"/>
    <x v="2"/>
    <x v="0"/>
  </r>
  <r>
    <x v="38"/>
    <x v="666"/>
    <x v="92"/>
    <x v="20"/>
    <x v="673"/>
    <x v="980"/>
    <x v="583"/>
    <x v="2"/>
    <x v="3"/>
    <x v="8"/>
    <x v="13"/>
    <x v="28"/>
    <x v="9"/>
    <x v="1"/>
    <x v="67"/>
    <x v="16"/>
    <x v="61"/>
    <x v="2"/>
    <x v="0"/>
  </r>
  <r>
    <x v="39"/>
    <x v="864"/>
    <x v="58"/>
    <x v="3"/>
    <x v="866"/>
    <x v="744"/>
    <x v="773"/>
    <x v="2"/>
    <x v="0"/>
    <x v="8"/>
    <x v="13"/>
    <x v="28"/>
    <x v="9"/>
    <x v="0"/>
    <x v="67"/>
    <x v="16"/>
    <x v="61"/>
    <x v="2"/>
    <x v="0"/>
  </r>
  <r>
    <x v="39"/>
    <x v="844"/>
    <x v="75"/>
    <x v="1"/>
    <x v="887"/>
    <x v="803"/>
    <x v="784"/>
    <x v="2"/>
    <x v="0"/>
    <x v="8"/>
    <x v="13"/>
    <x v="28"/>
    <x v="9"/>
    <x v="0"/>
    <x v="67"/>
    <x v="16"/>
    <x v="61"/>
    <x v="2"/>
    <x v="0"/>
  </r>
  <r>
    <x v="39"/>
    <x v="89"/>
    <x v="33"/>
    <x v="22"/>
    <x v="81"/>
    <x v="10"/>
    <x v="92"/>
    <x v="2"/>
    <x v="0"/>
    <x v="8"/>
    <x v="13"/>
    <x v="28"/>
    <x v="9"/>
    <x v="0"/>
    <x v="67"/>
    <x v="16"/>
    <x v="61"/>
    <x v="2"/>
    <x v="0"/>
  </r>
  <r>
    <x v="38"/>
    <x v="1016"/>
    <x v="30"/>
    <x v="19"/>
    <x v="1028"/>
    <x v="52"/>
    <x v="873"/>
    <x v="2"/>
    <x v="4"/>
    <x v="0"/>
    <x v="7"/>
    <x v="21"/>
    <x v="6"/>
    <x v="0"/>
    <x v="67"/>
    <x v="16"/>
    <x v="61"/>
    <x v="2"/>
    <x v="0"/>
  </r>
  <r>
    <x v="39"/>
    <x v="633"/>
    <x v="23"/>
    <x v="1"/>
    <x v="276"/>
    <x v="25"/>
    <x v="245"/>
    <x v="2"/>
    <x v="4"/>
    <x v="8"/>
    <x v="13"/>
    <x v="28"/>
    <x v="9"/>
    <x v="0"/>
    <x v="67"/>
    <x v="16"/>
    <x v="61"/>
    <x v="2"/>
    <x v="0"/>
  </r>
  <r>
    <x v="39"/>
    <x v="902"/>
    <x v="33"/>
    <x v="19"/>
    <x v="908"/>
    <x v="128"/>
    <x v="798"/>
    <x v="2"/>
    <x v="1"/>
    <x v="5"/>
    <x v="9"/>
    <x v="25"/>
    <x v="0"/>
    <x v="0"/>
    <x v="67"/>
    <x v="16"/>
    <x v="61"/>
    <x v="2"/>
    <x v="0"/>
  </r>
  <r>
    <x v="39"/>
    <x v="783"/>
    <x v="18"/>
    <x v="3"/>
    <x v="780"/>
    <x v="710"/>
    <x v="660"/>
    <x v="2"/>
    <x v="4"/>
    <x v="5"/>
    <x v="11"/>
    <x v="27"/>
    <x v="0"/>
    <x v="0"/>
    <x v="67"/>
    <x v="16"/>
    <x v="61"/>
    <x v="2"/>
    <x v="0"/>
  </r>
  <r>
    <x v="39"/>
    <x v="281"/>
    <x v="23"/>
    <x v="6"/>
    <x v="294"/>
    <x v="789"/>
    <x v="3"/>
    <x v="2"/>
    <x v="0"/>
    <x v="8"/>
    <x v="13"/>
    <x v="28"/>
    <x v="9"/>
    <x v="0"/>
    <x v="67"/>
    <x v="16"/>
    <x v="61"/>
    <x v="2"/>
    <x v="0"/>
  </r>
  <r>
    <x v="39"/>
    <x v="82"/>
    <x v="30"/>
    <x v="11"/>
    <x v="75"/>
    <x v="952"/>
    <x v="73"/>
    <x v="2"/>
    <x v="1"/>
    <x v="8"/>
    <x v="13"/>
    <x v="28"/>
    <x v="9"/>
    <x v="0"/>
    <x v="67"/>
    <x v="16"/>
    <x v="61"/>
    <x v="2"/>
    <x v="0"/>
  </r>
  <r>
    <x v="39"/>
    <x v="521"/>
    <x v="33"/>
    <x v="22"/>
    <x v="512"/>
    <x v="971"/>
    <x v="442"/>
    <x v="2"/>
    <x v="1"/>
    <x v="8"/>
    <x v="13"/>
    <x v="28"/>
    <x v="9"/>
    <x v="0"/>
    <x v="67"/>
    <x v="16"/>
    <x v="61"/>
    <x v="2"/>
    <x v="0"/>
  </r>
  <r>
    <x v="39"/>
    <x v="285"/>
    <x v="16"/>
    <x v="9"/>
    <x v="371"/>
    <x v="978"/>
    <x v="339"/>
    <x v="2"/>
    <x v="3"/>
    <x v="8"/>
    <x v="13"/>
    <x v="28"/>
    <x v="9"/>
    <x v="1"/>
    <x v="67"/>
    <x v="16"/>
    <x v="61"/>
    <x v="2"/>
    <x v="0"/>
  </r>
  <r>
    <x v="39"/>
    <x v="88"/>
    <x v="99"/>
    <x v="23"/>
    <x v="80"/>
    <x v="223"/>
    <x v="77"/>
    <x v="2"/>
    <x v="3"/>
    <x v="8"/>
    <x v="13"/>
    <x v="28"/>
    <x v="9"/>
    <x v="1"/>
    <x v="67"/>
    <x v="16"/>
    <x v="61"/>
    <x v="2"/>
    <x v="0"/>
  </r>
  <r>
    <x v="39"/>
    <x v="1012"/>
    <x v="18"/>
    <x v="3"/>
    <x v="1024"/>
    <x v="761"/>
    <x v="871"/>
    <x v="2"/>
    <x v="4"/>
    <x v="5"/>
    <x v="11"/>
    <x v="27"/>
    <x v="0"/>
    <x v="0"/>
    <x v="67"/>
    <x v="16"/>
    <x v="61"/>
    <x v="2"/>
    <x v="0"/>
  </r>
  <r>
    <x v="39"/>
    <x v="776"/>
    <x v="33"/>
    <x v="22"/>
    <x v="776"/>
    <x v="302"/>
    <x v="3"/>
    <x v="2"/>
    <x v="0"/>
    <x v="8"/>
    <x v="13"/>
    <x v="28"/>
    <x v="9"/>
    <x v="0"/>
    <x v="67"/>
    <x v="16"/>
    <x v="61"/>
    <x v="2"/>
    <x v="0"/>
  </r>
  <r>
    <x v="39"/>
    <x v="52"/>
    <x v="33"/>
    <x v="22"/>
    <x v="1017"/>
    <x v="53"/>
    <x v="29"/>
    <x v="1"/>
    <x v="0"/>
    <x v="8"/>
    <x v="13"/>
    <x v="28"/>
    <x v="9"/>
    <x v="0"/>
    <x v="67"/>
    <x v="16"/>
    <x v="61"/>
    <x v="2"/>
    <x v="0"/>
  </r>
  <r>
    <x v="39"/>
    <x v="102"/>
    <x v="95"/>
    <x v="20"/>
    <x v="91"/>
    <x v="481"/>
    <x v="88"/>
    <x v="2"/>
    <x v="4"/>
    <x v="8"/>
    <x v="13"/>
    <x v="28"/>
    <x v="9"/>
    <x v="0"/>
    <x v="67"/>
    <x v="16"/>
    <x v="61"/>
    <x v="2"/>
    <x v="0"/>
  </r>
  <r>
    <x v="39"/>
    <x v="873"/>
    <x v="86"/>
    <x v="20"/>
    <x v="876"/>
    <x v="96"/>
    <x v="777"/>
    <x v="2"/>
    <x v="3"/>
    <x v="8"/>
    <x v="13"/>
    <x v="28"/>
    <x v="9"/>
    <x v="1"/>
    <x v="67"/>
    <x v="16"/>
    <x v="61"/>
    <x v="2"/>
    <x v="0"/>
  </r>
  <r>
    <x v="39"/>
    <x v="1043"/>
    <x v="30"/>
    <x v="19"/>
    <x v="1058"/>
    <x v="441"/>
    <x v="898"/>
    <x v="2"/>
    <x v="0"/>
    <x v="5"/>
    <x v="9"/>
    <x v="25"/>
    <x v="0"/>
    <x v="0"/>
    <x v="67"/>
    <x v="16"/>
    <x v="61"/>
    <x v="2"/>
    <x v="0"/>
  </r>
  <r>
    <x v="39"/>
    <x v="136"/>
    <x v="16"/>
    <x v="9"/>
    <x v="133"/>
    <x v="142"/>
    <x v="58"/>
    <x v="2"/>
    <x v="1"/>
    <x v="8"/>
    <x v="13"/>
    <x v="28"/>
    <x v="9"/>
    <x v="0"/>
    <x v="67"/>
    <x v="16"/>
    <x v="61"/>
    <x v="2"/>
    <x v="0"/>
  </r>
  <r>
    <x v="39"/>
    <x v="772"/>
    <x v="30"/>
    <x v="19"/>
    <x v="771"/>
    <x v="235"/>
    <x v="670"/>
    <x v="2"/>
    <x v="0"/>
    <x v="5"/>
    <x v="9"/>
    <x v="25"/>
    <x v="0"/>
    <x v="0"/>
    <x v="67"/>
    <x v="16"/>
    <x v="61"/>
    <x v="2"/>
    <x v="0"/>
  </r>
  <r>
    <x v="39"/>
    <x v="964"/>
    <x v="13"/>
    <x v="1"/>
    <x v="978"/>
    <x v="341"/>
    <x v="841"/>
    <x v="2"/>
    <x v="0"/>
    <x v="8"/>
    <x v="13"/>
    <x v="28"/>
    <x v="9"/>
    <x v="0"/>
    <x v="67"/>
    <x v="16"/>
    <x v="61"/>
    <x v="2"/>
    <x v="0"/>
  </r>
  <r>
    <x v="39"/>
    <x v="29"/>
    <x v="40"/>
    <x v="1"/>
    <x v="23"/>
    <x v="807"/>
    <x v="754"/>
    <x v="2"/>
    <x v="3"/>
    <x v="8"/>
    <x v="13"/>
    <x v="28"/>
    <x v="9"/>
    <x v="1"/>
    <x v="67"/>
    <x v="16"/>
    <x v="61"/>
    <x v="2"/>
    <x v="0"/>
  </r>
  <r>
    <x v="39"/>
    <x v="1048"/>
    <x v="58"/>
    <x v="3"/>
    <x v="1063"/>
    <x v="294"/>
    <x v="902"/>
    <x v="2"/>
    <x v="0"/>
    <x v="5"/>
    <x v="11"/>
    <x v="27"/>
    <x v="0"/>
    <x v="0"/>
    <x v="67"/>
    <x v="16"/>
    <x v="61"/>
    <x v="2"/>
    <x v="0"/>
  </r>
  <r>
    <x v="40"/>
    <x v="1009"/>
    <x v="33"/>
    <x v="1"/>
    <x v="224"/>
    <x v="274"/>
    <x v="200"/>
    <x v="2"/>
    <x v="1"/>
    <x v="8"/>
    <x v="13"/>
    <x v="28"/>
    <x v="9"/>
    <x v="0"/>
    <x v="67"/>
    <x v="16"/>
    <x v="61"/>
    <x v="2"/>
    <x v="0"/>
  </r>
  <r>
    <x v="39"/>
    <x v="257"/>
    <x v="19"/>
    <x v="1"/>
    <x v="271"/>
    <x v="98"/>
    <x v="239"/>
    <x v="2"/>
    <x v="3"/>
    <x v="8"/>
    <x v="13"/>
    <x v="28"/>
    <x v="9"/>
    <x v="1"/>
    <x v="67"/>
    <x v="16"/>
    <x v="61"/>
    <x v="2"/>
    <x v="0"/>
  </r>
  <r>
    <x v="40"/>
    <x v="603"/>
    <x v="30"/>
    <x v="19"/>
    <x v="608"/>
    <x v="578"/>
    <x v="512"/>
    <x v="2"/>
    <x v="1"/>
    <x v="5"/>
    <x v="9"/>
    <x v="25"/>
    <x v="0"/>
    <x v="0"/>
    <x v="67"/>
    <x v="16"/>
    <x v="61"/>
    <x v="2"/>
    <x v="0"/>
  </r>
  <r>
    <x v="40"/>
    <x v="515"/>
    <x v="23"/>
    <x v="10"/>
    <x v="710"/>
    <x v="2"/>
    <x v="596"/>
    <x v="2"/>
    <x v="4"/>
    <x v="8"/>
    <x v="13"/>
    <x v="28"/>
    <x v="9"/>
    <x v="0"/>
    <x v="67"/>
    <x v="16"/>
    <x v="61"/>
    <x v="2"/>
    <x v="0"/>
  </r>
  <r>
    <x v="39"/>
    <x v="210"/>
    <x v="30"/>
    <x v="11"/>
    <x v="207"/>
    <x v="129"/>
    <x v="758"/>
    <x v="2"/>
    <x v="3"/>
    <x v="8"/>
    <x v="13"/>
    <x v="28"/>
    <x v="9"/>
    <x v="1"/>
    <x v="67"/>
    <x v="16"/>
    <x v="61"/>
    <x v="2"/>
    <x v="0"/>
  </r>
  <r>
    <x v="40"/>
    <x v="929"/>
    <x v="33"/>
    <x v="1"/>
    <x v="936"/>
    <x v="855"/>
    <x v="817"/>
    <x v="2"/>
    <x v="1"/>
    <x v="8"/>
    <x v="13"/>
    <x v="28"/>
    <x v="9"/>
    <x v="0"/>
    <x v="67"/>
    <x v="16"/>
    <x v="61"/>
    <x v="2"/>
    <x v="0"/>
  </r>
  <r>
    <x v="40"/>
    <x v="474"/>
    <x v="33"/>
    <x v="22"/>
    <x v="465"/>
    <x v="630"/>
    <x v="402"/>
    <x v="2"/>
    <x v="4"/>
    <x v="8"/>
    <x v="13"/>
    <x v="28"/>
    <x v="9"/>
    <x v="0"/>
    <x v="67"/>
    <x v="16"/>
    <x v="61"/>
    <x v="2"/>
    <x v="0"/>
  </r>
  <r>
    <x v="40"/>
    <x v="639"/>
    <x v="39"/>
    <x v="23"/>
    <x v="647"/>
    <x v="140"/>
    <x v="3"/>
    <x v="2"/>
    <x v="0"/>
    <x v="0"/>
    <x v="10"/>
    <x v="23"/>
    <x v="6"/>
    <x v="0"/>
    <x v="67"/>
    <x v="16"/>
    <x v="61"/>
    <x v="2"/>
    <x v="0"/>
  </r>
  <r>
    <x v="40"/>
    <x v="249"/>
    <x v="33"/>
    <x v="22"/>
    <x v="262"/>
    <x v="641"/>
    <x v="3"/>
    <x v="2"/>
    <x v="0"/>
    <x v="5"/>
    <x v="11"/>
    <x v="27"/>
    <x v="0"/>
    <x v="0"/>
    <x v="67"/>
    <x v="16"/>
    <x v="61"/>
    <x v="2"/>
    <x v="0"/>
  </r>
  <r>
    <x v="40"/>
    <x v="529"/>
    <x v="19"/>
    <x v="21"/>
    <x v="519"/>
    <x v="932"/>
    <x v="443"/>
    <x v="2"/>
    <x v="3"/>
    <x v="8"/>
    <x v="13"/>
    <x v="28"/>
    <x v="9"/>
    <x v="1"/>
    <x v="67"/>
    <x v="16"/>
    <x v="61"/>
    <x v="2"/>
    <x v="0"/>
  </r>
  <r>
    <x v="40"/>
    <x v="573"/>
    <x v="59"/>
    <x v="21"/>
    <x v="538"/>
    <x v="267"/>
    <x v="464"/>
    <x v="2"/>
    <x v="1"/>
    <x v="8"/>
    <x v="13"/>
    <x v="28"/>
    <x v="9"/>
    <x v="0"/>
    <x v="67"/>
    <x v="16"/>
    <x v="61"/>
    <x v="2"/>
    <x v="0"/>
  </r>
  <r>
    <x v="40"/>
    <x v="32"/>
    <x v="33"/>
    <x v="22"/>
    <x v="246"/>
    <x v="821"/>
    <x v="221"/>
    <x v="2"/>
    <x v="0"/>
    <x v="8"/>
    <x v="13"/>
    <x v="28"/>
    <x v="9"/>
    <x v="0"/>
    <x v="67"/>
    <x v="16"/>
    <x v="61"/>
    <x v="2"/>
    <x v="0"/>
  </r>
  <r>
    <x v="40"/>
    <x v="613"/>
    <x v="23"/>
    <x v="1"/>
    <x v="727"/>
    <x v="13"/>
    <x v="534"/>
    <x v="2"/>
    <x v="4"/>
    <x v="8"/>
    <x v="13"/>
    <x v="28"/>
    <x v="9"/>
    <x v="0"/>
    <x v="67"/>
    <x v="16"/>
    <x v="61"/>
    <x v="2"/>
    <x v="0"/>
  </r>
  <r>
    <x v="40"/>
    <x v="921"/>
    <x v="23"/>
    <x v="1"/>
    <x v="926"/>
    <x v="215"/>
    <x v="731"/>
    <x v="2"/>
    <x v="1"/>
    <x v="8"/>
    <x v="13"/>
    <x v="28"/>
    <x v="9"/>
    <x v="0"/>
    <x v="67"/>
    <x v="16"/>
    <x v="61"/>
    <x v="2"/>
    <x v="0"/>
  </r>
  <r>
    <x v="40"/>
    <x v="394"/>
    <x v="33"/>
    <x v="22"/>
    <x v="135"/>
    <x v="896"/>
    <x v="3"/>
    <x v="2"/>
    <x v="0"/>
    <x v="8"/>
    <x v="13"/>
    <x v="28"/>
    <x v="9"/>
    <x v="0"/>
    <x v="67"/>
    <x v="16"/>
    <x v="61"/>
    <x v="2"/>
    <x v="0"/>
  </r>
  <r>
    <x v="40"/>
    <x v="27"/>
    <x v="33"/>
    <x v="22"/>
    <x v="21"/>
    <x v="66"/>
    <x v="3"/>
    <x v="2"/>
    <x v="0"/>
    <x v="5"/>
    <x v="5"/>
    <x v="19"/>
    <x v="8"/>
    <x v="0"/>
    <x v="67"/>
    <x v="16"/>
    <x v="61"/>
    <x v="2"/>
    <x v="0"/>
  </r>
  <r>
    <x v="40"/>
    <x v="746"/>
    <x v="18"/>
    <x v="3"/>
    <x v="754"/>
    <x v="352"/>
    <x v="492"/>
    <x v="2"/>
    <x v="4"/>
    <x v="8"/>
    <x v="13"/>
    <x v="28"/>
    <x v="9"/>
    <x v="0"/>
    <x v="67"/>
    <x v="16"/>
    <x v="61"/>
    <x v="2"/>
    <x v="0"/>
  </r>
  <r>
    <x v="39"/>
    <x v="644"/>
    <x v="46"/>
    <x v="19"/>
    <x v="819"/>
    <x v="439"/>
    <x v="710"/>
    <x v="2"/>
    <x v="3"/>
    <x v="8"/>
    <x v="13"/>
    <x v="28"/>
    <x v="9"/>
    <x v="1"/>
    <x v="67"/>
    <x v="16"/>
    <x v="61"/>
    <x v="2"/>
    <x v="0"/>
  </r>
  <r>
    <x v="40"/>
    <x v="86"/>
    <x v="33"/>
    <x v="22"/>
    <x v="77"/>
    <x v="767"/>
    <x v="76"/>
    <x v="2"/>
    <x v="3"/>
    <x v="8"/>
    <x v="13"/>
    <x v="28"/>
    <x v="9"/>
    <x v="1"/>
    <x v="67"/>
    <x v="16"/>
    <x v="61"/>
    <x v="2"/>
    <x v="0"/>
  </r>
  <r>
    <x v="40"/>
    <x v="872"/>
    <x v="9"/>
    <x v="10"/>
    <x v="875"/>
    <x v="189"/>
    <x v="776"/>
    <x v="2"/>
    <x v="0"/>
    <x v="8"/>
    <x v="13"/>
    <x v="28"/>
    <x v="9"/>
    <x v="0"/>
    <x v="67"/>
    <x v="16"/>
    <x v="61"/>
    <x v="2"/>
    <x v="0"/>
  </r>
  <r>
    <x v="41"/>
    <x v="1040"/>
    <x v="83"/>
    <x v="1"/>
    <x v="1054"/>
    <x v="947"/>
    <x v="894"/>
    <x v="2"/>
    <x v="0"/>
    <x v="5"/>
    <x v="11"/>
    <x v="27"/>
    <x v="0"/>
    <x v="0"/>
    <x v="67"/>
    <x v="16"/>
    <x v="61"/>
    <x v="2"/>
    <x v="0"/>
  </r>
  <r>
    <x v="40"/>
    <x v="628"/>
    <x v="30"/>
    <x v="11"/>
    <x v="634"/>
    <x v="126"/>
    <x v="541"/>
    <x v="2"/>
    <x v="4"/>
    <x v="8"/>
    <x v="13"/>
    <x v="28"/>
    <x v="9"/>
    <x v="0"/>
    <x v="67"/>
    <x v="16"/>
    <x v="61"/>
    <x v="2"/>
    <x v="0"/>
  </r>
  <r>
    <x v="40"/>
    <x v="288"/>
    <x v="30"/>
    <x v="19"/>
    <x v="301"/>
    <x v="547"/>
    <x v="262"/>
    <x v="2"/>
    <x v="4"/>
    <x v="8"/>
    <x v="13"/>
    <x v="28"/>
    <x v="9"/>
    <x v="0"/>
    <x v="67"/>
    <x v="16"/>
    <x v="61"/>
    <x v="2"/>
    <x v="0"/>
  </r>
  <r>
    <x v="40"/>
    <x v="859"/>
    <x v="30"/>
    <x v="21"/>
    <x v="860"/>
    <x v="1021"/>
    <x v="749"/>
    <x v="2"/>
    <x v="1"/>
    <x v="8"/>
    <x v="13"/>
    <x v="28"/>
    <x v="9"/>
    <x v="0"/>
    <x v="67"/>
    <x v="16"/>
    <x v="61"/>
    <x v="2"/>
    <x v="0"/>
  </r>
  <r>
    <x v="41"/>
    <x v="454"/>
    <x v="33"/>
    <x v="1"/>
    <x v="446"/>
    <x v="193"/>
    <x v="168"/>
    <x v="2"/>
    <x v="0"/>
    <x v="8"/>
    <x v="13"/>
    <x v="28"/>
    <x v="9"/>
    <x v="0"/>
    <x v="67"/>
    <x v="16"/>
    <x v="61"/>
    <x v="2"/>
    <x v="0"/>
  </r>
  <r>
    <x v="41"/>
    <x v="467"/>
    <x v="75"/>
    <x v="1"/>
    <x v="662"/>
    <x v="73"/>
    <x v="572"/>
    <x v="2"/>
    <x v="4"/>
    <x v="5"/>
    <x v="11"/>
    <x v="27"/>
    <x v="0"/>
    <x v="0"/>
    <x v="67"/>
    <x v="16"/>
    <x v="61"/>
    <x v="2"/>
    <x v="0"/>
  </r>
  <r>
    <x v="41"/>
    <x v="210"/>
    <x v="30"/>
    <x v="19"/>
    <x v="209"/>
    <x v="129"/>
    <x v="758"/>
    <x v="2"/>
    <x v="3"/>
    <x v="8"/>
    <x v="13"/>
    <x v="28"/>
    <x v="9"/>
    <x v="1"/>
    <x v="67"/>
    <x v="16"/>
    <x v="61"/>
    <x v="2"/>
    <x v="0"/>
  </r>
  <r>
    <x v="43"/>
    <x v="979"/>
    <x v="33"/>
    <x v="22"/>
    <x v="995"/>
    <x v="474"/>
    <x v="98"/>
    <x v="2"/>
    <x v="4"/>
    <x v="8"/>
    <x v="13"/>
    <x v="28"/>
    <x v="9"/>
    <x v="0"/>
    <x v="67"/>
    <x v="16"/>
    <x v="61"/>
    <x v="2"/>
    <x v="0"/>
  </r>
  <r>
    <x v="43"/>
    <x v="823"/>
    <x v="30"/>
    <x v="19"/>
    <x v="827"/>
    <x v="420"/>
    <x v="716"/>
    <x v="2"/>
    <x v="4"/>
    <x v="8"/>
    <x v="13"/>
    <x v="28"/>
    <x v="9"/>
    <x v="0"/>
    <x v="67"/>
    <x v="16"/>
    <x v="61"/>
    <x v="2"/>
    <x v="0"/>
  </r>
  <r>
    <x v="43"/>
    <x v="131"/>
    <x v="91"/>
    <x v="19"/>
    <x v="125"/>
    <x v="785"/>
    <x v="155"/>
    <x v="2"/>
    <x v="0"/>
    <x v="8"/>
    <x v="13"/>
    <x v="28"/>
    <x v="9"/>
    <x v="0"/>
    <x v="67"/>
    <x v="16"/>
    <x v="61"/>
    <x v="2"/>
    <x v="0"/>
  </r>
  <r>
    <x v="41"/>
    <x v="279"/>
    <x v="33"/>
    <x v="23"/>
    <x v="289"/>
    <x v="598"/>
    <x v="917"/>
    <x v="2"/>
    <x v="0"/>
    <x v="8"/>
    <x v="13"/>
    <x v="28"/>
    <x v="9"/>
    <x v="0"/>
    <x v="67"/>
    <x v="16"/>
    <x v="61"/>
    <x v="2"/>
    <x v="0"/>
  </r>
  <r>
    <x v="42"/>
    <x v="679"/>
    <x v="30"/>
    <x v="21"/>
    <x v="684"/>
    <x v="295"/>
    <x v="594"/>
    <x v="2"/>
    <x v="3"/>
    <x v="8"/>
    <x v="13"/>
    <x v="28"/>
    <x v="9"/>
    <x v="0"/>
    <x v="67"/>
    <x v="16"/>
    <x v="61"/>
    <x v="2"/>
    <x v="0"/>
  </r>
  <r>
    <x v="43"/>
    <x v="766"/>
    <x v="33"/>
    <x v="22"/>
    <x v="763"/>
    <x v="941"/>
    <x v="664"/>
    <x v="2"/>
    <x v="4"/>
    <x v="8"/>
    <x v="13"/>
    <x v="28"/>
    <x v="9"/>
    <x v="0"/>
    <x v="67"/>
    <x v="16"/>
    <x v="61"/>
    <x v="2"/>
    <x v="0"/>
  </r>
  <r>
    <x v="42"/>
    <x v="679"/>
    <x v="23"/>
    <x v="1"/>
    <x v="684"/>
    <x v="295"/>
    <x v="594"/>
    <x v="2"/>
    <x v="3"/>
    <x v="8"/>
    <x v="13"/>
    <x v="28"/>
    <x v="9"/>
    <x v="0"/>
    <x v="67"/>
    <x v="16"/>
    <x v="61"/>
    <x v="2"/>
    <x v="0"/>
  </r>
  <r>
    <x v="43"/>
    <x v="889"/>
    <x v="92"/>
    <x v="24"/>
    <x v="895"/>
    <x v="550"/>
    <x v="359"/>
    <x v="2"/>
    <x v="1"/>
    <x v="8"/>
    <x v="13"/>
    <x v="28"/>
    <x v="9"/>
    <x v="0"/>
    <x v="67"/>
    <x v="16"/>
    <x v="61"/>
    <x v="2"/>
    <x v="0"/>
  </r>
  <r>
    <x v="43"/>
    <x v="709"/>
    <x v="62"/>
    <x v="15"/>
    <x v="712"/>
    <x v="456"/>
    <x v="609"/>
    <x v="2"/>
    <x v="0"/>
    <x v="1"/>
    <x v="13"/>
    <x v="28"/>
    <x v="9"/>
    <x v="0"/>
    <x v="67"/>
    <x v="16"/>
    <x v="61"/>
    <x v="2"/>
    <x v="0"/>
  </r>
  <r>
    <x v="43"/>
    <x v="1051"/>
    <x v="46"/>
    <x v="1"/>
    <x v="844"/>
    <x v="919"/>
    <x v="740"/>
    <x v="2"/>
    <x v="0"/>
    <x v="8"/>
    <x v="13"/>
    <x v="28"/>
    <x v="9"/>
    <x v="0"/>
    <x v="67"/>
    <x v="16"/>
    <x v="61"/>
    <x v="2"/>
    <x v="0"/>
  </r>
  <r>
    <x v="43"/>
    <x v="270"/>
    <x v="46"/>
    <x v="19"/>
    <x v="822"/>
    <x v="225"/>
    <x v="713"/>
    <x v="2"/>
    <x v="4"/>
    <x v="8"/>
    <x v="13"/>
    <x v="28"/>
    <x v="9"/>
    <x v="0"/>
    <x v="67"/>
    <x v="16"/>
    <x v="61"/>
    <x v="2"/>
    <x v="0"/>
  </r>
  <r>
    <x v="43"/>
    <x v="272"/>
    <x v="40"/>
    <x v="7"/>
    <x v="794"/>
    <x v="1049"/>
    <x v="917"/>
    <x v="2"/>
    <x v="3"/>
    <x v="8"/>
    <x v="13"/>
    <x v="28"/>
    <x v="9"/>
    <x v="1"/>
    <x v="67"/>
    <x v="16"/>
    <x v="61"/>
    <x v="2"/>
    <x v="0"/>
  </r>
  <r>
    <x v="43"/>
    <x v="488"/>
    <x v="18"/>
    <x v="3"/>
    <x v="478"/>
    <x v="770"/>
    <x v="891"/>
    <x v="2"/>
    <x v="0"/>
    <x v="8"/>
    <x v="13"/>
    <x v="28"/>
    <x v="9"/>
    <x v="0"/>
    <x v="67"/>
    <x v="16"/>
    <x v="61"/>
    <x v="2"/>
    <x v="0"/>
  </r>
  <r>
    <x v="48"/>
    <x v="62"/>
    <x v="30"/>
    <x v="21"/>
    <x v="53"/>
    <x v="587"/>
    <x v="283"/>
    <x v="2"/>
    <x v="3"/>
    <x v="8"/>
    <x v="13"/>
    <x v="28"/>
    <x v="9"/>
    <x v="1"/>
    <x v="67"/>
    <x v="16"/>
    <x v="61"/>
    <x v="2"/>
    <x v="0"/>
  </r>
  <r>
    <x v="90"/>
    <x v="0"/>
    <x v="1"/>
    <x v="15"/>
    <x v="483"/>
    <x v="373"/>
    <x v="418"/>
    <x v="2"/>
    <x v="3"/>
    <x v="8"/>
    <x v="13"/>
    <x v="28"/>
    <x v="9"/>
    <x v="1"/>
    <x v="67"/>
    <x v="16"/>
    <x v="61"/>
    <x v="5"/>
    <x v="1"/>
  </r>
  <r>
    <x v="43"/>
    <x v="599"/>
    <x v="30"/>
    <x v="11"/>
    <x v="603"/>
    <x v="554"/>
    <x v="373"/>
    <x v="2"/>
    <x v="3"/>
    <x v="8"/>
    <x v="13"/>
    <x v="28"/>
    <x v="9"/>
    <x v="1"/>
    <x v="67"/>
    <x v="16"/>
    <x v="61"/>
    <x v="2"/>
    <x v="0"/>
  </r>
  <r>
    <x v="43"/>
    <x v="99"/>
    <x v="33"/>
    <x v="22"/>
    <x v="89"/>
    <x v="195"/>
    <x v="83"/>
    <x v="2"/>
    <x v="1"/>
    <x v="8"/>
    <x v="13"/>
    <x v="28"/>
    <x v="9"/>
    <x v="0"/>
    <x v="67"/>
    <x v="16"/>
    <x v="61"/>
    <x v="2"/>
    <x v="0"/>
  </r>
  <r>
    <x v="43"/>
    <x v="123"/>
    <x v="62"/>
    <x v="22"/>
    <x v="977"/>
    <x v="485"/>
    <x v="103"/>
    <x v="2"/>
    <x v="0"/>
    <x v="8"/>
    <x v="13"/>
    <x v="28"/>
    <x v="9"/>
    <x v="0"/>
    <x v="67"/>
    <x v="16"/>
    <x v="61"/>
    <x v="2"/>
    <x v="0"/>
  </r>
  <r>
    <x v="43"/>
    <x v="986"/>
    <x v="33"/>
    <x v="22"/>
    <x v="1001"/>
    <x v="866"/>
    <x v="857"/>
    <x v="2"/>
    <x v="3"/>
    <x v="8"/>
    <x v="13"/>
    <x v="28"/>
    <x v="9"/>
    <x v="1"/>
    <x v="67"/>
    <x v="16"/>
    <x v="61"/>
    <x v="2"/>
    <x v="0"/>
  </r>
  <r>
    <x v="43"/>
    <x v="468"/>
    <x v="33"/>
    <x v="22"/>
    <x v="460"/>
    <x v="18"/>
    <x v="539"/>
    <x v="2"/>
    <x v="0"/>
    <x v="8"/>
    <x v="13"/>
    <x v="28"/>
    <x v="9"/>
    <x v="0"/>
    <x v="67"/>
    <x v="16"/>
    <x v="61"/>
    <x v="2"/>
    <x v="0"/>
  </r>
  <r>
    <x v="43"/>
    <x v="496"/>
    <x v="33"/>
    <x v="22"/>
    <x v="488"/>
    <x v="89"/>
    <x v="622"/>
    <x v="2"/>
    <x v="0"/>
    <x v="5"/>
    <x v="11"/>
    <x v="27"/>
    <x v="0"/>
    <x v="0"/>
    <x v="67"/>
    <x v="16"/>
    <x v="61"/>
    <x v="2"/>
    <x v="0"/>
  </r>
  <r>
    <x v="43"/>
    <x v="298"/>
    <x v="33"/>
    <x v="21"/>
    <x v="313"/>
    <x v="216"/>
    <x v="547"/>
    <x v="2"/>
    <x v="3"/>
    <x v="8"/>
    <x v="13"/>
    <x v="28"/>
    <x v="9"/>
    <x v="1"/>
    <x v="67"/>
    <x v="16"/>
    <x v="61"/>
    <x v="2"/>
    <x v="0"/>
  </r>
  <r>
    <x v="43"/>
    <x v="132"/>
    <x v="33"/>
    <x v="18"/>
    <x v="127"/>
    <x v="258"/>
    <x v="110"/>
    <x v="2"/>
    <x v="1"/>
    <x v="8"/>
    <x v="13"/>
    <x v="28"/>
    <x v="9"/>
    <x v="0"/>
    <x v="67"/>
    <x v="16"/>
    <x v="61"/>
    <x v="2"/>
    <x v="0"/>
  </r>
  <r>
    <x v="43"/>
    <x v="704"/>
    <x v="30"/>
    <x v="19"/>
    <x v="707"/>
    <x v="249"/>
    <x v="346"/>
    <x v="2"/>
    <x v="1"/>
    <x v="8"/>
    <x v="13"/>
    <x v="28"/>
    <x v="9"/>
    <x v="0"/>
    <x v="67"/>
    <x v="16"/>
    <x v="61"/>
    <x v="2"/>
    <x v="0"/>
  </r>
  <r>
    <x v="44"/>
    <x v="590"/>
    <x v="82"/>
    <x v="23"/>
    <x v="591"/>
    <x v="590"/>
    <x v="408"/>
    <x v="2"/>
    <x v="1"/>
    <x v="8"/>
    <x v="13"/>
    <x v="28"/>
    <x v="9"/>
    <x v="0"/>
    <x v="67"/>
    <x v="16"/>
    <x v="61"/>
    <x v="2"/>
    <x v="0"/>
  </r>
  <r>
    <x v="44"/>
    <x v="451"/>
    <x v="33"/>
    <x v="22"/>
    <x v="173"/>
    <x v="186"/>
    <x v="173"/>
    <x v="2"/>
    <x v="0"/>
    <x v="8"/>
    <x v="13"/>
    <x v="28"/>
    <x v="9"/>
    <x v="0"/>
    <x v="67"/>
    <x v="16"/>
    <x v="61"/>
    <x v="2"/>
    <x v="0"/>
  </r>
  <r>
    <x v="44"/>
    <x v="577"/>
    <x v="33"/>
    <x v="5"/>
    <x v="574"/>
    <x v="116"/>
    <x v="527"/>
    <x v="2"/>
    <x v="1"/>
    <x v="8"/>
    <x v="13"/>
    <x v="28"/>
    <x v="9"/>
    <x v="0"/>
    <x v="67"/>
    <x v="16"/>
    <x v="61"/>
    <x v="2"/>
    <x v="0"/>
  </r>
  <r>
    <x v="44"/>
    <x v="266"/>
    <x v="9"/>
    <x v="12"/>
    <x v="833"/>
    <x v="61"/>
    <x v="91"/>
    <x v="2"/>
    <x v="4"/>
    <x v="8"/>
    <x v="13"/>
    <x v="28"/>
    <x v="9"/>
    <x v="0"/>
    <x v="67"/>
    <x v="16"/>
    <x v="61"/>
    <x v="2"/>
    <x v="0"/>
  </r>
  <r>
    <x v="44"/>
    <x v="865"/>
    <x v="23"/>
    <x v="15"/>
    <x v="869"/>
    <x v="664"/>
    <x v="602"/>
    <x v="2"/>
    <x v="1"/>
    <x v="8"/>
    <x v="13"/>
    <x v="28"/>
    <x v="9"/>
    <x v="0"/>
    <x v="67"/>
    <x v="16"/>
    <x v="61"/>
    <x v="2"/>
    <x v="0"/>
  </r>
  <r>
    <x v="44"/>
    <x v="362"/>
    <x v="7"/>
    <x v="12"/>
    <x v="366"/>
    <x v="218"/>
    <x v="6"/>
    <x v="2"/>
    <x v="1"/>
    <x v="5"/>
    <x v="4"/>
    <x v="3"/>
    <x v="8"/>
    <x v="0"/>
    <x v="67"/>
    <x v="16"/>
    <x v="61"/>
    <x v="2"/>
    <x v="0"/>
  </r>
  <r>
    <x v="44"/>
    <x v="717"/>
    <x v="33"/>
    <x v="22"/>
    <x v="718"/>
    <x v="537"/>
    <x v="614"/>
    <x v="2"/>
    <x v="0"/>
    <x v="8"/>
    <x v="13"/>
    <x v="28"/>
    <x v="9"/>
    <x v="0"/>
    <x v="67"/>
    <x v="16"/>
    <x v="61"/>
    <x v="2"/>
    <x v="0"/>
  </r>
  <r>
    <x v="44"/>
    <x v="1028"/>
    <x v="23"/>
    <x v="1"/>
    <x v="1039"/>
    <x v="868"/>
    <x v="916"/>
    <x v="2"/>
    <x v="3"/>
    <x v="8"/>
    <x v="13"/>
    <x v="28"/>
    <x v="9"/>
    <x v="1"/>
    <x v="67"/>
    <x v="16"/>
    <x v="61"/>
    <x v="2"/>
    <x v="0"/>
  </r>
  <r>
    <x v="44"/>
    <x v="516"/>
    <x v="9"/>
    <x v="10"/>
    <x v="68"/>
    <x v="24"/>
    <x v="523"/>
    <x v="2"/>
    <x v="0"/>
    <x v="8"/>
    <x v="13"/>
    <x v="28"/>
    <x v="9"/>
    <x v="0"/>
    <x v="67"/>
    <x v="16"/>
    <x v="61"/>
    <x v="2"/>
    <x v="0"/>
  </r>
  <r>
    <x v="44"/>
    <x v="704"/>
    <x v="30"/>
    <x v="11"/>
    <x v="707"/>
    <x v="249"/>
    <x v="346"/>
    <x v="2"/>
    <x v="3"/>
    <x v="8"/>
    <x v="13"/>
    <x v="28"/>
    <x v="9"/>
    <x v="1"/>
    <x v="67"/>
    <x v="16"/>
    <x v="61"/>
    <x v="2"/>
    <x v="0"/>
  </r>
  <r>
    <x v="44"/>
    <x v="790"/>
    <x v="39"/>
    <x v="14"/>
    <x v="792"/>
    <x v="156"/>
    <x v="692"/>
    <x v="2"/>
    <x v="4"/>
    <x v="8"/>
    <x v="13"/>
    <x v="28"/>
    <x v="9"/>
    <x v="0"/>
    <x v="67"/>
    <x v="16"/>
    <x v="61"/>
    <x v="2"/>
    <x v="0"/>
  </r>
  <r>
    <x v="43"/>
    <x v="483"/>
    <x v="46"/>
    <x v="15"/>
    <x v="473"/>
    <x v="339"/>
    <x v="409"/>
    <x v="2"/>
    <x v="3"/>
    <x v="8"/>
    <x v="13"/>
    <x v="28"/>
    <x v="9"/>
    <x v="1"/>
    <x v="67"/>
    <x v="16"/>
    <x v="61"/>
    <x v="2"/>
    <x v="0"/>
  </r>
  <r>
    <x v="45"/>
    <x v="975"/>
    <x v="33"/>
    <x v="22"/>
    <x v="990"/>
    <x v="105"/>
    <x v="850"/>
    <x v="2"/>
    <x v="0"/>
    <x v="8"/>
    <x v="13"/>
    <x v="28"/>
    <x v="9"/>
    <x v="0"/>
    <x v="67"/>
    <x v="16"/>
    <x v="61"/>
    <x v="2"/>
    <x v="0"/>
  </r>
  <r>
    <x v="45"/>
    <x v="594"/>
    <x v="16"/>
    <x v="9"/>
    <x v="597"/>
    <x v="953"/>
    <x v="549"/>
    <x v="2"/>
    <x v="4"/>
    <x v="8"/>
    <x v="13"/>
    <x v="28"/>
    <x v="9"/>
    <x v="0"/>
    <x v="67"/>
    <x v="16"/>
    <x v="61"/>
    <x v="2"/>
    <x v="0"/>
  </r>
  <r>
    <x v="45"/>
    <x v="802"/>
    <x v="23"/>
    <x v="1"/>
    <x v="806"/>
    <x v="137"/>
    <x v="703"/>
    <x v="2"/>
    <x v="1"/>
    <x v="8"/>
    <x v="13"/>
    <x v="28"/>
    <x v="9"/>
    <x v="0"/>
    <x v="67"/>
    <x v="16"/>
    <x v="61"/>
    <x v="2"/>
    <x v="0"/>
  </r>
  <r>
    <x v="45"/>
    <x v="594"/>
    <x v="30"/>
    <x v="11"/>
    <x v="597"/>
    <x v="953"/>
    <x v="549"/>
    <x v="2"/>
    <x v="0"/>
    <x v="8"/>
    <x v="13"/>
    <x v="28"/>
    <x v="9"/>
    <x v="0"/>
    <x v="67"/>
    <x v="16"/>
    <x v="61"/>
    <x v="2"/>
    <x v="0"/>
  </r>
  <r>
    <x v="44"/>
    <x v="891"/>
    <x v="30"/>
    <x v="19"/>
    <x v="897"/>
    <x v="400"/>
    <x v="789"/>
    <x v="2"/>
    <x v="4"/>
    <x v="8"/>
    <x v="13"/>
    <x v="28"/>
    <x v="9"/>
    <x v="1"/>
    <x v="67"/>
    <x v="16"/>
    <x v="61"/>
    <x v="2"/>
    <x v="0"/>
  </r>
  <r>
    <x v="45"/>
    <x v="552"/>
    <x v="46"/>
    <x v="15"/>
    <x v="546"/>
    <x v="459"/>
    <x v="913"/>
    <x v="2"/>
    <x v="1"/>
    <x v="0"/>
    <x v="10"/>
    <x v="14"/>
    <x v="6"/>
    <x v="0"/>
    <x v="67"/>
    <x v="16"/>
    <x v="61"/>
    <x v="2"/>
    <x v="0"/>
  </r>
  <r>
    <x v="43"/>
    <x v="295"/>
    <x v="59"/>
    <x v="11"/>
    <x v="309"/>
    <x v="950"/>
    <x v="266"/>
    <x v="2"/>
    <x v="1"/>
    <x v="5"/>
    <x v="9"/>
    <x v="25"/>
    <x v="0"/>
    <x v="0"/>
    <x v="67"/>
    <x v="16"/>
    <x v="61"/>
    <x v="2"/>
    <x v="0"/>
  </r>
  <r>
    <x v="45"/>
    <x v="985"/>
    <x v="5"/>
    <x v="10"/>
    <x v="999"/>
    <x v="92"/>
    <x v="730"/>
    <x v="2"/>
    <x v="0"/>
    <x v="8"/>
    <x v="13"/>
    <x v="28"/>
    <x v="9"/>
    <x v="0"/>
    <x v="67"/>
    <x v="16"/>
    <x v="61"/>
    <x v="2"/>
    <x v="0"/>
  </r>
  <r>
    <x v="45"/>
    <x v="342"/>
    <x v="33"/>
    <x v="22"/>
    <x v="348"/>
    <x v="422"/>
    <x v="308"/>
    <x v="2"/>
    <x v="0"/>
    <x v="8"/>
    <x v="13"/>
    <x v="28"/>
    <x v="9"/>
    <x v="0"/>
    <x v="67"/>
    <x v="16"/>
    <x v="61"/>
    <x v="2"/>
    <x v="0"/>
  </r>
  <r>
    <x v="45"/>
    <x v="772"/>
    <x v="30"/>
    <x v="19"/>
    <x v="771"/>
    <x v="235"/>
    <x v="670"/>
    <x v="2"/>
    <x v="3"/>
    <x v="8"/>
    <x v="13"/>
    <x v="28"/>
    <x v="9"/>
    <x v="1"/>
    <x v="67"/>
    <x v="16"/>
    <x v="61"/>
    <x v="2"/>
    <x v="0"/>
  </r>
  <r>
    <x v="45"/>
    <x v="309"/>
    <x v="33"/>
    <x v="1"/>
    <x v="323"/>
    <x v="957"/>
    <x v="277"/>
    <x v="2"/>
    <x v="0"/>
    <x v="8"/>
    <x v="13"/>
    <x v="28"/>
    <x v="9"/>
    <x v="0"/>
    <x v="67"/>
    <x v="16"/>
    <x v="61"/>
    <x v="2"/>
    <x v="0"/>
  </r>
  <r>
    <x v="45"/>
    <x v="1049"/>
    <x v="74"/>
    <x v="19"/>
    <x v="1063"/>
    <x v="294"/>
    <x v="902"/>
    <x v="2"/>
    <x v="3"/>
    <x v="8"/>
    <x v="13"/>
    <x v="28"/>
    <x v="9"/>
    <x v="1"/>
    <x v="67"/>
    <x v="16"/>
    <x v="61"/>
    <x v="2"/>
    <x v="0"/>
  </r>
  <r>
    <x v="45"/>
    <x v="288"/>
    <x v="30"/>
    <x v="11"/>
    <x v="302"/>
    <x v="547"/>
    <x v="262"/>
    <x v="2"/>
    <x v="3"/>
    <x v="8"/>
    <x v="13"/>
    <x v="28"/>
    <x v="9"/>
    <x v="1"/>
    <x v="67"/>
    <x v="16"/>
    <x v="61"/>
    <x v="2"/>
    <x v="0"/>
  </r>
  <r>
    <x v="45"/>
    <x v="223"/>
    <x v="23"/>
    <x v="1"/>
    <x v="228"/>
    <x v="509"/>
    <x v="202"/>
    <x v="2"/>
    <x v="3"/>
    <x v="8"/>
    <x v="13"/>
    <x v="28"/>
    <x v="9"/>
    <x v="1"/>
    <x v="67"/>
    <x v="16"/>
    <x v="61"/>
    <x v="2"/>
    <x v="0"/>
  </r>
  <r>
    <x v="90"/>
    <x v="0"/>
    <x v="1"/>
    <x v="11"/>
    <x v="1058"/>
    <x v="441"/>
    <x v="898"/>
    <x v="2"/>
    <x v="3"/>
    <x v="8"/>
    <x v="13"/>
    <x v="28"/>
    <x v="9"/>
    <x v="1"/>
    <x v="67"/>
    <x v="16"/>
    <x v="61"/>
    <x v="5"/>
    <x v="1"/>
  </r>
  <r>
    <x v="45"/>
    <x v="695"/>
    <x v="23"/>
    <x v="1"/>
    <x v="150"/>
    <x v="192"/>
    <x v="828"/>
    <x v="2"/>
    <x v="1"/>
    <x v="8"/>
    <x v="13"/>
    <x v="28"/>
    <x v="9"/>
    <x v="0"/>
    <x v="67"/>
    <x v="16"/>
    <x v="61"/>
    <x v="2"/>
    <x v="0"/>
  </r>
  <r>
    <x v="46"/>
    <x v="915"/>
    <x v="30"/>
    <x v="21"/>
    <x v="923"/>
    <x v="171"/>
    <x v="761"/>
    <x v="2"/>
    <x v="4"/>
    <x v="5"/>
    <x v="11"/>
    <x v="27"/>
    <x v="0"/>
    <x v="0"/>
    <x v="67"/>
    <x v="16"/>
    <x v="61"/>
    <x v="2"/>
    <x v="0"/>
  </r>
  <r>
    <x v="46"/>
    <x v="637"/>
    <x v="23"/>
    <x v="1"/>
    <x v="486"/>
    <x v="407"/>
    <x v="3"/>
    <x v="2"/>
    <x v="0"/>
    <x v="8"/>
    <x v="13"/>
    <x v="28"/>
    <x v="9"/>
    <x v="0"/>
    <x v="67"/>
    <x v="16"/>
    <x v="61"/>
    <x v="2"/>
    <x v="0"/>
  </r>
  <r>
    <x v="46"/>
    <x v="715"/>
    <x v="33"/>
    <x v="22"/>
    <x v="716"/>
    <x v="993"/>
    <x v="3"/>
    <x v="2"/>
    <x v="0"/>
    <x v="8"/>
    <x v="13"/>
    <x v="28"/>
    <x v="9"/>
    <x v="0"/>
    <x v="67"/>
    <x v="16"/>
    <x v="61"/>
    <x v="2"/>
    <x v="0"/>
  </r>
  <r>
    <x v="45"/>
    <x v="221"/>
    <x v="40"/>
    <x v="7"/>
    <x v="222"/>
    <x v="380"/>
    <x v="203"/>
    <x v="2"/>
    <x v="0"/>
    <x v="8"/>
    <x v="13"/>
    <x v="28"/>
    <x v="9"/>
    <x v="0"/>
    <x v="67"/>
    <x v="16"/>
    <x v="61"/>
    <x v="2"/>
    <x v="0"/>
  </r>
  <r>
    <x v="45"/>
    <x v="962"/>
    <x v="18"/>
    <x v="3"/>
    <x v="973"/>
    <x v="815"/>
    <x v="838"/>
    <x v="2"/>
    <x v="3"/>
    <x v="8"/>
    <x v="13"/>
    <x v="28"/>
    <x v="9"/>
    <x v="1"/>
    <x v="67"/>
    <x v="16"/>
    <x v="61"/>
    <x v="2"/>
    <x v="0"/>
  </r>
  <r>
    <x v="45"/>
    <x v="174"/>
    <x v="23"/>
    <x v="6"/>
    <x v="177"/>
    <x v="255"/>
    <x v="3"/>
    <x v="2"/>
    <x v="0"/>
    <x v="8"/>
    <x v="13"/>
    <x v="28"/>
    <x v="9"/>
    <x v="0"/>
    <x v="67"/>
    <x v="16"/>
    <x v="61"/>
    <x v="2"/>
    <x v="0"/>
  </r>
  <r>
    <x v="46"/>
    <x v="444"/>
    <x v="33"/>
    <x v="22"/>
    <x v="439"/>
    <x v="301"/>
    <x v="388"/>
    <x v="2"/>
    <x v="0"/>
    <x v="8"/>
    <x v="13"/>
    <x v="28"/>
    <x v="9"/>
    <x v="0"/>
    <x v="67"/>
    <x v="16"/>
    <x v="61"/>
    <x v="2"/>
    <x v="0"/>
  </r>
  <r>
    <x v="46"/>
    <x v="1038"/>
    <x v="30"/>
    <x v="11"/>
    <x v="1052"/>
    <x v="901"/>
    <x v="893"/>
    <x v="2"/>
    <x v="4"/>
    <x v="5"/>
    <x v="9"/>
    <x v="25"/>
    <x v="0"/>
    <x v="0"/>
    <x v="67"/>
    <x v="16"/>
    <x v="61"/>
    <x v="2"/>
    <x v="0"/>
  </r>
  <r>
    <x v="46"/>
    <x v="753"/>
    <x v="79"/>
    <x v="21"/>
    <x v="941"/>
    <x v="16"/>
    <x v="818"/>
    <x v="2"/>
    <x v="4"/>
    <x v="8"/>
    <x v="13"/>
    <x v="28"/>
    <x v="9"/>
    <x v="0"/>
    <x v="67"/>
    <x v="16"/>
    <x v="61"/>
    <x v="2"/>
    <x v="0"/>
  </r>
  <r>
    <x v="46"/>
    <x v="103"/>
    <x v="58"/>
    <x v="3"/>
    <x v="113"/>
    <x v="450"/>
    <x v="90"/>
    <x v="2"/>
    <x v="1"/>
    <x v="8"/>
    <x v="13"/>
    <x v="28"/>
    <x v="9"/>
    <x v="0"/>
    <x v="67"/>
    <x v="16"/>
    <x v="61"/>
    <x v="2"/>
    <x v="0"/>
  </r>
  <r>
    <x v="45"/>
    <x v="655"/>
    <x v="38"/>
    <x v="3"/>
    <x v="663"/>
    <x v="183"/>
    <x v="571"/>
    <x v="2"/>
    <x v="1"/>
    <x v="5"/>
    <x v="4"/>
    <x v="9"/>
    <x v="8"/>
    <x v="0"/>
    <x v="67"/>
    <x v="16"/>
    <x v="61"/>
    <x v="2"/>
    <x v="0"/>
  </r>
  <r>
    <x v="46"/>
    <x v="290"/>
    <x v="92"/>
    <x v="24"/>
    <x v="304"/>
    <x v="449"/>
    <x v="520"/>
    <x v="2"/>
    <x v="0"/>
    <x v="8"/>
    <x v="13"/>
    <x v="28"/>
    <x v="9"/>
    <x v="0"/>
    <x v="67"/>
    <x v="16"/>
    <x v="61"/>
    <x v="2"/>
    <x v="0"/>
  </r>
  <r>
    <x v="46"/>
    <x v="176"/>
    <x v="9"/>
    <x v="10"/>
    <x v="179"/>
    <x v="1036"/>
    <x v="305"/>
    <x v="2"/>
    <x v="4"/>
    <x v="8"/>
    <x v="13"/>
    <x v="28"/>
    <x v="9"/>
    <x v="0"/>
    <x v="67"/>
    <x v="16"/>
    <x v="61"/>
    <x v="2"/>
    <x v="0"/>
  </r>
  <r>
    <x v="46"/>
    <x v="229"/>
    <x v="30"/>
    <x v="11"/>
    <x v="238"/>
    <x v="287"/>
    <x v="627"/>
    <x v="2"/>
    <x v="4"/>
    <x v="5"/>
    <x v="9"/>
    <x v="25"/>
    <x v="0"/>
    <x v="0"/>
    <x v="67"/>
    <x v="16"/>
    <x v="61"/>
    <x v="2"/>
    <x v="0"/>
  </r>
  <r>
    <x v="46"/>
    <x v="449"/>
    <x v="30"/>
    <x v="11"/>
    <x v="443"/>
    <x v="885"/>
    <x v="390"/>
    <x v="2"/>
    <x v="0"/>
    <x v="5"/>
    <x v="3"/>
    <x v="16"/>
    <x v="8"/>
    <x v="0"/>
    <x v="67"/>
    <x v="16"/>
    <x v="61"/>
    <x v="2"/>
    <x v="0"/>
  </r>
  <r>
    <x v="46"/>
    <x v="48"/>
    <x v="30"/>
    <x v="21"/>
    <x v="42"/>
    <x v="316"/>
    <x v="192"/>
    <x v="2"/>
    <x v="3"/>
    <x v="8"/>
    <x v="13"/>
    <x v="28"/>
    <x v="9"/>
    <x v="1"/>
    <x v="67"/>
    <x v="16"/>
    <x v="61"/>
    <x v="2"/>
    <x v="0"/>
  </r>
  <r>
    <x v="46"/>
    <x v="832"/>
    <x v="91"/>
    <x v="21"/>
    <x v="835"/>
    <x v="981"/>
    <x v="452"/>
    <x v="2"/>
    <x v="4"/>
    <x v="8"/>
    <x v="13"/>
    <x v="28"/>
    <x v="9"/>
    <x v="0"/>
    <x v="67"/>
    <x v="16"/>
    <x v="61"/>
    <x v="2"/>
    <x v="0"/>
  </r>
  <r>
    <x v="46"/>
    <x v="884"/>
    <x v="62"/>
    <x v="20"/>
    <x v="445"/>
    <x v="217"/>
    <x v="233"/>
    <x v="2"/>
    <x v="3"/>
    <x v="8"/>
    <x v="13"/>
    <x v="28"/>
    <x v="9"/>
    <x v="0"/>
    <x v="67"/>
    <x v="16"/>
    <x v="61"/>
    <x v="2"/>
    <x v="0"/>
  </r>
  <r>
    <x v="46"/>
    <x v="962"/>
    <x v="33"/>
    <x v="22"/>
    <x v="974"/>
    <x v="815"/>
    <x v="838"/>
    <x v="2"/>
    <x v="3"/>
    <x v="8"/>
    <x v="13"/>
    <x v="28"/>
    <x v="9"/>
    <x v="1"/>
    <x v="67"/>
    <x v="16"/>
    <x v="61"/>
    <x v="2"/>
    <x v="0"/>
  </r>
  <r>
    <x v="47"/>
    <x v="108"/>
    <x v="38"/>
    <x v="3"/>
    <x v="72"/>
    <x v="760"/>
    <x v="69"/>
    <x v="2"/>
    <x v="4"/>
    <x v="8"/>
    <x v="13"/>
    <x v="28"/>
    <x v="9"/>
    <x v="0"/>
    <x v="67"/>
    <x v="16"/>
    <x v="61"/>
    <x v="2"/>
    <x v="0"/>
  </r>
  <r>
    <x v="47"/>
    <x v="531"/>
    <x v="18"/>
    <x v="3"/>
    <x v="522"/>
    <x v="324"/>
    <x v="447"/>
    <x v="2"/>
    <x v="4"/>
    <x v="5"/>
    <x v="11"/>
    <x v="27"/>
    <x v="0"/>
    <x v="0"/>
    <x v="67"/>
    <x v="16"/>
    <x v="61"/>
    <x v="2"/>
    <x v="0"/>
  </r>
  <r>
    <x v="47"/>
    <x v="625"/>
    <x v="46"/>
    <x v="21"/>
    <x v="632"/>
    <x v="986"/>
    <x v="528"/>
    <x v="2"/>
    <x v="3"/>
    <x v="8"/>
    <x v="13"/>
    <x v="28"/>
    <x v="9"/>
    <x v="1"/>
    <x v="67"/>
    <x v="16"/>
    <x v="61"/>
    <x v="2"/>
    <x v="0"/>
  </r>
  <r>
    <x v="47"/>
    <x v="135"/>
    <x v="46"/>
    <x v="1"/>
    <x v="134"/>
    <x v="820"/>
    <x v="134"/>
    <x v="2"/>
    <x v="4"/>
    <x v="1"/>
    <x v="13"/>
    <x v="28"/>
    <x v="9"/>
    <x v="0"/>
    <x v="67"/>
    <x v="16"/>
    <x v="61"/>
    <x v="2"/>
    <x v="0"/>
  </r>
  <r>
    <x v="47"/>
    <x v="866"/>
    <x v="30"/>
    <x v="21"/>
    <x v="26"/>
    <x v="682"/>
    <x v="475"/>
    <x v="2"/>
    <x v="0"/>
    <x v="5"/>
    <x v="11"/>
    <x v="27"/>
    <x v="0"/>
    <x v="0"/>
    <x v="67"/>
    <x v="16"/>
    <x v="61"/>
    <x v="2"/>
    <x v="0"/>
  </r>
  <r>
    <x v="46"/>
    <x v="372"/>
    <x v="18"/>
    <x v="3"/>
    <x v="375"/>
    <x v="683"/>
    <x v="342"/>
    <x v="2"/>
    <x v="1"/>
    <x v="5"/>
    <x v="11"/>
    <x v="27"/>
    <x v="0"/>
    <x v="0"/>
    <x v="67"/>
    <x v="16"/>
    <x v="61"/>
    <x v="2"/>
    <x v="0"/>
  </r>
  <r>
    <x v="47"/>
    <x v="1059"/>
    <x v="23"/>
    <x v="1"/>
    <x v="1070"/>
    <x v="131"/>
    <x v="302"/>
    <x v="2"/>
    <x v="1"/>
    <x v="5"/>
    <x v="1"/>
    <x v="0"/>
    <x v="8"/>
    <x v="0"/>
    <x v="67"/>
    <x v="16"/>
    <x v="61"/>
    <x v="2"/>
    <x v="0"/>
  </r>
  <r>
    <x v="47"/>
    <x v="913"/>
    <x v="23"/>
    <x v="1"/>
    <x v="921"/>
    <x v="824"/>
    <x v="805"/>
    <x v="2"/>
    <x v="4"/>
    <x v="8"/>
    <x v="13"/>
    <x v="28"/>
    <x v="9"/>
    <x v="0"/>
    <x v="67"/>
    <x v="16"/>
    <x v="61"/>
    <x v="2"/>
    <x v="0"/>
  </r>
  <r>
    <x v="47"/>
    <x v="399"/>
    <x v="18"/>
    <x v="3"/>
    <x v="988"/>
    <x v="739"/>
    <x v="815"/>
    <x v="2"/>
    <x v="4"/>
    <x v="8"/>
    <x v="13"/>
    <x v="28"/>
    <x v="9"/>
    <x v="0"/>
    <x v="67"/>
    <x v="16"/>
    <x v="61"/>
    <x v="2"/>
    <x v="0"/>
  </r>
  <r>
    <x v="47"/>
    <x v="754"/>
    <x v="28"/>
    <x v="19"/>
    <x v="747"/>
    <x v="446"/>
    <x v="656"/>
    <x v="2"/>
    <x v="4"/>
    <x v="8"/>
    <x v="13"/>
    <x v="28"/>
    <x v="9"/>
    <x v="0"/>
    <x v="67"/>
    <x v="16"/>
    <x v="61"/>
    <x v="2"/>
    <x v="0"/>
  </r>
  <r>
    <x v="47"/>
    <x v="1063"/>
    <x v="58"/>
    <x v="3"/>
    <x v="1075"/>
    <x v="876"/>
    <x v="906"/>
    <x v="2"/>
    <x v="1"/>
    <x v="5"/>
    <x v="5"/>
    <x v="19"/>
    <x v="8"/>
    <x v="0"/>
    <x v="67"/>
    <x v="16"/>
    <x v="61"/>
    <x v="2"/>
    <x v="0"/>
  </r>
  <r>
    <x v="47"/>
    <x v="169"/>
    <x v="59"/>
    <x v="15"/>
    <x v="167"/>
    <x v="745"/>
    <x v="164"/>
    <x v="2"/>
    <x v="3"/>
    <x v="8"/>
    <x v="13"/>
    <x v="28"/>
    <x v="9"/>
    <x v="1"/>
    <x v="67"/>
    <x v="16"/>
    <x v="61"/>
    <x v="2"/>
    <x v="0"/>
  </r>
  <r>
    <x v="47"/>
    <x v="583"/>
    <x v="30"/>
    <x v="11"/>
    <x v="651"/>
    <x v="781"/>
    <x v="562"/>
    <x v="2"/>
    <x v="4"/>
    <x v="5"/>
    <x v="9"/>
    <x v="25"/>
    <x v="0"/>
    <x v="0"/>
    <x v="67"/>
    <x v="16"/>
    <x v="61"/>
    <x v="2"/>
    <x v="0"/>
  </r>
  <r>
    <x v="47"/>
    <x v="740"/>
    <x v="33"/>
    <x v="1"/>
    <x v="739"/>
    <x v="1047"/>
    <x v="645"/>
    <x v="2"/>
    <x v="1"/>
    <x v="8"/>
    <x v="13"/>
    <x v="28"/>
    <x v="9"/>
    <x v="0"/>
    <x v="67"/>
    <x v="16"/>
    <x v="61"/>
    <x v="2"/>
    <x v="0"/>
  </r>
  <r>
    <x v="47"/>
    <x v="681"/>
    <x v="48"/>
    <x v="3"/>
    <x v="422"/>
    <x v="960"/>
    <x v="377"/>
    <x v="2"/>
    <x v="1"/>
    <x v="8"/>
    <x v="13"/>
    <x v="28"/>
    <x v="9"/>
    <x v="0"/>
    <x v="67"/>
    <x v="16"/>
    <x v="61"/>
    <x v="2"/>
    <x v="0"/>
  </r>
  <r>
    <x v="47"/>
    <x v="935"/>
    <x v="46"/>
    <x v="1"/>
    <x v="945"/>
    <x v="704"/>
    <x v="819"/>
    <x v="2"/>
    <x v="4"/>
    <x v="8"/>
    <x v="13"/>
    <x v="28"/>
    <x v="9"/>
    <x v="0"/>
    <x v="67"/>
    <x v="16"/>
    <x v="61"/>
    <x v="2"/>
    <x v="0"/>
  </r>
  <r>
    <x v="46"/>
    <x v="881"/>
    <x v="23"/>
    <x v="1"/>
    <x v="885"/>
    <x v="799"/>
    <x v="722"/>
    <x v="2"/>
    <x v="3"/>
    <x v="8"/>
    <x v="13"/>
    <x v="28"/>
    <x v="9"/>
    <x v="1"/>
    <x v="67"/>
    <x v="16"/>
    <x v="61"/>
    <x v="2"/>
    <x v="0"/>
  </r>
  <r>
    <x v="47"/>
    <x v="625"/>
    <x v="40"/>
    <x v="1"/>
    <x v="632"/>
    <x v="986"/>
    <x v="528"/>
    <x v="2"/>
    <x v="3"/>
    <x v="8"/>
    <x v="13"/>
    <x v="28"/>
    <x v="9"/>
    <x v="1"/>
    <x v="67"/>
    <x v="16"/>
    <x v="61"/>
    <x v="2"/>
    <x v="0"/>
  </r>
  <r>
    <x v="48"/>
    <x v="213"/>
    <x v="82"/>
    <x v="5"/>
    <x v="128"/>
    <x v="368"/>
    <x v="31"/>
    <x v="2"/>
    <x v="4"/>
    <x v="5"/>
    <x v="11"/>
    <x v="27"/>
    <x v="0"/>
    <x v="0"/>
    <x v="67"/>
    <x v="16"/>
    <x v="61"/>
    <x v="2"/>
    <x v="0"/>
  </r>
  <r>
    <x v="48"/>
    <x v="0"/>
    <x v="1"/>
    <x v="1"/>
    <x v="575"/>
    <x v="486"/>
    <x v="580"/>
    <x v="2"/>
    <x v="3"/>
    <x v="8"/>
    <x v="13"/>
    <x v="28"/>
    <x v="9"/>
    <x v="0"/>
    <x v="67"/>
    <x v="16"/>
    <x v="61"/>
    <x v="2"/>
    <x v="0"/>
  </r>
  <r>
    <x v="50"/>
    <x v="1015"/>
    <x v="23"/>
    <x v="21"/>
    <x v="1027"/>
    <x v="568"/>
    <x v="790"/>
    <x v="2"/>
    <x v="1"/>
    <x v="5"/>
    <x v="9"/>
    <x v="25"/>
    <x v="0"/>
    <x v="0"/>
    <x v="67"/>
    <x v="16"/>
    <x v="61"/>
    <x v="2"/>
    <x v="0"/>
  </r>
  <r>
    <x v="48"/>
    <x v="673"/>
    <x v="80"/>
    <x v="15"/>
    <x v="947"/>
    <x v="26"/>
    <x v="822"/>
    <x v="2"/>
    <x v="4"/>
    <x v="8"/>
    <x v="13"/>
    <x v="28"/>
    <x v="9"/>
    <x v="0"/>
    <x v="67"/>
    <x v="16"/>
    <x v="61"/>
    <x v="2"/>
    <x v="0"/>
  </r>
  <r>
    <x v="48"/>
    <x v="915"/>
    <x v="23"/>
    <x v="15"/>
    <x v="923"/>
    <x v="171"/>
    <x v="760"/>
    <x v="2"/>
    <x v="3"/>
    <x v="8"/>
    <x v="13"/>
    <x v="28"/>
    <x v="9"/>
    <x v="1"/>
    <x v="67"/>
    <x v="16"/>
    <x v="61"/>
    <x v="2"/>
    <x v="0"/>
  </r>
  <r>
    <x v="49"/>
    <x v="881"/>
    <x v="62"/>
    <x v="1"/>
    <x v="885"/>
    <x v="799"/>
    <x v="722"/>
    <x v="2"/>
    <x v="3"/>
    <x v="8"/>
    <x v="13"/>
    <x v="28"/>
    <x v="9"/>
    <x v="1"/>
    <x v="67"/>
    <x v="16"/>
    <x v="61"/>
    <x v="2"/>
    <x v="0"/>
  </r>
  <r>
    <x v="50"/>
    <x v="157"/>
    <x v="39"/>
    <x v="3"/>
    <x v="548"/>
    <x v="624"/>
    <x v="328"/>
    <x v="2"/>
    <x v="3"/>
    <x v="8"/>
    <x v="13"/>
    <x v="28"/>
    <x v="9"/>
    <x v="1"/>
    <x v="67"/>
    <x v="16"/>
    <x v="61"/>
    <x v="2"/>
    <x v="0"/>
  </r>
  <r>
    <x v="50"/>
    <x v="490"/>
    <x v="33"/>
    <x v="18"/>
    <x v="480"/>
    <x v="798"/>
    <x v="420"/>
    <x v="2"/>
    <x v="1"/>
    <x v="5"/>
    <x v="2"/>
    <x v="13"/>
    <x v="8"/>
    <x v="0"/>
    <x v="67"/>
    <x v="16"/>
    <x v="61"/>
    <x v="2"/>
    <x v="0"/>
  </r>
  <r>
    <x v="50"/>
    <x v="509"/>
    <x v="23"/>
    <x v="15"/>
    <x v="912"/>
    <x v="1008"/>
    <x v="803"/>
    <x v="2"/>
    <x v="0"/>
    <x v="8"/>
    <x v="13"/>
    <x v="28"/>
    <x v="9"/>
    <x v="0"/>
    <x v="67"/>
    <x v="16"/>
    <x v="61"/>
    <x v="2"/>
    <x v="0"/>
  </r>
  <r>
    <x v="50"/>
    <x v="770"/>
    <x v="33"/>
    <x v="22"/>
    <x v="769"/>
    <x v="337"/>
    <x v="669"/>
    <x v="2"/>
    <x v="1"/>
    <x v="5"/>
    <x v="11"/>
    <x v="27"/>
    <x v="0"/>
    <x v="0"/>
    <x v="67"/>
    <x v="16"/>
    <x v="61"/>
    <x v="2"/>
    <x v="0"/>
  </r>
  <r>
    <x v="50"/>
    <x v="46"/>
    <x v="33"/>
    <x v="23"/>
    <x v="40"/>
    <x v="292"/>
    <x v="176"/>
    <x v="2"/>
    <x v="0"/>
    <x v="8"/>
    <x v="13"/>
    <x v="28"/>
    <x v="9"/>
    <x v="0"/>
    <x v="67"/>
    <x v="16"/>
    <x v="61"/>
    <x v="2"/>
    <x v="0"/>
  </r>
  <r>
    <x v="50"/>
    <x v="455"/>
    <x v="30"/>
    <x v="11"/>
    <x v="447"/>
    <x v="469"/>
    <x v="394"/>
    <x v="3"/>
    <x v="4"/>
    <x v="8"/>
    <x v="13"/>
    <x v="28"/>
    <x v="9"/>
    <x v="0"/>
    <x v="67"/>
    <x v="16"/>
    <x v="61"/>
    <x v="2"/>
    <x v="0"/>
  </r>
  <r>
    <x v="50"/>
    <x v="365"/>
    <x v="59"/>
    <x v="21"/>
    <x v="14"/>
    <x v="56"/>
    <x v="2"/>
    <x v="2"/>
    <x v="3"/>
    <x v="8"/>
    <x v="13"/>
    <x v="28"/>
    <x v="9"/>
    <x v="0"/>
    <x v="67"/>
    <x v="16"/>
    <x v="61"/>
    <x v="2"/>
    <x v="0"/>
  </r>
  <r>
    <x v="50"/>
    <x v="365"/>
    <x v="59"/>
    <x v="15"/>
    <x v="14"/>
    <x v="1049"/>
    <x v="917"/>
    <x v="2"/>
    <x v="3"/>
    <x v="8"/>
    <x v="13"/>
    <x v="28"/>
    <x v="9"/>
    <x v="1"/>
    <x v="67"/>
    <x v="16"/>
    <x v="61"/>
    <x v="2"/>
    <x v="0"/>
  </r>
  <r>
    <x v="50"/>
    <x v="957"/>
    <x v="28"/>
    <x v="22"/>
    <x v="966"/>
    <x v="19"/>
    <x v="833"/>
    <x v="2"/>
    <x v="0"/>
    <x v="8"/>
    <x v="13"/>
    <x v="28"/>
    <x v="9"/>
    <x v="0"/>
    <x v="67"/>
    <x v="16"/>
    <x v="61"/>
    <x v="2"/>
    <x v="0"/>
  </r>
  <r>
    <x v="50"/>
    <x v="63"/>
    <x v="18"/>
    <x v="3"/>
    <x v="54"/>
    <x v="956"/>
    <x v="56"/>
    <x v="2"/>
    <x v="4"/>
    <x v="5"/>
    <x v="11"/>
    <x v="27"/>
    <x v="0"/>
    <x v="0"/>
    <x v="67"/>
    <x v="16"/>
    <x v="61"/>
    <x v="2"/>
    <x v="0"/>
  </r>
  <r>
    <x v="50"/>
    <x v="358"/>
    <x v="33"/>
    <x v="23"/>
    <x v="360"/>
    <x v="200"/>
    <x v="321"/>
    <x v="2"/>
    <x v="0"/>
    <x v="5"/>
    <x v="11"/>
    <x v="27"/>
    <x v="0"/>
    <x v="0"/>
    <x v="67"/>
    <x v="16"/>
    <x v="61"/>
    <x v="2"/>
    <x v="0"/>
  </r>
  <r>
    <x v="50"/>
    <x v="119"/>
    <x v="66"/>
    <x v="3"/>
    <x v="114"/>
    <x v="423"/>
    <x v="315"/>
    <x v="2"/>
    <x v="1"/>
    <x v="0"/>
    <x v="7"/>
    <x v="21"/>
    <x v="6"/>
    <x v="0"/>
    <x v="67"/>
    <x v="16"/>
    <x v="61"/>
    <x v="2"/>
    <x v="0"/>
  </r>
  <r>
    <x v="50"/>
    <x v="305"/>
    <x v="69"/>
    <x v="1"/>
    <x v="1048"/>
    <x v="286"/>
    <x v="888"/>
    <x v="2"/>
    <x v="4"/>
    <x v="8"/>
    <x v="13"/>
    <x v="28"/>
    <x v="9"/>
    <x v="0"/>
    <x v="67"/>
    <x v="16"/>
    <x v="61"/>
    <x v="2"/>
    <x v="0"/>
  </r>
  <r>
    <x v="50"/>
    <x v="228"/>
    <x v="23"/>
    <x v="1"/>
    <x v="331"/>
    <x v="311"/>
    <x v="285"/>
    <x v="2"/>
    <x v="4"/>
    <x v="5"/>
    <x v="11"/>
    <x v="27"/>
    <x v="0"/>
    <x v="0"/>
    <x v="67"/>
    <x v="16"/>
    <x v="61"/>
    <x v="2"/>
    <x v="0"/>
  </r>
  <r>
    <x v="50"/>
    <x v="200"/>
    <x v="30"/>
    <x v="15"/>
    <x v="26"/>
    <x v="682"/>
    <x v="475"/>
    <x v="2"/>
    <x v="0"/>
    <x v="8"/>
    <x v="13"/>
    <x v="28"/>
    <x v="9"/>
    <x v="0"/>
    <x v="67"/>
    <x v="16"/>
    <x v="61"/>
    <x v="2"/>
    <x v="0"/>
  </r>
  <r>
    <x v="50"/>
    <x v="642"/>
    <x v="14"/>
    <x v="3"/>
    <x v="650"/>
    <x v="191"/>
    <x v="560"/>
    <x v="2"/>
    <x v="1"/>
    <x v="5"/>
    <x v="11"/>
    <x v="27"/>
    <x v="0"/>
    <x v="0"/>
    <x v="67"/>
    <x v="16"/>
    <x v="61"/>
    <x v="2"/>
    <x v="0"/>
  </r>
  <r>
    <x v="50"/>
    <x v="344"/>
    <x v="38"/>
    <x v="3"/>
    <x v="350"/>
    <x v="585"/>
    <x v="317"/>
    <x v="2"/>
    <x v="1"/>
    <x v="8"/>
    <x v="13"/>
    <x v="28"/>
    <x v="9"/>
    <x v="0"/>
    <x v="67"/>
    <x v="16"/>
    <x v="61"/>
    <x v="2"/>
    <x v="0"/>
  </r>
  <r>
    <x v="50"/>
    <x v="684"/>
    <x v="30"/>
    <x v="21"/>
    <x v="689"/>
    <x v="346"/>
    <x v="597"/>
    <x v="2"/>
    <x v="0"/>
    <x v="8"/>
    <x v="13"/>
    <x v="28"/>
    <x v="9"/>
    <x v="0"/>
    <x v="67"/>
    <x v="16"/>
    <x v="61"/>
    <x v="2"/>
    <x v="0"/>
  </r>
  <r>
    <x v="51"/>
    <x v="370"/>
    <x v="23"/>
    <x v="1"/>
    <x v="373"/>
    <x v="178"/>
    <x v="341"/>
    <x v="2"/>
    <x v="1"/>
    <x v="5"/>
    <x v="11"/>
    <x v="27"/>
    <x v="0"/>
    <x v="0"/>
    <x v="67"/>
    <x v="16"/>
    <x v="61"/>
    <x v="2"/>
    <x v="0"/>
  </r>
  <r>
    <x v="50"/>
    <x v="792"/>
    <x v="23"/>
    <x v="1"/>
    <x v="788"/>
    <x v="152"/>
    <x v="690"/>
    <x v="2"/>
    <x v="4"/>
    <x v="8"/>
    <x v="13"/>
    <x v="28"/>
    <x v="9"/>
    <x v="0"/>
    <x v="67"/>
    <x v="16"/>
    <x v="61"/>
    <x v="2"/>
    <x v="0"/>
  </r>
  <r>
    <x v="50"/>
    <x v="544"/>
    <x v="30"/>
    <x v="19"/>
    <x v="635"/>
    <x v="859"/>
    <x v="540"/>
    <x v="2"/>
    <x v="0"/>
    <x v="8"/>
    <x v="13"/>
    <x v="28"/>
    <x v="9"/>
    <x v="0"/>
    <x v="67"/>
    <x v="16"/>
    <x v="61"/>
    <x v="2"/>
    <x v="0"/>
  </r>
  <r>
    <x v="51"/>
    <x v="178"/>
    <x v="42"/>
    <x v="19"/>
    <x v="182"/>
    <x v="780"/>
    <x v="434"/>
    <x v="2"/>
    <x v="0"/>
    <x v="5"/>
    <x v="1"/>
    <x v="0"/>
    <x v="8"/>
    <x v="0"/>
    <x v="67"/>
    <x v="16"/>
    <x v="61"/>
    <x v="2"/>
    <x v="0"/>
  </r>
  <r>
    <x v="51"/>
    <x v="94"/>
    <x v="92"/>
    <x v="20"/>
    <x v="86"/>
    <x v="463"/>
    <x v="75"/>
    <x v="2"/>
    <x v="0"/>
    <x v="8"/>
    <x v="13"/>
    <x v="28"/>
    <x v="9"/>
    <x v="0"/>
    <x v="67"/>
    <x v="16"/>
    <x v="61"/>
    <x v="2"/>
    <x v="0"/>
  </r>
  <r>
    <x v="51"/>
    <x v="74"/>
    <x v="23"/>
    <x v="1"/>
    <x v="503"/>
    <x v="841"/>
    <x v="735"/>
    <x v="2"/>
    <x v="4"/>
    <x v="0"/>
    <x v="7"/>
    <x v="21"/>
    <x v="6"/>
    <x v="0"/>
    <x v="67"/>
    <x v="16"/>
    <x v="61"/>
    <x v="2"/>
    <x v="0"/>
  </r>
  <r>
    <x v="51"/>
    <x v="1066"/>
    <x v="86"/>
    <x v="20"/>
    <x v="1078"/>
    <x v="490"/>
    <x v="711"/>
    <x v="2"/>
    <x v="3"/>
    <x v="8"/>
    <x v="13"/>
    <x v="28"/>
    <x v="9"/>
    <x v="1"/>
    <x v="67"/>
    <x v="16"/>
    <x v="61"/>
    <x v="2"/>
    <x v="0"/>
  </r>
  <r>
    <x v="51"/>
    <x v="499"/>
    <x v="22"/>
    <x v="3"/>
    <x v="126"/>
    <x v="785"/>
    <x v="155"/>
    <x v="2"/>
    <x v="3"/>
    <x v="8"/>
    <x v="13"/>
    <x v="28"/>
    <x v="9"/>
    <x v="1"/>
    <x v="67"/>
    <x v="16"/>
    <x v="61"/>
    <x v="2"/>
    <x v="0"/>
  </r>
  <r>
    <x v="50"/>
    <x v="753"/>
    <x v="69"/>
    <x v="1"/>
    <x v="940"/>
    <x v="16"/>
    <x v="818"/>
    <x v="2"/>
    <x v="3"/>
    <x v="8"/>
    <x v="13"/>
    <x v="28"/>
    <x v="9"/>
    <x v="1"/>
    <x v="67"/>
    <x v="16"/>
    <x v="61"/>
    <x v="2"/>
    <x v="0"/>
  </r>
  <r>
    <x v="51"/>
    <x v="499"/>
    <x v="30"/>
    <x v="19"/>
    <x v="126"/>
    <x v="785"/>
    <x v="155"/>
    <x v="2"/>
    <x v="3"/>
    <x v="8"/>
    <x v="13"/>
    <x v="28"/>
    <x v="9"/>
    <x v="1"/>
    <x v="67"/>
    <x v="16"/>
    <x v="61"/>
    <x v="2"/>
    <x v="0"/>
  </r>
  <r>
    <x v="50"/>
    <x v="33"/>
    <x v="92"/>
    <x v="20"/>
    <x v="15"/>
    <x v="575"/>
    <x v="23"/>
    <x v="2"/>
    <x v="3"/>
    <x v="8"/>
    <x v="13"/>
    <x v="28"/>
    <x v="9"/>
    <x v="1"/>
    <x v="67"/>
    <x v="16"/>
    <x v="61"/>
    <x v="2"/>
    <x v="0"/>
  </r>
  <r>
    <x v="50"/>
    <x v="890"/>
    <x v="7"/>
    <x v="21"/>
    <x v="896"/>
    <x v="987"/>
    <x v="369"/>
    <x v="2"/>
    <x v="4"/>
    <x v="8"/>
    <x v="13"/>
    <x v="28"/>
    <x v="9"/>
    <x v="0"/>
    <x v="67"/>
    <x v="16"/>
    <x v="61"/>
    <x v="2"/>
    <x v="0"/>
  </r>
  <r>
    <x v="50"/>
    <x v="863"/>
    <x v="52"/>
    <x v="24"/>
    <x v="865"/>
    <x v="602"/>
    <x v="769"/>
    <x v="2"/>
    <x v="0"/>
    <x v="8"/>
    <x v="13"/>
    <x v="28"/>
    <x v="9"/>
    <x v="0"/>
    <x v="67"/>
    <x v="16"/>
    <x v="61"/>
    <x v="2"/>
    <x v="0"/>
  </r>
  <r>
    <x v="51"/>
    <x v="786"/>
    <x v="46"/>
    <x v="1"/>
    <x v="786"/>
    <x v="503"/>
    <x v="393"/>
    <x v="2"/>
    <x v="1"/>
    <x v="8"/>
    <x v="13"/>
    <x v="28"/>
    <x v="9"/>
    <x v="0"/>
    <x v="67"/>
    <x v="16"/>
    <x v="61"/>
    <x v="2"/>
    <x v="0"/>
  </r>
  <r>
    <x v="51"/>
    <x v="961"/>
    <x v="30"/>
    <x v="19"/>
    <x v="970"/>
    <x v="775"/>
    <x v="836"/>
    <x v="2"/>
    <x v="3"/>
    <x v="8"/>
    <x v="13"/>
    <x v="28"/>
    <x v="9"/>
    <x v="1"/>
    <x v="67"/>
    <x v="16"/>
    <x v="61"/>
    <x v="2"/>
    <x v="0"/>
  </r>
  <r>
    <x v="51"/>
    <x v="952"/>
    <x v="18"/>
    <x v="3"/>
    <x v="971"/>
    <x v="141"/>
    <x v="829"/>
    <x v="2"/>
    <x v="4"/>
    <x v="5"/>
    <x v="9"/>
    <x v="26"/>
    <x v="0"/>
    <x v="0"/>
    <x v="67"/>
    <x v="16"/>
    <x v="61"/>
    <x v="2"/>
    <x v="0"/>
  </r>
  <r>
    <x v="51"/>
    <x v="529"/>
    <x v="23"/>
    <x v="1"/>
    <x v="519"/>
    <x v="932"/>
    <x v="443"/>
    <x v="2"/>
    <x v="3"/>
    <x v="8"/>
    <x v="13"/>
    <x v="28"/>
    <x v="9"/>
    <x v="1"/>
    <x v="67"/>
    <x v="16"/>
    <x v="61"/>
    <x v="2"/>
    <x v="0"/>
  </r>
  <r>
    <x v="51"/>
    <x v="87"/>
    <x v="59"/>
    <x v="11"/>
    <x v="78"/>
    <x v="115"/>
    <x v="74"/>
    <x v="2"/>
    <x v="3"/>
    <x v="8"/>
    <x v="13"/>
    <x v="28"/>
    <x v="9"/>
    <x v="1"/>
    <x v="67"/>
    <x v="16"/>
    <x v="61"/>
    <x v="2"/>
    <x v="0"/>
  </r>
  <r>
    <x v="51"/>
    <x v="414"/>
    <x v="9"/>
    <x v="12"/>
    <x v="412"/>
    <x v="120"/>
    <x v="640"/>
    <x v="2"/>
    <x v="1"/>
    <x v="8"/>
    <x v="13"/>
    <x v="28"/>
    <x v="9"/>
    <x v="0"/>
    <x v="67"/>
    <x v="16"/>
    <x v="61"/>
    <x v="2"/>
    <x v="0"/>
  </r>
  <r>
    <x v="51"/>
    <x v="1020"/>
    <x v="30"/>
    <x v="19"/>
    <x v="1032"/>
    <x v="402"/>
    <x v="878"/>
    <x v="2"/>
    <x v="4"/>
    <x v="8"/>
    <x v="13"/>
    <x v="28"/>
    <x v="9"/>
    <x v="0"/>
    <x v="67"/>
    <x v="16"/>
    <x v="61"/>
    <x v="2"/>
    <x v="0"/>
  </r>
  <r>
    <x v="51"/>
    <x v="649"/>
    <x v="23"/>
    <x v="6"/>
    <x v="364"/>
    <x v="247"/>
    <x v="326"/>
    <x v="2"/>
    <x v="4"/>
    <x v="8"/>
    <x v="13"/>
    <x v="28"/>
    <x v="9"/>
    <x v="0"/>
    <x v="67"/>
    <x v="16"/>
    <x v="61"/>
    <x v="2"/>
    <x v="0"/>
  </r>
  <r>
    <x v="52"/>
    <x v="962"/>
    <x v="33"/>
    <x v="22"/>
    <x v="975"/>
    <x v="815"/>
    <x v="838"/>
    <x v="2"/>
    <x v="3"/>
    <x v="8"/>
    <x v="13"/>
    <x v="28"/>
    <x v="9"/>
    <x v="1"/>
    <x v="67"/>
    <x v="16"/>
    <x v="61"/>
    <x v="2"/>
    <x v="0"/>
  </r>
  <r>
    <x v="51"/>
    <x v="850"/>
    <x v="30"/>
    <x v="19"/>
    <x v="853"/>
    <x v="970"/>
    <x v="301"/>
    <x v="2"/>
    <x v="4"/>
    <x v="8"/>
    <x v="13"/>
    <x v="28"/>
    <x v="9"/>
    <x v="0"/>
    <x v="67"/>
    <x v="16"/>
    <x v="61"/>
    <x v="2"/>
    <x v="0"/>
  </r>
  <r>
    <x v="52"/>
    <x v="561"/>
    <x v="23"/>
    <x v="1"/>
    <x v="554"/>
    <x v="923"/>
    <x v="485"/>
    <x v="2"/>
    <x v="4"/>
    <x v="8"/>
    <x v="13"/>
    <x v="28"/>
    <x v="9"/>
    <x v="0"/>
    <x v="67"/>
    <x v="16"/>
    <x v="61"/>
    <x v="2"/>
    <x v="0"/>
  </r>
  <r>
    <x v="52"/>
    <x v="427"/>
    <x v="60"/>
    <x v="11"/>
    <x v="567"/>
    <x v="80"/>
    <x v="491"/>
    <x v="2"/>
    <x v="1"/>
    <x v="8"/>
    <x v="13"/>
    <x v="28"/>
    <x v="9"/>
    <x v="0"/>
    <x v="67"/>
    <x v="16"/>
    <x v="61"/>
    <x v="2"/>
    <x v="0"/>
  </r>
  <r>
    <x v="52"/>
    <x v="829"/>
    <x v="30"/>
    <x v="19"/>
    <x v="576"/>
    <x v="545"/>
    <x v="2"/>
    <x v="2"/>
    <x v="4"/>
    <x v="5"/>
    <x v="9"/>
    <x v="25"/>
    <x v="0"/>
    <x v="0"/>
    <x v="5"/>
    <x v="2"/>
    <x v="61"/>
    <x v="2"/>
    <x v="0"/>
  </r>
  <r>
    <x v="52"/>
    <x v="614"/>
    <x v="62"/>
    <x v="24"/>
    <x v="622"/>
    <x v="34"/>
    <x v="2"/>
    <x v="2"/>
    <x v="3"/>
    <x v="3"/>
    <x v="13"/>
    <x v="28"/>
    <x v="1"/>
    <x v="2"/>
    <x v="67"/>
    <x v="16"/>
    <x v="61"/>
    <x v="2"/>
    <x v="0"/>
  </r>
  <r>
    <x v="53"/>
    <x v="697"/>
    <x v="47"/>
    <x v="3"/>
    <x v="699"/>
    <x v="182"/>
    <x v="5"/>
    <x v="2"/>
    <x v="0"/>
    <x v="8"/>
    <x v="13"/>
    <x v="28"/>
    <x v="9"/>
    <x v="0"/>
    <x v="17"/>
    <x v="9"/>
    <x v="61"/>
    <x v="2"/>
    <x v="0"/>
  </r>
  <r>
    <x v="53"/>
    <x v="273"/>
    <x v="62"/>
    <x v="24"/>
    <x v="284"/>
    <x v="118"/>
    <x v="253"/>
    <x v="2"/>
    <x v="4"/>
    <x v="8"/>
    <x v="13"/>
    <x v="28"/>
    <x v="9"/>
    <x v="0"/>
    <x v="17"/>
    <x v="9"/>
    <x v="61"/>
    <x v="2"/>
    <x v="0"/>
  </r>
  <r>
    <x v="53"/>
    <x v="316"/>
    <x v="33"/>
    <x v="22"/>
    <x v="330"/>
    <x v="208"/>
    <x v="269"/>
    <x v="2"/>
    <x v="0"/>
    <x v="5"/>
    <x v="9"/>
    <x v="25"/>
    <x v="0"/>
    <x v="0"/>
    <x v="17"/>
    <x v="9"/>
    <x v="61"/>
    <x v="2"/>
    <x v="0"/>
  </r>
  <r>
    <x v="53"/>
    <x v="712"/>
    <x v="19"/>
    <x v="3"/>
    <x v="714"/>
    <x v="143"/>
    <x v="611"/>
    <x v="2"/>
    <x v="0"/>
    <x v="8"/>
    <x v="13"/>
    <x v="28"/>
    <x v="9"/>
    <x v="0"/>
    <x v="17"/>
    <x v="2"/>
    <x v="61"/>
    <x v="2"/>
    <x v="0"/>
  </r>
  <r>
    <x v="53"/>
    <x v="202"/>
    <x v="23"/>
    <x v="1"/>
    <x v="200"/>
    <x v="772"/>
    <x v="195"/>
    <x v="2"/>
    <x v="4"/>
    <x v="8"/>
    <x v="13"/>
    <x v="28"/>
    <x v="9"/>
    <x v="0"/>
    <x v="46"/>
    <x v="9"/>
    <x v="61"/>
    <x v="2"/>
    <x v="0"/>
  </r>
  <r>
    <x v="53"/>
    <x v="824"/>
    <x v="30"/>
    <x v="19"/>
    <x v="830"/>
    <x v="148"/>
    <x v="719"/>
    <x v="2"/>
    <x v="0"/>
    <x v="5"/>
    <x v="11"/>
    <x v="27"/>
    <x v="0"/>
    <x v="0"/>
    <x v="18"/>
    <x v="2"/>
    <x v="61"/>
    <x v="2"/>
    <x v="0"/>
  </r>
  <r>
    <x v="53"/>
    <x v="632"/>
    <x v="18"/>
    <x v="3"/>
    <x v="639"/>
    <x v="297"/>
    <x v="349"/>
    <x v="2"/>
    <x v="4"/>
    <x v="5"/>
    <x v="11"/>
    <x v="27"/>
    <x v="0"/>
    <x v="0"/>
    <x v="17"/>
    <x v="9"/>
    <x v="61"/>
    <x v="2"/>
    <x v="0"/>
  </r>
  <r>
    <x v="52"/>
    <x v="861"/>
    <x v="30"/>
    <x v="19"/>
    <x v="863"/>
    <x v="442"/>
    <x v="5"/>
    <x v="2"/>
    <x v="0"/>
    <x v="8"/>
    <x v="13"/>
    <x v="28"/>
    <x v="9"/>
    <x v="0"/>
    <x v="18"/>
    <x v="2"/>
    <x v="61"/>
    <x v="2"/>
    <x v="0"/>
  </r>
  <r>
    <x v="52"/>
    <x v="500"/>
    <x v="42"/>
    <x v="19"/>
    <x v="219"/>
    <x v="998"/>
    <x v="5"/>
    <x v="2"/>
    <x v="1"/>
    <x v="8"/>
    <x v="13"/>
    <x v="28"/>
    <x v="9"/>
    <x v="0"/>
    <x v="17"/>
    <x v="9"/>
    <x v="61"/>
    <x v="2"/>
    <x v="0"/>
  </r>
  <r>
    <x v="53"/>
    <x v="896"/>
    <x v="33"/>
    <x v="1"/>
    <x v="231"/>
    <x v="530"/>
    <x v="498"/>
    <x v="2"/>
    <x v="4"/>
    <x v="8"/>
    <x v="13"/>
    <x v="28"/>
    <x v="9"/>
    <x v="0"/>
    <x v="9"/>
    <x v="12"/>
    <x v="61"/>
    <x v="2"/>
    <x v="0"/>
  </r>
  <r>
    <x v="53"/>
    <x v="0"/>
    <x v="1"/>
    <x v="19"/>
    <x v="651"/>
    <x v="1049"/>
    <x v="917"/>
    <x v="2"/>
    <x v="3"/>
    <x v="8"/>
    <x v="13"/>
    <x v="28"/>
    <x v="9"/>
    <x v="1"/>
    <x v="18"/>
    <x v="2"/>
    <x v="61"/>
    <x v="2"/>
    <x v="0"/>
  </r>
  <r>
    <x v="53"/>
    <x v="683"/>
    <x v="23"/>
    <x v="1"/>
    <x v="688"/>
    <x v="494"/>
    <x v="697"/>
    <x v="2"/>
    <x v="3"/>
    <x v="8"/>
    <x v="13"/>
    <x v="28"/>
    <x v="9"/>
    <x v="0"/>
    <x v="25"/>
    <x v="12"/>
    <x v="61"/>
    <x v="2"/>
    <x v="0"/>
  </r>
  <r>
    <x v="53"/>
    <x v="611"/>
    <x v="30"/>
    <x v="11"/>
    <x v="618"/>
    <x v="383"/>
    <x v="526"/>
    <x v="2"/>
    <x v="3"/>
    <x v="8"/>
    <x v="13"/>
    <x v="28"/>
    <x v="9"/>
    <x v="1"/>
    <x v="21"/>
    <x v="14"/>
    <x v="61"/>
    <x v="2"/>
    <x v="0"/>
  </r>
  <r>
    <x v="53"/>
    <x v="796"/>
    <x v="104"/>
    <x v="20"/>
    <x v="624"/>
    <x v="805"/>
    <x v="530"/>
    <x v="2"/>
    <x v="3"/>
    <x v="8"/>
    <x v="13"/>
    <x v="28"/>
    <x v="9"/>
    <x v="1"/>
    <x v="18"/>
    <x v="12"/>
    <x v="61"/>
    <x v="2"/>
    <x v="0"/>
  </r>
  <r>
    <x v="54"/>
    <x v="1045"/>
    <x v="9"/>
    <x v="10"/>
    <x v="1060"/>
    <x v="930"/>
    <x v="900"/>
    <x v="2"/>
    <x v="1"/>
    <x v="8"/>
    <x v="13"/>
    <x v="28"/>
    <x v="9"/>
    <x v="0"/>
    <x v="60"/>
    <x v="15"/>
    <x v="61"/>
    <x v="2"/>
    <x v="0"/>
  </r>
  <r>
    <x v="54"/>
    <x v="536"/>
    <x v="30"/>
    <x v="21"/>
    <x v="526"/>
    <x v="873"/>
    <x v="171"/>
    <x v="2"/>
    <x v="3"/>
    <x v="8"/>
    <x v="13"/>
    <x v="28"/>
    <x v="9"/>
    <x v="1"/>
    <x v="23"/>
    <x v="9"/>
    <x v="61"/>
    <x v="2"/>
    <x v="0"/>
  </r>
  <r>
    <x v="54"/>
    <x v="536"/>
    <x v="23"/>
    <x v="1"/>
    <x v="526"/>
    <x v="873"/>
    <x v="171"/>
    <x v="2"/>
    <x v="3"/>
    <x v="8"/>
    <x v="13"/>
    <x v="28"/>
    <x v="9"/>
    <x v="1"/>
    <x v="23"/>
    <x v="9"/>
    <x v="61"/>
    <x v="2"/>
    <x v="0"/>
  </r>
  <r>
    <x v="54"/>
    <x v="633"/>
    <x v="23"/>
    <x v="21"/>
    <x v="276"/>
    <x v="25"/>
    <x v="245"/>
    <x v="2"/>
    <x v="3"/>
    <x v="8"/>
    <x v="13"/>
    <x v="28"/>
    <x v="9"/>
    <x v="1"/>
    <x v="12"/>
    <x v="14"/>
    <x v="61"/>
    <x v="2"/>
    <x v="0"/>
  </r>
  <r>
    <x v="54"/>
    <x v="436"/>
    <x v="23"/>
    <x v="6"/>
    <x v="429"/>
    <x v="60"/>
    <x v="117"/>
    <x v="2"/>
    <x v="4"/>
    <x v="0"/>
    <x v="7"/>
    <x v="21"/>
    <x v="6"/>
    <x v="0"/>
    <x v="18"/>
    <x v="2"/>
    <x v="61"/>
    <x v="2"/>
    <x v="0"/>
  </r>
  <r>
    <x v="54"/>
    <x v="507"/>
    <x v="33"/>
    <x v="22"/>
    <x v="492"/>
    <x v="259"/>
    <x v="431"/>
    <x v="2"/>
    <x v="1"/>
    <x v="5"/>
    <x v="5"/>
    <x v="4"/>
    <x v="4"/>
    <x v="0"/>
    <x v="18"/>
    <x v="2"/>
    <x v="61"/>
    <x v="2"/>
    <x v="0"/>
  </r>
  <r>
    <x v="54"/>
    <x v="929"/>
    <x v="55"/>
    <x v="20"/>
    <x v="936"/>
    <x v="855"/>
    <x v="817"/>
    <x v="2"/>
    <x v="3"/>
    <x v="8"/>
    <x v="13"/>
    <x v="28"/>
    <x v="9"/>
    <x v="1"/>
    <x v="59"/>
    <x v="15"/>
    <x v="61"/>
    <x v="2"/>
    <x v="0"/>
  </r>
  <r>
    <x v="54"/>
    <x v="393"/>
    <x v="30"/>
    <x v="19"/>
    <x v="394"/>
    <x v="430"/>
    <x v="360"/>
    <x v="2"/>
    <x v="4"/>
    <x v="8"/>
    <x v="13"/>
    <x v="28"/>
    <x v="9"/>
    <x v="0"/>
    <x v="21"/>
    <x v="14"/>
    <x v="61"/>
    <x v="2"/>
    <x v="0"/>
  </r>
  <r>
    <x v="54"/>
    <x v="274"/>
    <x v="30"/>
    <x v="11"/>
    <x v="399"/>
    <x v="212"/>
    <x v="855"/>
    <x v="2"/>
    <x v="4"/>
    <x v="5"/>
    <x v="1"/>
    <x v="0"/>
    <x v="8"/>
    <x v="0"/>
    <x v="16"/>
    <x v="9"/>
    <x v="61"/>
    <x v="2"/>
    <x v="0"/>
  </r>
  <r>
    <x v="54"/>
    <x v="0"/>
    <x v="1"/>
    <x v="21"/>
    <x v="634"/>
    <x v="126"/>
    <x v="541"/>
    <x v="2"/>
    <x v="3"/>
    <x v="8"/>
    <x v="13"/>
    <x v="28"/>
    <x v="9"/>
    <x v="1"/>
    <x v="16"/>
    <x v="9"/>
    <x v="61"/>
    <x v="2"/>
    <x v="0"/>
  </r>
  <r>
    <x v="54"/>
    <x v="0"/>
    <x v="1"/>
    <x v="15"/>
    <x v="634"/>
    <x v="126"/>
    <x v="541"/>
    <x v="2"/>
    <x v="3"/>
    <x v="8"/>
    <x v="13"/>
    <x v="28"/>
    <x v="9"/>
    <x v="1"/>
    <x v="16"/>
    <x v="9"/>
    <x v="61"/>
    <x v="2"/>
    <x v="0"/>
  </r>
  <r>
    <x v="53"/>
    <x v="808"/>
    <x v="23"/>
    <x v="23"/>
    <x v="811"/>
    <x v="894"/>
    <x v="2"/>
    <x v="2"/>
    <x v="4"/>
    <x v="8"/>
    <x v="13"/>
    <x v="28"/>
    <x v="9"/>
    <x v="0"/>
    <x v="18"/>
    <x v="2"/>
    <x v="61"/>
    <x v="2"/>
    <x v="0"/>
  </r>
  <r>
    <x v="54"/>
    <x v="890"/>
    <x v="7"/>
    <x v="21"/>
    <x v="896"/>
    <x v="987"/>
    <x v="369"/>
    <x v="2"/>
    <x v="3"/>
    <x v="8"/>
    <x v="13"/>
    <x v="28"/>
    <x v="9"/>
    <x v="1"/>
    <x v="18"/>
    <x v="2"/>
    <x v="61"/>
    <x v="2"/>
    <x v="0"/>
  </r>
  <r>
    <x v="54"/>
    <x v="0"/>
    <x v="1"/>
    <x v="15"/>
    <x v="896"/>
    <x v="987"/>
    <x v="369"/>
    <x v="2"/>
    <x v="3"/>
    <x v="8"/>
    <x v="13"/>
    <x v="28"/>
    <x v="9"/>
    <x v="1"/>
    <x v="18"/>
    <x v="2"/>
    <x v="61"/>
    <x v="2"/>
    <x v="0"/>
  </r>
  <r>
    <x v="55"/>
    <x v="1021"/>
    <x v="10"/>
    <x v="19"/>
    <x v="1033"/>
    <x v="402"/>
    <x v="878"/>
    <x v="2"/>
    <x v="3"/>
    <x v="8"/>
    <x v="13"/>
    <x v="28"/>
    <x v="9"/>
    <x v="1"/>
    <x v="21"/>
    <x v="14"/>
    <x v="61"/>
    <x v="2"/>
    <x v="0"/>
  </r>
  <r>
    <x v="55"/>
    <x v="680"/>
    <x v="19"/>
    <x v="6"/>
    <x v="686"/>
    <x v="512"/>
    <x v="598"/>
    <x v="2"/>
    <x v="3"/>
    <x v="8"/>
    <x v="13"/>
    <x v="28"/>
    <x v="9"/>
    <x v="1"/>
    <x v="9"/>
    <x v="12"/>
    <x v="61"/>
    <x v="2"/>
    <x v="0"/>
  </r>
  <r>
    <x v="54"/>
    <x v="605"/>
    <x v="69"/>
    <x v="1"/>
    <x v="610"/>
    <x v="879"/>
    <x v="514"/>
    <x v="2"/>
    <x v="4"/>
    <x v="5"/>
    <x v="11"/>
    <x v="27"/>
    <x v="0"/>
    <x v="0"/>
    <x v="59"/>
    <x v="15"/>
    <x v="61"/>
    <x v="2"/>
    <x v="0"/>
  </r>
  <r>
    <x v="55"/>
    <x v="731"/>
    <x v="18"/>
    <x v="3"/>
    <x v="530"/>
    <x v="699"/>
    <x v="0"/>
    <x v="2"/>
    <x v="0"/>
    <x v="1"/>
    <x v="13"/>
    <x v="28"/>
    <x v="9"/>
    <x v="0"/>
    <x v="21"/>
    <x v="14"/>
    <x v="61"/>
    <x v="2"/>
    <x v="0"/>
  </r>
  <r>
    <x v="55"/>
    <x v="446"/>
    <x v="46"/>
    <x v="1"/>
    <x v="611"/>
    <x v="1"/>
    <x v="3"/>
    <x v="2"/>
    <x v="3"/>
    <x v="8"/>
    <x v="13"/>
    <x v="28"/>
    <x v="9"/>
    <x v="1"/>
    <x v="18"/>
    <x v="2"/>
    <x v="61"/>
    <x v="2"/>
    <x v="0"/>
  </r>
  <r>
    <x v="55"/>
    <x v="669"/>
    <x v="41"/>
    <x v="22"/>
    <x v="676"/>
    <x v="615"/>
    <x v="917"/>
    <x v="2"/>
    <x v="1"/>
    <x v="8"/>
    <x v="13"/>
    <x v="28"/>
    <x v="9"/>
    <x v="0"/>
    <x v="60"/>
    <x v="15"/>
    <x v="61"/>
    <x v="2"/>
    <x v="0"/>
  </r>
  <r>
    <x v="56"/>
    <x v="744"/>
    <x v="93"/>
    <x v="23"/>
    <x v="753"/>
    <x v="954"/>
    <x v="720"/>
    <x v="2"/>
    <x v="3"/>
    <x v="8"/>
    <x v="13"/>
    <x v="28"/>
    <x v="9"/>
    <x v="1"/>
    <x v="62"/>
    <x v="15"/>
    <x v="0"/>
    <x v="2"/>
    <x v="0"/>
  </r>
  <r>
    <x v="56"/>
    <x v="469"/>
    <x v="33"/>
    <x v="18"/>
    <x v="461"/>
    <x v="926"/>
    <x v="584"/>
    <x v="2"/>
    <x v="3"/>
    <x v="8"/>
    <x v="13"/>
    <x v="28"/>
    <x v="9"/>
    <x v="0"/>
    <x v="16"/>
    <x v="9"/>
    <x v="22"/>
    <x v="2"/>
    <x v="0"/>
  </r>
  <r>
    <x v="56"/>
    <x v="469"/>
    <x v="30"/>
    <x v="19"/>
    <x v="461"/>
    <x v="926"/>
    <x v="584"/>
    <x v="2"/>
    <x v="3"/>
    <x v="8"/>
    <x v="13"/>
    <x v="28"/>
    <x v="9"/>
    <x v="0"/>
    <x v="16"/>
    <x v="9"/>
    <x v="22"/>
    <x v="2"/>
    <x v="0"/>
  </r>
  <r>
    <x v="55"/>
    <x v="124"/>
    <x v="23"/>
    <x v="6"/>
    <x v="590"/>
    <x v="1028"/>
    <x v="519"/>
    <x v="2"/>
    <x v="3"/>
    <x v="8"/>
    <x v="13"/>
    <x v="28"/>
    <x v="9"/>
    <x v="1"/>
    <x v="21"/>
    <x v="14"/>
    <x v="0"/>
    <x v="2"/>
    <x v="0"/>
  </r>
  <r>
    <x v="56"/>
    <x v="159"/>
    <x v="23"/>
    <x v="6"/>
    <x v="161"/>
    <x v="153"/>
    <x v="151"/>
    <x v="2"/>
    <x v="0"/>
    <x v="8"/>
    <x v="13"/>
    <x v="28"/>
    <x v="9"/>
    <x v="0"/>
    <x v="17"/>
    <x v="9"/>
    <x v="27"/>
    <x v="2"/>
    <x v="0"/>
  </r>
  <r>
    <x v="56"/>
    <x v="442"/>
    <x v="30"/>
    <x v="19"/>
    <x v="438"/>
    <x v="708"/>
    <x v="387"/>
    <x v="2"/>
    <x v="3"/>
    <x v="8"/>
    <x v="13"/>
    <x v="28"/>
    <x v="9"/>
    <x v="1"/>
    <x v="59"/>
    <x v="15"/>
    <x v="24"/>
    <x v="2"/>
    <x v="0"/>
  </r>
  <r>
    <x v="55"/>
    <x v="75"/>
    <x v="30"/>
    <x v="19"/>
    <x v="264"/>
    <x v="613"/>
    <x v="236"/>
    <x v="2"/>
    <x v="1"/>
    <x v="5"/>
    <x v="9"/>
    <x v="25"/>
    <x v="0"/>
    <x v="0"/>
    <x v="21"/>
    <x v="14"/>
    <x v="15"/>
    <x v="2"/>
    <x v="0"/>
  </r>
  <r>
    <x v="55"/>
    <x v="735"/>
    <x v="33"/>
    <x v="22"/>
    <x v="734"/>
    <x v="591"/>
    <x v="917"/>
    <x v="2"/>
    <x v="4"/>
    <x v="8"/>
    <x v="13"/>
    <x v="28"/>
    <x v="9"/>
    <x v="0"/>
    <x v="18"/>
    <x v="2"/>
    <x v="1"/>
    <x v="2"/>
    <x v="0"/>
  </r>
  <r>
    <x v="56"/>
    <x v="255"/>
    <x v="76"/>
    <x v="3"/>
    <x v="269"/>
    <x v="779"/>
    <x v="238"/>
    <x v="2"/>
    <x v="4"/>
    <x v="8"/>
    <x v="13"/>
    <x v="28"/>
    <x v="9"/>
    <x v="0"/>
    <x v="20"/>
    <x v="9"/>
    <x v="44"/>
    <x v="2"/>
    <x v="0"/>
  </r>
  <r>
    <x v="57"/>
    <x v="440"/>
    <x v="33"/>
    <x v="22"/>
    <x v="436"/>
    <x v="315"/>
    <x v="383"/>
    <x v="2"/>
    <x v="0"/>
    <x v="8"/>
    <x v="13"/>
    <x v="28"/>
    <x v="9"/>
    <x v="0"/>
    <x v="32"/>
    <x v="14"/>
    <x v="1"/>
    <x v="2"/>
    <x v="0"/>
  </r>
  <r>
    <x v="56"/>
    <x v="680"/>
    <x v="40"/>
    <x v="20"/>
    <x v="686"/>
    <x v="512"/>
    <x v="598"/>
    <x v="2"/>
    <x v="3"/>
    <x v="8"/>
    <x v="13"/>
    <x v="28"/>
    <x v="9"/>
    <x v="1"/>
    <x v="9"/>
    <x v="12"/>
    <x v="0"/>
    <x v="2"/>
    <x v="0"/>
  </r>
  <r>
    <x v="57"/>
    <x v="0"/>
    <x v="0"/>
    <x v="20"/>
    <x v="252"/>
    <x v="854"/>
    <x v="225"/>
    <x v="2"/>
    <x v="3"/>
    <x v="8"/>
    <x v="13"/>
    <x v="28"/>
    <x v="9"/>
    <x v="1"/>
    <x v="59"/>
    <x v="15"/>
    <x v="0"/>
    <x v="2"/>
    <x v="0"/>
  </r>
  <r>
    <x v="57"/>
    <x v="264"/>
    <x v="23"/>
    <x v="17"/>
    <x v="277"/>
    <x v="695"/>
    <x v="247"/>
    <x v="2"/>
    <x v="4"/>
    <x v="8"/>
    <x v="13"/>
    <x v="28"/>
    <x v="9"/>
    <x v="0"/>
    <x v="18"/>
    <x v="2"/>
    <x v="0"/>
    <x v="2"/>
    <x v="0"/>
  </r>
  <r>
    <x v="57"/>
    <x v="216"/>
    <x v="30"/>
    <x v="19"/>
    <x v="215"/>
    <x v="94"/>
    <x v="136"/>
    <x v="2"/>
    <x v="4"/>
    <x v="8"/>
    <x v="13"/>
    <x v="28"/>
    <x v="9"/>
    <x v="0"/>
    <x v="16"/>
    <x v="9"/>
    <x v="7"/>
    <x v="2"/>
    <x v="0"/>
  </r>
  <r>
    <x v="57"/>
    <x v="819"/>
    <x v="46"/>
    <x v="1"/>
    <x v="656"/>
    <x v="7"/>
    <x v="561"/>
    <x v="2"/>
    <x v="1"/>
    <x v="8"/>
    <x v="13"/>
    <x v="28"/>
    <x v="9"/>
    <x v="0"/>
    <x v="16"/>
    <x v="9"/>
    <x v="54"/>
    <x v="2"/>
    <x v="0"/>
  </r>
  <r>
    <x v="57"/>
    <x v="22"/>
    <x v="33"/>
    <x v="18"/>
    <x v="16"/>
    <x v="524"/>
    <x v="119"/>
    <x v="2"/>
    <x v="0"/>
    <x v="8"/>
    <x v="13"/>
    <x v="28"/>
    <x v="9"/>
    <x v="0"/>
    <x v="10"/>
    <x v="12"/>
    <x v="1"/>
    <x v="2"/>
    <x v="0"/>
  </r>
  <r>
    <x v="57"/>
    <x v="820"/>
    <x v="23"/>
    <x v="1"/>
    <x v="824"/>
    <x v="693"/>
    <x v="587"/>
    <x v="2"/>
    <x v="1"/>
    <x v="5"/>
    <x v="11"/>
    <x v="27"/>
    <x v="0"/>
    <x v="0"/>
    <x v="18"/>
    <x v="15"/>
    <x v="2"/>
    <x v="2"/>
    <x v="0"/>
  </r>
  <r>
    <x v="57"/>
    <x v="961"/>
    <x v="33"/>
    <x v="22"/>
    <x v="970"/>
    <x v="775"/>
    <x v="836"/>
    <x v="2"/>
    <x v="3"/>
    <x v="8"/>
    <x v="13"/>
    <x v="28"/>
    <x v="9"/>
    <x v="1"/>
    <x v="18"/>
    <x v="2"/>
    <x v="0"/>
    <x v="2"/>
    <x v="0"/>
  </r>
  <r>
    <x v="57"/>
    <x v="341"/>
    <x v="33"/>
    <x v="23"/>
    <x v="347"/>
    <x v="934"/>
    <x v="2"/>
    <x v="2"/>
    <x v="4"/>
    <x v="8"/>
    <x v="13"/>
    <x v="28"/>
    <x v="9"/>
    <x v="0"/>
    <x v="18"/>
    <x v="2"/>
    <x v="0"/>
    <x v="2"/>
    <x v="0"/>
  </r>
  <r>
    <x v="57"/>
    <x v="114"/>
    <x v="38"/>
    <x v="3"/>
    <x v="105"/>
    <x v="1030"/>
    <x v="94"/>
    <x v="2"/>
    <x v="0"/>
    <x v="8"/>
    <x v="13"/>
    <x v="28"/>
    <x v="9"/>
    <x v="0"/>
    <x v="28"/>
    <x v="14"/>
    <x v="40"/>
    <x v="2"/>
    <x v="0"/>
  </r>
  <r>
    <x v="58"/>
    <x v="235"/>
    <x v="18"/>
    <x v="3"/>
    <x v="245"/>
    <x v="395"/>
    <x v="220"/>
    <x v="2"/>
    <x v="1"/>
    <x v="8"/>
    <x v="13"/>
    <x v="28"/>
    <x v="9"/>
    <x v="0"/>
    <x v="18"/>
    <x v="2"/>
    <x v="41"/>
    <x v="2"/>
    <x v="0"/>
  </r>
  <r>
    <x v="58"/>
    <x v="882"/>
    <x v="33"/>
    <x v="22"/>
    <x v="886"/>
    <x v="848"/>
    <x v="2"/>
    <x v="2"/>
    <x v="4"/>
    <x v="8"/>
    <x v="13"/>
    <x v="28"/>
    <x v="9"/>
    <x v="0"/>
    <x v="59"/>
    <x v="15"/>
    <x v="1"/>
    <x v="2"/>
    <x v="0"/>
  </r>
  <r>
    <x v="57"/>
    <x v="778"/>
    <x v="79"/>
    <x v="1"/>
    <x v="777"/>
    <x v="496"/>
    <x v="675"/>
    <x v="2"/>
    <x v="3"/>
    <x v="8"/>
    <x v="13"/>
    <x v="28"/>
    <x v="9"/>
    <x v="1"/>
    <x v="9"/>
    <x v="12"/>
    <x v="0"/>
    <x v="2"/>
    <x v="0"/>
  </r>
  <r>
    <x v="58"/>
    <x v="214"/>
    <x v="46"/>
    <x v="6"/>
    <x v="213"/>
    <x v="741"/>
    <x v="5"/>
    <x v="2"/>
    <x v="0"/>
    <x v="8"/>
    <x v="13"/>
    <x v="28"/>
    <x v="9"/>
    <x v="0"/>
    <x v="18"/>
    <x v="7"/>
    <x v="1"/>
    <x v="2"/>
    <x v="0"/>
  </r>
  <r>
    <x v="58"/>
    <x v="925"/>
    <x v="46"/>
    <x v="1"/>
    <x v="932"/>
    <x v="172"/>
    <x v="684"/>
    <x v="2"/>
    <x v="1"/>
    <x v="0"/>
    <x v="7"/>
    <x v="21"/>
    <x v="6"/>
    <x v="0"/>
    <x v="17"/>
    <x v="9"/>
    <x v="21"/>
    <x v="2"/>
    <x v="0"/>
  </r>
  <r>
    <x v="58"/>
    <x v="866"/>
    <x v="89"/>
    <x v="1"/>
    <x v="871"/>
    <x v="1035"/>
    <x v="772"/>
    <x v="2"/>
    <x v="3"/>
    <x v="8"/>
    <x v="13"/>
    <x v="28"/>
    <x v="9"/>
    <x v="1"/>
    <x v="46"/>
    <x v="9"/>
    <x v="1"/>
    <x v="2"/>
    <x v="0"/>
  </r>
  <r>
    <x v="58"/>
    <x v="170"/>
    <x v="99"/>
    <x v="24"/>
    <x v="168"/>
    <x v="728"/>
    <x v="6"/>
    <x v="2"/>
    <x v="1"/>
    <x v="8"/>
    <x v="13"/>
    <x v="28"/>
    <x v="9"/>
    <x v="0"/>
    <x v="42"/>
    <x v="14"/>
    <x v="1"/>
    <x v="2"/>
    <x v="0"/>
  </r>
  <r>
    <x v="58"/>
    <x v="944"/>
    <x v="62"/>
    <x v="24"/>
    <x v="955"/>
    <x v="107"/>
    <x v="6"/>
    <x v="2"/>
    <x v="1"/>
    <x v="8"/>
    <x v="13"/>
    <x v="28"/>
    <x v="9"/>
    <x v="0"/>
    <x v="17"/>
    <x v="9"/>
    <x v="1"/>
    <x v="2"/>
    <x v="0"/>
  </r>
  <r>
    <x v="58"/>
    <x v="0"/>
    <x v="0"/>
    <x v="23"/>
    <x v="877"/>
    <x v="96"/>
    <x v="777"/>
    <x v="2"/>
    <x v="3"/>
    <x v="8"/>
    <x v="13"/>
    <x v="28"/>
    <x v="9"/>
    <x v="1"/>
    <x v="16"/>
    <x v="9"/>
    <x v="0"/>
    <x v="2"/>
    <x v="0"/>
  </r>
  <r>
    <x v="58"/>
    <x v="331"/>
    <x v="60"/>
    <x v="19"/>
    <x v="94"/>
    <x v="370"/>
    <x v="87"/>
    <x v="2"/>
    <x v="4"/>
    <x v="5"/>
    <x v="9"/>
    <x v="25"/>
    <x v="0"/>
    <x v="0"/>
    <x v="41"/>
    <x v="14"/>
    <x v="12"/>
    <x v="2"/>
    <x v="0"/>
  </r>
  <r>
    <x v="58"/>
    <x v="471"/>
    <x v="30"/>
    <x v="19"/>
    <x v="463"/>
    <x v="353"/>
    <x v="391"/>
    <x v="2"/>
    <x v="1"/>
    <x v="8"/>
    <x v="13"/>
    <x v="28"/>
    <x v="9"/>
    <x v="0"/>
    <x v="18"/>
    <x v="14"/>
    <x v="28"/>
    <x v="2"/>
    <x v="0"/>
  </r>
  <r>
    <x v="22"/>
    <x v="0"/>
    <x v="63"/>
    <x v="21"/>
    <x v="411"/>
    <x v="372"/>
    <x v="580"/>
    <x v="2"/>
    <x v="3"/>
    <x v="8"/>
    <x v="13"/>
    <x v="28"/>
    <x v="9"/>
    <x v="0"/>
    <x v="18"/>
    <x v="2"/>
    <x v="0"/>
    <x v="1"/>
    <x v="0"/>
  </r>
  <r>
    <x v="58"/>
    <x v="665"/>
    <x v="23"/>
    <x v="1"/>
    <x v="501"/>
    <x v="669"/>
    <x v="643"/>
    <x v="2"/>
    <x v="4"/>
    <x v="5"/>
    <x v="11"/>
    <x v="27"/>
    <x v="0"/>
    <x v="0"/>
    <x v="18"/>
    <x v="15"/>
    <x v="47"/>
    <x v="2"/>
    <x v="0"/>
  </r>
  <r>
    <x v="58"/>
    <x v="458"/>
    <x v="42"/>
    <x v="1"/>
    <x v="451"/>
    <x v="964"/>
    <x v="42"/>
    <x v="2"/>
    <x v="3"/>
    <x v="8"/>
    <x v="13"/>
    <x v="28"/>
    <x v="9"/>
    <x v="1"/>
    <x v="7"/>
    <x v="15"/>
    <x v="0"/>
    <x v="2"/>
    <x v="0"/>
  </r>
  <r>
    <x v="58"/>
    <x v="457"/>
    <x v="40"/>
    <x v="3"/>
    <x v="450"/>
    <x v="964"/>
    <x v="42"/>
    <x v="2"/>
    <x v="3"/>
    <x v="8"/>
    <x v="13"/>
    <x v="28"/>
    <x v="9"/>
    <x v="1"/>
    <x v="7"/>
    <x v="15"/>
    <x v="0"/>
    <x v="2"/>
    <x v="0"/>
  </r>
  <r>
    <x v="58"/>
    <x v="288"/>
    <x v="12"/>
    <x v="11"/>
    <x v="301"/>
    <x v="547"/>
    <x v="262"/>
    <x v="2"/>
    <x v="3"/>
    <x v="8"/>
    <x v="13"/>
    <x v="28"/>
    <x v="9"/>
    <x v="1"/>
    <x v="24"/>
    <x v="4"/>
    <x v="0"/>
    <x v="2"/>
    <x v="0"/>
  </r>
  <r>
    <x v="58"/>
    <x v="115"/>
    <x v="23"/>
    <x v="1"/>
    <x v="1069"/>
    <x v="944"/>
    <x v="105"/>
    <x v="2"/>
    <x v="3"/>
    <x v="8"/>
    <x v="13"/>
    <x v="28"/>
    <x v="9"/>
    <x v="0"/>
    <x v="59"/>
    <x v="15"/>
    <x v="0"/>
    <x v="2"/>
    <x v="0"/>
  </r>
  <r>
    <x v="59"/>
    <x v="708"/>
    <x v="30"/>
    <x v="15"/>
    <x v="689"/>
    <x v="346"/>
    <x v="597"/>
    <x v="2"/>
    <x v="0"/>
    <x v="8"/>
    <x v="13"/>
    <x v="28"/>
    <x v="9"/>
    <x v="0"/>
    <x v="0"/>
    <x v="14"/>
    <x v="61"/>
    <x v="3"/>
    <x v="0"/>
  </r>
  <r>
    <x v="59"/>
    <x v="450"/>
    <x v="33"/>
    <x v="22"/>
    <x v="449"/>
    <x v="511"/>
    <x v="397"/>
    <x v="2"/>
    <x v="1"/>
    <x v="5"/>
    <x v="5"/>
    <x v="10"/>
    <x v="4"/>
    <x v="0"/>
    <x v="18"/>
    <x v="2"/>
    <x v="61"/>
    <x v="3"/>
    <x v="0"/>
  </r>
  <r>
    <x v="59"/>
    <x v="767"/>
    <x v="30"/>
    <x v="19"/>
    <x v="765"/>
    <x v="222"/>
    <x v="666"/>
    <x v="2"/>
    <x v="1"/>
    <x v="8"/>
    <x v="13"/>
    <x v="28"/>
    <x v="9"/>
    <x v="0"/>
    <x v="21"/>
    <x v="14"/>
    <x v="33"/>
    <x v="3"/>
    <x v="0"/>
  </r>
  <r>
    <x v="59"/>
    <x v="780"/>
    <x v="59"/>
    <x v="21"/>
    <x v="395"/>
    <x v="97"/>
    <x v="575"/>
    <x v="2"/>
    <x v="4"/>
    <x v="8"/>
    <x v="13"/>
    <x v="28"/>
    <x v="9"/>
    <x v="0"/>
    <x v="16"/>
    <x v="9"/>
    <x v="61"/>
    <x v="3"/>
    <x v="0"/>
  </r>
  <r>
    <x v="59"/>
    <x v="618"/>
    <x v="23"/>
    <x v="1"/>
    <x v="623"/>
    <x v="648"/>
    <x v="699"/>
    <x v="2"/>
    <x v="0"/>
    <x v="8"/>
    <x v="13"/>
    <x v="28"/>
    <x v="9"/>
    <x v="0"/>
    <x v="24"/>
    <x v="4"/>
    <x v="61"/>
    <x v="3"/>
    <x v="0"/>
  </r>
  <r>
    <x v="59"/>
    <x v="314"/>
    <x v="23"/>
    <x v="1"/>
    <x v="328"/>
    <x v="975"/>
    <x v="254"/>
    <x v="2"/>
    <x v="4"/>
    <x v="8"/>
    <x v="13"/>
    <x v="28"/>
    <x v="9"/>
    <x v="0"/>
    <x v="7"/>
    <x v="15"/>
    <x v="61"/>
    <x v="3"/>
    <x v="0"/>
  </r>
  <r>
    <x v="59"/>
    <x v="978"/>
    <x v="62"/>
    <x v="20"/>
    <x v="994"/>
    <x v="870"/>
    <x v="851"/>
    <x v="2"/>
    <x v="1"/>
    <x v="5"/>
    <x v="11"/>
    <x v="27"/>
    <x v="0"/>
    <x v="0"/>
    <x v="24"/>
    <x v="4"/>
    <x v="61"/>
    <x v="3"/>
    <x v="0"/>
  </r>
  <r>
    <x v="59"/>
    <x v="967"/>
    <x v="18"/>
    <x v="3"/>
    <x v="980"/>
    <x v="506"/>
    <x v="842"/>
    <x v="2"/>
    <x v="1"/>
    <x v="8"/>
    <x v="13"/>
    <x v="28"/>
    <x v="9"/>
    <x v="0"/>
    <x v="39"/>
    <x v="12"/>
    <x v="30"/>
    <x v="3"/>
    <x v="0"/>
  </r>
  <r>
    <x v="59"/>
    <x v="766"/>
    <x v="33"/>
    <x v="1"/>
    <x v="763"/>
    <x v="941"/>
    <x v="665"/>
    <x v="2"/>
    <x v="3"/>
    <x v="8"/>
    <x v="13"/>
    <x v="28"/>
    <x v="9"/>
    <x v="1"/>
    <x v="24"/>
    <x v="4"/>
    <x v="61"/>
    <x v="3"/>
    <x v="0"/>
  </r>
  <r>
    <x v="59"/>
    <x v="745"/>
    <x v="86"/>
    <x v="20"/>
    <x v="750"/>
    <x v="954"/>
    <x v="720"/>
    <x v="2"/>
    <x v="3"/>
    <x v="8"/>
    <x v="13"/>
    <x v="28"/>
    <x v="9"/>
    <x v="1"/>
    <x v="62"/>
    <x v="15"/>
    <x v="61"/>
    <x v="3"/>
    <x v="0"/>
  </r>
  <r>
    <x v="59"/>
    <x v="926"/>
    <x v="59"/>
    <x v="19"/>
    <x v="933"/>
    <x v="795"/>
    <x v="0"/>
    <x v="2"/>
    <x v="4"/>
    <x v="0"/>
    <x v="10"/>
    <x v="22"/>
    <x v="6"/>
    <x v="0"/>
    <x v="18"/>
    <x v="6"/>
    <x v="61"/>
    <x v="3"/>
    <x v="0"/>
  </r>
  <r>
    <x v="59"/>
    <x v="926"/>
    <x v="23"/>
    <x v="1"/>
    <x v="933"/>
    <x v="795"/>
    <x v="127"/>
    <x v="2"/>
    <x v="4"/>
    <x v="8"/>
    <x v="13"/>
    <x v="28"/>
    <x v="9"/>
    <x v="0"/>
    <x v="18"/>
    <x v="4"/>
    <x v="61"/>
    <x v="3"/>
    <x v="0"/>
  </r>
  <r>
    <x v="60"/>
    <x v="634"/>
    <x v="33"/>
    <x v="22"/>
    <x v="640"/>
    <x v="538"/>
    <x v="380"/>
    <x v="2"/>
    <x v="4"/>
    <x v="5"/>
    <x v="11"/>
    <x v="27"/>
    <x v="0"/>
    <x v="0"/>
    <x v="18"/>
    <x v="2"/>
    <x v="61"/>
    <x v="3"/>
    <x v="0"/>
  </r>
  <r>
    <x v="59"/>
    <x v="480"/>
    <x v="80"/>
    <x v="22"/>
    <x v="774"/>
    <x v="21"/>
    <x v="430"/>
    <x v="2"/>
    <x v="0"/>
    <x v="8"/>
    <x v="13"/>
    <x v="28"/>
    <x v="9"/>
    <x v="0"/>
    <x v="28"/>
    <x v="14"/>
    <x v="61"/>
    <x v="3"/>
    <x v="0"/>
  </r>
  <r>
    <x v="59"/>
    <x v="153"/>
    <x v="50"/>
    <x v="4"/>
    <x v="152"/>
    <x v="0"/>
    <x v="286"/>
    <x v="2"/>
    <x v="0"/>
    <x v="5"/>
    <x v="11"/>
    <x v="27"/>
    <x v="0"/>
    <x v="0"/>
    <x v="18"/>
    <x v="2"/>
    <x v="61"/>
    <x v="3"/>
    <x v="0"/>
  </r>
  <r>
    <x v="59"/>
    <x v="254"/>
    <x v="33"/>
    <x v="22"/>
    <x v="268"/>
    <x v="572"/>
    <x v="237"/>
    <x v="2"/>
    <x v="1"/>
    <x v="5"/>
    <x v="11"/>
    <x v="27"/>
    <x v="0"/>
    <x v="0"/>
    <x v="18"/>
    <x v="2"/>
    <x v="61"/>
    <x v="3"/>
    <x v="0"/>
  </r>
  <r>
    <x v="60"/>
    <x v="977"/>
    <x v="23"/>
    <x v="15"/>
    <x v="992"/>
    <x v="751"/>
    <x v="2"/>
    <x v="2"/>
    <x v="3"/>
    <x v="8"/>
    <x v="13"/>
    <x v="28"/>
    <x v="9"/>
    <x v="1"/>
    <x v="28"/>
    <x v="14"/>
    <x v="61"/>
    <x v="3"/>
    <x v="0"/>
  </r>
  <r>
    <x v="59"/>
    <x v="466"/>
    <x v="40"/>
    <x v="1"/>
    <x v="662"/>
    <x v="73"/>
    <x v="572"/>
    <x v="2"/>
    <x v="3"/>
    <x v="8"/>
    <x v="13"/>
    <x v="28"/>
    <x v="9"/>
    <x v="1"/>
    <x v="65"/>
    <x v="7"/>
    <x v="61"/>
    <x v="3"/>
    <x v="0"/>
  </r>
  <r>
    <x v="60"/>
    <x v="779"/>
    <x v="33"/>
    <x v="22"/>
    <x v="778"/>
    <x v="325"/>
    <x v="314"/>
    <x v="2"/>
    <x v="0"/>
    <x v="5"/>
    <x v="5"/>
    <x v="19"/>
    <x v="8"/>
    <x v="0"/>
    <x v="31"/>
    <x v="14"/>
    <x v="61"/>
    <x v="3"/>
    <x v="0"/>
  </r>
  <r>
    <x v="59"/>
    <x v="751"/>
    <x v="30"/>
    <x v="21"/>
    <x v="379"/>
    <x v="631"/>
    <x v="2"/>
    <x v="2"/>
    <x v="4"/>
    <x v="5"/>
    <x v="9"/>
    <x v="25"/>
    <x v="0"/>
    <x v="0"/>
    <x v="54"/>
    <x v="8"/>
    <x v="61"/>
    <x v="3"/>
    <x v="0"/>
  </r>
  <r>
    <x v="59"/>
    <x v="583"/>
    <x v="30"/>
    <x v="19"/>
    <x v="651"/>
    <x v="781"/>
    <x v="562"/>
    <x v="2"/>
    <x v="4"/>
    <x v="5"/>
    <x v="9"/>
    <x v="25"/>
    <x v="0"/>
    <x v="0"/>
    <x v="67"/>
    <x v="16"/>
    <x v="61"/>
    <x v="3"/>
    <x v="0"/>
  </r>
  <r>
    <x v="59"/>
    <x v="423"/>
    <x v="86"/>
    <x v="20"/>
    <x v="487"/>
    <x v="323"/>
    <x v="423"/>
    <x v="2"/>
    <x v="0"/>
    <x v="8"/>
    <x v="13"/>
    <x v="28"/>
    <x v="9"/>
    <x v="0"/>
    <x v="67"/>
    <x v="16"/>
    <x v="61"/>
    <x v="3"/>
    <x v="0"/>
  </r>
  <r>
    <x v="60"/>
    <x v="459"/>
    <x v="30"/>
    <x v="11"/>
    <x v="453"/>
    <x v="106"/>
    <x v="396"/>
    <x v="2"/>
    <x v="1"/>
    <x v="5"/>
    <x v="9"/>
    <x v="25"/>
    <x v="0"/>
    <x v="0"/>
    <x v="16"/>
    <x v="9"/>
    <x v="61"/>
    <x v="3"/>
    <x v="0"/>
  </r>
  <r>
    <x v="60"/>
    <x v="551"/>
    <x v="46"/>
    <x v="15"/>
    <x v="383"/>
    <x v="1018"/>
    <x v="352"/>
    <x v="2"/>
    <x v="1"/>
    <x v="8"/>
    <x v="13"/>
    <x v="28"/>
    <x v="9"/>
    <x v="0"/>
    <x v="21"/>
    <x v="14"/>
    <x v="61"/>
    <x v="3"/>
    <x v="0"/>
  </r>
  <r>
    <x v="60"/>
    <x v="227"/>
    <x v="38"/>
    <x v="3"/>
    <x v="235"/>
    <x v="28"/>
    <x v="242"/>
    <x v="2"/>
    <x v="1"/>
    <x v="8"/>
    <x v="13"/>
    <x v="28"/>
    <x v="9"/>
    <x v="0"/>
    <x v="18"/>
    <x v="14"/>
    <x v="61"/>
    <x v="3"/>
    <x v="0"/>
  </r>
  <r>
    <x v="60"/>
    <x v="227"/>
    <x v="69"/>
    <x v="1"/>
    <x v="235"/>
    <x v="28"/>
    <x v="242"/>
    <x v="2"/>
    <x v="1"/>
    <x v="5"/>
    <x v="8"/>
    <x v="24"/>
    <x v="0"/>
    <x v="0"/>
    <x v="18"/>
    <x v="14"/>
    <x v="61"/>
    <x v="3"/>
    <x v="0"/>
  </r>
  <r>
    <x v="60"/>
    <x v="710"/>
    <x v="33"/>
    <x v="5"/>
    <x v="713"/>
    <x v="20"/>
    <x v="333"/>
    <x v="2"/>
    <x v="3"/>
    <x v="8"/>
    <x v="13"/>
    <x v="28"/>
    <x v="9"/>
    <x v="1"/>
    <x v="16"/>
    <x v="9"/>
    <x v="61"/>
    <x v="3"/>
    <x v="0"/>
  </r>
  <r>
    <x v="61"/>
    <x v="670"/>
    <x v="18"/>
    <x v="3"/>
    <x v="677"/>
    <x v="389"/>
    <x v="589"/>
    <x v="2"/>
    <x v="1"/>
    <x v="5"/>
    <x v="2"/>
    <x v="13"/>
    <x v="8"/>
    <x v="0"/>
    <x v="22"/>
    <x v="14"/>
    <x v="61"/>
    <x v="3"/>
    <x v="0"/>
  </r>
  <r>
    <x v="61"/>
    <x v="365"/>
    <x v="90"/>
    <x v="21"/>
    <x v="83"/>
    <x v="58"/>
    <x v="78"/>
    <x v="2"/>
    <x v="0"/>
    <x v="8"/>
    <x v="13"/>
    <x v="28"/>
    <x v="9"/>
    <x v="0"/>
    <x v="28"/>
    <x v="14"/>
    <x v="61"/>
    <x v="3"/>
    <x v="0"/>
  </r>
  <r>
    <x v="60"/>
    <x v="761"/>
    <x v="18"/>
    <x v="3"/>
    <x v="944"/>
    <x v="307"/>
    <x v="875"/>
    <x v="2"/>
    <x v="1"/>
    <x v="8"/>
    <x v="13"/>
    <x v="28"/>
    <x v="9"/>
    <x v="0"/>
    <x v="18"/>
    <x v="9"/>
    <x v="61"/>
    <x v="3"/>
    <x v="0"/>
  </r>
  <r>
    <x v="61"/>
    <x v="1005"/>
    <x v="30"/>
    <x v="19"/>
    <x v="1019"/>
    <x v="231"/>
    <x v="870"/>
    <x v="2"/>
    <x v="3"/>
    <x v="8"/>
    <x v="13"/>
    <x v="28"/>
    <x v="9"/>
    <x v="1"/>
    <x v="16"/>
    <x v="9"/>
    <x v="61"/>
    <x v="3"/>
    <x v="0"/>
  </r>
  <r>
    <x v="61"/>
    <x v="365"/>
    <x v="90"/>
    <x v="15"/>
    <x v="83"/>
    <x v="58"/>
    <x v="78"/>
    <x v="2"/>
    <x v="0"/>
    <x v="8"/>
    <x v="13"/>
    <x v="28"/>
    <x v="9"/>
    <x v="0"/>
    <x v="28"/>
    <x v="14"/>
    <x v="61"/>
    <x v="3"/>
    <x v="0"/>
  </r>
  <r>
    <x v="61"/>
    <x v="524"/>
    <x v="75"/>
    <x v="1"/>
    <x v="459"/>
    <x v="363"/>
    <x v="400"/>
    <x v="2"/>
    <x v="0"/>
    <x v="5"/>
    <x v="9"/>
    <x v="25"/>
    <x v="0"/>
    <x v="0"/>
    <x v="12"/>
    <x v="14"/>
    <x v="61"/>
    <x v="3"/>
    <x v="0"/>
  </r>
  <r>
    <x v="61"/>
    <x v="330"/>
    <x v="38"/>
    <x v="3"/>
    <x v="227"/>
    <x v="671"/>
    <x v="201"/>
    <x v="2"/>
    <x v="3"/>
    <x v="8"/>
    <x v="13"/>
    <x v="28"/>
    <x v="9"/>
    <x v="1"/>
    <x v="16"/>
    <x v="9"/>
    <x v="61"/>
    <x v="3"/>
    <x v="0"/>
  </r>
  <r>
    <x v="61"/>
    <x v="330"/>
    <x v="23"/>
    <x v="12"/>
    <x v="227"/>
    <x v="671"/>
    <x v="201"/>
    <x v="2"/>
    <x v="3"/>
    <x v="8"/>
    <x v="13"/>
    <x v="28"/>
    <x v="9"/>
    <x v="1"/>
    <x v="16"/>
    <x v="9"/>
    <x v="61"/>
    <x v="3"/>
    <x v="0"/>
  </r>
  <r>
    <x v="61"/>
    <x v="13"/>
    <x v="94"/>
    <x v="6"/>
    <x v="106"/>
    <x v="437"/>
    <x v="5"/>
    <x v="2"/>
    <x v="0"/>
    <x v="8"/>
    <x v="13"/>
    <x v="28"/>
    <x v="9"/>
    <x v="0"/>
    <x v="21"/>
    <x v="14"/>
    <x v="61"/>
    <x v="3"/>
    <x v="0"/>
  </r>
  <r>
    <x v="61"/>
    <x v="737"/>
    <x v="33"/>
    <x v="11"/>
    <x v="736"/>
    <x v="1002"/>
    <x v="304"/>
    <x v="2"/>
    <x v="4"/>
    <x v="8"/>
    <x v="13"/>
    <x v="28"/>
    <x v="9"/>
    <x v="0"/>
    <x v="28"/>
    <x v="14"/>
    <x v="61"/>
    <x v="3"/>
    <x v="0"/>
  </r>
  <r>
    <x v="61"/>
    <x v="331"/>
    <x v="46"/>
    <x v="15"/>
    <x v="95"/>
    <x v="370"/>
    <x v="87"/>
    <x v="2"/>
    <x v="3"/>
    <x v="8"/>
    <x v="13"/>
    <x v="28"/>
    <x v="9"/>
    <x v="1"/>
    <x v="41"/>
    <x v="14"/>
    <x v="61"/>
    <x v="3"/>
    <x v="0"/>
  </r>
  <r>
    <x v="62"/>
    <x v="87"/>
    <x v="30"/>
    <x v="11"/>
    <x v="78"/>
    <x v="115"/>
    <x v="74"/>
    <x v="2"/>
    <x v="3"/>
    <x v="8"/>
    <x v="13"/>
    <x v="28"/>
    <x v="9"/>
    <x v="1"/>
    <x v="45"/>
    <x v="9"/>
    <x v="61"/>
    <x v="3"/>
    <x v="0"/>
  </r>
  <r>
    <x v="61"/>
    <x v="191"/>
    <x v="33"/>
    <x v="1"/>
    <x v="190"/>
    <x v="647"/>
    <x v="2"/>
    <x v="2"/>
    <x v="1"/>
    <x v="8"/>
    <x v="13"/>
    <x v="28"/>
    <x v="9"/>
    <x v="0"/>
    <x v="10"/>
    <x v="11"/>
    <x v="61"/>
    <x v="3"/>
    <x v="0"/>
  </r>
  <r>
    <x v="62"/>
    <x v="716"/>
    <x v="33"/>
    <x v="22"/>
    <x v="717"/>
    <x v="882"/>
    <x v="5"/>
    <x v="2"/>
    <x v="0"/>
    <x v="8"/>
    <x v="13"/>
    <x v="28"/>
    <x v="9"/>
    <x v="0"/>
    <x v="59"/>
    <x v="15"/>
    <x v="61"/>
    <x v="3"/>
    <x v="0"/>
  </r>
  <r>
    <x v="60"/>
    <x v="238"/>
    <x v="92"/>
    <x v="24"/>
    <x v="250"/>
    <x v="1034"/>
    <x v="634"/>
    <x v="2"/>
    <x v="4"/>
    <x v="5"/>
    <x v="11"/>
    <x v="27"/>
    <x v="0"/>
    <x v="0"/>
    <x v="57"/>
    <x v="15"/>
    <x v="61"/>
    <x v="3"/>
    <x v="0"/>
  </r>
  <r>
    <x v="61"/>
    <x v="873"/>
    <x v="62"/>
    <x v="23"/>
    <x v="876"/>
    <x v="96"/>
    <x v="777"/>
    <x v="2"/>
    <x v="3"/>
    <x v="8"/>
    <x v="13"/>
    <x v="28"/>
    <x v="9"/>
    <x v="1"/>
    <x v="16"/>
    <x v="9"/>
    <x v="61"/>
    <x v="3"/>
    <x v="0"/>
  </r>
  <r>
    <x v="61"/>
    <x v="189"/>
    <x v="18"/>
    <x v="3"/>
    <x v="188"/>
    <x v="127"/>
    <x v="256"/>
    <x v="2"/>
    <x v="4"/>
    <x v="8"/>
    <x v="13"/>
    <x v="28"/>
    <x v="9"/>
    <x v="0"/>
    <x v="16"/>
    <x v="9"/>
    <x v="61"/>
    <x v="3"/>
    <x v="0"/>
  </r>
  <r>
    <x v="62"/>
    <x v="303"/>
    <x v="23"/>
    <x v="6"/>
    <x v="318"/>
    <x v="246"/>
    <x v="275"/>
    <x v="2"/>
    <x v="0"/>
    <x v="8"/>
    <x v="13"/>
    <x v="28"/>
    <x v="9"/>
    <x v="0"/>
    <x v="16"/>
    <x v="9"/>
    <x v="61"/>
    <x v="3"/>
    <x v="0"/>
  </r>
  <r>
    <x v="61"/>
    <x v="150"/>
    <x v="46"/>
    <x v="1"/>
    <x v="619"/>
    <x v="486"/>
    <x v="497"/>
    <x v="2"/>
    <x v="3"/>
    <x v="8"/>
    <x v="13"/>
    <x v="28"/>
    <x v="9"/>
    <x v="1"/>
    <x v="9"/>
    <x v="11"/>
    <x v="61"/>
    <x v="3"/>
    <x v="0"/>
  </r>
  <r>
    <x v="61"/>
    <x v="333"/>
    <x v="30"/>
    <x v="19"/>
    <x v="343"/>
    <x v="132"/>
    <x v="281"/>
    <x v="2"/>
    <x v="1"/>
    <x v="8"/>
    <x v="13"/>
    <x v="28"/>
    <x v="9"/>
    <x v="0"/>
    <x v="17"/>
    <x v="9"/>
    <x v="61"/>
    <x v="3"/>
    <x v="0"/>
  </r>
  <r>
    <x v="62"/>
    <x v="587"/>
    <x v="92"/>
    <x v="24"/>
    <x v="889"/>
    <x v="549"/>
    <x v="2"/>
    <x v="2"/>
    <x v="0"/>
    <x v="8"/>
    <x v="13"/>
    <x v="28"/>
    <x v="9"/>
    <x v="0"/>
    <x v="24"/>
    <x v="4"/>
    <x v="61"/>
    <x v="3"/>
    <x v="0"/>
  </r>
  <r>
    <x v="62"/>
    <x v="680"/>
    <x v="40"/>
    <x v="20"/>
    <x v="686"/>
    <x v="512"/>
    <x v="598"/>
    <x v="2"/>
    <x v="3"/>
    <x v="8"/>
    <x v="13"/>
    <x v="28"/>
    <x v="9"/>
    <x v="1"/>
    <x v="9"/>
    <x v="12"/>
    <x v="61"/>
    <x v="3"/>
    <x v="0"/>
  </r>
  <r>
    <x v="62"/>
    <x v="543"/>
    <x v="52"/>
    <x v="24"/>
    <x v="534"/>
    <x v="202"/>
    <x v="467"/>
    <x v="2"/>
    <x v="3"/>
    <x v="8"/>
    <x v="13"/>
    <x v="28"/>
    <x v="9"/>
    <x v="1"/>
    <x v="18"/>
    <x v="2"/>
    <x v="61"/>
    <x v="3"/>
    <x v="0"/>
  </r>
  <r>
    <x v="63"/>
    <x v="555"/>
    <x v="33"/>
    <x v="22"/>
    <x v="62"/>
    <x v="655"/>
    <x v="2"/>
    <x v="2"/>
    <x v="0"/>
    <x v="8"/>
    <x v="13"/>
    <x v="28"/>
    <x v="9"/>
    <x v="0"/>
    <x v="4"/>
    <x v="0"/>
    <x v="0"/>
    <x v="3"/>
    <x v="0"/>
  </r>
  <r>
    <x v="64"/>
    <x v="743"/>
    <x v="33"/>
    <x v="11"/>
    <x v="742"/>
    <x v="303"/>
    <x v="650"/>
    <x v="2"/>
    <x v="1"/>
    <x v="5"/>
    <x v="9"/>
    <x v="25"/>
    <x v="0"/>
    <x v="0"/>
    <x v="38"/>
    <x v="9"/>
    <x v="23"/>
    <x v="3"/>
    <x v="0"/>
  </r>
  <r>
    <x v="64"/>
    <x v="111"/>
    <x v="30"/>
    <x v="15"/>
    <x v="102"/>
    <x v="718"/>
    <x v="12"/>
    <x v="2"/>
    <x v="3"/>
    <x v="8"/>
    <x v="13"/>
    <x v="28"/>
    <x v="9"/>
    <x v="1"/>
    <x v="24"/>
    <x v="4"/>
    <x v="0"/>
    <x v="3"/>
    <x v="0"/>
  </r>
  <r>
    <x v="61"/>
    <x v="184"/>
    <x v="23"/>
    <x v="1"/>
    <x v="566"/>
    <x v="629"/>
    <x v="2"/>
    <x v="2"/>
    <x v="4"/>
    <x v="8"/>
    <x v="13"/>
    <x v="28"/>
    <x v="9"/>
    <x v="0"/>
    <x v="18"/>
    <x v="8"/>
    <x v="0"/>
    <x v="3"/>
    <x v="0"/>
  </r>
  <r>
    <x v="64"/>
    <x v="762"/>
    <x v="38"/>
    <x v="3"/>
    <x v="758"/>
    <x v="884"/>
    <x v="726"/>
    <x v="2"/>
    <x v="4"/>
    <x v="5"/>
    <x v="9"/>
    <x v="25"/>
    <x v="0"/>
    <x v="0"/>
    <x v="18"/>
    <x v="15"/>
    <x v="0"/>
    <x v="3"/>
    <x v="0"/>
  </r>
  <r>
    <x v="64"/>
    <x v="920"/>
    <x v="62"/>
    <x v="23"/>
    <x v="956"/>
    <x v="652"/>
    <x v="2"/>
    <x v="2"/>
    <x v="3"/>
    <x v="8"/>
    <x v="13"/>
    <x v="28"/>
    <x v="9"/>
    <x v="1"/>
    <x v="18"/>
    <x v="2"/>
    <x v="0"/>
    <x v="3"/>
    <x v="0"/>
  </r>
  <r>
    <x v="64"/>
    <x v="511"/>
    <x v="33"/>
    <x v="5"/>
    <x v="500"/>
    <x v="584"/>
    <x v="425"/>
    <x v="2"/>
    <x v="3"/>
    <x v="8"/>
    <x v="13"/>
    <x v="28"/>
    <x v="9"/>
    <x v="0"/>
    <x v="50"/>
    <x v="4"/>
    <x v="0"/>
    <x v="3"/>
    <x v="0"/>
  </r>
  <r>
    <x v="64"/>
    <x v="813"/>
    <x v="23"/>
    <x v="3"/>
    <x v="815"/>
    <x v="720"/>
    <x v="264"/>
    <x v="2"/>
    <x v="0"/>
    <x v="5"/>
    <x v="1"/>
    <x v="5"/>
    <x v="8"/>
    <x v="0"/>
    <x v="24"/>
    <x v="4"/>
    <x v="1"/>
    <x v="3"/>
    <x v="0"/>
  </r>
  <r>
    <x v="64"/>
    <x v="599"/>
    <x v="31"/>
    <x v="11"/>
    <x v="602"/>
    <x v="554"/>
    <x v="373"/>
    <x v="2"/>
    <x v="3"/>
    <x v="8"/>
    <x v="13"/>
    <x v="28"/>
    <x v="9"/>
    <x v="1"/>
    <x v="18"/>
    <x v="2"/>
    <x v="1"/>
    <x v="3"/>
    <x v="0"/>
  </r>
  <r>
    <x v="64"/>
    <x v="125"/>
    <x v="92"/>
    <x v="20"/>
    <x v="119"/>
    <x v="102"/>
    <x v="5"/>
    <x v="2"/>
    <x v="0"/>
    <x v="8"/>
    <x v="13"/>
    <x v="28"/>
    <x v="9"/>
    <x v="0"/>
    <x v="16"/>
    <x v="9"/>
    <x v="1"/>
    <x v="3"/>
    <x v="0"/>
  </r>
  <r>
    <x v="64"/>
    <x v="1054"/>
    <x v="69"/>
    <x v="21"/>
    <x v="1066"/>
    <x v="493"/>
    <x v="707"/>
    <x v="2"/>
    <x v="3"/>
    <x v="8"/>
    <x v="13"/>
    <x v="28"/>
    <x v="9"/>
    <x v="1"/>
    <x v="25"/>
    <x v="12"/>
    <x v="0"/>
    <x v="3"/>
    <x v="0"/>
  </r>
  <r>
    <x v="64"/>
    <x v="133"/>
    <x v="59"/>
    <x v="19"/>
    <x v="131"/>
    <x v="514"/>
    <x v="114"/>
    <x v="2"/>
    <x v="3"/>
    <x v="8"/>
    <x v="13"/>
    <x v="28"/>
    <x v="9"/>
    <x v="1"/>
    <x v="9"/>
    <x v="12"/>
    <x v="0"/>
    <x v="3"/>
    <x v="0"/>
  </r>
  <r>
    <x v="64"/>
    <x v="782"/>
    <x v="33"/>
    <x v="22"/>
    <x v="781"/>
    <x v="603"/>
    <x v="112"/>
    <x v="2"/>
    <x v="3"/>
    <x v="8"/>
    <x v="13"/>
    <x v="28"/>
    <x v="9"/>
    <x v="0"/>
    <x v="18"/>
    <x v="2"/>
    <x v="0"/>
    <x v="3"/>
    <x v="0"/>
  </r>
  <r>
    <x v="65"/>
    <x v="550"/>
    <x v="33"/>
    <x v="5"/>
    <x v="542"/>
    <x v="588"/>
    <x v="471"/>
    <x v="2"/>
    <x v="1"/>
    <x v="5"/>
    <x v="2"/>
    <x v="13"/>
    <x v="8"/>
    <x v="0"/>
    <x v="18"/>
    <x v="6"/>
    <x v="57"/>
    <x v="3"/>
    <x v="0"/>
  </r>
  <r>
    <x v="64"/>
    <x v="974"/>
    <x v="46"/>
    <x v="1"/>
    <x v="211"/>
    <x v="501"/>
    <x v="849"/>
    <x v="2"/>
    <x v="1"/>
    <x v="8"/>
    <x v="13"/>
    <x v="28"/>
    <x v="9"/>
    <x v="0"/>
    <x v="9"/>
    <x v="12"/>
    <x v="19"/>
    <x v="3"/>
    <x v="0"/>
  </r>
  <r>
    <x v="64"/>
    <x v="140"/>
    <x v="18"/>
    <x v="3"/>
    <x v="138"/>
    <x v="489"/>
    <x v="120"/>
    <x v="2"/>
    <x v="0"/>
    <x v="0"/>
    <x v="7"/>
    <x v="21"/>
    <x v="6"/>
    <x v="0"/>
    <x v="18"/>
    <x v="12"/>
    <x v="56"/>
    <x v="3"/>
    <x v="0"/>
  </r>
  <r>
    <x v="65"/>
    <x v="720"/>
    <x v="62"/>
    <x v="5"/>
    <x v="721"/>
    <x v="690"/>
    <x v="5"/>
    <x v="2"/>
    <x v="0"/>
    <x v="5"/>
    <x v="9"/>
    <x v="25"/>
    <x v="0"/>
    <x v="0"/>
    <x v="18"/>
    <x v="2"/>
    <x v="1"/>
    <x v="3"/>
    <x v="0"/>
  </r>
  <r>
    <x v="65"/>
    <x v="192"/>
    <x v="33"/>
    <x v="23"/>
    <x v="191"/>
    <x v="543"/>
    <x v="2"/>
    <x v="2"/>
    <x v="4"/>
    <x v="5"/>
    <x v="11"/>
    <x v="27"/>
    <x v="0"/>
    <x v="0"/>
    <x v="18"/>
    <x v="2"/>
    <x v="0"/>
    <x v="3"/>
    <x v="0"/>
  </r>
  <r>
    <x v="65"/>
    <x v="585"/>
    <x v="62"/>
    <x v="1"/>
    <x v="586"/>
    <x v="691"/>
    <x v="131"/>
    <x v="2"/>
    <x v="1"/>
    <x v="5"/>
    <x v="1"/>
    <x v="5"/>
    <x v="8"/>
    <x v="0"/>
    <x v="9"/>
    <x v="2"/>
    <x v="37"/>
    <x v="3"/>
    <x v="0"/>
  </r>
  <r>
    <x v="65"/>
    <x v="484"/>
    <x v="30"/>
    <x v="19"/>
    <x v="475"/>
    <x v="166"/>
    <x v="5"/>
    <x v="2"/>
    <x v="0"/>
    <x v="8"/>
    <x v="13"/>
    <x v="28"/>
    <x v="9"/>
    <x v="0"/>
    <x v="16"/>
    <x v="9"/>
    <x v="1"/>
    <x v="3"/>
    <x v="0"/>
  </r>
  <r>
    <x v="64"/>
    <x v="91"/>
    <x v="16"/>
    <x v="9"/>
    <x v="833"/>
    <x v="61"/>
    <x v="91"/>
    <x v="2"/>
    <x v="3"/>
    <x v="8"/>
    <x v="13"/>
    <x v="28"/>
    <x v="9"/>
    <x v="1"/>
    <x v="18"/>
    <x v="2"/>
    <x v="1"/>
    <x v="3"/>
    <x v="0"/>
  </r>
  <r>
    <x v="65"/>
    <x v="584"/>
    <x v="23"/>
    <x v="3"/>
    <x v="585"/>
    <x v="902"/>
    <x v="508"/>
    <x v="2"/>
    <x v="0"/>
    <x v="8"/>
    <x v="13"/>
    <x v="28"/>
    <x v="9"/>
    <x v="0"/>
    <x v="33"/>
    <x v="15"/>
    <x v="1"/>
    <x v="3"/>
    <x v="0"/>
  </r>
  <r>
    <x v="65"/>
    <x v="584"/>
    <x v="23"/>
    <x v="1"/>
    <x v="585"/>
    <x v="902"/>
    <x v="508"/>
    <x v="2"/>
    <x v="0"/>
    <x v="8"/>
    <x v="13"/>
    <x v="28"/>
    <x v="9"/>
    <x v="0"/>
    <x v="33"/>
    <x v="15"/>
    <x v="1"/>
    <x v="3"/>
    <x v="0"/>
  </r>
  <r>
    <x v="65"/>
    <x v="835"/>
    <x v="33"/>
    <x v="22"/>
    <x v="149"/>
    <x v="796"/>
    <x v="143"/>
    <x v="2"/>
    <x v="3"/>
    <x v="8"/>
    <x v="13"/>
    <x v="28"/>
    <x v="9"/>
    <x v="1"/>
    <x v="59"/>
    <x v="15"/>
    <x v="0"/>
    <x v="3"/>
    <x v="0"/>
  </r>
  <r>
    <x v="65"/>
    <x v="570"/>
    <x v="33"/>
    <x v="14"/>
    <x v="667"/>
    <x v="251"/>
    <x v="556"/>
    <x v="2"/>
    <x v="3"/>
    <x v="8"/>
    <x v="13"/>
    <x v="28"/>
    <x v="9"/>
    <x v="1"/>
    <x v="16"/>
    <x v="9"/>
    <x v="0"/>
    <x v="3"/>
    <x v="0"/>
  </r>
  <r>
    <x v="65"/>
    <x v="127"/>
    <x v="33"/>
    <x v="22"/>
    <x v="120"/>
    <x v="378"/>
    <x v="633"/>
    <x v="2"/>
    <x v="4"/>
    <x v="5"/>
    <x v="5"/>
    <x v="10"/>
    <x v="4"/>
    <x v="0"/>
    <x v="21"/>
    <x v="14"/>
    <x v="0"/>
    <x v="3"/>
    <x v="0"/>
  </r>
  <r>
    <x v="65"/>
    <x v="201"/>
    <x v="38"/>
    <x v="3"/>
    <x v="199"/>
    <x v="180"/>
    <x v="626"/>
    <x v="2"/>
    <x v="4"/>
    <x v="5"/>
    <x v="11"/>
    <x v="27"/>
    <x v="0"/>
    <x v="0"/>
    <x v="17"/>
    <x v="9"/>
    <x v="0"/>
    <x v="3"/>
    <x v="0"/>
  </r>
  <r>
    <x v="65"/>
    <x v="383"/>
    <x v="30"/>
    <x v="19"/>
    <x v="386"/>
    <x v="528"/>
    <x v="629"/>
    <x v="2"/>
    <x v="4"/>
    <x v="5"/>
    <x v="1"/>
    <x v="0"/>
    <x v="8"/>
    <x v="0"/>
    <x v="9"/>
    <x v="12"/>
    <x v="0"/>
    <x v="3"/>
    <x v="0"/>
  </r>
  <r>
    <x v="65"/>
    <x v="433"/>
    <x v="69"/>
    <x v="9"/>
    <x v="708"/>
    <x v="42"/>
    <x v="608"/>
    <x v="2"/>
    <x v="0"/>
    <x v="8"/>
    <x v="13"/>
    <x v="28"/>
    <x v="9"/>
    <x v="0"/>
    <x v="16"/>
    <x v="9"/>
    <x v="1"/>
    <x v="3"/>
    <x v="0"/>
  </r>
  <r>
    <x v="65"/>
    <x v="582"/>
    <x v="30"/>
    <x v="19"/>
    <x v="584"/>
    <x v="573"/>
    <x v="503"/>
    <x v="2"/>
    <x v="3"/>
    <x v="8"/>
    <x v="13"/>
    <x v="28"/>
    <x v="9"/>
    <x v="1"/>
    <x v="50"/>
    <x v="4"/>
    <x v="0"/>
    <x v="3"/>
    <x v="0"/>
  </r>
  <r>
    <x v="65"/>
    <x v="695"/>
    <x v="23"/>
    <x v="1"/>
    <x v="151"/>
    <x v="192"/>
    <x v="828"/>
    <x v="2"/>
    <x v="3"/>
    <x v="8"/>
    <x v="13"/>
    <x v="28"/>
    <x v="9"/>
    <x v="0"/>
    <x v="17"/>
    <x v="9"/>
    <x v="0"/>
    <x v="3"/>
    <x v="0"/>
  </r>
  <r>
    <x v="65"/>
    <x v="445"/>
    <x v="33"/>
    <x v="22"/>
    <x v="440"/>
    <x v="301"/>
    <x v="388"/>
    <x v="2"/>
    <x v="3"/>
    <x v="8"/>
    <x v="13"/>
    <x v="28"/>
    <x v="9"/>
    <x v="1"/>
    <x v="18"/>
    <x v="2"/>
    <x v="1"/>
    <x v="3"/>
    <x v="0"/>
  </r>
  <r>
    <x v="65"/>
    <x v="42"/>
    <x v="33"/>
    <x v="18"/>
    <x v="36"/>
    <x v="887"/>
    <x v="72"/>
    <x v="2"/>
    <x v="0"/>
    <x v="8"/>
    <x v="13"/>
    <x v="28"/>
    <x v="9"/>
    <x v="0"/>
    <x v="18"/>
    <x v="2"/>
    <x v="1"/>
    <x v="3"/>
    <x v="0"/>
  </r>
  <r>
    <x v="65"/>
    <x v="511"/>
    <x v="46"/>
    <x v="3"/>
    <x v="500"/>
    <x v="584"/>
    <x v="425"/>
    <x v="2"/>
    <x v="3"/>
    <x v="8"/>
    <x v="13"/>
    <x v="28"/>
    <x v="9"/>
    <x v="1"/>
    <x v="14"/>
    <x v="6"/>
    <x v="0"/>
    <x v="3"/>
    <x v="0"/>
  </r>
  <r>
    <x v="65"/>
    <x v="245"/>
    <x v="33"/>
    <x v="19"/>
    <x v="256"/>
    <x v="830"/>
    <x v="227"/>
    <x v="2"/>
    <x v="3"/>
    <x v="8"/>
    <x v="13"/>
    <x v="28"/>
    <x v="9"/>
    <x v="1"/>
    <x v="24"/>
    <x v="4"/>
    <x v="0"/>
    <x v="3"/>
    <x v="0"/>
  </r>
  <r>
    <x v="66"/>
    <x v="62"/>
    <x v="33"/>
    <x v="22"/>
    <x v="53"/>
    <x v="587"/>
    <x v="284"/>
    <x v="2"/>
    <x v="3"/>
    <x v="8"/>
    <x v="13"/>
    <x v="28"/>
    <x v="9"/>
    <x v="1"/>
    <x v="18"/>
    <x v="2"/>
    <x v="0"/>
    <x v="3"/>
    <x v="0"/>
  </r>
  <r>
    <x v="66"/>
    <x v="520"/>
    <x v="30"/>
    <x v="11"/>
    <x v="510"/>
    <x v="229"/>
    <x v="439"/>
    <x v="2"/>
    <x v="1"/>
    <x v="5"/>
    <x v="9"/>
    <x v="25"/>
    <x v="0"/>
    <x v="0"/>
    <x v="16"/>
    <x v="9"/>
    <x v="4"/>
    <x v="3"/>
    <x v="0"/>
  </r>
  <r>
    <x v="66"/>
    <x v="374"/>
    <x v="18"/>
    <x v="3"/>
    <x v="376"/>
    <x v="111"/>
    <x v="615"/>
    <x v="2"/>
    <x v="1"/>
    <x v="8"/>
    <x v="13"/>
    <x v="28"/>
    <x v="9"/>
    <x v="0"/>
    <x v="18"/>
    <x v="2"/>
    <x v="18"/>
    <x v="3"/>
    <x v="0"/>
  </r>
  <r>
    <x v="66"/>
    <x v="1007"/>
    <x v="33"/>
    <x v="22"/>
    <x v="1021"/>
    <x v="1040"/>
    <x v="298"/>
    <x v="2"/>
    <x v="3"/>
    <x v="8"/>
    <x v="13"/>
    <x v="28"/>
    <x v="9"/>
    <x v="1"/>
    <x v="16"/>
    <x v="9"/>
    <x v="0"/>
    <x v="3"/>
    <x v="0"/>
  </r>
  <r>
    <x v="66"/>
    <x v="629"/>
    <x v="75"/>
    <x v="1"/>
    <x v="391"/>
    <x v="242"/>
    <x v="357"/>
    <x v="2"/>
    <x v="1"/>
    <x v="8"/>
    <x v="13"/>
    <x v="28"/>
    <x v="9"/>
    <x v="0"/>
    <x v="17"/>
    <x v="9"/>
    <x v="14"/>
    <x v="3"/>
    <x v="0"/>
  </r>
  <r>
    <x v="66"/>
    <x v="162"/>
    <x v="18"/>
    <x v="3"/>
    <x v="162"/>
    <x v="147"/>
    <x v="156"/>
    <x v="2"/>
    <x v="1"/>
    <x v="5"/>
    <x v="11"/>
    <x v="27"/>
    <x v="0"/>
    <x v="0"/>
    <x v="16"/>
    <x v="9"/>
    <x v="46"/>
    <x v="3"/>
    <x v="0"/>
  </r>
  <r>
    <x v="66"/>
    <x v="218"/>
    <x v="30"/>
    <x v="11"/>
    <x v="218"/>
    <x v="163"/>
    <x v="811"/>
    <x v="2"/>
    <x v="1"/>
    <x v="5"/>
    <x v="1"/>
    <x v="5"/>
    <x v="8"/>
    <x v="0"/>
    <x v="18"/>
    <x v="2"/>
    <x v="3"/>
    <x v="3"/>
    <x v="0"/>
  </r>
  <r>
    <x v="66"/>
    <x v="260"/>
    <x v="33"/>
    <x v="22"/>
    <x v="142"/>
    <x v="38"/>
    <x v="141"/>
    <x v="2"/>
    <x v="1"/>
    <x v="8"/>
    <x v="13"/>
    <x v="28"/>
    <x v="9"/>
    <x v="0"/>
    <x v="18"/>
    <x v="2"/>
    <x v="1"/>
    <x v="3"/>
    <x v="0"/>
  </r>
  <r>
    <x v="65"/>
    <x v="616"/>
    <x v="101"/>
    <x v="19"/>
    <x v="636"/>
    <x v="101"/>
    <x v="231"/>
    <x v="2"/>
    <x v="0"/>
    <x v="8"/>
    <x v="13"/>
    <x v="28"/>
    <x v="9"/>
    <x v="0"/>
    <x v="18"/>
    <x v="2"/>
    <x v="0"/>
    <x v="3"/>
    <x v="0"/>
  </r>
  <r>
    <x v="65"/>
    <x v="570"/>
    <x v="88"/>
    <x v="20"/>
    <x v="667"/>
    <x v="251"/>
    <x v="556"/>
    <x v="2"/>
    <x v="3"/>
    <x v="8"/>
    <x v="13"/>
    <x v="28"/>
    <x v="9"/>
    <x v="0"/>
    <x v="16"/>
    <x v="9"/>
    <x v="0"/>
    <x v="3"/>
    <x v="0"/>
  </r>
  <r>
    <x v="65"/>
    <x v="614"/>
    <x v="40"/>
    <x v="24"/>
    <x v="622"/>
    <x v="34"/>
    <x v="2"/>
    <x v="2"/>
    <x v="3"/>
    <x v="3"/>
    <x v="13"/>
    <x v="28"/>
    <x v="1"/>
    <x v="0"/>
    <x v="16"/>
    <x v="9"/>
    <x v="1"/>
    <x v="3"/>
    <x v="0"/>
  </r>
  <r>
    <x v="65"/>
    <x v="414"/>
    <x v="15"/>
    <x v="19"/>
    <x v="412"/>
    <x v="120"/>
    <x v="640"/>
    <x v="2"/>
    <x v="1"/>
    <x v="8"/>
    <x v="13"/>
    <x v="28"/>
    <x v="9"/>
    <x v="0"/>
    <x v="67"/>
    <x v="16"/>
    <x v="61"/>
    <x v="3"/>
    <x v="0"/>
  </r>
  <r>
    <x v="65"/>
    <x v="609"/>
    <x v="46"/>
    <x v="1"/>
    <x v="616"/>
    <x v="920"/>
    <x v="808"/>
    <x v="2"/>
    <x v="3"/>
    <x v="8"/>
    <x v="13"/>
    <x v="28"/>
    <x v="9"/>
    <x v="1"/>
    <x v="59"/>
    <x v="15"/>
    <x v="0"/>
    <x v="3"/>
    <x v="0"/>
  </r>
  <r>
    <x v="65"/>
    <x v="421"/>
    <x v="4"/>
    <x v="3"/>
    <x v="419"/>
    <x v="743"/>
    <x v="366"/>
    <x v="2"/>
    <x v="3"/>
    <x v="8"/>
    <x v="13"/>
    <x v="28"/>
    <x v="9"/>
    <x v="0"/>
    <x v="67"/>
    <x v="16"/>
    <x v="61"/>
    <x v="3"/>
    <x v="0"/>
  </r>
  <r>
    <x v="65"/>
    <x v="179"/>
    <x v="33"/>
    <x v="18"/>
    <x v="172"/>
    <x v="1029"/>
    <x v="2"/>
    <x v="2"/>
    <x v="1"/>
    <x v="8"/>
    <x v="13"/>
    <x v="28"/>
    <x v="9"/>
    <x v="0"/>
    <x v="18"/>
    <x v="15"/>
    <x v="0"/>
    <x v="3"/>
    <x v="0"/>
  </r>
  <r>
    <x v="65"/>
    <x v="604"/>
    <x v="23"/>
    <x v="15"/>
    <x v="609"/>
    <x v="731"/>
    <x v="513"/>
    <x v="2"/>
    <x v="4"/>
    <x v="8"/>
    <x v="13"/>
    <x v="28"/>
    <x v="9"/>
    <x v="0"/>
    <x v="11"/>
    <x v="14"/>
    <x v="38"/>
    <x v="3"/>
    <x v="0"/>
  </r>
  <r>
    <x v="66"/>
    <x v="638"/>
    <x v="83"/>
    <x v="1"/>
    <x v="646"/>
    <x v="918"/>
    <x v="680"/>
    <x v="2"/>
    <x v="4"/>
    <x v="8"/>
    <x v="13"/>
    <x v="28"/>
    <x v="9"/>
    <x v="0"/>
    <x v="12"/>
    <x v="14"/>
    <x v="0"/>
    <x v="3"/>
    <x v="0"/>
  </r>
  <r>
    <x v="66"/>
    <x v="522"/>
    <x v="59"/>
    <x v="19"/>
    <x v="1075"/>
    <x v="876"/>
    <x v="906"/>
    <x v="2"/>
    <x v="3"/>
    <x v="8"/>
    <x v="13"/>
    <x v="28"/>
    <x v="9"/>
    <x v="1"/>
    <x v="16"/>
    <x v="9"/>
    <x v="0"/>
    <x v="3"/>
    <x v="0"/>
  </r>
  <r>
    <x v="66"/>
    <x v="963"/>
    <x v="69"/>
    <x v="3"/>
    <x v="976"/>
    <x v="640"/>
    <x v="839"/>
    <x v="2"/>
    <x v="3"/>
    <x v="8"/>
    <x v="13"/>
    <x v="28"/>
    <x v="9"/>
    <x v="0"/>
    <x v="18"/>
    <x v="15"/>
    <x v="0"/>
    <x v="3"/>
    <x v="0"/>
  </r>
  <r>
    <x v="66"/>
    <x v="180"/>
    <x v="62"/>
    <x v="1"/>
    <x v="183"/>
    <x v="497"/>
    <x v="180"/>
    <x v="2"/>
    <x v="3"/>
    <x v="8"/>
    <x v="13"/>
    <x v="28"/>
    <x v="9"/>
    <x v="1"/>
    <x v="9"/>
    <x v="12"/>
    <x v="0"/>
    <x v="3"/>
    <x v="0"/>
  </r>
  <r>
    <x v="66"/>
    <x v="281"/>
    <x v="92"/>
    <x v="20"/>
    <x v="293"/>
    <x v="788"/>
    <x v="355"/>
    <x v="2"/>
    <x v="1"/>
    <x v="8"/>
    <x v="13"/>
    <x v="28"/>
    <x v="9"/>
    <x v="0"/>
    <x v="16"/>
    <x v="9"/>
    <x v="1"/>
    <x v="3"/>
    <x v="0"/>
  </r>
  <r>
    <x v="66"/>
    <x v="591"/>
    <x v="59"/>
    <x v="19"/>
    <x v="593"/>
    <x v="119"/>
    <x v="287"/>
    <x v="2"/>
    <x v="1"/>
    <x v="5"/>
    <x v="11"/>
    <x v="27"/>
    <x v="0"/>
    <x v="0"/>
    <x v="17"/>
    <x v="9"/>
    <x v="10"/>
    <x v="3"/>
    <x v="0"/>
  </r>
  <r>
    <x v="67"/>
    <x v="315"/>
    <x v="23"/>
    <x v="6"/>
    <x v="329"/>
    <x v="925"/>
    <x v="280"/>
    <x v="2"/>
    <x v="4"/>
    <x v="8"/>
    <x v="13"/>
    <x v="28"/>
    <x v="9"/>
    <x v="0"/>
    <x v="60"/>
    <x v="15"/>
    <x v="0"/>
    <x v="3"/>
    <x v="0"/>
  </r>
  <r>
    <x v="66"/>
    <x v="290"/>
    <x v="92"/>
    <x v="24"/>
    <x v="304"/>
    <x v="449"/>
    <x v="520"/>
    <x v="2"/>
    <x v="0"/>
    <x v="8"/>
    <x v="13"/>
    <x v="28"/>
    <x v="9"/>
    <x v="0"/>
    <x v="67"/>
    <x v="16"/>
    <x v="61"/>
    <x v="3"/>
    <x v="0"/>
  </r>
  <r>
    <x v="66"/>
    <x v="347"/>
    <x v="23"/>
    <x v="6"/>
    <x v="514"/>
    <x v="897"/>
    <x v="2"/>
    <x v="2"/>
    <x v="4"/>
    <x v="8"/>
    <x v="13"/>
    <x v="28"/>
    <x v="9"/>
    <x v="0"/>
    <x v="18"/>
    <x v="2"/>
    <x v="0"/>
    <x v="3"/>
    <x v="0"/>
  </r>
  <r>
    <x v="66"/>
    <x v="964"/>
    <x v="13"/>
    <x v="1"/>
    <x v="978"/>
    <x v="341"/>
    <x v="841"/>
    <x v="2"/>
    <x v="0"/>
    <x v="8"/>
    <x v="13"/>
    <x v="28"/>
    <x v="9"/>
    <x v="0"/>
    <x v="67"/>
    <x v="16"/>
    <x v="61"/>
    <x v="3"/>
    <x v="0"/>
  </r>
  <r>
    <x v="66"/>
    <x v="557"/>
    <x v="33"/>
    <x v="22"/>
    <x v="550"/>
    <x v="133"/>
    <x v="484"/>
    <x v="2"/>
    <x v="0"/>
    <x v="8"/>
    <x v="13"/>
    <x v="28"/>
    <x v="9"/>
    <x v="0"/>
    <x v="16"/>
    <x v="9"/>
    <x v="61"/>
    <x v="3"/>
    <x v="0"/>
  </r>
  <r>
    <x v="67"/>
    <x v="100"/>
    <x v="23"/>
    <x v="15"/>
    <x v="90"/>
    <x v="633"/>
    <x v="84"/>
    <x v="2"/>
    <x v="1"/>
    <x v="5"/>
    <x v="1"/>
    <x v="5"/>
    <x v="8"/>
    <x v="0"/>
    <x v="21"/>
    <x v="14"/>
    <x v="32"/>
    <x v="3"/>
    <x v="0"/>
  </r>
  <r>
    <x v="66"/>
    <x v="811"/>
    <x v="30"/>
    <x v="1"/>
    <x v="814"/>
    <x v="306"/>
    <x v="2"/>
    <x v="2"/>
    <x v="4"/>
    <x v="8"/>
    <x v="13"/>
    <x v="28"/>
    <x v="9"/>
    <x v="0"/>
    <x v="7"/>
    <x v="15"/>
    <x v="0"/>
    <x v="3"/>
    <x v="0"/>
  </r>
  <r>
    <x v="66"/>
    <x v="982"/>
    <x v="23"/>
    <x v="3"/>
    <x v="997"/>
    <x v="810"/>
    <x v="852"/>
    <x v="2"/>
    <x v="1"/>
    <x v="5"/>
    <x v="11"/>
    <x v="27"/>
    <x v="0"/>
    <x v="0"/>
    <x v="18"/>
    <x v="2"/>
    <x v="34"/>
    <x v="3"/>
    <x v="0"/>
  </r>
  <r>
    <x v="67"/>
    <x v="496"/>
    <x v="33"/>
    <x v="23"/>
    <x v="489"/>
    <x v="89"/>
    <x v="622"/>
    <x v="2"/>
    <x v="3"/>
    <x v="8"/>
    <x v="13"/>
    <x v="28"/>
    <x v="9"/>
    <x v="1"/>
    <x v="18"/>
    <x v="2"/>
    <x v="1"/>
    <x v="3"/>
    <x v="0"/>
  </r>
  <r>
    <x v="67"/>
    <x v="128"/>
    <x v="23"/>
    <x v="3"/>
    <x v="121"/>
    <x v="662"/>
    <x v="106"/>
    <x v="2"/>
    <x v="0"/>
    <x v="8"/>
    <x v="13"/>
    <x v="28"/>
    <x v="9"/>
    <x v="0"/>
    <x v="16"/>
    <x v="9"/>
    <x v="1"/>
    <x v="3"/>
    <x v="0"/>
  </r>
  <r>
    <x v="67"/>
    <x v="1000"/>
    <x v="18"/>
    <x v="3"/>
    <x v="1013"/>
    <x v="922"/>
    <x v="2"/>
    <x v="2"/>
    <x v="4"/>
    <x v="8"/>
    <x v="13"/>
    <x v="28"/>
    <x v="9"/>
    <x v="0"/>
    <x v="18"/>
    <x v="7"/>
    <x v="0"/>
    <x v="3"/>
    <x v="0"/>
  </r>
  <r>
    <x v="67"/>
    <x v="758"/>
    <x v="30"/>
    <x v="21"/>
    <x v="754"/>
    <x v="352"/>
    <x v="492"/>
    <x v="2"/>
    <x v="3"/>
    <x v="8"/>
    <x v="13"/>
    <x v="28"/>
    <x v="9"/>
    <x v="1"/>
    <x v="18"/>
    <x v="2"/>
    <x v="1"/>
    <x v="3"/>
    <x v="0"/>
  </r>
  <r>
    <x v="67"/>
    <x v="758"/>
    <x v="81"/>
    <x v="15"/>
    <x v="754"/>
    <x v="352"/>
    <x v="492"/>
    <x v="2"/>
    <x v="3"/>
    <x v="8"/>
    <x v="13"/>
    <x v="28"/>
    <x v="9"/>
    <x v="1"/>
    <x v="18"/>
    <x v="2"/>
    <x v="1"/>
    <x v="3"/>
    <x v="0"/>
  </r>
  <r>
    <x v="67"/>
    <x v="479"/>
    <x v="33"/>
    <x v="22"/>
    <x v="469"/>
    <x v="527"/>
    <x v="7"/>
    <x v="2"/>
    <x v="1"/>
    <x v="5"/>
    <x v="5"/>
    <x v="4"/>
    <x v="4"/>
    <x v="0"/>
    <x v="25"/>
    <x v="12"/>
    <x v="1"/>
    <x v="3"/>
    <x v="0"/>
  </r>
  <r>
    <x v="67"/>
    <x v="181"/>
    <x v="93"/>
    <x v="15"/>
    <x v="184"/>
    <x v="361"/>
    <x v="564"/>
    <x v="2"/>
    <x v="1"/>
    <x v="8"/>
    <x v="13"/>
    <x v="28"/>
    <x v="9"/>
    <x v="0"/>
    <x v="42"/>
    <x v="14"/>
    <x v="52"/>
    <x v="3"/>
    <x v="0"/>
  </r>
  <r>
    <x v="67"/>
    <x v="462"/>
    <x v="59"/>
    <x v="21"/>
    <x v="452"/>
    <x v="273"/>
    <x v="46"/>
    <x v="2"/>
    <x v="1"/>
    <x v="5"/>
    <x v="1"/>
    <x v="0"/>
    <x v="8"/>
    <x v="0"/>
    <x v="16"/>
    <x v="9"/>
    <x v="1"/>
    <x v="3"/>
    <x v="0"/>
  </r>
  <r>
    <x v="67"/>
    <x v="801"/>
    <x v="62"/>
    <x v="24"/>
    <x v="805"/>
    <x v="113"/>
    <x v="2"/>
    <x v="2"/>
    <x v="4"/>
    <x v="8"/>
    <x v="13"/>
    <x v="28"/>
    <x v="9"/>
    <x v="0"/>
    <x v="18"/>
    <x v="2"/>
    <x v="0"/>
    <x v="3"/>
    <x v="0"/>
  </r>
  <r>
    <x v="67"/>
    <x v="393"/>
    <x v="30"/>
    <x v="19"/>
    <x v="394"/>
    <x v="430"/>
    <x v="360"/>
    <x v="2"/>
    <x v="3"/>
    <x v="8"/>
    <x v="13"/>
    <x v="28"/>
    <x v="9"/>
    <x v="1"/>
    <x v="21"/>
    <x v="14"/>
    <x v="1"/>
    <x v="3"/>
    <x v="0"/>
  </r>
  <r>
    <x v="67"/>
    <x v="373"/>
    <x v="23"/>
    <x v="1"/>
    <x v="564"/>
    <x v="768"/>
    <x v="490"/>
    <x v="2"/>
    <x v="4"/>
    <x v="5"/>
    <x v="11"/>
    <x v="27"/>
    <x v="0"/>
    <x v="0"/>
    <x v="7"/>
    <x v="15"/>
    <x v="0"/>
    <x v="3"/>
    <x v="0"/>
  </r>
  <r>
    <x v="67"/>
    <x v="1055"/>
    <x v="59"/>
    <x v="11"/>
    <x v="1067"/>
    <x v="409"/>
    <x v="174"/>
    <x v="2"/>
    <x v="1"/>
    <x v="5"/>
    <x v="11"/>
    <x v="27"/>
    <x v="0"/>
    <x v="0"/>
    <x v="21"/>
    <x v="14"/>
    <x v="25"/>
    <x v="3"/>
    <x v="0"/>
  </r>
  <r>
    <x v="66"/>
    <x v="355"/>
    <x v="33"/>
    <x v="22"/>
    <x v="358"/>
    <x v="74"/>
    <x v="323"/>
    <x v="2"/>
    <x v="3"/>
    <x v="8"/>
    <x v="13"/>
    <x v="28"/>
    <x v="9"/>
    <x v="1"/>
    <x v="18"/>
    <x v="7"/>
    <x v="0"/>
    <x v="3"/>
    <x v="0"/>
  </r>
  <r>
    <x v="67"/>
    <x v="994"/>
    <x v="33"/>
    <x v="22"/>
    <x v="363"/>
    <x v="836"/>
    <x v="325"/>
    <x v="2"/>
    <x v="1"/>
    <x v="5"/>
    <x v="5"/>
    <x v="19"/>
    <x v="8"/>
    <x v="0"/>
    <x v="18"/>
    <x v="2"/>
    <x v="0"/>
    <x v="3"/>
    <x v="0"/>
  </r>
  <r>
    <x v="67"/>
    <x v="1061"/>
    <x v="33"/>
    <x v="22"/>
    <x v="1072"/>
    <x v="674"/>
    <x v="5"/>
    <x v="2"/>
    <x v="3"/>
    <x v="8"/>
    <x v="13"/>
    <x v="28"/>
    <x v="9"/>
    <x v="1"/>
    <x v="18"/>
    <x v="2"/>
    <x v="1"/>
    <x v="3"/>
    <x v="0"/>
  </r>
  <r>
    <x v="67"/>
    <x v="291"/>
    <x v="75"/>
    <x v="1"/>
    <x v="305"/>
    <x v="510"/>
    <x v="63"/>
    <x v="2"/>
    <x v="4"/>
    <x v="5"/>
    <x v="9"/>
    <x v="25"/>
    <x v="0"/>
    <x v="0"/>
    <x v="25"/>
    <x v="12"/>
    <x v="0"/>
    <x v="3"/>
    <x v="0"/>
  </r>
  <r>
    <x v="67"/>
    <x v="34"/>
    <x v="30"/>
    <x v="11"/>
    <x v="99"/>
    <x v="874"/>
    <x v="32"/>
    <x v="2"/>
    <x v="1"/>
    <x v="8"/>
    <x v="13"/>
    <x v="28"/>
    <x v="9"/>
    <x v="0"/>
    <x v="18"/>
    <x v="15"/>
    <x v="13"/>
    <x v="3"/>
    <x v="0"/>
  </r>
  <r>
    <x v="67"/>
    <x v="198"/>
    <x v="23"/>
    <x v="1"/>
    <x v="342"/>
    <x v="974"/>
    <x v="290"/>
    <x v="2"/>
    <x v="0"/>
    <x v="8"/>
    <x v="13"/>
    <x v="28"/>
    <x v="9"/>
    <x v="0"/>
    <x v="30"/>
    <x v="15"/>
    <x v="1"/>
    <x v="3"/>
    <x v="0"/>
  </r>
  <r>
    <x v="67"/>
    <x v="34"/>
    <x v="23"/>
    <x v="1"/>
    <x v="99"/>
    <x v="874"/>
    <x v="32"/>
    <x v="2"/>
    <x v="1"/>
    <x v="8"/>
    <x v="13"/>
    <x v="28"/>
    <x v="9"/>
    <x v="0"/>
    <x v="18"/>
    <x v="15"/>
    <x v="13"/>
    <x v="3"/>
    <x v="0"/>
  </r>
  <r>
    <x v="67"/>
    <x v="398"/>
    <x v="23"/>
    <x v="17"/>
    <x v="398"/>
    <x v="571"/>
    <x v="717"/>
    <x v="2"/>
    <x v="4"/>
    <x v="5"/>
    <x v="9"/>
    <x v="25"/>
    <x v="0"/>
    <x v="0"/>
    <x v="51"/>
    <x v="2"/>
    <x v="0"/>
    <x v="3"/>
    <x v="0"/>
  </r>
  <r>
    <x v="67"/>
    <x v="34"/>
    <x v="23"/>
    <x v="12"/>
    <x v="99"/>
    <x v="874"/>
    <x v="32"/>
    <x v="2"/>
    <x v="1"/>
    <x v="8"/>
    <x v="13"/>
    <x v="28"/>
    <x v="9"/>
    <x v="0"/>
    <x v="18"/>
    <x v="15"/>
    <x v="13"/>
    <x v="3"/>
    <x v="0"/>
  </r>
  <r>
    <x v="67"/>
    <x v="868"/>
    <x v="30"/>
    <x v="11"/>
    <x v="873"/>
    <x v="813"/>
    <x v="774"/>
    <x v="2"/>
    <x v="1"/>
    <x v="8"/>
    <x v="13"/>
    <x v="28"/>
    <x v="9"/>
    <x v="0"/>
    <x v="16"/>
    <x v="9"/>
    <x v="26"/>
    <x v="3"/>
    <x v="0"/>
  </r>
  <r>
    <x v="67"/>
    <x v="381"/>
    <x v="33"/>
    <x v="22"/>
    <x v="954"/>
    <x v="668"/>
    <x v="436"/>
    <x v="2"/>
    <x v="4"/>
    <x v="8"/>
    <x v="13"/>
    <x v="28"/>
    <x v="9"/>
    <x v="0"/>
    <x v="18"/>
    <x v="2"/>
    <x v="0"/>
    <x v="3"/>
    <x v="0"/>
  </r>
  <r>
    <x v="67"/>
    <x v="498"/>
    <x v="30"/>
    <x v="21"/>
    <x v="291"/>
    <x v="49"/>
    <x v="27"/>
    <x v="2"/>
    <x v="1"/>
    <x v="8"/>
    <x v="13"/>
    <x v="28"/>
    <x v="9"/>
    <x v="0"/>
    <x v="2"/>
    <x v="7"/>
    <x v="1"/>
    <x v="3"/>
    <x v="0"/>
  </r>
  <r>
    <x v="67"/>
    <x v="498"/>
    <x v="23"/>
    <x v="1"/>
    <x v="291"/>
    <x v="823"/>
    <x v="130"/>
    <x v="2"/>
    <x v="1"/>
    <x v="8"/>
    <x v="13"/>
    <x v="28"/>
    <x v="9"/>
    <x v="0"/>
    <x v="2"/>
    <x v="7"/>
    <x v="1"/>
    <x v="3"/>
    <x v="0"/>
  </r>
  <r>
    <x v="67"/>
    <x v="498"/>
    <x v="30"/>
    <x v="21"/>
    <x v="836"/>
    <x v="62"/>
    <x v="727"/>
    <x v="2"/>
    <x v="1"/>
    <x v="8"/>
    <x v="13"/>
    <x v="28"/>
    <x v="9"/>
    <x v="0"/>
    <x v="2"/>
    <x v="7"/>
    <x v="1"/>
    <x v="3"/>
    <x v="0"/>
  </r>
  <r>
    <x v="67"/>
    <x v="498"/>
    <x v="23"/>
    <x v="1"/>
    <x v="836"/>
    <x v="62"/>
    <x v="727"/>
    <x v="2"/>
    <x v="1"/>
    <x v="8"/>
    <x v="13"/>
    <x v="28"/>
    <x v="9"/>
    <x v="0"/>
    <x v="2"/>
    <x v="7"/>
    <x v="1"/>
    <x v="3"/>
    <x v="0"/>
  </r>
  <r>
    <x v="68"/>
    <x v="504"/>
    <x v="33"/>
    <x v="18"/>
    <x v="803"/>
    <x v="391"/>
    <x v="702"/>
    <x v="2"/>
    <x v="0"/>
    <x v="8"/>
    <x v="13"/>
    <x v="28"/>
    <x v="9"/>
    <x v="0"/>
    <x v="21"/>
    <x v="14"/>
    <x v="1"/>
    <x v="3"/>
    <x v="0"/>
  </r>
  <r>
    <x v="68"/>
    <x v="539"/>
    <x v="83"/>
    <x v="1"/>
    <x v="528"/>
    <x v="839"/>
    <x v="455"/>
    <x v="2"/>
    <x v="3"/>
    <x v="8"/>
    <x v="13"/>
    <x v="28"/>
    <x v="9"/>
    <x v="1"/>
    <x v="59"/>
    <x v="15"/>
    <x v="0"/>
    <x v="3"/>
    <x v="0"/>
  </r>
  <r>
    <x v="61"/>
    <x v="247"/>
    <x v="33"/>
    <x v="23"/>
    <x v="260"/>
    <x v="312"/>
    <x v="229"/>
    <x v="2"/>
    <x v="0"/>
    <x v="8"/>
    <x v="13"/>
    <x v="28"/>
    <x v="9"/>
    <x v="0"/>
    <x v="18"/>
    <x v="2"/>
    <x v="0"/>
    <x v="3"/>
    <x v="0"/>
  </r>
  <r>
    <x v="68"/>
    <x v="750"/>
    <x v="30"/>
    <x v="15"/>
    <x v="745"/>
    <x v="139"/>
    <x v="652"/>
    <x v="2"/>
    <x v="3"/>
    <x v="8"/>
    <x v="13"/>
    <x v="28"/>
    <x v="9"/>
    <x v="1"/>
    <x v="3"/>
    <x v="14"/>
    <x v="0"/>
    <x v="3"/>
    <x v="0"/>
  </r>
  <r>
    <x v="68"/>
    <x v="241"/>
    <x v="99"/>
    <x v="24"/>
    <x v="253"/>
    <x v="384"/>
    <x v="415"/>
    <x v="2"/>
    <x v="0"/>
    <x v="8"/>
    <x v="13"/>
    <x v="28"/>
    <x v="9"/>
    <x v="0"/>
    <x v="21"/>
    <x v="14"/>
    <x v="1"/>
    <x v="3"/>
    <x v="0"/>
  </r>
  <r>
    <x v="68"/>
    <x v="807"/>
    <x v="33"/>
    <x v="22"/>
    <x v="810"/>
    <x v="319"/>
    <x v="706"/>
    <x v="2"/>
    <x v="0"/>
    <x v="5"/>
    <x v="2"/>
    <x v="7"/>
    <x v="8"/>
    <x v="0"/>
    <x v="18"/>
    <x v="14"/>
    <x v="1"/>
    <x v="3"/>
    <x v="0"/>
  </r>
  <r>
    <x v="68"/>
    <x v="34"/>
    <x v="52"/>
    <x v="5"/>
    <x v="99"/>
    <x v="874"/>
    <x v="32"/>
    <x v="2"/>
    <x v="1"/>
    <x v="8"/>
    <x v="13"/>
    <x v="28"/>
    <x v="9"/>
    <x v="0"/>
    <x v="18"/>
    <x v="15"/>
    <x v="1"/>
    <x v="3"/>
    <x v="0"/>
  </r>
  <r>
    <x v="68"/>
    <x v="215"/>
    <x v="38"/>
    <x v="3"/>
    <x v="214"/>
    <x v="959"/>
    <x v="232"/>
    <x v="2"/>
    <x v="1"/>
    <x v="5"/>
    <x v="8"/>
    <x v="24"/>
    <x v="0"/>
    <x v="0"/>
    <x v="53"/>
    <x v="15"/>
    <x v="31"/>
    <x v="3"/>
    <x v="0"/>
  </r>
  <r>
    <x v="68"/>
    <x v="899"/>
    <x v="23"/>
    <x v="6"/>
    <x v="905"/>
    <x v="144"/>
    <x v="746"/>
    <x v="2"/>
    <x v="3"/>
    <x v="8"/>
    <x v="13"/>
    <x v="28"/>
    <x v="9"/>
    <x v="1"/>
    <x v="16"/>
    <x v="9"/>
    <x v="0"/>
    <x v="3"/>
    <x v="0"/>
  </r>
  <r>
    <x v="68"/>
    <x v="971"/>
    <x v="33"/>
    <x v="22"/>
    <x v="986"/>
    <x v="37"/>
    <x v="825"/>
    <x v="2"/>
    <x v="4"/>
    <x v="8"/>
    <x v="13"/>
    <x v="28"/>
    <x v="9"/>
    <x v="0"/>
    <x v="18"/>
    <x v="2"/>
    <x v="0"/>
    <x v="3"/>
    <x v="0"/>
  </r>
  <r>
    <x v="68"/>
    <x v="541"/>
    <x v="59"/>
    <x v="15"/>
    <x v="532"/>
    <x v="665"/>
    <x v="457"/>
    <x v="2"/>
    <x v="3"/>
    <x v="8"/>
    <x v="13"/>
    <x v="28"/>
    <x v="9"/>
    <x v="0"/>
    <x v="21"/>
    <x v="14"/>
    <x v="0"/>
    <x v="3"/>
    <x v="0"/>
  </r>
  <r>
    <x v="68"/>
    <x v="9"/>
    <x v="62"/>
    <x v="24"/>
    <x v="225"/>
    <x v="121"/>
    <x v="223"/>
    <x v="2"/>
    <x v="1"/>
    <x v="8"/>
    <x v="13"/>
    <x v="28"/>
    <x v="9"/>
    <x v="0"/>
    <x v="17"/>
    <x v="9"/>
    <x v="9"/>
    <x v="3"/>
    <x v="0"/>
  </r>
  <r>
    <x v="69"/>
    <x v="506"/>
    <x v="18"/>
    <x v="3"/>
    <x v="496"/>
    <x v="185"/>
    <x v="429"/>
    <x v="2"/>
    <x v="0"/>
    <x v="0"/>
    <x v="7"/>
    <x v="21"/>
    <x v="6"/>
    <x v="0"/>
    <x v="17"/>
    <x v="9"/>
    <x v="43"/>
    <x v="3"/>
    <x v="0"/>
  </r>
  <r>
    <x v="69"/>
    <x v="1033"/>
    <x v="16"/>
    <x v="9"/>
    <x v="1046"/>
    <x v="771"/>
    <x v="885"/>
    <x v="2"/>
    <x v="0"/>
    <x v="5"/>
    <x v="1"/>
    <x v="0"/>
    <x v="8"/>
    <x v="0"/>
    <x v="8"/>
    <x v="9"/>
    <x v="53"/>
    <x v="3"/>
    <x v="0"/>
  </r>
  <r>
    <x v="69"/>
    <x v="173"/>
    <x v="16"/>
    <x v="9"/>
    <x v="1011"/>
    <x v="50"/>
    <x v="55"/>
    <x v="2"/>
    <x v="1"/>
    <x v="8"/>
    <x v="13"/>
    <x v="28"/>
    <x v="9"/>
    <x v="0"/>
    <x v="16"/>
    <x v="9"/>
    <x v="0"/>
    <x v="3"/>
    <x v="0"/>
  </r>
  <r>
    <x v="69"/>
    <x v="83"/>
    <x v="41"/>
    <x v="22"/>
    <x v="312"/>
    <x v="622"/>
    <x v="21"/>
    <x v="2"/>
    <x v="4"/>
    <x v="5"/>
    <x v="11"/>
    <x v="27"/>
    <x v="0"/>
    <x v="0"/>
    <x v="23"/>
    <x v="9"/>
    <x v="0"/>
    <x v="3"/>
    <x v="0"/>
  </r>
  <r>
    <x v="68"/>
    <x v="625"/>
    <x v="30"/>
    <x v="21"/>
    <x v="632"/>
    <x v="986"/>
    <x v="528"/>
    <x v="2"/>
    <x v="3"/>
    <x v="8"/>
    <x v="13"/>
    <x v="28"/>
    <x v="9"/>
    <x v="1"/>
    <x v="18"/>
    <x v="10"/>
    <x v="0"/>
    <x v="3"/>
    <x v="0"/>
  </r>
  <r>
    <x v="68"/>
    <x v="625"/>
    <x v="30"/>
    <x v="1"/>
    <x v="632"/>
    <x v="986"/>
    <x v="528"/>
    <x v="2"/>
    <x v="3"/>
    <x v="8"/>
    <x v="13"/>
    <x v="28"/>
    <x v="9"/>
    <x v="1"/>
    <x v="18"/>
    <x v="10"/>
    <x v="0"/>
    <x v="3"/>
    <x v="0"/>
  </r>
  <r>
    <x v="69"/>
    <x v="15"/>
    <x v="9"/>
    <x v="0"/>
    <x v="10"/>
    <x v="491"/>
    <x v="505"/>
    <x v="2"/>
    <x v="1"/>
    <x v="8"/>
    <x v="13"/>
    <x v="28"/>
    <x v="9"/>
    <x v="0"/>
    <x v="18"/>
    <x v="12"/>
    <x v="45"/>
    <x v="3"/>
    <x v="0"/>
  </r>
  <r>
    <x v="69"/>
    <x v="15"/>
    <x v="23"/>
    <x v="1"/>
    <x v="10"/>
    <x v="491"/>
    <x v="505"/>
    <x v="2"/>
    <x v="1"/>
    <x v="8"/>
    <x v="13"/>
    <x v="28"/>
    <x v="9"/>
    <x v="0"/>
    <x v="18"/>
    <x v="12"/>
    <x v="45"/>
    <x v="3"/>
    <x v="0"/>
  </r>
  <r>
    <x v="69"/>
    <x v="741"/>
    <x v="23"/>
    <x v="3"/>
    <x v="740"/>
    <x v="72"/>
    <x v="2"/>
    <x v="2"/>
    <x v="4"/>
    <x v="5"/>
    <x v="11"/>
    <x v="27"/>
    <x v="0"/>
    <x v="0"/>
    <x v="18"/>
    <x v="2"/>
    <x v="0"/>
    <x v="3"/>
    <x v="0"/>
  </r>
  <r>
    <x v="69"/>
    <x v="663"/>
    <x v="33"/>
    <x v="22"/>
    <x v="670"/>
    <x v="451"/>
    <x v="279"/>
    <x v="2"/>
    <x v="1"/>
    <x v="5"/>
    <x v="11"/>
    <x v="27"/>
    <x v="0"/>
    <x v="0"/>
    <x v="18"/>
    <x v="2"/>
    <x v="0"/>
    <x v="3"/>
    <x v="0"/>
  </r>
  <r>
    <x v="69"/>
    <x v="258"/>
    <x v="23"/>
    <x v="6"/>
    <x v="272"/>
    <x v="740"/>
    <x v="241"/>
    <x v="2"/>
    <x v="0"/>
    <x v="5"/>
    <x v="11"/>
    <x v="27"/>
    <x v="0"/>
    <x v="0"/>
    <x v="16"/>
    <x v="9"/>
    <x v="0"/>
    <x v="3"/>
    <x v="0"/>
  </r>
  <r>
    <x v="69"/>
    <x v="718"/>
    <x v="33"/>
    <x v="22"/>
    <x v="719"/>
    <x v="696"/>
    <x v="135"/>
    <x v="2"/>
    <x v="1"/>
    <x v="5"/>
    <x v="5"/>
    <x v="19"/>
    <x v="8"/>
    <x v="0"/>
    <x v="4"/>
    <x v="13"/>
    <x v="0"/>
    <x v="3"/>
    <x v="0"/>
  </r>
  <r>
    <x v="69"/>
    <x v="433"/>
    <x v="33"/>
    <x v="22"/>
    <x v="708"/>
    <x v="42"/>
    <x v="608"/>
    <x v="2"/>
    <x v="3"/>
    <x v="8"/>
    <x v="13"/>
    <x v="28"/>
    <x v="9"/>
    <x v="1"/>
    <x v="16"/>
    <x v="9"/>
    <x v="0"/>
    <x v="3"/>
    <x v="0"/>
  </r>
  <r>
    <x v="69"/>
    <x v="635"/>
    <x v="59"/>
    <x v="11"/>
    <x v="641"/>
    <x v="567"/>
    <x v="545"/>
    <x v="2"/>
    <x v="0"/>
    <x v="5"/>
    <x v="11"/>
    <x v="27"/>
    <x v="0"/>
    <x v="0"/>
    <x v="24"/>
    <x v="4"/>
    <x v="0"/>
    <x v="3"/>
    <x v="0"/>
  </r>
  <r>
    <x v="69"/>
    <x v="982"/>
    <x v="30"/>
    <x v="15"/>
    <x v="997"/>
    <x v="3"/>
    <x v="852"/>
    <x v="2"/>
    <x v="3"/>
    <x v="8"/>
    <x v="13"/>
    <x v="28"/>
    <x v="9"/>
    <x v="1"/>
    <x v="11"/>
    <x v="14"/>
    <x v="0"/>
    <x v="3"/>
    <x v="0"/>
  </r>
  <r>
    <x v="69"/>
    <x v="1036"/>
    <x v="80"/>
    <x v="15"/>
    <x v="1050"/>
    <x v="367"/>
    <x v="889"/>
    <x v="2"/>
    <x v="4"/>
    <x v="5"/>
    <x v="11"/>
    <x v="27"/>
    <x v="0"/>
    <x v="0"/>
    <x v="18"/>
    <x v="2"/>
    <x v="0"/>
    <x v="3"/>
    <x v="0"/>
  </r>
  <r>
    <x v="68"/>
    <x v="257"/>
    <x v="92"/>
    <x v="23"/>
    <x v="271"/>
    <x v="98"/>
    <x v="239"/>
    <x v="2"/>
    <x v="3"/>
    <x v="8"/>
    <x v="13"/>
    <x v="28"/>
    <x v="9"/>
    <x v="1"/>
    <x v="67"/>
    <x v="16"/>
    <x v="61"/>
    <x v="3"/>
    <x v="0"/>
  </r>
  <r>
    <x v="69"/>
    <x v="999"/>
    <x v="62"/>
    <x v="24"/>
    <x v="955"/>
    <x v="107"/>
    <x v="6"/>
    <x v="2"/>
    <x v="1"/>
    <x v="8"/>
    <x v="13"/>
    <x v="28"/>
    <x v="9"/>
    <x v="0"/>
    <x v="17"/>
    <x v="9"/>
    <x v="1"/>
    <x v="3"/>
    <x v="0"/>
  </r>
  <r>
    <x v="70"/>
    <x v="116"/>
    <x v="23"/>
    <x v="3"/>
    <x v="107"/>
    <x v="732"/>
    <x v="96"/>
    <x v="2"/>
    <x v="3"/>
    <x v="8"/>
    <x v="13"/>
    <x v="28"/>
    <x v="9"/>
    <x v="1"/>
    <x v="6"/>
    <x v="6"/>
    <x v="0"/>
    <x v="3"/>
    <x v="0"/>
  </r>
  <r>
    <x v="70"/>
    <x v="116"/>
    <x v="46"/>
    <x v="1"/>
    <x v="107"/>
    <x v="732"/>
    <x v="96"/>
    <x v="2"/>
    <x v="3"/>
    <x v="8"/>
    <x v="13"/>
    <x v="28"/>
    <x v="9"/>
    <x v="1"/>
    <x v="6"/>
    <x v="6"/>
    <x v="0"/>
    <x v="3"/>
    <x v="0"/>
  </r>
  <r>
    <x v="70"/>
    <x v="895"/>
    <x v="71"/>
    <x v="11"/>
    <x v="901"/>
    <x v="252"/>
    <x v="806"/>
    <x v="2"/>
    <x v="0"/>
    <x v="8"/>
    <x v="13"/>
    <x v="28"/>
    <x v="9"/>
    <x v="0"/>
    <x v="16"/>
    <x v="9"/>
    <x v="0"/>
    <x v="3"/>
    <x v="0"/>
  </r>
  <r>
    <x v="70"/>
    <x v="261"/>
    <x v="76"/>
    <x v="9"/>
    <x v="84"/>
    <x v="58"/>
    <x v="78"/>
    <x v="2"/>
    <x v="3"/>
    <x v="8"/>
    <x v="13"/>
    <x v="28"/>
    <x v="9"/>
    <x v="1"/>
    <x v="28"/>
    <x v="14"/>
    <x v="0"/>
    <x v="3"/>
    <x v="0"/>
  </r>
  <r>
    <x v="70"/>
    <x v="98"/>
    <x v="33"/>
    <x v="22"/>
    <x v="88"/>
    <x v="736"/>
    <x v="767"/>
    <x v="2"/>
    <x v="3"/>
    <x v="8"/>
    <x v="13"/>
    <x v="28"/>
    <x v="9"/>
    <x v="0"/>
    <x v="48"/>
    <x v="12"/>
    <x v="0"/>
    <x v="3"/>
    <x v="0"/>
  </r>
  <r>
    <x v="70"/>
    <x v="658"/>
    <x v="92"/>
    <x v="20"/>
    <x v="536"/>
    <x v="78"/>
    <x v="460"/>
    <x v="2"/>
    <x v="3"/>
    <x v="8"/>
    <x v="13"/>
    <x v="28"/>
    <x v="9"/>
    <x v="1"/>
    <x v="19"/>
    <x v="7"/>
    <x v="0"/>
    <x v="3"/>
    <x v="0"/>
  </r>
  <r>
    <x v="70"/>
    <x v="320"/>
    <x v="46"/>
    <x v="1"/>
    <x v="334"/>
    <x v="706"/>
    <x v="2"/>
    <x v="2"/>
    <x v="3"/>
    <x v="8"/>
    <x v="13"/>
    <x v="28"/>
    <x v="9"/>
    <x v="0"/>
    <x v="6"/>
    <x v="6"/>
    <x v="0"/>
    <x v="3"/>
    <x v="0"/>
  </r>
  <r>
    <x v="70"/>
    <x v="1021"/>
    <x v="23"/>
    <x v="17"/>
    <x v="1033"/>
    <x v="402"/>
    <x v="878"/>
    <x v="2"/>
    <x v="3"/>
    <x v="8"/>
    <x v="13"/>
    <x v="28"/>
    <x v="9"/>
    <x v="1"/>
    <x v="21"/>
    <x v="14"/>
    <x v="0"/>
    <x v="3"/>
    <x v="0"/>
  </r>
  <r>
    <x v="70"/>
    <x v="755"/>
    <x v="33"/>
    <x v="23"/>
    <x v="965"/>
    <x v="589"/>
    <x v="832"/>
    <x v="2"/>
    <x v="1"/>
    <x v="1"/>
    <x v="13"/>
    <x v="28"/>
    <x v="9"/>
    <x v="0"/>
    <x v="18"/>
    <x v="6"/>
    <x v="0"/>
    <x v="3"/>
    <x v="0"/>
  </r>
  <r>
    <x v="70"/>
    <x v="825"/>
    <x v="33"/>
    <x v="22"/>
    <x v="829"/>
    <x v="487"/>
    <x v="604"/>
    <x v="2"/>
    <x v="3"/>
    <x v="8"/>
    <x v="13"/>
    <x v="28"/>
    <x v="9"/>
    <x v="1"/>
    <x v="18"/>
    <x v="12"/>
    <x v="0"/>
    <x v="3"/>
    <x v="0"/>
  </r>
  <r>
    <x v="71"/>
    <x v="302"/>
    <x v="33"/>
    <x v="22"/>
    <x v="111"/>
    <x v="562"/>
    <x v="5"/>
    <x v="2"/>
    <x v="0"/>
    <x v="5"/>
    <x v="11"/>
    <x v="27"/>
    <x v="0"/>
    <x v="0"/>
    <x v="5"/>
    <x v="2"/>
    <x v="0"/>
    <x v="3"/>
    <x v="0"/>
  </r>
  <r>
    <x v="70"/>
    <x v="1011"/>
    <x v="59"/>
    <x v="1"/>
    <x v="733"/>
    <x v="1045"/>
    <x v="2"/>
    <x v="2"/>
    <x v="3"/>
    <x v="8"/>
    <x v="13"/>
    <x v="28"/>
    <x v="9"/>
    <x v="0"/>
    <x v="48"/>
    <x v="12"/>
    <x v="0"/>
    <x v="3"/>
    <x v="0"/>
  </r>
  <r>
    <x v="70"/>
    <x v="1010"/>
    <x v="53"/>
    <x v="21"/>
    <x v="733"/>
    <x v="1042"/>
    <x v="2"/>
    <x v="2"/>
    <x v="3"/>
    <x v="8"/>
    <x v="13"/>
    <x v="28"/>
    <x v="9"/>
    <x v="0"/>
    <x v="48"/>
    <x v="12"/>
    <x v="0"/>
    <x v="3"/>
    <x v="0"/>
  </r>
  <r>
    <x v="71"/>
    <x v="558"/>
    <x v="33"/>
    <x v="22"/>
    <x v="551"/>
    <x v="133"/>
    <x v="484"/>
    <x v="2"/>
    <x v="3"/>
    <x v="8"/>
    <x v="13"/>
    <x v="28"/>
    <x v="9"/>
    <x v="1"/>
    <x v="18"/>
    <x v="2"/>
    <x v="1"/>
    <x v="3"/>
    <x v="0"/>
  </r>
  <r>
    <x v="71"/>
    <x v="749"/>
    <x v="30"/>
    <x v="11"/>
    <x v="744"/>
    <x v="646"/>
    <x v="211"/>
    <x v="2"/>
    <x v="1"/>
    <x v="8"/>
    <x v="13"/>
    <x v="28"/>
    <x v="9"/>
    <x v="0"/>
    <x v="24"/>
    <x v="4"/>
    <x v="0"/>
    <x v="3"/>
    <x v="0"/>
  </r>
  <r>
    <x v="71"/>
    <x v="75"/>
    <x v="13"/>
    <x v="19"/>
    <x v="264"/>
    <x v="613"/>
    <x v="236"/>
    <x v="2"/>
    <x v="3"/>
    <x v="8"/>
    <x v="13"/>
    <x v="28"/>
    <x v="9"/>
    <x v="1"/>
    <x v="18"/>
    <x v="2"/>
    <x v="0"/>
    <x v="3"/>
    <x v="0"/>
  </r>
  <r>
    <x v="71"/>
    <x v="412"/>
    <x v="46"/>
    <x v="15"/>
    <x v="409"/>
    <x v="1006"/>
    <x v="379"/>
    <x v="2"/>
    <x v="0"/>
    <x v="8"/>
    <x v="13"/>
    <x v="28"/>
    <x v="9"/>
    <x v="0"/>
    <x v="31"/>
    <x v="14"/>
    <x v="1"/>
    <x v="3"/>
    <x v="0"/>
  </r>
  <r>
    <x v="71"/>
    <x v="143"/>
    <x v="62"/>
    <x v="5"/>
    <x v="840"/>
    <x v="355"/>
    <x v="732"/>
    <x v="2"/>
    <x v="1"/>
    <x v="8"/>
    <x v="13"/>
    <x v="28"/>
    <x v="9"/>
    <x v="0"/>
    <x v="28"/>
    <x v="14"/>
    <x v="11"/>
    <x v="3"/>
    <x v="0"/>
  </r>
  <r>
    <x v="71"/>
    <x v="624"/>
    <x v="33"/>
    <x v="22"/>
    <x v="631"/>
    <x v="320"/>
    <x v="535"/>
    <x v="2"/>
    <x v="0"/>
    <x v="8"/>
    <x v="13"/>
    <x v="28"/>
    <x v="9"/>
    <x v="0"/>
    <x v="18"/>
    <x v="2"/>
    <x v="0"/>
    <x v="3"/>
    <x v="0"/>
  </r>
  <r>
    <x v="71"/>
    <x v="318"/>
    <x v="46"/>
    <x v="15"/>
    <x v="333"/>
    <x v="374"/>
    <x v="288"/>
    <x v="2"/>
    <x v="3"/>
    <x v="8"/>
    <x v="13"/>
    <x v="28"/>
    <x v="9"/>
    <x v="1"/>
    <x v="21"/>
    <x v="14"/>
    <x v="0"/>
    <x v="3"/>
    <x v="0"/>
  </r>
  <r>
    <x v="71"/>
    <x v="1024"/>
    <x v="23"/>
    <x v="3"/>
    <x v="1036"/>
    <x v="168"/>
    <x v="661"/>
    <x v="2"/>
    <x v="0"/>
    <x v="8"/>
    <x v="13"/>
    <x v="28"/>
    <x v="9"/>
    <x v="0"/>
    <x v="16"/>
    <x v="9"/>
    <x v="0"/>
    <x v="3"/>
    <x v="0"/>
  </r>
  <r>
    <x v="71"/>
    <x v="912"/>
    <x v="62"/>
    <x v="3"/>
    <x v="920"/>
    <x v="561"/>
    <x v="170"/>
    <x v="2"/>
    <x v="4"/>
    <x v="8"/>
    <x v="13"/>
    <x v="28"/>
    <x v="9"/>
    <x v="0"/>
    <x v="18"/>
    <x v="2"/>
    <x v="0"/>
    <x v="3"/>
    <x v="0"/>
  </r>
  <r>
    <x v="71"/>
    <x v="793"/>
    <x v="33"/>
    <x v="22"/>
    <x v="795"/>
    <x v="135"/>
    <x v="628"/>
    <x v="2"/>
    <x v="3"/>
    <x v="5"/>
    <x v="11"/>
    <x v="27"/>
    <x v="0"/>
    <x v="0"/>
    <x v="18"/>
    <x v="2"/>
    <x v="0"/>
    <x v="3"/>
    <x v="0"/>
  </r>
  <r>
    <x v="71"/>
    <x v="542"/>
    <x v="33"/>
    <x v="3"/>
    <x v="533"/>
    <x v="220"/>
    <x v="459"/>
    <x v="2"/>
    <x v="3"/>
    <x v="5"/>
    <x v="11"/>
    <x v="27"/>
    <x v="0"/>
    <x v="0"/>
    <x v="16"/>
    <x v="9"/>
    <x v="0"/>
    <x v="3"/>
    <x v="0"/>
  </r>
  <r>
    <x v="71"/>
    <x v="696"/>
    <x v="33"/>
    <x v="18"/>
    <x v="387"/>
    <x v="911"/>
    <x v="356"/>
    <x v="2"/>
    <x v="0"/>
    <x v="8"/>
    <x v="13"/>
    <x v="28"/>
    <x v="9"/>
    <x v="0"/>
    <x v="18"/>
    <x v="2"/>
    <x v="1"/>
    <x v="3"/>
    <x v="0"/>
  </r>
  <r>
    <x v="72"/>
    <x v="204"/>
    <x v="74"/>
    <x v="24"/>
    <x v="202"/>
    <x v="889"/>
    <x v="64"/>
    <x v="2"/>
    <x v="0"/>
    <x v="8"/>
    <x v="13"/>
    <x v="28"/>
    <x v="9"/>
    <x v="0"/>
    <x v="1"/>
    <x v="15"/>
    <x v="1"/>
    <x v="3"/>
    <x v="0"/>
  </r>
  <r>
    <x v="72"/>
    <x v="941"/>
    <x v="46"/>
    <x v="1"/>
    <x v="425"/>
    <x v="63"/>
    <x v="65"/>
    <x v="2"/>
    <x v="0"/>
    <x v="5"/>
    <x v="1"/>
    <x v="11"/>
    <x v="8"/>
    <x v="0"/>
    <x v="2"/>
    <x v="7"/>
    <x v="1"/>
    <x v="3"/>
    <x v="0"/>
  </r>
  <r>
    <x v="72"/>
    <x v="58"/>
    <x v="23"/>
    <x v="3"/>
    <x v="49"/>
    <x v="686"/>
    <x v="52"/>
    <x v="2"/>
    <x v="1"/>
    <x v="8"/>
    <x v="13"/>
    <x v="28"/>
    <x v="9"/>
    <x v="0"/>
    <x v="23"/>
    <x v="9"/>
    <x v="42"/>
    <x v="3"/>
    <x v="0"/>
  </r>
  <r>
    <x v="72"/>
    <x v="697"/>
    <x v="30"/>
    <x v="11"/>
    <x v="699"/>
    <x v="182"/>
    <x v="546"/>
    <x v="2"/>
    <x v="3"/>
    <x v="8"/>
    <x v="13"/>
    <x v="28"/>
    <x v="9"/>
    <x v="1"/>
    <x v="16"/>
    <x v="9"/>
    <x v="0"/>
    <x v="3"/>
    <x v="0"/>
  </r>
  <r>
    <x v="72"/>
    <x v="57"/>
    <x v="23"/>
    <x v="6"/>
    <x v="666"/>
    <x v="39"/>
    <x v="577"/>
    <x v="2"/>
    <x v="0"/>
    <x v="8"/>
    <x v="13"/>
    <x v="28"/>
    <x v="9"/>
    <x v="0"/>
    <x v="18"/>
    <x v="2"/>
    <x v="1"/>
    <x v="3"/>
    <x v="0"/>
  </r>
  <r>
    <x v="71"/>
    <x v="376"/>
    <x v="38"/>
    <x v="3"/>
    <x v="377"/>
    <x v="46"/>
    <x v="2"/>
    <x v="2"/>
    <x v="4"/>
    <x v="8"/>
    <x v="13"/>
    <x v="28"/>
    <x v="9"/>
    <x v="0"/>
    <x v="25"/>
    <x v="12"/>
    <x v="0"/>
    <x v="3"/>
    <x v="0"/>
  </r>
  <r>
    <x v="71"/>
    <x v="650"/>
    <x v="62"/>
    <x v="20"/>
    <x v="657"/>
    <x v="833"/>
    <x v="551"/>
    <x v="2"/>
    <x v="3"/>
    <x v="8"/>
    <x v="13"/>
    <x v="28"/>
    <x v="9"/>
    <x v="1"/>
    <x v="18"/>
    <x v="2"/>
    <x v="1"/>
    <x v="3"/>
    <x v="0"/>
  </r>
  <r>
    <x v="72"/>
    <x v="284"/>
    <x v="52"/>
    <x v="1"/>
    <x v="297"/>
    <x v="70"/>
    <x v="259"/>
    <x v="2"/>
    <x v="3"/>
    <x v="8"/>
    <x v="13"/>
    <x v="28"/>
    <x v="9"/>
    <x v="1"/>
    <x v="65"/>
    <x v="7"/>
    <x v="0"/>
    <x v="3"/>
    <x v="0"/>
  </r>
  <r>
    <x v="72"/>
    <x v="10"/>
    <x v="30"/>
    <x v="11"/>
    <x v="7"/>
    <x v="264"/>
    <x v="623"/>
    <x v="2"/>
    <x v="1"/>
    <x v="8"/>
    <x v="13"/>
    <x v="28"/>
    <x v="9"/>
    <x v="0"/>
    <x v="16"/>
    <x v="9"/>
    <x v="1"/>
    <x v="3"/>
    <x v="0"/>
  </r>
  <r>
    <x v="72"/>
    <x v="41"/>
    <x v="23"/>
    <x v="1"/>
    <x v="35"/>
    <x v="521"/>
    <x v="674"/>
    <x v="2"/>
    <x v="1"/>
    <x v="8"/>
    <x v="13"/>
    <x v="28"/>
    <x v="9"/>
    <x v="0"/>
    <x v="25"/>
    <x v="12"/>
    <x v="20"/>
    <x v="3"/>
    <x v="0"/>
  </r>
  <r>
    <x v="72"/>
    <x v="766"/>
    <x v="62"/>
    <x v="1"/>
    <x v="763"/>
    <x v="941"/>
    <x v="665"/>
    <x v="2"/>
    <x v="3"/>
    <x v="8"/>
    <x v="13"/>
    <x v="28"/>
    <x v="9"/>
    <x v="1"/>
    <x v="24"/>
    <x v="4"/>
    <x v="0"/>
    <x v="3"/>
    <x v="0"/>
  </r>
  <r>
    <x v="72"/>
    <x v="393"/>
    <x v="23"/>
    <x v="15"/>
    <x v="394"/>
    <x v="430"/>
    <x v="360"/>
    <x v="2"/>
    <x v="3"/>
    <x v="8"/>
    <x v="13"/>
    <x v="28"/>
    <x v="9"/>
    <x v="1"/>
    <x v="21"/>
    <x v="14"/>
    <x v="1"/>
    <x v="3"/>
    <x v="0"/>
  </r>
  <r>
    <x v="73"/>
    <x v="876"/>
    <x v="23"/>
    <x v="1"/>
    <x v="498"/>
    <x v="838"/>
    <x v="478"/>
    <x v="0"/>
    <x v="4"/>
    <x v="5"/>
    <x v="11"/>
    <x v="27"/>
    <x v="0"/>
    <x v="0"/>
    <x v="59"/>
    <x v="15"/>
    <x v="0"/>
    <x v="3"/>
    <x v="0"/>
  </r>
  <r>
    <x v="73"/>
    <x v="508"/>
    <x v="33"/>
    <x v="22"/>
    <x v="497"/>
    <x v="122"/>
    <x v="482"/>
    <x v="2"/>
    <x v="0"/>
    <x v="5"/>
    <x v="5"/>
    <x v="10"/>
    <x v="4"/>
    <x v="0"/>
    <x v="16"/>
    <x v="9"/>
    <x v="1"/>
    <x v="3"/>
    <x v="0"/>
  </r>
  <r>
    <x v="73"/>
    <x v="363"/>
    <x v="46"/>
    <x v="15"/>
    <x v="367"/>
    <x v="871"/>
    <x v="343"/>
    <x v="2"/>
    <x v="1"/>
    <x v="8"/>
    <x v="13"/>
    <x v="28"/>
    <x v="9"/>
    <x v="0"/>
    <x v="63"/>
    <x v="14"/>
    <x v="59"/>
    <x v="3"/>
    <x v="0"/>
  </r>
  <r>
    <x v="73"/>
    <x v="748"/>
    <x v="30"/>
    <x v="15"/>
    <x v="645"/>
    <x v="328"/>
    <x v="548"/>
    <x v="2"/>
    <x v="1"/>
    <x v="8"/>
    <x v="13"/>
    <x v="28"/>
    <x v="9"/>
    <x v="0"/>
    <x v="28"/>
    <x v="14"/>
    <x v="1"/>
    <x v="3"/>
    <x v="0"/>
  </r>
  <r>
    <x v="73"/>
    <x v="193"/>
    <x v="59"/>
    <x v="19"/>
    <x v="192"/>
    <x v="758"/>
    <x v="183"/>
    <x v="2"/>
    <x v="3"/>
    <x v="8"/>
    <x v="13"/>
    <x v="28"/>
    <x v="9"/>
    <x v="1"/>
    <x v="18"/>
    <x v="2"/>
    <x v="0"/>
    <x v="3"/>
    <x v="0"/>
  </r>
  <r>
    <x v="73"/>
    <x v="54"/>
    <x v="33"/>
    <x v="23"/>
    <x v="46"/>
    <x v="906"/>
    <x v="49"/>
    <x v="2"/>
    <x v="3"/>
    <x v="8"/>
    <x v="13"/>
    <x v="28"/>
    <x v="9"/>
    <x v="1"/>
    <x v="18"/>
    <x v="2"/>
    <x v="1"/>
    <x v="3"/>
    <x v="0"/>
  </r>
  <r>
    <x v="73"/>
    <x v="577"/>
    <x v="23"/>
    <x v="6"/>
    <x v="574"/>
    <x v="116"/>
    <x v="527"/>
    <x v="2"/>
    <x v="3"/>
    <x v="8"/>
    <x v="13"/>
    <x v="28"/>
    <x v="9"/>
    <x v="1"/>
    <x v="18"/>
    <x v="2"/>
    <x v="1"/>
    <x v="3"/>
    <x v="0"/>
  </r>
  <r>
    <x v="73"/>
    <x v="246"/>
    <x v="23"/>
    <x v="15"/>
    <x v="258"/>
    <x v="597"/>
    <x v="2"/>
    <x v="2"/>
    <x v="4"/>
    <x v="8"/>
    <x v="13"/>
    <x v="28"/>
    <x v="9"/>
    <x v="0"/>
    <x v="32"/>
    <x v="14"/>
    <x v="0"/>
    <x v="3"/>
    <x v="0"/>
  </r>
  <r>
    <x v="73"/>
    <x v="196"/>
    <x v="105"/>
    <x v="20"/>
    <x v="195"/>
    <x v="809"/>
    <x v="184"/>
    <x v="2"/>
    <x v="3"/>
    <x v="8"/>
    <x v="13"/>
    <x v="28"/>
    <x v="9"/>
    <x v="1"/>
    <x v="16"/>
    <x v="9"/>
    <x v="0"/>
    <x v="3"/>
    <x v="0"/>
  </r>
  <r>
    <x v="73"/>
    <x v="195"/>
    <x v="99"/>
    <x v="23"/>
    <x v="193"/>
    <x v="809"/>
    <x v="184"/>
    <x v="2"/>
    <x v="3"/>
    <x v="8"/>
    <x v="13"/>
    <x v="28"/>
    <x v="9"/>
    <x v="1"/>
    <x v="16"/>
    <x v="9"/>
    <x v="0"/>
    <x v="3"/>
    <x v="0"/>
  </r>
  <r>
    <x v="73"/>
    <x v="625"/>
    <x v="59"/>
    <x v="1"/>
    <x v="632"/>
    <x v="986"/>
    <x v="528"/>
    <x v="2"/>
    <x v="3"/>
    <x v="8"/>
    <x v="13"/>
    <x v="28"/>
    <x v="9"/>
    <x v="1"/>
    <x v="18"/>
    <x v="10"/>
    <x v="0"/>
    <x v="3"/>
    <x v="0"/>
  </r>
  <r>
    <x v="73"/>
    <x v="625"/>
    <x v="59"/>
    <x v="21"/>
    <x v="632"/>
    <x v="1049"/>
    <x v="917"/>
    <x v="2"/>
    <x v="3"/>
    <x v="8"/>
    <x v="13"/>
    <x v="28"/>
    <x v="9"/>
    <x v="1"/>
    <x v="18"/>
    <x v="10"/>
    <x v="0"/>
    <x v="3"/>
    <x v="0"/>
  </r>
  <r>
    <x v="73"/>
    <x v="312"/>
    <x v="33"/>
    <x v="18"/>
    <x v="326"/>
    <x v="927"/>
    <x v="714"/>
    <x v="2"/>
    <x v="1"/>
    <x v="8"/>
    <x v="13"/>
    <x v="28"/>
    <x v="9"/>
    <x v="0"/>
    <x v="16"/>
    <x v="9"/>
    <x v="0"/>
    <x v="3"/>
    <x v="0"/>
  </r>
  <r>
    <x v="73"/>
    <x v="1025"/>
    <x v="62"/>
    <x v="16"/>
    <x v="1037"/>
    <x v="224"/>
    <x v="880"/>
    <x v="2"/>
    <x v="0"/>
    <x v="5"/>
    <x v="11"/>
    <x v="27"/>
    <x v="0"/>
    <x v="0"/>
    <x v="16"/>
    <x v="9"/>
    <x v="1"/>
    <x v="3"/>
    <x v="0"/>
  </r>
  <r>
    <x v="74"/>
    <x v="934"/>
    <x v="62"/>
    <x v="3"/>
    <x v="943"/>
    <x v="123"/>
    <x v="821"/>
    <x v="2"/>
    <x v="0"/>
    <x v="5"/>
    <x v="1"/>
    <x v="5"/>
    <x v="8"/>
    <x v="0"/>
    <x v="16"/>
    <x v="9"/>
    <x v="1"/>
    <x v="3"/>
    <x v="0"/>
  </r>
  <r>
    <x v="73"/>
    <x v="56"/>
    <x v="46"/>
    <x v="1"/>
    <x v="748"/>
    <x v="769"/>
    <x v="563"/>
    <x v="2"/>
    <x v="4"/>
    <x v="8"/>
    <x v="13"/>
    <x v="28"/>
    <x v="9"/>
    <x v="0"/>
    <x v="26"/>
    <x v="15"/>
    <x v="0"/>
    <x v="3"/>
    <x v="0"/>
  </r>
  <r>
    <x v="74"/>
    <x v="293"/>
    <x v="33"/>
    <x v="22"/>
    <x v="307"/>
    <x v="284"/>
    <x v="558"/>
    <x v="2"/>
    <x v="4"/>
    <x v="5"/>
    <x v="5"/>
    <x v="4"/>
    <x v="4"/>
    <x v="0"/>
    <x v="18"/>
    <x v="2"/>
    <x v="0"/>
    <x v="3"/>
    <x v="0"/>
  </r>
  <r>
    <x v="74"/>
    <x v="259"/>
    <x v="18"/>
    <x v="3"/>
    <x v="273"/>
    <x v="124"/>
    <x v="909"/>
    <x v="2"/>
    <x v="4"/>
    <x v="8"/>
    <x v="13"/>
    <x v="28"/>
    <x v="9"/>
    <x v="0"/>
    <x v="17"/>
    <x v="9"/>
    <x v="0"/>
    <x v="3"/>
    <x v="0"/>
  </r>
  <r>
    <x v="74"/>
    <x v="804"/>
    <x v="33"/>
    <x v="22"/>
    <x v="808"/>
    <x v="990"/>
    <x v="522"/>
    <x v="2"/>
    <x v="4"/>
    <x v="5"/>
    <x v="11"/>
    <x v="27"/>
    <x v="0"/>
    <x v="0"/>
    <x v="18"/>
    <x v="2"/>
    <x v="0"/>
    <x v="3"/>
    <x v="0"/>
  </r>
  <r>
    <x v="74"/>
    <x v="288"/>
    <x v="19"/>
    <x v="19"/>
    <x v="828"/>
    <x v="547"/>
    <x v="262"/>
    <x v="2"/>
    <x v="3"/>
    <x v="8"/>
    <x v="13"/>
    <x v="28"/>
    <x v="9"/>
    <x v="1"/>
    <x v="24"/>
    <x v="4"/>
    <x v="0"/>
    <x v="3"/>
    <x v="0"/>
  </r>
  <r>
    <x v="74"/>
    <x v="576"/>
    <x v="62"/>
    <x v="24"/>
    <x v="573"/>
    <x v="518"/>
    <x v="496"/>
    <x v="2"/>
    <x v="1"/>
    <x v="8"/>
    <x v="13"/>
    <x v="28"/>
    <x v="9"/>
    <x v="0"/>
    <x v="18"/>
    <x v="2"/>
    <x v="1"/>
    <x v="3"/>
    <x v="0"/>
  </r>
  <r>
    <x v="74"/>
    <x v="1031"/>
    <x v="33"/>
    <x v="22"/>
    <x v="1044"/>
    <x v="711"/>
    <x v="884"/>
    <x v="2"/>
    <x v="3"/>
    <x v="8"/>
    <x v="13"/>
    <x v="28"/>
    <x v="9"/>
    <x v="1"/>
    <x v="18"/>
    <x v="2"/>
    <x v="0"/>
    <x v="3"/>
    <x v="0"/>
  </r>
  <r>
    <x v="74"/>
    <x v="535"/>
    <x v="18"/>
    <x v="9"/>
    <x v="525"/>
    <x v="445"/>
    <x v="454"/>
    <x v="2"/>
    <x v="3"/>
    <x v="8"/>
    <x v="13"/>
    <x v="28"/>
    <x v="9"/>
    <x v="1"/>
    <x v="18"/>
    <x v="14"/>
    <x v="0"/>
    <x v="3"/>
    <x v="0"/>
  </r>
  <r>
    <x v="74"/>
    <x v="1037"/>
    <x v="23"/>
    <x v="12"/>
    <x v="1051"/>
    <x v="703"/>
    <x v="154"/>
    <x v="2"/>
    <x v="3"/>
    <x v="8"/>
    <x v="13"/>
    <x v="28"/>
    <x v="9"/>
    <x v="1"/>
    <x v="18"/>
    <x v="2"/>
    <x v="1"/>
    <x v="3"/>
    <x v="0"/>
  </r>
  <r>
    <x v="74"/>
    <x v="991"/>
    <x v="46"/>
    <x v="3"/>
    <x v="1005"/>
    <x v="154"/>
    <x v="863"/>
    <x v="2"/>
    <x v="0"/>
    <x v="5"/>
    <x v="9"/>
    <x v="25"/>
    <x v="0"/>
    <x v="0"/>
    <x v="16"/>
    <x v="9"/>
    <x v="1"/>
    <x v="3"/>
    <x v="0"/>
  </r>
  <r>
    <x v="74"/>
    <x v="667"/>
    <x v="30"/>
    <x v="19"/>
    <x v="674"/>
    <x v="289"/>
    <x v="5"/>
    <x v="2"/>
    <x v="0"/>
    <x v="8"/>
    <x v="13"/>
    <x v="28"/>
    <x v="9"/>
    <x v="0"/>
    <x v="8"/>
    <x v="9"/>
    <x v="1"/>
    <x v="3"/>
    <x v="0"/>
  </r>
  <r>
    <x v="73"/>
    <x v="262"/>
    <x v="52"/>
    <x v="24"/>
    <x v="274"/>
    <x v="281"/>
    <x v="2"/>
    <x v="2"/>
    <x v="4"/>
    <x v="0"/>
    <x v="10"/>
    <x v="15"/>
    <x v="6"/>
    <x v="0"/>
    <x v="67"/>
    <x v="16"/>
    <x v="61"/>
    <x v="3"/>
    <x v="0"/>
  </r>
  <r>
    <x v="74"/>
    <x v="970"/>
    <x v="23"/>
    <x v="1"/>
    <x v="984"/>
    <x v="862"/>
    <x v="844"/>
    <x v="2"/>
    <x v="1"/>
    <x v="5"/>
    <x v="1"/>
    <x v="0"/>
    <x v="8"/>
    <x v="0"/>
    <x v="18"/>
    <x v="15"/>
    <x v="16"/>
    <x v="3"/>
    <x v="0"/>
  </r>
  <r>
    <x v="74"/>
    <x v="411"/>
    <x v="33"/>
    <x v="15"/>
    <x v="408"/>
    <x v="410"/>
    <x v="367"/>
    <x v="2"/>
    <x v="1"/>
    <x v="5"/>
    <x v="11"/>
    <x v="27"/>
    <x v="0"/>
    <x v="0"/>
    <x v="21"/>
    <x v="14"/>
    <x v="35"/>
    <x v="3"/>
    <x v="0"/>
  </r>
  <r>
    <x v="74"/>
    <x v="846"/>
    <x v="39"/>
    <x v="19"/>
    <x v="849"/>
    <x v="657"/>
    <x v="748"/>
    <x v="2"/>
    <x v="4"/>
    <x v="8"/>
    <x v="13"/>
    <x v="28"/>
    <x v="9"/>
    <x v="0"/>
    <x v="47"/>
    <x v="6"/>
    <x v="0"/>
    <x v="3"/>
    <x v="0"/>
  </r>
  <r>
    <x v="74"/>
    <x v="78"/>
    <x v="23"/>
    <x v="6"/>
    <x v="70"/>
    <x v="462"/>
    <x v="593"/>
    <x v="2"/>
    <x v="3"/>
    <x v="5"/>
    <x v="11"/>
    <x v="27"/>
    <x v="0"/>
    <x v="0"/>
    <x v="18"/>
    <x v="2"/>
    <x v="0"/>
    <x v="3"/>
    <x v="0"/>
  </r>
  <r>
    <x v="74"/>
    <x v="760"/>
    <x v="39"/>
    <x v="8"/>
    <x v="757"/>
    <x v="90"/>
    <x v="651"/>
    <x v="2"/>
    <x v="1"/>
    <x v="8"/>
    <x v="13"/>
    <x v="28"/>
    <x v="9"/>
    <x v="0"/>
    <x v="16"/>
    <x v="9"/>
    <x v="5"/>
    <x v="3"/>
    <x v="0"/>
  </r>
  <r>
    <x v="74"/>
    <x v="122"/>
    <x v="23"/>
    <x v="11"/>
    <x v="118"/>
    <x v="472"/>
    <x v="704"/>
    <x v="2"/>
    <x v="3"/>
    <x v="8"/>
    <x v="13"/>
    <x v="28"/>
    <x v="9"/>
    <x v="1"/>
    <x v="10"/>
    <x v="12"/>
    <x v="0"/>
    <x v="3"/>
    <x v="0"/>
  </r>
  <r>
    <x v="74"/>
    <x v="651"/>
    <x v="33"/>
    <x v="22"/>
    <x v="658"/>
    <x v="495"/>
    <x v="569"/>
    <x v="2"/>
    <x v="1"/>
    <x v="5"/>
    <x v="5"/>
    <x v="19"/>
    <x v="8"/>
    <x v="0"/>
    <x v="18"/>
    <x v="2"/>
    <x v="1"/>
    <x v="3"/>
    <x v="0"/>
  </r>
  <r>
    <x v="74"/>
    <x v="122"/>
    <x v="23"/>
    <x v="1"/>
    <x v="117"/>
    <x v="472"/>
    <x v="704"/>
    <x v="2"/>
    <x v="3"/>
    <x v="8"/>
    <x v="13"/>
    <x v="28"/>
    <x v="9"/>
    <x v="1"/>
    <x v="9"/>
    <x v="12"/>
    <x v="0"/>
    <x v="3"/>
    <x v="0"/>
  </r>
  <r>
    <x v="75"/>
    <x v="1018"/>
    <x v="30"/>
    <x v="15"/>
    <x v="1030"/>
    <x v="659"/>
    <x v="876"/>
    <x v="2"/>
    <x v="0"/>
    <x v="5"/>
    <x v="11"/>
    <x v="27"/>
    <x v="0"/>
    <x v="0"/>
    <x v="31"/>
    <x v="14"/>
    <x v="1"/>
    <x v="3"/>
    <x v="0"/>
  </r>
  <r>
    <x v="75"/>
    <x v="29"/>
    <x v="9"/>
    <x v="10"/>
    <x v="23"/>
    <x v="807"/>
    <x v="754"/>
    <x v="2"/>
    <x v="3"/>
    <x v="8"/>
    <x v="13"/>
    <x v="28"/>
    <x v="9"/>
    <x v="1"/>
    <x v="59"/>
    <x v="15"/>
    <x v="0"/>
    <x v="3"/>
    <x v="0"/>
  </r>
  <r>
    <x v="75"/>
    <x v="545"/>
    <x v="70"/>
    <x v="15"/>
    <x v="537"/>
    <x v="592"/>
    <x v="463"/>
    <x v="2"/>
    <x v="0"/>
    <x v="8"/>
    <x v="13"/>
    <x v="28"/>
    <x v="9"/>
    <x v="0"/>
    <x v="3"/>
    <x v="14"/>
    <x v="1"/>
    <x v="3"/>
    <x v="0"/>
  </r>
  <r>
    <x v="74"/>
    <x v="288"/>
    <x v="12"/>
    <x v="11"/>
    <x v="828"/>
    <x v="547"/>
    <x v="262"/>
    <x v="2"/>
    <x v="3"/>
    <x v="8"/>
    <x v="13"/>
    <x v="28"/>
    <x v="9"/>
    <x v="1"/>
    <x v="24"/>
    <x v="4"/>
    <x v="0"/>
    <x v="3"/>
    <x v="0"/>
  </r>
  <r>
    <x v="74"/>
    <x v="821"/>
    <x v="92"/>
    <x v="20"/>
    <x v="825"/>
    <x v="553"/>
    <x v="677"/>
    <x v="2"/>
    <x v="3"/>
    <x v="8"/>
    <x v="13"/>
    <x v="28"/>
    <x v="9"/>
    <x v="1"/>
    <x v="67"/>
    <x v="16"/>
    <x v="61"/>
    <x v="3"/>
    <x v="0"/>
  </r>
  <r>
    <x v="74"/>
    <x v="698"/>
    <x v="52"/>
    <x v="20"/>
    <x v="700"/>
    <x v="250"/>
    <x v="3"/>
    <x v="2"/>
    <x v="0"/>
    <x v="0"/>
    <x v="10"/>
    <x v="22"/>
    <x v="6"/>
    <x v="0"/>
    <x v="67"/>
    <x v="16"/>
    <x v="61"/>
    <x v="3"/>
    <x v="0"/>
  </r>
  <r>
    <x v="74"/>
    <x v="65"/>
    <x v="33"/>
    <x v="22"/>
    <x v="56"/>
    <x v="716"/>
    <x v="428"/>
    <x v="2"/>
    <x v="0"/>
    <x v="8"/>
    <x v="13"/>
    <x v="28"/>
    <x v="9"/>
    <x v="2"/>
    <x v="67"/>
    <x v="16"/>
    <x v="61"/>
    <x v="3"/>
    <x v="0"/>
  </r>
  <r>
    <x v="75"/>
    <x v="62"/>
    <x v="33"/>
    <x v="5"/>
    <x v="53"/>
    <x v="587"/>
    <x v="284"/>
    <x v="2"/>
    <x v="3"/>
    <x v="8"/>
    <x v="13"/>
    <x v="28"/>
    <x v="9"/>
    <x v="1"/>
    <x v="18"/>
    <x v="2"/>
    <x v="0"/>
    <x v="3"/>
    <x v="0"/>
  </r>
  <r>
    <x v="75"/>
    <x v="1056"/>
    <x v="73"/>
    <x v="19"/>
    <x v="1067"/>
    <x v="409"/>
    <x v="174"/>
    <x v="2"/>
    <x v="0"/>
    <x v="8"/>
    <x v="13"/>
    <x v="28"/>
    <x v="9"/>
    <x v="1"/>
    <x v="21"/>
    <x v="14"/>
    <x v="1"/>
    <x v="3"/>
    <x v="0"/>
  </r>
  <r>
    <x v="75"/>
    <x v="533"/>
    <x v="69"/>
    <x v="15"/>
    <x v="24"/>
    <x v="347"/>
    <x v="742"/>
    <x v="2"/>
    <x v="0"/>
    <x v="8"/>
    <x v="13"/>
    <x v="28"/>
    <x v="9"/>
    <x v="0"/>
    <x v="31"/>
    <x v="14"/>
    <x v="1"/>
    <x v="3"/>
    <x v="0"/>
  </r>
  <r>
    <x v="75"/>
    <x v="851"/>
    <x v="74"/>
    <x v="20"/>
    <x v="855"/>
    <x v="117"/>
    <x v="3"/>
    <x v="2"/>
    <x v="0"/>
    <x v="0"/>
    <x v="10"/>
    <x v="2"/>
    <x v="6"/>
    <x v="0"/>
    <x v="18"/>
    <x v="2"/>
    <x v="1"/>
    <x v="3"/>
    <x v="0"/>
  </r>
  <r>
    <x v="75"/>
    <x v="534"/>
    <x v="33"/>
    <x v="5"/>
    <x v="524"/>
    <x v="722"/>
    <x v="531"/>
    <x v="2"/>
    <x v="3"/>
    <x v="8"/>
    <x v="13"/>
    <x v="28"/>
    <x v="9"/>
    <x v="1"/>
    <x v="18"/>
    <x v="2"/>
    <x v="0"/>
    <x v="3"/>
    <x v="0"/>
  </r>
  <r>
    <x v="75"/>
    <x v="43"/>
    <x v="83"/>
    <x v="1"/>
    <x v="37"/>
    <x v="723"/>
    <x v="38"/>
    <x v="2"/>
    <x v="1"/>
    <x v="5"/>
    <x v="1"/>
    <x v="5"/>
    <x v="8"/>
    <x v="0"/>
    <x v="18"/>
    <x v="15"/>
    <x v="0"/>
    <x v="3"/>
    <x v="0"/>
  </r>
  <r>
    <x v="75"/>
    <x v="626"/>
    <x v="82"/>
    <x v="11"/>
    <x v="633"/>
    <x v="432"/>
    <x v="536"/>
    <x v="2"/>
    <x v="1"/>
    <x v="5"/>
    <x v="3"/>
    <x v="16"/>
    <x v="8"/>
    <x v="0"/>
    <x v="18"/>
    <x v="2"/>
    <x v="0"/>
    <x v="3"/>
    <x v="0"/>
  </r>
  <r>
    <x v="76"/>
    <x v="1017"/>
    <x v="33"/>
    <x v="22"/>
    <x v="248"/>
    <x v="776"/>
    <x v="222"/>
    <x v="2"/>
    <x v="1"/>
    <x v="8"/>
    <x v="13"/>
    <x v="28"/>
    <x v="9"/>
    <x v="0"/>
    <x v="18"/>
    <x v="2"/>
    <x v="0"/>
    <x v="3"/>
    <x v="0"/>
  </r>
  <r>
    <x v="76"/>
    <x v="203"/>
    <x v="46"/>
    <x v="1"/>
    <x v="201"/>
    <x v="893"/>
    <x v="191"/>
    <x v="2"/>
    <x v="3"/>
    <x v="8"/>
    <x v="13"/>
    <x v="28"/>
    <x v="9"/>
    <x v="1"/>
    <x v="49"/>
    <x v="15"/>
    <x v="0"/>
    <x v="3"/>
    <x v="0"/>
  </r>
  <r>
    <x v="76"/>
    <x v="512"/>
    <x v="33"/>
    <x v="22"/>
    <x v="502"/>
    <x v="31"/>
    <x v="437"/>
    <x v="2"/>
    <x v="1"/>
    <x v="8"/>
    <x v="13"/>
    <x v="28"/>
    <x v="9"/>
    <x v="0"/>
    <x v="18"/>
    <x v="2"/>
    <x v="0"/>
    <x v="3"/>
    <x v="0"/>
  </r>
  <r>
    <x v="76"/>
    <x v="540"/>
    <x v="30"/>
    <x v="15"/>
    <x v="529"/>
    <x v="443"/>
    <x v="456"/>
    <x v="2"/>
    <x v="3"/>
    <x v="8"/>
    <x v="13"/>
    <x v="28"/>
    <x v="9"/>
    <x v="0"/>
    <x v="41"/>
    <x v="14"/>
    <x v="0"/>
    <x v="3"/>
    <x v="0"/>
  </r>
  <r>
    <x v="76"/>
    <x v="138"/>
    <x v="33"/>
    <x v="22"/>
    <x v="136"/>
    <x v="534"/>
    <x v="121"/>
    <x v="2"/>
    <x v="3"/>
    <x v="5"/>
    <x v="11"/>
    <x v="27"/>
    <x v="0"/>
    <x v="0"/>
    <x v="18"/>
    <x v="2"/>
    <x v="0"/>
    <x v="3"/>
    <x v="0"/>
  </r>
  <r>
    <x v="76"/>
    <x v="601"/>
    <x v="23"/>
    <x v="15"/>
    <x v="606"/>
    <x v="238"/>
    <x v="510"/>
    <x v="2"/>
    <x v="1"/>
    <x v="8"/>
    <x v="13"/>
    <x v="28"/>
    <x v="9"/>
    <x v="0"/>
    <x v="21"/>
    <x v="14"/>
    <x v="0"/>
    <x v="3"/>
    <x v="0"/>
  </r>
  <r>
    <x v="76"/>
    <x v="623"/>
    <x v="97"/>
    <x v="24"/>
    <x v="630"/>
    <x v="1022"/>
    <x v="3"/>
    <x v="2"/>
    <x v="1"/>
    <x v="8"/>
    <x v="13"/>
    <x v="28"/>
    <x v="9"/>
    <x v="0"/>
    <x v="18"/>
    <x v="2"/>
    <x v="0"/>
    <x v="3"/>
    <x v="0"/>
  </r>
  <r>
    <x v="76"/>
    <x v="554"/>
    <x v="30"/>
    <x v="19"/>
    <x v="547"/>
    <x v="85"/>
    <x v="2"/>
    <x v="2"/>
    <x v="3"/>
    <x v="5"/>
    <x v="9"/>
    <x v="25"/>
    <x v="0"/>
    <x v="0"/>
    <x v="16"/>
    <x v="9"/>
    <x v="0"/>
    <x v="3"/>
    <x v="0"/>
  </r>
  <r>
    <x v="77"/>
    <x v="574"/>
    <x v="57"/>
    <x v="15"/>
    <x v="572"/>
    <x v="617"/>
    <x v="579"/>
    <x v="2"/>
    <x v="3"/>
    <x v="8"/>
    <x v="13"/>
    <x v="28"/>
    <x v="9"/>
    <x v="1"/>
    <x v="28"/>
    <x v="14"/>
    <x v="0"/>
    <x v="3"/>
    <x v="0"/>
  </r>
  <r>
    <x v="77"/>
    <x v="221"/>
    <x v="40"/>
    <x v="7"/>
    <x v="222"/>
    <x v="380"/>
    <x v="203"/>
    <x v="2"/>
    <x v="3"/>
    <x v="8"/>
    <x v="13"/>
    <x v="28"/>
    <x v="9"/>
    <x v="1"/>
    <x v="21"/>
    <x v="14"/>
    <x v="0"/>
    <x v="3"/>
    <x v="0"/>
  </r>
  <r>
    <x v="77"/>
    <x v="803"/>
    <x v="59"/>
    <x v="19"/>
    <x v="807"/>
    <x v="525"/>
    <x v="122"/>
    <x v="2"/>
    <x v="3"/>
    <x v="8"/>
    <x v="13"/>
    <x v="28"/>
    <x v="9"/>
    <x v="1"/>
    <x v="18"/>
    <x v="2"/>
    <x v="0"/>
    <x v="3"/>
    <x v="0"/>
  </r>
  <r>
    <x v="75"/>
    <x v="253"/>
    <x v="30"/>
    <x v="11"/>
    <x v="267"/>
    <x v="620"/>
    <x v="150"/>
    <x v="2"/>
    <x v="3"/>
    <x v="8"/>
    <x v="13"/>
    <x v="28"/>
    <x v="9"/>
    <x v="1"/>
    <x v="18"/>
    <x v="8"/>
    <x v="0"/>
    <x v="3"/>
    <x v="0"/>
  </r>
  <r>
    <x v="77"/>
    <x v="71"/>
    <x v="74"/>
    <x v="18"/>
    <x v="65"/>
    <x v="261"/>
    <x v="185"/>
    <x v="2"/>
    <x v="3"/>
    <x v="8"/>
    <x v="13"/>
    <x v="28"/>
    <x v="9"/>
    <x v="0"/>
    <x v="16"/>
    <x v="9"/>
    <x v="0"/>
    <x v="3"/>
    <x v="0"/>
  </r>
  <r>
    <x v="75"/>
    <x v="252"/>
    <x v="30"/>
    <x v="15"/>
    <x v="265"/>
    <x v="308"/>
    <x v="694"/>
    <x v="2"/>
    <x v="1"/>
    <x v="8"/>
    <x v="13"/>
    <x v="28"/>
    <x v="9"/>
    <x v="0"/>
    <x v="44"/>
    <x v="14"/>
    <x v="55"/>
    <x v="3"/>
    <x v="0"/>
  </r>
  <r>
    <x v="76"/>
    <x v="593"/>
    <x v="30"/>
    <x v="11"/>
    <x v="596"/>
    <x v="1000"/>
    <x v="297"/>
    <x v="2"/>
    <x v="4"/>
    <x v="4"/>
    <x v="13"/>
    <x v="28"/>
    <x v="7"/>
    <x v="0"/>
    <x v="16"/>
    <x v="9"/>
    <x v="0"/>
    <x v="3"/>
    <x v="0"/>
  </r>
  <r>
    <x v="77"/>
    <x v="581"/>
    <x v="46"/>
    <x v="3"/>
    <x v="1085"/>
    <x v="860"/>
    <x v="2"/>
    <x v="2"/>
    <x v="3"/>
    <x v="8"/>
    <x v="13"/>
    <x v="28"/>
    <x v="9"/>
    <x v="0"/>
    <x v="59"/>
    <x v="15"/>
    <x v="0"/>
    <x v="3"/>
    <x v="0"/>
  </r>
  <r>
    <x v="76"/>
    <x v="25"/>
    <x v="23"/>
    <x v="3"/>
    <x v="20"/>
    <x v="681"/>
    <x v="212"/>
    <x v="2"/>
    <x v="0"/>
    <x v="5"/>
    <x v="11"/>
    <x v="27"/>
    <x v="0"/>
    <x v="0"/>
    <x v="16"/>
    <x v="9"/>
    <x v="1"/>
    <x v="3"/>
    <x v="0"/>
  </r>
  <r>
    <x v="77"/>
    <x v="371"/>
    <x v="30"/>
    <x v="21"/>
    <x v="374"/>
    <x v="332"/>
    <x v="820"/>
    <x v="2"/>
    <x v="4"/>
    <x v="8"/>
    <x v="13"/>
    <x v="28"/>
    <x v="9"/>
    <x v="0"/>
    <x v="28"/>
    <x v="14"/>
    <x v="0"/>
    <x v="3"/>
    <x v="0"/>
  </r>
  <r>
    <x v="75"/>
    <x v="657"/>
    <x v="59"/>
    <x v="19"/>
    <x v="665"/>
    <x v="236"/>
    <x v="582"/>
    <x v="2"/>
    <x v="1"/>
    <x v="5"/>
    <x v="9"/>
    <x v="25"/>
    <x v="0"/>
    <x v="0"/>
    <x v="16"/>
    <x v="9"/>
    <x v="1"/>
    <x v="3"/>
    <x v="0"/>
  </r>
  <r>
    <x v="75"/>
    <x v="351"/>
    <x v="30"/>
    <x v="11"/>
    <x v="355"/>
    <x v="576"/>
    <x v="361"/>
    <x v="2"/>
    <x v="4"/>
    <x v="5"/>
    <x v="9"/>
    <x v="25"/>
    <x v="0"/>
    <x v="0"/>
    <x v="15"/>
    <x v="6"/>
    <x v="0"/>
    <x v="3"/>
    <x v="0"/>
  </r>
  <r>
    <x v="78"/>
    <x v="59"/>
    <x v="46"/>
    <x v="15"/>
    <x v="50"/>
    <x v="689"/>
    <x v="53"/>
    <x v="2"/>
    <x v="1"/>
    <x v="5"/>
    <x v="8"/>
    <x v="24"/>
    <x v="0"/>
    <x v="0"/>
    <x v="42"/>
    <x v="14"/>
    <x v="39"/>
    <x v="3"/>
    <x v="0"/>
  </r>
  <r>
    <x v="78"/>
    <x v="839"/>
    <x v="9"/>
    <x v="1"/>
    <x v="911"/>
    <x v="844"/>
    <x v="801"/>
    <x v="2"/>
    <x v="1"/>
    <x v="8"/>
    <x v="13"/>
    <x v="28"/>
    <x v="9"/>
    <x v="0"/>
    <x v="66"/>
    <x v="15"/>
    <x v="1"/>
    <x v="3"/>
    <x v="0"/>
  </r>
  <r>
    <x v="78"/>
    <x v="839"/>
    <x v="9"/>
    <x v="1"/>
    <x v="681"/>
    <x v="847"/>
    <x v="591"/>
    <x v="2"/>
    <x v="0"/>
    <x v="8"/>
    <x v="13"/>
    <x v="28"/>
    <x v="9"/>
    <x v="0"/>
    <x v="59"/>
    <x v="15"/>
    <x v="1"/>
    <x v="3"/>
    <x v="0"/>
  </r>
  <r>
    <x v="78"/>
    <x v="478"/>
    <x v="73"/>
    <x v="19"/>
    <x v="864"/>
    <x v="198"/>
    <x v="768"/>
    <x v="2"/>
    <x v="4"/>
    <x v="5"/>
    <x v="1"/>
    <x v="0"/>
    <x v="8"/>
    <x v="0"/>
    <x v="16"/>
    <x v="9"/>
    <x v="0"/>
    <x v="3"/>
    <x v="0"/>
  </r>
  <r>
    <x v="78"/>
    <x v="268"/>
    <x v="33"/>
    <x v="22"/>
    <x v="280"/>
    <x v="714"/>
    <x v="249"/>
    <x v="2"/>
    <x v="3"/>
    <x v="8"/>
    <x v="13"/>
    <x v="28"/>
    <x v="9"/>
    <x v="1"/>
    <x v="34"/>
    <x v="14"/>
    <x v="0"/>
    <x v="3"/>
    <x v="0"/>
  </r>
  <r>
    <x v="78"/>
    <x v="942"/>
    <x v="33"/>
    <x v="22"/>
    <x v="951"/>
    <x v="197"/>
    <x v="20"/>
    <x v="2"/>
    <x v="1"/>
    <x v="5"/>
    <x v="5"/>
    <x v="10"/>
    <x v="4"/>
    <x v="0"/>
    <x v="16"/>
    <x v="9"/>
    <x v="1"/>
    <x v="3"/>
    <x v="0"/>
  </r>
  <r>
    <x v="78"/>
    <x v="92"/>
    <x v="97"/>
    <x v="24"/>
    <x v="82"/>
    <x v="907"/>
    <x v="268"/>
    <x v="2"/>
    <x v="4"/>
    <x v="0"/>
    <x v="10"/>
    <x v="8"/>
    <x v="6"/>
    <x v="0"/>
    <x v="59"/>
    <x v="15"/>
    <x v="0"/>
    <x v="3"/>
    <x v="0"/>
  </r>
  <r>
    <x v="78"/>
    <x v="213"/>
    <x v="96"/>
    <x v="23"/>
    <x v="128"/>
    <x v="368"/>
    <x v="31"/>
    <x v="2"/>
    <x v="3"/>
    <x v="8"/>
    <x v="13"/>
    <x v="28"/>
    <x v="9"/>
    <x v="1"/>
    <x v="21"/>
    <x v="14"/>
    <x v="0"/>
    <x v="3"/>
    <x v="0"/>
  </r>
  <r>
    <x v="78"/>
    <x v="213"/>
    <x v="103"/>
    <x v="20"/>
    <x v="128"/>
    <x v="368"/>
    <x v="31"/>
    <x v="2"/>
    <x v="3"/>
    <x v="8"/>
    <x v="13"/>
    <x v="28"/>
    <x v="9"/>
    <x v="1"/>
    <x v="21"/>
    <x v="14"/>
    <x v="0"/>
    <x v="3"/>
    <x v="0"/>
  </r>
  <r>
    <x v="66"/>
    <x v="339"/>
    <x v="33"/>
    <x v="19"/>
    <x v="568"/>
    <x v="504"/>
    <x v="533"/>
    <x v="2"/>
    <x v="3"/>
    <x v="8"/>
    <x v="13"/>
    <x v="28"/>
    <x v="9"/>
    <x v="1"/>
    <x v="18"/>
    <x v="12"/>
    <x v="0"/>
    <x v="3"/>
    <x v="0"/>
  </r>
  <r>
    <x v="78"/>
    <x v="924"/>
    <x v="51"/>
    <x v="11"/>
    <x v="931"/>
    <x v="483"/>
    <x v="813"/>
    <x v="2"/>
    <x v="1"/>
    <x v="5"/>
    <x v="2"/>
    <x v="13"/>
    <x v="8"/>
    <x v="0"/>
    <x v="48"/>
    <x v="12"/>
    <x v="60"/>
    <x v="3"/>
    <x v="0"/>
  </r>
  <r>
    <x v="78"/>
    <x v="388"/>
    <x v="86"/>
    <x v="1"/>
    <x v="1029"/>
    <x v="958"/>
    <x v="874"/>
    <x v="2"/>
    <x v="0"/>
    <x v="5"/>
    <x v="1"/>
    <x v="11"/>
    <x v="8"/>
    <x v="0"/>
    <x v="18"/>
    <x v="15"/>
    <x v="1"/>
    <x v="3"/>
    <x v="0"/>
  </r>
  <r>
    <x v="78"/>
    <x v="564"/>
    <x v="30"/>
    <x v="11"/>
    <x v="557"/>
    <x v="517"/>
    <x v="500"/>
    <x v="2"/>
    <x v="0"/>
    <x v="5"/>
    <x v="9"/>
    <x v="25"/>
    <x v="0"/>
    <x v="0"/>
    <x v="18"/>
    <x v="12"/>
    <x v="1"/>
    <x v="3"/>
    <x v="0"/>
  </r>
  <r>
    <x v="78"/>
    <x v="1032"/>
    <x v="23"/>
    <x v="3"/>
    <x v="1045"/>
    <x v="763"/>
    <x v="159"/>
    <x v="2"/>
    <x v="1"/>
    <x v="8"/>
    <x v="13"/>
    <x v="28"/>
    <x v="9"/>
    <x v="0"/>
    <x v="24"/>
    <x v="4"/>
    <x v="51"/>
    <x v="3"/>
    <x v="0"/>
  </r>
  <r>
    <x v="78"/>
    <x v="368"/>
    <x v="23"/>
    <x v="15"/>
    <x v="372"/>
    <x v="455"/>
    <x v="412"/>
    <x v="2"/>
    <x v="4"/>
    <x v="0"/>
    <x v="7"/>
    <x v="21"/>
    <x v="6"/>
    <x v="0"/>
    <x v="21"/>
    <x v="14"/>
    <x v="0"/>
    <x v="3"/>
    <x v="0"/>
  </r>
  <r>
    <x v="79"/>
    <x v="927"/>
    <x v="46"/>
    <x v="1"/>
    <x v="934"/>
    <x v="408"/>
    <x v="816"/>
    <x v="2"/>
    <x v="1"/>
    <x v="0"/>
    <x v="7"/>
    <x v="21"/>
    <x v="6"/>
    <x v="0"/>
    <x v="13"/>
    <x v="14"/>
    <x v="48"/>
    <x v="3"/>
    <x v="0"/>
  </r>
  <r>
    <x v="79"/>
    <x v="61"/>
    <x v="23"/>
    <x v="3"/>
    <x v="52"/>
    <x v="733"/>
    <x v="57"/>
    <x v="2"/>
    <x v="4"/>
    <x v="5"/>
    <x v="8"/>
    <x v="24"/>
    <x v="0"/>
    <x v="0"/>
    <x v="18"/>
    <x v="9"/>
    <x v="0"/>
    <x v="3"/>
    <x v="0"/>
  </r>
  <r>
    <x v="78"/>
    <x v="404"/>
    <x v="36"/>
    <x v="1"/>
    <x v="670"/>
    <x v="451"/>
    <x v="279"/>
    <x v="2"/>
    <x v="3"/>
    <x v="8"/>
    <x v="13"/>
    <x v="28"/>
    <x v="9"/>
    <x v="1"/>
    <x v="64"/>
    <x v="14"/>
    <x v="1"/>
    <x v="3"/>
    <x v="0"/>
  </r>
  <r>
    <x v="79"/>
    <x v="677"/>
    <x v="23"/>
    <x v="6"/>
    <x v="682"/>
    <x v="211"/>
    <x v="2"/>
    <x v="2"/>
    <x v="4"/>
    <x v="8"/>
    <x v="13"/>
    <x v="28"/>
    <x v="9"/>
    <x v="0"/>
    <x v="18"/>
    <x v="2"/>
    <x v="0"/>
    <x v="3"/>
    <x v="0"/>
  </r>
  <r>
    <x v="79"/>
    <x v="386"/>
    <x v="23"/>
    <x v="17"/>
    <x v="389"/>
    <x v="221"/>
    <x v="635"/>
    <x v="2"/>
    <x v="0"/>
    <x v="8"/>
    <x v="13"/>
    <x v="28"/>
    <x v="9"/>
    <x v="0"/>
    <x v="16"/>
    <x v="9"/>
    <x v="1"/>
    <x v="3"/>
    <x v="0"/>
  </r>
  <r>
    <x v="79"/>
    <x v="237"/>
    <x v="62"/>
    <x v="24"/>
    <x v="249"/>
    <x v="285"/>
    <x v="224"/>
    <x v="2"/>
    <x v="3"/>
    <x v="8"/>
    <x v="13"/>
    <x v="28"/>
    <x v="9"/>
    <x v="1"/>
    <x v="18"/>
    <x v="9"/>
    <x v="0"/>
    <x v="3"/>
    <x v="0"/>
  </r>
  <r>
    <x v="79"/>
    <x v="407"/>
    <x v="23"/>
    <x v="1"/>
    <x v="403"/>
    <x v="730"/>
    <x v="133"/>
    <x v="2"/>
    <x v="0"/>
    <x v="8"/>
    <x v="13"/>
    <x v="28"/>
    <x v="9"/>
    <x v="0"/>
    <x v="59"/>
    <x v="15"/>
    <x v="1"/>
    <x v="3"/>
    <x v="0"/>
  </r>
  <r>
    <x v="79"/>
    <x v="862"/>
    <x v="33"/>
    <x v="23"/>
    <x v="847"/>
    <x v="916"/>
    <x v="566"/>
    <x v="2"/>
    <x v="1"/>
    <x v="5"/>
    <x v="11"/>
    <x v="27"/>
    <x v="0"/>
    <x v="0"/>
    <x v="18"/>
    <x v="2"/>
    <x v="1"/>
    <x v="3"/>
    <x v="0"/>
  </r>
  <r>
    <x v="78"/>
    <x v="273"/>
    <x v="62"/>
    <x v="24"/>
    <x v="284"/>
    <x v="118"/>
    <x v="253"/>
    <x v="2"/>
    <x v="4"/>
    <x v="8"/>
    <x v="13"/>
    <x v="28"/>
    <x v="9"/>
    <x v="0"/>
    <x v="17"/>
    <x v="9"/>
    <x v="61"/>
    <x v="3"/>
    <x v="0"/>
  </r>
  <r>
    <x v="79"/>
    <x v="129"/>
    <x v="23"/>
    <x v="20"/>
    <x v="33"/>
    <x v="159"/>
    <x v="721"/>
    <x v="2"/>
    <x v="1"/>
    <x v="5"/>
    <x v="9"/>
    <x v="25"/>
    <x v="0"/>
    <x v="0"/>
    <x v="16"/>
    <x v="9"/>
    <x v="1"/>
    <x v="3"/>
    <x v="0"/>
  </r>
  <r>
    <x v="79"/>
    <x v="278"/>
    <x v="36"/>
    <x v="13"/>
    <x v="288"/>
    <x v="598"/>
    <x v="3"/>
    <x v="2"/>
    <x v="3"/>
    <x v="8"/>
    <x v="13"/>
    <x v="28"/>
    <x v="9"/>
    <x v="1"/>
    <x v="18"/>
    <x v="2"/>
    <x v="1"/>
    <x v="3"/>
    <x v="0"/>
  </r>
  <r>
    <x v="79"/>
    <x v="126"/>
    <x v="46"/>
    <x v="3"/>
    <x v="197"/>
    <x v="705"/>
    <x v="186"/>
    <x v="2"/>
    <x v="4"/>
    <x v="8"/>
    <x v="13"/>
    <x v="28"/>
    <x v="9"/>
    <x v="0"/>
    <x v="21"/>
    <x v="14"/>
    <x v="0"/>
    <x v="3"/>
    <x v="0"/>
  </r>
  <r>
    <x v="79"/>
    <x v="379"/>
    <x v="39"/>
    <x v="19"/>
    <x v="382"/>
    <x v="791"/>
    <x v="647"/>
    <x v="2"/>
    <x v="1"/>
    <x v="0"/>
    <x v="7"/>
    <x v="12"/>
    <x v="6"/>
    <x v="0"/>
    <x v="16"/>
    <x v="9"/>
    <x v="29"/>
    <x v="3"/>
    <x v="0"/>
  </r>
  <r>
    <x v="79"/>
    <x v="578"/>
    <x v="62"/>
    <x v="1"/>
    <x v="577"/>
    <x v="880"/>
    <x v="2"/>
    <x v="2"/>
    <x v="0"/>
    <x v="5"/>
    <x v="11"/>
    <x v="27"/>
    <x v="0"/>
    <x v="0"/>
    <x v="26"/>
    <x v="15"/>
    <x v="0"/>
    <x v="3"/>
    <x v="0"/>
  </r>
  <r>
    <x v="80"/>
    <x v="431"/>
    <x v="86"/>
    <x v="20"/>
    <x v="316"/>
    <x v="676"/>
    <x v="272"/>
    <x v="2"/>
    <x v="1"/>
    <x v="5"/>
    <x v="4"/>
    <x v="18"/>
    <x v="8"/>
    <x v="0"/>
    <x v="16"/>
    <x v="9"/>
    <x v="49"/>
    <x v="3"/>
    <x v="0"/>
  </r>
  <r>
    <x v="80"/>
    <x v="878"/>
    <x v="30"/>
    <x v="15"/>
    <x v="881"/>
    <x v="977"/>
    <x v="840"/>
    <x v="2"/>
    <x v="1"/>
    <x v="8"/>
    <x v="13"/>
    <x v="28"/>
    <x v="9"/>
    <x v="0"/>
    <x v="28"/>
    <x v="14"/>
    <x v="36"/>
    <x v="3"/>
    <x v="0"/>
  </r>
  <r>
    <x v="79"/>
    <x v="21"/>
    <x v="62"/>
    <x v="16"/>
    <x v="15"/>
    <x v="575"/>
    <x v="23"/>
    <x v="2"/>
    <x v="3"/>
    <x v="8"/>
    <x v="13"/>
    <x v="28"/>
    <x v="9"/>
    <x v="1"/>
    <x v="14"/>
    <x v="6"/>
    <x v="0"/>
    <x v="3"/>
    <x v="0"/>
  </r>
  <r>
    <x v="80"/>
    <x v="855"/>
    <x v="8"/>
    <x v="15"/>
    <x v="859"/>
    <x v="661"/>
    <x v="462"/>
    <x v="2"/>
    <x v="3"/>
    <x v="8"/>
    <x v="13"/>
    <x v="28"/>
    <x v="9"/>
    <x v="1"/>
    <x v="11"/>
    <x v="14"/>
    <x v="0"/>
    <x v="3"/>
    <x v="0"/>
  </r>
  <r>
    <x v="80"/>
    <x v="416"/>
    <x v="30"/>
    <x v="15"/>
    <x v="722"/>
    <x v="638"/>
    <x v="771"/>
    <x v="2"/>
    <x v="4"/>
    <x v="8"/>
    <x v="13"/>
    <x v="28"/>
    <x v="9"/>
    <x v="0"/>
    <x v="55"/>
    <x v="14"/>
    <x v="17"/>
    <x v="3"/>
    <x v="0"/>
  </r>
  <r>
    <x v="80"/>
    <x v="937"/>
    <x v="30"/>
    <x v="11"/>
    <x v="948"/>
    <x v="65"/>
    <x v="814"/>
    <x v="2"/>
    <x v="1"/>
    <x v="8"/>
    <x v="13"/>
    <x v="28"/>
    <x v="9"/>
    <x v="0"/>
    <x v="18"/>
    <x v="2"/>
    <x v="6"/>
    <x v="3"/>
    <x v="0"/>
  </r>
  <r>
    <x v="80"/>
    <x v="397"/>
    <x v="9"/>
    <x v="1"/>
    <x v="397"/>
    <x v="939"/>
    <x v="416"/>
    <x v="2"/>
    <x v="1"/>
    <x v="8"/>
    <x v="13"/>
    <x v="28"/>
    <x v="9"/>
    <x v="0"/>
    <x v="23"/>
    <x v="15"/>
    <x v="1"/>
    <x v="3"/>
    <x v="0"/>
  </r>
  <r>
    <x v="80"/>
    <x v="205"/>
    <x v="33"/>
    <x v="5"/>
    <x v="203"/>
    <x v="560"/>
    <x v="187"/>
    <x v="2"/>
    <x v="0"/>
    <x v="8"/>
    <x v="13"/>
    <x v="28"/>
    <x v="9"/>
    <x v="0"/>
    <x v="18"/>
    <x v="2"/>
    <x v="1"/>
    <x v="3"/>
    <x v="0"/>
  </r>
  <r>
    <x v="80"/>
    <x v="456"/>
    <x v="23"/>
    <x v="3"/>
    <x v="448"/>
    <x v="1038"/>
    <x v="395"/>
    <x v="2"/>
    <x v="0"/>
    <x v="4"/>
    <x v="13"/>
    <x v="28"/>
    <x v="7"/>
    <x v="0"/>
    <x v="18"/>
    <x v="2"/>
    <x v="1"/>
    <x v="3"/>
    <x v="0"/>
  </r>
  <r>
    <x v="80"/>
    <x v="112"/>
    <x v="23"/>
    <x v="3"/>
    <x v="103"/>
    <x v="663"/>
    <x v="624"/>
    <x v="2"/>
    <x v="0"/>
    <x v="5"/>
    <x v="11"/>
    <x v="27"/>
    <x v="0"/>
    <x v="0"/>
    <x v="2"/>
    <x v="7"/>
    <x v="1"/>
    <x v="3"/>
    <x v="0"/>
  </r>
  <r>
    <x v="80"/>
    <x v="148"/>
    <x v="30"/>
    <x v="11"/>
    <x v="144"/>
    <x v="416"/>
    <x v="145"/>
    <x v="2"/>
    <x v="1"/>
    <x v="8"/>
    <x v="13"/>
    <x v="28"/>
    <x v="9"/>
    <x v="0"/>
    <x v="27"/>
    <x v="14"/>
    <x v="8"/>
    <x v="3"/>
    <x v="0"/>
  </r>
  <r>
    <x v="79"/>
    <x v="580"/>
    <x v="86"/>
    <x v="20"/>
    <x v="582"/>
    <x v="398"/>
    <x v="501"/>
    <x v="2"/>
    <x v="0"/>
    <x v="8"/>
    <x v="13"/>
    <x v="28"/>
    <x v="9"/>
    <x v="0"/>
    <x v="67"/>
    <x v="16"/>
    <x v="61"/>
    <x v="3"/>
    <x v="0"/>
  </r>
  <r>
    <x v="79"/>
    <x v="694"/>
    <x v="18"/>
    <x v="3"/>
    <x v="698"/>
    <x v="125"/>
    <x v="600"/>
    <x v="2"/>
    <x v="4"/>
    <x v="8"/>
    <x v="13"/>
    <x v="28"/>
    <x v="9"/>
    <x v="0"/>
    <x v="16"/>
    <x v="9"/>
    <x v="61"/>
    <x v="3"/>
    <x v="0"/>
  </r>
  <r>
    <x v="80"/>
    <x v="710"/>
    <x v="33"/>
    <x v="22"/>
    <x v="713"/>
    <x v="1046"/>
    <x v="333"/>
    <x v="2"/>
    <x v="3"/>
    <x v="8"/>
    <x v="13"/>
    <x v="28"/>
    <x v="9"/>
    <x v="1"/>
    <x v="16"/>
    <x v="9"/>
    <x v="0"/>
    <x v="3"/>
    <x v="0"/>
  </r>
  <r>
    <x v="80"/>
    <x v="916"/>
    <x v="30"/>
    <x v="15"/>
    <x v="472"/>
    <x v="43"/>
    <x v="405"/>
    <x v="2"/>
    <x v="1"/>
    <x v="8"/>
    <x v="13"/>
    <x v="28"/>
    <x v="9"/>
    <x v="0"/>
    <x v="28"/>
    <x v="14"/>
    <x v="58"/>
    <x v="3"/>
    <x v="0"/>
  </r>
  <r>
    <x v="80"/>
    <x v="549"/>
    <x v="59"/>
    <x v="21"/>
    <x v="160"/>
    <x v="151"/>
    <x v="858"/>
    <x v="2"/>
    <x v="0"/>
    <x v="5"/>
    <x v="9"/>
    <x v="25"/>
    <x v="0"/>
    <x v="0"/>
    <x v="16"/>
    <x v="9"/>
    <x v="1"/>
    <x v="3"/>
    <x v="0"/>
  </r>
  <r>
    <x v="80"/>
    <x v="810"/>
    <x v="33"/>
    <x v="22"/>
    <x v="813"/>
    <x v="82"/>
    <x v="5"/>
    <x v="2"/>
    <x v="0"/>
    <x v="8"/>
    <x v="13"/>
    <x v="28"/>
    <x v="9"/>
    <x v="0"/>
    <x v="18"/>
    <x v="2"/>
    <x v="1"/>
    <x v="3"/>
    <x v="0"/>
  </r>
  <r>
    <x v="81"/>
    <x v="900"/>
    <x v="75"/>
    <x v="15"/>
    <x v="254"/>
    <x v="64"/>
    <x v="799"/>
    <x v="2"/>
    <x v="0"/>
    <x v="5"/>
    <x v="1"/>
    <x v="11"/>
    <x v="8"/>
    <x v="0"/>
    <x v="31"/>
    <x v="14"/>
    <x v="1"/>
    <x v="3"/>
    <x v="0"/>
  </r>
  <r>
    <x v="80"/>
    <x v="384"/>
    <x v="40"/>
    <x v="6"/>
    <x v="535"/>
    <x v="40"/>
    <x v="2"/>
    <x v="2"/>
    <x v="3"/>
    <x v="8"/>
    <x v="13"/>
    <x v="28"/>
    <x v="9"/>
    <x v="0"/>
    <x v="18"/>
    <x v="2"/>
    <x v="0"/>
    <x v="3"/>
    <x v="0"/>
  </r>
  <r>
    <x v="81"/>
    <x v="794"/>
    <x v="33"/>
    <x v="22"/>
    <x v="796"/>
    <x v="594"/>
    <x v="691"/>
    <x v="2"/>
    <x v="4"/>
    <x v="5"/>
    <x v="11"/>
    <x v="27"/>
    <x v="0"/>
    <x v="0"/>
    <x v="18"/>
    <x v="2"/>
    <x v="0"/>
    <x v="3"/>
    <x v="0"/>
  </r>
  <r>
    <x v="81"/>
    <x v="608"/>
    <x v="62"/>
    <x v="3"/>
    <x v="123"/>
    <x v="849"/>
    <x v="108"/>
    <x v="2"/>
    <x v="4"/>
    <x v="5"/>
    <x v="11"/>
    <x v="27"/>
    <x v="0"/>
    <x v="0"/>
    <x v="18"/>
    <x v="15"/>
    <x v="0"/>
    <x v="3"/>
    <x v="0"/>
  </r>
  <r>
    <x v="80"/>
    <x v="34"/>
    <x v="62"/>
    <x v="23"/>
    <x v="99"/>
    <x v="874"/>
    <x v="32"/>
    <x v="2"/>
    <x v="3"/>
    <x v="8"/>
    <x v="13"/>
    <x v="28"/>
    <x v="9"/>
    <x v="1"/>
    <x v="59"/>
    <x v="15"/>
    <x v="0"/>
    <x v="3"/>
    <x v="0"/>
  </r>
  <r>
    <x v="80"/>
    <x v="766"/>
    <x v="33"/>
    <x v="1"/>
    <x v="764"/>
    <x v="941"/>
    <x v="665"/>
    <x v="2"/>
    <x v="3"/>
    <x v="8"/>
    <x v="13"/>
    <x v="28"/>
    <x v="9"/>
    <x v="1"/>
    <x v="24"/>
    <x v="4"/>
    <x v="0"/>
    <x v="3"/>
    <x v="0"/>
  </r>
  <r>
    <x v="81"/>
    <x v="359"/>
    <x v="23"/>
    <x v="1"/>
    <x v="361"/>
    <x v="209"/>
    <x v="657"/>
    <x v="2"/>
    <x v="4"/>
    <x v="8"/>
    <x v="13"/>
    <x v="28"/>
    <x v="9"/>
    <x v="0"/>
    <x v="59"/>
    <x v="15"/>
    <x v="0"/>
    <x v="3"/>
    <x v="0"/>
  </r>
  <r>
    <x v="81"/>
    <x v="838"/>
    <x v="23"/>
    <x v="6"/>
    <x v="174"/>
    <x v="146"/>
    <x v="177"/>
    <x v="2"/>
    <x v="4"/>
    <x v="5"/>
    <x v="4"/>
    <x v="17"/>
    <x v="8"/>
    <x v="0"/>
    <x v="18"/>
    <x v="2"/>
    <x v="0"/>
    <x v="3"/>
    <x v="0"/>
  </r>
  <r>
    <x v="81"/>
    <x v="380"/>
    <x v="46"/>
    <x v="3"/>
    <x v="605"/>
    <x v="88"/>
    <x v="448"/>
    <x v="2"/>
    <x v="1"/>
    <x v="5"/>
    <x v="8"/>
    <x v="24"/>
    <x v="0"/>
    <x v="0"/>
    <x v="28"/>
    <x v="14"/>
    <x v="50"/>
    <x v="3"/>
    <x v="0"/>
  </r>
  <r>
    <x v="81"/>
    <x v="619"/>
    <x v="62"/>
    <x v="1"/>
    <x v="627"/>
    <x v="951"/>
    <x v="532"/>
    <x v="2"/>
    <x v="0"/>
    <x v="8"/>
    <x v="13"/>
    <x v="28"/>
    <x v="9"/>
    <x v="0"/>
    <x v="62"/>
    <x v="15"/>
    <x v="1"/>
    <x v="3"/>
    <x v="0"/>
  </r>
  <r>
    <x v="81"/>
    <x v="705"/>
    <x v="33"/>
    <x v="23"/>
    <x v="708"/>
    <x v="1043"/>
    <x v="608"/>
    <x v="2"/>
    <x v="3"/>
    <x v="8"/>
    <x v="13"/>
    <x v="28"/>
    <x v="9"/>
    <x v="1"/>
    <x v="16"/>
    <x v="9"/>
    <x v="61"/>
    <x v="3"/>
    <x v="0"/>
  </r>
  <r>
    <x v="81"/>
    <x v="0"/>
    <x v="0"/>
    <x v="1"/>
    <x v="646"/>
    <x v="918"/>
    <x v="680"/>
    <x v="2"/>
    <x v="3"/>
    <x v="8"/>
    <x v="13"/>
    <x v="28"/>
    <x v="9"/>
    <x v="1"/>
    <x v="12"/>
    <x v="14"/>
    <x v="61"/>
    <x v="3"/>
    <x v="0"/>
  </r>
  <r>
    <x v="82"/>
    <x v="676"/>
    <x v="23"/>
    <x v="1"/>
    <x v="153"/>
    <x v="425"/>
    <x v="823"/>
    <x v="2"/>
    <x v="4"/>
    <x v="5"/>
    <x v="9"/>
    <x v="25"/>
    <x v="0"/>
    <x v="0"/>
    <x v="21"/>
    <x v="14"/>
    <x v="61"/>
    <x v="3"/>
    <x v="0"/>
  </r>
  <r>
    <x v="82"/>
    <x v="288"/>
    <x v="19"/>
    <x v="21"/>
    <x v="301"/>
    <x v="547"/>
    <x v="262"/>
    <x v="2"/>
    <x v="3"/>
    <x v="8"/>
    <x v="13"/>
    <x v="28"/>
    <x v="9"/>
    <x v="1"/>
    <x v="24"/>
    <x v="4"/>
    <x v="61"/>
    <x v="3"/>
    <x v="0"/>
  </r>
  <r>
    <x v="82"/>
    <x v="883"/>
    <x v="69"/>
    <x v="1"/>
    <x v="888"/>
    <x v="913"/>
    <x v="779"/>
    <x v="2"/>
    <x v="1"/>
    <x v="8"/>
    <x v="13"/>
    <x v="28"/>
    <x v="9"/>
    <x v="0"/>
    <x v="59"/>
    <x v="15"/>
    <x v="61"/>
    <x v="3"/>
    <x v="0"/>
  </r>
  <r>
    <x v="82"/>
    <x v="417"/>
    <x v="107"/>
    <x v="23"/>
    <x v="415"/>
    <x v="241"/>
    <x v="3"/>
    <x v="2"/>
    <x v="3"/>
    <x v="8"/>
    <x v="13"/>
    <x v="28"/>
    <x v="9"/>
    <x v="1"/>
    <x v="16"/>
    <x v="9"/>
    <x v="61"/>
    <x v="3"/>
    <x v="0"/>
  </r>
  <r>
    <x v="82"/>
    <x v="435"/>
    <x v="30"/>
    <x v="1"/>
    <x v="428"/>
    <x v="846"/>
    <x v="378"/>
    <x v="2"/>
    <x v="0"/>
    <x v="8"/>
    <x v="13"/>
    <x v="28"/>
    <x v="9"/>
    <x v="0"/>
    <x v="59"/>
    <x v="15"/>
    <x v="61"/>
    <x v="3"/>
    <x v="0"/>
  </r>
  <r>
    <x v="82"/>
    <x v="147"/>
    <x v="104"/>
    <x v="20"/>
    <x v="143"/>
    <x v="196"/>
    <x v="166"/>
    <x v="2"/>
    <x v="0"/>
    <x v="8"/>
    <x v="13"/>
    <x v="28"/>
    <x v="9"/>
    <x v="0"/>
    <x v="16"/>
    <x v="9"/>
    <x v="61"/>
    <x v="3"/>
    <x v="0"/>
  </r>
  <r>
    <x v="82"/>
    <x v="47"/>
    <x v="33"/>
    <x v="18"/>
    <x v="41"/>
    <x v="478"/>
    <x v="45"/>
    <x v="2"/>
    <x v="4"/>
    <x v="8"/>
    <x v="13"/>
    <x v="28"/>
    <x v="9"/>
    <x v="0"/>
    <x v="18"/>
    <x v="12"/>
    <x v="61"/>
    <x v="3"/>
    <x v="0"/>
  </r>
  <r>
    <x v="82"/>
    <x v="156"/>
    <x v="39"/>
    <x v="19"/>
    <x v="157"/>
    <x v="1041"/>
    <x v="175"/>
    <x v="2"/>
    <x v="0"/>
    <x v="8"/>
    <x v="13"/>
    <x v="28"/>
    <x v="9"/>
    <x v="0"/>
    <x v="18"/>
    <x v="5"/>
    <x v="61"/>
    <x v="3"/>
    <x v="0"/>
  </r>
  <r>
    <x v="81"/>
    <x v="409"/>
    <x v="74"/>
    <x v="24"/>
    <x v="406"/>
    <x v="280"/>
    <x v="365"/>
    <x v="2"/>
    <x v="4"/>
    <x v="8"/>
    <x v="13"/>
    <x v="28"/>
    <x v="9"/>
    <x v="0"/>
    <x v="18"/>
    <x v="9"/>
    <x v="61"/>
    <x v="3"/>
    <x v="0"/>
  </r>
  <r>
    <x v="81"/>
    <x v="461"/>
    <x v="62"/>
    <x v="22"/>
    <x v="62"/>
    <x v="655"/>
    <x v="2"/>
    <x v="3"/>
    <x v="3"/>
    <x v="8"/>
    <x v="13"/>
    <x v="28"/>
    <x v="9"/>
    <x v="1"/>
    <x v="4"/>
    <x v="13"/>
    <x v="61"/>
    <x v="3"/>
    <x v="0"/>
  </r>
  <r>
    <x v="82"/>
    <x v="745"/>
    <x v="33"/>
    <x v="23"/>
    <x v="750"/>
    <x v="954"/>
    <x v="720"/>
    <x v="2"/>
    <x v="3"/>
    <x v="8"/>
    <x v="13"/>
    <x v="28"/>
    <x v="9"/>
    <x v="1"/>
    <x v="62"/>
    <x v="15"/>
    <x v="61"/>
    <x v="3"/>
    <x v="0"/>
  </r>
  <r>
    <x v="82"/>
    <x v="1057"/>
    <x v="38"/>
    <x v="3"/>
    <x v="234"/>
    <x v="670"/>
    <x v="782"/>
    <x v="2"/>
    <x v="0"/>
    <x v="5"/>
    <x v="9"/>
    <x v="25"/>
    <x v="0"/>
    <x v="0"/>
    <x v="6"/>
    <x v="6"/>
    <x v="61"/>
    <x v="3"/>
    <x v="0"/>
  </r>
  <r>
    <x v="82"/>
    <x v="620"/>
    <x v="23"/>
    <x v="1"/>
    <x v="628"/>
    <x v="801"/>
    <x v="165"/>
    <x v="2"/>
    <x v="1"/>
    <x v="5"/>
    <x v="11"/>
    <x v="27"/>
    <x v="0"/>
    <x v="0"/>
    <x v="18"/>
    <x v="15"/>
    <x v="61"/>
    <x v="3"/>
    <x v="0"/>
  </r>
  <r>
    <x v="82"/>
    <x v="308"/>
    <x v="46"/>
    <x v="3"/>
    <x v="322"/>
    <x v="309"/>
    <x v="276"/>
    <x v="2"/>
    <x v="4"/>
    <x v="8"/>
    <x v="13"/>
    <x v="28"/>
    <x v="9"/>
    <x v="0"/>
    <x v="48"/>
    <x v="12"/>
    <x v="61"/>
    <x v="3"/>
    <x v="0"/>
  </r>
  <r>
    <x v="82"/>
    <x v="420"/>
    <x v="59"/>
    <x v="15"/>
    <x v="418"/>
    <x v="764"/>
    <x v="374"/>
    <x v="2"/>
    <x v="4"/>
    <x v="5"/>
    <x v="11"/>
    <x v="27"/>
    <x v="0"/>
    <x v="0"/>
    <x v="41"/>
    <x v="14"/>
    <x v="61"/>
    <x v="3"/>
    <x v="0"/>
  </r>
  <r>
    <x v="81"/>
    <x v="476"/>
    <x v="73"/>
    <x v="19"/>
    <x v="467"/>
    <x v="649"/>
    <x v="30"/>
    <x v="2"/>
    <x v="3"/>
    <x v="8"/>
    <x v="13"/>
    <x v="28"/>
    <x v="9"/>
    <x v="1"/>
    <x v="18"/>
    <x v="2"/>
    <x v="61"/>
    <x v="3"/>
    <x v="0"/>
  </r>
  <r>
    <x v="82"/>
    <x v="1033"/>
    <x v="46"/>
    <x v="1"/>
    <x v="1046"/>
    <x v="771"/>
    <x v="885"/>
    <x v="2"/>
    <x v="3"/>
    <x v="8"/>
    <x v="13"/>
    <x v="28"/>
    <x v="9"/>
    <x v="1"/>
    <x v="8"/>
    <x v="9"/>
    <x v="61"/>
    <x v="3"/>
    <x v="0"/>
  </r>
  <r>
    <x v="82"/>
    <x v="403"/>
    <x v="23"/>
    <x v="21"/>
    <x v="402"/>
    <x v="475"/>
    <x v="364"/>
    <x v="2"/>
    <x v="1"/>
    <x v="5"/>
    <x v="11"/>
    <x v="27"/>
    <x v="0"/>
    <x v="0"/>
    <x v="18"/>
    <x v="12"/>
    <x v="61"/>
    <x v="3"/>
    <x v="0"/>
  </r>
  <r>
    <x v="82"/>
    <x v="895"/>
    <x v="29"/>
    <x v="19"/>
    <x v="901"/>
    <x v="252"/>
    <x v="806"/>
    <x v="2"/>
    <x v="3"/>
    <x v="8"/>
    <x v="13"/>
    <x v="28"/>
    <x v="9"/>
    <x v="1"/>
    <x v="16"/>
    <x v="9"/>
    <x v="61"/>
    <x v="3"/>
    <x v="0"/>
  </r>
  <r>
    <x v="83"/>
    <x v="530"/>
    <x v="33"/>
    <x v="1"/>
    <x v="520"/>
    <x v="419"/>
    <x v="445"/>
    <x v="2"/>
    <x v="4"/>
    <x v="8"/>
    <x v="13"/>
    <x v="28"/>
    <x v="9"/>
    <x v="0"/>
    <x v="21"/>
    <x v="14"/>
    <x v="61"/>
    <x v="3"/>
    <x v="0"/>
  </r>
  <r>
    <x v="83"/>
    <x v="11"/>
    <x v="62"/>
    <x v="16"/>
    <x v="8"/>
    <x v="427"/>
    <x v="22"/>
    <x v="2"/>
    <x v="4"/>
    <x v="5"/>
    <x v="11"/>
    <x v="27"/>
    <x v="0"/>
    <x v="0"/>
    <x v="55"/>
    <x v="14"/>
    <x v="61"/>
    <x v="3"/>
    <x v="0"/>
  </r>
  <r>
    <x v="83"/>
    <x v="209"/>
    <x v="73"/>
    <x v="19"/>
    <x v="208"/>
    <x v="818"/>
    <x v="24"/>
    <x v="2"/>
    <x v="0"/>
    <x v="5"/>
    <x v="9"/>
    <x v="25"/>
    <x v="0"/>
    <x v="0"/>
    <x v="16"/>
    <x v="9"/>
    <x v="61"/>
    <x v="3"/>
    <x v="0"/>
  </r>
  <r>
    <x v="83"/>
    <x v="678"/>
    <x v="33"/>
    <x v="1"/>
    <x v="683"/>
    <x v="226"/>
    <x v="592"/>
    <x v="2"/>
    <x v="3"/>
    <x v="8"/>
    <x v="13"/>
    <x v="28"/>
    <x v="9"/>
    <x v="0"/>
    <x v="16"/>
    <x v="9"/>
    <x v="61"/>
    <x v="3"/>
    <x v="0"/>
  </r>
  <r>
    <x v="83"/>
    <x v="654"/>
    <x v="33"/>
    <x v="22"/>
    <x v="1077"/>
    <x v="279"/>
    <x v="2"/>
    <x v="2"/>
    <x v="0"/>
    <x v="5"/>
    <x v="5"/>
    <x v="10"/>
    <x v="4"/>
    <x v="0"/>
    <x v="36"/>
    <x v="9"/>
    <x v="61"/>
    <x v="3"/>
    <x v="0"/>
  </r>
  <r>
    <x v="83"/>
    <x v="875"/>
    <x v="39"/>
    <x v="19"/>
    <x v="878"/>
    <x v="961"/>
    <x v="778"/>
    <x v="2"/>
    <x v="4"/>
    <x v="5"/>
    <x v="1"/>
    <x v="5"/>
    <x v="8"/>
    <x v="0"/>
    <x v="56"/>
    <x v="15"/>
    <x v="61"/>
    <x v="3"/>
    <x v="0"/>
  </r>
  <r>
    <x v="84"/>
    <x v="172"/>
    <x v="97"/>
    <x v="24"/>
    <x v="176"/>
    <x v="278"/>
    <x v="524"/>
    <x v="2"/>
    <x v="1"/>
    <x v="8"/>
    <x v="13"/>
    <x v="28"/>
    <x v="9"/>
    <x v="0"/>
    <x v="18"/>
    <x v="2"/>
    <x v="61"/>
    <x v="3"/>
    <x v="0"/>
  </r>
  <r>
    <x v="82"/>
    <x v="713"/>
    <x v="74"/>
    <x v="24"/>
    <x v="762"/>
    <x v="310"/>
    <x v="612"/>
    <x v="2"/>
    <x v="1"/>
    <x v="8"/>
    <x v="13"/>
    <x v="28"/>
    <x v="9"/>
    <x v="0"/>
    <x v="18"/>
    <x v="2"/>
    <x v="61"/>
    <x v="3"/>
    <x v="0"/>
  </r>
  <r>
    <x v="84"/>
    <x v="732"/>
    <x v="23"/>
    <x v="1"/>
    <x v="730"/>
    <x v="910"/>
    <x v="2"/>
    <x v="2"/>
    <x v="0"/>
    <x v="5"/>
    <x v="1"/>
    <x v="11"/>
    <x v="8"/>
    <x v="0"/>
    <x v="7"/>
    <x v="15"/>
    <x v="61"/>
    <x v="3"/>
    <x v="0"/>
  </r>
  <r>
    <x v="83"/>
    <x v="841"/>
    <x v="30"/>
    <x v="21"/>
    <x v="845"/>
    <x v="149"/>
    <x v="744"/>
    <x v="2"/>
    <x v="3"/>
    <x v="8"/>
    <x v="13"/>
    <x v="28"/>
    <x v="9"/>
    <x v="1"/>
    <x v="16"/>
    <x v="9"/>
    <x v="61"/>
    <x v="3"/>
    <x v="0"/>
  </r>
  <r>
    <x v="83"/>
    <x v="841"/>
    <x v="8"/>
    <x v="12"/>
    <x v="845"/>
    <x v="149"/>
    <x v="744"/>
    <x v="2"/>
    <x v="3"/>
    <x v="8"/>
    <x v="13"/>
    <x v="28"/>
    <x v="9"/>
    <x v="1"/>
    <x v="16"/>
    <x v="9"/>
    <x v="61"/>
    <x v="3"/>
    <x v="0"/>
  </r>
  <r>
    <x v="85"/>
    <x v="647"/>
    <x v="33"/>
    <x v="22"/>
    <x v="654"/>
    <x v="610"/>
    <x v="574"/>
    <x v="2"/>
    <x v="4"/>
    <x v="8"/>
    <x v="13"/>
    <x v="28"/>
    <x v="9"/>
    <x v="0"/>
    <x v="18"/>
    <x v="2"/>
    <x v="61"/>
    <x v="3"/>
    <x v="0"/>
  </r>
  <r>
    <x v="84"/>
    <x v="377"/>
    <x v="78"/>
    <x v="19"/>
    <x v="380"/>
    <x v="654"/>
    <x v="451"/>
    <x v="2"/>
    <x v="4"/>
    <x v="0"/>
    <x v="7"/>
    <x v="12"/>
    <x v="6"/>
    <x v="0"/>
    <x v="18"/>
    <x v="15"/>
    <x v="61"/>
    <x v="3"/>
    <x v="0"/>
  </r>
  <r>
    <x v="84"/>
    <x v="402"/>
    <x v="33"/>
    <x v="22"/>
    <x v="401"/>
    <x v="677"/>
    <x v="363"/>
    <x v="2"/>
    <x v="3"/>
    <x v="8"/>
    <x v="13"/>
    <x v="28"/>
    <x v="9"/>
    <x v="0"/>
    <x v="18"/>
    <x v="2"/>
    <x v="61"/>
    <x v="3"/>
    <x v="0"/>
  </r>
  <r>
    <x v="84"/>
    <x v="96"/>
    <x v="40"/>
    <x v="15"/>
    <x v="652"/>
    <x v="759"/>
    <x v="567"/>
    <x v="2"/>
    <x v="4"/>
    <x v="5"/>
    <x v="4"/>
    <x v="17"/>
    <x v="8"/>
    <x v="0"/>
    <x v="0"/>
    <x v="14"/>
    <x v="61"/>
    <x v="3"/>
    <x v="0"/>
  </r>
  <r>
    <x v="85"/>
    <x v="672"/>
    <x v="73"/>
    <x v="19"/>
    <x v="679"/>
    <x v="210"/>
    <x v="66"/>
    <x v="2"/>
    <x v="1"/>
    <x v="8"/>
    <x v="13"/>
    <x v="28"/>
    <x v="9"/>
    <x v="0"/>
    <x v="16"/>
    <x v="9"/>
    <x v="61"/>
    <x v="3"/>
    <x v="0"/>
  </r>
  <r>
    <x v="85"/>
    <x v="473"/>
    <x v="33"/>
    <x v="23"/>
    <x v="464"/>
    <x v="345"/>
    <x v="11"/>
    <x v="3"/>
    <x v="0"/>
    <x v="8"/>
    <x v="13"/>
    <x v="28"/>
    <x v="9"/>
    <x v="0"/>
    <x v="21"/>
    <x v="14"/>
    <x v="61"/>
    <x v="3"/>
    <x v="0"/>
  </r>
  <r>
    <x v="85"/>
    <x v="187"/>
    <x v="23"/>
    <x v="1"/>
    <x v="186"/>
    <x v="482"/>
    <x v="189"/>
    <x v="2"/>
    <x v="4"/>
    <x v="8"/>
    <x v="13"/>
    <x v="28"/>
    <x v="9"/>
    <x v="0"/>
    <x v="18"/>
    <x v="12"/>
    <x v="61"/>
    <x v="3"/>
    <x v="0"/>
  </r>
  <r>
    <x v="85"/>
    <x v="532"/>
    <x v="92"/>
    <x v="24"/>
    <x v="523"/>
    <x v="464"/>
    <x v="450"/>
    <x v="2"/>
    <x v="1"/>
    <x v="1"/>
    <x v="13"/>
    <x v="28"/>
    <x v="9"/>
    <x v="0"/>
    <x v="18"/>
    <x v="2"/>
    <x v="61"/>
    <x v="3"/>
    <x v="0"/>
  </r>
  <r>
    <x v="85"/>
    <x v="0"/>
    <x v="0"/>
    <x v="19"/>
    <x v="490"/>
    <x v="694"/>
    <x v="421"/>
    <x v="2"/>
    <x v="3"/>
    <x v="8"/>
    <x v="13"/>
    <x v="28"/>
    <x v="9"/>
    <x v="1"/>
    <x v="16"/>
    <x v="9"/>
    <x v="61"/>
    <x v="3"/>
    <x v="0"/>
  </r>
  <r>
    <x v="85"/>
    <x v="280"/>
    <x v="86"/>
    <x v="20"/>
    <x v="292"/>
    <x v="790"/>
    <x v="41"/>
    <x v="2"/>
    <x v="0"/>
    <x v="8"/>
    <x v="13"/>
    <x v="28"/>
    <x v="9"/>
    <x v="0"/>
    <x v="63"/>
    <x v="14"/>
    <x v="61"/>
    <x v="3"/>
    <x v="0"/>
  </r>
  <r>
    <x v="85"/>
    <x v="280"/>
    <x v="95"/>
    <x v="23"/>
    <x v="292"/>
    <x v="790"/>
    <x v="41"/>
    <x v="2"/>
    <x v="0"/>
    <x v="8"/>
    <x v="13"/>
    <x v="28"/>
    <x v="9"/>
    <x v="0"/>
    <x v="63"/>
    <x v="14"/>
    <x v="61"/>
    <x v="3"/>
    <x v="0"/>
  </r>
  <r>
    <x v="85"/>
    <x v="711"/>
    <x v="30"/>
    <x v="15"/>
    <x v="216"/>
    <x v="343"/>
    <x v="197"/>
    <x v="2"/>
    <x v="3"/>
    <x v="8"/>
    <x v="13"/>
    <x v="28"/>
    <x v="9"/>
    <x v="1"/>
    <x v="0"/>
    <x v="14"/>
    <x v="61"/>
    <x v="3"/>
    <x v="0"/>
  </r>
  <r>
    <x v="85"/>
    <x v="711"/>
    <x v="18"/>
    <x v="9"/>
    <x v="216"/>
    <x v="343"/>
    <x v="197"/>
    <x v="2"/>
    <x v="3"/>
    <x v="8"/>
    <x v="13"/>
    <x v="28"/>
    <x v="9"/>
    <x v="1"/>
    <x v="0"/>
    <x v="14"/>
    <x v="61"/>
    <x v="3"/>
    <x v="0"/>
  </r>
  <r>
    <x v="85"/>
    <x v="195"/>
    <x v="16"/>
    <x v="9"/>
    <x v="194"/>
    <x v="809"/>
    <x v="184"/>
    <x v="2"/>
    <x v="3"/>
    <x v="8"/>
    <x v="13"/>
    <x v="28"/>
    <x v="9"/>
    <x v="1"/>
    <x v="16"/>
    <x v="9"/>
    <x v="61"/>
    <x v="3"/>
    <x v="0"/>
  </r>
  <r>
    <x v="84"/>
    <x v="418"/>
    <x v="30"/>
    <x v="21"/>
    <x v="1056"/>
    <x v="54"/>
    <x v="896"/>
    <x v="2"/>
    <x v="0"/>
    <x v="8"/>
    <x v="13"/>
    <x v="28"/>
    <x v="9"/>
    <x v="0"/>
    <x v="16"/>
    <x v="9"/>
    <x v="61"/>
    <x v="3"/>
    <x v="0"/>
  </r>
  <r>
    <x v="84"/>
    <x v="771"/>
    <x v="102"/>
    <x v="1"/>
    <x v="770"/>
    <x v="861"/>
    <x v="126"/>
    <x v="2"/>
    <x v="0"/>
    <x v="8"/>
    <x v="13"/>
    <x v="28"/>
    <x v="9"/>
    <x v="0"/>
    <x v="7"/>
    <x v="15"/>
    <x v="61"/>
    <x v="3"/>
    <x v="0"/>
  </r>
  <r>
    <x v="86"/>
    <x v="606"/>
    <x v="33"/>
    <x v="22"/>
    <x v="612"/>
    <x v="968"/>
    <x v="515"/>
    <x v="2"/>
    <x v="0"/>
    <x v="8"/>
    <x v="13"/>
    <x v="28"/>
    <x v="9"/>
    <x v="0"/>
    <x v="18"/>
    <x v="15"/>
    <x v="61"/>
    <x v="3"/>
    <x v="0"/>
  </r>
  <r>
    <x v="86"/>
    <x v="550"/>
    <x v="33"/>
    <x v="22"/>
    <x v="542"/>
    <x v="588"/>
    <x v="471"/>
    <x v="2"/>
    <x v="3"/>
    <x v="8"/>
    <x v="13"/>
    <x v="28"/>
    <x v="9"/>
    <x v="1"/>
    <x v="18"/>
    <x v="6"/>
    <x v="61"/>
    <x v="3"/>
    <x v="0"/>
  </r>
  <r>
    <x v="86"/>
    <x v="296"/>
    <x v="33"/>
    <x v="22"/>
    <x v="310"/>
    <x v="201"/>
    <x v="2"/>
    <x v="2"/>
    <x v="4"/>
    <x v="8"/>
    <x v="13"/>
    <x v="28"/>
    <x v="9"/>
    <x v="0"/>
    <x v="17"/>
    <x v="9"/>
    <x v="61"/>
    <x v="3"/>
    <x v="0"/>
  </r>
  <r>
    <x v="85"/>
    <x v="888"/>
    <x v="21"/>
    <x v="15"/>
    <x v="894"/>
    <x v="436"/>
    <x v="788"/>
    <x v="2"/>
    <x v="4"/>
    <x v="8"/>
    <x v="13"/>
    <x v="28"/>
    <x v="9"/>
    <x v="0"/>
    <x v="41"/>
    <x v="14"/>
    <x v="61"/>
    <x v="3"/>
    <x v="0"/>
  </r>
  <r>
    <x v="86"/>
    <x v="0"/>
    <x v="0"/>
    <x v="9"/>
    <x v="645"/>
    <x v="328"/>
    <x v="548"/>
    <x v="2"/>
    <x v="3"/>
    <x v="8"/>
    <x v="13"/>
    <x v="28"/>
    <x v="9"/>
    <x v="1"/>
    <x v="28"/>
    <x v="14"/>
    <x v="61"/>
    <x v="3"/>
    <x v="0"/>
  </r>
  <r>
    <x v="86"/>
    <x v="834"/>
    <x v="23"/>
    <x v="1"/>
    <x v="838"/>
    <x v="623"/>
    <x v="741"/>
    <x v="2"/>
    <x v="4"/>
    <x v="8"/>
    <x v="13"/>
    <x v="28"/>
    <x v="9"/>
    <x v="0"/>
    <x v="37"/>
    <x v="0"/>
    <x v="61"/>
    <x v="3"/>
    <x v="0"/>
  </r>
  <r>
    <x v="86"/>
    <x v="658"/>
    <x v="74"/>
    <x v="23"/>
    <x v="536"/>
    <x v="78"/>
    <x v="460"/>
    <x v="2"/>
    <x v="3"/>
    <x v="8"/>
    <x v="13"/>
    <x v="28"/>
    <x v="9"/>
    <x v="1"/>
    <x v="19"/>
    <x v="7"/>
    <x v="61"/>
    <x v="3"/>
    <x v="0"/>
  </r>
  <r>
    <x v="86"/>
    <x v="736"/>
    <x v="33"/>
    <x v="22"/>
    <x v="735"/>
    <x v="520"/>
    <x v="646"/>
    <x v="2"/>
    <x v="1"/>
    <x v="5"/>
    <x v="5"/>
    <x v="10"/>
    <x v="4"/>
    <x v="0"/>
    <x v="18"/>
    <x v="2"/>
    <x v="61"/>
    <x v="3"/>
    <x v="0"/>
  </r>
  <r>
    <x v="86"/>
    <x v="231"/>
    <x v="62"/>
    <x v="23"/>
    <x v="240"/>
    <x v="84"/>
    <x v="234"/>
    <x v="2"/>
    <x v="3"/>
    <x v="8"/>
    <x v="13"/>
    <x v="28"/>
    <x v="9"/>
    <x v="1"/>
    <x v="16"/>
    <x v="9"/>
    <x v="61"/>
    <x v="3"/>
    <x v="0"/>
  </r>
  <r>
    <x v="87"/>
    <x v="998"/>
    <x v="23"/>
    <x v="6"/>
    <x v="1012"/>
    <x v="227"/>
    <x v="226"/>
    <x v="2"/>
    <x v="1"/>
    <x v="8"/>
    <x v="13"/>
    <x v="28"/>
    <x v="9"/>
    <x v="0"/>
    <x v="17"/>
    <x v="9"/>
    <x v="61"/>
    <x v="3"/>
    <x v="0"/>
  </r>
  <r>
    <x v="87"/>
    <x v="283"/>
    <x v="59"/>
    <x v="21"/>
    <x v="491"/>
    <x v="773"/>
    <x v="422"/>
    <x v="2"/>
    <x v="1"/>
    <x v="0"/>
    <x v="7"/>
    <x v="21"/>
    <x v="6"/>
    <x v="0"/>
    <x v="21"/>
    <x v="14"/>
    <x v="61"/>
    <x v="3"/>
    <x v="0"/>
  </r>
  <r>
    <x v="87"/>
    <x v="283"/>
    <x v="46"/>
    <x v="1"/>
    <x v="491"/>
    <x v="773"/>
    <x v="422"/>
    <x v="2"/>
    <x v="1"/>
    <x v="8"/>
    <x v="13"/>
    <x v="28"/>
    <x v="9"/>
    <x v="0"/>
    <x v="21"/>
    <x v="14"/>
    <x v="61"/>
    <x v="3"/>
    <x v="0"/>
  </r>
  <r>
    <x v="87"/>
    <x v="847"/>
    <x v="73"/>
    <x v="19"/>
    <x v="850"/>
    <x v="834"/>
    <x v="750"/>
    <x v="2"/>
    <x v="1"/>
    <x v="8"/>
    <x v="13"/>
    <x v="28"/>
    <x v="9"/>
    <x v="0"/>
    <x v="58"/>
    <x v="5"/>
    <x v="61"/>
    <x v="3"/>
    <x v="0"/>
  </r>
  <r>
    <x v="87"/>
    <x v="703"/>
    <x v="33"/>
    <x v="22"/>
    <x v="706"/>
    <x v="1005"/>
    <x v="607"/>
    <x v="2"/>
    <x v="0"/>
    <x v="8"/>
    <x v="13"/>
    <x v="28"/>
    <x v="9"/>
    <x v="0"/>
    <x v="29"/>
    <x v="14"/>
    <x v="61"/>
    <x v="3"/>
    <x v="0"/>
  </r>
  <r>
    <x v="87"/>
    <x v="4"/>
    <x v="30"/>
    <x v="15"/>
    <x v="2"/>
    <x v="333"/>
    <x v="17"/>
    <x v="2"/>
    <x v="0"/>
    <x v="8"/>
    <x v="13"/>
    <x v="28"/>
    <x v="9"/>
    <x v="0"/>
    <x v="28"/>
    <x v="14"/>
    <x v="61"/>
    <x v="3"/>
    <x v="0"/>
  </r>
  <r>
    <x v="87"/>
    <x v="419"/>
    <x v="33"/>
    <x v="22"/>
    <x v="417"/>
    <x v="100"/>
    <x v="2"/>
    <x v="2"/>
    <x v="4"/>
    <x v="8"/>
    <x v="13"/>
    <x v="28"/>
    <x v="9"/>
    <x v="0"/>
    <x v="18"/>
    <x v="2"/>
    <x v="61"/>
    <x v="3"/>
    <x v="0"/>
  </r>
  <r>
    <x v="87"/>
    <x v="286"/>
    <x v="46"/>
    <x v="1"/>
    <x v="299"/>
    <x v="867"/>
    <x v="278"/>
    <x v="2"/>
    <x v="1"/>
    <x v="5"/>
    <x v="1"/>
    <x v="5"/>
    <x v="8"/>
    <x v="0"/>
    <x v="59"/>
    <x v="15"/>
    <x v="61"/>
    <x v="3"/>
    <x v="0"/>
  </r>
  <r>
    <x v="87"/>
    <x v="107"/>
    <x v="23"/>
    <x v="1"/>
    <x v="98"/>
    <x v="915"/>
    <x v="2"/>
    <x v="2"/>
    <x v="4"/>
    <x v="5"/>
    <x v="11"/>
    <x v="27"/>
    <x v="0"/>
    <x v="0"/>
    <x v="59"/>
    <x v="15"/>
    <x v="61"/>
    <x v="3"/>
    <x v="0"/>
  </r>
  <r>
    <x v="87"/>
    <x v="221"/>
    <x v="33"/>
    <x v="22"/>
    <x v="222"/>
    <x v="380"/>
    <x v="203"/>
    <x v="2"/>
    <x v="3"/>
    <x v="8"/>
    <x v="13"/>
    <x v="28"/>
    <x v="9"/>
    <x v="1"/>
    <x v="21"/>
    <x v="14"/>
    <x v="61"/>
    <x v="3"/>
    <x v="0"/>
  </r>
  <r>
    <x v="87"/>
    <x v="221"/>
    <x v="40"/>
    <x v="7"/>
    <x v="223"/>
    <x v="380"/>
    <x v="203"/>
    <x v="2"/>
    <x v="3"/>
    <x v="8"/>
    <x v="13"/>
    <x v="28"/>
    <x v="9"/>
    <x v="1"/>
    <x v="21"/>
    <x v="14"/>
    <x v="61"/>
    <x v="3"/>
    <x v="0"/>
  </r>
  <r>
    <x v="86"/>
    <x v="66"/>
    <x v="3"/>
    <x v="12"/>
    <x v="57"/>
    <x v="908"/>
    <x v="480"/>
    <x v="2"/>
    <x v="3"/>
    <x v="8"/>
    <x v="13"/>
    <x v="28"/>
    <x v="9"/>
    <x v="1"/>
    <x v="67"/>
    <x v="16"/>
    <x v="61"/>
    <x v="3"/>
    <x v="0"/>
  </r>
  <r>
    <x v="87"/>
    <x v="566"/>
    <x v="23"/>
    <x v="1"/>
    <x v="559"/>
    <x v="245"/>
    <x v="472"/>
    <x v="2"/>
    <x v="4"/>
    <x v="8"/>
    <x v="13"/>
    <x v="28"/>
    <x v="9"/>
    <x v="0"/>
    <x v="59"/>
    <x v="15"/>
    <x v="61"/>
    <x v="3"/>
    <x v="0"/>
  </r>
  <r>
    <x v="87"/>
    <x v="997"/>
    <x v="74"/>
    <x v="20"/>
    <x v="1010"/>
    <x v="160"/>
    <x v="3"/>
    <x v="2"/>
    <x v="0"/>
    <x v="8"/>
    <x v="13"/>
    <x v="28"/>
    <x v="9"/>
    <x v="0"/>
    <x v="16"/>
    <x v="9"/>
    <x v="61"/>
    <x v="3"/>
    <x v="0"/>
  </r>
  <r>
    <x v="87"/>
    <x v="901"/>
    <x v="97"/>
    <x v="20"/>
    <x v="907"/>
    <x v="342"/>
    <x v="797"/>
    <x v="2"/>
    <x v="0"/>
    <x v="8"/>
    <x v="13"/>
    <x v="28"/>
    <x v="9"/>
    <x v="0"/>
    <x v="16"/>
    <x v="9"/>
    <x v="61"/>
    <x v="3"/>
    <x v="0"/>
  </r>
  <r>
    <x v="87"/>
    <x v="117"/>
    <x v="33"/>
    <x v="22"/>
    <x v="108"/>
    <x v="983"/>
    <x v="97"/>
    <x v="2"/>
    <x v="3"/>
    <x v="8"/>
    <x v="13"/>
    <x v="28"/>
    <x v="9"/>
    <x v="1"/>
    <x v="7"/>
    <x v="15"/>
    <x v="61"/>
    <x v="3"/>
    <x v="0"/>
  </r>
  <r>
    <x v="87"/>
    <x v="297"/>
    <x v="33"/>
    <x v="22"/>
    <x v="862"/>
    <x v="382"/>
    <x v="2"/>
    <x v="2"/>
    <x v="3"/>
    <x v="8"/>
    <x v="13"/>
    <x v="28"/>
    <x v="9"/>
    <x v="0"/>
    <x v="21"/>
    <x v="14"/>
    <x v="61"/>
    <x v="3"/>
    <x v="0"/>
  </r>
  <r>
    <x v="87"/>
    <x v="969"/>
    <x v="23"/>
    <x v="1"/>
    <x v="983"/>
    <x v="842"/>
    <x v="911"/>
    <x v="2"/>
    <x v="3"/>
    <x v="5"/>
    <x v="9"/>
    <x v="25"/>
    <x v="0"/>
    <x v="0"/>
    <x v="52"/>
    <x v="1"/>
    <x v="61"/>
    <x v="3"/>
    <x v="0"/>
  </r>
  <r>
    <x v="87"/>
    <x v="594"/>
    <x v="23"/>
    <x v="1"/>
    <x v="597"/>
    <x v="953"/>
    <x v="506"/>
    <x v="2"/>
    <x v="3"/>
    <x v="8"/>
    <x v="13"/>
    <x v="28"/>
    <x v="9"/>
    <x v="1"/>
    <x v="62"/>
    <x v="15"/>
    <x v="61"/>
    <x v="3"/>
    <x v="0"/>
  </r>
  <r>
    <x v="88"/>
    <x v="390"/>
    <x v="79"/>
    <x v="21"/>
    <x v="390"/>
    <x v="994"/>
    <x v="312"/>
    <x v="2"/>
    <x v="3"/>
    <x v="8"/>
    <x v="13"/>
    <x v="28"/>
    <x v="9"/>
    <x v="1"/>
    <x v="61"/>
    <x v="3"/>
    <x v="61"/>
    <x v="3"/>
    <x v="0"/>
  </r>
  <r>
    <x v="88"/>
    <x v="390"/>
    <x v="69"/>
    <x v="1"/>
    <x v="390"/>
    <x v="994"/>
    <x v="312"/>
    <x v="2"/>
    <x v="3"/>
    <x v="8"/>
    <x v="13"/>
    <x v="28"/>
    <x v="9"/>
    <x v="1"/>
    <x v="61"/>
    <x v="3"/>
    <x v="61"/>
    <x v="3"/>
    <x v="0"/>
  </r>
  <r>
    <x v="88"/>
    <x v="631"/>
    <x v="46"/>
    <x v="1"/>
    <x v="638"/>
    <x v="551"/>
    <x v="542"/>
    <x v="2"/>
    <x v="1"/>
    <x v="8"/>
    <x v="13"/>
    <x v="28"/>
    <x v="9"/>
    <x v="0"/>
    <x v="24"/>
    <x v="4"/>
    <x v="61"/>
    <x v="3"/>
    <x v="0"/>
  </r>
  <r>
    <x v="88"/>
    <x v="774"/>
    <x v="39"/>
    <x v="19"/>
    <x v="773"/>
    <x v="71"/>
    <x v="671"/>
    <x v="2"/>
    <x v="1"/>
    <x v="5"/>
    <x v="1"/>
    <x v="5"/>
    <x v="8"/>
    <x v="0"/>
    <x v="35"/>
    <x v="7"/>
    <x v="61"/>
    <x v="3"/>
    <x v="0"/>
  </r>
  <r>
    <x v="88"/>
    <x v="575"/>
    <x v="30"/>
    <x v="21"/>
    <x v="506"/>
    <x v="411"/>
    <x v="449"/>
    <x v="2"/>
    <x v="0"/>
    <x v="8"/>
    <x v="13"/>
    <x v="28"/>
    <x v="9"/>
    <x v="0"/>
    <x v="21"/>
    <x v="14"/>
    <x v="61"/>
    <x v="3"/>
    <x v="0"/>
  </r>
  <r>
    <x v="88"/>
    <x v="640"/>
    <x v="74"/>
    <x v="24"/>
    <x v="648"/>
    <x v="644"/>
    <x v="3"/>
    <x v="2"/>
    <x v="0"/>
    <x v="5"/>
    <x v="11"/>
    <x v="27"/>
    <x v="0"/>
    <x v="0"/>
    <x v="16"/>
    <x v="9"/>
    <x v="61"/>
    <x v="3"/>
    <x v="0"/>
  </r>
  <r>
    <x v="88"/>
    <x v="575"/>
    <x v="30"/>
    <x v="15"/>
    <x v="506"/>
    <x v="411"/>
    <x v="449"/>
    <x v="2"/>
    <x v="0"/>
    <x v="8"/>
    <x v="13"/>
    <x v="28"/>
    <x v="9"/>
    <x v="0"/>
    <x v="18"/>
    <x v="14"/>
    <x v="61"/>
    <x v="3"/>
    <x v="0"/>
  </r>
  <r>
    <x v="88"/>
    <x v="640"/>
    <x v="30"/>
    <x v="19"/>
    <x v="648"/>
    <x v="644"/>
    <x v="3"/>
    <x v="2"/>
    <x v="0"/>
    <x v="8"/>
    <x v="13"/>
    <x v="28"/>
    <x v="9"/>
    <x v="0"/>
    <x v="16"/>
    <x v="9"/>
    <x v="61"/>
    <x v="3"/>
    <x v="0"/>
  </r>
  <r>
    <x v="88"/>
    <x v="714"/>
    <x v="23"/>
    <x v="3"/>
    <x v="715"/>
    <x v="205"/>
    <x v="613"/>
    <x v="2"/>
    <x v="4"/>
    <x v="0"/>
    <x v="7"/>
    <x v="12"/>
    <x v="6"/>
    <x v="0"/>
    <x v="16"/>
    <x v="9"/>
    <x v="61"/>
    <x v="3"/>
    <x v="0"/>
  </r>
  <r>
    <x v="88"/>
    <x v="193"/>
    <x v="74"/>
    <x v="20"/>
    <x v="192"/>
    <x v="758"/>
    <x v="183"/>
    <x v="2"/>
    <x v="3"/>
    <x v="8"/>
    <x v="13"/>
    <x v="28"/>
    <x v="9"/>
    <x v="1"/>
    <x v="18"/>
    <x v="1"/>
    <x v="61"/>
    <x v="3"/>
    <x v="0"/>
  </r>
  <r>
    <x v="88"/>
    <x v="767"/>
    <x v="23"/>
    <x v="3"/>
    <x v="765"/>
    <x v="222"/>
    <x v="666"/>
    <x v="2"/>
    <x v="3"/>
    <x v="8"/>
    <x v="13"/>
    <x v="28"/>
    <x v="9"/>
    <x v="1"/>
    <x v="16"/>
    <x v="9"/>
    <x v="61"/>
    <x v="3"/>
    <x v="0"/>
  </r>
  <r>
    <x v="88"/>
    <x v="48"/>
    <x v="30"/>
    <x v="15"/>
    <x v="43"/>
    <x v="316"/>
    <x v="192"/>
    <x v="2"/>
    <x v="3"/>
    <x v="8"/>
    <x v="13"/>
    <x v="28"/>
    <x v="9"/>
    <x v="1"/>
    <x v="28"/>
    <x v="14"/>
    <x v="61"/>
    <x v="3"/>
    <x v="0"/>
  </r>
  <r>
    <x v="88"/>
    <x v="830"/>
    <x v="33"/>
    <x v="22"/>
    <x v="18"/>
    <x v="357"/>
    <x v="576"/>
    <x v="2"/>
    <x v="1"/>
    <x v="5"/>
    <x v="5"/>
    <x v="10"/>
    <x v="4"/>
    <x v="0"/>
    <x v="18"/>
    <x v="14"/>
    <x v="61"/>
    <x v="3"/>
    <x v="0"/>
  </r>
  <r>
    <x v="88"/>
    <x v="199"/>
    <x v="23"/>
    <x v="17"/>
    <x v="342"/>
    <x v="974"/>
    <x v="290"/>
    <x v="2"/>
    <x v="3"/>
    <x v="8"/>
    <x v="13"/>
    <x v="28"/>
    <x v="9"/>
    <x v="1"/>
    <x v="30"/>
    <x v="15"/>
    <x v="61"/>
    <x v="3"/>
    <x v="0"/>
  </r>
  <r>
    <x v="88"/>
    <x v="1023"/>
    <x v="30"/>
    <x v="21"/>
    <x v="1035"/>
    <x v="399"/>
    <x v="193"/>
    <x v="2"/>
    <x v="1"/>
    <x v="8"/>
    <x v="13"/>
    <x v="28"/>
    <x v="9"/>
    <x v="0"/>
    <x v="41"/>
    <x v="14"/>
    <x v="61"/>
    <x v="3"/>
    <x v="0"/>
  </r>
  <r>
    <x v="88"/>
    <x v="1023"/>
    <x v="30"/>
    <x v="15"/>
    <x v="1035"/>
    <x v="399"/>
    <x v="193"/>
    <x v="2"/>
    <x v="1"/>
    <x v="8"/>
    <x v="13"/>
    <x v="28"/>
    <x v="9"/>
    <x v="0"/>
    <x v="21"/>
    <x v="14"/>
    <x v="61"/>
    <x v="3"/>
    <x v="0"/>
  </r>
  <r>
    <x v="88"/>
    <x v="76"/>
    <x v="46"/>
    <x v="1"/>
    <x v="521"/>
    <x v="905"/>
    <x v="446"/>
    <x v="2"/>
    <x v="0"/>
    <x v="5"/>
    <x v="1"/>
    <x v="5"/>
    <x v="8"/>
    <x v="0"/>
    <x v="40"/>
    <x v="15"/>
    <x v="61"/>
    <x v="3"/>
    <x v="0"/>
  </r>
  <r>
    <x v="88"/>
    <x v="880"/>
    <x v="33"/>
    <x v="5"/>
    <x v="884"/>
    <x v="190"/>
    <x v="783"/>
    <x v="2"/>
    <x v="0"/>
    <x v="8"/>
    <x v="13"/>
    <x v="28"/>
    <x v="9"/>
    <x v="0"/>
    <x v="18"/>
    <x v="2"/>
    <x v="61"/>
    <x v="3"/>
    <x v="0"/>
  </r>
  <r>
    <x v="88"/>
    <x v="16"/>
    <x v="23"/>
    <x v="1"/>
    <x v="953"/>
    <x v="903"/>
    <x v="345"/>
    <x v="2"/>
    <x v="1"/>
    <x v="5"/>
    <x v="9"/>
    <x v="25"/>
    <x v="0"/>
    <x v="0"/>
    <x v="18"/>
    <x v="15"/>
    <x v="61"/>
    <x v="3"/>
    <x v="0"/>
  </r>
  <r>
    <x v="86"/>
    <x v="453"/>
    <x v="23"/>
    <x v="1"/>
    <x v="783"/>
    <x v="51"/>
    <x v="681"/>
    <x v="2"/>
    <x v="1"/>
    <x v="8"/>
    <x v="13"/>
    <x v="28"/>
    <x v="9"/>
    <x v="0"/>
    <x v="43"/>
    <x v="9"/>
    <x v="61"/>
    <x v="3"/>
    <x v="0"/>
  </r>
  <r>
    <x v="86"/>
    <x v="453"/>
    <x v="30"/>
    <x v="21"/>
    <x v="782"/>
    <x v="51"/>
    <x v="681"/>
    <x v="2"/>
    <x v="1"/>
    <x v="5"/>
    <x v="9"/>
    <x v="25"/>
    <x v="0"/>
    <x v="0"/>
    <x v="43"/>
    <x v="9"/>
    <x v="61"/>
    <x v="3"/>
    <x v="0"/>
  </r>
  <r>
    <x v="89"/>
    <x v="538"/>
    <x v="59"/>
    <x v="21"/>
    <x v="882"/>
    <x v="57"/>
    <x v="517"/>
    <x v="2"/>
    <x v="1"/>
    <x v="8"/>
    <x v="13"/>
    <x v="28"/>
    <x v="9"/>
    <x v="0"/>
    <x v="48"/>
    <x v="12"/>
    <x v="61"/>
    <x v="4"/>
    <x v="0"/>
  </r>
  <r>
    <x v="89"/>
    <x v="538"/>
    <x v="59"/>
    <x v="1"/>
    <x v="882"/>
    <x v="57"/>
    <x v="517"/>
    <x v="2"/>
    <x v="1"/>
    <x v="8"/>
    <x v="13"/>
    <x v="28"/>
    <x v="9"/>
    <x v="0"/>
    <x v="48"/>
    <x v="12"/>
    <x v="61"/>
    <x v="4"/>
    <x v="0"/>
  </r>
  <r>
    <x v="89"/>
    <x v="693"/>
    <x v="30"/>
    <x v="11"/>
    <x v="697"/>
    <x v="609"/>
    <x v="655"/>
    <x v="2"/>
    <x v="1"/>
    <x v="8"/>
    <x v="13"/>
    <x v="28"/>
    <x v="9"/>
    <x v="0"/>
    <x v="18"/>
    <x v="2"/>
    <x v="61"/>
    <x v="4"/>
    <x v="0"/>
  </r>
  <r>
    <x v="89"/>
    <x v="947"/>
    <x v="79"/>
    <x v="19"/>
    <x v="314"/>
    <x v="566"/>
    <x v="271"/>
    <x v="2"/>
    <x v="3"/>
    <x v="8"/>
    <x v="13"/>
    <x v="28"/>
    <x v="9"/>
    <x v="1"/>
    <x v="24"/>
    <x v="4"/>
    <x v="61"/>
    <x v="4"/>
    <x v="0"/>
  </r>
  <r>
    <x v="89"/>
    <x v="336"/>
    <x v="69"/>
    <x v="3"/>
    <x v="109"/>
    <x v="701"/>
    <x v="762"/>
    <x v="2"/>
    <x v="0"/>
    <x v="5"/>
    <x v="11"/>
    <x v="27"/>
    <x v="0"/>
    <x v="0"/>
    <x v="8"/>
    <x v="9"/>
    <x v="61"/>
    <x v="4"/>
    <x v="0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Tabela dinâmica3" cacheId="1" applyNumberFormats="0" applyBorderFormats="0" applyFontFormats="0" applyPatternFormats="0" applyAlignmentFormats="0" applyWidthHeightFormats="0" dataCaption="Values" showDrill="1" useAutoFormatting="0" itemPrintTitles="1" indent="0" outline="1" outlineData="1" compact="1" compactData="1">
  <location ref="A15:B22" firstHeaderRow="1" firstDataRow="1" firstDataCol="1"/>
  <pivotFields count="19"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5"/>
        <item x="3"/>
        <item x="4"/>
        <item t="default"/>
      </items>
    </pivotField>
    <pivotField axis="axisRow" showAll="0">
      <items count="3">
        <item x="0"/>
        <item h="1" x="1"/>
        <item t="default"/>
      </items>
    </pivotField>
  </pivotFields>
  <rowFields count="2">
    <field x="18"/>
    <field x="17"/>
  </rowFields>
  <dataFields count="1">
    <dataField name="Soma de VALOR" fld="2" subtotal="sum" numFmtId="167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0" dataCaption="Values" showDrill="1" useAutoFormatting="0" itemPrintTitles="1" indent="0" outline="1" outlineData="1" compact="1" compactData="1">
  <location ref="E4:F29" firstHeaderRow="1" firstDataRow="1" firstDataCol="1" rowPageCount="2" colPageCount="1"/>
  <pivotFields count="19">
    <pivotField showAll="0"/>
    <pivotField showAll="0"/>
    <pivotField dataField="1" showAll="0"/>
    <pivotField axis="axisRow" showAll="0" defaultSubtotal="0">
      <items count="25">
        <item x="3"/>
        <item x="4"/>
        <item x="9"/>
        <item x="11"/>
        <item x="15"/>
        <item x="21"/>
        <item x="10"/>
        <item x="13"/>
        <item x="5"/>
        <item x="19"/>
        <item x="23"/>
        <item x="6"/>
        <item x="20"/>
        <item x="24"/>
        <item x="0"/>
        <item x="1"/>
        <item x="8"/>
        <item x="12"/>
        <item x="22"/>
        <item x="17"/>
        <item x="14"/>
        <item x="18"/>
        <item x="2"/>
        <item x="7"/>
        <item x="16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7">
        <item h="1" x="0"/>
        <item h="1" x="1"/>
        <item h="1" x="2"/>
        <item h="1" x="5"/>
        <item x="3"/>
        <item h="1" x="4"/>
        <item t="default"/>
      </items>
    </pivotField>
    <pivotField axis="axisPage" showAll="0">
      <items count="3">
        <item x="0"/>
        <item h="1" x="1"/>
        <item t="default"/>
      </items>
    </pivotField>
  </pivotFields>
  <rowFields count="1">
    <field x="3"/>
  </rowFields>
  <pageFields count="2">
    <pageField fld="18" hier="-1"/>
    <pageField fld="17" hier="-1"/>
  </pageFields>
  <dataFields count="1">
    <dataField name="Soma de VALOR" fld="2" subtotal="sum" numFmtId="167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CLIENTES_PCBR" displayName="CLIENTES_PCBR" ref="A1:J1991" headerRowCount="1" totalsRowCount="0" totalsRowShown="0">
  <autoFilter ref="A1:J1991"/>
  <tableColumns count="10">
    <tableColumn id="1" name="FECHA"/>
    <tableColumn id="2" name="CPF"/>
    <tableColumn id="3" name="CLIENTE"/>
    <tableColumn id="4" name="TELEFONO"/>
    <tableColumn id="5" name="EMAIL"/>
    <tableColumn id="6" name="VALOR"/>
    <tableColumn id="7" name="PAIS"/>
    <tableColumn id="8" name="CIUDAD"/>
    <tableColumn id="9" name="ESTADO"/>
    <tableColumn id="10" name="CANAL ADQUISICIÓN"/>
  </tableColumns>
</table>
</file>

<file path=xl/tables/table2.xml><?xml version="1.0" encoding="utf-8"?>
<table xmlns="http://schemas.openxmlformats.org/spreadsheetml/2006/main" id="2" name="CRM" displayName="CRM" ref="A1:S1338" headerRowCount="1" totalsRowCount="0" totalsRowShown="0">
  <autoFilter ref="A1:S1338"/>
  <tableColumns count="19">
    <tableColumn id="1" name="FECHA"/>
    <tableColumn id="2" name="NOMBRE PIX"/>
    <tableColumn id="3" name="VALOR"/>
    <tableColumn id="4" name="SERVICIO"/>
    <tableColumn id="5" name="CLIENTE"/>
    <tableColumn id="6" name="TELEFONO"/>
    <tableColumn id="7" name="EMAIL"/>
    <tableColumn id="8" name="PAÍS"/>
    <tableColumn id="9" name="ATENDENTE"/>
    <tableColumn id="10" name="UTM_SOURCE"/>
    <tableColumn id="11" name="UTM_CAMPAIGN"/>
    <tableColumn id="12" name="UTM_CONTENT"/>
    <tableColumn id="13" name="UTM_MEDIUM"/>
    <tableColumn id="14" name="RECORRENCIA"/>
    <tableColumn id="15" name="CIUDAD"/>
    <tableColumn id="16" name="ESTADO"/>
    <tableColumn id="17" name="CPF"/>
    <tableColumn id="18" name="MES"/>
    <tableColumn id="19" name="ANO"/>
  </tableColumns>
</table>
</file>

<file path=xl/tables/table3.xml><?xml version="1.0" encoding="utf-8"?>
<table xmlns="http://schemas.openxmlformats.org/spreadsheetml/2006/main" id="3" name="Tabela1" displayName="Tabela1" ref="A1:I9999" headerRowCount="1" totalsRowCount="0" totalsRowShown="0">
  <autoFilter ref="A1:I9999"/>
  <tableColumns count="9">
    <tableColumn id="1" name="FECHA"/>
    <tableColumn id="2" name="VALOR"/>
    <tableColumn id="3" name="RAZÓN"/>
    <tableColumn id="4" name="CATEGORIA"/>
    <tableColumn id="5" name="SUBCATEGORIA"/>
    <tableColumn id="6" name="OBSERVAÇÃO"/>
    <tableColumn id="7" name="MÊS"/>
    <tableColumn id="8" name="ANO"/>
    <tableColumn id="9" name="V o F"/>
  </tableColumns>
</table>
</file>

<file path=xl/tables/table4.xml><?xml version="1.0" encoding="utf-8"?>
<table xmlns="http://schemas.openxmlformats.org/spreadsheetml/2006/main" id="4" name="Tabela2" displayName="Tabela2" ref="U1:AE13" headerRowCount="1" totalsRowCount="0" totalsRowShown="0">
  <tableColumns count="11">
    <tableColumn id="1" name="Comissão"/>
    <tableColumn id="2" name="Estorno"/>
    <tableColumn id="3" name="Estrutura"/>
    <tableColumn id="4" name="Impostos"/>
    <tableColumn id="5" name="Marketing"/>
    <tableColumn id="6" name="Materiais"/>
    <tableColumn id="7" name="Pessoal"/>
    <tableColumn id="8" name="ProLabore"/>
    <tableColumn id="9" name="Terceiros"/>
    <tableColumn id="10" name="Softwares"/>
    <tableColumn id="11" name="Outros"/>
  </tableColumns>
</table>
</file>

<file path=xl/tables/table5.xml><?xml version="1.0" encoding="utf-8"?>
<table xmlns="http://schemas.openxmlformats.org/spreadsheetml/2006/main" id="5" name="Tabela6" displayName="Tabela6" ref="A1:Q1338" headerRowCount="1" totalsRowCount="0" totalsRowShown="0">
  <autoFilter ref="A1:Q1338"/>
  <tableColumns count="17">
    <tableColumn id="1" name="FECHA"/>
    <tableColumn id="2" name="NOMBRE PIX"/>
    <tableColumn id="3" name="VALOR"/>
    <tableColumn id="4" name="SERVICIO"/>
    <tableColumn id="5" name="CLIENTE"/>
    <tableColumn id="6" name="TELEFONO"/>
    <tableColumn id="7" name="EMAIL"/>
    <tableColumn id="8" name="PAÍS"/>
    <tableColumn id="9" name="ATENDENTE"/>
    <tableColumn id="10" name="UTM_SOURCE"/>
    <tableColumn id="11" name="UTM_CAMPAIGN"/>
    <tableColumn id="12" name="UTM_CONTENT"/>
    <tableColumn id="13" name="UTM_MEDIUM"/>
    <tableColumn id="14" name="RECORRENCIA"/>
    <tableColumn id="15" name="CIUDAD"/>
    <tableColumn id="16" name="ESTADO"/>
    <tableColumn id="17" name="CPF"/>
  </tableColumns>
</table>
</file>

<file path=xl/theme/theme1.xml><?xml version="1.0" encoding="utf-8"?>
<a:theme xmlns:a="http://schemas.openxmlformats.org/drawingml/2006/main" xmlns:r="http://schemas.openxmlformats.org/officeDocument/2006/relationships" name="Tema do Offic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thaliavivas2005@gmail.com" TargetMode="External"/><Relationship Id="rId2" Type="http://schemas.openxmlformats.org/officeDocument/2006/relationships/hyperlink" Target="mailto:vismayjesus@gmail.com" TargetMode="External"/><Relationship Id="rId3" Type="http://schemas.openxmlformats.org/officeDocument/2006/relationships/hyperlink" Target="mailto:dreidy.avila27@gmail.com" TargetMode="External"/><Relationship Id="rId4" Type="http://schemas.openxmlformats.org/officeDocument/2006/relationships/hyperlink" Target="mailto:vlataton2015@gmail.com" TargetMode="External"/><Relationship Id="rId5" Type="http://schemas.openxmlformats.org/officeDocument/2006/relationships/hyperlink" Target="mailto:NEURIS1998@GMAIL.COM" TargetMode="External"/><Relationship Id="rId6" Type="http://schemas.openxmlformats.org/officeDocument/2006/relationships/hyperlink" Target="mailto:angelacausilla81@gmail.com" TargetMode="External"/><Relationship Id="rId7" Type="http://schemas.openxmlformats.org/officeDocument/2006/relationships/hyperlink" Target="mailto:mairacabrera618@gmail.com" TargetMode="External"/><Relationship Id="rId8" Type="http://schemas.openxmlformats.org/officeDocument/2006/relationships/hyperlink" Target="mailto:lisvaldes92@gmail.com" TargetMode="External"/><Relationship Id="rId9" Type="http://schemas.openxmlformats.org/officeDocument/2006/relationships/hyperlink" Target="mailto:saylilopez4736@gmail.com" TargetMode="External"/><Relationship Id="rId10" Type="http://schemas.openxmlformats.org/officeDocument/2006/relationships/hyperlink" Target="mailto:javierleesma1357@gmail.com" TargetMode="External"/><Relationship Id="rId11" Type="http://schemas.openxmlformats.org/officeDocument/2006/relationships/hyperlink" Target="mailto:yoan.liki@gmail.com" TargetMode="External"/><Relationship Id="rId12" Type="http://schemas.openxmlformats.org/officeDocument/2006/relationships/hyperlink" Target="mailto:luisangelpaneque1992@gmail.com" TargetMode="External"/><Relationship Id="rId13" Type="http://schemas.openxmlformats.org/officeDocument/2006/relationships/hyperlink" Target="mailto:bourricaudyselianis@gmail.com" TargetMode="External"/><Relationship Id="rId14" Type="http://schemas.openxmlformats.org/officeDocument/2006/relationships/hyperlink" Target="mailto:lazaroalexe052@gmail.com" TargetMode="External"/><Relationship Id="rId15" Type="http://schemas.openxmlformats.org/officeDocument/2006/relationships/table" Target="../tables/table5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3.xml"/><Relationship Id="rId2" Type="http://schemas.openxmlformats.org/officeDocument/2006/relationships/table" Target="../tables/table4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pivotTable" Target="../pivotTables/pivotTable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hyperlink" Target="mailto:joseluissalgadochao16@gmail.com" TargetMode="External"/><Relationship Id="rId2" Type="http://schemas.openxmlformats.org/officeDocument/2006/relationships/hyperlink" Target="mailto:yanelam2001@gmail.com" TargetMode="External"/><Relationship Id="rId3" Type="http://schemas.openxmlformats.org/officeDocument/2006/relationships/hyperlink" Target="mailto:dayanisrosabal183@gmail.com" TargetMode="External"/><Relationship Id="rId4" Type="http://schemas.openxmlformats.org/officeDocument/2006/relationships/hyperlink" Target="mailto:napoleshernandezraiza@gmail.com" TargetMode="External"/><Relationship Id="rId5" Type="http://schemas.openxmlformats.org/officeDocument/2006/relationships/hyperlink" Target="mailto:litmaycantero@gmail.com" TargetMode="External"/><Relationship Id="rId6" Type="http://schemas.openxmlformats.org/officeDocument/2006/relationships/hyperlink" Target="mailto:yinamarina@yopmail.com" TargetMode="External"/><Relationship Id="rId7" Type="http://schemas.openxmlformats.org/officeDocument/2006/relationships/hyperlink" Target="mailto:napoleshernandezraiza@gmail.com" TargetMode="External"/><Relationship Id="rId8" Type="http://schemas.openxmlformats.org/officeDocument/2006/relationships/hyperlink" Target="mailto:diovaniscarrion1993@gmail.com" TargetMode="External"/><Relationship Id="rId9" Type="http://schemas.openxmlformats.org/officeDocument/2006/relationships/hyperlink" Target="mailto:perezperezgendris@gmail.com" TargetMode="External"/><Relationship Id="rId10" Type="http://schemas.openxmlformats.org/officeDocument/2006/relationships/hyperlink" Target="mailto:ferreryosef@gmail.com" TargetMode="External"/><Relationship Id="rId11" Type="http://schemas.openxmlformats.org/officeDocument/2006/relationships/hyperlink" Target="mailto:n2458619@gmail.com" TargetMode="External"/><Relationship Id="rId12" Type="http://schemas.openxmlformats.org/officeDocument/2006/relationships/hyperlink" Target="mailto:angelacausilla81@gmail.com" TargetMode="External"/><Relationship Id="rId13" Type="http://schemas.openxmlformats.org/officeDocument/2006/relationships/table" Target="../tables/table1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1340"/>
  <sheetViews>
    <sheetView showFormulas="false" showGridLines="true" showRowColHeaders="true" showZeros="true" rightToLeft="false" tabSelected="false" showOutlineSymbols="true" defaultGridColor="true" view="normal" topLeftCell="B266" colorId="64" zoomScale="100" zoomScaleNormal="100" zoomScalePageLayoutView="100" workbookViewId="0">
      <selection pane="topLeft" activeCell="B1335" activeCellId="0" sqref="B1335"/>
    </sheetView>
  </sheetViews>
  <sheetFormatPr defaultColWidth="9.14453125" defaultRowHeight="14.25" zeroHeight="false" outlineLevelRow="0" outlineLevelCol="0"/>
  <cols>
    <col collapsed="false" customWidth="true" hidden="false" outlineLevel="0" max="1" min="1" style="1" width="18.43"/>
    <col collapsed="false" customWidth="true" hidden="false" outlineLevel="0" max="2" min="2" style="1" width="45.29"/>
    <col collapsed="false" customWidth="true" hidden="false" outlineLevel="0" max="3" min="3" style="2" width="9.43"/>
    <col collapsed="false" customWidth="true" hidden="false" outlineLevel="0" max="4" min="4" style="1" width="20.57"/>
    <col collapsed="false" customWidth="true" hidden="false" outlineLevel="0" max="5" min="5" style="1" width="33.43"/>
    <col collapsed="false" customWidth="true" hidden="false" outlineLevel="0" max="6" min="6" style="2" width="15.57"/>
    <col collapsed="false" customWidth="true" hidden="false" outlineLevel="0" max="7" min="7" style="1" width="73.71"/>
    <col collapsed="false" customWidth="true" hidden="false" outlineLevel="0" max="9" min="8" style="1" width="12.72"/>
    <col collapsed="false" customWidth="true" hidden="false" outlineLevel="0" max="10" min="10" style="1" width="18.14"/>
    <col collapsed="false" customWidth="true" hidden="false" outlineLevel="0" max="11" min="11" style="1" width="63.57"/>
    <col collapsed="false" customWidth="true" hidden="false" outlineLevel="0" max="12" min="12" style="1" width="43"/>
    <col collapsed="false" customWidth="true" hidden="false" outlineLevel="0" max="13" min="13" style="1" width="22.43"/>
    <col collapsed="false" customWidth="true" hidden="false" outlineLevel="0" max="14" min="14" style="1" width="19.28"/>
    <col collapsed="false" customWidth="true" hidden="false" outlineLevel="0" max="15" min="15" style="1" width="21"/>
    <col collapsed="false" customWidth="true" hidden="false" outlineLevel="0" max="16" min="16" style="1" width="22.29"/>
    <col collapsed="false" customWidth="true" hidden="false" outlineLevel="0" max="17" min="17" style="1" width="13.29"/>
    <col collapsed="false" customWidth="false" hidden="false" outlineLevel="0" max="16384" min="18" style="1" width="9.14"/>
  </cols>
  <sheetData>
    <row r="1" s="4" customFormat="true" ht="14.25" hidden="false" customHeight="false" outlineLevel="0" collapsed="false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</row>
    <row r="2" customFormat="false" ht="14.25" hidden="false" customHeight="false" outlineLevel="0" collapsed="false">
      <c r="A2" s="1" t="s">
        <v>17</v>
      </c>
      <c r="C2" s="2" t="n">
        <v>3816</v>
      </c>
      <c r="D2" s="5" t="s">
        <v>18</v>
      </c>
      <c r="E2" s="1" t="s">
        <v>19</v>
      </c>
      <c r="G2" s="6"/>
    </row>
    <row r="3" customFormat="false" ht="14.25" hidden="false" customHeight="false" outlineLevel="0" collapsed="false">
      <c r="A3" s="1" t="s">
        <v>17</v>
      </c>
      <c r="C3" s="2" t="n">
        <v>3905</v>
      </c>
      <c r="D3" s="1" t="s">
        <v>20</v>
      </c>
      <c r="E3" s="1" t="s">
        <v>19</v>
      </c>
      <c r="G3" s="6"/>
    </row>
    <row r="4" customFormat="false" ht="14.25" hidden="false" customHeight="false" outlineLevel="0" collapsed="false">
      <c r="A4" s="1" t="s">
        <v>17</v>
      </c>
      <c r="C4" s="2" t="n">
        <v>3840</v>
      </c>
      <c r="D4" s="1" t="s">
        <v>16</v>
      </c>
      <c r="E4" s="1" t="s">
        <v>19</v>
      </c>
      <c r="G4" s="6"/>
    </row>
    <row r="5" customFormat="false" ht="14.25" hidden="false" customHeight="false" outlineLevel="0" collapsed="false">
      <c r="A5" s="1" t="s">
        <v>17</v>
      </c>
      <c r="C5" s="2" t="n">
        <v>840</v>
      </c>
      <c r="D5" s="1" t="s">
        <v>21</v>
      </c>
      <c r="E5" s="1" t="s">
        <v>19</v>
      </c>
      <c r="G5" s="6"/>
    </row>
    <row r="6" customFormat="false" ht="14.25" hidden="false" customHeight="false" outlineLevel="0" collapsed="false">
      <c r="A6" s="1" t="s">
        <v>17</v>
      </c>
      <c r="C6" s="2" t="n">
        <v>3830</v>
      </c>
      <c r="D6" s="1" t="s">
        <v>22</v>
      </c>
      <c r="E6" s="1" t="s">
        <v>19</v>
      </c>
      <c r="G6" s="6"/>
    </row>
    <row r="7" customFormat="false" ht="14.25" hidden="false" customHeight="false" outlineLevel="0" collapsed="false">
      <c r="A7" s="1" t="s">
        <v>17</v>
      </c>
      <c r="C7" s="2" t="n">
        <v>1540</v>
      </c>
      <c r="D7" s="1" t="s">
        <v>23</v>
      </c>
      <c r="E7" s="1" t="s">
        <v>19</v>
      </c>
      <c r="G7" s="6"/>
    </row>
    <row r="8" customFormat="false" ht="14.25" hidden="false" customHeight="false" outlineLevel="0" collapsed="false">
      <c r="A8" s="1" t="s">
        <v>17</v>
      </c>
      <c r="C8" s="2" t="n">
        <v>7270</v>
      </c>
      <c r="D8" s="1" t="s">
        <v>24</v>
      </c>
      <c r="E8" s="1" t="s">
        <v>19</v>
      </c>
      <c r="G8" s="6"/>
    </row>
    <row r="9" customFormat="false" ht="14.25" hidden="false" customHeight="false" outlineLevel="0" collapsed="false">
      <c r="A9" s="1" t="s">
        <v>17</v>
      </c>
      <c r="C9" s="2" t="n">
        <v>420</v>
      </c>
      <c r="D9" s="1" t="s">
        <v>25</v>
      </c>
      <c r="E9" s="1" t="s">
        <v>19</v>
      </c>
      <c r="G9" s="6"/>
    </row>
    <row r="10" customFormat="false" ht="14.25" hidden="false" customHeight="false" outlineLevel="0" collapsed="false">
      <c r="A10" s="1" t="s">
        <v>17</v>
      </c>
      <c r="C10" s="2" t="n">
        <v>225</v>
      </c>
      <c r="D10" s="1" t="s">
        <v>26</v>
      </c>
      <c r="E10" s="1" t="s">
        <v>19</v>
      </c>
      <c r="G10" s="6"/>
    </row>
    <row r="11" customFormat="false" ht="14.25" hidden="false" customHeight="false" outlineLevel="0" collapsed="false">
      <c r="A11" s="1" t="s">
        <v>17</v>
      </c>
      <c r="C11" s="2" t="n">
        <v>4550</v>
      </c>
      <c r="D11" s="1" t="s">
        <v>27</v>
      </c>
      <c r="E11" s="1" t="s">
        <v>19</v>
      </c>
      <c r="G11" s="6"/>
    </row>
    <row r="12" customFormat="false" ht="14.25" hidden="false" customHeight="false" outlineLevel="0" collapsed="false">
      <c r="A12" s="1" t="s">
        <v>17</v>
      </c>
      <c r="C12" s="2" t="n">
        <v>197</v>
      </c>
      <c r="D12" s="1" t="s">
        <v>28</v>
      </c>
      <c r="E12" s="1" t="s">
        <v>19</v>
      </c>
      <c r="G12" s="6"/>
    </row>
    <row r="13" customFormat="false" ht="14.25" hidden="false" customHeight="false" outlineLevel="0" collapsed="false">
      <c r="A13" s="1" t="s">
        <v>17</v>
      </c>
      <c r="C13" s="2" t="n">
        <v>450</v>
      </c>
      <c r="D13" s="1" t="s">
        <v>29</v>
      </c>
      <c r="E13" s="1" t="s">
        <v>19</v>
      </c>
      <c r="G13" s="6"/>
    </row>
    <row r="14" customFormat="false" ht="14.25" hidden="false" customHeight="false" outlineLevel="0" collapsed="false">
      <c r="A14" s="1" t="s">
        <v>17</v>
      </c>
      <c r="C14" s="2" t="n">
        <v>917</v>
      </c>
      <c r="D14" s="1" t="s">
        <v>30</v>
      </c>
      <c r="E14" s="1" t="s">
        <v>19</v>
      </c>
      <c r="G14" s="6"/>
    </row>
    <row r="15" customFormat="false" ht="14.25" hidden="false" customHeight="false" outlineLevel="0" collapsed="false">
      <c r="A15" s="1" t="s">
        <v>17</v>
      </c>
      <c r="B15" s="1" t="s">
        <v>31</v>
      </c>
      <c r="C15" s="2" t="n">
        <v>140</v>
      </c>
      <c r="D15" s="1" t="s">
        <v>32</v>
      </c>
      <c r="E15" s="1" t="s">
        <v>31</v>
      </c>
      <c r="F15" s="2" t="n">
        <v>5519953304682</v>
      </c>
      <c r="G15" s="6" t="s">
        <v>33</v>
      </c>
      <c r="I15" s="1" t="s">
        <v>34</v>
      </c>
      <c r="J15" s="1" t="s">
        <v>35</v>
      </c>
      <c r="K15" s="1" t="s">
        <v>36</v>
      </c>
      <c r="L15" s="1" t="s">
        <v>37</v>
      </c>
      <c r="M15" s="1" t="s">
        <v>38</v>
      </c>
    </row>
    <row r="16" customFormat="false" ht="14.25" hidden="false" customHeight="false" outlineLevel="0" collapsed="false">
      <c r="A16" s="1" t="s">
        <v>17</v>
      </c>
      <c r="B16" s="1" t="s">
        <v>33</v>
      </c>
      <c r="C16" s="2" t="n">
        <v>90</v>
      </c>
      <c r="D16" s="1" t="s">
        <v>30</v>
      </c>
      <c r="E16" s="1" t="s">
        <v>39</v>
      </c>
      <c r="F16" s="2" t="n">
        <v>556892547445</v>
      </c>
      <c r="G16" s="6" t="s">
        <v>40</v>
      </c>
      <c r="I16" s="1" t="s">
        <v>34</v>
      </c>
    </row>
    <row r="17" customFormat="false" ht="14.25" hidden="false" customHeight="false" outlineLevel="0" collapsed="false">
      <c r="A17" s="1" t="s">
        <v>17</v>
      </c>
      <c r="B17" s="1" t="s">
        <v>33</v>
      </c>
      <c r="C17" s="2" t="n">
        <v>80</v>
      </c>
      <c r="D17" s="1" t="s">
        <v>16</v>
      </c>
      <c r="E17" s="1" t="s">
        <v>41</v>
      </c>
      <c r="F17" s="2" t="n">
        <v>554195404109</v>
      </c>
      <c r="G17" s="1" t="s">
        <v>42</v>
      </c>
      <c r="I17" s="1" t="s">
        <v>34</v>
      </c>
    </row>
    <row r="18" customFormat="false" ht="14.25" hidden="false" customHeight="false" outlineLevel="0" collapsed="false">
      <c r="A18" s="1" t="s">
        <v>17</v>
      </c>
      <c r="B18" s="1" t="s">
        <v>43</v>
      </c>
      <c r="C18" s="2" t="n">
        <v>90</v>
      </c>
      <c r="D18" s="1" t="s">
        <v>20</v>
      </c>
      <c r="E18" s="1" t="s">
        <v>44</v>
      </c>
      <c r="F18" s="2" t="n">
        <v>5513996062412</v>
      </c>
      <c r="G18" s="1" t="s">
        <v>45</v>
      </c>
      <c r="I18" s="1" t="s">
        <v>34</v>
      </c>
    </row>
    <row r="19" customFormat="false" ht="14.25" hidden="false" customHeight="false" outlineLevel="0" collapsed="false">
      <c r="A19" s="1" t="s">
        <v>17</v>
      </c>
      <c r="B19" s="1" t="s">
        <v>46</v>
      </c>
      <c r="C19" s="2" t="n">
        <v>280</v>
      </c>
      <c r="D19" s="1" t="s">
        <v>24</v>
      </c>
      <c r="E19" s="1" t="s">
        <v>46</v>
      </c>
      <c r="F19" s="2" t="n">
        <v>553198470552</v>
      </c>
      <c r="G19" s="1" t="s">
        <v>47</v>
      </c>
      <c r="I19" s="1" t="s">
        <v>34</v>
      </c>
    </row>
    <row r="20" customFormat="false" ht="14.25" hidden="false" customHeight="false" outlineLevel="0" collapsed="false">
      <c r="A20" s="1" t="s">
        <v>17</v>
      </c>
      <c r="B20" s="1" t="s">
        <v>48</v>
      </c>
      <c r="C20" s="2" t="n">
        <v>150</v>
      </c>
      <c r="D20" s="1" t="s">
        <v>32</v>
      </c>
      <c r="E20" s="1" t="s">
        <v>48</v>
      </c>
      <c r="F20" s="2" t="n">
        <v>555399912728</v>
      </c>
      <c r="G20" s="1" t="s">
        <v>49</v>
      </c>
      <c r="I20" s="1" t="s">
        <v>50</v>
      </c>
    </row>
    <row r="21" customFormat="false" ht="14.25" hidden="false" customHeight="false" outlineLevel="0" collapsed="false">
      <c r="A21" s="1" t="s">
        <v>17</v>
      </c>
      <c r="B21" s="1" t="s">
        <v>51</v>
      </c>
      <c r="C21" s="2" t="n">
        <v>360</v>
      </c>
      <c r="D21" s="1" t="s">
        <v>16</v>
      </c>
      <c r="E21" s="1" t="s">
        <v>51</v>
      </c>
      <c r="F21" s="2" t="n">
        <v>559684050662</v>
      </c>
      <c r="G21" s="1" t="s">
        <v>52</v>
      </c>
      <c r="I21" s="1" t="s">
        <v>34</v>
      </c>
    </row>
    <row r="22" customFormat="false" ht="14.25" hidden="false" customHeight="false" outlineLevel="0" collapsed="false">
      <c r="A22" s="1" t="s">
        <v>17</v>
      </c>
      <c r="B22" s="1" t="s">
        <v>53</v>
      </c>
      <c r="C22" s="2" t="n">
        <v>80</v>
      </c>
      <c r="D22" s="1" t="s">
        <v>16</v>
      </c>
      <c r="E22" s="1" t="s">
        <v>53</v>
      </c>
      <c r="F22" s="2" t="n">
        <v>553798577114</v>
      </c>
      <c r="G22" s="1" t="n">
        <v>0</v>
      </c>
      <c r="I22" s="1" t="s">
        <v>54</v>
      </c>
    </row>
    <row r="23" customFormat="false" ht="14.25" hidden="false" customHeight="false" outlineLevel="0" collapsed="false">
      <c r="A23" s="1" t="s">
        <v>17</v>
      </c>
      <c r="B23" s="1" t="s">
        <v>55</v>
      </c>
      <c r="C23" s="2" t="n">
        <v>420</v>
      </c>
      <c r="D23" s="1" t="s">
        <v>21</v>
      </c>
      <c r="E23" s="1" t="s">
        <v>56</v>
      </c>
      <c r="F23" s="2" t="n">
        <v>5548933813308</v>
      </c>
      <c r="G23" s="1" t="s">
        <v>57</v>
      </c>
      <c r="I23" s="1" t="s">
        <v>50</v>
      </c>
    </row>
    <row r="24" customFormat="false" ht="14.25" hidden="false" customHeight="false" outlineLevel="0" collapsed="false">
      <c r="A24" s="1" t="s">
        <v>17</v>
      </c>
      <c r="B24" s="1" t="s">
        <v>58</v>
      </c>
      <c r="C24" s="2" t="n">
        <v>97</v>
      </c>
      <c r="D24" s="1" t="s">
        <v>21</v>
      </c>
      <c r="E24" s="1" t="s">
        <v>58</v>
      </c>
      <c r="F24" s="2" t="n">
        <v>554896170510</v>
      </c>
      <c r="G24" s="1" t="s">
        <v>59</v>
      </c>
      <c r="I24" s="1" t="s">
        <v>50</v>
      </c>
      <c r="J24" s="1" t="s">
        <v>60</v>
      </c>
      <c r="K24" s="1" t="s">
        <v>27</v>
      </c>
      <c r="L24" s="1" t="s">
        <v>61</v>
      </c>
      <c r="M24" s="1" t="s">
        <v>62</v>
      </c>
    </row>
    <row r="25" customFormat="false" ht="14.25" hidden="false" customHeight="false" outlineLevel="0" collapsed="false">
      <c r="A25" s="1" t="s">
        <v>17</v>
      </c>
      <c r="B25" s="1" t="s">
        <v>63</v>
      </c>
      <c r="C25" s="2" t="n">
        <v>150</v>
      </c>
      <c r="D25" s="1" t="s">
        <v>32</v>
      </c>
      <c r="E25" s="1" t="s">
        <v>64</v>
      </c>
      <c r="F25" s="2" t="n">
        <v>559584276647</v>
      </c>
      <c r="G25" s="1" t="s">
        <v>65</v>
      </c>
      <c r="I25" s="1" t="s">
        <v>34</v>
      </c>
    </row>
    <row r="26" customFormat="false" ht="14.25" hidden="false" customHeight="false" outlineLevel="0" collapsed="false">
      <c r="A26" s="1" t="s">
        <v>17</v>
      </c>
      <c r="B26" s="1" t="s">
        <v>66</v>
      </c>
      <c r="C26" s="2" t="n">
        <v>360</v>
      </c>
      <c r="D26" s="1" t="s">
        <v>21</v>
      </c>
      <c r="E26" s="1" t="s">
        <v>66</v>
      </c>
      <c r="F26" s="2" t="n">
        <v>559591418110</v>
      </c>
      <c r="G26" s="1" t="s">
        <v>67</v>
      </c>
      <c r="I26" s="1" t="s">
        <v>34</v>
      </c>
    </row>
    <row r="27" customFormat="false" ht="14.25" hidden="false" customHeight="false" outlineLevel="0" collapsed="false">
      <c r="A27" s="1" t="s">
        <v>17</v>
      </c>
      <c r="B27" s="1" t="s">
        <v>43</v>
      </c>
      <c r="C27" s="2" t="n">
        <v>147</v>
      </c>
      <c r="D27" s="1" t="s">
        <v>18</v>
      </c>
      <c r="E27" s="1" t="s">
        <v>68</v>
      </c>
      <c r="F27" s="2" t="n">
        <v>559684194434</v>
      </c>
      <c r="G27" s="1" t="s">
        <v>43</v>
      </c>
      <c r="I27" s="1" t="s">
        <v>50</v>
      </c>
      <c r="J27" s="1" t="s">
        <v>35</v>
      </c>
      <c r="K27" s="1" t="s">
        <v>69</v>
      </c>
      <c r="L27" s="1" t="s">
        <v>70</v>
      </c>
      <c r="M27" s="1" t="s">
        <v>38</v>
      </c>
    </row>
    <row r="28" customFormat="false" ht="14.25" hidden="false" customHeight="false" outlineLevel="0" collapsed="false">
      <c r="A28" s="1" t="s">
        <v>17</v>
      </c>
      <c r="B28" s="1" t="s">
        <v>71</v>
      </c>
      <c r="C28" s="2" t="n">
        <v>90</v>
      </c>
      <c r="D28" s="1" t="s">
        <v>20</v>
      </c>
      <c r="E28" s="1" t="s">
        <v>72</v>
      </c>
      <c r="F28" s="2" t="n">
        <v>559584286486</v>
      </c>
      <c r="G28" s="1" t="s">
        <v>33</v>
      </c>
      <c r="I28" s="1" t="s">
        <v>34</v>
      </c>
    </row>
    <row r="29" customFormat="false" ht="14.25" hidden="false" customHeight="false" outlineLevel="0" collapsed="false">
      <c r="A29" s="1" t="s">
        <v>17</v>
      </c>
      <c r="B29" s="1" t="s">
        <v>73</v>
      </c>
      <c r="C29" s="2" t="n">
        <v>80</v>
      </c>
      <c r="D29" s="1" t="s">
        <v>16</v>
      </c>
      <c r="E29" s="1" t="s">
        <v>73</v>
      </c>
      <c r="F29" s="2" t="n">
        <v>5548991237049</v>
      </c>
      <c r="G29" s="1" t="s">
        <v>74</v>
      </c>
      <c r="I29" s="1" t="s">
        <v>34</v>
      </c>
      <c r="J29" s="1" t="s">
        <v>75</v>
      </c>
      <c r="K29" s="1" t="s">
        <v>76</v>
      </c>
      <c r="M29" s="1" t="s">
        <v>77</v>
      </c>
    </row>
    <row r="30" customFormat="false" ht="14.25" hidden="false" customHeight="false" outlineLevel="0" collapsed="false">
      <c r="A30" s="1" t="s">
        <v>17</v>
      </c>
      <c r="B30" s="1" t="s">
        <v>78</v>
      </c>
      <c r="C30" s="2" t="n">
        <v>600</v>
      </c>
      <c r="D30" s="1" t="s">
        <v>24</v>
      </c>
      <c r="E30" s="1" t="s">
        <v>79</v>
      </c>
      <c r="F30" s="2" t="n">
        <v>554197035604</v>
      </c>
      <c r="G30" s="1" t="s">
        <v>80</v>
      </c>
      <c r="I30" s="1" t="s">
        <v>54</v>
      </c>
    </row>
    <row r="31" customFormat="false" ht="14.25" hidden="false" customHeight="false" outlineLevel="0" collapsed="false">
      <c r="A31" s="1" t="s">
        <v>17</v>
      </c>
      <c r="B31" s="1" t="s">
        <v>43</v>
      </c>
      <c r="C31" s="2" t="n">
        <v>150</v>
      </c>
      <c r="D31" s="1" t="s">
        <v>32</v>
      </c>
      <c r="E31" s="1" t="s">
        <v>81</v>
      </c>
      <c r="F31" s="2" t="n">
        <v>554195022066</v>
      </c>
      <c r="G31" s="1" t="s">
        <v>43</v>
      </c>
      <c r="I31" s="1" t="s">
        <v>50</v>
      </c>
    </row>
    <row r="32" customFormat="false" ht="14.25" hidden="false" customHeight="false" outlineLevel="0" collapsed="false">
      <c r="A32" s="1" t="s">
        <v>17</v>
      </c>
      <c r="B32" s="1" t="s">
        <v>43</v>
      </c>
      <c r="C32" s="2" t="n">
        <v>150</v>
      </c>
      <c r="D32" s="1" t="s">
        <v>32</v>
      </c>
      <c r="E32" s="1" t="s">
        <v>82</v>
      </c>
      <c r="F32" s="2" t="n">
        <v>554591148411</v>
      </c>
      <c r="G32" s="1" t="s">
        <v>43</v>
      </c>
      <c r="I32" s="1" t="s">
        <v>50</v>
      </c>
    </row>
    <row r="33" customFormat="false" ht="14.25" hidden="false" customHeight="false" outlineLevel="0" collapsed="false">
      <c r="A33" s="1" t="s">
        <v>17</v>
      </c>
      <c r="B33" s="1" t="s">
        <v>83</v>
      </c>
      <c r="C33" s="2" t="n">
        <v>150</v>
      </c>
      <c r="D33" s="1" t="s">
        <v>29</v>
      </c>
      <c r="E33" s="1" t="s">
        <v>83</v>
      </c>
      <c r="F33" s="2" t="n">
        <v>554591090864</v>
      </c>
      <c r="G33" s="1" t="s">
        <v>84</v>
      </c>
      <c r="I33" s="1" t="s">
        <v>54</v>
      </c>
    </row>
    <row r="34" customFormat="false" ht="14.25" hidden="false" customHeight="false" outlineLevel="0" collapsed="false">
      <c r="A34" s="1" t="s">
        <v>17</v>
      </c>
      <c r="B34" s="1" t="s">
        <v>85</v>
      </c>
      <c r="C34" s="2" t="n">
        <v>80</v>
      </c>
      <c r="D34" s="1" t="s">
        <v>16</v>
      </c>
      <c r="E34" s="1" t="s">
        <v>86</v>
      </c>
      <c r="F34" s="2" t="n">
        <v>5353274916</v>
      </c>
      <c r="G34" s="1" t="s">
        <v>87</v>
      </c>
      <c r="I34" s="1" t="s">
        <v>50</v>
      </c>
    </row>
    <row r="35" customFormat="false" ht="14.25" hidden="false" customHeight="false" outlineLevel="0" collapsed="false">
      <c r="A35" s="1" t="s">
        <v>17</v>
      </c>
      <c r="B35" s="1" t="s">
        <v>88</v>
      </c>
      <c r="C35" s="2" t="n">
        <v>140</v>
      </c>
      <c r="D35" s="1" t="s">
        <v>32</v>
      </c>
      <c r="E35" s="1" t="s">
        <v>88</v>
      </c>
      <c r="F35" s="2" t="n">
        <v>5511920484500</v>
      </c>
      <c r="G35" s="1" t="s">
        <v>43</v>
      </c>
      <c r="I35" s="1" t="s">
        <v>50</v>
      </c>
    </row>
    <row r="36" customFormat="false" ht="14.25" hidden="false" customHeight="false" outlineLevel="0" collapsed="false">
      <c r="A36" s="1" t="s">
        <v>17</v>
      </c>
      <c r="B36" s="1" t="s">
        <v>89</v>
      </c>
      <c r="C36" s="2" t="n">
        <v>300</v>
      </c>
      <c r="D36" s="1" t="s">
        <v>21</v>
      </c>
      <c r="E36" s="1" t="s">
        <v>90</v>
      </c>
      <c r="F36" s="2" t="n">
        <v>554891410061</v>
      </c>
      <c r="G36" s="1" t="s">
        <v>91</v>
      </c>
      <c r="I36" s="1" t="s">
        <v>34</v>
      </c>
    </row>
    <row r="37" customFormat="false" ht="14.25" hidden="false" customHeight="false" outlineLevel="0" collapsed="false">
      <c r="A37" s="1" t="s">
        <v>17</v>
      </c>
      <c r="B37" s="1" t="s">
        <v>92</v>
      </c>
      <c r="C37" s="2" t="n">
        <v>294</v>
      </c>
      <c r="D37" s="1" t="s">
        <v>18</v>
      </c>
      <c r="E37" s="1" t="s">
        <v>92</v>
      </c>
      <c r="F37" s="2" t="n">
        <v>559581218465</v>
      </c>
      <c r="G37" s="1" t="s">
        <v>93</v>
      </c>
      <c r="H37" s="1" t="s">
        <v>94</v>
      </c>
      <c r="I37" s="1" t="s">
        <v>54</v>
      </c>
    </row>
    <row r="38" customFormat="false" ht="14.25" hidden="false" customHeight="false" outlineLevel="0" collapsed="false">
      <c r="A38" s="1" t="s">
        <v>17</v>
      </c>
      <c r="B38" s="1" t="s">
        <v>95</v>
      </c>
      <c r="C38" s="2" t="n">
        <v>180</v>
      </c>
      <c r="D38" s="1" t="s">
        <v>20</v>
      </c>
      <c r="E38" s="1" t="s">
        <v>95</v>
      </c>
      <c r="F38" s="2" t="n">
        <v>554797595855</v>
      </c>
      <c r="G38" s="1" t="s">
        <v>96</v>
      </c>
      <c r="I38" s="1" t="s">
        <v>50</v>
      </c>
      <c r="J38" s="1" t="s">
        <v>97</v>
      </c>
      <c r="K38" s="1" t="s">
        <v>20</v>
      </c>
      <c r="L38" s="1" t="s">
        <v>98</v>
      </c>
      <c r="M38" s="1" t="s">
        <v>99</v>
      </c>
    </row>
    <row r="39" customFormat="false" ht="14.25" hidden="false" customHeight="false" outlineLevel="0" collapsed="false">
      <c r="A39" s="1" t="s">
        <v>17</v>
      </c>
      <c r="B39" s="1" t="s">
        <v>100</v>
      </c>
      <c r="C39" s="2" t="n">
        <v>491</v>
      </c>
      <c r="D39" s="1" t="s">
        <v>22</v>
      </c>
      <c r="E39" s="1" t="s">
        <v>100</v>
      </c>
      <c r="F39" s="2" t="n">
        <v>554184654238</v>
      </c>
      <c r="G39" s="1" t="s">
        <v>101</v>
      </c>
      <c r="I39" s="1" t="s">
        <v>50</v>
      </c>
    </row>
    <row r="40" customFormat="false" ht="14.25" hidden="false" customHeight="false" outlineLevel="0" collapsed="false">
      <c r="A40" s="1" t="s">
        <v>17</v>
      </c>
      <c r="B40" s="1" t="s">
        <v>43</v>
      </c>
      <c r="C40" s="2" t="n">
        <v>180</v>
      </c>
      <c r="D40" s="1" t="s">
        <v>26</v>
      </c>
      <c r="E40" s="1" t="s">
        <v>102</v>
      </c>
      <c r="F40" s="2" t="n">
        <v>5511962142161</v>
      </c>
      <c r="G40" s="1" t="s">
        <v>103</v>
      </c>
      <c r="I40" s="1" t="s">
        <v>54</v>
      </c>
    </row>
    <row r="41" customFormat="false" ht="14.25" hidden="false" customHeight="false" outlineLevel="0" collapsed="false">
      <c r="A41" s="1" t="s">
        <v>17</v>
      </c>
      <c r="B41" s="1" t="s">
        <v>43</v>
      </c>
      <c r="D41" s="1" t="s">
        <v>27</v>
      </c>
      <c r="E41" s="1" t="s">
        <v>104</v>
      </c>
      <c r="F41" s="2" t="n">
        <v>554888124202</v>
      </c>
      <c r="G41" s="1" t="s">
        <v>43</v>
      </c>
      <c r="I41" s="1" t="s">
        <v>50</v>
      </c>
      <c r="J41" s="1" t="s">
        <v>35</v>
      </c>
      <c r="K41" s="1" t="s">
        <v>36</v>
      </c>
      <c r="L41" s="1" t="s">
        <v>37</v>
      </c>
      <c r="M41" s="1" t="s">
        <v>38</v>
      </c>
    </row>
    <row r="42" customFormat="false" ht="14.25" hidden="false" customHeight="false" outlineLevel="0" collapsed="false">
      <c r="A42" s="1" t="s">
        <v>17</v>
      </c>
      <c r="B42" s="1" t="s">
        <v>105</v>
      </c>
      <c r="C42" s="2" t="n">
        <v>500</v>
      </c>
      <c r="D42" s="1" t="s">
        <v>106</v>
      </c>
      <c r="E42" s="1" t="s">
        <v>105</v>
      </c>
      <c r="F42" s="2" t="n">
        <v>5358746935</v>
      </c>
      <c r="G42" s="1" t="s">
        <v>43</v>
      </c>
      <c r="I42" s="1" t="s">
        <v>54</v>
      </c>
      <c r="J42" s="1" t="s">
        <v>107</v>
      </c>
      <c r="M42" s="1" t="s">
        <v>108</v>
      </c>
    </row>
    <row r="43" customFormat="false" ht="14.25" hidden="false" customHeight="false" outlineLevel="0" collapsed="false">
      <c r="A43" s="1" t="s">
        <v>17</v>
      </c>
      <c r="B43" s="1" t="s">
        <v>109</v>
      </c>
      <c r="C43" s="2" t="n">
        <v>90</v>
      </c>
      <c r="D43" s="1" t="s">
        <v>20</v>
      </c>
      <c r="E43" s="1" t="s">
        <v>109</v>
      </c>
      <c r="F43" s="2" t="n">
        <v>559584374439</v>
      </c>
      <c r="G43" s="1" t="s">
        <v>110</v>
      </c>
      <c r="I43" s="1" t="s">
        <v>34</v>
      </c>
    </row>
    <row r="44" customFormat="false" ht="14.25" hidden="false" customHeight="false" outlineLevel="0" collapsed="false">
      <c r="A44" s="1" t="s">
        <v>17</v>
      </c>
      <c r="B44" s="1" t="s">
        <v>111</v>
      </c>
      <c r="C44" s="2" t="n">
        <v>80</v>
      </c>
      <c r="D44" s="1" t="s">
        <v>20</v>
      </c>
      <c r="E44" s="1" t="s">
        <v>111</v>
      </c>
      <c r="F44" s="2" t="n">
        <v>554199701770</v>
      </c>
      <c r="G44" s="1" t="s">
        <v>112</v>
      </c>
      <c r="I44" s="1" t="s">
        <v>50</v>
      </c>
    </row>
    <row r="45" customFormat="false" ht="14.25" hidden="false" customHeight="false" outlineLevel="0" collapsed="false">
      <c r="A45" s="1" t="s">
        <v>17</v>
      </c>
      <c r="B45" s="1" t="s">
        <v>43</v>
      </c>
      <c r="C45" s="2" t="n">
        <v>120</v>
      </c>
      <c r="D45" s="1" t="s">
        <v>21</v>
      </c>
      <c r="E45" s="1" t="s">
        <v>113</v>
      </c>
      <c r="F45" s="2" t="n">
        <v>554999696825</v>
      </c>
      <c r="G45" s="1" t="s">
        <v>43</v>
      </c>
      <c r="I45" s="1" t="s">
        <v>50</v>
      </c>
    </row>
    <row r="46" customFormat="false" ht="14.25" hidden="false" customHeight="false" outlineLevel="0" collapsed="false">
      <c r="A46" s="1" t="s">
        <v>17</v>
      </c>
      <c r="B46" s="1" t="s">
        <v>33</v>
      </c>
      <c r="C46" s="2" t="n">
        <v>180</v>
      </c>
      <c r="D46" s="1" t="s">
        <v>30</v>
      </c>
      <c r="E46" s="1" t="s">
        <v>114</v>
      </c>
      <c r="F46" s="2" t="n">
        <v>559584280929</v>
      </c>
      <c r="G46" s="1" t="s">
        <v>115</v>
      </c>
      <c r="I46" s="1" t="s">
        <v>34</v>
      </c>
    </row>
    <row r="47" customFormat="false" ht="14.25" hidden="false" customHeight="false" outlineLevel="0" collapsed="false">
      <c r="A47" s="1" t="s">
        <v>17</v>
      </c>
      <c r="B47" s="1" t="s">
        <v>116</v>
      </c>
      <c r="C47" s="2" t="n">
        <v>485</v>
      </c>
      <c r="D47" s="1" t="s">
        <v>30</v>
      </c>
      <c r="E47" s="1" t="s">
        <v>117</v>
      </c>
      <c r="F47" s="2" t="n">
        <v>5511945187117</v>
      </c>
      <c r="G47" s="1" t="s">
        <v>118</v>
      </c>
      <c r="I47" s="1" t="s">
        <v>34</v>
      </c>
    </row>
    <row r="48" customFormat="false" ht="14.25" hidden="false" customHeight="false" outlineLevel="0" collapsed="false">
      <c r="A48" s="1" t="s">
        <v>17</v>
      </c>
      <c r="B48" s="1" t="s">
        <v>119</v>
      </c>
      <c r="C48" s="2" t="n">
        <v>90</v>
      </c>
      <c r="D48" s="1" t="s">
        <v>16</v>
      </c>
      <c r="E48" s="1" t="s">
        <v>119</v>
      </c>
      <c r="F48" s="2" t="n">
        <v>5595984143873</v>
      </c>
      <c r="G48" s="1" t="s">
        <v>120</v>
      </c>
      <c r="I48" s="1" t="s">
        <v>34</v>
      </c>
    </row>
    <row r="49" customFormat="false" ht="14.25" hidden="false" customHeight="false" outlineLevel="0" collapsed="false">
      <c r="A49" s="1" t="s">
        <v>17</v>
      </c>
      <c r="B49" s="1" t="s">
        <v>121</v>
      </c>
      <c r="C49" s="2" t="n">
        <v>90</v>
      </c>
      <c r="D49" s="1" t="s">
        <v>30</v>
      </c>
      <c r="E49" s="1" t="s">
        <v>121</v>
      </c>
      <c r="F49" s="2" t="n">
        <v>5511920569001</v>
      </c>
      <c r="G49" s="1" t="s">
        <v>122</v>
      </c>
      <c r="I49" s="1" t="s">
        <v>54</v>
      </c>
    </row>
    <row r="50" customFormat="false" ht="14.25" hidden="false" customHeight="false" outlineLevel="0" collapsed="false">
      <c r="A50" s="1" t="s">
        <v>17</v>
      </c>
      <c r="B50" s="1" t="s">
        <v>123</v>
      </c>
      <c r="C50" s="2" t="n">
        <v>300</v>
      </c>
      <c r="D50" s="1" t="s">
        <v>24</v>
      </c>
      <c r="E50" s="1" t="s">
        <v>123</v>
      </c>
      <c r="F50" s="2" t="n">
        <v>5511915444004</v>
      </c>
      <c r="G50" s="1" t="s">
        <v>124</v>
      </c>
      <c r="I50" s="1" t="s">
        <v>50</v>
      </c>
    </row>
    <row r="51" customFormat="false" ht="14.25" hidden="false" customHeight="false" outlineLevel="0" collapsed="false">
      <c r="A51" s="1" t="s">
        <v>17</v>
      </c>
      <c r="B51" s="1" t="s">
        <v>125</v>
      </c>
      <c r="C51" s="2" t="n">
        <v>180</v>
      </c>
      <c r="D51" s="1" t="s">
        <v>16</v>
      </c>
      <c r="E51" s="1" t="s">
        <v>125</v>
      </c>
      <c r="F51" s="2" t="n">
        <v>558699496132</v>
      </c>
      <c r="G51" s="1" t="s">
        <v>126</v>
      </c>
      <c r="I51" s="1" t="s">
        <v>34</v>
      </c>
    </row>
    <row r="52" customFormat="false" ht="14.25" hidden="false" customHeight="false" outlineLevel="0" collapsed="false">
      <c r="A52" s="1" t="s">
        <v>17</v>
      </c>
      <c r="B52" s="1" t="s">
        <v>127</v>
      </c>
      <c r="C52" s="2" t="n">
        <v>90</v>
      </c>
      <c r="D52" s="1" t="s">
        <v>20</v>
      </c>
      <c r="E52" s="1" t="s">
        <v>127</v>
      </c>
      <c r="F52" s="2" t="n">
        <v>557499429575</v>
      </c>
      <c r="G52" s="1" t="s">
        <v>128</v>
      </c>
      <c r="I52" s="1" t="s">
        <v>50</v>
      </c>
    </row>
    <row r="53" customFormat="false" ht="14.25" hidden="false" customHeight="false" outlineLevel="0" collapsed="false">
      <c r="A53" s="1" t="s">
        <v>17</v>
      </c>
      <c r="B53" s="1" t="s">
        <v>129</v>
      </c>
      <c r="C53" s="2" t="n">
        <v>150</v>
      </c>
      <c r="D53" s="1" t="s">
        <v>32</v>
      </c>
      <c r="E53" s="1" t="s">
        <v>129</v>
      </c>
      <c r="F53" s="2" t="n">
        <v>554199713028</v>
      </c>
      <c r="G53" s="1" t="s">
        <v>43</v>
      </c>
      <c r="I53" s="1" t="s">
        <v>50</v>
      </c>
    </row>
    <row r="54" customFormat="false" ht="14.25" hidden="false" customHeight="false" outlineLevel="0" collapsed="false">
      <c r="A54" s="1" t="s">
        <v>17</v>
      </c>
      <c r="B54" s="1" t="s">
        <v>130</v>
      </c>
      <c r="C54" s="2" t="n">
        <v>147</v>
      </c>
      <c r="D54" s="1" t="s">
        <v>22</v>
      </c>
      <c r="E54" s="1" t="s">
        <v>130</v>
      </c>
      <c r="F54" s="2" t="n">
        <v>5519998932978</v>
      </c>
      <c r="G54" s="1" t="s">
        <v>131</v>
      </c>
      <c r="I54" s="1" t="s">
        <v>50</v>
      </c>
    </row>
    <row r="55" customFormat="false" ht="14.25" hidden="false" customHeight="false" outlineLevel="0" collapsed="false">
      <c r="A55" s="1" t="s">
        <v>17</v>
      </c>
      <c r="C55" s="2" t="n">
        <v>80</v>
      </c>
      <c r="D55" s="1" t="s">
        <v>20</v>
      </c>
      <c r="E55" s="1" t="s">
        <v>132</v>
      </c>
      <c r="F55" s="2" t="n">
        <v>559591119749</v>
      </c>
      <c r="G55" s="1" t="s">
        <v>133</v>
      </c>
      <c r="I55" s="1" t="s">
        <v>34</v>
      </c>
    </row>
    <row r="56" customFormat="false" ht="14.25" hidden="false" customHeight="false" outlineLevel="0" collapsed="false">
      <c r="A56" s="1" t="s">
        <v>17</v>
      </c>
      <c r="B56" s="1" t="s">
        <v>134</v>
      </c>
      <c r="C56" s="2" t="n">
        <v>150</v>
      </c>
      <c r="D56" s="1" t="s">
        <v>30</v>
      </c>
      <c r="E56" s="1" t="s">
        <v>135</v>
      </c>
      <c r="F56" s="2" t="n">
        <v>554184708349</v>
      </c>
      <c r="G56" s="1" t="s">
        <v>136</v>
      </c>
      <c r="H56" s="1" t="s">
        <v>94</v>
      </c>
      <c r="I56" s="1" t="s">
        <v>50</v>
      </c>
    </row>
    <row r="57" customFormat="false" ht="14.25" hidden="false" customHeight="false" outlineLevel="0" collapsed="false">
      <c r="A57" s="1" t="s">
        <v>17</v>
      </c>
      <c r="B57" s="1" t="s">
        <v>137</v>
      </c>
      <c r="C57" s="2" t="n">
        <v>194</v>
      </c>
      <c r="D57" s="1" t="s">
        <v>30</v>
      </c>
      <c r="E57" s="1" t="s">
        <v>137</v>
      </c>
      <c r="F57" s="2" t="n">
        <v>555499481372</v>
      </c>
      <c r="G57" s="1" t="s">
        <v>138</v>
      </c>
      <c r="I57" s="1" t="s">
        <v>34</v>
      </c>
    </row>
    <row r="58" customFormat="false" ht="14.25" hidden="false" customHeight="false" outlineLevel="0" collapsed="false">
      <c r="A58" s="1" t="s">
        <v>17</v>
      </c>
      <c r="B58" s="1" t="s">
        <v>43</v>
      </c>
      <c r="C58" s="2" t="n">
        <v>60</v>
      </c>
      <c r="D58" s="1" t="s">
        <v>25</v>
      </c>
      <c r="E58" s="1" t="s">
        <v>139</v>
      </c>
      <c r="F58" s="2" t="n">
        <v>557996814334</v>
      </c>
      <c r="G58" s="1" t="s">
        <v>43</v>
      </c>
      <c r="I58" s="1" t="s">
        <v>50</v>
      </c>
    </row>
    <row r="59" customFormat="false" ht="14.25" hidden="false" customHeight="false" outlineLevel="0" collapsed="false">
      <c r="A59" s="1" t="s">
        <v>17</v>
      </c>
      <c r="B59" s="1" t="s">
        <v>140</v>
      </c>
      <c r="C59" s="2" t="n">
        <v>150</v>
      </c>
      <c r="D59" s="1" t="s">
        <v>32</v>
      </c>
      <c r="E59" s="1" t="s">
        <v>141</v>
      </c>
      <c r="F59" s="2" t="n">
        <v>5512997624936</v>
      </c>
      <c r="G59" s="1" t="s">
        <v>142</v>
      </c>
      <c r="I59" s="1" t="s">
        <v>54</v>
      </c>
    </row>
    <row r="60" customFormat="false" ht="14.25" hidden="false" customHeight="false" outlineLevel="0" collapsed="false">
      <c r="A60" s="1" t="s">
        <v>17</v>
      </c>
      <c r="B60" s="1" t="s">
        <v>143</v>
      </c>
      <c r="C60" s="2" t="n">
        <v>250</v>
      </c>
      <c r="D60" s="1" t="s">
        <v>106</v>
      </c>
      <c r="E60" s="1" t="s">
        <v>143</v>
      </c>
      <c r="F60" s="2" t="n">
        <v>5519989668621</v>
      </c>
      <c r="G60" s="1" t="s">
        <v>144</v>
      </c>
      <c r="I60" s="1" t="s">
        <v>50</v>
      </c>
    </row>
    <row r="61" customFormat="false" ht="14.25" hidden="false" customHeight="false" outlineLevel="0" collapsed="false">
      <c r="A61" s="1" t="s">
        <v>17</v>
      </c>
      <c r="B61" s="1" t="s">
        <v>145</v>
      </c>
      <c r="C61" s="2" t="n">
        <v>80</v>
      </c>
      <c r="D61" s="1" t="s">
        <v>20</v>
      </c>
      <c r="E61" s="1" t="s">
        <v>145</v>
      </c>
      <c r="F61" s="2" t="n">
        <v>559591119749</v>
      </c>
      <c r="G61" s="1" t="s">
        <v>133</v>
      </c>
      <c r="I61" s="1" t="s">
        <v>34</v>
      </c>
    </row>
    <row r="62" customFormat="false" ht="14.25" hidden="false" customHeight="false" outlineLevel="0" collapsed="false">
      <c r="A62" s="1" t="s">
        <v>17</v>
      </c>
      <c r="B62" s="1" t="s">
        <v>146</v>
      </c>
      <c r="C62" s="2" t="n">
        <v>80</v>
      </c>
      <c r="D62" s="1" t="s">
        <v>16</v>
      </c>
      <c r="E62" s="1" t="s">
        <v>147</v>
      </c>
      <c r="F62" s="2" t="n">
        <v>5511958059266</v>
      </c>
      <c r="G62" s="1" t="s">
        <v>148</v>
      </c>
      <c r="I62" s="1" t="s">
        <v>149</v>
      </c>
    </row>
    <row r="63" customFormat="false" ht="14.25" hidden="false" customHeight="false" outlineLevel="0" collapsed="false">
      <c r="A63" s="1" t="s">
        <v>17</v>
      </c>
      <c r="B63" s="1" t="s">
        <v>150</v>
      </c>
      <c r="C63" s="2" t="n">
        <v>80</v>
      </c>
      <c r="D63" s="1" t="s">
        <v>20</v>
      </c>
      <c r="E63" s="1" t="s">
        <v>150</v>
      </c>
      <c r="F63" s="2" t="n">
        <v>5513996062412</v>
      </c>
      <c r="G63" s="1" t="s">
        <v>45</v>
      </c>
      <c r="I63" s="1" t="s">
        <v>34</v>
      </c>
    </row>
    <row r="64" customFormat="false" ht="14.25" hidden="false" customHeight="false" outlineLevel="0" collapsed="false">
      <c r="A64" s="1" t="s">
        <v>17</v>
      </c>
      <c r="B64" s="1" t="s">
        <v>151</v>
      </c>
      <c r="C64" s="2" t="n">
        <v>320</v>
      </c>
      <c r="D64" s="1" t="s">
        <v>16</v>
      </c>
      <c r="E64" s="1" t="s">
        <v>152</v>
      </c>
      <c r="F64" s="2" t="n">
        <v>5358849134</v>
      </c>
      <c r="G64" s="1" t="s">
        <v>33</v>
      </c>
      <c r="I64" s="1" t="s">
        <v>34</v>
      </c>
    </row>
    <row r="65" customFormat="false" ht="14.25" hidden="false" customHeight="false" outlineLevel="0" collapsed="false">
      <c r="A65" s="1" t="s">
        <v>17</v>
      </c>
      <c r="C65" s="2" t="n">
        <v>1000</v>
      </c>
      <c r="D65" s="1" t="s">
        <v>106</v>
      </c>
      <c r="E65" s="1" t="s">
        <v>105</v>
      </c>
      <c r="F65" s="2" t="n">
        <v>5358746935</v>
      </c>
      <c r="G65" s="1" t="s">
        <v>153</v>
      </c>
    </row>
    <row r="66" customFormat="false" ht="14.25" hidden="false" customHeight="false" outlineLevel="0" collapsed="false">
      <c r="A66" s="1" t="s">
        <v>17</v>
      </c>
      <c r="B66" s="1" t="s">
        <v>43</v>
      </c>
      <c r="C66" s="2" t="n">
        <v>180</v>
      </c>
      <c r="D66" s="1" t="s">
        <v>26</v>
      </c>
      <c r="E66" s="1" t="s">
        <v>102</v>
      </c>
      <c r="F66" s="2" t="n">
        <v>5511962142161</v>
      </c>
      <c r="G66" s="1" t="s">
        <v>103</v>
      </c>
      <c r="I66" s="1" t="s">
        <v>54</v>
      </c>
    </row>
    <row r="67" customFormat="false" ht="14.25" hidden="false" customHeight="false" outlineLevel="0" collapsed="false">
      <c r="A67" s="1" t="s">
        <v>17</v>
      </c>
      <c r="C67" s="2" t="n">
        <v>284.51</v>
      </c>
      <c r="D67" s="1" t="s">
        <v>20</v>
      </c>
      <c r="E67" s="1" t="s">
        <v>154</v>
      </c>
      <c r="F67" s="2" t="n">
        <v>5548991753053</v>
      </c>
      <c r="G67" s="1" t="s">
        <v>155</v>
      </c>
    </row>
    <row r="68" customFormat="false" ht="14.25" hidden="false" customHeight="false" outlineLevel="0" collapsed="false">
      <c r="A68" s="1" t="s">
        <v>17</v>
      </c>
      <c r="B68" s="1" t="s">
        <v>156</v>
      </c>
      <c r="C68" s="2" t="n">
        <v>180</v>
      </c>
      <c r="D68" s="1" t="s">
        <v>16</v>
      </c>
      <c r="E68" s="1" t="s">
        <v>156</v>
      </c>
      <c r="F68" s="2" t="n">
        <v>5352428007</v>
      </c>
      <c r="G68" s="1" t="s">
        <v>157</v>
      </c>
      <c r="I68" s="1" t="s">
        <v>54</v>
      </c>
    </row>
    <row r="69" customFormat="false" ht="14.25" hidden="false" customHeight="false" outlineLevel="0" collapsed="false">
      <c r="A69" s="1" t="s">
        <v>17</v>
      </c>
      <c r="B69" s="1" t="s">
        <v>158</v>
      </c>
      <c r="C69" s="2" t="n">
        <v>100</v>
      </c>
      <c r="D69" s="1" t="s">
        <v>28</v>
      </c>
      <c r="E69" s="1" t="s">
        <v>158</v>
      </c>
      <c r="F69" s="2" t="n">
        <v>5354386217</v>
      </c>
      <c r="G69" s="1" t="s">
        <v>159</v>
      </c>
      <c r="I69" s="1" t="s">
        <v>34</v>
      </c>
    </row>
    <row r="70" customFormat="false" ht="14.25" hidden="false" customHeight="false" outlineLevel="0" collapsed="false">
      <c r="A70" s="1" t="s">
        <v>17</v>
      </c>
      <c r="C70" s="2" t="n">
        <v>1000</v>
      </c>
      <c r="D70" s="1" t="s">
        <v>27</v>
      </c>
      <c r="E70" s="1" t="s">
        <v>160</v>
      </c>
      <c r="F70" s="2" t="n">
        <v>555496188529</v>
      </c>
      <c r="G70" s="1" t="s">
        <v>161</v>
      </c>
      <c r="I70" s="1" t="s">
        <v>149</v>
      </c>
    </row>
    <row r="71" customFormat="false" ht="14.25" hidden="false" customHeight="false" outlineLevel="0" collapsed="false">
      <c r="A71" s="1" t="s">
        <v>17</v>
      </c>
      <c r="B71" s="1" t="s">
        <v>162</v>
      </c>
      <c r="C71" s="2" t="n">
        <v>140</v>
      </c>
      <c r="D71" s="1" t="s">
        <v>32</v>
      </c>
      <c r="E71" s="1" t="s">
        <v>162</v>
      </c>
      <c r="F71" s="2" t="n">
        <v>559584153038</v>
      </c>
      <c r="I71" s="1" t="s">
        <v>149</v>
      </c>
    </row>
    <row r="72" customFormat="false" ht="14.25" hidden="false" customHeight="false" outlineLevel="0" collapsed="false">
      <c r="A72" s="1" t="s">
        <v>17</v>
      </c>
      <c r="C72" s="2" t="n">
        <v>150</v>
      </c>
      <c r="D72" s="1" t="s">
        <v>30</v>
      </c>
      <c r="E72" s="1" t="s">
        <v>163</v>
      </c>
      <c r="F72" s="2" t="n">
        <v>555499593428</v>
      </c>
      <c r="I72" s="1" t="s">
        <v>34</v>
      </c>
    </row>
    <row r="73" customFormat="false" ht="14.25" hidden="false" customHeight="false" outlineLevel="0" collapsed="false">
      <c r="A73" s="1" t="s">
        <v>17</v>
      </c>
      <c r="B73" s="1" t="s">
        <v>164</v>
      </c>
      <c r="C73" s="2" t="n">
        <v>150</v>
      </c>
      <c r="D73" s="1" t="s">
        <v>30</v>
      </c>
      <c r="E73" s="1" t="s">
        <v>164</v>
      </c>
      <c r="F73" s="2" t="n">
        <v>555192219023</v>
      </c>
      <c r="G73" s="1" t="s">
        <v>165</v>
      </c>
      <c r="I73" s="1" t="s">
        <v>50</v>
      </c>
    </row>
    <row r="74" customFormat="false" ht="14.25" hidden="false" customHeight="false" outlineLevel="0" collapsed="false">
      <c r="A74" s="1" t="s">
        <v>17</v>
      </c>
      <c r="B74" s="1" t="s">
        <v>166</v>
      </c>
      <c r="C74" s="2" t="n">
        <v>450</v>
      </c>
      <c r="D74" s="1" t="s">
        <v>21</v>
      </c>
      <c r="E74" s="1" t="s">
        <v>167</v>
      </c>
      <c r="F74" s="2" t="n">
        <v>5595920007750</v>
      </c>
      <c r="G74" s="1" t="s">
        <v>168</v>
      </c>
      <c r="I74" s="1" t="s">
        <v>34</v>
      </c>
    </row>
    <row r="75" customFormat="false" ht="14.25" hidden="false" customHeight="false" outlineLevel="0" collapsed="false">
      <c r="A75" s="1" t="s">
        <v>17</v>
      </c>
      <c r="C75" s="2" t="n">
        <v>150</v>
      </c>
      <c r="D75" s="1" t="s">
        <v>32</v>
      </c>
      <c r="E75" s="1" t="s">
        <v>169</v>
      </c>
      <c r="F75" s="2" t="n">
        <v>554899523485</v>
      </c>
      <c r="G75" s="1" t="s">
        <v>170</v>
      </c>
      <c r="I75" s="1" t="s">
        <v>34</v>
      </c>
    </row>
    <row r="76" customFormat="false" ht="14.25" hidden="false" customHeight="false" outlineLevel="0" collapsed="false">
      <c r="A76" s="1" t="s">
        <v>17</v>
      </c>
      <c r="C76" s="2" t="n">
        <v>1000</v>
      </c>
      <c r="D76" s="1" t="s">
        <v>27</v>
      </c>
      <c r="E76" s="1" t="s">
        <v>171</v>
      </c>
      <c r="F76" s="2" t="n">
        <v>556593121934</v>
      </c>
      <c r="G76" s="1" t="s">
        <v>172</v>
      </c>
      <c r="I76" s="1" t="s">
        <v>34</v>
      </c>
    </row>
    <row r="77" customFormat="false" ht="14.25" hidden="false" customHeight="false" outlineLevel="0" collapsed="false">
      <c r="A77" s="1" t="s">
        <v>17</v>
      </c>
      <c r="C77" s="2" t="n">
        <v>60</v>
      </c>
      <c r="D77" s="1" t="s">
        <v>25</v>
      </c>
      <c r="E77" s="1" t="s">
        <v>173</v>
      </c>
      <c r="F77" s="2" t="n">
        <v>554884760990</v>
      </c>
      <c r="G77" s="1" t="s">
        <v>174</v>
      </c>
      <c r="I77" s="1" t="s">
        <v>34</v>
      </c>
    </row>
    <row r="78" customFormat="false" ht="14.25" hidden="false" customHeight="false" outlineLevel="0" collapsed="false">
      <c r="A78" s="1" t="s">
        <v>17</v>
      </c>
      <c r="B78" s="1" t="s">
        <v>175</v>
      </c>
      <c r="C78" s="2" t="n">
        <v>513</v>
      </c>
      <c r="D78" s="1" t="s">
        <v>18</v>
      </c>
      <c r="E78" s="1" t="s">
        <v>175</v>
      </c>
      <c r="F78" s="2" t="n">
        <v>5527999533616</v>
      </c>
      <c r="G78" s="1" t="s">
        <v>176</v>
      </c>
      <c r="I78" s="1" t="s">
        <v>34</v>
      </c>
    </row>
    <row r="79" customFormat="false" ht="14.25" hidden="false" customHeight="false" outlineLevel="0" collapsed="false">
      <c r="A79" s="1" t="s">
        <v>17</v>
      </c>
      <c r="C79" s="2" t="n">
        <v>150</v>
      </c>
      <c r="D79" s="1" t="s">
        <v>32</v>
      </c>
      <c r="E79" s="1" t="s">
        <v>177</v>
      </c>
      <c r="F79" s="2" t="n">
        <v>554197020243</v>
      </c>
      <c r="G79" s="1" t="s">
        <v>178</v>
      </c>
      <c r="I79" s="1" t="s">
        <v>34</v>
      </c>
    </row>
    <row r="80" customFormat="false" ht="14.25" hidden="false" customHeight="false" outlineLevel="0" collapsed="false">
      <c r="A80" s="1" t="s">
        <v>17</v>
      </c>
      <c r="C80" s="2" t="n">
        <v>485</v>
      </c>
      <c r="D80" s="1" t="s">
        <v>30</v>
      </c>
      <c r="E80" s="1" t="s">
        <v>179</v>
      </c>
      <c r="F80" s="2" t="n">
        <v>555496404223</v>
      </c>
      <c r="G80" s="1" t="s">
        <v>180</v>
      </c>
      <c r="I80" s="1" t="s">
        <v>50</v>
      </c>
    </row>
    <row r="81" customFormat="false" ht="14.25" hidden="false" customHeight="false" outlineLevel="0" collapsed="false">
      <c r="A81" s="1" t="s">
        <v>17</v>
      </c>
      <c r="B81" s="1" t="s">
        <v>181</v>
      </c>
      <c r="C81" s="2" t="n">
        <v>140</v>
      </c>
      <c r="D81" s="1" t="s">
        <v>32</v>
      </c>
      <c r="E81" s="1" t="s">
        <v>181</v>
      </c>
      <c r="F81" s="2" t="n">
        <v>556499427827</v>
      </c>
      <c r="G81" s="1" t="s">
        <v>182</v>
      </c>
      <c r="I81" s="1" t="s">
        <v>50</v>
      </c>
    </row>
    <row r="82" customFormat="false" ht="14.25" hidden="false" customHeight="false" outlineLevel="0" collapsed="false">
      <c r="A82" s="1" t="s">
        <v>17</v>
      </c>
      <c r="B82" s="1" t="s">
        <v>183</v>
      </c>
      <c r="C82" s="2" t="n">
        <v>60</v>
      </c>
      <c r="D82" s="1" t="s">
        <v>25</v>
      </c>
      <c r="E82" s="1" t="s">
        <v>183</v>
      </c>
      <c r="F82" s="2" t="n">
        <v>554991814968</v>
      </c>
      <c r="G82" s="1" t="s">
        <v>184</v>
      </c>
      <c r="I82" s="1" t="s">
        <v>50</v>
      </c>
    </row>
    <row r="83" customFormat="false" ht="14.25" hidden="false" customHeight="false" outlineLevel="0" collapsed="false">
      <c r="A83" s="1" t="s">
        <v>17</v>
      </c>
      <c r="B83" s="1" t="s">
        <v>185</v>
      </c>
      <c r="C83" s="2" t="n">
        <v>150</v>
      </c>
      <c r="D83" s="1" t="s">
        <v>32</v>
      </c>
      <c r="E83" s="1" t="s">
        <v>185</v>
      </c>
      <c r="F83" s="2" t="n">
        <v>556293190449</v>
      </c>
      <c r="G83" s="1" t="s">
        <v>186</v>
      </c>
      <c r="I83" s="1" t="s">
        <v>34</v>
      </c>
    </row>
    <row r="84" customFormat="false" ht="14.25" hidden="false" customHeight="false" outlineLevel="0" collapsed="false">
      <c r="A84" s="1" t="s">
        <v>17</v>
      </c>
      <c r="B84" s="1" t="s">
        <v>187</v>
      </c>
      <c r="C84" s="2" t="n">
        <v>140</v>
      </c>
      <c r="D84" s="1" t="s">
        <v>32</v>
      </c>
      <c r="E84" s="1" t="s">
        <v>187</v>
      </c>
      <c r="F84" s="2" t="n">
        <v>559292295665</v>
      </c>
      <c r="G84" s="1" t="s">
        <v>188</v>
      </c>
      <c r="I84" s="1" t="s">
        <v>34</v>
      </c>
    </row>
    <row r="85" customFormat="false" ht="14.25" hidden="false" customHeight="false" outlineLevel="0" collapsed="false">
      <c r="A85" s="1" t="s">
        <v>17</v>
      </c>
      <c r="B85" s="1" t="s">
        <v>189</v>
      </c>
      <c r="C85" s="2" t="n">
        <v>128</v>
      </c>
      <c r="D85" s="1" t="s">
        <v>21</v>
      </c>
      <c r="E85" s="1" t="s">
        <v>189</v>
      </c>
      <c r="F85" s="2" t="n">
        <v>559584028602</v>
      </c>
      <c r="G85" s="1" t="s">
        <v>190</v>
      </c>
      <c r="I85" s="1" t="s">
        <v>34</v>
      </c>
    </row>
    <row r="86" customFormat="false" ht="14.25" hidden="false" customHeight="false" outlineLevel="0" collapsed="false">
      <c r="A86" s="1" t="s">
        <v>17</v>
      </c>
      <c r="B86" s="1" t="s">
        <v>191</v>
      </c>
      <c r="C86" s="2" t="n">
        <v>150</v>
      </c>
      <c r="D86" s="1" t="s">
        <v>32</v>
      </c>
      <c r="E86" s="1" t="s">
        <v>191</v>
      </c>
      <c r="F86" s="2" t="n">
        <v>5519981147822</v>
      </c>
      <c r="G86" s="1" t="s">
        <v>192</v>
      </c>
      <c r="I86" s="1" t="s">
        <v>34</v>
      </c>
    </row>
    <row r="87" customFormat="false" ht="14.25" hidden="false" customHeight="false" outlineLevel="0" collapsed="false">
      <c r="A87" s="1" t="s">
        <v>17</v>
      </c>
      <c r="B87" s="1" t="s">
        <v>193</v>
      </c>
      <c r="C87" s="2" t="n">
        <v>450</v>
      </c>
      <c r="D87" s="1" t="s">
        <v>30</v>
      </c>
      <c r="E87" s="1" t="s">
        <v>194</v>
      </c>
      <c r="F87" s="2" t="n">
        <v>559584033434</v>
      </c>
      <c r="G87" s="1" t="s">
        <v>195</v>
      </c>
      <c r="I87" s="1" t="s">
        <v>34</v>
      </c>
    </row>
    <row r="88" customFormat="false" ht="14.25" hidden="false" customHeight="false" outlineLevel="0" collapsed="false">
      <c r="A88" s="1" t="s">
        <v>17</v>
      </c>
      <c r="B88" s="1" t="s">
        <v>196</v>
      </c>
      <c r="C88" s="2" t="n">
        <v>200</v>
      </c>
      <c r="D88" s="1" t="s">
        <v>20</v>
      </c>
      <c r="E88" s="1" t="s">
        <v>196</v>
      </c>
      <c r="F88" s="2" t="n">
        <v>556291727502</v>
      </c>
      <c r="G88" s="1" t="s">
        <v>197</v>
      </c>
      <c r="I88" s="1" t="s">
        <v>50</v>
      </c>
    </row>
    <row r="89" customFormat="false" ht="14.25" hidden="false" customHeight="false" outlineLevel="0" collapsed="false">
      <c r="A89" s="1" t="s">
        <v>17</v>
      </c>
      <c r="B89" s="1" t="s">
        <v>198</v>
      </c>
      <c r="C89" s="2" t="n">
        <v>90</v>
      </c>
      <c r="D89" s="1" t="s">
        <v>20</v>
      </c>
      <c r="E89" s="1" t="s">
        <v>198</v>
      </c>
      <c r="F89" s="2" t="n">
        <v>554399109161</v>
      </c>
      <c r="G89" s="1" t="s">
        <v>199</v>
      </c>
      <c r="I89" s="1" t="s">
        <v>54</v>
      </c>
    </row>
    <row r="90" customFormat="false" ht="14.25" hidden="false" customHeight="false" outlineLevel="0" collapsed="false">
      <c r="A90" s="1" t="s">
        <v>17</v>
      </c>
      <c r="B90" s="1" t="s">
        <v>200</v>
      </c>
      <c r="C90" s="2" t="n">
        <v>200</v>
      </c>
      <c r="D90" s="1" t="s">
        <v>23</v>
      </c>
      <c r="E90" s="1" t="s">
        <v>200</v>
      </c>
      <c r="F90" s="2" t="n">
        <v>554891043169</v>
      </c>
      <c r="G90" s="1" t="s">
        <v>201</v>
      </c>
      <c r="I90" s="1" t="s">
        <v>50</v>
      </c>
    </row>
    <row r="91" customFormat="false" ht="14.25" hidden="false" customHeight="false" outlineLevel="0" collapsed="false">
      <c r="A91" s="1" t="s">
        <v>17</v>
      </c>
      <c r="B91" s="1" t="s">
        <v>202</v>
      </c>
      <c r="C91" s="2" t="n">
        <v>450</v>
      </c>
      <c r="D91" s="1" t="s">
        <v>30</v>
      </c>
      <c r="E91" s="1" t="s">
        <v>203</v>
      </c>
      <c r="F91" s="2" t="n">
        <v>559584033434</v>
      </c>
      <c r="G91" s="1" t="s">
        <v>195</v>
      </c>
      <c r="I91" s="1" t="s">
        <v>34</v>
      </c>
    </row>
    <row r="92" customFormat="false" ht="14.25" hidden="false" customHeight="false" outlineLevel="0" collapsed="false">
      <c r="A92" s="1" t="s">
        <v>17</v>
      </c>
      <c r="B92" s="1" t="s">
        <v>204</v>
      </c>
      <c r="C92" s="2" t="n">
        <v>200</v>
      </c>
      <c r="D92" s="1" t="s">
        <v>20</v>
      </c>
      <c r="E92" s="1" t="s">
        <v>196</v>
      </c>
      <c r="F92" s="2" t="n">
        <v>556291727502</v>
      </c>
      <c r="G92" s="1" t="s">
        <v>197</v>
      </c>
      <c r="I92" s="1" t="s">
        <v>50</v>
      </c>
    </row>
    <row r="93" customFormat="false" ht="14.25" hidden="false" customHeight="false" outlineLevel="0" collapsed="false">
      <c r="A93" s="1" t="s">
        <v>17</v>
      </c>
      <c r="B93" s="1" t="s">
        <v>205</v>
      </c>
      <c r="C93" s="2" t="n">
        <v>150</v>
      </c>
      <c r="D93" s="1" t="s">
        <v>32</v>
      </c>
      <c r="E93" s="1" t="s">
        <v>205</v>
      </c>
      <c r="F93" s="2" t="n">
        <v>5511972143364</v>
      </c>
      <c r="G93" s="1" t="s">
        <v>206</v>
      </c>
      <c r="I93" s="1" t="s">
        <v>34</v>
      </c>
    </row>
    <row r="94" customFormat="false" ht="14.25" hidden="false" customHeight="false" outlineLevel="0" collapsed="false">
      <c r="A94" s="1" t="s">
        <v>17</v>
      </c>
      <c r="B94" s="1" t="s">
        <v>207</v>
      </c>
      <c r="C94" s="2" t="n">
        <v>150</v>
      </c>
      <c r="D94" s="1" t="s">
        <v>32</v>
      </c>
      <c r="E94" s="1" t="s">
        <v>207</v>
      </c>
      <c r="F94" s="2" t="n">
        <v>559684226988</v>
      </c>
      <c r="G94" s="1" t="s">
        <v>208</v>
      </c>
      <c r="I94" s="1" t="s">
        <v>34</v>
      </c>
    </row>
    <row r="95" customFormat="false" ht="14.25" hidden="false" customHeight="false" outlineLevel="0" collapsed="false">
      <c r="A95" s="1" t="s">
        <v>17</v>
      </c>
      <c r="B95" s="1" t="s">
        <v>207</v>
      </c>
      <c r="C95" s="2" t="n">
        <v>150</v>
      </c>
      <c r="D95" s="1" t="s">
        <v>29</v>
      </c>
      <c r="E95" s="1" t="s">
        <v>207</v>
      </c>
      <c r="F95" s="2" t="n">
        <v>559684226988</v>
      </c>
      <c r="G95" s="1" t="s">
        <v>208</v>
      </c>
      <c r="I95" s="1" t="s">
        <v>34</v>
      </c>
    </row>
    <row r="96" customFormat="false" ht="14.25" hidden="false" customHeight="false" outlineLevel="0" collapsed="false">
      <c r="A96" s="1" t="s">
        <v>17</v>
      </c>
      <c r="B96" s="1" t="s">
        <v>209</v>
      </c>
      <c r="C96" s="2" t="n">
        <v>360</v>
      </c>
      <c r="D96" s="1" t="s">
        <v>30</v>
      </c>
      <c r="E96" s="1" t="s">
        <v>210</v>
      </c>
      <c r="F96" s="2" t="n">
        <v>559584098028</v>
      </c>
      <c r="G96" s="1" t="s">
        <v>211</v>
      </c>
      <c r="I96" s="1" t="s">
        <v>34</v>
      </c>
      <c r="J96" s="1" t="s">
        <v>35</v>
      </c>
      <c r="K96" s="1" t="s">
        <v>69</v>
      </c>
      <c r="L96" s="1" t="s">
        <v>70</v>
      </c>
      <c r="M96" s="1" t="s">
        <v>38</v>
      </c>
    </row>
    <row r="97" customFormat="false" ht="14.25" hidden="false" customHeight="false" outlineLevel="0" collapsed="false">
      <c r="A97" s="1" t="s">
        <v>17</v>
      </c>
      <c r="B97" s="1" t="s">
        <v>212</v>
      </c>
      <c r="C97" s="2" t="n">
        <v>150</v>
      </c>
      <c r="D97" s="1" t="s">
        <v>32</v>
      </c>
      <c r="E97" s="1" t="s">
        <v>212</v>
      </c>
      <c r="F97" s="2" t="n">
        <v>554884400484</v>
      </c>
      <c r="G97" s="1" t="s">
        <v>213</v>
      </c>
      <c r="I97" s="1" t="s">
        <v>50</v>
      </c>
    </row>
    <row r="98" customFormat="false" ht="14.25" hidden="false" customHeight="false" outlineLevel="0" collapsed="false">
      <c r="A98" s="1" t="s">
        <v>17</v>
      </c>
      <c r="B98" s="1" t="s">
        <v>214</v>
      </c>
      <c r="C98" s="2" t="n">
        <v>160</v>
      </c>
      <c r="D98" s="1" t="s">
        <v>20</v>
      </c>
      <c r="E98" s="1" t="s">
        <v>214</v>
      </c>
      <c r="F98" s="2" t="n">
        <v>5595920012313</v>
      </c>
      <c r="G98" s="1" t="s">
        <v>215</v>
      </c>
      <c r="I98" s="1" t="s">
        <v>34</v>
      </c>
      <c r="J98" s="1" t="s">
        <v>97</v>
      </c>
      <c r="K98" s="1" t="s">
        <v>20</v>
      </c>
      <c r="L98" s="1" t="s">
        <v>216</v>
      </c>
      <c r="M98" s="1" t="s">
        <v>99</v>
      </c>
    </row>
    <row r="99" customFormat="false" ht="14.25" hidden="false" customHeight="false" outlineLevel="0" collapsed="false">
      <c r="A99" s="1" t="s">
        <v>17</v>
      </c>
      <c r="B99" s="1" t="s">
        <v>217</v>
      </c>
      <c r="C99" s="2" t="n">
        <v>150</v>
      </c>
      <c r="D99" s="1" t="s">
        <v>32</v>
      </c>
      <c r="E99" s="1" t="s">
        <v>217</v>
      </c>
      <c r="F99" s="2" t="n">
        <v>559584217378</v>
      </c>
      <c r="G99" s="1" t="s">
        <v>218</v>
      </c>
      <c r="I99" s="1" t="s">
        <v>54</v>
      </c>
    </row>
    <row r="100" customFormat="false" ht="14.25" hidden="false" customHeight="false" outlineLevel="0" collapsed="false">
      <c r="A100" s="1" t="s">
        <v>17</v>
      </c>
      <c r="B100" s="1" t="s">
        <v>219</v>
      </c>
      <c r="C100" s="2" t="n">
        <v>90</v>
      </c>
      <c r="D100" s="1" t="s">
        <v>20</v>
      </c>
      <c r="E100" s="1" t="s">
        <v>219</v>
      </c>
      <c r="F100" s="2" t="n">
        <v>556291953437</v>
      </c>
      <c r="G100" s="1" t="s">
        <v>220</v>
      </c>
      <c r="I100" s="1" t="s">
        <v>54</v>
      </c>
      <c r="J100" s="1" t="s">
        <v>60</v>
      </c>
      <c r="K100" s="1" t="s">
        <v>27</v>
      </c>
      <c r="L100" s="1" t="s">
        <v>221</v>
      </c>
      <c r="M100" s="1" t="s">
        <v>62</v>
      </c>
    </row>
    <row r="101" customFormat="false" ht="14.25" hidden="false" customHeight="false" outlineLevel="0" collapsed="false">
      <c r="A101" s="1" t="s">
        <v>17</v>
      </c>
      <c r="B101" s="1" t="s">
        <v>222</v>
      </c>
      <c r="C101" s="2" t="n">
        <v>97</v>
      </c>
      <c r="D101" s="1" t="s">
        <v>30</v>
      </c>
      <c r="E101" s="1" t="s">
        <v>223</v>
      </c>
      <c r="F101" s="2" t="n">
        <v>555491573911</v>
      </c>
      <c r="G101" s="1" t="s">
        <v>224</v>
      </c>
      <c r="I101" s="1" t="s">
        <v>34</v>
      </c>
    </row>
    <row r="102" customFormat="false" ht="14.25" hidden="false" customHeight="false" outlineLevel="0" collapsed="false">
      <c r="A102" s="1" t="s">
        <v>17</v>
      </c>
      <c r="B102" s="1" t="s">
        <v>225</v>
      </c>
      <c r="C102" s="2" t="n">
        <v>150</v>
      </c>
      <c r="D102" s="1" t="s">
        <v>32</v>
      </c>
      <c r="E102" s="1" t="s">
        <v>225</v>
      </c>
      <c r="F102" s="2" t="n">
        <v>5511981103520</v>
      </c>
      <c r="G102" s="1" t="s">
        <v>226</v>
      </c>
      <c r="I102" s="1" t="s">
        <v>34</v>
      </c>
    </row>
    <row r="103" customFormat="false" ht="14.25" hidden="false" customHeight="false" outlineLevel="0" collapsed="false">
      <c r="A103" s="1" t="s">
        <v>17</v>
      </c>
      <c r="B103" s="1" t="s">
        <v>227</v>
      </c>
      <c r="C103" s="2" t="n">
        <v>90</v>
      </c>
      <c r="D103" s="1" t="s">
        <v>20</v>
      </c>
      <c r="E103" s="1" t="s">
        <v>228</v>
      </c>
      <c r="F103" s="2" t="n">
        <v>559584224624</v>
      </c>
      <c r="G103" s="1" t="s">
        <v>229</v>
      </c>
      <c r="I103" s="1" t="s">
        <v>34</v>
      </c>
      <c r="J103" s="1" t="s">
        <v>97</v>
      </c>
      <c r="K103" s="1" t="s">
        <v>20</v>
      </c>
      <c r="L103" s="1" t="s">
        <v>230</v>
      </c>
      <c r="M103" s="1" t="s">
        <v>99</v>
      </c>
    </row>
    <row r="104" customFormat="false" ht="14.25" hidden="false" customHeight="false" outlineLevel="0" collapsed="false">
      <c r="A104" s="1" t="s">
        <v>17</v>
      </c>
      <c r="B104" s="1" t="s">
        <v>92</v>
      </c>
      <c r="C104" s="2" t="n">
        <v>150</v>
      </c>
      <c r="D104" s="1" t="s">
        <v>32</v>
      </c>
      <c r="E104" s="1" t="s">
        <v>231</v>
      </c>
      <c r="F104" s="2" t="n">
        <v>559581218465</v>
      </c>
      <c r="G104" s="1" t="s">
        <v>93</v>
      </c>
      <c r="H104" s="1" t="s">
        <v>94</v>
      </c>
      <c r="I104" s="1" t="s">
        <v>34</v>
      </c>
    </row>
    <row r="105" customFormat="false" ht="14.25" hidden="false" customHeight="false" outlineLevel="0" collapsed="false">
      <c r="A105" s="1" t="s">
        <v>17</v>
      </c>
      <c r="B105" s="1" t="s">
        <v>232</v>
      </c>
      <c r="C105" s="2" t="n">
        <v>150</v>
      </c>
      <c r="D105" s="1" t="s">
        <v>32</v>
      </c>
      <c r="E105" s="1" t="s">
        <v>233</v>
      </c>
      <c r="F105" s="2" t="n">
        <v>554888710492</v>
      </c>
      <c r="G105" s="1" t="s">
        <v>234</v>
      </c>
      <c r="I105" s="1" t="s">
        <v>50</v>
      </c>
      <c r="J105" s="1" t="s">
        <v>35</v>
      </c>
      <c r="K105" s="1" t="s">
        <v>36</v>
      </c>
      <c r="L105" s="1" t="s">
        <v>37</v>
      </c>
      <c r="M105" s="1" t="s">
        <v>38</v>
      </c>
    </row>
    <row r="106" customFormat="false" ht="14.25" hidden="false" customHeight="false" outlineLevel="0" collapsed="false">
      <c r="A106" s="1" t="s">
        <v>17</v>
      </c>
      <c r="B106" s="1" t="s">
        <v>235</v>
      </c>
      <c r="C106" s="2" t="n">
        <v>150</v>
      </c>
      <c r="D106" s="1" t="s">
        <v>32</v>
      </c>
      <c r="E106" s="1" t="s">
        <v>235</v>
      </c>
      <c r="F106" s="2" t="n">
        <v>559584069889</v>
      </c>
      <c r="G106" s="1" t="s">
        <v>236</v>
      </c>
      <c r="I106" s="1" t="s">
        <v>34</v>
      </c>
    </row>
    <row r="107" customFormat="false" ht="14.25" hidden="false" customHeight="false" outlineLevel="0" collapsed="false">
      <c r="A107" s="1" t="s">
        <v>17</v>
      </c>
      <c r="B107" s="1" t="s">
        <v>237</v>
      </c>
      <c r="C107" s="2" t="n">
        <v>80</v>
      </c>
      <c r="D107" s="1" t="s">
        <v>20</v>
      </c>
      <c r="E107" s="1" t="s">
        <v>238</v>
      </c>
      <c r="F107" s="2" t="n">
        <v>554892223404</v>
      </c>
      <c r="G107" s="1" t="s">
        <v>239</v>
      </c>
      <c r="I107" s="1" t="s">
        <v>34</v>
      </c>
    </row>
    <row r="108" customFormat="false" ht="14.25" hidden="false" customHeight="false" outlineLevel="0" collapsed="false">
      <c r="A108" s="1" t="s">
        <v>17</v>
      </c>
      <c r="B108" s="1" t="s">
        <v>240</v>
      </c>
      <c r="C108" s="2" t="n">
        <v>150</v>
      </c>
      <c r="D108" s="1" t="s">
        <v>32</v>
      </c>
      <c r="E108" s="1" t="s">
        <v>241</v>
      </c>
      <c r="F108" s="2" t="n">
        <v>559591699534</v>
      </c>
      <c r="G108" s="1" t="s">
        <v>242</v>
      </c>
      <c r="I108" s="1" t="s">
        <v>34</v>
      </c>
    </row>
    <row r="109" customFormat="false" ht="14.25" hidden="false" customHeight="false" outlineLevel="0" collapsed="false">
      <c r="A109" s="1" t="s">
        <v>17</v>
      </c>
      <c r="B109" s="1" t="s">
        <v>243</v>
      </c>
      <c r="C109" s="2" t="n">
        <v>150</v>
      </c>
      <c r="D109" s="1" t="s">
        <v>29</v>
      </c>
      <c r="E109" s="1" t="s">
        <v>243</v>
      </c>
      <c r="F109" s="2" t="n">
        <v>553591616260</v>
      </c>
      <c r="G109" s="1" t="s">
        <v>244</v>
      </c>
      <c r="I109" s="1" t="s">
        <v>54</v>
      </c>
    </row>
    <row r="110" customFormat="false" ht="14.25" hidden="false" customHeight="false" outlineLevel="0" collapsed="false">
      <c r="A110" s="1" t="s">
        <v>17</v>
      </c>
      <c r="B110" s="1" t="s">
        <v>245</v>
      </c>
      <c r="C110" s="2" t="n">
        <v>150</v>
      </c>
      <c r="D110" s="1" t="s">
        <v>32</v>
      </c>
      <c r="E110" s="1" t="s">
        <v>245</v>
      </c>
      <c r="F110" s="2" t="n">
        <v>554892221060</v>
      </c>
      <c r="G110" s="1" t="s">
        <v>246</v>
      </c>
      <c r="I110" s="1" t="s">
        <v>34</v>
      </c>
    </row>
    <row r="111" customFormat="false" ht="14.25" hidden="false" customHeight="false" outlineLevel="0" collapsed="false">
      <c r="A111" s="1" t="s">
        <v>17</v>
      </c>
      <c r="B111" s="1" t="s">
        <v>247</v>
      </c>
      <c r="C111" s="2" t="n">
        <v>150</v>
      </c>
      <c r="D111" s="1" t="s">
        <v>32</v>
      </c>
      <c r="E111" s="1" t="s">
        <v>247</v>
      </c>
      <c r="F111" s="2" t="n">
        <v>554195677826</v>
      </c>
      <c r="G111" s="1" t="s">
        <v>242</v>
      </c>
      <c r="I111" s="1" t="s">
        <v>34</v>
      </c>
    </row>
    <row r="112" customFormat="false" ht="14.25" hidden="false" customHeight="false" outlineLevel="0" collapsed="false">
      <c r="A112" s="1" t="s">
        <v>17</v>
      </c>
      <c r="B112" s="1" t="s">
        <v>248</v>
      </c>
      <c r="C112" s="2" t="n">
        <v>147</v>
      </c>
      <c r="D112" s="1" t="s">
        <v>18</v>
      </c>
      <c r="E112" s="1" t="s">
        <v>248</v>
      </c>
      <c r="F112" s="2" t="n">
        <v>5511976465945</v>
      </c>
      <c r="G112" s="1" t="s">
        <v>249</v>
      </c>
      <c r="I112" s="1" t="s">
        <v>50</v>
      </c>
    </row>
    <row r="113" customFormat="false" ht="14.25" hidden="false" customHeight="false" outlineLevel="0" collapsed="false">
      <c r="A113" s="1" t="s">
        <v>17</v>
      </c>
      <c r="B113" s="1" t="s">
        <v>250</v>
      </c>
      <c r="C113" s="2" t="n">
        <v>150</v>
      </c>
      <c r="D113" s="1" t="s">
        <v>32</v>
      </c>
      <c r="E113" s="1" t="s">
        <v>250</v>
      </c>
      <c r="F113" s="2" t="n">
        <v>559684076463</v>
      </c>
      <c r="G113" s="1" t="s">
        <v>43</v>
      </c>
      <c r="I113" s="1" t="s">
        <v>50</v>
      </c>
    </row>
    <row r="114" customFormat="false" ht="14.25" hidden="false" customHeight="false" outlineLevel="0" collapsed="false">
      <c r="A114" s="1" t="s">
        <v>17</v>
      </c>
      <c r="B114" s="1" t="s">
        <v>251</v>
      </c>
      <c r="C114" s="2" t="n">
        <v>150</v>
      </c>
      <c r="D114" s="1" t="s">
        <v>32</v>
      </c>
      <c r="E114" s="1" t="s">
        <v>251</v>
      </c>
      <c r="F114" s="2" t="n">
        <v>5358232839</v>
      </c>
      <c r="G114" s="1" t="s">
        <v>43</v>
      </c>
      <c r="I114" s="1" t="s">
        <v>50</v>
      </c>
    </row>
    <row r="115" customFormat="false" ht="14.25" hidden="false" customHeight="false" outlineLevel="0" collapsed="false">
      <c r="A115" s="1" t="s">
        <v>17</v>
      </c>
      <c r="B115" s="1" t="s">
        <v>252</v>
      </c>
      <c r="C115" s="2" t="n">
        <v>242</v>
      </c>
      <c r="D115" s="1" t="s">
        <v>30</v>
      </c>
      <c r="E115" s="1" t="s">
        <v>252</v>
      </c>
      <c r="F115" s="2" t="n">
        <v>5511938011568</v>
      </c>
      <c r="G115" s="1" t="s">
        <v>253</v>
      </c>
      <c r="I115" s="1" t="s">
        <v>34</v>
      </c>
      <c r="J115" s="1" t="s">
        <v>35</v>
      </c>
      <c r="K115" s="1" t="s">
        <v>69</v>
      </c>
      <c r="L115" s="1" t="s">
        <v>70</v>
      </c>
      <c r="M115" s="1" t="s">
        <v>38</v>
      </c>
    </row>
    <row r="116" customFormat="false" ht="14.25" hidden="false" customHeight="false" outlineLevel="0" collapsed="false">
      <c r="A116" s="1" t="s">
        <v>17</v>
      </c>
      <c r="B116" s="1" t="s">
        <v>254</v>
      </c>
      <c r="C116" s="2" t="n">
        <v>147</v>
      </c>
      <c r="D116" s="1" t="s">
        <v>18</v>
      </c>
      <c r="E116" s="1" t="s">
        <v>254</v>
      </c>
      <c r="F116" s="2" t="n">
        <v>553898460938</v>
      </c>
      <c r="G116" s="1" t="s">
        <v>255</v>
      </c>
      <c r="I116" s="1" t="s">
        <v>34</v>
      </c>
    </row>
    <row r="117" customFormat="false" ht="14.25" hidden="false" customHeight="false" outlineLevel="0" collapsed="false">
      <c r="A117" s="1" t="s">
        <v>17</v>
      </c>
      <c r="B117" s="1" t="s">
        <v>256</v>
      </c>
      <c r="C117" s="2" t="n">
        <v>180</v>
      </c>
      <c r="D117" s="1" t="s">
        <v>24</v>
      </c>
      <c r="E117" s="1" t="s">
        <v>256</v>
      </c>
      <c r="F117" s="2" t="n">
        <v>559581022640</v>
      </c>
      <c r="G117" s="1" t="s">
        <v>43</v>
      </c>
      <c r="I117" s="1" t="s">
        <v>50</v>
      </c>
    </row>
    <row r="118" customFormat="false" ht="14.25" hidden="false" customHeight="false" outlineLevel="0" collapsed="false">
      <c r="A118" s="1" t="s">
        <v>17</v>
      </c>
      <c r="B118" s="1" t="s">
        <v>257</v>
      </c>
      <c r="C118" s="2" t="n">
        <v>150</v>
      </c>
      <c r="D118" s="1" t="s">
        <v>32</v>
      </c>
      <c r="E118" s="1" t="s">
        <v>258</v>
      </c>
      <c r="F118" s="2" t="n">
        <v>5548988254427</v>
      </c>
      <c r="G118" s="1" t="s">
        <v>43</v>
      </c>
      <c r="I118" s="1" t="s">
        <v>54</v>
      </c>
    </row>
    <row r="119" customFormat="false" ht="14.25" hidden="false" customHeight="false" outlineLevel="0" collapsed="false">
      <c r="A119" s="1" t="s">
        <v>17</v>
      </c>
      <c r="B119" s="1" t="s">
        <v>259</v>
      </c>
      <c r="C119" s="2" t="n">
        <v>90</v>
      </c>
      <c r="D119" s="1" t="s">
        <v>20</v>
      </c>
      <c r="E119" s="1" t="s">
        <v>260</v>
      </c>
      <c r="F119" s="2" t="n">
        <v>554791370820</v>
      </c>
      <c r="G119" s="1" t="s">
        <v>261</v>
      </c>
      <c r="I119" s="1" t="s">
        <v>50</v>
      </c>
    </row>
    <row r="120" customFormat="false" ht="14.25" hidden="false" customHeight="false" outlineLevel="0" collapsed="false">
      <c r="A120" s="1" t="s">
        <v>17</v>
      </c>
      <c r="B120" s="1" t="s">
        <v>262</v>
      </c>
      <c r="C120" s="2" t="n">
        <v>1000</v>
      </c>
      <c r="D120" s="1" t="s">
        <v>27</v>
      </c>
      <c r="E120" s="1" t="s">
        <v>262</v>
      </c>
      <c r="F120" s="2" t="n">
        <v>559584297991</v>
      </c>
      <c r="G120" s="1" t="s">
        <v>263</v>
      </c>
      <c r="I120" s="1" t="s">
        <v>54</v>
      </c>
    </row>
    <row r="121" customFormat="false" ht="14.25" hidden="false" customHeight="false" outlineLevel="0" collapsed="false">
      <c r="A121" s="1" t="s">
        <v>17</v>
      </c>
      <c r="B121" s="1" t="s">
        <v>264</v>
      </c>
      <c r="C121" s="2" t="n">
        <v>100</v>
      </c>
      <c r="D121" s="1" t="s">
        <v>30</v>
      </c>
      <c r="E121" s="1" t="s">
        <v>265</v>
      </c>
      <c r="F121" s="2" t="n">
        <v>5219986579643</v>
      </c>
      <c r="G121" s="1" t="s">
        <v>266</v>
      </c>
      <c r="I121" s="1" t="s">
        <v>50</v>
      </c>
      <c r="J121" s="1" t="s">
        <v>35</v>
      </c>
      <c r="K121" s="1" t="s">
        <v>36</v>
      </c>
      <c r="L121" s="1" t="s">
        <v>37</v>
      </c>
      <c r="M121" s="1" t="s">
        <v>38</v>
      </c>
    </row>
    <row r="122" customFormat="false" ht="14.25" hidden="false" customHeight="false" outlineLevel="0" collapsed="false">
      <c r="A122" s="1" t="s">
        <v>17</v>
      </c>
      <c r="B122" s="1" t="s">
        <v>267</v>
      </c>
      <c r="C122" s="2" t="n">
        <v>200</v>
      </c>
      <c r="D122" s="1" t="s">
        <v>20</v>
      </c>
      <c r="E122" s="1" t="s">
        <v>268</v>
      </c>
      <c r="F122" s="2" t="n">
        <v>554195149904</v>
      </c>
      <c r="G122" s="1" t="s">
        <v>269</v>
      </c>
      <c r="I122" s="1" t="s">
        <v>50</v>
      </c>
    </row>
    <row r="123" customFormat="false" ht="14.25" hidden="false" customHeight="false" outlineLevel="0" collapsed="false">
      <c r="A123" s="1" t="s">
        <v>17</v>
      </c>
      <c r="B123" s="1" t="s">
        <v>270</v>
      </c>
      <c r="C123" s="2" t="n">
        <v>90</v>
      </c>
      <c r="D123" s="1" t="s">
        <v>20</v>
      </c>
      <c r="E123" s="1" t="s">
        <v>270</v>
      </c>
      <c r="F123" s="2" t="n">
        <v>554185082889</v>
      </c>
      <c r="G123" s="1" t="s">
        <v>271</v>
      </c>
      <c r="I123" s="1" t="s">
        <v>50</v>
      </c>
      <c r="J123" s="1" t="s">
        <v>35</v>
      </c>
      <c r="K123" s="1" t="s">
        <v>272</v>
      </c>
      <c r="L123" s="1" t="s">
        <v>273</v>
      </c>
      <c r="M123" s="1" t="s">
        <v>38</v>
      </c>
    </row>
    <row r="124" customFormat="false" ht="14.25" hidden="false" customHeight="false" outlineLevel="0" collapsed="false">
      <c r="A124" s="1" t="s">
        <v>17</v>
      </c>
      <c r="B124" s="1" t="s">
        <v>274</v>
      </c>
      <c r="C124" s="2" t="n">
        <v>90</v>
      </c>
      <c r="D124" s="1" t="s">
        <v>26</v>
      </c>
      <c r="E124" s="1" t="s">
        <v>274</v>
      </c>
      <c r="F124" s="2" t="n">
        <v>559584142619</v>
      </c>
      <c r="G124" s="1" t="s">
        <v>275</v>
      </c>
      <c r="I124" s="1" t="s">
        <v>34</v>
      </c>
    </row>
    <row r="125" customFormat="false" ht="14.25" hidden="false" customHeight="false" outlineLevel="0" collapsed="false">
      <c r="A125" s="1" t="s">
        <v>17</v>
      </c>
      <c r="B125" s="1" t="s">
        <v>130</v>
      </c>
      <c r="C125" s="2" t="n">
        <v>180</v>
      </c>
      <c r="D125" s="1" t="s">
        <v>30</v>
      </c>
      <c r="E125" s="1" t="s">
        <v>130</v>
      </c>
      <c r="F125" s="2" t="n">
        <v>5519998932978</v>
      </c>
      <c r="G125" s="1" t="s">
        <v>131</v>
      </c>
      <c r="I125" s="1" t="s">
        <v>50</v>
      </c>
    </row>
    <row r="126" customFormat="false" ht="14.25" hidden="false" customHeight="false" outlineLevel="0" collapsed="false">
      <c r="A126" s="1" t="s">
        <v>17</v>
      </c>
      <c r="B126" s="1" t="s">
        <v>276</v>
      </c>
      <c r="C126" s="2" t="n">
        <v>225</v>
      </c>
      <c r="D126" s="1" t="s">
        <v>20</v>
      </c>
      <c r="E126" s="1" t="s">
        <v>277</v>
      </c>
      <c r="F126" s="2" t="n">
        <v>559584218547</v>
      </c>
      <c r="G126" s="1" t="s">
        <v>278</v>
      </c>
      <c r="I126" s="1" t="s">
        <v>34</v>
      </c>
    </row>
    <row r="127" customFormat="false" ht="14.25" hidden="false" customHeight="false" outlineLevel="0" collapsed="false">
      <c r="A127" s="1" t="s">
        <v>17</v>
      </c>
      <c r="B127" s="1" t="s">
        <v>279</v>
      </c>
      <c r="C127" s="2" t="n">
        <v>150</v>
      </c>
      <c r="D127" s="1" t="s">
        <v>32</v>
      </c>
      <c r="E127" s="1" t="s">
        <v>279</v>
      </c>
      <c r="F127" s="2" t="n">
        <v>554197358577</v>
      </c>
      <c r="G127" s="1" t="s">
        <v>280</v>
      </c>
      <c r="I127" s="1" t="s">
        <v>54</v>
      </c>
    </row>
    <row r="128" customFormat="false" ht="14.25" hidden="false" customHeight="false" outlineLevel="0" collapsed="false">
      <c r="A128" s="1" t="s">
        <v>17</v>
      </c>
      <c r="B128" s="1" t="s">
        <v>281</v>
      </c>
      <c r="C128" s="2" t="n">
        <v>147</v>
      </c>
      <c r="D128" s="1" t="s">
        <v>18</v>
      </c>
      <c r="E128" s="1" t="s">
        <v>281</v>
      </c>
      <c r="F128" s="2" t="n">
        <v>559584239520</v>
      </c>
      <c r="G128" s="1" t="s">
        <v>282</v>
      </c>
      <c r="I128" s="1" t="s">
        <v>50</v>
      </c>
    </row>
    <row r="129" customFormat="false" ht="14.25" hidden="false" customHeight="false" outlineLevel="0" collapsed="false">
      <c r="A129" s="1" t="s">
        <v>17</v>
      </c>
      <c r="B129" s="1" t="s">
        <v>283</v>
      </c>
      <c r="C129" s="2" t="n">
        <v>230</v>
      </c>
      <c r="D129" s="1" t="s">
        <v>30</v>
      </c>
      <c r="E129" s="1" t="s">
        <v>283</v>
      </c>
      <c r="F129" s="2" t="n">
        <v>5511919505742</v>
      </c>
      <c r="G129" s="1" t="n">
        <v>0</v>
      </c>
      <c r="I129" s="1" t="s">
        <v>50</v>
      </c>
    </row>
    <row r="130" customFormat="false" ht="14.25" hidden="false" customHeight="false" outlineLevel="0" collapsed="false">
      <c r="A130" s="1" t="s">
        <v>17</v>
      </c>
      <c r="B130" s="1" t="s">
        <v>284</v>
      </c>
      <c r="C130" s="2" t="n">
        <v>147</v>
      </c>
      <c r="D130" s="1" t="s">
        <v>18</v>
      </c>
      <c r="E130" s="1" t="s">
        <v>284</v>
      </c>
      <c r="F130" s="2" t="n">
        <v>5545984032301</v>
      </c>
      <c r="G130" s="1" t="s">
        <v>285</v>
      </c>
      <c r="I130" s="1" t="s">
        <v>34</v>
      </c>
    </row>
    <row r="131" customFormat="false" ht="14.25" hidden="false" customHeight="false" outlineLevel="0" collapsed="false">
      <c r="A131" s="1" t="s">
        <v>17</v>
      </c>
      <c r="B131" s="1" t="s">
        <v>286</v>
      </c>
      <c r="C131" s="2" t="n">
        <v>150</v>
      </c>
      <c r="D131" s="1" t="s">
        <v>32</v>
      </c>
      <c r="E131" s="1" t="s">
        <v>287</v>
      </c>
      <c r="F131" s="2" t="n">
        <v>554988035815</v>
      </c>
      <c r="G131" s="1" t="s">
        <v>43</v>
      </c>
      <c r="I131" s="1" t="s">
        <v>50</v>
      </c>
    </row>
    <row r="132" customFormat="false" ht="14.25" hidden="false" customHeight="false" outlineLevel="0" collapsed="false">
      <c r="A132" s="1" t="s">
        <v>17</v>
      </c>
      <c r="B132" s="1" t="s">
        <v>288</v>
      </c>
      <c r="C132" s="2" t="n">
        <v>300</v>
      </c>
      <c r="D132" s="1" t="s">
        <v>29</v>
      </c>
      <c r="E132" s="1" t="s">
        <v>288</v>
      </c>
      <c r="F132" s="2" t="n">
        <v>554891592085</v>
      </c>
      <c r="G132" s="1" t="s">
        <v>289</v>
      </c>
      <c r="I132" s="1" t="s">
        <v>50</v>
      </c>
    </row>
    <row r="133" customFormat="false" ht="14.25" hidden="false" customHeight="false" outlineLevel="0" collapsed="false">
      <c r="A133" s="1" t="s">
        <v>17</v>
      </c>
      <c r="B133" s="1" t="s">
        <v>290</v>
      </c>
      <c r="C133" s="2" t="n">
        <v>147</v>
      </c>
      <c r="D133" s="1" t="s">
        <v>18</v>
      </c>
      <c r="E133" s="1" t="s">
        <v>290</v>
      </c>
      <c r="F133" s="2" t="n">
        <v>556592781023</v>
      </c>
      <c r="G133" s="1" t="s">
        <v>291</v>
      </c>
      <c r="I133" s="1" t="s">
        <v>34</v>
      </c>
    </row>
    <row r="134" customFormat="false" ht="14.25" hidden="false" customHeight="false" outlineLevel="0" collapsed="false">
      <c r="A134" s="1" t="s">
        <v>17</v>
      </c>
      <c r="B134" s="1" t="s">
        <v>292</v>
      </c>
      <c r="C134" s="2" t="n">
        <v>147</v>
      </c>
      <c r="D134" s="1" t="s">
        <v>18</v>
      </c>
      <c r="E134" s="1" t="s">
        <v>292</v>
      </c>
      <c r="F134" s="2" t="n">
        <v>5515997610656</v>
      </c>
      <c r="G134" s="1" t="s">
        <v>293</v>
      </c>
      <c r="I134" s="1" t="s">
        <v>54</v>
      </c>
    </row>
    <row r="135" customFormat="false" ht="14.25" hidden="false" customHeight="false" outlineLevel="0" collapsed="false">
      <c r="A135" s="1" t="s">
        <v>17</v>
      </c>
      <c r="B135" s="1" t="s">
        <v>294</v>
      </c>
      <c r="C135" s="2" t="n">
        <v>250</v>
      </c>
      <c r="D135" s="1" t="s">
        <v>106</v>
      </c>
      <c r="E135" s="1" t="s">
        <v>294</v>
      </c>
      <c r="F135" s="2" t="n">
        <v>5511918514374</v>
      </c>
      <c r="G135" s="1" t="s">
        <v>295</v>
      </c>
      <c r="I135" s="1" t="s">
        <v>34</v>
      </c>
    </row>
    <row r="136" customFormat="false" ht="14.25" hidden="false" customHeight="false" outlineLevel="0" collapsed="false">
      <c r="A136" s="1" t="s">
        <v>17</v>
      </c>
      <c r="B136" s="1" t="s">
        <v>296</v>
      </c>
      <c r="C136" s="2" t="n">
        <v>90</v>
      </c>
      <c r="D136" s="1" t="s">
        <v>20</v>
      </c>
      <c r="E136" s="1" t="s">
        <v>296</v>
      </c>
      <c r="F136" s="2" t="n">
        <v>559584273585</v>
      </c>
      <c r="G136" s="1" t="s">
        <v>297</v>
      </c>
      <c r="I136" s="1" t="s">
        <v>34</v>
      </c>
      <c r="J136" s="1" t="s">
        <v>97</v>
      </c>
      <c r="K136" s="1" t="s">
        <v>20</v>
      </c>
      <c r="L136" s="1" t="s">
        <v>230</v>
      </c>
      <c r="M136" s="1" t="s">
        <v>99</v>
      </c>
    </row>
    <row r="137" customFormat="false" ht="14.25" hidden="false" customHeight="false" outlineLevel="0" collapsed="false">
      <c r="A137" s="1" t="s">
        <v>17</v>
      </c>
      <c r="B137" s="1" t="s">
        <v>298</v>
      </c>
      <c r="C137" s="2" t="n">
        <v>90</v>
      </c>
      <c r="D137" s="1" t="s">
        <v>26</v>
      </c>
      <c r="E137" s="1" t="s">
        <v>298</v>
      </c>
      <c r="F137" s="2" t="n">
        <v>554195358551</v>
      </c>
      <c r="G137" s="1" t="s">
        <v>299</v>
      </c>
      <c r="I137" s="1" t="s">
        <v>34</v>
      </c>
    </row>
    <row r="138" customFormat="false" ht="14.25" hidden="false" customHeight="false" outlineLevel="0" collapsed="false">
      <c r="A138" s="1" t="s">
        <v>17</v>
      </c>
      <c r="B138" s="1" t="s">
        <v>300</v>
      </c>
      <c r="C138" s="2" t="n">
        <v>291</v>
      </c>
      <c r="D138" s="1" t="s">
        <v>30</v>
      </c>
      <c r="E138" s="1" t="s">
        <v>300</v>
      </c>
      <c r="F138" s="2" t="n">
        <v>5519998985969</v>
      </c>
      <c r="G138" s="1" t="s">
        <v>301</v>
      </c>
      <c r="I138" s="1" t="s">
        <v>34</v>
      </c>
      <c r="J138" s="1" t="s">
        <v>302</v>
      </c>
      <c r="K138" s="1" t="s">
        <v>303</v>
      </c>
      <c r="M138" s="1" t="s">
        <v>304</v>
      </c>
    </row>
    <row r="139" customFormat="false" ht="14.25" hidden="false" customHeight="false" outlineLevel="0" collapsed="false">
      <c r="A139" s="1" t="s">
        <v>17</v>
      </c>
      <c r="B139" s="1" t="s">
        <v>305</v>
      </c>
      <c r="C139" s="2" t="n">
        <v>97</v>
      </c>
      <c r="D139" s="1" t="s">
        <v>30</v>
      </c>
      <c r="E139" s="1" t="s">
        <v>305</v>
      </c>
      <c r="F139" s="2" t="n">
        <v>559176014001</v>
      </c>
      <c r="G139" s="1" t="s">
        <v>306</v>
      </c>
      <c r="I139" s="1" t="s">
        <v>34</v>
      </c>
    </row>
    <row r="140" customFormat="false" ht="14.25" hidden="false" customHeight="false" outlineLevel="0" collapsed="false">
      <c r="A140" s="1" t="s">
        <v>17</v>
      </c>
      <c r="B140" s="1" t="s">
        <v>307</v>
      </c>
      <c r="C140" s="2" t="n">
        <v>225</v>
      </c>
      <c r="D140" s="1" t="s">
        <v>20</v>
      </c>
      <c r="E140" s="1" t="s">
        <v>307</v>
      </c>
      <c r="F140" s="2" t="n">
        <v>557183600311</v>
      </c>
      <c r="G140" s="1" t="s">
        <v>308</v>
      </c>
      <c r="I140" s="1" t="s">
        <v>34</v>
      </c>
    </row>
    <row r="141" customFormat="false" ht="14.25" hidden="false" customHeight="false" outlineLevel="0" collapsed="false">
      <c r="A141" s="1" t="s">
        <v>17</v>
      </c>
      <c r="B141" s="1" t="s">
        <v>309</v>
      </c>
      <c r="C141" s="2" t="n">
        <v>167</v>
      </c>
      <c r="D141" s="1" t="s">
        <v>18</v>
      </c>
      <c r="E141" s="1" t="s">
        <v>309</v>
      </c>
    </row>
    <row r="142" customFormat="false" ht="14.25" hidden="false" customHeight="false" outlineLevel="0" collapsed="false">
      <c r="A142" s="1" t="s">
        <v>17</v>
      </c>
      <c r="B142" s="1" t="s">
        <v>310</v>
      </c>
      <c r="C142" s="2" t="n">
        <v>300</v>
      </c>
      <c r="D142" s="1" t="s">
        <v>24</v>
      </c>
      <c r="E142" s="1" t="s">
        <v>310</v>
      </c>
      <c r="F142" s="2" t="n">
        <v>556282267165</v>
      </c>
      <c r="G142" s="1" t="s">
        <v>311</v>
      </c>
      <c r="I142" s="1" t="s">
        <v>50</v>
      </c>
    </row>
    <row r="143" customFormat="false" ht="14.25" hidden="false" customHeight="false" outlineLevel="0" collapsed="false">
      <c r="A143" s="1" t="s">
        <v>17</v>
      </c>
      <c r="B143" s="1" t="s">
        <v>312</v>
      </c>
      <c r="C143" s="2" t="n">
        <v>150</v>
      </c>
      <c r="D143" s="1" t="s">
        <v>32</v>
      </c>
      <c r="E143" s="1" t="s">
        <v>312</v>
      </c>
      <c r="F143" s="2" t="n">
        <v>5511930845594</v>
      </c>
      <c r="G143" s="1" t="s">
        <v>33</v>
      </c>
      <c r="I143" s="1" t="s">
        <v>34</v>
      </c>
    </row>
    <row r="144" customFormat="false" ht="14.25" hidden="false" customHeight="false" outlineLevel="0" collapsed="false">
      <c r="A144" s="1" t="s">
        <v>17</v>
      </c>
      <c r="B144" s="1" t="s">
        <v>313</v>
      </c>
      <c r="C144" s="2" t="n">
        <v>120</v>
      </c>
      <c r="D144" s="1" t="s">
        <v>21</v>
      </c>
      <c r="E144" s="1" t="s">
        <v>313</v>
      </c>
      <c r="F144" s="2" t="n">
        <v>554991857313</v>
      </c>
      <c r="G144" s="1" t="s">
        <v>314</v>
      </c>
      <c r="I144" s="1" t="s">
        <v>34</v>
      </c>
    </row>
    <row r="145" customFormat="false" ht="14.25" hidden="false" customHeight="false" outlineLevel="0" collapsed="false">
      <c r="A145" s="1" t="s">
        <v>17</v>
      </c>
      <c r="B145" s="1" t="s">
        <v>315</v>
      </c>
      <c r="C145" s="2" t="n">
        <v>140</v>
      </c>
      <c r="D145" s="1" t="s">
        <v>32</v>
      </c>
      <c r="E145" s="1" t="s">
        <v>315</v>
      </c>
      <c r="F145" s="2" t="n">
        <v>559591212862</v>
      </c>
      <c r="G145" s="1" t="s">
        <v>316</v>
      </c>
      <c r="I145" s="1" t="s">
        <v>34</v>
      </c>
    </row>
    <row r="146" customFormat="false" ht="14.25" hidden="false" customHeight="false" outlineLevel="0" collapsed="false">
      <c r="A146" s="1" t="s">
        <v>17</v>
      </c>
      <c r="B146" s="1" t="s">
        <v>317</v>
      </c>
      <c r="C146" s="2" t="n">
        <v>60</v>
      </c>
      <c r="D146" s="1" t="s">
        <v>25</v>
      </c>
      <c r="E146" s="1" t="s">
        <v>317</v>
      </c>
      <c r="F146" s="2" t="n">
        <v>5511940545012</v>
      </c>
      <c r="G146" s="1" t="s">
        <v>318</v>
      </c>
      <c r="I146" s="1" t="s">
        <v>34</v>
      </c>
    </row>
    <row r="147" customFormat="false" ht="14.25" hidden="false" customHeight="false" outlineLevel="0" collapsed="false">
      <c r="A147" s="1" t="s">
        <v>17</v>
      </c>
      <c r="B147" s="1" t="s">
        <v>319</v>
      </c>
      <c r="C147" s="2" t="n">
        <v>240</v>
      </c>
      <c r="D147" s="1" t="s">
        <v>21</v>
      </c>
      <c r="E147" s="1" t="s">
        <v>320</v>
      </c>
      <c r="F147" s="2" t="n">
        <v>559574004024</v>
      </c>
      <c r="G147" s="1" t="s">
        <v>321</v>
      </c>
      <c r="I147" s="1" t="s">
        <v>34</v>
      </c>
    </row>
    <row r="148" customFormat="false" ht="14.25" hidden="false" customHeight="false" outlineLevel="0" collapsed="false">
      <c r="A148" s="1" t="s">
        <v>17</v>
      </c>
      <c r="B148" s="1" t="s">
        <v>322</v>
      </c>
      <c r="C148" s="2" t="n">
        <v>150</v>
      </c>
      <c r="D148" s="1" t="s">
        <v>32</v>
      </c>
      <c r="E148" s="1" t="s">
        <v>322</v>
      </c>
      <c r="F148" s="2" t="n">
        <v>554591410925</v>
      </c>
      <c r="G148" s="1" t="s">
        <v>323</v>
      </c>
      <c r="I148" s="1" t="s">
        <v>34</v>
      </c>
      <c r="J148" s="1" t="s">
        <v>35</v>
      </c>
      <c r="K148" s="1" t="s">
        <v>36</v>
      </c>
      <c r="L148" s="1" t="s">
        <v>37</v>
      </c>
      <c r="M148" s="1" t="s">
        <v>38</v>
      </c>
    </row>
    <row r="149" customFormat="false" ht="14.25" hidden="false" customHeight="false" outlineLevel="0" collapsed="false">
      <c r="A149" s="1" t="s">
        <v>17</v>
      </c>
      <c r="B149" s="1" t="s">
        <v>324</v>
      </c>
      <c r="C149" s="2" t="n">
        <v>90</v>
      </c>
      <c r="D149" s="1" t="s">
        <v>20</v>
      </c>
      <c r="E149" s="1" t="s">
        <v>325</v>
      </c>
      <c r="F149" s="2" t="n">
        <v>5541995438489</v>
      </c>
      <c r="G149" s="1" t="s">
        <v>326</v>
      </c>
      <c r="I149" s="1" t="s">
        <v>50</v>
      </c>
      <c r="J149" s="1" t="s">
        <v>35</v>
      </c>
      <c r="K149" s="1" t="s">
        <v>36</v>
      </c>
      <c r="L149" s="1" t="s">
        <v>37</v>
      </c>
      <c r="M149" s="1" t="s">
        <v>38</v>
      </c>
    </row>
    <row r="150" customFormat="false" ht="14.25" hidden="false" customHeight="false" outlineLevel="0" collapsed="false">
      <c r="A150" s="1" t="s">
        <v>17</v>
      </c>
      <c r="B150" s="1" t="s">
        <v>327</v>
      </c>
      <c r="C150" s="2" t="n">
        <v>500</v>
      </c>
      <c r="D150" s="1" t="s">
        <v>106</v>
      </c>
      <c r="E150" s="1" t="s">
        <v>328</v>
      </c>
      <c r="F150" s="2" t="n">
        <v>559599773288</v>
      </c>
      <c r="G150" s="1" t="s">
        <v>329</v>
      </c>
      <c r="I150" s="1" t="s">
        <v>54</v>
      </c>
    </row>
    <row r="151" customFormat="false" ht="14.25" hidden="false" customHeight="false" outlineLevel="0" collapsed="false">
      <c r="A151" s="1" t="s">
        <v>17</v>
      </c>
      <c r="B151" s="1" t="s">
        <v>330</v>
      </c>
      <c r="C151" s="2" t="n">
        <v>315</v>
      </c>
      <c r="D151" s="1" t="s">
        <v>30</v>
      </c>
      <c r="E151" s="1" t="s">
        <v>330</v>
      </c>
      <c r="F151" s="2" t="n">
        <v>5511994901726</v>
      </c>
      <c r="G151" s="1" t="s">
        <v>331</v>
      </c>
      <c r="I151" s="1" t="s">
        <v>34</v>
      </c>
    </row>
    <row r="152" customFormat="false" ht="14.25" hidden="false" customHeight="false" outlineLevel="0" collapsed="false">
      <c r="A152" s="1" t="s">
        <v>332</v>
      </c>
      <c r="B152" s="1" t="s">
        <v>333</v>
      </c>
      <c r="C152" s="2" t="n">
        <v>135</v>
      </c>
      <c r="D152" s="1" t="s">
        <v>20</v>
      </c>
      <c r="E152" s="1" t="s">
        <v>333</v>
      </c>
      <c r="F152" s="2" t="n">
        <v>5541995345890</v>
      </c>
      <c r="G152" s="1" t="s">
        <v>334</v>
      </c>
      <c r="I152" s="1" t="s">
        <v>34</v>
      </c>
      <c r="J152" s="1" t="s">
        <v>75</v>
      </c>
      <c r="K152" s="1" t="s">
        <v>76</v>
      </c>
      <c r="M152" s="1" t="s">
        <v>335</v>
      </c>
    </row>
    <row r="153" customFormat="false" ht="14.25" hidden="false" customHeight="false" outlineLevel="0" collapsed="false">
      <c r="A153" s="1" t="s">
        <v>332</v>
      </c>
      <c r="B153" s="1" t="s">
        <v>336</v>
      </c>
      <c r="C153" s="2" t="n">
        <v>150</v>
      </c>
      <c r="D153" s="1" t="s">
        <v>32</v>
      </c>
      <c r="E153" s="1" t="s">
        <v>336</v>
      </c>
      <c r="F153" s="2" t="n">
        <v>5511991061427</v>
      </c>
      <c r="G153" s="1" t="s">
        <v>337</v>
      </c>
      <c r="I153" s="1" t="s">
        <v>50</v>
      </c>
    </row>
    <row r="154" customFormat="false" ht="14.25" hidden="false" customHeight="false" outlineLevel="0" collapsed="false">
      <c r="A154" s="1" t="s">
        <v>332</v>
      </c>
      <c r="B154" s="1" t="s">
        <v>338</v>
      </c>
      <c r="C154" s="2" t="n">
        <v>150</v>
      </c>
      <c r="D154" s="1" t="s">
        <v>32</v>
      </c>
      <c r="E154" s="1" t="s">
        <v>339</v>
      </c>
      <c r="F154" s="2" t="n">
        <v>559584409492</v>
      </c>
      <c r="G154" s="1" t="s">
        <v>340</v>
      </c>
      <c r="I154" s="1" t="s">
        <v>34</v>
      </c>
    </row>
    <row r="155" customFormat="false" ht="14.25" hidden="false" customHeight="false" outlineLevel="0" collapsed="false">
      <c r="A155" s="1" t="s">
        <v>332</v>
      </c>
      <c r="B155" s="1" t="s">
        <v>341</v>
      </c>
      <c r="C155" s="2" t="n">
        <v>147</v>
      </c>
      <c r="D155" s="1" t="s">
        <v>18</v>
      </c>
      <c r="E155" s="1" t="s">
        <v>341</v>
      </c>
      <c r="F155" s="2" t="n">
        <v>5521969875829</v>
      </c>
      <c r="G155" s="1" t="s">
        <v>342</v>
      </c>
      <c r="I155" s="1" t="s">
        <v>50</v>
      </c>
    </row>
    <row r="156" customFormat="false" ht="14.25" hidden="false" customHeight="false" outlineLevel="0" collapsed="false">
      <c r="A156" s="1" t="s">
        <v>332</v>
      </c>
      <c r="B156" s="1" t="s">
        <v>343</v>
      </c>
      <c r="C156" s="2" t="n">
        <v>194</v>
      </c>
      <c r="D156" s="1" t="s">
        <v>20</v>
      </c>
      <c r="E156" s="1" t="s">
        <v>343</v>
      </c>
      <c r="F156" s="2" t="n">
        <v>559584157754</v>
      </c>
      <c r="G156" s="1" t="s">
        <v>344</v>
      </c>
      <c r="I156" s="1" t="s">
        <v>50</v>
      </c>
      <c r="J156" s="1" t="s">
        <v>97</v>
      </c>
      <c r="K156" s="1" t="s">
        <v>20</v>
      </c>
      <c r="L156" s="1" t="s">
        <v>98</v>
      </c>
      <c r="M156" s="1" t="s">
        <v>99</v>
      </c>
    </row>
    <row r="157" customFormat="false" ht="14.25" hidden="false" customHeight="false" outlineLevel="0" collapsed="false">
      <c r="A157" s="1" t="s">
        <v>332</v>
      </c>
      <c r="B157" s="1" t="s">
        <v>345</v>
      </c>
      <c r="C157" s="2" t="n">
        <v>150</v>
      </c>
      <c r="D157" s="1" t="s">
        <v>32</v>
      </c>
      <c r="E157" s="1" t="s">
        <v>346</v>
      </c>
      <c r="F157" s="2" t="n">
        <v>559591552964</v>
      </c>
      <c r="G157" s="1" t="s">
        <v>347</v>
      </c>
      <c r="I157" s="1" t="s">
        <v>50</v>
      </c>
    </row>
    <row r="158" customFormat="false" ht="14.25" hidden="false" customHeight="false" outlineLevel="0" collapsed="false">
      <c r="A158" s="1" t="s">
        <v>332</v>
      </c>
      <c r="B158" s="1" t="s">
        <v>348</v>
      </c>
      <c r="C158" s="2" t="n">
        <v>240</v>
      </c>
      <c r="D158" s="1" t="s">
        <v>20</v>
      </c>
      <c r="E158" s="1" t="s">
        <v>348</v>
      </c>
      <c r="F158" s="2" t="n">
        <v>559584193767</v>
      </c>
      <c r="G158" s="1" t="s">
        <v>349</v>
      </c>
      <c r="I158" s="1" t="s">
        <v>34</v>
      </c>
    </row>
    <row r="159" customFormat="false" ht="14.25" hidden="false" customHeight="false" outlineLevel="0" collapsed="false">
      <c r="A159" s="1" t="s">
        <v>332</v>
      </c>
      <c r="B159" s="1" t="s">
        <v>348</v>
      </c>
      <c r="C159" s="2" t="n">
        <v>240</v>
      </c>
      <c r="D159" s="1" t="s">
        <v>30</v>
      </c>
      <c r="E159" s="1" t="s">
        <v>348</v>
      </c>
      <c r="F159" s="2" t="n">
        <v>559584193767</v>
      </c>
      <c r="G159" s="1" t="s">
        <v>349</v>
      </c>
      <c r="I159" s="1" t="s">
        <v>34</v>
      </c>
    </row>
    <row r="160" customFormat="false" ht="14.25" hidden="false" customHeight="false" outlineLevel="0" collapsed="false">
      <c r="A160" s="1" t="s">
        <v>332</v>
      </c>
      <c r="B160" s="1" t="s">
        <v>350</v>
      </c>
      <c r="C160" s="2" t="n">
        <v>97</v>
      </c>
      <c r="D160" s="1" t="s">
        <v>20</v>
      </c>
      <c r="E160" s="1" t="s">
        <v>350</v>
      </c>
      <c r="F160" s="2" t="n">
        <v>559591631140</v>
      </c>
      <c r="G160" s="1" t="s">
        <v>351</v>
      </c>
      <c r="I160" s="1" t="s">
        <v>50</v>
      </c>
    </row>
    <row r="161" customFormat="false" ht="16.4" hidden="false" customHeight="false" outlineLevel="0" collapsed="false">
      <c r="A161" s="1" t="s">
        <v>332</v>
      </c>
      <c r="B161" s="1" t="s">
        <v>352</v>
      </c>
      <c r="C161" s="2" t="n">
        <v>194</v>
      </c>
      <c r="D161" s="1" t="s">
        <v>20</v>
      </c>
      <c r="E161" s="1" t="s">
        <v>353</v>
      </c>
      <c r="F161" s="2" t="n">
        <v>554196335415</v>
      </c>
      <c r="G161" s="6" t="s">
        <v>354</v>
      </c>
      <c r="I161" s="1" t="s">
        <v>355</v>
      </c>
    </row>
    <row r="162" customFormat="false" ht="14.25" hidden="false" customHeight="false" outlineLevel="0" collapsed="false">
      <c r="A162" s="1" t="s">
        <v>332</v>
      </c>
      <c r="B162" s="1" t="s">
        <v>260</v>
      </c>
      <c r="C162" s="2" t="n">
        <v>150</v>
      </c>
      <c r="D162" s="1" t="s">
        <v>32</v>
      </c>
      <c r="E162" s="1" t="s">
        <v>356</v>
      </c>
      <c r="F162" s="2" t="n">
        <v>554791370820</v>
      </c>
      <c r="G162" s="1" t="s">
        <v>261</v>
      </c>
      <c r="I162" s="1" t="s">
        <v>50</v>
      </c>
    </row>
    <row r="163" customFormat="false" ht="14.25" hidden="false" customHeight="false" outlineLevel="0" collapsed="false">
      <c r="A163" s="1" t="s">
        <v>357</v>
      </c>
      <c r="B163" s="1" t="s">
        <v>358</v>
      </c>
      <c r="C163" s="2" t="n">
        <v>147</v>
      </c>
      <c r="D163" s="1" t="s">
        <v>18</v>
      </c>
      <c r="E163" s="1" t="s">
        <v>358</v>
      </c>
      <c r="F163" s="2" t="n">
        <v>556295305022</v>
      </c>
      <c r="G163" s="1" t="s">
        <v>359</v>
      </c>
      <c r="I163" s="1" t="s">
        <v>54</v>
      </c>
    </row>
    <row r="164" customFormat="false" ht="14.25" hidden="false" customHeight="false" outlineLevel="0" collapsed="false">
      <c r="A164" s="1" t="s">
        <v>357</v>
      </c>
      <c r="B164" s="1" t="s">
        <v>360</v>
      </c>
      <c r="C164" s="2" t="n">
        <v>90</v>
      </c>
      <c r="D164" s="1" t="s">
        <v>30</v>
      </c>
      <c r="E164" s="1" t="s">
        <v>361</v>
      </c>
      <c r="F164" s="2" t="n">
        <v>559584285608</v>
      </c>
      <c r="G164" s="1" t="s">
        <v>362</v>
      </c>
      <c r="I164" s="1" t="s">
        <v>50</v>
      </c>
    </row>
    <row r="165" customFormat="false" ht="14.25" hidden="false" customHeight="false" outlineLevel="0" collapsed="false">
      <c r="A165" s="1" t="s">
        <v>357</v>
      </c>
      <c r="B165" s="1" t="s">
        <v>294</v>
      </c>
      <c r="C165" s="2" t="n">
        <v>500</v>
      </c>
      <c r="D165" s="1" t="s">
        <v>106</v>
      </c>
      <c r="E165" s="1" t="s">
        <v>294</v>
      </c>
      <c r="F165" s="2" t="n">
        <v>5511918514374</v>
      </c>
      <c r="G165" s="1" t="s">
        <v>295</v>
      </c>
      <c r="I165" s="1" t="s">
        <v>34</v>
      </c>
    </row>
    <row r="166" customFormat="false" ht="14.25" hidden="false" customHeight="false" outlineLevel="0" collapsed="false">
      <c r="A166" s="1" t="s">
        <v>332</v>
      </c>
      <c r="B166" s="1" t="s">
        <v>363</v>
      </c>
      <c r="C166" s="2" t="n">
        <v>250</v>
      </c>
      <c r="D166" s="1" t="s">
        <v>27</v>
      </c>
      <c r="E166" s="1" t="s">
        <v>364</v>
      </c>
      <c r="F166" s="2" t="n">
        <v>554198700879</v>
      </c>
      <c r="G166" s="1" t="s">
        <v>33</v>
      </c>
      <c r="I166" s="1" t="s">
        <v>34</v>
      </c>
      <c r="J166" s="1" t="s">
        <v>60</v>
      </c>
      <c r="K166" s="1" t="s">
        <v>27</v>
      </c>
      <c r="L166" s="1" t="s">
        <v>365</v>
      </c>
      <c r="M166" s="1" t="s">
        <v>62</v>
      </c>
    </row>
    <row r="167" customFormat="false" ht="14.25" hidden="false" customHeight="false" outlineLevel="0" collapsed="false">
      <c r="A167" s="1" t="s">
        <v>332</v>
      </c>
      <c r="B167" s="1" t="s">
        <v>366</v>
      </c>
      <c r="C167" s="2" t="n">
        <v>250</v>
      </c>
      <c r="D167" s="1" t="s">
        <v>106</v>
      </c>
      <c r="E167" s="1" t="s">
        <v>367</v>
      </c>
      <c r="F167" s="2" t="n">
        <v>556992121074</v>
      </c>
      <c r="G167" s="1" t="s">
        <v>33</v>
      </c>
      <c r="I167" s="1" t="s">
        <v>34</v>
      </c>
    </row>
    <row r="168" customFormat="false" ht="14.25" hidden="false" customHeight="false" outlineLevel="0" collapsed="false">
      <c r="A168" s="1" t="s">
        <v>368</v>
      </c>
      <c r="B168" s="1" t="s">
        <v>369</v>
      </c>
      <c r="C168" s="2" t="n">
        <v>147</v>
      </c>
      <c r="D168" s="1" t="s">
        <v>18</v>
      </c>
      <c r="E168" s="1" t="s">
        <v>370</v>
      </c>
      <c r="F168" s="2" t="n">
        <v>559591206341</v>
      </c>
      <c r="G168" s="1" t="s">
        <v>371</v>
      </c>
      <c r="I168" s="1" t="s">
        <v>34</v>
      </c>
    </row>
    <row r="169" customFormat="false" ht="14.25" hidden="false" customHeight="false" outlineLevel="0" collapsed="false">
      <c r="A169" s="1" t="s">
        <v>368</v>
      </c>
      <c r="B169" s="1" t="s">
        <v>372</v>
      </c>
      <c r="C169" s="2" t="n">
        <v>150</v>
      </c>
      <c r="D169" s="1" t="s">
        <v>21</v>
      </c>
      <c r="E169" s="1" t="s">
        <v>373</v>
      </c>
      <c r="F169" s="2" t="n">
        <v>554888249508</v>
      </c>
      <c r="G169" s="1" t="s">
        <v>374</v>
      </c>
      <c r="I169" s="1" t="s">
        <v>34</v>
      </c>
    </row>
    <row r="170" customFormat="false" ht="14.25" hidden="false" customHeight="false" outlineLevel="0" collapsed="false">
      <c r="A170" s="1" t="s">
        <v>368</v>
      </c>
      <c r="B170" s="1" t="s">
        <v>375</v>
      </c>
      <c r="C170" s="2" t="n">
        <v>120</v>
      </c>
      <c r="D170" s="1" t="s">
        <v>21</v>
      </c>
      <c r="E170" s="1" t="s">
        <v>375</v>
      </c>
      <c r="F170" s="2" t="n">
        <v>554891876579</v>
      </c>
      <c r="G170" s="1" t="s">
        <v>376</v>
      </c>
      <c r="I170" s="1" t="s">
        <v>34</v>
      </c>
    </row>
    <row r="171" customFormat="false" ht="14.25" hidden="false" customHeight="false" outlineLevel="0" collapsed="false">
      <c r="A171" s="1" t="s">
        <v>368</v>
      </c>
      <c r="B171" s="1" t="s">
        <v>377</v>
      </c>
      <c r="C171" s="2" t="n">
        <v>147</v>
      </c>
      <c r="D171" s="1" t="s">
        <v>22</v>
      </c>
      <c r="E171" s="1" t="s">
        <v>377</v>
      </c>
      <c r="F171" s="2" t="n">
        <v>5511950286989</v>
      </c>
      <c r="G171" s="1" t="s">
        <v>378</v>
      </c>
      <c r="I171" s="1" t="s">
        <v>34</v>
      </c>
    </row>
    <row r="172" customFormat="false" ht="14.25" hidden="false" customHeight="false" outlineLevel="0" collapsed="false">
      <c r="A172" s="1" t="s">
        <v>368</v>
      </c>
      <c r="B172" s="1" t="s">
        <v>379</v>
      </c>
      <c r="C172" s="2" t="n">
        <v>120</v>
      </c>
      <c r="D172" s="1" t="s">
        <v>21</v>
      </c>
      <c r="E172" s="1" t="s">
        <v>380</v>
      </c>
      <c r="F172" s="2" t="n">
        <v>559584389502</v>
      </c>
      <c r="G172" s="1" t="s">
        <v>381</v>
      </c>
      <c r="I172" s="1" t="s">
        <v>34</v>
      </c>
    </row>
    <row r="173" customFormat="false" ht="14.25" hidden="false" customHeight="false" outlineLevel="0" collapsed="false">
      <c r="A173" s="1" t="s">
        <v>368</v>
      </c>
      <c r="B173" s="1" t="s">
        <v>382</v>
      </c>
      <c r="C173" s="2" t="n">
        <v>500</v>
      </c>
      <c r="D173" s="1" t="s">
        <v>27</v>
      </c>
      <c r="E173" s="1" t="s">
        <v>383</v>
      </c>
      <c r="F173" s="2" t="n">
        <v>559584103861</v>
      </c>
      <c r="G173" s="1" t="s">
        <v>384</v>
      </c>
      <c r="I173" s="1" t="s">
        <v>34</v>
      </c>
    </row>
    <row r="174" customFormat="false" ht="14.25" hidden="false" customHeight="false" outlineLevel="0" collapsed="false">
      <c r="A174" s="1" t="s">
        <v>368</v>
      </c>
      <c r="B174" s="1" t="s">
        <v>385</v>
      </c>
      <c r="C174" s="2" t="n">
        <v>120</v>
      </c>
      <c r="D174" s="1" t="s">
        <v>21</v>
      </c>
      <c r="E174" s="1" t="s">
        <v>386</v>
      </c>
      <c r="F174" s="2" t="n">
        <v>554796822290</v>
      </c>
      <c r="G174" s="1" t="s">
        <v>387</v>
      </c>
      <c r="I174" s="1" t="s">
        <v>34</v>
      </c>
    </row>
    <row r="175" customFormat="false" ht="14.25" hidden="false" customHeight="false" outlineLevel="0" collapsed="false">
      <c r="A175" s="1" t="s">
        <v>388</v>
      </c>
      <c r="B175" s="1" t="s">
        <v>389</v>
      </c>
      <c r="C175" s="2" t="n">
        <v>350</v>
      </c>
      <c r="D175" s="1" t="s">
        <v>390</v>
      </c>
      <c r="E175" s="1" t="s">
        <v>391</v>
      </c>
      <c r="F175" s="2" t="n">
        <v>556592775212</v>
      </c>
      <c r="G175" s="1" t="s">
        <v>392</v>
      </c>
      <c r="I175" s="1" t="s">
        <v>34</v>
      </c>
    </row>
    <row r="176" customFormat="false" ht="14.25" hidden="false" customHeight="false" outlineLevel="0" collapsed="false">
      <c r="A176" s="1" t="s">
        <v>332</v>
      </c>
      <c r="B176" s="1" t="s">
        <v>393</v>
      </c>
      <c r="C176" s="2" t="n">
        <v>300</v>
      </c>
      <c r="D176" s="1" t="s">
        <v>21</v>
      </c>
      <c r="E176" s="1" t="s">
        <v>393</v>
      </c>
      <c r="F176" s="2" t="n">
        <v>554891393292</v>
      </c>
      <c r="G176" s="1" t="s">
        <v>394</v>
      </c>
      <c r="I176" s="1" t="s">
        <v>50</v>
      </c>
    </row>
    <row r="177" customFormat="false" ht="14.25" hidden="false" customHeight="false" outlineLevel="0" collapsed="false">
      <c r="A177" s="1" t="s">
        <v>332</v>
      </c>
      <c r="B177" s="1" t="s">
        <v>395</v>
      </c>
      <c r="C177" s="2" t="n">
        <v>120</v>
      </c>
      <c r="D177" s="1" t="s">
        <v>21</v>
      </c>
      <c r="E177" s="1" t="s">
        <v>396</v>
      </c>
      <c r="F177" s="2" t="n">
        <v>559295035429</v>
      </c>
      <c r="G177" s="1" t="s">
        <v>397</v>
      </c>
      <c r="I177" s="1" t="s">
        <v>34</v>
      </c>
    </row>
    <row r="178" customFormat="false" ht="14.25" hidden="false" customHeight="false" outlineLevel="0" collapsed="false">
      <c r="A178" s="1" t="s">
        <v>332</v>
      </c>
      <c r="B178" s="1" t="s">
        <v>398</v>
      </c>
      <c r="C178" s="2" t="n">
        <v>97</v>
      </c>
      <c r="D178" s="1" t="s">
        <v>18</v>
      </c>
      <c r="E178" s="1" t="s">
        <v>398</v>
      </c>
      <c r="F178" s="2" t="n">
        <v>554199529757</v>
      </c>
      <c r="G178" s="1" t="s">
        <v>399</v>
      </c>
      <c r="I178" s="1" t="s">
        <v>50</v>
      </c>
    </row>
    <row r="179" customFormat="false" ht="14.25" hidden="false" customHeight="false" outlineLevel="0" collapsed="false">
      <c r="A179" s="1" t="s">
        <v>368</v>
      </c>
      <c r="B179" s="1" t="s">
        <v>400</v>
      </c>
      <c r="C179" s="2" t="n">
        <v>200</v>
      </c>
      <c r="D179" s="1" t="s">
        <v>23</v>
      </c>
      <c r="E179" s="1" t="s">
        <v>400</v>
      </c>
      <c r="F179" s="2" t="n">
        <v>554198065234</v>
      </c>
      <c r="G179" s="1" t="n">
        <v>0</v>
      </c>
      <c r="I179" s="1" t="s">
        <v>34</v>
      </c>
    </row>
    <row r="180" customFormat="false" ht="14.25" hidden="false" customHeight="false" outlineLevel="0" collapsed="false">
      <c r="A180" s="1" t="s">
        <v>368</v>
      </c>
      <c r="B180" s="1" t="s">
        <v>401</v>
      </c>
      <c r="C180" s="2" t="n">
        <v>120</v>
      </c>
      <c r="D180" s="1" t="s">
        <v>30</v>
      </c>
      <c r="E180" s="1" t="s">
        <v>401</v>
      </c>
      <c r="F180" s="2" t="n">
        <v>559584270638</v>
      </c>
      <c r="G180" s="1" t="s">
        <v>402</v>
      </c>
      <c r="I180" s="1" t="s">
        <v>50</v>
      </c>
    </row>
    <row r="181" customFormat="false" ht="14.25" hidden="false" customHeight="false" outlineLevel="0" collapsed="false">
      <c r="A181" s="1" t="s">
        <v>403</v>
      </c>
      <c r="B181" s="1" t="s">
        <v>404</v>
      </c>
      <c r="C181" s="2" t="n">
        <v>150</v>
      </c>
      <c r="D181" s="1" t="s">
        <v>32</v>
      </c>
      <c r="E181" s="1" t="s">
        <v>404</v>
      </c>
      <c r="F181" s="2" t="n">
        <v>5562982116925</v>
      </c>
      <c r="G181" s="1" t="s">
        <v>43</v>
      </c>
      <c r="I181" s="1" t="s">
        <v>50</v>
      </c>
    </row>
    <row r="182" customFormat="false" ht="14.25" hidden="false" customHeight="false" outlineLevel="0" collapsed="false">
      <c r="A182" s="1" t="s">
        <v>368</v>
      </c>
      <c r="B182" s="1" t="s">
        <v>393</v>
      </c>
      <c r="C182" s="2" t="n">
        <v>180</v>
      </c>
      <c r="D182" s="1" t="s">
        <v>26</v>
      </c>
      <c r="E182" s="1" t="s">
        <v>393</v>
      </c>
      <c r="F182" s="2" t="n">
        <v>554891393292</v>
      </c>
      <c r="G182" s="1" t="s">
        <v>394</v>
      </c>
      <c r="I182" s="1" t="s">
        <v>50</v>
      </c>
    </row>
    <row r="183" customFormat="false" ht="14.25" hidden="false" customHeight="false" outlineLevel="0" collapsed="false">
      <c r="A183" s="1" t="s">
        <v>403</v>
      </c>
      <c r="B183" s="1" t="s">
        <v>405</v>
      </c>
      <c r="C183" s="2" t="n">
        <v>140</v>
      </c>
      <c r="D183" s="1" t="s">
        <v>32</v>
      </c>
      <c r="E183" s="1" t="s">
        <v>405</v>
      </c>
      <c r="F183" s="2" t="n">
        <v>555493624207</v>
      </c>
      <c r="G183" s="1" t="s">
        <v>43</v>
      </c>
      <c r="I183" s="1" t="s">
        <v>50</v>
      </c>
    </row>
    <row r="184" customFormat="false" ht="14.25" hidden="false" customHeight="false" outlineLevel="0" collapsed="false">
      <c r="A184" s="1" t="s">
        <v>403</v>
      </c>
      <c r="B184" s="1" t="s">
        <v>406</v>
      </c>
      <c r="C184" s="2" t="n">
        <v>180</v>
      </c>
      <c r="D184" s="1" t="s">
        <v>30</v>
      </c>
      <c r="E184" s="1" t="s">
        <v>407</v>
      </c>
      <c r="F184" s="2" t="n">
        <v>5352578161</v>
      </c>
      <c r="G184" s="1" t="s">
        <v>408</v>
      </c>
      <c r="I184" s="1" t="s">
        <v>34</v>
      </c>
    </row>
    <row r="185" customFormat="false" ht="14.25" hidden="false" customHeight="false" outlineLevel="0" collapsed="false">
      <c r="A185" s="1" t="s">
        <v>403</v>
      </c>
      <c r="B185" s="1" t="s">
        <v>409</v>
      </c>
      <c r="C185" s="2" t="n">
        <v>97</v>
      </c>
      <c r="D185" s="1" t="s">
        <v>30</v>
      </c>
      <c r="E185" s="1" t="s">
        <v>410</v>
      </c>
      <c r="F185" s="2" t="n">
        <v>556182203911</v>
      </c>
      <c r="G185" s="1" t="s">
        <v>411</v>
      </c>
      <c r="I185" s="1" t="s">
        <v>50</v>
      </c>
    </row>
    <row r="186" customFormat="false" ht="14.25" hidden="false" customHeight="false" outlineLevel="0" collapsed="false">
      <c r="A186" s="1" t="s">
        <v>403</v>
      </c>
      <c r="B186" s="1" t="s">
        <v>412</v>
      </c>
      <c r="C186" s="2" t="n">
        <v>360</v>
      </c>
      <c r="D186" s="1" t="s">
        <v>30</v>
      </c>
      <c r="E186" s="1" t="s">
        <v>413</v>
      </c>
      <c r="F186" s="2" t="n">
        <v>555496030412</v>
      </c>
      <c r="G186" s="1" t="s">
        <v>414</v>
      </c>
      <c r="I186" s="1" t="s">
        <v>34</v>
      </c>
    </row>
    <row r="187" customFormat="false" ht="14.25" hidden="false" customHeight="false" outlineLevel="0" collapsed="false">
      <c r="A187" s="1" t="s">
        <v>403</v>
      </c>
      <c r="B187" s="1" t="s">
        <v>415</v>
      </c>
      <c r="C187" s="2" t="n">
        <v>147</v>
      </c>
      <c r="D187" s="1" t="s">
        <v>30</v>
      </c>
      <c r="E187" s="1" t="s">
        <v>415</v>
      </c>
      <c r="F187" s="2" t="n">
        <v>555497130115</v>
      </c>
      <c r="G187" s="1" t="s">
        <v>33</v>
      </c>
      <c r="I187" s="1" t="s">
        <v>34</v>
      </c>
    </row>
    <row r="188" customFormat="false" ht="14.25" hidden="false" customHeight="false" outlineLevel="0" collapsed="false">
      <c r="A188" s="1" t="s">
        <v>403</v>
      </c>
      <c r="B188" s="1" t="s">
        <v>416</v>
      </c>
      <c r="C188" s="2" t="n">
        <v>250</v>
      </c>
      <c r="D188" s="1" t="s">
        <v>30</v>
      </c>
      <c r="E188" s="1" t="s">
        <v>416</v>
      </c>
      <c r="F188" s="2" t="n">
        <v>555492623688</v>
      </c>
      <c r="G188" s="1" t="s">
        <v>417</v>
      </c>
      <c r="I188" s="1" t="s">
        <v>54</v>
      </c>
    </row>
    <row r="189" customFormat="false" ht="14.25" hidden="false" customHeight="false" outlineLevel="0" collapsed="false">
      <c r="A189" s="1" t="s">
        <v>403</v>
      </c>
      <c r="B189" s="1" t="s">
        <v>418</v>
      </c>
      <c r="C189" s="2" t="n">
        <v>500</v>
      </c>
      <c r="D189" s="1" t="s">
        <v>27</v>
      </c>
      <c r="E189" s="1" t="s">
        <v>419</v>
      </c>
      <c r="F189" s="2" t="n">
        <v>554791936352</v>
      </c>
      <c r="G189" s="1" t="s">
        <v>420</v>
      </c>
      <c r="I189" s="1" t="s">
        <v>34</v>
      </c>
    </row>
    <row r="190" customFormat="false" ht="14.25" hidden="false" customHeight="false" outlineLevel="0" collapsed="false">
      <c r="A190" s="1" t="s">
        <v>368</v>
      </c>
      <c r="B190" s="1" t="s">
        <v>400</v>
      </c>
      <c r="C190" s="2" t="n">
        <v>750</v>
      </c>
      <c r="D190" s="1" t="s">
        <v>106</v>
      </c>
      <c r="E190" s="1" t="s">
        <v>400</v>
      </c>
      <c r="F190" s="2" t="n">
        <v>554198065234</v>
      </c>
      <c r="G190" s="1" t="n">
        <v>0</v>
      </c>
      <c r="I190" s="1" t="s">
        <v>34</v>
      </c>
    </row>
    <row r="191" customFormat="false" ht="14.25" hidden="false" customHeight="false" outlineLevel="0" collapsed="false">
      <c r="A191" s="1" t="s">
        <v>403</v>
      </c>
      <c r="B191" s="1" t="s">
        <v>421</v>
      </c>
      <c r="C191" s="2" t="n">
        <v>500</v>
      </c>
      <c r="D191" s="1" t="s">
        <v>27</v>
      </c>
      <c r="E191" s="1" t="s">
        <v>422</v>
      </c>
      <c r="F191" s="2" t="n">
        <v>554891612707</v>
      </c>
      <c r="G191" s="1" t="s">
        <v>423</v>
      </c>
      <c r="I191" s="1" t="s">
        <v>34</v>
      </c>
    </row>
    <row r="192" customFormat="false" ht="14.25" hidden="false" customHeight="false" outlineLevel="0" collapsed="false">
      <c r="A192" s="1" t="s">
        <v>403</v>
      </c>
      <c r="B192" s="1" t="s">
        <v>424</v>
      </c>
      <c r="C192" s="2" t="n">
        <v>120</v>
      </c>
      <c r="D192" s="1" t="s">
        <v>21</v>
      </c>
      <c r="E192" s="1" t="s">
        <v>424</v>
      </c>
      <c r="F192" s="2" t="n">
        <v>559684379823</v>
      </c>
      <c r="G192" s="1" t="s">
        <v>43</v>
      </c>
      <c r="I192" s="1" t="s">
        <v>50</v>
      </c>
    </row>
    <row r="193" customFormat="false" ht="14.25" hidden="false" customHeight="false" outlineLevel="0" collapsed="false">
      <c r="A193" s="1" t="s">
        <v>403</v>
      </c>
      <c r="B193" s="1" t="s">
        <v>425</v>
      </c>
      <c r="C193" s="2" t="n">
        <v>150</v>
      </c>
      <c r="D193" s="1" t="s">
        <v>32</v>
      </c>
      <c r="E193" s="1" t="s">
        <v>425</v>
      </c>
      <c r="F193" s="2" t="n">
        <v>559185551838</v>
      </c>
      <c r="G193" s="1" t="s">
        <v>426</v>
      </c>
      <c r="I193" s="1" t="s">
        <v>50</v>
      </c>
    </row>
    <row r="194" customFormat="false" ht="14.25" hidden="false" customHeight="false" outlineLevel="0" collapsed="false">
      <c r="A194" s="1" t="s">
        <v>368</v>
      </c>
      <c r="B194" s="1" t="s">
        <v>427</v>
      </c>
      <c r="C194" s="2" t="n">
        <v>147</v>
      </c>
      <c r="D194" s="1" t="s">
        <v>390</v>
      </c>
      <c r="E194" s="1" t="s">
        <v>427</v>
      </c>
      <c r="F194" s="2" t="n">
        <v>554198341904</v>
      </c>
      <c r="G194" s="1" t="s">
        <v>428</v>
      </c>
      <c r="I194" s="1" t="s">
        <v>54</v>
      </c>
    </row>
    <row r="195" customFormat="false" ht="14.25" hidden="false" customHeight="false" outlineLevel="0" collapsed="false">
      <c r="A195" s="1" t="s">
        <v>403</v>
      </c>
      <c r="B195" s="1" t="s">
        <v>429</v>
      </c>
      <c r="C195" s="2" t="n">
        <v>97</v>
      </c>
      <c r="D195" s="1" t="s">
        <v>20</v>
      </c>
      <c r="E195" s="1" t="s">
        <v>430</v>
      </c>
      <c r="F195" s="2" t="n">
        <v>554195465524</v>
      </c>
      <c r="G195" s="1" t="s">
        <v>431</v>
      </c>
      <c r="I195" s="1" t="s">
        <v>355</v>
      </c>
      <c r="J195" s="1" t="s">
        <v>35</v>
      </c>
      <c r="K195" s="1" t="s">
        <v>36</v>
      </c>
      <c r="L195" s="1" t="s">
        <v>37</v>
      </c>
      <c r="M195" s="1" t="s">
        <v>38</v>
      </c>
    </row>
    <row r="196" customFormat="false" ht="14.25" hidden="false" customHeight="false" outlineLevel="0" collapsed="false">
      <c r="A196" s="1" t="s">
        <v>403</v>
      </c>
      <c r="B196" s="1" t="s">
        <v>432</v>
      </c>
      <c r="C196" s="2" t="n">
        <v>147</v>
      </c>
      <c r="D196" s="1" t="s">
        <v>390</v>
      </c>
      <c r="E196" s="1" t="s">
        <v>432</v>
      </c>
      <c r="F196" s="2" t="n">
        <v>554789227501</v>
      </c>
      <c r="G196" s="1" t="s">
        <v>433</v>
      </c>
      <c r="I196" s="1" t="s">
        <v>50</v>
      </c>
    </row>
    <row r="197" customFormat="false" ht="14.25" hidden="false" customHeight="false" outlineLevel="0" collapsed="false">
      <c r="A197" s="1" t="s">
        <v>403</v>
      </c>
      <c r="B197" s="1" t="s">
        <v>313</v>
      </c>
      <c r="C197" s="2" t="n">
        <v>147</v>
      </c>
      <c r="D197" s="1" t="s">
        <v>18</v>
      </c>
      <c r="E197" s="1" t="s">
        <v>313</v>
      </c>
      <c r="F197" s="2" t="n">
        <v>554991857313</v>
      </c>
      <c r="G197" s="1" t="s">
        <v>314</v>
      </c>
      <c r="I197" s="1" t="s">
        <v>34</v>
      </c>
    </row>
    <row r="198" customFormat="false" ht="14.25" hidden="false" customHeight="false" outlineLevel="0" collapsed="false">
      <c r="A198" s="1" t="s">
        <v>434</v>
      </c>
      <c r="B198" s="1" t="s">
        <v>435</v>
      </c>
      <c r="C198" s="2" t="n">
        <v>147</v>
      </c>
      <c r="D198" s="1" t="s">
        <v>22</v>
      </c>
      <c r="E198" s="1" t="s">
        <v>436</v>
      </c>
      <c r="F198" s="2" t="n">
        <v>554796394436</v>
      </c>
      <c r="G198" s="1" t="s">
        <v>437</v>
      </c>
      <c r="I198" s="1" t="s">
        <v>34</v>
      </c>
    </row>
    <row r="199" customFormat="false" ht="14.25" hidden="false" customHeight="false" outlineLevel="0" collapsed="false">
      <c r="A199" s="1" t="s">
        <v>434</v>
      </c>
      <c r="B199" s="1" t="s">
        <v>438</v>
      </c>
      <c r="C199" s="2" t="n">
        <v>150</v>
      </c>
      <c r="D199" s="1" t="s">
        <v>32</v>
      </c>
      <c r="E199" s="1" t="s">
        <v>438</v>
      </c>
      <c r="F199" s="2" t="n">
        <v>556182281409</v>
      </c>
      <c r="G199" s="1" t="s">
        <v>33</v>
      </c>
      <c r="I199" s="1" t="s">
        <v>34</v>
      </c>
    </row>
    <row r="200" customFormat="false" ht="14.25" hidden="false" customHeight="false" outlineLevel="0" collapsed="false">
      <c r="A200" s="1" t="s">
        <v>434</v>
      </c>
      <c r="B200" s="1" t="s">
        <v>439</v>
      </c>
      <c r="C200" s="2" t="n">
        <v>150</v>
      </c>
      <c r="D200" s="1" t="s">
        <v>32</v>
      </c>
      <c r="E200" s="1" t="s">
        <v>440</v>
      </c>
      <c r="F200" s="2" t="n">
        <v>556191246670</v>
      </c>
      <c r="G200" s="1" t="s">
        <v>441</v>
      </c>
      <c r="I200" s="1" t="s">
        <v>355</v>
      </c>
    </row>
    <row r="201" customFormat="false" ht="14.25" hidden="false" customHeight="false" outlineLevel="0" collapsed="false">
      <c r="A201" s="1" t="s">
        <v>434</v>
      </c>
      <c r="B201" s="1" t="s">
        <v>442</v>
      </c>
      <c r="C201" s="2" t="n">
        <v>140</v>
      </c>
      <c r="D201" s="1" t="s">
        <v>32</v>
      </c>
      <c r="E201" s="1" t="s">
        <v>442</v>
      </c>
      <c r="F201" s="2" t="n">
        <v>5519981574706</v>
      </c>
      <c r="G201" s="1" t="s">
        <v>443</v>
      </c>
      <c r="I201" s="1" t="s">
        <v>34</v>
      </c>
      <c r="J201" s="1" t="s">
        <v>35</v>
      </c>
      <c r="K201" s="1" t="s">
        <v>36</v>
      </c>
      <c r="L201" s="1" t="s">
        <v>37</v>
      </c>
      <c r="M201" s="1" t="s">
        <v>38</v>
      </c>
    </row>
    <row r="202" customFormat="false" ht="14.25" hidden="false" customHeight="false" outlineLevel="0" collapsed="false">
      <c r="A202" s="1" t="s">
        <v>434</v>
      </c>
      <c r="C202" s="2" t="n">
        <v>150</v>
      </c>
      <c r="D202" s="1" t="s">
        <v>32</v>
      </c>
      <c r="E202" s="1" t="s">
        <v>444</v>
      </c>
      <c r="F202" s="2" t="n">
        <v>559584301375</v>
      </c>
      <c r="G202" s="1" t="s">
        <v>43</v>
      </c>
      <c r="I202" s="1" t="s">
        <v>50</v>
      </c>
    </row>
    <row r="203" customFormat="false" ht="14.25" hidden="false" customHeight="false" outlineLevel="0" collapsed="false">
      <c r="A203" s="1" t="s">
        <v>434</v>
      </c>
      <c r="B203" s="1" t="s">
        <v>445</v>
      </c>
      <c r="C203" s="2" t="n">
        <v>150</v>
      </c>
      <c r="D203" s="1" t="s">
        <v>32</v>
      </c>
      <c r="E203" s="1" t="s">
        <v>445</v>
      </c>
      <c r="F203" s="2" t="n">
        <v>5978206983</v>
      </c>
      <c r="G203" s="1" t="s">
        <v>446</v>
      </c>
      <c r="I203" s="1" t="s">
        <v>34</v>
      </c>
    </row>
    <row r="204" customFormat="false" ht="14.25" hidden="false" customHeight="false" outlineLevel="0" collapsed="false">
      <c r="A204" s="1" t="s">
        <v>434</v>
      </c>
      <c r="B204" s="1" t="s">
        <v>447</v>
      </c>
      <c r="C204" s="2" t="n">
        <v>90</v>
      </c>
      <c r="D204" s="1" t="s">
        <v>20</v>
      </c>
      <c r="E204" s="1" t="s">
        <v>448</v>
      </c>
      <c r="F204" s="2" t="n">
        <v>555180467608</v>
      </c>
      <c r="G204" s="1" t="s">
        <v>449</v>
      </c>
      <c r="I204" s="1" t="s">
        <v>34</v>
      </c>
    </row>
    <row r="205" customFormat="false" ht="14.25" hidden="false" customHeight="false" outlineLevel="0" collapsed="false">
      <c r="A205" s="1" t="s">
        <v>434</v>
      </c>
      <c r="B205" s="1" t="s">
        <v>450</v>
      </c>
      <c r="C205" s="2" t="n">
        <v>150</v>
      </c>
      <c r="D205" s="1" t="s">
        <v>29</v>
      </c>
      <c r="E205" s="1" t="s">
        <v>450</v>
      </c>
      <c r="F205" s="2" t="n">
        <v>556796990362</v>
      </c>
      <c r="G205" s="1" t="s">
        <v>451</v>
      </c>
      <c r="I205" s="1" t="s">
        <v>50</v>
      </c>
    </row>
    <row r="206" customFormat="false" ht="14.25" hidden="false" customHeight="false" outlineLevel="0" collapsed="false">
      <c r="A206" s="1" t="s">
        <v>434</v>
      </c>
      <c r="B206" s="1" t="s">
        <v>452</v>
      </c>
      <c r="C206" s="2" t="n">
        <v>147</v>
      </c>
      <c r="D206" s="1" t="s">
        <v>18</v>
      </c>
      <c r="E206" s="1" t="s">
        <v>452</v>
      </c>
      <c r="F206" s="2" t="n">
        <v>554188940578</v>
      </c>
      <c r="G206" s="1" t="s">
        <v>453</v>
      </c>
      <c r="I206" s="1" t="s">
        <v>355</v>
      </c>
    </row>
    <row r="207" customFormat="false" ht="14.25" hidden="false" customHeight="false" outlineLevel="0" collapsed="false">
      <c r="A207" s="1" t="s">
        <v>434</v>
      </c>
      <c r="B207" s="1" t="s">
        <v>454</v>
      </c>
      <c r="C207" s="2" t="n">
        <v>150</v>
      </c>
      <c r="D207" s="1" t="s">
        <v>32</v>
      </c>
      <c r="E207" s="1" t="s">
        <v>454</v>
      </c>
      <c r="F207" s="2" t="n">
        <v>559584150760</v>
      </c>
      <c r="G207" s="1" t="s">
        <v>455</v>
      </c>
      <c r="I207" s="1" t="s">
        <v>355</v>
      </c>
    </row>
    <row r="208" customFormat="false" ht="14.25" hidden="false" customHeight="false" outlineLevel="0" collapsed="false">
      <c r="A208" s="1" t="s">
        <v>434</v>
      </c>
      <c r="B208" s="1" t="s">
        <v>456</v>
      </c>
      <c r="C208" s="2" t="n">
        <v>480</v>
      </c>
      <c r="D208" s="1" t="s">
        <v>21</v>
      </c>
      <c r="E208" s="1" t="s">
        <v>456</v>
      </c>
      <c r="F208" s="2" t="n">
        <v>554899373488</v>
      </c>
      <c r="G208" s="1" t="s">
        <v>457</v>
      </c>
      <c r="I208" s="1" t="s">
        <v>50</v>
      </c>
    </row>
    <row r="209" customFormat="false" ht="14.25" hidden="false" customHeight="false" outlineLevel="0" collapsed="false">
      <c r="A209" s="1" t="s">
        <v>403</v>
      </c>
      <c r="B209" s="1" t="s">
        <v>336</v>
      </c>
      <c r="C209" s="2" t="n">
        <v>150</v>
      </c>
      <c r="D209" s="1" t="s">
        <v>32</v>
      </c>
      <c r="E209" s="1" t="s">
        <v>336</v>
      </c>
      <c r="F209" s="2" t="n">
        <v>5511991061427</v>
      </c>
      <c r="G209" s="1" t="s">
        <v>337</v>
      </c>
      <c r="I209" s="1" t="s">
        <v>50</v>
      </c>
    </row>
    <row r="210" customFormat="false" ht="14.25" hidden="false" customHeight="false" outlineLevel="0" collapsed="false">
      <c r="A210" s="1" t="s">
        <v>434</v>
      </c>
      <c r="B210" s="1" t="s">
        <v>458</v>
      </c>
      <c r="C210" s="2" t="n">
        <v>200</v>
      </c>
      <c r="D210" s="1" t="s">
        <v>23</v>
      </c>
      <c r="E210" s="1" t="s">
        <v>458</v>
      </c>
      <c r="F210" s="2" t="n">
        <v>558481672392</v>
      </c>
      <c r="G210" s="1" t="s">
        <v>43</v>
      </c>
      <c r="I210" s="1" t="s">
        <v>50</v>
      </c>
    </row>
    <row r="211" customFormat="false" ht="14.25" hidden="false" customHeight="false" outlineLevel="0" collapsed="false">
      <c r="A211" s="1" t="s">
        <v>434</v>
      </c>
      <c r="B211" s="1" t="s">
        <v>171</v>
      </c>
      <c r="C211" s="2" t="n">
        <v>500</v>
      </c>
      <c r="D211" s="1" t="s">
        <v>106</v>
      </c>
      <c r="E211" s="1" t="s">
        <v>171</v>
      </c>
      <c r="F211" s="2" t="n">
        <v>556593121934</v>
      </c>
      <c r="G211" s="1" t="s">
        <v>172</v>
      </c>
      <c r="I211" s="1" t="s">
        <v>34</v>
      </c>
    </row>
    <row r="212" customFormat="false" ht="14.25" hidden="false" customHeight="false" outlineLevel="0" collapsed="false">
      <c r="A212" s="1" t="s">
        <v>434</v>
      </c>
      <c r="B212" s="1" t="s">
        <v>459</v>
      </c>
      <c r="C212" s="2" t="n">
        <v>60</v>
      </c>
      <c r="D212" s="1" t="s">
        <v>25</v>
      </c>
      <c r="E212" s="1" t="s">
        <v>459</v>
      </c>
      <c r="F212" s="2" t="n">
        <v>554184546223</v>
      </c>
      <c r="G212" s="1" t="s">
        <v>460</v>
      </c>
      <c r="I212" s="1" t="s">
        <v>50</v>
      </c>
      <c r="J212" s="1" t="s">
        <v>35</v>
      </c>
      <c r="K212" s="1" t="s">
        <v>36</v>
      </c>
      <c r="L212" s="1" t="s">
        <v>37</v>
      </c>
      <c r="M212" s="1" t="s">
        <v>38</v>
      </c>
    </row>
    <row r="213" customFormat="false" ht="14.25" hidden="false" customHeight="false" outlineLevel="0" collapsed="false">
      <c r="A213" s="1" t="s">
        <v>388</v>
      </c>
      <c r="B213" s="1" t="s">
        <v>461</v>
      </c>
      <c r="C213" s="2" t="n">
        <v>120</v>
      </c>
      <c r="D213" s="1" t="s">
        <v>30</v>
      </c>
      <c r="E213" s="1" t="s">
        <v>462</v>
      </c>
      <c r="F213" s="2" t="n">
        <v>554891355259</v>
      </c>
      <c r="G213" s="1" t="s">
        <v>463</v>
      </c>
      <c r="I213" s="1" t="s">
        <v>50</v>
      </c>
    </row>
    <row r="214" customFormat="false" ht="14.25" hidden="false" customHeight="false" outlineLevel="0" collapsed="false">
      <c r="A214" s="1" t="s">
        <v>388</v>
      </c>
      <c r="B214" s="1" t="s">
        <v>464</v>
      </c>
      <c r="C214" s="2" t="n">
        <v>97</v>
      </c>
      <c r="D214" s="1" t="s">
        <v>20</v>
      </c>
      <c r="E214" s="1" t="s">
        <v>464</v>
      </c>
      <c r="F214" s="2" t="n">
        <v>554199077538</v>
      </c>
      <c r="G214" s="1" t="s">
        <v>465</v>
      </c>
      <c r="I214" s="1" t="s">
        <v>50</v>
      </c>
    </row>
    <row r="215" customFormat="false" ht="14.25" hidden="false" customHeight="false" outlineLevel="0" collapsed="false">
      <c r="A215" s="1" t="s">
        <v>434</v>
      </c>
      <c r="B215" s="1" t="s">
        <v>466</v>
      </c>
      <c r="C215" s="2" t="n">
        <v>97</v>
      </c>
      <c r="D215" s="1" t="s">
        <v>30</v>
      </c>
      <c r="E215" s="1" t="s">
        <v>466</v>
      </c>
      <c r="F215" s="2" t="n">
        <v>5519981715481</v>
      </c>
      <c r="G215" s="1" t="s">
        <v>467</v>
      </c>
      <c r="I215" s="1" t="s">
        <v>50</v>
      </c>
    </row>
    <row r="216" customFormat="false" ht="14.25" hidden="false" customHeight="false" outlineLevel="0" collapsed="false">
      <c r="A216" s="1" t="s">
        <v>388</v>
      </c>
      <c r="B216" s="1" t="s">
        <v>468</v>
      </c>
      <c r="C216" s="2" t="n">
        <v>97</v>
      </c>
      <c r="D216" s="1" t="s">
        <v>20</v>
      </c>
      <c r="E216" s="1" t="s">
        <v>468</v>
      </c>
      <c r="F216" s="2" t="n">
        <v>559574000950</v>
      </c>
      <c r="G216" s="1" t="s">
        <v>43</v>
      </c>
      <c r="I216" s="1" t="s">
        <v>50</v>
      </c>
      <c r="J216" s="1" t="s">
        <v>97</v>
      </c>
      <c r="K216" s="1" t="s">
        <v>20</v>
      </c>
      <c r="L216" s="1" t="s">
        <v>469</v>
      </c>
      <c r="M216" s="1" t="s">
        <v>99</v>
      </c>
    </row>
    <row r="217" customFormat="false" ht="14.25" hidden="false" customHeight="false" outlineLevel="0" collapsed="false">
      <c r="A217" s="1" t="s">
        <v>388</v>
      </c>
      <c r="B217" s="1" t="s">
        <v>470</v>
      </c>
      <c r="C217" s="2" t="n">
        <v>50</v>
      </c>
      <c r="D217" s="1" t="s">
        <v>25</v>
      </c>
      <c r="E217" s="1" t="s">
        <v>470</v>
      </c>
      <c r="F217" s="2" t="n">
        <v>5554999456197</v>
      </c>
      <c r="G217" s="1" t="s">
        <v>33</v>
      </c>
      <c r="I217" s="1" t="s">
        <v>355</v>
      </c>
    </row>
    <row r="218" customFormat="false" ht="14.25" hidden="false" customHeight="false" outlineLevel="0" collapsed="false">
      <c r="A218" s="1" t="s">
        <v>388</v>
      </c>
      <c r="B218" s="1" t="s">
        <v>471</v>
      </c>
      <c r="C218" s="2" t="n">
        <v>120</v>
      </c>
      <c r="D218" s="1" t="s">
        <v>30</v>
      </c>
      <c r="E218" s="1" t="s">
        <v>471</v>
      </c>
      <c r="F218" s="2" t="n">
        <v>5511981656902</v>
      </c>
      <c r="G218" s="1" t="s">
        <v>472</v>
      </c>
      <c r="I218" s="1" t="s">
        <v>50</v>
      </c>
      <c r="J218" s="1" t="s">
        <v>35</v>
      </c>
      <c r="K218" s="1" t="s">
        <v>36</v>
      </c>
      <c r="L218" s="1" t="s">
        <v>37</v>
      </c>
      <c r="M218" s="1" t="s">
        <v>38</v>
      </c>
    </row>
    <row r="219" customFormat="false" ht="14.25" hidden="false" customHeight="false" outlineLevel="0" collapsed="false">
      <c r="A219" s="1" t="s">
        <v>388</v>
      </c>
      <c r="B219" s="1" t="s">
        <v>473</v>
      </c>
      <c r="C219" s="2" t="n">
        <v>150</v>
      </c>
      <c r="D219" s="1" t="s">
        <v>474</v>
      </c>
      <c r="E219" s="1" t="s">
        <v>473</v>
      </c>
      <c r="F219" s="2" t="n">
        <v>559691115942</v>
      </c>
      <c r="G219" s="1" t="s">
        <v>475</v>
      </c>
      <c r="I219" s="1" t="s">
        <v>50</v>
      </c>
    </row>
    <row r="220" customFormat="false" ht="14.25" hidden="false" customHeight="false" outlineLevel="0" collapsed="false">
      <c r="A220" s="1" t="s">
        <v>388</v>
      </c>
      <c r="B220" s="1" t="s">
        <v>476</v>
      </c>
      <c r="C220" s="2" t="n">
        <v>150</v>
      </c>
      <c r="D220" s="1" t="s">
        <v>32</v>
      </c>
      <c r="E220" s="1" t="s">
        <v>476</v>
      </c>
      <c r="F220" s="2" t="n">
        <v>5515988353024</v>
      </c>
      <c r="G220" s="1" t="s">
        <v>477</v>
      </c>
      <c r="I220" s="1" t="s">
        <v>34</v>
      </c>
    </row>
    <row r="221" customFormat="false" ht="14.25" hidden="false" customHeight="false" outlineLevel="0" collapsed="false">
      <c r="A221" s="1" t="s">
        <v>388</v>
      </c>
      <c r="B221" s="1" t="s">
        <v>478</v>
      </c>
      <c r="C221" s="2" t="n">
        <v>147</v>
      </c>
      <c r="D221" s="1" t="s">
        <v>18</v>
      </c>
      <c r="E221" s="1" t="s">
        <v>479</v>
      </c>
      <c r="F221" s="2" t="n">
        <v>556892494439</v>
      </c>
      <c r="G221" s="1" t="s">
        <v>480</v>
      </c>
      <c r="I221" s="1" t="s">
        <v>34</v>
      </c>
      <c r="J221" s="1" t="s">
        <v>35</v>
      </c>
      <c r="K221" s="1" t="s">
        <v>36</v>
      </c>
      <c r="L221" s="1" t="s">
        <v>37</v>
      </c>
      <c r="M221" s="1" t="s">
        <v>38</v>
      </c>
    </row>
    <row r="222" customFormat="false" ht="14.25" hidden="false" customHeight="false" outlineLevel="0" collapsed="false">
      <c r="A222" s="1" t="s">
        <v>388</v>
      </c>
      <c r="B222" s="1" t="s">
        <v>481</v>
      </c>
      <c r="C222" s="2" t="n">
        <v>194</v>
      </c>
      <c r="D222" s="1" t="s">
        <v>20</v>
      </c>
      <c r="E222" s="1" t="s">
        <v>481</v>
      </c>
      <c r="F222" s="2" t="n">
        <v>554799469458</v>
      </c>
      <c r="G222" s="1" t="s">
        <v>482</v>
      </c>
      <c r="I222" s="1" t="s">
        <v>355</v>
      </c>
    </row>
    <row r="223" customFormat="false" ht="14.25" hidden="false" customHeight="false" outlineLevel="0" collapsed="false">
      <c r="A223" s="1" t="s">
        <v>388</v>
      </c>
      <c r="B223" s="1" t="s">
        <v>483</v>
      </c>
      <c r="C223" s="2" t="n">
        <v>450</v>
      </c>
      <c r="D223" s="1" t="s">
        <v>29</v>
      </c>
      <c r="E223" s="1" t="s">
        <v>484</v>
      </c>
      <c r="F223" s="2" t="n">
        <v>5515998719885</v>
      </c>
      <c r="G223" s="1" t="s">
        <v>485</v>
      </c>
      <c r="I223" s="1" t="s">
        <v>355</v>
      </c>
    </row>
    <row r="224" customFormat="false" ht="14.25" hidden="false" customHeight="false" outlineLevel="0" collapsed="false">
      <c r="A224" s="1" t="s">
        <v>388</v>
      </c>
      <c r="B224" s="1" t="s">
        <v>486</v>
      </c>
      <c r="C224" s="2" t="n">
        <v>150</v>
      </c>
      <c r="D224" s="1" t="s">
        <v>32</v>
      </c>
      <c r="E224" s="1" t="s">
        <v>486</v>
      </c>
      <c r="F224" s="2" t="n">
        <v>555491051058</v>
      </c>
      <c r="G224" s="1" t="s">
        <v>487</v>
      </c>
      <c r="I224" s="1" t="s">
        <v>355</v>
      </c>
    </row>
    <row r="225" customFormat="false" ht="14.25" hidden="false" customHeight="false" outlineLevel="0" collapsed="false">
      <c r="A225" s="1" t="s">
        <v>388</v>
      </c>
      <c r="B225" s="1" t="s">
        <v>488</v>
      </c>
      <c r="C225" s="2" t="n">
        <v>120</v>
      </c>
      <c r="D225" s="1" t="s">
        <v>25</v>
      </c>
      <c r="E225" s="1" t="s">
        <v>488</v>
      </c>
      <c r="F225" s="2" t="n">
        <v>554888148413</v>
      </c>
      <c r="G225" s="1" t="s">
        <v>489</v>
      </c>
      <c r="I225" s="1" t="s">
        <v>355</v>
      </c>
    </row>
    <row r="226" customFormat="false" ht="14.25" hidden="false" customHeight="false" outlineLevel="0" collapsed="false">
      <c r="A226" s="1" t="s">
        <v>388</v>
      </c>
      <c r="B226" s="1" t="s">
        <v>490</v>
      </c>
      <c r="C226" s="2" t="n">
        <v>97</v>
      </c>
      <c r="D226" s="1" t="s">
        <v>21</v>
      </c>
      <c r="E226" s="1" t="s">
        <v>490</v>
      </c>
      <c r="F226" s="2" t="n">
        <v>554899546712</v>
      </c>
      <c r="G226" s="1" t="s">
        <v>491</v>
      </c>
      <c r="I226" s="1" t="s">
        <v>355</v>
      </c>
    </row>
    <row r="227" customFormat="false" ht="14.25" hidden="false" customHeight="false" outlineLevel="0" collapsed="false">
      <c r="A227" s="1" t="s">
        <v>388</v>
      </c>
      <c r="B227" s="1" t="s">
        <v>492</v>
      </c>
      <c r="C227" s="2" t="n">
        <v>150</v>
      </c>
      <c r="D227" s="1" t="s">
        <v>32</v>
      </c>
      <c r="E227" s="1" t="s">
        <v>493</v>
      </c>
      <c r="F227" s="2" t="n">
        <v>559591515615</v>
      </c>
      <c r="G227" s="1" t="s">
        <v>33</v>
      </c>
      <c r="I227" s="1" t="s">
        <v>34</v>
      </c>
      <c r="J227" s="1" t="s">
        <v>35</v>
      </c>
      <c r="K227" s="1" t="s">
        <v>36</v>
      </c>
      <c r="L227" s="1" t="s">
        <v>37</v>
      </c>
      <c r="M227" s="1" t="s">
        <v>38</v>
      </c>
    </row>
    <row r="228" customFormat="false" ht="14.25" hidden="false" customHeight="false" outlineLevel="0" collapsed="false">
      <c r="A228" s="1" t="s">
        <v>388</v>
      </c>
      <c r="B228" s="1" t="s">
        <v>494</v>
      </c>
      <c r="C228" s="2" t="n">
        <v>294</v>
      </c>
      <c r="D228" s="1" t="s">
        <v>18</v>
      </c>
      <c r="E228" s="1" t="s">
        <v>495</v>
      </c>
      <c r="F228" s="2" t="n">
        <v>553799589574</v>
      </c>
      <c r="G228" s="1" t="s">
        <v>496</v>
      </c>
      <c r="I228" s="1" t="s">
        <v>34</v>
      </c>
      <c r="J228" s="1" t="s">
        <v>35</v>
      </c>
      <c r="K228" s="1" t="s">
        <v>69</v>
      </c>
      <c r="L228" s="1" t="s">
        <v>70</v>
      </c>
      <c r="M228" s="1" t="s">
        <v>38</v>
      </c>
    </row>
    <row r="229" customFormat="false" ht="14.25" hidden="false" customHeight="false" outlineLevel="0" collapsed="false">
      <c r="A229" s="1" t="s">
        <v>388</v>
      </c>
      <c r="B229" s="1" t="s">
        <v>497</v>
      </c>
      <c r="C229" s="2" t="n">
        <v>90</v>
      </c>
      <c r="D229" s="1" t="s">
        <v>20</v>
      </c>
      <c r="E229" s="1" t="s">
        <v>498</v>
      </c>
      <c r="F229" s="2" t="n">
        <v>559574003780</v>
      </c>
      <c r="G229" s="1" t="s">
        <v>499</v>
      </c>
      <c r="I229" s="1" t="s">
        <v>355</v>
      </c>
      <c r="J229" s="1" t="s">
        <v>35</v>
      </c>
      <c r="K229" s="1" t="s">
        <v>36</v>
      </c>
      <c r="L229" s="1" t="s">
        <v>37</v>
      </c>
      <c r="M229" s="1" t="s">
        <v>38</v>
      </c>
    </row>
    <row r="230" customFormat="false" ht="14.25" hidden="false" customHeight="false" outlineLevel="0" collapsed="false">
      <c r="A230" s="1" t="s">
        <v>388</v>
      </c>
      <c r="B230" s="1" t="s">
        <v>500</v>
      </c>
      <c r="C230" s="2" t="n">
        <v>160</v>
      </c>
      <c r="D230" s="1" t="s">
        <v>20</v>
      </c>
      <c r="E230" s="1" t="s">
        <v>150</v>
      </c>
      <c r="F230" s="2" t="n">
        <v>5513996062412</v>
      </c>
      <c r="G230" s="1" t="s">
        <v>45</v>
      </c>
      <c r="I230" s="1" t="s">
        <v>34</v>
      </c>
    </row>
    <row r="231" customFormat="false" ht="14.25" hidden="false" customHeight="false" outlineLevel="0" collapsed="false">
      <c r="A231" s="1" t="s">
        <v>388</v>
      </c>
      <c r="B231" s="1" t="s">
        <v>501</v>
      </c>
      <c r="C231" s="2" t="n">
        <v>300</v>
      </c>
      <c r="D231" s="1" t="s">
        <v>106</v>
      </c>
      <c r="E231" s="1" t="s">
        <v>502</v>
      </c>
      <c r="F231" s="2" t="n">
        <v>556184883893</v>
      </c>
      <c r="G231" s="1" t="s">
        <v>33</v>
      </c>
      <c r="I231" s="1" t="s">
        <v>34</v>
      </c>
    </row>
    <row r="232" customFormat="false" ht="14.25" hidden="false" customHeight="false" outlineLevel="0" collapsed="false">
      <c r="A232" s="1" t="s">
        <v>388</v>
      </c>
      <c r="B232" s="1" t="s">
        <v>503</v>
      </c>
      <c r="C232" s="2" t="n">
        <v>300</v>
      </c>
      <c r="D232" s="1" t="s">
        <v>24</v>
      </c>
      <c r="E232" s="1" t="s">
        <v>504</v>
      </c>
      <c r="F232" s="2" t="n">
        <v>559584275807</v>
      </c>
      <c r="G232" s="1" t="s">
        <v>505</v>
      </c>
      <c r="I232" s="1" t="s">
        <v>50</v>
      </c>
    </row>
    <row r="233" customFormat="false" ht="14.25" hidden="false" customHeight="false" outlineLevel="0" collapsed="false">
      <c r="A233" s="1" t="s">
        <v>388</v>
      </c>
      <c r="B233" s="1" t="s">
        <v>506</v>
      </c>
      <c r="C233" s="2" t="n">
        <v>150</v>
      </c>
      <c r="D233" s="1" t="s">
        <v>32</v>
      </c>
      <c r="E233" s="1" t="s">
        <v>507</v>
      </c>
      <c r="F233" s="2" t="n">
        <v>559591582924</v>
      </c>
      <c r="G233" s="1" t="s">
        <v>508</v>
      </c>
      <c r="I233" s="1" t="s">
        <v>34</v>
      </c>
    </row>
    <row r="234" customFormat="false" ht="14.25" hidden="false" customHeight="false" outlineLevel="0" collapsed="false">
      <c r="A234" s="1" t="s">
        <v>388</v>
      </c>
      <c r="B234" s="1" t="s">
        <v>509</v>
      </c>
      <c r="C234" s="2" t="n">
        <v>240</v>
      </c>
      <c r="D234" s="1" t="s">
        <v>21</v>
      </c>
      <c r="E234" s="1" t="s">
        <v>509</v>
      </c>
      <c r="F234" s="2" t="n">
        <v>558899155871</v>
      </c>
      <c r="G234" s="1" t="s">
        <v>510</v>
      </c>
      <c r="I234" s="1" t="s">
        <v>34</v>
      </c>
    </row>
    <row r="235" customFormat="false" ht="14.25" hidden="false" customHeight="false" outlineLevel="0" collapsed="false">
      <c r="A235" s="1" t="s">
        <v>388</v>
      </c>
      <c r="B235" s="1" t="s">
        <v>511</v>
      </c>
      <c r="C235" s="2" t="n">
        <v>580</v>
      </c>
      <c r="D235" s="1" t="s">
        <v>30</v>
      </c>
      <c r="E235" s="1" t="s">
        <v>511</v>
      </c>
      <c r="F235" s="2" t="n">
        <v>555491661267</v>
      </c>
      <c r="G235" s="1" t="s">
        <v>512</v>
      </c>
      <c r="I235" s="1" t="s">
        <v>50</v>
      </c>
    </row>
    <row r="236" customFormat="false" ht="14.25" hidden="false" customHeight="false" outlineLevel="0" collapsed="false">
      <c r="A236" s="1" t="s">
        <v>388</v>
      </c>
      <c r="B236" s="1" t="s">
        <v>513</v>
      </c>
      <c r="C236" s="2" t="n">
        <v>500</v>
      </c>
      <c r="D236" s="1" t="s">
        <v>27</v>
      </c>
      <c r="E236" s="1" t="s">
        <v>514</v>
      </c>
      <c r="F236" s="2" t="n">
        <v>559584032367</v>
      </c>
      <c r="G236" s="1" t="s">
        <v>515</v>
      </c>
      <c r="I236" s="1" t="s">
        <v>54</v>
      </c>
    </row>
    <row r="237" customFormat="false" ht="14.25" hidden="false" customHeight="false" outlineLevel="0" collapsed="false">
      <c r="A237" s="1" t="s">
        <v>516</v>
      </c>
      <c r="B237" s="1" t="s">
        <v>517</v>
      </c>
      <c r="C237" s="2" t="n">
        <v>150</v>
      </c>
      <c r="D237" s="1" t="s">
        <v>32</v>
      </c>
      <c r="E237" s="1" t="s">
        <v>518</v>
      </c>
      <c r="F237" s="2" t="n">
        <v>5511914109545</v>
      </c>
      <c r="G237" s="1" t="s">
        <v>519</v>
      </c>
      <c r="I237" s="1" t="s">
        <v>34</v>
      </c>
    </row>
    <row r="238" customFormat="false" ht="14.25" hidden="false" customHeight="false" outlineLevel="0" collapsed="false">
      <c r="A238" s="1" t="s">
        <v>516</v>
      </c>
      <c r="B238" s="1" t="s">
        <v>520</v>
      </c>
      <c r="C238" s="2" t="n">
        <v>147</v>
      </c>
      <c r="D238" s="1" t="s">
        <v>18</v>
      </c>
      <c r="E238" s="1" t="s">
        <v>520</v>
      </c>
      <c r="F238" s="2" t="n">
        <v>5548988118678</v>
      </c>
      <c r="G238" s="1" t="s">
        <v>521</v>
      </c>
      <c r="I238" s="1" t="s">
        <v>50</v>
      </c>
      <c r="J238" s="1" t="s">
        <v>35</v>
      </c>
      <c r="K238" s="1" t="s">
        <v>36</v>
      </c>
      <c r="L238" s="1" t="s">
        <v>37</v>
      </c>
      <c r="M238" s="1" t="s">
        <v>38</v>
      </c>
    </row>
    <row r="239" customFormat="false" ht="14.25" hidden="false" customHeight="false" outlineLevel="0" collapsed="false">
      <c r="A239" s="1" t="s">
        <v>522</v>
      </c>
      <c r="B239" s="1" t="s">
        <v>523</v>
      </c>
      <c r="C239" s="2" t="n">
        <v>80</v>
      </c>
      <c r="D239" s="1" t="s">
        <v>20</v>
      </c>
      <c r="E239" s="1" t="s">
        <v>523</v>
      </c>
      <c r="F239" s="2" t="n">
        <v>554796585089</v>
      </c>
      <c r="G239" s="1" t="s">
        <v>524</v>
      </c>
      <c r="I239" s="1" t="s">
        <v>50</v>
      </c>
    </row>
    <row r="240" customFormat="false" ht="14.25" hidden="false" customHeight="false" outlineLevel="0" collapsed="false">
      <c r="A240" s="1" t="s">
        <v>525</v>
      </c>
      <c r="B240" s="1" t="s">
        <v>526</v>
      </c>
      <c r="C240" s="2" t="n">
        <v>120</v>
      </c>
      <c r="D240" s="1" t="s">
        <v>30</v>
      </c>
      <c r="E240" s="1" t="s">
        <v>526</v>
      </c>
      <c r="F240" s="2" t="n">
        <v>5355278360</v>
      </c>
      <c r="G240" s="1" t="s">
        <v>527</v>
      </c>
      <c r="I240" s="1" t="s">
        <v>355</v>
      </c>
      <c r="J240" s="1" t="s">
        <v>35</v>
      </c>
      <c r="K240" s="1" t="s">
        <v>69</v>
      </c>
      <c r="L240" s="1" t="s">
        <v>528</v>
      </c>
      <c r="M240" s="1" t="s">
        <v>38</v>
      </c>
    </row>
    <row r="241" customFormat="false" ht="14.25" hidden="false" customHeight="false" outlineLevel="0" collapsed="false">
      <c r="A241" s="1" t="s">
        <v>525</v>
      </c>
      <c r="B241" s="1" t="s">
        <v>529</v>
      </c>
      <c r="C241" s="2" t="n">
        <v>294</v>
      </c>
      <c r="D241" s="1" t="s">
        <v>18</v>
      </c>
      <c r="E241" s="1" t="s">
        <v>529</v>
      </c>
      <c r="F241" s="2" t="n">
        <v>554197069532</v>
      </c>
      <c r="G241" s="1" t="s">
        <v>530</v>
      </c>
      <c r="I241" s="1" t="s">
        <v>34</v>
      </c>
    </row>
    <row r="242" customFormat="false" ht="14.25" hidden="false" customHeight="false" outlineLevel="0" collapsed="false">
      <c r="A242" s="1" t="s">
        <v>522</v>
      </c>
      <c r="B242" s="1" t="s">
        <v>531</v>
      </c>
      <c r="C242" s="2" t="n">
        <v>97</v>
      </c>
      <c r="D242" s="1" t="s">
        <v>20</v>
      </c>
      <c r="E242" s="1" t="s">
        <v>532</v>
      </c>
      <c r="F242" s="2" t="n">
        <v>554195731097</v>
      </c>
      <c r="G242" s="1" t="s">
        <v>533</v>
      </c>
      <c r="I242" s="1" t="s">
        <v>355</v>
      </c>
    </row>
    <row r="243" customFormat="false" ht="14.25" hidden="false" customHeight="false" outlineLevel="0" collapsed="false">
      <c r="A243" s="1" t="s">
        <v>516</v>
      </c>
      <c r="B243" s="1" t="s">
        <v>377</v>
      </c>
      <c r="C243" s="2" t="n">
        <v>120</v>
      </c>
      <c r="D243" s="1" t="s">
        <v>30</v>
      </c>
      <c r="E243" s="1" t="s">
        <v>377</v>
      </c>
      <c r="F243" s="2" t="n">
        <v>5511950286989</v>
      </c>
      <c r="G243" s="1" t="s">
        <v>378</v>
      </c>
      <c r="I243" s="1" t="s">
        <v>34</v>
      </c>
    </row>
    <row r="244" customFormat="false" ht="14.25" hidden="false" customHeight="false" outlineLevel="0" collapsed="false">
      <c r="A244" s="1" t="s">
        <v>516</v>
      </c>
      <c r="B244" s="1" t="s">
        <v>534</v>
      </c>
      <c r="C244" s="2" t="n">
        <v>147</v>
      </c>
      <c r="D244" s="1" t="s">
        <v>18</v>
      </c>
      <c r="E244" s="1" t="s">
        <v>535</v>
      </c>
      <c r="F244" s="2" t="n">
        <v>554184341753</v>
      </c>
      <c r="G244" s="1" t="s">
        <v>536</v>
      </c>
      <c r="I244" s="1" t="s">
        <v>50</v>
      </c>
    </row>
    <row r="245" customFormat="false" ht="14.25" hidden="false" customHeight="false" outlineLevel="0" collapsed="false">
      <c r="A245" s="1" t="s">
        <v>516</v>
      </c>
      <c r="B245" s="1" t="s">
        <v>537</v>
      </c>
      <c r="C245" s="2" t="n">
        <v>120</v>
      </c>
      <c r="D245" s="1" t="s">
        <v>21</v>
      </c>
      <c r="E245" s="1" t="s">
        <v>538</v>
      </c>
      <c r="F245" s="2" t="n">
        <v>559591413889</v>
      </c>
      <c r="G245" s="1" t="s">
        <v>533</v>
      </c>
      <c r="I245" s="1" t="s">
        <v>355</v>
      </c>
    </row>
    <row r="246" customFormat="false" ht="14.25" hidden="false" customHeight="false" outlineLevel="0" collapsed="false">
      <c r="A246" s="1" t="s">
        <v>516</v>
      </c>
      <c r="B246" s="1" t="s">
        <v>539</v>
      </c>
      <c r="C246" s="2" t="n">
        <v>300</v>
      </c>
      <c r="D246" s="1" t="s">
        <v>24</v>
      </c>
      <c r="E246" s="1" t="s">
        <v>540</v>
      </c>
      <c r="F246" s="2" t="n">
        <v>559581257313</v>
      </c>
      <c r="G246" s="1" t="s">
        <v>43</v>
      </c>
      <c r="I246" s="1" t="s">
        <v>34</v>
      </c>
      <c r="J246" s="1" t="s">
        <v>35</v>
      </c>
      <c r="K246" s="1" t="s">
        <v>69</v>
      </c>
      <c r="L246" s="1" t="s">
        <v>70</v>
      </c>
      <c r="M246" s="1" t="s">
        <v>38</v>
      </c>
    </row>
    <row r="247" customFormat="false" ht="14.25" hidden="false" customHeight="false" outlineLevel="0" collapsed="false">
      <c r="A247" s="1" t="s">
        <v>516</v>
      </c>
      <c r="B247" s="1" t="s">
        <v>541</v>
      </c>
      <c r="C247" s="2" t="n">
        <v>440</v>
      </c>
      <c r="D247" s="1" t="s">
        <v>18</v>
      </c>
      <c r="E247" s="1" t="s">
        <v>541</v>
      </c>
      <c r="F247" s="2" t="n">
        <v>559584259372</v>
      </c>
      <c r="G247" s="1" t="s">
        <v>542</v>
      </c>
      <c r="I247" s="1" t="s">
        <v>355</v>
      </c>
    </row>
    <row r="248" customFormat="false" ht="14.25" hidden="false" customHeight="false" outlineLevel="0" collapsed="false">
      <c r="A248" s="1" t="s">
        <v>516</v>
      </c>
      <c r="B248" s="1" t="s">
        <v>543</v>
      </c>
      <c r="C248" s="2" t="n">
        <v>60</v>
      </c>
      <c r="D248" s="1" t="s">
        <v>25</v>
      </c>
      <c r="E248" s="1" t="s">
        <v>544</v>
      </c>
      <c r="F248" s="2" t="n">
        <v>555496221711</v>
      </c>
      <c r="G248" s="1" t="s">
        <v>545</v>
      </c>
      <c r="I248" s="1" t="s">
        <v>50</v>
      </c>
    </row>
    <row r="249" customFormat="false" ht="14.25" hidden="false" customHeight="false" outlineLevel="0" collapsed="false">
      <c r="A249" s="1" t="s">
        <v>516</v>
      </c>
      <c r="B249" s="1" t="s">
        <v>546</v>
      </c>
      <c r="C249" s="2" t="n">
        <v>97</v>
      </c>
      <c r="D249" s="1" t="s">
        <v>20</v>
      </c>
      <c r="E249" s="1" t="s">
        <v>546</v>
      </c>
      <c r="F249" s="2" t="n">
        <v>556296100124</v>
      </c>
      <c r="G249" s="1" t="s">
        <v>547</v>
      </c>
      <c r="I249" s="1" t="s">
        <v>149</v>
      </c>
      <c r="J249" s="1" t="s">
        <v>97</v>
      </c>
      <c r="K249" s="1" t="s">
        <v>20</v>
      </c>
      <c r="L249" s="1" t="s">
        <v>216</v>
      </c>
      <c r="M249" s="1" t="s">
        <v>99</v>
      </c>
    </row>
    <row r="250" customFormat="false" ht="14.25" hidden="false" customHeight="false" outlineLevel="0" collapsed="false">
      <c r="A250" s="1" t="s">
        <v>522</v>
      </c>
      <c r="B250" s="1" t="s">
        <v>548</v>
      </c>
      <c r="C250" s="2" t="n">
        <v>100</v>
      </c>
      <c r="D250" s="1" t="s">
        <v>30</v>
      </c>
      <c r="E250" s="1" t="s">
        <v>549</v>
      </c>
      <c r="F250" s="2" t="n">
        <v>5511996128658</v>
      </c>
      <c r="G250" s="1" t="s">
        <v>550</v>
      </c>
      <c r="I250" s="1" t="s">
        <v>34</v>
      </c>
    </row>
    <row r="251" customFormat="false" ht="14.25" hidden="false" customHeight="false" outlineLevel="0" collapsed="false">
      <c r="A251" s="1" t="s">
        <v>516</v>
      </c>
      <c r="B251" s="1" t="s">
        <v>551</v>
      </c>
      <c r="C251" s="2" t="n">
        <v>150</v>
      </c>
      <c r="D251" s="1" t="s">
        <v>32</v>
      </c>
      <c r="E251" s="1" t="s">
        <v>552</v>
      </c>
      <c r="F251" s="2" t="n">
        <v>5512997171486</v>
      </c>
      <c r="G251" s="1" t="s">
        <v>43</v>
      </c>
      <c r="I251" s="1" t="s">
        <v>50</v>
      </c>
    </row>
    <row r="252" customFormat="false" ht="14.25" hidden="false" customHeight="false" outlineLevel="0" collapsed="false">
      <c r="A252" s="1" t="s">
        <v>516</v>
      </c>
      <c r="B252" s="1" t="s">
        <v>553</v>
      </c>
      <c r="C252" s="2" t="n">
        <v>150</v>
      </c>
      <c r="D252" s="1" t="s">
        <v>32</v>
      </c>
      <c r="E252" s="1" t="s">
        <v>553</v>
      </c>
      <c r="F252" s="2" t="n">
        <v>559684137851</v>
      </c>
      <c r="G252" s="1" t="s">
        <v>554</v>
      </c>
      <c r="I252" s="1" t="s">
        <v>34</v>
      </c>
    </row>
    <row r="253" customFormat="false" ht="14.25" hidden="false" customHeight="false" outlineLevel="0" collapsed="false">
      <c r="A253" s="1" t="s">
        <v>516</v>
      </c>
      <c r="B253" s="1" t="s">
        <v>555</v>
      </c>
      <c r="C253" s="2" t="n">
        <v>242</v>
      </c>
      <c r="D253" s="1" t="s">
        <v>20</v>
      </c>
      <c r="E253" s="1" t="s">
        <v>555</v>
      </c>
      <c r="F253" s="2" t="n">
        <v>554195245057</v>
      </c>
      <c r="G253" s="1" t="s">
        <v>556</v>
      </c>
      <c r="I253" s="1" t="s">
        <v>50</v>
      </c>
      <c r="J253" s="1" t="s">
        <v>97</v>
      </c>
      <c r="K253" s="1" t="s">
        <v>20</v>
      </c>
      <c r="L253" s="1" t="s">
        <v>216</v>
      </c>
    </row>
    <row r="254" customFormat="false" ht="14.25" hidden="false" customHeight="false" outlineLevel="0" collapsed="false">
      <c r="A254" s="1" t="s">
        <v>516</v>
      </c>
      <c r="B254" s="1" t="s">
        <v>557</v>
      </c>
      <c r="C254" s="2" t="n">
        <v>197</v>
      </c>
      <c r="D254" s="1" t="s">
        <v>28</v>
      </c>
      <c r="E254" s="1" t="s">
        <v>558</v>
      </c>
      <c r="F254" s="2" t="n">
        <v>559584374405</v>
      </c>
      <c r="G254" s="1" t="s">
        <v>559</v>
      </c>
      <c r="I254" s="1" t="s">
        <v>355</v>
      </c>
      <c r="J254" s="1" t="s">
        <v>35</v>
      </c>
      <c r="K254" s="1" t="s">
        <v>36</v>
      </c>
      <c r="L254" s="1" t="s">
        <v>37</v>
      </c>
      <c r="M254" s="1" t="s">
        <v>38</v>
      </c>
    </row>
    <row r="255" customFormat="false" ht="14.25" hidden="false" customHeight="false" outlineLevel="0" collapsed="false">
      <c r="A255" s="1" t="s">
        <v>516</v>
      </c>
      <c r="B255" s="1" t="s">
        <v>560</v>
      </c>
      <c r="C255" s="2" t="n">
        <v>150</v>
      </c>
      <c r="D255" s="1" t="s">
        <v>32</v>
      </c>
      <c r="E255" s="1" t="s">
        <v>560</v>
      </c>
      <c r="F255" s="2" t="n">
        <v>5511989492611</v>
      </c>
      <c r="G255" s="1" t="s">
        <v>561</v>
      </c>
      <c r="I255" s="1" t="s">
        <v>355</v>
      </c>
    </row>
    <row r="256" customFormat="false" ht="14.25" hidden="false" customHeight="false" outlineLevel="0" collapsed="false">
      <c r="A256" s="1" t="s">
        <v>388</v>
      </c>
      <c r="B256" s="1" t="s">
        <v>562</v>
      </c>
      <c r="C256" s="2" t="n">
        <v>140</v>
      </c>
      <c r="D256" s="1" t="s">
        <v>32</v>
      </c>
      <c r="E256" s="1" t="s">
        <v>562</v>
      </c>
      <c r="F256" s="2" t="n">
        <v>554797276206</v>
      </c>
      <c r="G256" s="1" t="s">
        <v>563</v>
      </c>
      <c r="I256" s="1" t="s">
        <v>34</v>
      </c>
    </row>
    <row r="257" customFormat="false" ht="14.25" hidden="false" customHeight="false" outlineLevel="0" collapsed="false">
      <c r="A257" s="1" t="s">
        <v>388</v>
      </c>
      <c r="B257" s="1" t="s">
        <v>564</v>
      </c>
      <c r="C257" s="2" t="n">
        <v>100</v>
      </c>
      <c r="D257" s="1" t="s">
        <v>28</v>
      </c>
      <c r="E257" s="1" t="s">
        <v>564</v>
      </c>
      <c r="F257" s="2" t="n">
        <v>554184536785</v>
      </c>
      <c r="G257" s="1" t="s">
        <v>565</v>
      </c>
      <c r="I257" s="1" t="s">
        <v>50</v>
      </c>
    </row>
    <row r="258" customFormat="false" ht="14.25" hidden="false" customHeight="false" outlineLevel="0" collapsed="false">
      <c r="A258" s="1" t="s">
        <v>388</v>
      </c>
      <c r="B258" s="1" t="s">
        <v>566</v>
      </c>
      <c r="C258" s="2" t="n">
        <v>147</v>
      </c>
      <c r="D258" s="1" t="s">
        <v>18</v>
      </c>
      <c r="E258" s="1" t="s">
        <v>566</v>
      </c>
      <c r="F258" s="2" t="n">
        <v>554792283713</v>
      </c>
      <c r="G258" s="1" t="s">
        <v>567</v>
      </c>
      <c r="I258" s="1" t="s">
        <v>34</v>
      </c>
    </row>
    <row r="259" customFormat="false" ht="14.25" hidden="false" customHeight="false" outlineLevel="0" collapsed="false">
      <c r="A259" s="1" t="s">
        <v>388</v>
      </c>
      <c r="B259" s="1" t="s">
        <v>568</v>
      </c>
      <c r="C259" s="2" t="n">
        <v>60</v>
      </c>
      <c r="D259" s="1" t="s">
        <v>21</v>
      </c>
      <c r="E259" s="1" t="s">
        <v>569</v>
      </c>
      <c r="F259" s="2" t="n">
        <v>554888323036</v>
      </c>
      <c r="G259" s="1" t="s">
        <v>570</v>
      </c>
    </row>
    <row r="260" customFormat="false" ht="14.25" hidden="false" customHeight="false" outlineLevel="0" collapsed="false">
      <c r="A260" s="1" t="s">
        <v>516</v>
      </c>
      <c r="B260" s="1" t="s">
        <v>571</v>
      </c>
      <c r="C260" s="2" t="n">
        <v>147</v>
      </c>
      <c r="D260" s="1" t="s">
        <v>18</v>
      </c>
      <c r="E260" s="1" t="s">
        <v>571</v>
      </c>
      <c r="F260" s="2" t="n">
        <v>553796633849</v>
      </c>
      <c r="G260" s="1" t="s">
        <v>572</v>
      </c>
      <c r="I260" s="1" t="s">
        <v>355</v>
      </c>
      <c r="J260" s="1" t="s">
        <v>35</v>
      </c>
      <c r="K260" s="1" t="s">
        <v>69</v>
      </c>
      <c r="L260" s="1" t="s">
        <v>70</v>
      </c>
      <c r="M260" s="1" t="s">
        <v>38</v>
      </c>
    </row>
    <row r="261" customFormat="false" ht="14.25" hidden="false" customHeight="false" outlineLevel="0" collapsed="false">
      <c r="A261" s="1" t="s">
        <v>573</v>
      </c>
      <c r="B261" s="1" t="s">
        <v>574</v>
      </c>
      <c r="C261" s="2" t="n">
        <v>147</v>
      </c>
      <c r="D261" s="1" t="s">
        <v>22</v>
      </c>
      <c r="E261" s="1" t="s">
        <v>575</v>
      </c>
      <c r="F261" s="2" t="n">
        <v>5511992304927</v>
      </c>
      <c r="G261" s="1" t="s">
        <v>576</v>
      </c>
      <c r="I261" s="1" t="s">
        <v>34</v>
      </c>
      <c r="J261" s="1" t="s">
        <v>35</v>
      </c>
      <c r="K261" s="1" t="s">
        <v>69</v>
      </c>
      <c r="L261" s="1" t="s">
        <v>70</v>
      </c>
      <c r="M261" s="1" t="s">
        <v>38</v>
      </c>
    </row>
    <row r="262" customFormat="false" ht="14.25" hidden="false" customHeight="false" outlineLevel="0" collapsed="false">
      <c r="A262" s="1" t="s">
        <v>573</v>
      </c>
      <c r="B262" s="1" t="s">
        <v>577</v>
      </c>
      <c r="C262" s="2" t="n">
        <v>140</v>
      </c>
      <c r="D262" s="1" t="s">
        <v>32</v>
      </c>
      <c r="E262" s="1" t="s">
        <v>577</v>
      </c>
      <c r="F262" s="2" t="n">
        <v>559584288985</v>
      </c>
      <c r="G262" s="1" t="s">
        <v>578</v>
      </c>
      <c r="I262" s="1" t="s">
        <v>34</v>
      </c>
    </row>
    <row r="263" customFormat="false" ht="14.25" hidden="false" customHeight="false" outlineLevel="0" collapsed="false">
      <c r="A263" s="1" t="s">
        <v>516</v>
      </c>
      <c r="B263" s="1" t="s">
        <v>579</v>
      </c>
      <c r="C263" s="2" t="n">
        <v>150</v>
      </c>
      <c r="D263" s="1" t="s">
        <v>32</v>
      </c>
      <c r="E263" s="1" t="s">
        <v>580</v>
      </c>
      <c r="F263" s="2" t="n">
        <v>554891604682</v>
      </c>
      <c r="G263" s="1" t="s">
        <v>519</v>
      </c>
      <c r="I263" s="1" t="s">
        <v>34</v>
      </c>
      <c r="J263" s="1" t="s">
        <v>35</v>
      </c>
      <c r="K263" s="1" t="s">
        <v>69</v>
      </c>
      <c r="L263" s="1" t="s">
        <v>70</v>
      </c>
      <c r="M263" s="1" t="s">
        <v>38</v>
      </c>
    </row>
    <row r="264" customFormat="false" ht="14.25" hidden="false" customHeight="false" outlineLevel="0" collapsed="false">
      <c r="A264" s="1" t="s">
        <v>573</v>
      </c>
      <c r="B264" s="1" t="s">
        <v>581</v>
      </c>
      <c r="C264" s="2" t="n">
        <v>750</v>
      </c>
      <c r="D264" s="1" t="s">
        <v>27</v>
      </c>
      <c r="E264" s="1" t="s">
        <v>582</v>
      </c>
      <c r="F264" s="2" t="n">
        <v>554198227019</v>
      </c>
      <c r="G264" s="1" t="s">
        <v>33</v>
      </c>
      <c r="I264" s="1" t="s">
        <v>34</v>
      </c>
    </row>
    <row r="265" customFormat="false" ht="14.25" hidden="false" customHeight="false" outlineLevel="0" collapsed="false">
      <c r="A265" s="1" t="s">
        <v>516</v>
      </c>
      <c r="B265" s="1" t="s">
        <v>583</v>
      </c>
      <c r="C265" s="2" t="n">
        <v>150</v>
      </c>
      <c r="D265" s="1" t="s">
        <v>32</v>
      </c>
      <c r="E265" s="1" t="s">
        <v>584</v>
      </c>
      <c r="F265" s="2" t="n">
        <v>554888273081</v>
      </c>
      <c r="G265" s="1" t="s">
        <v>585</v>
      </c>
      <c r="I265" s="1" t="s">
        <v>50</v>
      </c>
      <c r="J265" s="1" t="s">
        <v>35</v>
      </c>
      <c r="K265" s="1" t="s">
        <v>36</v>
      </c>
      <c r="L265" s="1" t="s">
        <v>37</v>
      </c>
      <c r="M265" s="1" t="s">
        <v>38</v>
      </c>
    </row>
    <row r="266" customFormat="false" ht="14.25" hidden="false" customHeight="false" outlineLevel="0" collapsed="false">
      <c r="A266" s="1" t="s">
        <v>573</v>
      </c>
      <c r="B266" s="1" t="s">
        <v>586</v>
      </c>
      <c r="C266" s="2" t="n">
        <v>140</v>
      </c>
      <c r="D266" s="1" t="s">
        <v>32</v>
      </c>
      <c r="E266" s="1" t="s">
        <v>586</v>
      </c>
      <c r="F266" s="2" t="n">
        <v>5519981183492</v>
      </c>
      <c r="G266" s="1" t="s">
        <v>33</v>
      </c>
      <c r="I266" s="1" t="s">
        <v>34</v>
      </c>
    </row>
    <row r="267" customFormat="false" ht="14.25" hidden="false" customHeight="false" outlineLevel="0" collapsed="false">
      <c r="A267" s="1" t="s">
        <v>573</v>
      </c>
      <c r="B267" s="1" t="s">
        <v>587</v>
      </c>
      <c r="C267" s="2" t="n">
        <v>97</v>
      </c>
      <c r="D267" s="1" t="s">
        <v>30</v>
      </c>
      <c r="E267" s="1" t="s">
        <v>587</v>
      </c>
      <c r="F267" s="2" t="n">
        <v>5511947417866</v>
      </c>
      <c r="G267" s="1" t="s">
        <v>588</v>
      </c>
      <c r="I267" s="1" t="s">
        <v>355</v>
      </c>
    </row>
    <row r="268" customFormat="false" ht="14.25" hidden="false" customHeight="false" outlineLevel="0" collapsed="false">
      <c r="A268" s="1" t="s">
        <v>516</v>
      </c>
      <c r="B268" s="1" t="s">
        <v>589</v>
      </c>
      <c r="C268" s="2" t="n">
        <v>120</v>
      </c>
      <c r="D268" s="1" t="s">
        <v>21</v>
      </c>
      <c r="E268" s="1" t="s">
        <v>589</v>
      </c>
      <c r="F268" s="2" t="n">
        <v>559584303596</v>
      </c>
      <c r="G268" s="1" t="s">
        <v>590</v>
      </c>
      <c r="I268" s="1" t="s">
        <v>34</v>
      </c>
    </row>
    <row r="269" customFormat="false" ht="14.25" hidden="false" customHeight="false" outlineLevel="0" collapsed="false">
      <c r="A269" s="1" t="s">
        <v>573</v>
      </c>
      <c r="B269" s="1" t="s">
        <v>591</v>
      </c>
      <c r="C269" s="2" t="n">
        <v>300</v>
      </c>
      <c r="D269" s="1" t="s">
        <v>24</v>
      </c>
      <c r="E269" s="1" t="s">
        <v>592</v>
      </c>
      <c r="F269" s="2" t="n">
        <v>559584159812</v>
      </c>
      <c r="G269" s="1" t="s">
        <v>33</v>
      </c>
      <c r="I269" s="1" t="s">
        <v>34</v>
      </c>
    </row>
    <row r="270" customFormat="false" ht="14.25" hidden="false" customHeight="false" outlineLevel="0" collapsed="false">
      <c r="A270" s="1" t="s">
        <v>573</v>
      </c>
      <c r="B270" s="1" t="s">
        <v>593</v>
      </c>
      <c r="C270" s="2" t="n">
        <v>147</v>
      </c>
      <c r="D270" s="1" t="s">
        <v>18</v>
      </c>
      <c r="E270" s="1" t="s">
        <v>593</v>
      </c>
      <c r="F270" s="2" t="n">
        <v>559681212077</v>
      </c>
      <c r="G270" s="1" t="s">
        <v>594</v>
      </c>
      <c r="I270" s="1" t="s">
        <v>34</v>
      </c>
      <c r="J270" s="1" t="s">
        <v>35</v>
      </c>
      <c r="K270" s="1" t="s">
        <v>69</v>
      </c>
      <c r="L270" s="1" t="s">
        <v>70</v>
      </c>
      <c r="M270" s="1" t="s">
        <v>38</v>
      </c>
    </row>
    <row r="271" customFormat="false" ht="14.25" hidden="false" customHeight="false" outlineLevel="0" collapsed="false">
      <c r="A271" s="1" t="s">
        <v>573</v>
      </c>
      <c r="B271" s="1" t="s">
        <v>595</v>
      </c>
      <c r="C271" s="2" t="n">
        <v>140</v>
      </c>
      <c r="D271" s="1" t="s">
        <v>32</v>
      </c>
      <c r="E271" s="1" t="s">
        <v>596</v>
      </c>
      <c r="F271" s="2" t="n">
        <v>559584049437</v>
      </c>
      <c r="G271" s="1" t="s">
        <v>43</v>
      </c>
      <c r="I271" s="1" t="s">
        <v>50</v>
      </c>
    </row>
    <row r="272" customFormat="false" ht="14.25" hidden="false" customHeight="false" outlineLevel="0" collapsed="false">
      <c r="A272" s="1" t="s">
        <v>573</v>
      </c>
      <c r="B272" s="1" t="s">
        <v>597</v>
      </c>
      <c r="C272" s="2" t="n">
        <v>300</v>
      </c>
      <c r="D272" s="1" t="s">
        <v>24</v>
      </c>
      <c r="E272" s="1" t="s">
        <v>598</v>
      </c>
      <c r="F272" s="2" t="n">
        <v>554888678530</v>
      </c>
      <c r="G272" s="1" t="s">
        <v>599</v>
      </c>
      <c r="I272" s="1" t="s">
        <v>50</v>
      </c>
    </row>
    <row r="273" customFormat="false" ht="14.25" hidden="false" customHeight="false" outlineLevel="0" collapsed="false">
      <c r="A273" s="1" t="s">
        <v>573</v>
      </c>
      <c r="B273" s="1" t="s">
        <v>600</v>
      </c>
      <c r="C273" s="2" t="n">
        <v>147</v>
      </c>
      <c r="D273" s="1" t="s">
        <v>18</v>
      </c>
      <c r="E273" s="1" t="s">
        <v>254</v>
      </c>
      <c r="F273" s="2" t="n">
        <v>553898460938</v>
      </c>
      <c r="G273" s="1" t="s">
        <v>255</v>
      </c>
      <c r="I273" s="1" t="s">
        <v>34</v>
      </c>
    </row>
    <row r="274" customFormat="false" ht="14.25" hidden="false" customHeight="false" outlineLevel="0" collapsed="false">
      <c r="A274" s="1" t="s">
        <v>516</v>
      </c>
      <c r="B274" s="1" t="s">
        <v>601</v>
      </c>
      <c r="C274" s="2" t="n">
        <v>150</v>
      </c>
      <c r="D274" s="1" t="s">
        <v>32</v>
      </c>
      <c r="E274" s="1" t="s">
        <v>602</v>
      </c>
      <c r="F274" s="2" t="n">
        <v>5354714239</v>
      </c>
      <c r="G274" s="1" t="s">
        <v>603</v>
      </c>
      <c r="I274" s="1" t="s">
        <v>50</v>
      </c>
    </row>
    <row r="275" customFormat="false" ht="14.25" hidden="false" customHeight="false" outlineLevel="0" collapsed="false">
      <c r="A275" s="1" t="s">
        <v>573</v>
      </c>
      <c r="B275" s="1" t="s">
        <v>604</v>
      </c>
      <c r="C275" s="2" t="n">
        <v>130</v>
      </c>
      <c r="D275" s="1" t="s">
        <v>32</v>
      </c>
      <c r="E275" s="1" t="s">
        <v>604</v>
      </c>
      <c r="F275" s="2" t="n">
        <v>553591616260</v>
      </c>
      <c r="G275" s="1" t="s">
        <v>244</v>
      </c>
      <c r="I275" s="1" t="s">
        <v>54</v>
      </c>
    </row>
    <row r="276" customFormat="false" ht="14.25" hidden="false" customHeight="false" outlineLevel="0" collapsed="false">
      <c r="A276" s="1" t="s">
        <v>573</v>
      </c>
      <c r="B276" s="1" t="s">
        <v>605</v>
      </c>
      <c r="C276" s="2" t="n">
        <v>250</v>
      </c>
      <c r="D276" s="1" t="s">
        <v>106</v>
      </c>
      <c r="E276" s="1" t="s">
        <v>605</v>
      </c>
      <c r="F276" s="2" t="n">
        <v>554396374743</v>
      </c>
      <c r="G276" s="1" t="s">
        <v>43</v>
      </c>
      <c r="I276" s="1" t="s">
        <v>50</v>
      </c>
      <c r="J276" s="1" t="s">
        <v>60</v>
      </c>
      <c r="K276" s="1" t="s">
        <v>27</v>
      </c>
      <c r="L276" s="1" t="s">
        <v>606</v>
      </c>
      <c r="M276" s="1" t="s">
        <v>62</v>
      </c>
    </row>
    <row r="277" customFormat="false" ht="14.25" hidden="false" customHeight="false" outlineLevel="0" collapsed="false">
      <c r="A277" s="1" t="s">
        <v>573</v>
      </c>
      <c r="B277" s="1" t="s">
        <v>607</v>
      </c>
      <c r="C277" s="2" t="n">
        <v>300</v>
      </c>
      <c r="D277" s="1" t="s">
        <v>24</v>
      </c>
      <c r="E277" s="1" t="s">
        <v>607</v>
      </c>
      <c r="F277" s="2" t="n">
        <v>554191664435</v>
      </c>
      <c r="G277" s="1" t="s">
        <v>608</v>
      </c>
      <c r="I277" s="1" t="s">
        <v>50</v>
      </c>
    </row>
    <row r="278" customFormat="false" ht="14.25" hidden="false" customHeight="false" outlineLevel="0" collapsed="false">
      <c r="A278" s="1" t="s">
        <v>573</v>
      </c>
      <c r="B278" s="1" t="s">
        <v>609</v>
      </c>
      <c r="C278" s="2" t="n">
        <v>120</v>
      </c>
      <c r="D278" s="1" t="s">
        <v>21</v>
      </c>
      <c r="E278" s="1" t="s">
        <v>609</v>
      </c>
      <c r="F278" s="2" t="n">
        <v>554896730405</v>
      </c>
      <c r="G278" s="1" t="s">
        <v>610</v>
      </c>
      <c r="I278" s="1" t="s">
        <v>34</v>
      </c>
    </row>
    <row r="279" customFormat="false" ht="14.25" hidden="false" customHeight="false" outlineLevel="0" collapsed="false">
      <c r="A279" s="1" t="s">
        <v>573</v>
      </c>
      <c r="B279" s="1" t="s">
        <v>611</v>
      </c>
      <c r="C279" s="2" t="n">
        <v>150</v>
      </c>
      <c r="D279" s="1" t="s">
        <v>22</v>
      </c>
      <c r="E279" s="1" t="s">
        <v>611</v>
      </c>
      <c r="F279" s="2" t="n">
        <v>554598428190</v>
      </c>
      <c r="G279" s="1" t="s">
        <v>612</v>
      </c>
      <c r="I279" s="1" t="s">
        <v>355</v>
      </c>
    </row>
    <row r="280" customFormat="false" ht="14.25" hidden="false" customHeight="false" outlineLevel="0" collapsed="false">
      <c r="A280" s="1" t="s">
        <v>516</v>
      </c>
      <c r="B280" s="1" t="s">
        <v>613</v>
      </c>
      <c r="C280" s="2" t="n">
        <v>220</v>
      </c>
      <c r="D280" s="1" t="s">
        <v>22</v>
      </c>
      <c r="E280" s="1" t="s">
        <v>613</v>
      </c>
      <c r="F280" s="2" t="n">
        <v>554891328250</v>
      </c>
      <c r="G280" s="1" t="n">
        <v>0</v>
      </c>
      <c r="I280" s="1" t="s">
        <v>34</v>
      </c>
    </row>
    <row r="281" customFormat="false" ht="14.25" hidden="false" customHeight="false" outlineLevel="0" collapsed="false">
      <c r="A281" s="1" t="s">
        <v>573</v>
      </c>
      <c r="B281" s="1" t="s">
        <v>614</v>
      </c>
      <c r="C281" s="2" t="n">
        <v>90</v>
      </c>
      <c r="D281" s="1" t="s">
        <v>20</v>
      </c>
      <c r="E281" s="1" t="s">
        <v>615</v>
      </c>
      <c r="F281" s="2" t="n">
        <v>559584242837</v>
      </c>
      <c r="G281" s="1" t="s">
        <v>616</v>
      </c>
      <c r="I281" s="1" t="s">
        <v>50</v>
      </c>
    </row>
    <row r="282" customFormat="false" ht="14.25" hidden="false" customHeight="false" outlineLevel="0" collapsed="false">
      <c r="A282" s="1" t="s">
        <v>573</v>
      </c>
      <c r="B282" s="1" t="s">
        <v>617</v>
      </c>
      <c r="C282" s="2" t="n">
        <v>147</v>
      </c>
      <c r="D282" s="1" t="s">
        <v>18</v>
      </c>
      <c r="E282" s="1" t="s">
        <v>617</v>
      </c>
      <c r="F282" s="2" t="n">
        <v>554999284093</v>
      </c>
      <c r="G282" s="1" t="s">
        <v>618</v>
      </c>
      <c r="I282" s="1" t="s">
        <v>355</v>
      </c>
      <c r="J282" s="1" t="s">
        <v>619</v>
      </c>
      <c r="K282" s="1" t="s">
        <v>303</v>
      </c>
      <c r="M282" s="1" t="s">
        <v>304</v>
      </c>
    </row>
    <row r="283" customFormat="false" ht="14.25" hidden="false" customHeight="false" outlineLevel="0" collapsed="false">
      <c r="A283" s="1" t="s">
        <v>573</v>
      </c>
      <c r="B283" s="1" t="s">
        <v>620</v>
      </c>
      <c r="C283" s="2" t="n">
        <v>200</v>
      </c>
      <c r="D283" s="1" t="s">
        <v>24</v>
      </c>
      <c r="E283" s="1" t="s">
        <v>620</v>
      </c>
      <c r="F283" s="2" t="n">
        <v>559584294614</v>
      </c>
      <c r="G283" s="1" t="s">
        <v>621</v>
      </c>
      <c r="I283" s="1" t="s">
        <v>34</v>
      </c>
    </row>
    <row r="284" customFormat="false" ht="14.25" hidden="false" customHeight="false" outlineLevel="0" collapsed="false">
      <c r="A284" s="1" t="s">
        <v>622</v>
      </c>
      <c r="B284" s="1" t="s">
        <v>623</v>
      </c>
      <c r="C284" s="2" t="n">
        <v>150</v>
      </c>
      <c r="D284" s="1" t="s">
        <v>32</v>
      </c>
      <c r="E284" s="1" t="s">
        <v>623</v>
      </c>
      <c r="F284" s="2" t="n">
        <v>559584377249</v>
      </c>
      <c r="G284" s="1" t="s">
        <v>624</v>
      </c>
      <c r="I284" s="1" t="s">
        <v>149</v>
      </c>
    </row>
    <row r="285" customFormat="false" ht="14.25" hidden="false" customHeight="false" outlineLevel="0" collapsed="false">
      <c r="A285" s="1" t="s">
        <v>573</v>
      </c>
      <c r="B285" s="1" t="s">
        <v>625</v>
      </c>
      <c r="C285" s="2" t="n">
        <v>150</v>
      </c>
      <c r="D285" s="1" t="s">
        <v>32</v>
      </c>
      <c r="E285" s="1" t="s">
        <v>626</v>
      </c>
      <c r="F285" s="2" t="n">
        <v>554192270407</v>
      </c>
      <c r="G285" s="1" t="s">
        <v>627</v>
      </c>
      <c r="I285" s="1" t="s">
        <v>149</v>
      </c>
    </row>
    <row r="286" customFormat="false" ht="14.25" hidden="false" customHeight="false" outlineLevel="0" collapsed="false">
      <c r="A286" s="1" t="s">
        <v>516</v>
      </c>
      <c r="B286" s="1" t="s">
        <v>628</v>
      </c>
      <c r="C286" s="2" t="n">
        <v>270</v>
      </c>
      <c r="D286" s="1" t="s">
        <v>30</v>
      </c>
      <c r="E286" s="1" t="s">
        <v>628</v>
      </c>
      <c r="F286" s="2" t="n">
        <v>555180212892</v>
      </c>
      <c r="G286" s="1" t="s">
        <v>629</v>
      </c>
      <c r="I286" s="1" t="s">
        <v>54</v>
      </c>
    </row>
    <row r="287" customFormat="false" ht="14.25" hidden="false" customHeight="false" outlineLevel="0" collapsed="false">
      <c r="A287" s="1" t="s">
        <v>573</v>
      </c>
      <c r="B287" s="1" t="s">
        <v>630</v>
      </c>
      <c r="C287" s="2" t="n">
        <v>97</v>
      </c>
      <c r="D287" s="1" t="s">
        <v>20</v>
      </c>
      <c r="E287" s="1" t="s">
        <v>630</v>
      </c>
      <c r="F287" s="2" t="n">
        <v>5518996452405</v>
      </c>
      <c r="G287" s="1" t="s">
        <v>631</v>
      </c>
      <c r="I287" s="1" t="s">
        <v>34</v>
      </c>
    </row>
    <row r="288" customFormat="false" ht="14.25" hidden="false" customHeight="false" outlineLevel="0" collapsed="false">
      <c r="A288" s="1" t="s">
        <v>522</v>
      </c>
      <c r="B288" s="1" t="s">
        <v>632</v>
      </c>
      <c r="C288" s="2" t="n">
        <v>47</v>
      </c>
      <c r="D288" s="1" t="s">
        <v>18</v>
      </c>
      <c r="E288" s="1" t="s">
        <v>633</v>
      </c>
      <c r="F288" s="2" t="n">
        <v>554896396962</v>
      </c>
      <c r="G288" s="1" t="s">
        <v>634</v>
      </c>
      <c r="I288" s="1" t="s">
        <v>50</v>
      </c>
    </row>
    <row r="289" customFormat="false" ht="14.25" hidden="false" customHeight="false" outlineLevel="0" collapsed="false">
      <c r="A289" s="1" t="s">
        <v>522</v>
      </c>
      <c r="B289" s="1" t="s">
        <v>635</v>
      </c>
      <c r="C289" s="2" t="n">
        <v>300</v>
      </c>
      <c r="D289" s="1" t="s">
        <v>30</v>
      </c>
      <c r="E289" s="1" t="s">
        <v>635</v>
      </c>
      <c r="F289" s="2" t="n">
        <v>5511992965364</v>
      </c>
      <c r="G289" s="1" t="s">
        <v>636</v>
      </c>
      <c r="I289" s="1" t="s">
        <v>34</v>
      </c>
    </row>
    <row r="290" customFormat="false" ht="14.25" hidden="false" customHeight="false" outlineLevel="0" collapsed="false">
      <c r="A290" s="1" t="s">
        <v>525</v>
      </c>
      <c r="B290" s="1" t="s">
        <v>637</v>
      </c>
      <c r="C290" s="2" t="n">
        <v>150</v>
      </c>
      <c r="D290" s="1" t="s">
        <v>32</v>
      </c>
      <c r="E290" s="1" t="s">
        <v>637</v>
      </c>
      <c r="F290" s="2" t="n">
        <v>559584230858</v>
      </c>
      <c r="G290" s="1" t="s">
        <v>638</v>
      </c>
      <c r="I290" s="1" t="s">
        <v>355</v>
      </c>
    </row>
    <row r="291" customFormat="false" ht="14.25" hidden="false" customHeight="false" outlineLevel="0" collapsed="false">
      <c r="A291" s="1" t="s">
        <v>388</v>
      </c>
      <c r="B291" s="1" t="s">
        <v>137</v>
      </c>
      <c r="C291" s="2" t="n">
        <v>100</v>
      </c>
      <c r="D291" s="1" t="s">
        <v>390</v>
      </c>
      <c r="E291" s="1" t="s">
        <v>137</v>
      </c>
      <c r="F291" s="2" t="n">
        <v>555499481372</v>
      </c>
      <c r="G291" s="1" t="s">
        <v>639</v>
      </c>
      <c r="I291" s="1" t="s">
        <v>34</v>
      </c>
    </row>
    <row r="292" customFormat="false" ht="14.25" hidden="false" customHeight="false" outlineLevel="0" collapsed="false">
      <c r="A292" s="1" t="s">
        <v>573</v>
      </c>
      <c r="B292" s="1" t="s">
        <v>640</v>
      </c>
      <c r="C292" s="2" t="n">
        <v>120</v>
      </c>
      <c r="D292" s="1" t="s">
        <v>21</v>
      </c>
      <c r="E292" s="1" t="s">
        <v>640</v>
      </c>
      <c r="F292" s="2" t="n">
        <v>554896760203</v>
      </c>
      <c r="G292" s="1" t="s">
        <v>641</v>
      </c>
      <c r="I292" s="1" t="s">
        <v>34</v>
      </c>
    </row>
    <row r="293" customFormat="false" ht="14.25" hidden="false" customHeight="false" outlineLevel="0" collapsed="false">
      <c r="A293" s="1" t="s">
        <v>573</v>
      </c>
      <c r="B293" s="1" t="s">
        <v>642</v>
      </c>
      <c r="C293" s="2" t="n">
        <v>150</v>
      </c>
      <c r="D293" s="1" t="s">
        <v>32</v>
      </c>
      <c r="E293" s="1" t="s">
        <v>642</v>
      </c>
      <c r="F293" s="2" t="n">
        <v>554791577539</v>
      </c>
      <c r="G293" s="1" t="s">
        <v>643</v>
      </c>
      <c r="I293" s="1" t="s">
        <v>50</v>
      </c>
    </row>
    <row r="294" customFormat="false" ht="14.25" hidden="false" customHeight="false" outlineLevel="0" collapsed="false">
      <c r="A294" s="1" t="s">
        <v>573</v>
      </c>
      <c r="B294" s="1" t="s">
        <v>644</v>
      </c>
      <c r="C294" s="2" t="n">
        <v>500</v>
      </c>
      <c r="D294" s="1" t="s">
        <v>27</v>
      </c>
      <c r="E294" s="1" t="s">
        <v>644</v>
      </c>
      <c r="F294" s="2" t="n">
        <v>554184753747</v>
      </c>
      <c r="G294" s="1" t="s">
        <v>645</v>
      </c>
      <c r="I294" s="1" t="s">
        <v>149</v>
      </c>
    </row>
    <row r="295" customFormat="false" ht="14.25" hidden="false" customHeight="false" outlineLevel="0" collapsed="false">
      <c r="A295" s="1" t="s">
        <v>573</v>
      </c>
      <c r="B295" s="1" t="s">
        <v>509</v>
      </c>
      <c r="C295" s="2" t="n">
        <v>150</v>
      </c>
      <c r="D295" s="1" t="s">
        <v>32</v>
      </c>
      <c r="E295" s="1" t="s">
        <v>509</v>
      </c>
      <c r="F295" s="2" t="n">
        <v>558899155871</v>
      </c>
      <c r="G295" s="1" t="s">
        <v>510</v>
      </c>
      <c r="I295" s="1" t="s">
        <v>149</v>
      </c>
    </row>
    <row r="296" customFormat="false" ht="14.25" hidden="false" customHeight="false" outlineLevel="0" collapsed="false">
      <c r="A296" s="1" t="s">
        <v>573</v>
      </c>
      <c r="B296" s="1" t="s">
        <v>646</v>
      </c>
      <c r="C296" s="2" t="n">
        <v>150</v>
      </c>
      <c r="D296" s="1" t="s">
        <v>32</v>
      </c>
      <c r="E296" s="1" t="s">
        <v>647</v>
      </c>
      <c r="F296" s="2" t="n">
        <v>5511973514388</v>
      </c>
      <c r="G296" s="1" t="s">
        <v>648</v>
      </c>
      <c r="I296" s="1" t="s">
        <v>34</v>
      </c>
    </row>
    <row r="297" customFormat="false" ht="14.25" hidden="false" customHeight="false" outlineLevel="0" collapsed="false">
      <c r="A297" s="1" t="s">
        <v>573</v>
      </c>
      <c r="B297" s="1" t="s">
        <v>649</v>
      </c>
      <c r="C297" s="2" t="n">
        <v>300</v>
      </c>
      <c r="D297" s="1" t="s">
        <v>27</v>
      </c>
      <c r="E297" s="1" t="s">
        <v>649</v>
      </c>
      <c r="F297" s="2" t="n">
        <v>559581257313</v>
      </c>
      <c r="G297" s="1" t="s">
        <v>650</v>
      </c>
      <c r="I297" s="1" t="s">
        <v>34</v>
      </c>
    </row>
    <row r="298" customFormat="false" ht="14.25" hidden="false" customHeight="false" outlineLevel="0" collapsed="false">
      <c r="A298" s="1" t="s">
        <v>622</v>
      </c>
      <c r="B298" s="1" t="s">
        <v>651</v>
      </c>
      <c r="C298" s="2" t="n">
        <v>150</v>
      </c>
      <c r="D298" s="1" t="s">
        <v>32</v>
      </c>
      <c r="E298" s="1" t="s">
        <v>651</v>
      </c>
      <c r="F298" s="2" t="n">
        <v>556181448094</v>
      </c>
      <c r="G298" s="1" t="s">
        <v>652</v>
      </c>
      <c r="I298" s="1" t="s">
        <v>50</v>
      </c>
    </row>
    <row r="299" customFormat="false" ht="14.25" hidden="false" customHeight="false" outlineLevel="0" collapsed="false">
      <c r="A299" s="1" t="s">
        <v>622</v>
      </c>
      <c r="B299" s="1" t="s">
        <v>653</v>
      </c>
      <c r="C299" s="2" t="n">
        <v>120</v>
      </c>
      <c r="D299" s="1" t="s">
        <v>30</v>
      </c>
      <c r="E299" s="1" t="s">
        <v>653</v>
      </c>
      <c r="F299" s="2" t="n">
        <v>5519998862857</v>
      </c>
      <c r="G299" s="1" t="s">
        <v>654</v>
      </c>
      <c r="I299" s="1" t="s">
        <v>50</v>
      </c>
    </row>
    <row r="300" customFormat="false" ht="14.25" hidden="false" customHeight="false" outlineLevel="0" collapsed="false">
      <c r="A300" s="1" t="s">
        <v>622</v>
      </c>
      <c r="B300" s="1" t="s">
        <v>328</v>
      </c>
      <c r="C300" s="2" t="n">
        <v>250</v>
      </c>
      <c r="D300" s="1" t="s">
        <v>106</v>
      </c>
      <c r="E300" s="1" t="s">
        <v>328</v>
      </c>
      <c r="F300" s="2" t="n">
        <v>559599773288</v>
      </c>
      <c r="G300" s="1" t="s">
        <v>329</v>
      </c>
      <c r="I300" s="1" t="s">
        <v>54</v>
      </c>
    </row>
    <row r="301" customFormat="false" ht="14.25" hidden="false" customHeight="false" outlineLevel="0" collapsed="false">
      <c r="A301" s="1" t="s">
        <v>622</v>
      </c>
      <c r="B301" s="1" t="s">
        <v>309</v>
      </c>
      <c r="C301" s="2" t="n">
        <v>60</v>
      </c>
      <c r="D301" s="1" t="s">
        <v>25</v>
      </c>
      <c r="E301" s="1" t="s">
        <v>309</v>
      </c>
      <c r="F301" s="2" t="n">
        <v>554195652015</v>
      </c>
      <c r="G301" s="1" t="s">
        <v>655</v>
      </c>
      <c r="I301" s="1" t="s">
        <v>50</v>
      </c>
    </row>
    <row r="302" customFormat="false" ht="14.25" hidden="false" customHeight="false" outlineLevel="0" collapsed="false">
      <c r="A302" s="1" t="s">
        <v>622</v>
      </c>
      <c r="B302" s="1" t="s">
        <v>656</v>
      </c>
      <c r="C302" s="2" t="n">
        <v>120</v>
      </c>
      <c r="D302" s="1" t="s">
        <v>21</v>
      </c>
      <c r="E302" s="1" t="s">
        <v>657</v>
      </c>
      <c r="F302" s="2" t="n">
        <v>5548988805800</v>
      </c>
      <c r="G302" s="1" t="s">
        <v>658</v>
      </c>
      <c r="I302" s="1" t="s">
        <v>50</v>
      </c>
    </row>
    <row r="303" customFormat="false" ht="14.25" hidden="false" customHeight="false" outlineLevel="0" collapsed="false">
      <c r="A303" s="1" t="s">
        <v>622</v>
      </c>
      <c r="B303" s="1" t="s">
        <v>656</v>
      </c>
      <c r="C303" s="2" t="n">
        <v>97</v>
      </c>
      <c r="D303" s="1" t="s">
        <v>20</v>
      </c>
      <c r="E303" s="1" t="s">
        <v>657</v>
      </c>
      <c r="F303" s="2" t="n">
        <v>5548988805800</v>
      </c>
      <c r="G303" s="1" t="s">
        <v>658</v>
      </c>
      <c r="I303" s="1" t="s">
        <v>50</v>
      </c>
    </row>
    <row r="304" customFormat="false" ht="14.25" hidden="false" customHeight="false" outlineLevel="0" collapsed="false">
      <c r="A304" s="1" t="s">
        <v>622</v>
      </c>
      <c r="B304" s="1" t="s">
        <v>659</v>
      </c>
      <c r="C304" s="2" t="n">
        <v>120</v>
      </c>
      <c r="D304" s="1" t="s">
        <v>21</v>
      </c>
      <c r="E304" s="1" t="s">
        <v>659</v>
      </c>
      <c r="F304" s="2" t="n">
        <v>559591133364</v>
      </c>
      <c r="G304" s="1" t="s">
        <v>660</v>
      </c>
      <c r="I304" s="1" t="s">
        <v>50</v>
      </c>
    </row>
    <row r="305" customFormat="false" ht="14.25" hidden="false" customHeight="false" outlineLevel="0" collapsed="false">
      <c r="A305" s="1" t="s">
        <v>622</v>
      </c>
      <c r="B305" s="1" t="s">
        <v>661</v>
      </c>
      <c r="C305" s="2" t="n">
        <v>120</v>
      </c>
      <c r="D305" s="1" t="s">
        <v>32</v>
      </c>
      <c r="E305" s="1" t="s">
        <v>661</v>
      </c>
      <c r="F305" s="2" t="n">
        <v>554174031174</v>
      </c>
      <c r="G305" s="1" t="s">
        <v>662</v>
      </c>
      <c r="I305" s="1" t="s">
        <v>355</v>
      </c>
    </row>
    <row r="306" customFormat="false" ht="14.25" hidden="false" customHeight="false" outlineLevel="0" collapsed="false">
      <c r="A306" s="1" t="s">
        <v>622</v>
      </c>
      <c r="B306" s="1" t="s">
        <v>663</v>
      </c>
      <c r="C306" s="2" t="n">
        <v>97</v>
      </c>
      <c r="D306" s="1" t="s">
        <v>30</v>
      </c>
      <c r="E306" s="1" t="s">
        <v>663</v>
      </c>
      <c r="F306" s="2" t="n">
        <v>5511914977254</v>
      </c>
      <c r="G306" s="1" t="s">
        <v>664</v>
      </c>
      <c r="I306" s="1" t="s">
        <v>149</v>
      </c>
    </row>
    <row r="307" customFormat="false" ht="14.25" hidden="false" customHeight="false" outlineLevel="0" collapsed="false">
      <c r="A307" s="1" t="s">
        <v>622</v>
      </c>
      <c r="B307" s="1" t="s">
        <v>665</v>
      </c>
      <c r="C307" s="2" t="n">
        <v>117</v>
      </c>
      <c r="D307" s="1" t="s">
        <v>30</v>
      </c>
      <c r="E307" s="1" t="s">
        <v>665</v>
      </c>
      <c r="F307" s="2" t="n">
        <v>554598428190</v>
      </c>
      <c r="G307" s="1" t="s">
        <v>612</v>
      </c>
      <c r="I307" s="1" t="s">
        <v>355</v>
      </c>
    </row>
    <row r="308" customFormat="false" ht="14.25" hidden="false" customHeight="false" outlineLevel="0" collapsed="false">
      <c r="A308" s="1" t="s">
        <v>622</v>
      </c>
      <c r="B308" s="1" t="s">
        <v>666</v>
      </c>
      <c r="C308" s="2" t="n">
        <v>150</v>
      </c>
      <c r="D308" s="1" t="s">
        <v>32</v>
      </c>
      <c r="E308" s="1" t="s">
        <v>667</v>
      </c>
      <c r="F308" s="2" t="n">
        <v>5355398812</v>
      </c>
      <c r="G308" s="1" t="s">
        <v>668</v>
      </c>
      <c r="I308" s="1" t="s">
        <v>355</v>
      </c>
    </row>
    <row r="309" customFormat="false" ht="14.25" hidden="false" customHeight="false" outlineLevel="0" collapsed="false">
      <c r="A309" s="1" t="s">
        <v>622</v>
      </c>
      <c r="B309" s="1" t="s">
        <v>669</v>
      </c>
      <c r="C309" s="2" t="n">
        <v>120</v>
      </c>
      <c r="D309" s="1" t="s">
        <v>32</v>
      </c>
      <c r="E309" s="1" t="s">
        <v>669</v>
      </c>
      <c r="F309" s="2" t="n">
        <v>554187122977</v>
      </c>
      <c r="G309" s="1" t="s">
        <v>670</v>
      </c>
      <c r="I309" s="1" t="s">
        <v>50</v>
      </c>
    </row>
    <row r="310" customFormat="false" ht="14.25" hidden="false" customHeight="false" outlineLevel="0" collapsed="false">
      <c r="A310" s="1" t="s">
        <v>622</v>
      </c>
      <c r="B310" s="1" t="s">
        <v>671</v>
      </c>
      <c r="C310" s="2" t="n">
        <v>75</v>
      </c>
      <c r="D310" s="1" t="s">
        <v>390</v>
      </c>
      <c r="E310" s="1" t="s">
        <v>671</v>
      </c>
      <c r="F310" s="2" t="n">
        <v>554199038220</v>
      </c>
      <c r="G310" s="1" t="s">
        <v>672</v>
      </c>
      <c r="I310" s="1" t="s">
        <v>50</v>
      </c>
    </row>
    <row r="311" customFormat="false" ht="14.25" hidden="false" customHeight="false" outlineLevel="0" collapsed="false">
      <c r="A311" s="1" t="s">
        <v>622</v>
      </c>
      <c r="B311" s="1" t="s">
        <v>673</v>
      </c>
      <c r="C311" s="2" t="n">
        <v>150</v>
      </c>
      <c r="D311" s="1" t="s">
        <v>32</v>
      </c>
      <c r="E311" s="1" t="s">
        <v>673</v>
      </c>
      <c r="F311" s="2" t="n">
        <v>554195612956</v>
      </c>
      <c r="G311" s="1" t="s">
        <v>674</v>
      </c>
      <c r="I311" s="1" t="s">
        <v>355</v>
      </c>
    </row>
    <row r="312" customFormat="false" ht="14.25" hidden="false" customHeight="false" outlineLevel="0" collapsed="false">
      <c r="A312" s="1" t="s">
        <v>622</v>
      </c>
      <c r="B312" s="1" t="s">
        <v>675</v>
      </c>
      <c r="C312" s="2" t="n">
        <v>194</v>
      </c>
      <c r="D312" s="1" t="s">
        <v>20</v>
      </c>
      <c r="E312" s="1" t="s">
        <v>675</v>
      </c>
      <c r="F312" s="2" t="n">
        <v>556793206551</v>
      </c>
      <c r="G312" s="1" t="s">
        <v>676</v>
      </c>
      <c r="I312" s="1" t="s">
        <v>50</v>
      </c>
    </row>
    <row r="313" customFormat="false" ht="14.25" hidden="false" customHeight="false" outlineLevel="0" collapsed="false">
      <c r="A313" s="1" t="s">
        <v>622</v>
      </c>
      <c r="B313" s="1" t="s">
        <v>677</v>
      </c>
      <c r="C313" s="2" t="n">
        <v>300</v>
      </c>
      <c r="D313" s="1" t="s">
        <v>24</v>
      </c>
      <c r="E313" s="1" t="s">
        <v>678</v>
      </c>
      <c r="F313" s="2" t="n">
        <v>557591514132</v>
      </c>
      <c r="G313" s="1" t="s">
        <v>679</v>
      </c>
      <c r="I313" s="1" t="s">
        <v>355</v>
      </c>
    </row>
    <row r="314" customFormat="false" ht="14.25" hidden="false" customHeight="false" outlineLevel="0" collapsed="false">
      <c r="A314" s="1" t="s">
        <v>622</v>
      </c>
      <c r="B314" s="1" t="s">
        <v>680</v>
      </c>
      <c r="C314" s="2" t="n">
        <v>480</v>
      </c>
      <c r="D314" s="1" t="s">
        <v>21</v>
      </c>
      <c r="E314" s="1" t="s">
        <v>680</v>
      </c>
      <c r="F314" s="2" t="n">
        <v>554891899926</v>
      </c>
      <c r="G314" s="1" t="s">
        <v>33</v>
      </c>
      <c r="I314" s="1" t="s">
        <v>34</v>
      </c>
    </row>
    <row r="315" customFormat="false" ht="14.25" hidden="false" customHeight="false" outlineLevel="0" collapsed="false">
      <c r="A315" s="1" t="s">
        <v>681</v>
      </c>
      <c r="B315" s="1" t="s">
        <v>682</v>
      </c>
      <c r="C315" s="2" t="n">
        <v>150</v>
      </c>
      <c r="D315" s="1" t="s">
        <v>32</v>
      </c>
      <c r="E315" s="1" t="s">
        <v>682</v>
      </c>
      <c r="F315" s="2" t="n">
        <v>5561933008118</v>
      </c>
      <c r="G315" s="1" t="s">
        <v>683</v>
      </c>
      <c r="I315" s="1" t="s">
        <v>50</v>
      </c>
    </row>
    <row r="316" customFormat="false" ht="14.25" hidden="false" customHeight="false" outlineLevel="0" collapsed="false">
      <c r="A316" s="1" t="s">
        <v>622</v>
      </c>
      <c r="B316" s="1" t="s">
        <v>684</v>
      </c>
      <c r="C316" s="2" t="n">
        <v>120</v>
      </c>
      <c r="D316" s="1" t="s">
        <v>21</v>
      </c>
      <c r="E316" s="1" t="s">
        <v>685</v>
      </c>
      <c r="F316" s="2" t="n">
        <v>5926440647</v>
      </c>
      <c r="G316" s="1" t="s">
        <v>686</v>
      </c>
      <c r="I316" s="1" t="s">
        <v>34</v>
      </c>
    </row>
    <row r="317" customFormat="false" ht="14.25" hidden="false" customHeight="false" outlineLevel="0" collapsed="false">
      <c r="A317" s="1" t="s">
        <v>622</v>
      </c>
      <c r="B317" s="1" t="s">
        <v>677</v>
      </c>
      <c r="C317" s="2" t="n">
        <v>150</v>
      </c>
      <c r="D317" s="1" t="s">
        <v>30</v>
      </c>
      <c r="E317" s="1" t="s">
        <v>678</v>
      </c>
      <c r="F317" s="2" t="n">
        <v>557591514132</v>
      </c>
      <c r="G317" s="1" t="s">
        <v>679</v>
      </c>
      <c r="I317" s="1" t="s">
        <v>50</v>
      </c>
    </row>
    <row r="318" customFormat="false" ht="14.25" hidden="false" customHeight="false" outlineLevel="0" collapsed="false">
      <c r="A318" s="1" t="s">
        <v>681</v>
      </c>
      <c r="B318" s="1" t="s">
        <v>687</v>
      </c>
      <c r="C318" s="2" t="n">
        <v>240</v>
      </c>
      <c r="D318" s="1" t="s">
        <v>21</v>
      </c>
      <c r="E318" s="1" t="s">
        <v>687</v>
      </c>
      <c r="F318" s="2" t="n">
        <v>5549999696825</v>
      </c>
      <c r="G318" s="1" t="s">
        <v>688</v>
      </c>
      <c r="I318" s="1" t="s">
        <v>149</v>
      </c>
    </row>
    <row r="319" customFormat="false" ht="14.25" hidden="false" customHeight="false" outlineLevel="0" collapsed="false">
      <c r="A319" s="1" t="s">
        <v>573</v>
      </c>
      <c r="B319" s="1" t="s">
        <v>689</v>
      </c>
      <c r="C319" s="2" t="n">
        <v>240</v>
      </c>
      <c r="D319" s="1" t="s">
        <v>21</v>
      </c>
      <c r="E319" s="1" t="s">
        <v>689</v>
      </c>
      <c r="F319" s="2" t="n">
        <v>559591197182</v>
      </c>
      <c r="G319" s="1" t="s">
        <v>690</v>
      </c>
      <c r="I319" s="1" t="s">
        <v>50</v>
      </c>
    </row>
    <row r="320" customFormat="false" ht="14.25" hidden="false" customHeight="false" outlineLevel="0" collapsed="false">
      <c r="A320" s="1" t="s">
        <v>691</v>
      </c>
      <c r="B320" s="1" t="s">
        <v>692</v>
      </c>
      <c r="C320" s="2" t="n">
        <v>120</v>
      </c>
      <c r="D320" s="1" t="s">
        <v>21</v>
      </c>
      <c r="E320" s="1" t="s">
        <v>692</v>
      </c>
      <c r="F320" s="2" t="n">
        <v>554792283713</v>
      </c>
      <c r="G320" s="1" t="s">
        <v>693</v>
      </c>
      <c r="I320" s="1" t="s">
        <v>34</v>
      </c>
    </row>
    <row r="321" customFormat="false" ht="14.25" hidden="false" customHeight="false" outlineLevel="0" collapsed="false">
      <c r="A321" s="1" t="s">
        <v>691</v>
      </c>
      <c r="B321" s="1" t="s">
        <v>694</v>
      </c>
      <c r="C321" s="2" t="n">
        <v>150</v>
      </c>
      <c r="D321" s="1" t="s">
        <v>32</v>
      </c>
      <c r="E321" s="1" t="s">
        <v>694</v>
      </c>
      <c r="F321" s="2" t="n">
        <v>5511948466849</v>
      </c>
      <c r="G321" s="1" t="s">
        <v>695</v>
      </c>
      <c r="I321" s="1" t="s">
        <v>50</v>
      </c>
    </row>
    <row r="322" customFormat="false" ht="14.25" hidden="false" customHeight="false" outlineLevel="0" collapsed="false">
      <c r="A322" s="1" t="s">
        <v>681</v>
      </c>
      <c r="B322" s="1" t="s">
        <v>488</v>
      </c>
      <c r="C322" s="2" t="n">
        <v>60</v>
      </c>
      <c r="D322" s="1" t="s">
        <v>25</v>
      </c>
      <c r="E322" s="1" t="s">
        <v>488</v>
      </c>
      <c r="F322" s="2" t="n">
        <v>554888148413</v>
      </c>
      <c r="G322" s="1" t="s">
        <v>489</v>
      </c>
      <c r="I322" s="1" t="s">
        <v>355</v>
      </c>
    </row>
    <row r="323" customFormat="false" ht="14.25" hidden="false" customHeight="false" outlineLevel="0" collapsed="false">
      <c r="A323" s="1" t="s">
        <v>681</v>
      </c>
      <c r="B323" s="1" t="s">
        <v>696</v>
      </c>
      <c r="C323" s="2" t="n">
        <v>147</v>
      </c>
      <c r="D323" s="1" t="s">
        <v>22</v>
      </c>
      <c r="E323" s="1" t="s">
        <v>696</v>
      </c>
      <c r="F323" s="2" t="n">
        <v>5511992304927</v>
      </c>
      <c r="G323" s="1" t="s">
        <v>576</v>
      </c>
      <c r="I323" s="1" t="s">
        <v>34</v>
      </c>
    </row>
    <row r="324" customFormat="false" ht="14.25" hidden="false" customHeight="false" outlineLevel="0" collapsed="false">
      <c r="A324" s="1" t="s">
        <v>681</v>
      </c>
      <c r="B324" s="1" t="s">
        <v>471</v>
      </c>
      <c r="C324" s="2" t="n">
        <v>360</v>
      </c>
      <c r="D324" s="1" t="s">
        <v>30</v>
      </c>
      <c r="E324" s="1" t="s">
        <v>471</v>
      </c>
      <c r="F324" s="2" t="n">
        <v>5511981656902</v>
      </c>
      <c r="G324" s="1" t="s">
        <v>697</v>
      </c>
      <c r="I324" s="1" t="s">
        <v>34</v>
      </c>
    </row>
    <row r="325" customFormat="false" ht="14.25" hidden="false" customHeight="false" outlineLevel="0" collapsed="false">
      <c r="A325" s="1" t="s">
        <v>681</v>
      </c>
      <c r="B325" s="1" t="s">
        <v>698</v>
      </c>
      <c r="C325" s="2" t="n">
        <v>300</v>
      </c>
      <c r="D325" s="1" t="s">
        <v>21</v>
      </c>
      <c r="E325" s="1" t="s">
        <v>699</v>
      </c>
      <c r="F325" s="2" t="n">
        <v>554899744413</v>
      </c>
      <c r="G325" s="1" t="s">
        <v>700</v>
      </c>
      <c r="I325" s="1" t="s">
        <v>50</v>
      </c>
    </row>
    <row r="326" customFormat="false" ht="14.25" hidden="false" customHeight="false" outlineLevel="0" collapsed="false">
      <c r="A326" s="1" t="s">
        <v>681</v>
      </c>
      <c r="B326" s="1" t="s">
        <v>701</v>
      </c>
      <c r="C326" s="2" t="n">
        <v>145</v>
      </c>
      <c r="D326" s="1" t="s">
        <v>20</v>
      </c>
      <c r="E326" s="1" t="s">
        <v>701</v>
      </c>
      <c r="F326" s="2" t="n">
        <v>554896872910</v>
      </c>
      <c r="G326" s="1" t="s">
        <v>702</v>
      </c>
      <c r="I326" s="1" t="s">
        <v>50</v>
      </c>
    </row>
    <row r="327" customFormat="false" ht="14.25" hidden="false" customHeight="false" outlineLevel="0" collapsed="false">
      <c r="A327" s="1" t="s">
        <v>681</v>
      </c>
      <c r="B327" s="1" t="s">
        <v>703</v>
      </c>
      <c r="C327" s="2" t="n">
        <v>150</v>
      </c>
      <c r="D327" s="1" t="s">
        <v>32</v>
      </c>
      <c r="E327" s="1" t="s">
        <v>703</v>
      </c>
      <c r="F327" s="2" t="n">
        <v>5548920008175</v>
      </c>
      <c r="G327" s="1" t="s">
        <v>704</v>
      </c>
      <c r="I327" s="1" t="s">
        <v>50</v>
      </c>
    </row>
    <row r="328" customFormat="false" ht="14.25" hidden="false" customHeight="false" outlineLevel="0" collapsed="false">
      <c r="A328" s="1" t="s">
        <v>681</v>
      </c>
      <c r="B328" s="1" t="s">
        <v>705</v>
      </c>
      <c r="C328" s="2" t="n">
        <v>60</v>
      </c>
      <c r="D328" s="1" t="s">
        <v>706</v>
      </c>
      <c r="E328" s="1" t="s">
        <v>705</v>
      </c>
      <c r="F328" s="2" t="n">
        <v>554184740618</v>
      </c>
      <c r="G328" s="1" t="s">
        <v>707</v>
      </c>
      <c r="I328" s="1" t="s">
        <v>149</v>
      </c>
    </row>
    <row r="329" customFormat="false" ht="14.25" hidden="false" customHeight="false" outlineLevel="0" collapsed="false">
      <c r="A329" s="1" t="s">
        <v>681</v>
      </c>
      <c r="B329" s="1" t="s">
        <v>708</v>
      </c>
      <c r="C329" s="2" t="n">
        <v>120</v>
      </c>
      <c r="D329" s="1" t="s">
        <v>32</v>
      </c>
      <c r="E329" s="1" t="s">
        <v>708</v>
      </c>
      <c r="F329" s="2" t="n">
        <v>554288290435</v>
      </c>
      <c r="G329" s="1" t="s">
        <v>709</v>
      </c>
      <c r="I329" s="1" t="s">
        <v>50</v>
      </c>
    </row>
    <row r="330" customFormat="false" ht="14.25" hidden="false" customHeight="false" outlineLevel="0" collapsed="false">
      <c r="A330" s="1" t="s">
        <v>681</v>
      </c>
      <c r="B330" s="1" t="s">
        <v>564</v>
      </c>
      <c r="C330" s="2" t="n">
        <v>200</v>
      </c>
      <c r="D330" s="1" t="s">
        <v>28</v>
      </c>
      <c r="E330" s="1" t="s">
        <v>564</v>
      </c>
      <c r="F330" s="2" t="n">
        <v>554184536785</v>
      </c>
      <c r="G330" s="1" t="s">
        <v>565</v>
      </c>
      <c r="I330" s="1" t="s">
        <v>50</v>
      </c>
    </row>
    <row r="331" customFormat="false" ht="14.25" hidden="false" customHeight="false" outlineLevel="0" collapsed="false">
      <c r="A331" s="1" t="s">
        <v>691</v>
      </c>
      <c r="B331" s="1" t="s">
        <v>710</v>
      </c>
      <c r="C331" s="2" t="n">
        <v>150</v>
      </c>
      <c r="D331" s="1" t="s">
        <v>32</v>
      </c>
      <c r="E331" s="1" t="s">
        <v>710</v>
      </c>
      <c r="F331" s="2" t="n">
        <v>556593533998</v>
      </c>
      <c r="G331" s="1" t="s">
        <v>711</v>
      </c>
      <c r="I331" s="1" t="s">
        <v>34</v>
      </c>
    </row>
    <row r="332" customFormat="false" ht="14.25" hidden="false" customHeight="false" outlineLevel="0" collapsed="false">
      <c r="A332" s="1" t="s">
        <v>691</v>
      </c>
      <c r="B332" s="1" t="s">
        <v>712</v>
      </c>
      <c r="C332" s="2" t="n">
        <v>600</v>
      </c>
      <c r="D332" s="1" t="s">
        <v>27</v>
      </c>
      <c r="E332" s="1" t="s">
        <v>713</v>
      </c>
      <c r="F332" s="2" t="n">
        <v>554892191781</v>
      </c>
      <c r="G332" s="1" t="s">
        <v>714</v>
      </c>
      <c r="I332" s="1" t="s">
        <v>50</v>
      </c>
    </row>
    <row r="333" customFormat="false" ht="14.25" hidden="false" customHeight="false" outlineLevel="0" collapsed="false">
      <c r="A333" s="1" t="s">
        <v>691</v>
      </c>
      <c r="B333" s="1" t="s">
        <v>715</v>
      </c>
      <c r="C333" s="2" t="n">
        <v>150</v>
      </c>
      <c r="D333" s="1" t="s">
        <v>32</v>
      </c>
      <c r="E333" s="1" t="s">
        <v>715</v>
      </c>
      <c r="F333" s="2" t="n">
        <v>554195570306</v>
      </c>
      <c r="G333" s="1" t="s">
        <v>716</v>
      </c>
      <c r="I333" s="1" t="s">
        <v>355</v>
      </c>
    </row>
    <row r="334" customFormat="false" ht="14.25" hidden="false" customHeight="false" outlineLevel="0" collapsed="false">
      <c r="A334" s="1" t="s">
        <v>717</v>
      </c>
      <c r="B334" s="1" t="s">
        <v>718</v>
      </c>
      <c r="C334" s="2" t="n">
        <v>60</v>
      </c>
      <c r="D334" s="1" t="s">
        <v>25</v>
      </c>
      <c r="E334" s="1" t="s">
        <v>718</v>
      </c>
      <c r="F334" s="2" t="n">
        <v>5511915678356</v>
      </c>
      <c r="I334" s="1" t="s">
        <v>34</v>
      </c>
    </row>
    <row r="335" customFormat="false" ht="14.25" hidden="false" customHeight="false" outlineLevel="0" collapsed="false">
      <c r="A335" s="1" t="s">
        <v>691</v>
      </c>
      <c r="B335" s="1" t="s">
        <v>719</v>
      </c>
      <c r="C335" s="2" t="n">
        <v>187</v>
      </c>
      <c r="D335" s="1" t="s">
        <v>21</v>
      </c>
      <c r="E335" s="1" t="s">
        <v>719</v>
      </c>
      <c r="F335" s="2" t="n">
        <v>554792923533</v>
      </c>
      <c r="I335" s="1" t="s">
        <v>355</v>
      </c>
    </row>
    <row r="336" customFormat="false" ht="14.25" hidden="false" customHeight="false" outlineLevel="0" collapsed="false">
      <c r="A336" s="1" t="s">
        <v>717</v>
      </c>
      <c r="B336" s="1" t="s">
        <v>720</v>
      </c>
      <c r="C336" s="2" t="n">
        <v>240</v>
      </c>
      <c r="D336" s="1" t="s">
        <v>21</v>
      </c>
      <c r="E336" s="1" t="s">
        <v>721</v>
      </c>
      <c r="F336" s="2" t="n">
        <v>559584129734</v>
      </c>
      <c r="G336" s="1" t="s">
        <v>722</v>
      </c>
      <c r="I336" s="1" t="s">
        <v>34</v>
      </c>
    </row>
    <row r="337" customFormat="false" ht="14.25" hidden="false" customHeight="false" outlineLevel="0" collapsed="false">
      <c r="A337" s="1" t="s">
        <v>717</v>
      </c>
      <c r="B337" s="1" t="s">
        <v>723</v>
      </c>
      <c r="C337" s="2" t="n">
        <v>150</v>
      </c>
      <c r="D337" s="1" t="s">
        <v>32</v>
      </c>
      <c r="E337" s="1" t="s">
        <v>723</v>
      </c>
      <c r="F337" s="2" t="n">
        <v>559584274508</v>
      </c>
      <c r="G337" s="1" t="s">
        <v>724</v>
      </c>
      <c r="I337" s="1" t="s">
        <v>34</v>
      </c>
    </row>
    <row r="338" customFormat="false" ht="14.25" hidden="false" customHeight="false" outlineLevel="0" collapsed="false">
      <c r="A338" s="1" t="s">
        <v>717</v>
      </c>
      <c r="B338" s="1" t="s">
        <v>725</v>
      </c>
      <c r="C338" s="2" t="n">
        <v>150</v>
      </c>
      <c r="D338" s="1" t="s">
        <v>18</v>
      </c>
      <c r="E338" s="1" t="s">
        <v>725</v>
      </c>
      <c r="F338" s="2" t="n">
        <v>5511996490310</v>
      </c>
      <c r="I338" s="1" t="s">
        <v>34</v>
      </c>
    </row>
    <row r="339" customFormat="false" ht="14.25" hidden="false" customHeight="false" outlineLevel="0" collapsed="false">
      <c r="A339" s="1" t="s">
        <v>717</v>
      </c>
      <c r="B339" s="1" t="s">
        <v>726</v>
      </c>
      <c r="C339" s="2" t="n">
        <v>150</v>
      </c>
      <c r="D339" s="1" t="s">
        <v>18</v>
      </c>
      <c r="E339" s="1" t="s">
        <v>726</v>
      </c>
      <c r="F339" s="2" t="n">
        <v>554799607160</v>
      </c>
      <c r="G339" s="1" t="s">
        <v>727</v>
      </c>
      <c r="I339" s="1" t="s">
        <v>355</v>
      </c>
      <c r="J339" s="1" t="s">
        <v>60</v>
      </c>
      <c r="K339" s="1" t="s">
        <v>27</v>
      </c>
      <c r="L339" s="1" t="s">
        <v>728</v>
      </c>
      <c r="M339" s="1" t="s">
        <v>62</v>
      </c>
    </row>
    <row r="340" customFormat="false" ht="14.25" hidden="false" customHeight="false" outlineLevel="0" collapsed="false">
      <c r="A340" s="1" t="s">
        <v>729</v>
      </c>
      <c r="B340" s="1" t="s">
        <v>730</v>
      </c>
      <c r="C340" s="2" t="n">
        <v>120</v>
      </c>
      <c r="D340" s="1" t="s">
        <v>30</v>
      </c>
      <c r="E340" s="1" t="s">
        <v>730</v>
      </c>
      <c r="F340" s="2" t="n">
        <v>554196158416</v>
      </c>
      <c r="G340" s="1" t="s">
        <v>731</v>
      </c>
      <c r="I340" s="1" t="s">
        <v>355</v>
      </c>
    </row>
    <row r="341" customFormat="false" ht="14.25" hidden="false" customHeight="false" outlineLevel="0" collapsed="false">
      <c r="A341" s="1" t="s">
        <v>729</v>
      </c>
      <c r="B341" s="1" t="s">
        <v>732</v>
      </c>
      <c r="C341" s="2" t="n">
        <v>120</v>
      </c>
      <c r="D341" s="1" t="s">
        <v>23</v>
      </c>
      <c r="E341" s="1" t="s">
        <v>732</v>
      </c>
      <c r="F341" s="2" t="n">
        <v>5354075225</v>
      </c>
      <c r="I341" s="1" t="s">
        <v>34</v>
      </c>
    </row>
    <row r="342" customFormat="false" ht="14.25" hidden="false" customHeight="false" outlineLevel="0" collapsed="false">
      <c r="A342" s="1" t="s">
        <v>729</v>
      </c>
      <c r="B342" s="1" t="s">
        <v>733</v>
      </c>
      <c r="C342" s="2" t="n">
        <v>150</v>
      </c>
      <c r="D342" s="1" t="s">
        <v>32</v>
      </c>
      <c r="E342" s="1" t="s">
        <v>733</v>
      </c>
      <c r="F342" s="2" t="n">
        <v>559584122441</v>
      </c>
      <c r="I342" s="1" t="s">
        <v>34</v>
      </c>
    </row>
    <row r="343" customFormat="false" ht="14.25" hidden="false" customHeight="false" outlineLevel="0" collapsed="false">
      <c r="A343" s="1" t="s">
        <v>717</v>
      </c>
      <c r="B343" s="1" t="s">
        <v>734</v>
      </c>
      <c r="C343" s="2" t="n">
        <v>130</v>
      </c>
      <c r="D343" s="1" t="s">
        <v>20</v>
      </c>
      <c r="E343" s="1" t="s">
        <v>734</v>
      </c>
      <c r="F343" s="2" t="n">
        <v>556292588139</v>
      </c>
      <c r="G343" s="1" t="s">
        <v>735</v>
      </c>
      <c r="I343" s="1" t="s">
        <v>54</v>
      </c>
    </row>
    <row r="344" customFormat="false" ht="14.25" hidden="false" customHeight="false" outlineLevel="0" collapsed="false">
      <c r="A344" s="1" t="s">
        <v>717</v>
      </c>
      <c r="B344" s="1" t="s">
        <v>736</v>
      </c>
      <c r="C344" s="2" t="n">
        <v>40</v>
      </c>
      <c r="D344" s="1" t="s">
        <v>21</v>
      </c>
      <c r="E344" s="1" t="s">
        <v>736</v>
      </c>
      <c r="F344" s="2" t="n">
        <v>554899263876</v>
      </c>
      <c r="G344" s="1" t="s">
        <v>737</v>
      </c>
      <c r="I344" s="1" t="s">
        <v>50</v>
      </c>
    </row>
    <row r="345" customFormat="false" ht="14.25" hidden="false" customHeight="false" outlineLevel="0" collapsed="false">
      <c r="A345" s="1" t="s">
        <v>738</v>
      </c>
      <c r="B345" s="1" t="s">
        <v>739</v>
      </c>
      <c r="C345" s="2" t="n">
        <v>140</v>
      </c>
      <c r="D345" s="1" t="s">
        <v>32</v>
      </c>
      <c r="E345" s="1" t="s">
        <v>740</v>
      </c>
      <c r="F345" s="2" t="n">
        <v>5519981183492</v>
      </c>
      <c r="G345" s="1" t="s">
        <v>33</v>
      </c>
      <c r="I345" s="1" t="s">
        <v>34</v>
      </c>
    </row>
    <row r="346" customFormat="false" ht="14.25" hidden="false" customHeight="false" outlineLevel="0" collapsed="false">
      <c r="A346" s="1" t="s">
        <v>729</v>
      </c>
      <c r="B346" s="1" t="s">
        <v>741</v>
      </c>
      <c r="C346" s="2" t="n">
        <v>90</v>
      </c>
      <c r="D346" s="1" t="s">
        <v>21</v>
      </c>
      <c r="E346" s="1" t="s">
        <v>741</v>
      </c>
      <c r="F346" s="2" t="n">
        <v>559584397891</v>
      </c>
      <c r="G346" s="1" t="s">
        <v>742</v>
      </c>
      <c r="I346" s="1" t="s">
        <v>34</v>
      </c>
    </row>
    <row r="347" customFormat="false" ht="14.25" hidden="false" customHeight="false" outlineLevel="0" collapsed="false">
      <c r="A347" s="1" t="s">
        <v>738</v>
      </c>
      <c r="B347" s="1" t="s">
        <v>743</v>
      </c>
      <c r="C347" s="2" t="n">
        <v>120</v>
      </c>
      <c r="D347" s="1" t="s">
        <v>30</v>
      </c>
      <c r="E347" s="1" t="s">
        <v>744</v>
      </c>
      <c r="F347" s="2" t="n">
        <v>554896112864</v>
      </c>
      <c r="G347" s="1" t="s">
        <v>745</v>
      </c>
      <c r="I347" s="1" t="s">
        <v>50</v>
      </c>
    </row>
    <row r="348" customFormat="false" ht="14.25" hidden="false" customHeight="false" outlineLevel="0" collapsed="false">
      <c r="A348" s="1" t="s">
        <v>738</v>
      </c>
      <c r="B348" s="1" t="s">
        <v>746</v>
      </c>
      <c r="C348" s="2" t="n">
        <v>140</v>
      </c>
      <c r="D348" s="1" t="s">
        <v>32</v>
      </c>
      <c r="E348" s="1" t="s">
        <v>747</v>
      </c>
      <c r="F348" s="2" t="n">
        <v>559574004938</v>
      </c>
      <c r="G348" s="1" t="s">
        <v>43</v>
      </c>
      <c r="I348" s="1" t="s">
        <v>50</v>
      </c>
    </row>
    <row r="349" customFormat="false" ht="14.25" hidden="false" customHeight="false" outlineLevel="0" collapsed="false">
      <c r="A349" s="1" t="s">
        <v>738</v>
      </c>
      <c r="B349" s="1" t="s">
        <v>212</v>
      </c>
      <c r="C349" s="2" t="n">
        <v>60</v>
      </c>
      <c r="D349" s="1" t="s">
        <v>25</v>
      </c>
      <c r="E349" s="1" t="s">
        <v>748</v>
      </c>
      <c r="F349" s="2" t="n">
        <v>5352772934</v>
      </c>
      <c r="G349" s="1" t="s">
        <v>749</v>
      </c>
      <c r="I349" s="1" t="s">
        <v>50</v>
      </c>
    </row>
    <row r="350" customFormat="false" ht="14.25" hidden="false" customHeight="false" outlineLevel="0" collapsed="false">
      <c r="A350" s="1" t="s">
        <v>738</v>
      </c>
      <c r="B350" s="1" t="s">
        <v>750</v>
      </c>
      <c r="C350" s="2" t="n">
        <v>180</v>
      </c>
      <c r="D350" s="1" t="s">
        <v>25</v>
      </c>
      <c r="E350" s="1" t="s">
        <v>348</v>
      </c>
      <c r="F350" s="2" t="n">
        <v>559584193767</v>
      </c>
      <c r="G350" s="1" t="s">
        <v>349</v>
      </c>
      <c r="I350" s="1" t="s">
        <v>34</v>
      </c>
    </row>
    <row r="351" customFormat="false" ht="14.25" hidden="false" customHeight="false" outlineLevel="0" collapsed="false">
      <c r="A351" s="1" t="s">
        <v>738</v>
      </c>
      <c r="B351" s="1" t="s">
        <v>751</v>
      </c>
      <c r="C351" s="2" t="n">
        <v>300</v>
      </c>
      <c r="D351" s="1" t="s">
        <v>21</v>
      </c>
      <c r="E351" s="1" t="s">
        <v>751</v>
      </c>
      <c r="F351" s="2" t="n">
        <v>554989075796</v>
      </c>
      <c r="G351" s="1" t="s">
        <v>752</v>
      </c>
      <c r="I351" s="1" t="s">
        <v>355</v>
      </c>
    </row>
    <row r="352" customFormat="false" ht="14.25" hidden="false" customHeight="false" outlineLevel="0" collapsed="false">
      <c r="A352" s="1" t="s">
        <v>738</v>
      </c>
      <c r="B352" s="1" t="s">
        <v>753</v>
      </c>
      <c r="C352" s="2" t="n">
        <v>240</v>
      </c>
      <c r="D352" s="1" t="s">
        <v>30</v>
      </c>
      <c r="E352" s="1" t="s">
        <v>753</v>
      </c>
      <c r="F352" s="2" t="n">
        <v>554185030431</v>
      </c>
      <c r="G352" s="1" t="s">
        <v>754</v>
      </c>
      <c r="I352" s="1" t="s">
        <v>355</v>
      </c>
    </row>
    <row r="353" customFormat="false" ht="14.25" hidden="false" customHeight="false" outlineLevel="0" collapsed="false">
      <c r="A353" s="1" t="s">
        <v>738</v>
      </c>
      <c r="B353" s="1" t="s">
        <v>755</v>
      </c>
      <c r="C353" s="2" t="n">
        <v>150</v>
      </c>
      <c r="D353" s="1" t="s">
        <v>32</v>
      </c>
      <c r="E353" s="1" t="s">
        <v>755</v>
      </c>
      <c r="F353" s="2" t="n">
        <v>559674008127</v>
      </c>
      <c r="G353" s="1" t="s">
        <v>756</v>
      </c>
      <c r="I353" s="1" t="s">
        <v>34</v>
      </c>
      <c r="J353" s="1" t="s">
        <v>35</v>
      </c>
      <c r="K353" s="1" t="s">
        <v>36</v>
      </c>
      <c r="L353" s="1" t="s">
        <v>37</v>
      </c>
      <c r="M353" s="1" t="s">
        <v>38</v>
      </c>
    </row>
    <row r="354" customFormat="false" ht="14.25" hidden="false" customHeight="false" outlineLevel="0" collapsed="false">
      <c r="A354" s="1" t="s">
        <v>738</v>
      </c>
      <c r="B354" s="1" t="s">
        <v>757</v>
      </c>
      <c r="C354" s="2" t="n">
        <v>480</v>
      </c>
      <c r="D354" s="1" t="s">
        <v>21</v>
      </c>
      <c r="E354" s="1" t="s">
        <v>758</v>
      </c>
      <c r="F354" s="2" t="n">
        <v>559584126524</v>
      </c>
      <c r="G354" s="1" t="s">
        <v>519</v>
      </c>
      <c r="I354" s="1" t="s">
        <v>34</v>
      </c>
    </row>
    <row r="355" customFormat="false" ht="14.25" hidden="false" customHeight="false" outlineLevel="0" collapsed="false">
      <c r="A355" s="1" t="s">
        <v>738</v>
      </c>
      <c r="B355" s="1" t="s">
        <v>759</v>
      </c>
      <c r="C355" s="2" t="n">
        <v>97</v>
      </c>
      <c r="D355" s="1" t="s">
        <v>20</v>
      </c>
      <c r="E355" s="1" t="s">
        <v>760</v>
      </c>
      <c r="F355" s="2" t="n">
        <v>5521998053023</v>
      </c>
      <c r="G355" s="1" t="s">
        <v>761</v>
      </c>
      <c r="I355" s="1" t="s">
        <v>50</v>
      </c>
    </row>
    <row r="356" customFormat="false" ht="14.25" hidden="false" customHeight="false" outlineLevel="0" collapsed="false">
      <c r="A356" s="1" t="s">
        <v>738</v>
      </c>
      <c r="B356" s="1" t="s">
        <v>762</v>
      </c>
      <c r="C356" s="2" t="n">
        <v>367</v>
      </c>
      <c r="D356" s="1" t="s">
        <v>22</v>
      </c>
      <c r="E356" s="1" t="s">
        <v>762</v>
      </c>
      <c r="F356" s="2" t="n">
        <v>554899679695</v>
      </c>
      <c r="G356" s="1" t="s">
        <v>763</v>
      </c>
      <c r="I356" s="1" t="s">
        <v>355</v>
      </c>
    </row>
    <row r="357" customFormat="false" ht="14.25" hidden="false" customHeight="false" outlineLevel="0" collapsed="false">
      <c r="A357" s="1" t="s">
        <v>764</v>
      </c>
      <c r="B357" s="1" t="s">
        <v>765</v>
      </c>
      <c r="C357" s="2" t="n">
        <v>120</v>
      </c>
      <c r="D357" s="1" t="s">
        <v>23</v>
      </c>
      <c r="E357" s="1" t="s">
        <v>765</v>
      </c>
      <c r="F357" s="2" t="n">
        <v>559684243786</v>
      </c>
      <c r="G357" s="1" t="s">
        <v>766</v>
      </c>
      <c r="I357" s="1" t="s">
        <v>355</v>
      </c>
    </row>
    <row r="358" customFormat="false" ht="14.25" hidden="false" customHeight="false" outlineLevel="0" collapsed="false">
      <c r="A358" s="1" t="s">
        <v>738</v>
      </c>
      <c r="B358" s="1" t="s">
        <v>762</v>
      </c>
      <c r="C358" s="2" t="n">
        <v>298</v>
      </c>
      <c r="D358" s="1" t="s">
        <v>21</v>
      </c>
      <c r="E358" s="1" t="s">
        <v>762</v>
      </c>
      <c r="F358" s="2" t="n">
        <v>554899679695</v>
      </c>
      <c r="G358" s="1" t="s">
        <v>763</v>
      </c>
      <c r="I358" s="1" t="s">
        <v>355</v>
      </c>
    </row>
    <row r="359" customFormat="false" ht="14.25" hidden="false" customHeight="false" outlineLevel="0" collapsed="false">
      <c r="A359" s="1" t="s">
        <v>764</v>
      </c>
      <c r="B359" s="1" t="s">
        <v>767</v>
      </c>
      <c r="C359" s="2" t="n">
        <v>75</v>
      </c>
      <c r="D359" s="1" t="s">
        <v>390</v>
      </c>
      <c r="E359" s="1" t="s">
        <v>767</v>
      </c>
      <c r="F359" s="2" t="n">
        <v>558596624436</v>
      </c>
      <c r="G359" s="1" t="s">
        <v>768</v>
      </c>
      <c r="I359" s="1" t="s">
        <v>50</v>
      </c>
    </row>
    <row r="360" customFormat="false" ht="14.25" hidden="false" customHeight="false" outlineLevel="0" collapsed="false">
      <c r="A360" s="1" t="s">
        <v>764</v>
      </c>
      <c r="B360" s="1" t="s">
        <v>248</v>
      </c>
      <c r="C360" s="2" t="n">
        <v>120</v>
      </c>
      <c r="D360" s="1" t="s">
        <v>390</v>
      </c>
      <c r="E360" s="1" t="s">
        <v>248</v>
      </c>
      <c r="F360" s="2" t="n">
        <v>5511976465945</v>
      </c>
      <c r="G360" s="1" t="s">
        <v>249</v>
      </c>
      <c r="I360" s="1" t="s">
        <v>34</v>
      </c>
    </row>
    <row r="361" customFormat="false" ht="14.25" hidden="false" customHeight="false" outlineLevel="0" collapsed="false">
      <c r="A361" s="1" t="s">
        <v>764</v>
      </c>
      <c r="B361" s="1" t="s">
        <v>769</v>
      </c>
      <c r="C361" s="2" t="n">
        <v>290</v>
      </c>
      <c r="D361" s="1" t="s">
        <v>18</v>
      </c>
      <c r="E361" s="1" t="s">
        <v>769</v>
      </c>
      <c r="F361" s="2" t="n">
        <v>5565992235073</v>
      </c>
      <c r="G361" s="1" t="s">
        <v>770</v>
      </c>
      <c r="I361" s="1" t="s">
        <v>355</v>
      </c>
    </row>
    <row r="362" customFormat="false" ht="14.25" hidden="false" customHeight="false" outlineLevel="0" collapsed="false">
      <c r="A362" s="1" t="s">
        <v>764</v>
      </c>
      <c r="B362" s="1" t="s">
        <v>771</v>
      </c>
      <c r="C362" s="2" t="n">
        <v>95</v>
      </c>
      <c r="D362" s="1" t="s">
        <v>20</v>
      </c>
      <c r="E362" s="1" t="s">
        <v>771</v>
      </c>
      <c r="F362" s="2" t="n">
        <v>5594920005243</v>
      </c>
      <c r="G362" s="1" t="s">
        <v>772</v>
      </c>
      <c r="I362" s="1" t="s">
        <v>50</v>
      </c>
    </row>
    <row r="363" customFormat="false" ht="14.25" hidden="false" customHeight="false" outlineLevel="0" collapsed="false">
      <c r="A363" s="1" t="s">
        <v>764</v>
      </c>
      <c r="B363" s="1" t="s">
        <v>773</v>
      </c>
      <c r="C363" s="2" t="n">
        <v>147</v>
      </c>
      <c r="D363" s="1" t="s">
        <v>18</v>
      </c>
      <c r="E363" s="1" t="s">
        <v>773</v>
      </c>
      <c r="F363" s="2" t="n">
        <v>5595984061138</v>
      </c>
      <c r="G363" s="1" t="s">
        <v>774</v>
      </c>
      <c r="I363" s="1" t="s">
        <v>50</v>
      </c>
      <c r="J363" s="1" t="s">
        <v>35</v>
      </c>
      <c r="K363" s="1" t="s">
        <v>36</v>
      </c>
      <c r="L363" s="1" t="s">
        <v>37</v>
      </c>
      <c r="M363" s="1" t="s">
        <v>38</v>
      </c>
    </row>
    <row r="364" customFormat="false" ht="14.25" hidden="false" customHeight="false" outlineLevel="0" collapsed="false">
      <c r="A364" s="1" t="s">
        <v>764</v>
      </c>
      <c r="B364" s="1" t="s">
        <v>775</v>
      </c>
      <c r="C364" s="2" t="n">
        <v>436</v>
      </c>
      <c r="D364" s="1" t="s">
        <v>20</v>
      </c>
      <c r="E364" s="1" t="s">
        <v>775</v>
      </c>
      <c r="F364" s="2" t="n">
        <v>5511995352903</v>
      </c>
      <c r="G364" s="1" t="s">
        <v>776</v>
      </c>
      <c r="I364" s="1" t="s">
        <v>355</v>
      </c>
    </row>
    <row r="365" customFormat="false" ht="14.25" hidden="false" customHeight="false" outlineLevel="0" collapsed="false">
      <c r="A365" s="1" t="s">
        <v>764</v>
      </c>
      <c r="B365" s="1" t="s">
        <v>777</v>
      </c>
      <c r="C365" s="2" t="n">
        <v>147</v>
      </c>
      <c r="D365" s="1" t="s">
        <v>18</v>
      </c>
      <c r="E365" s="1" t="s">
        <v>777</v>
      </c>
      <c r="F365" s="2" t="n">
        <v>5541998997071</v>
      </c>
      <c r="G365" s="1" t="s">
        <v>778</v>
      </c>
      <c r="I365" s="1" t="s">
        <v>50</v>
      </c>
    </row>
    <row r="366" customFormat="false" ht="14.25" hidden="false" customHeight="false" outlineLevel="0" collapsed="false">
      <c r="A366" s="1" t="s">
        <v>764</v>
      </c>
      <c r="B366" s="1" t="s">
        <v>779</v>
      </c>
      <c r="C366" s="2" t="n">
        <v>100</v>
      </c>
      <c r="D366" s="1" t="s">
        <v>20</v>
      </c>
      <c r="E366" s="1" t="s">
        <v>779</v>
      </c>
      <c r="F366" s="2" t="n">
        <v>554196224290</v>
      </c>
      <c r="G366" s="1" t="s">
        <v>780</v>
      </c>
      <c r="I366" s="1" t="s">
        <v>50</v>
      </c>
      <c r="J366" s="1" t="s">
        <v>35</v>
      </c>
      <c r="K366" s="1" t="s">
        <v>36</v>
      </c>
      <c r="L366" s="1" t="s">
        <v>37</v>
      </c>
      <c r="M366" s="1" t="s">
        <v>38</v>
      </c>
    </row>
    <row r="367" customFormat="false" ht="14.25" hidden="false" customHeight="false" outlineLevel="0" collapsed="false">
      <c r="A367" s="1" t="s">
        <v>764</v>
      </c>
      <c r="B367" s="1" t="s">
        <v>781</v>
      </c>
      <c r="C367" s="2" t="n">
        <v>150</v>
      </c>
      <c r="D367" s="1" t="s">
        <v>32</v>
      </c>
      <c r="E367" s="1" t="s">
        <v>781</v>
      </c>
      <c r="F367" s="2" t="n">
        <v>554588318080</v>
      </c>
      <c r="G367" s="1" t="s">
        <v>782</v>
      </c>
      <c r="I367" s="1" t="s">
        <v>355</v>
      </c>
      <c r="J367" s="1" t="s">
        <v>35</v>
      </c>
      <c r="K367" s="1" t="s">
        <v>69</v>
      </c>
      <c r="L367" s="1" t="s">
        <v>70</v>
      </c>
      <c r="M367" s="1" t="s">
        <v>38</v>
      </c>
    </row>
    <row r="368" customFormat="false" ht="14.25" hidden="false" customHeight="false" outlineLevel="0" collapsed="false">
      <c r="A368" s="1" t="s">
        <v>738</v>
      </c>
      <c r="B368" s="1" t="s">
        <v>783</v>
      </c>
      <c r="C368" s="2" t="n">
        <v>250</v>
      </c>
      <c r="D368" s="1" t="s">
        <v>27</v>
      </c>
      <c r="E368" s="1" t="s">
        <v>783</v>
      </c>
      <c r="F368" s="2" t="n">
        <v>554399341820</v>
      </c>
      <c r="G368" s="1" t="s">
        <v>784</v>
      </c>
      <c r="I368" s="1" t="s">
        <v>34</v>
      </c>
    </row>
    <row r="369" customFormat="false" ht="14.25" hidden="false" customHeight="false" outlineLevel="0" collapsed="false">
      <c r="A369" s="1" t="s">
        <v>738</v>
      </c>
      <c r="B369" s="1" t="s">
        <v>649</v>
      </c>
      <c r="C369" s="2" t="n">
        <v>300</v>
      </c>
      <c r="D369" s="1" t="s">
        <v>24</v>
      </c>
      <c r="E369" s="1" t="s">
        <v>649</v>
      </c>
      <c r="F369" s="2" t="n">
        <v>5595981257313</v>
      </c>
      <c r="G369" s="1" t="s">
        <v>785</v>
      </c>
      <c r="I369" s="1" t="s">
        <v>34</v>
      </c>
    </row>
    <row r="370" customFormat="false" ht="14.25" hidden="false" customHeight="false" outlineLevel="0" collapsed="false">
      <c r="A370" s="1" t="s">
        <v>764</v>
      </c>
      <c r="B370" s="1" t="s">
        <v>786</v>
      </c>
      <c r="C370" s="2" t="n">
        <v>120</v>
      </c>
      <c r="D370" s="1" t="s">
        <v>21</v>
      </c>
      <c r="E370" s="1" t="s">
        <v>786</v>
      </c>
      <c r="F370" s="2" t="n">
        <v>5548988189377</v>
      </c>
      <c r="G370" s="1" t="s">
        <v>787</v>
      </c>
      <c r="I370" s="1" t="s">
        <v>355</v>
      </c>
    </row>
    <row r="371" customFormat="false" ht="14.25" hidden="false" customHeight="false" outlineLevel="0" collapsed="false">
      <c r="A371" s="1" t="s">
        <v>788</v>
      </c>
      <c r="B371" s="1" t="s">
        <v>789</v>
      </c>
      <c r="C371" s="2" t="n">
        <v>97</v>
      </c>
      <c r="D371" s="1" t="s">
        <v>20</v>
      </c>
      <c r="E371" s="1" t="s">
        <v>790</v>
      </c>
      <c r="F371" s="2" t="n">
        <v>554199753797</v>
      </c>
      <c r="G371" s="1" t="s">
        <v>791</v>
      </c>
      <c r="I371" s="1" t="s">
        <v>355</v>
      </c>
    </row>
    <row r="372" customFormat="false" ht="14.25" hidden="false" customHeight="false" outlineLevel="0" collapsed="false">
      <c r="A372" s="1" t="s">
        <v>764</v>
      </c>
      <c r="B372" s="1" t="s">
        <v>792</v>
      </c>
      <c r="C372" s="2" t="n">
        <v>250</v>
      </c>
      <c r="D372" s="1" t="s">
        <v>106</v>
      </c>
      <c r="E372" s="1" t="s">
        <v>514</v>
      </c>
      <c r="F372" s="2" t="n">
        <v>559584032367</v>
      </c>
      <c r="G372" s="1" t="s">
        <v>515</v>
      </c>
      <c r="I372" s="1" t="s">
        <v>50</v>
      </c>
    </row>
    <row r="373" customFormat="false" ht="14.25" hidden="false" customHeight="false" outlineLevel="0" collapsed="false">
      <c r="A373" s="1" t="s">
        <v>788</v>
      </c>
      <c r="B373" s="1" t="s">
        <v>793</v>
      </c>
      <c r="C373" s="2" t="n">
        <v>354</v>
      </c>
      <c r="D373" s="1" t="s">
        <v>390</v>
      </c>
      <c r="E373" s="1" t="s">
        <v>793</v>
      </c>
      <c r="F373" s="2" t="n">
        <v>555496612650</v>
      </c>
      <c r="G373" s="1" t="s">
        <v>43</v>
      </c>
      <c r="I373" s="1" t="s">
        <v>50</v>
      </c>
    </row>
    <row r="374" customFormat="false" ht="14.25" hidden="false" customHeight="false" outlineLevel="0" collapsed="false">
      <c r="A374" s="1" t="s">
        <v>764</v>
      </c>
      <c r="B374" s="1" t="s">
        <v>794</v>
      </c>
      <c r="C374" s="2" t="n">
        <v>1200</v>
      </c>
      <c r="D374" s="1" t="s">
        <v>27</v>
      </c>
      <c r="E374" s="1" t="s">
        <v>794</v>
      </c>
      <c r="F374" s="2" t="n">
        <v>554198738275</v>
      </c>
      <c r="G374" s="1" t="s">
        <v>794</v>
      </c>
      <c r="I374" s="1" t="s">
        <v>34</v>
      </c>
      <c r="J374" s="1" t="s">
        <v>60</v>
      </c>
      <c r="K374" s="1" t="s">
        <v>27</v>
      </c>
      <c r="L374" s="1" t="s">
        <v>606</v>
      </c>
      <c r="M374" s="1" t="s">
        <v>62</v>
      </c>
    </row>
    <row r="375" customFormat="false" ht="14.25" hidden="false" customHeight="false" outlineLevel="0" collapsed="false">
      <c r="A375" s="1" t="s">
        <v>788</v>
      </c>
      <c r="B375" s="1" t="s">
        <v>795</v>
      </c>
      <c r="C375" s="2" t="n">
        <v>294</v>
      </c>
      <c r="D375" s="1" t="s">
        <v>390</v>
      </c>
      <c r="E375" s="1" t="s">
        <v>796</v>
      </c>
      <c r="F375" s="2" t="n">
        <v>5547996027323</v>
      </c>
      <c r="G375" s="1" t="s">
        <v>797</v>
      </c>
      <c r="I375" s="1" t="s">
        <v>355</v>
      </c>
    </row>
    <row r="376" customFormat="false" ht="14.25" hidden="false" customHeight="false" outlineLevel="0" collapsed="false">
      <c r="A376" s="1" t="s">
        <v>788</v>
      </c>
      <c r="B376" s="1" t="s">
        <v>798</v>
      </c>
      <c r="C376" s="2" t="n">
        <v>200</v>
      </c>
      <c r="D376" s="1" t="s">
        <v>23</v>
      </c>
      <c r="E376" s="1" t="s">
        <v>799</v>
      </c>
      <c r="F376" s="2" t="n">
        <v>559584121787</v>
      </c>
      <c r="G376" s="1" t="s">
        <v>800</v>
      </c>
      <c r="I376" s="1" t="s">
        <v>34</v>
      </c>
    </row>
    <row r="377" customFormat="false" ht="14.25" hidden="false" customHeight="false" outlineLevel="0" collapsed="false">
      <c r="A377" s="1" t="s">
        <v>801</v>
      </c>
      <c r="B377" s="1" t="s">
        <v>802</v>
      </c>
      <c r="C377" s="2" t="n">
        <v>240</v>
      </c>
      <c r="D377" s="1" t="s">
        <v>21</v>
      </c>
      <c r="E377" s="1" t="s">
        <v>803</v>
      </c>
      <c r="F377" s="2" t="n">
        <v>559684165897</v>
      </c>
      <c r="G377" s="1" t="s">
        <v>804</v>
      </c>
      <c r="I377" s="1" t="s">
        <v>355</v>
      </c>
    </row>
    <row r="378" customFormat="false" ht="14.25" hidden="false" customHeight="false" outlineLevel="0" collapsed="false">
      <c r="A378" s="1" t="s">
        <v>801</v>
      </c>
      <c r="B378" s="1" t="s">
        <v>805</v>
      </c>
      <c r="C378" s="2" t="n">
        <v>150</v>
      </c>
      <c r="D378" s="1" t="s">
        <v>32</v>
      </c>
      <c r="E378" s="1" t="s">
        <v>806</v>
      </c>
      <c r="F378" s="2" t="n">
        <v>559584033004</v>
      </c>
      <c r="I378" s="1" t="s">
        <v>50</v>
      </c>
    </row>
    <row r="379" customFormat="false" ht="14.25" hidden="false" customHeight="false" outlineLevel="0" collapsed="false">
      <c r="A379" s="1" t="s">
        <v>801</v>
      </c>
      <c r="B379" s="1" t="s">
        <v>807</v>
      </c>
      <c r="C379" s="2" t="n">
        <v>60</v>
      </c>
      <c r="D379" s="1" t="s">
        <v>25</v>
      </c>
      <c r="E379" s="1" t="s">
        <v>807</v>
      </c>
      <c r="F379" s="2" t="n">
        <v>554888031224</v>
      </c>
      <c r="G379" s="1" t="s">
        <v>808</v>
      </c>
      <c r="I379" s="1" t="s">
        <v>34</v>
      </c>
    </row>
    <row r="380" customFormat="false" ht="14.25" hidden="false" customHeight="false" outlineLevel="0" collapsed="false">
      <c r="A380" s="1" t="s">
        <v>801</v>
      </c>
      <c r="B380" s="1" t="s">
        <v>809</v>
      </c>
      <c r="C380" s="2" t="n">
        <v>150</v>
      </c>
      <c r="D380" s="1" t="s">
        <v>32</v>
      </c>
      <c r="E380" s="1" t="s">
        <v>809</v>
      </c>
      <c r="F380" s="2" t="n">
        <v>554199625900</v>
      </c>
      <c r="G380" s="1" t="s">
        <v>810</v>
      </c>
      <c r="I380" s="1" t="s">
        <v>54</v>
      </c>
    </row>
    <row r="381" customFormat="false" ht="14.25" hidden="false" customHeight="false" outlineLevel="0" collapsed="false">
      <c r="A381" s="1" t="s">
        <v>801</v>
      </c>
      <c r="B381" s="1" t="s">
        <v>811</v>
      </c>
      <c r="C381" s="2" t="n">
        <v>150</v>
      </c>
      <c r="D381" s="1" t="s">
        <v>32</v>
      </c>
      <c r="E381" s="1" t="s">
        <v>811</v>
      </c>
      <c r="F381" s="2" t="n">
        <v>556592781869</v>
      </c>
      <c r="G381" s="1" t="s">
        <v>812</v>
      </c>
      <c r="I381" s="1" t="s">
        <v>50</v>
      </c>
    </row>
    <row r="382" customFormat="false" ht="14.25" hidden="false" customHeight="false" outlineLevel="0" collapsed="false">
      <c r="A382" s="1" t="s">
        <v>801</v>
      </c>
      <c r="B382" s="1" t="s">
        <v>813</v>
      </c>
      <c r="C382" s="2" t="n">
        <v>240</v>
      </c>
      <c r="D382" s="1" t="s">
        <v>30</v>
      </c>
      <c r="E382" s="1" t="s">
        <v>813</v>
      </c>
      <c r="F382" s="2" t="n">
        <v>559584398079</v>
      </c>
      <c r="G382" s="1" t="s">
        <v>814</v>
      </c>
      <c r="I382" s="1" t="s">
        <v>355</v>
      </c>
    </row>
    <row r="383" customFormat="false" ht="14.25" hidden="false" customHeight="false" outlineLevel="0" collapsed="false">
      <c r="A383" s="1" t="s">
        <v>801</v>
      </c>
      <c r="B383" s="1" t="s">
        <v>815</v>
      </c>
      <c r="C383" s="2" t="n">
        <v>140</v>
      </c>
      <c r="D383" s="1" t="s">
        <v>32</v>
      </c>
      <c r="E383" s="1" t="s">
        <v>815</v>
      </c>
      <c r="F383" s="2" t="n">
        <v>559584296837</v>
      </c>
      <c r="G383" s="1" t="s">
        <v>816</v>
      </c>
      <c r="I383" s="1" t="s">
        <v>34</v>
      </c>
    </row>
    <row r="384" customFormat="false" ht="14.25" hidden="false" customHeight="false" outlineLevel="0" collapsed="false">
      <c r="A384" s="1" t="s">
        <v>801</v>
      </c>
      <c r="B384" s="1" t="s">
        <v>817</v>
      </c>
      <c r="C384" s="2" t="n">
        <v>150</v>
      </c>
      <c r="D384" s="1" t="s">
        <v>32</v>
      </c>
      <c r="E384" s="1" t="s">
        <v>818</v>
      </c>
      <c r="F384" s="2" t="n">
        <v>554598459653</v>
      </c>
      <c r="G384" s="1" t="s">
        <v>33</v>
      </c>
      <c r="I384" s="1" t="s">
        <v>355</v>
      </c>
    </row>
    <row r="385" customFormat="false" ht="14.25" hidden="false" customHeight="false" outlineLevel="0" collapsed="false">
      <c r="A385" s="1" t="s">
        <v>801</v>
      </c>
      <c r="B385" s="1" t="s">
        <v>819</v>
      </c>
      <c r="C385" s="2" t="n">
        <v>150</v>
      </c>
      <c r="D385" s="1" t="s">
        <v>32</v>
      </c>
      <c r="E385" s="1" t="s">
        <v>820</v>
      </c>
      <c r="F385" s="2" t="n">
        <v>555599169585</v>
      </c>
      <c r="G385" s="1" t="s">
        <v>821</v>
      </c>
      <c r="I385" s="1" t="s">
        <v>34</v>
      </c>
    </row>
    <row r="386" customFormat="false" ht="14.25" hidden="false" customHeight="false" outlineLevel="0" collapsed="false">
      <c r="A386" s="1" t="s">
        <v>822</v>
      </c>
      <c r="B386" s="1" t="s">
        <v>823</v>
      </c>
      <c r="C386" s="2" t="n">
        <v>225</v>
      </c>
      <c r="D386" s="1" t="s">
        <v>20</v>
      </c>
      <c r="E386" s="1" t="s">
        <v>823</v>
      </c>
      <c r="F386" s="2" t="n">
        <v>554899686782</v>
      </c>
      <c r="G386" s="1" t="s">
        <v>824</v>
      </c>
      <c r="I386" s="1" t="s">
        <v>50</v>
      </c>
    </row>
    <row r="387" customFormat="false" ht="14.25" hidden="false" customHeight="false" outlineLevel="0" collapsed="false">
      <c r="A387" s="1" t="s">
        <v>822</v>
      </c>
      <c r="B387" s="1" t="s">
        <v>825</v>
      </c>
      <c r="C387" s="2" t="n">
        <v>120</v>
      </c>
      <c r="D387" s="1" t="s">
        <v>30</v>
      </c>
      <c r="E387" s="1" t="s">
        <v>826</v>
      </c>
      <c r="F387" s="2" t="n">
        <v>5511965208670</v>
      </c>
      <c r="G387" s="1" t="s">
        <v>827</v>
      </c>
      <c r="I387" s="1" t="s">
        <v>355</v>
      </c>
    </row>
    <row r="388" customFormat="false" ht="14.25" hidden="false" customHeight="false" outlineLevel="0" collapsed="false">
      <c r="A388" s="1" t="s">
        <v>822</v>
      </c>
      <c r="B388" s="1" t="s">
        <v>828</v>
      </c>
      <c r="C388" s="2" t="n">
        <v>120</v>
      </c>
      <c r="D388" s="1" t="s">
        <v>30</v>
      </c>
      <c r="E388" s="1" t="s">
        <v>828</v>
      </c>
      <c r="F388" s="2" t="n">
        <v>5511970780168</v>
      </c>
      <c r="G388" s="1" t="s">
        <v>829</v>
      </c>
      <c r="I388" s="1" t="s">
        <v>34</v>
      </c>
    </row>
    <row r="389" customFormat="false" ht="14.25" hidden="false" customHeight="false" outlineLevel="0" collapsed="false">
      <c r="A389" s="1" t="s">
        <v>822</v>
      </c>
      <c r="B389" s="1" t="s">
        <v>830</v>
      </c>
      <c r="C389" s="2" t="n">
        <v>147</v>
      </c>
      <c r="D389" s="1" t="s">
        <v>18</v>
      </c>
      <c r="E389" s="1" t="s">
        <v>830</v>
      </c>
      <c r="F389" s="2" t="n">
        <v>554792263213</v>
      </c>
      <c r="G389" s="1" t="s">
        <v>831</v>
      </c>
      <c r="I389" s="1" t="s">
        <v>50</v>
      </c>
      <c r="J389" s="1" t="s">
        <v>35</v>
      </c>
      <c r="K389" s="1" t="s">
        <v>69</v>
      </c>
      <c r="L389" s="1" t="s">
        <v>70</v>
      </c>
      <c r="M389" s="1" t="s">
        <v>38</v>
      </c>
    </row>
    <row r="390" customFormat="false" ht="14.25" hidden="false" customHeight="false" outlineLevel="0" collapsed="false">
      <c r="A390" s="1" t="s">
        <v>822</v>
      </c>
      <c r="B390" s="1" t="s">
        <v>832</v>
      </c>
      <c r="C390" s="2" t="n">
        <v>600</v>
      </c>
      <c r="D390" s="1" t="s">
        <v>24</v>
      </c>
      <c r="E390" s="1" t="s">
        <v>832</v>
      </c>
      <c r="F390" s="2" t="n">
        <v>554896467877</v>
      </c>
      <c r="G390" s="1" t="s">
        <v>833</v>
      </c>
      <c r="I390" s="1" t="s">
        <v>50</v>
      </c>
    </row>
    <row r="391" customFormat="false" ht="14.25" hidden="false" customHeight="false" outlineLevel="0" collapsed="false">
      <c r="A391" s="1" t="s">
        <v>822</v>
      </c>
      <c r="B391" s="1" t="s">
        <v>834</v>
      </c>
      <c r="C391" s="2" t="n">
        <v>1500</v>
      </c>
      <c r="D391" s="1" t="s">
        <v>27</v>
      </c>
      <c r="E391" s="1" t="s">
        <v>92</v>
      </c>
      <c r="F391" s="2" t="s">
        <v>835</v>
      </c>
      <c r="G391" s="1" t="s">
        <v>93</v>
      </c>
      <c r="H391" s="1" t="s">
        <v>94</v>
      </c>
      <c r="I391" s="1" t="s">
        <v>54</v>
      </c>
    </row>
    <row r="392" customFormat="false" ht="14.25" hidden="false" customHeight="false" outlineLevel="0" collapsed="false">
      <c r="A392" s="1" t="s">
        <v>836</v>
      </c>
      <c r="B392" s="1" t="s">
        <v>837</v>
      </c>
      <c r="C392" s="2" t="n">
        <v>97</v>
      </c>
      <c r="D392" s="1" t="s">
        <v>20</v>
      </c>
      <c r="E392" s="1" t="s">
        <v>837</v>
      </c>
      <c r="F392" s="2" t="n">
        <v>554185257686</v>
      </c>
      <c r="G392" s="1" t="s">
        <v>838</v>
      </c>
      <c r="I392" s="1" t="s">
        <v>34</v>
      </c>
    </row>
    <row r="393" customFormat="false" ht="14.25" hidden="false" customHeight="false" outlineLevel="0" collapsed="false">
      <c r="A393" s="1" t="s">
        <v>839</v>
      </c>
      <c r="B393" s="1" t="s">
        <v>840</v>
      </c>
      <c r="C393" s="2" t="n">
        <v>97</v>
      </c>
      <c r="D393" s="1" t="s">
        <v>20</v>
      </c>
      <c r="E393" s="1" t="s">
        <v>840</v>
      </c>
      <c r="F393" s="2" t="n">
        <v>554291120985</v>
      </c>
      <c r="G393" s="1" t="s">
        <v>841</v>
      </c>
      <c r="I393" s="1" t="s">
        <v>50</v>
      </c>
    </row>
    <row r="394" customFormat="false" ht="14.25" hidden="false" customHeight="false" outlineLevel="0" collapsed="false">
      <c r="A394" s="1" t="s">
        <v>836</v>
      </c>
      <c r="B394" s="1" t="s">
        <v>842</v>
      </c>
      <c r="C394" s="2" t="n">
        <v>500</v>
      </c>
      <c r="D394" s="1" t="s">
        <v>27</v>
      </c>
      <c r="E394" s="1" t="s">
        <v>842</v>
      </c>
      <c r="F394" s="2" t="n">
        <v>5511916718221</v>
      </c>
      <c r="G394" s="1" t="s">
        <v>843</v>
      </c>
      <c r="I394" s="1" t="s">
        <v>34</v>
      </c>
    </row>
    <row r="395" customFormat="false" ht="14.25" hidden="false" customHeight="false" outlineLevel="0" collapsed="false">
      <c r="A395" s="1" t="s">
        <v>836</v>
      </c>
      <c r="B395" s="1" t="s">
        <v>844</v>
      </c>
      <c r="C395" s="2" t="n">
        <v>150</v>
      </c>
      <c r="D395" s="1" t="s">
        <v>30</v>
      </c>
      <c r="E395" s="1" t="s">
        <v>845</v>
      </c>
      <c r="F395" s="2" t="n">
        <v>5511916892827</v>
      </c>
      <c r="G395" s="1" t="s">
        <v>846</v>
      </c>
      <c r="I395" s="1" t="s">
        <v>50</v>
      </c>
    </row>
    <row r="396" customFormat="false" ht="14.25" hidden="false" customHeight="false" outlineLevel="0" collapsed="false">
      <c r="A396" s="1" t="s">
        <v>836</v>
      </c>
      <c r="B396" s="1" t="s">
        <v>847</v>
      </c>
      <c r="C396" s="2" t="n">
        <v>147</v>
      </c>
      <c r="D396" s="1" t="s">
        <v>18</v>
      </c>
      <c r="E396" s="1" t="s">
        <v>847</v>
      </c>
      <c r="F396" s="2" t="n">
        <v>5356796940</v>
      </c>
      <c r="G396" s="1" t="s">
        <v>848</v>
      </c>
      <c r="I396" s="1" t="s">
        <v>50</v>
      </c>
    </row>
    <row r="397" customFormat="false" ht="14.25" hidden="false" customHeight="false" outlineLevel="0" collapsed="false">
      <c r="A397" s="1" t="s">
        <v>836</v>
      </c>
      <c r="B397" s="1" t="s">
        <v>849</v>
      </c>
      <c r="C397" s="2" t="n">
        <v>140</v>
      </c>
      <c r="D397" s="1" t="s">
        <v>32</v>
      </c>
      <c r="E397" s="1" t="s">
        <v>850</v>
      </c>
      <c r="F397" s="2" t="n">
        <v>559584121964</v>
      </c>
      <c r="G397" s="1" t="s">
        <v>851</v>
      </c>
      <c r="I397" s="1" t="s">
        <v>50</v>
      </c>
      <c r="J397" s="1" t="s">
        <v>35</v>
      </c>
      <c r="K397" s="1" t="s">
        <v>36</v>
      </c>
      <c r="L397" s="1" t="s">
        <v>37</v>
      </c>
      <c r="M397" s="1" t="s">
        <v>38</v>
      </c>
    </row>
    <row r="398" customFormat="false" ht="14.25" hidden="false" customHeight="false" outlineLevel="0" collapsed="false">
      <c r="A398" s="1" t="s">
        <v>836</v>
      </c>
      <c r="B398" s="1" t="s">
        <v>852</v>
      </c>
      <c r="C398" s="2" t="n">
        <v>240</v>
      </c>
      <c r="D398" s="1" t="s">
        <v>21</v>
      </c>
      <c r="E398" s="1" t="s">
        <v>852</v>
      </c>
      <c r="F398" s="2" t="n">
        <v>554891103355</v>
      </c>
      <c r="G398" s="1" t="s">
        <v>853</v>
      </c>
      <c r="I398" s="1" t="s">
        <v>34</v>
      </c>
    </row>
    <row r="399" customFormat="false" ht="14.25" hidden="false" customHeight="false" outlineLevel="0" collapsed="false">
      <c r="A399" s="1" t="s">
        <v>836</v>
      </c>
      <c r="B399" s="1" t="s">
        <v>854</v>
      </c>
      <c r="C399" s="2" t="n">
        <v>120</v>
      </c>
      <c r="D399" s="1" t="s">
        <v>21</v>
      </c>
      <c r="E399" s="1" t="s">
        <v>854</v>
      </c>
      <c r="F399" s="2" t="n">
        <v>559584081146</v>
      </c>
      <c r="G399" s="1" t="s">
        <v>855</v>
      </c>
      <c r="I399" s="1" t="s">
        <v>34</v>
      </c>
    </row>
    <row r="400" customFormat="false" ht="14.25" hidden="false" customHeight="false" outlineLevel="0" collapsed="false">
      <c r="A400" s="1" t="s">
        <v>836</v>
      </c>
      <c r="B400" s="1" t="s">
        <v>284</v>
      </c>
      <c r="C400" s="2" t="n">
        <v>120</v>
      </c>
      <c r="D400" s="1" t="s">
        <v>30</v>
      </c>
      <c r="E400" s="1" t="s">
        <v>284</v>
      </c>
      <c r="F400" s="2" t="n">
        <v>5545984032301</v>
      </c>
      <c r="G400" s="1" t="s">
        <v>285</v>
      </c>
      <c r="I400" s="1" t="s">
        <v>34</v>
      </c>
    </row>
    <row r="401" customFormat="false" ht="14.25" hidden="false" customHeight="false" outlineLevel="0" collapsed="false">
      <c r="A401" s="1" t="s">
        <v>836</v>
      </c>
      <c r="B401" s="1" t="s">
        <v>856</v>
      </c>
      <c r="C401" s="2" t="n">
        <v>194</v>
      </c>
      <c r="D401" s="1" t="s">
        <v>20</v>
      </c>
      <c r="E401" s="1" t="s">
        <v>857</v>
      </c>
      <c r="F401" s="2" t="n">
        <v>12394467745</v>
      </c>
      <c r="G401" s="1" t="s">
        <v>43</v>
      </c>
      <c r="I401" s="1" t="s">
        <v>355</v>
      </c>
    </row>
    <row r="402" customFormat="false" ht="14.25" hidden="false" customHeight="false" outlineLevel="0" collapsed="false">
      <c r="A402" s="1" t="s">
        <v>836</v>
      </c>
      <c r="B402" s="1" t="s">
        <v>858</v>
      </c>
      <c r="C402" s="2" t="n">
        <v>250</v>
      </c>
      <c r="D402" s="1" t="s">
        <v>27</v>
      </c>
      <c r="E402" s="1" t="s">
        <v>858</v>
      </c>
      <c r="F402" s="2" t="n">
        <v>15123166403</v>
      </c>
      <c r="G402" s="1" t="s">
        <v>43</v>
      </c>
      <c r="I402" s="1" t="s">
        <v>50</v>
      </c>
    </row>
    <row r="403" customFormat="false" ht="14.25" hidden="false" customHeight="false" outlineLevel="0" collapsed="false">
      <c r="A403" s="1" t="s">
        <v>836</v>
      </c>
      <c r="B403" s="1" t="s">
        <v>859</v>
      </c>
      <c r="C403" s="2" t="n">
        <v>1200</v>
      </c>
      <c r="D403" s="1" t="s">
        <v>27</v>
      </c>
      <c r="E403" s="1" t="s">
        <v>859</v>
      </c>
      <c r="F403" s="2" t="n">
        <v>559381173597</v>
      </c>
      <c r="G403" s="1" t="s">
        <v>860</v>
      </c>
      <c r="I403" s="1" t="s">
        <v>54</v>
      </c>
    </row>
    <row r="404" customFormat="false" ht="14.25" hidden="false" customHeight="false" outlineLevel="0" collapsed="false">
      <c r="A404" s="1" t="s">
        <v>836</v>
      </c>
      <c r="B404" s="1" t="s">
        <v>861</v>
      </c>
      <c r="C404" s="2" t="n">
        <v>60</v>
      </c>
      <c r="D404" s="1" t="s">
        <v>862</v>
      </c>
      <c r="E404" s="1" t="s">
        <v>861</v>
      </c>
      <c r="F404" s="2" t="n">
        <v>554991149314</v>
      </c>
      <c r="G404" s="1" t="s">
        <v>863</v>
      </c>
      <c r="I404" s="1" t="s">
        <v>54</v>
      </c>
    </row>
    <row r="405" customFormat="false" ht="14.25" hidden="false" customHeight="false" outlineLevel="0" collapsed="false">
      <c r="A405" s="1" t="s">
        <v>864</v>
      </c>
      <c r="B405" s="1" t="s">
        <v>637</v>
      </c>
      <c r="C405" s="2" t="n">
        <v>120</v>
      </c>
      <c r="D405" s="1" t="s">
        <v>21</v>
      </c>
      <c r="E405" s="1" t="s">
        <v>637</v>
      </c>
      <c r="F405" s="2" t="n">
        <v>559584230858</v>
      </c>
      <c r="G405" s="1" t="s">
        <v>638</v>
      </c>
      <c r="I405" s="1" t="s">
        <v>355</v>
      </c>
    </row>
    <row r="406" customFormat="false" ht="14.25" hidden="false" customHeight="false" outlineLevel="0" collapsed="false">
      <c r="A406" s="1" t="s">
        <v>836</v>
      </c>
      <c r="B406" s="1" t="s">
        <v>865</v>
      </c>
      <c r="C406" s="2" t="n">
        <v>120</v>
      </c>
      <c r="D406" s="1" t="s">
        <v>21</v>
      </c>
      <c r="E406" s="1" t="s">
        <v>865</v>
      </c>
      <c r="F406" s="2" t="n">
        <v>554791920955</v>
      </c>
      <c r="G406" s="1" t="s">
        <v>866</v>
      </c>
      <c r="I406" s="1" t="s">
        <v>50</v>
      </c>
    </row>
    <row r="407" customFormat="false" ht="14.25" hidden="false" customHeight="false" outlineLevel="0" collapsed="false">
      <c r="A407" s="1" t="s">
        <v>836</v>
      </c>
      <c r="B407" s="1" t="s">
        <v>867</v>
      </c>
      <c r="C407" s="2" t="n">
        <v>294</v>
      </c>
      <c r="D407" s="1" t="s">
        <v>390</v>
      </c>
      <c r="E407" s="1" t="s">
        <v>867</v>
      </c>
      <c r="F407" s="2" t="n">
        <v>556796027284</v>
      </c>
      <c r="G407" s="1" t="s">
        <v>868</v>
      </c>
      <c r="I407" s="1" t="s">
        <v>50</v>
      </c>
      <c r="J407" s="1" t="s">
        <v>35</v>
      </c>
      <c r="K407" s="1" t="s">
        <v>36</v>
      </c>
      <c r="L407" s="1" t="s">
        <v>37</v>
      </c>
      <c r="M407" s="1" t="s">
        <v>38</v>
      </c>
    </row>
    <row r="408" customFormat="false" ht="14.25" hidden="false" customHeight="false" outlineLevel="0" collapsed="false">
      <c r="A408" s="1" t="s">
        <v>836</v>
      </c>
      <c r="B408" s="1" t="s">
        <v>869</v>
      </c>
      <c r="C408" s="2" t="n">
        <v>150</v>
      </c>
      <c r="D408" s="1" t="s">
        <v>32</v>
      </c>
      <c r="E408" s="1" t="s">
        <v>869</v>
      </c>
      <c r="F408" s="2" t="n">
        <v>559293407788</v>
      </c>
      <c r="G408" s="1" t="s">
        <v>870</v>
      </c>
      <c r="I408" s="1" t="s">
        <v>50</v>
      </c>
    </row>
    <row r="409" customFormat="false" ht="14.25" hidden="false" customHeight="false" outlineLevel="0" collapsed="false">
      <c r="A409" s="1" t="s">
        <v>836</v>
      </c>
      <c r="B409" s="1" t="s">
        <v>637</v>
      </c>
      <c r="C409" s="2" t="n">
        <v>120</v>
      </c>
      <c r="D409" s="1" t="s">
        <v>21</v>
      </c>
      <c r="E409" s="1" t="s">
        <v>637</v>
      </c>
      <c r="F409" s="2" t="n">
        <v>559584230858</v>
      </c>
      <c r="G409" s="1" t="s">
        <v>638</v>
      </c>
      <c r="I409" s="1" t="s">
        <v>355</v>
      </c>
    </row>
    <row r="410" customFormat="false" ht="14.25" hidden="false" customHeight="false" outlineLevel="0" collapsed="false">
      <c r="A410" s="1" t="s">
        <v>822</v>
      </c>
      <c r="B410" s="1" t="s">
        <v>871</v>
      </c>
      <c r="C410" s="2" t="n">
        <v>120</v>
      </c>
      <c r="D410" s="1" t="s">
        <v>30</v>
      </c>
      <c r="E410" s="1" t="s">
        <v>871</v>
      </c>
      <c r="F410" s="2" t="n">
        <v>554598357193</v>
      </c>
      <c r="G410" s="1" t="s">
        <v>872</v>
      </c>
      <c r="I410" s="1" t="s">
        <v>54</v>
      </c>
    </row>
    <row r="411" customFormat="false" ht="14.25" hidden="false" customHeight="false" outlineLevel="0" collapsed="false">
      <c r="A411" s="1" t="s">
        <v>836</v>
      </c>
      <c r="B411" s="1" t="s">
        <v>873</v>
      </c>
      <c r="C411" s="2" t="n">
        <v>90</v>
      </c>
      <c r="D411" s="1" t="s">
        <v>20</v>
      </c>
      <c r="E411" s="1" t="s">
        <v>873</v>
      </c>
      <c r="F411" s="2" t="n">
        <v>559584137039</v>
      </c>
      <c r="G411" s="1" t="s">
        <v>874</v>
      </c>
      <c r="I411" s="1" t="s">
        <v>34</v>
      </c>
      <c r="J411" s="1" t="s">
        <v>60</v>
      </c>
      <c r="K411" s="1" t="s">
        <v>27</v>
      </c>
      <c r="L411" s="1" t="s">
        <v>221</v>
      </c>
      <c r="M411" s="1" t="s">
        <v>62</v>
      </c>
    </row>
    <row r="412" customFormat="false" ht="14.25" hidden="false" customHeight="false" outlineLevel="0" collapsed="false">
      <c r="A412" s="1" t="s">
        <v>836</v>
      </c>
      <c r="B412" s="1" t="s">
        <v>873</v>
      </c>
      <c r="C412" s="2" t="n">
        <v>147</v>
      </c>
      <c r="D412" s="1" t="s">
        <v>22</v>
      </c>
      <c r="E412" s="1" t="s">
        <v>873</v>
      </c>
      <c r="F412" s="2" t="n">
        <v>559584137039</v>
      </c>
      <c r="G412" s="1" t="s">
        <v>874</v>
      </c>
      <c r="I412" s="1" t="s">
        <v>34</v>
      </c>
    </row>
    <row r="413" customFormat="false" ht="14.25" hidden="false" customHeight="false" outlineLevel="0" collapsed="false">
      <c r="A413" s="1" t="s">
        <v>836</v>
      </c>
      <c r="B413" s="1" t="s">
        <v>873</v>
      </c>
      <c r="C413" s="2" t="n">
        <v>120</v>
      </c>
      <c r="D413" s="1" t="s">
        <v>30</v>
      </c>
      <c r="E413" s="1" t="s">
        <v>873</v>
      </c>
      <c r="F413" s="2" t="n">
        <v>559584137039</v>
      </c>
      <c r="G413" s="1" t="s">
        <v>874</v>
      </c>
      <c r="I413" s="1" t="s">
        <v>34</v>
      </c>
    </row>
    <row r="414" customFormat="false" ht="14.25" hidden="false" customHeight="false" outlineLevel="0" collapsed="false">
      <c r="A414" s="1" t="s">
        <v>875</v>
      </c>
      <c r="B414" s="1" t="s">
        <v>494</v>
      </c>
      <c r="C414" s="2" t="n">
        <v>147</v>
      </c>
      <c r="D414" s="1" t="s">
        <v>18</v>
      </c>
      <c r="E414" s="1" t="s">
        <v>495</v>
      </c>
      <c r="F414" s="2" t="n">
        <v>553799589574</v>
      </c>
      <c r="G414" s="1" t="s">
        <v>496</v>
      </c>
      <c r="I414" s="1" t="s">
        <v>34</v>
      </c>
    </row>
    <row r="415" customFormat="false" ht="14.25" hidden="false" customHeight="false" outlineLevel="0" collapsed="false">
      <c r="A415" s="1" t="s">
        <v>875</v>
      </c>
      <c r="B415" s="1" t="s">
        <v>876</v>
      </c>
      <c r="C415" s="2" t="n">
        <v>150</v>
      </c>
      <c r="D415" s="1" t="s">
        <v>32</v>
      </c>
      <c r="E415" s="1" t="s">
        <v>876</v>
      </c>
      <c r="F415" s="2" t="n">
        <v>559584297065</v>
      </c>
      <c r="G415" s="1" t="s">
        <v>877</v>
      </c>
      <c r="I415" s="1" t="s">
        <v>54</v>
      </c>
    </row>
    <row r="416" customFormat="false" ht="14.25" hidden="false" customHeight="false" outlineLevel="0" collapsed="false">
      <c r="A416" s="1" t="s">
        <v>875</v>
      </c>
      <c r="B416" s="1" t="s">
        <v>878</v>
      </c>
      <c r="C416" s="2" t="n">
        <v>60</v>
      </c>
      <c r="D416" s="1" t="s">
        <v>25</v>
      </c>
      <c r="E416" s="1" t="s">
        <v>878</v>
      </c>
      <c r="F416" s="2" t="n">
        <v>554195341173</v>
      </c>
      <c r="G416" s="1" t="s">
        <v>43</v>
      </c>
      <c r="I416" s="1" t="s">
        <v>50</v>
      </c>
    </row>
    <row r="417" customFormat="false" ht="14.25" hidden="false" customHeight="false" outlineLevel="0" collapsed="false">
      <c r="A417" s="1" t="s">
        <v>875</v>
      </c>
      <c r="B417" s="1" t="s">
        <v>879</v>
      </c>
      <c r="C417" s="2" t="n">
        <v>75</v>
      </c>
      <c r="D417" s="1" t="s">
        <v>30</v>
      </c>
      <c r="E417" s="1" t="s">
        <v>879</v>
      </c>
      <c r="F417" s="2" t="n">
        <v>556199807330</v>
      </c>
      <c r="G417" s="1" t="s">
        <v>880</v>
      </c>
      <c r="I417" s="1" t="s">
        <v>50</v>
      </c>
    </row>
    <row r="418" customFormat="false" ht="14.25" hidden="false" customHeight="false" outlineLevel="0" collapsed="false">
      <c r="A418" s="1" t="s">
        <v>875</v>
      </c>
      <c r="B418" s="1" t="s">
        <v>881</v>
      </c>
      <c r="C418" s="2" t="n">
        <v>120</v>
      </c>
      <c r="D418" s="1" t="s">
        <v>21</v>
      </c>
      <c r="E418" s="1" t="s">
        <v>881</v>
      </c>
      <c r="F418" s="2" t="n">
        <v>559584303664</v>
      </c>
      <c r="G418" s="1" t="s">
        <v>882</v>
      </c>
      <c r="I418" s="1" t="s">
        <v>50</v>
      </c>
    </row>
    <row r="419" customFormat="false" ht="14.25" hidden="false" customHeight="false" outlineLevel="0" collapsed="false">
      <c r="A419" s="1" t="s">
        <v>883</v>
      </c>
      <c r="B419" s="1" t="s">
        <v>884</v>
      </c>
      <c r="C419" s="2" t="n">
        <v>220</v>
      </c>
      <c r="D419" s="1" t="s">
        <v>23</v>
      </c>
      <c r="E419" s="1" t="s">
        <v>884</v>
      </c>
      <c r="F419" s="2" t="n">
        <v>554192184353</v>
      </c>
      <c r="G419" s="1" t="s">
        <v>885</v>
      </c>
      <c r="H419" s="1" t="s">
        <v>94</v>
      </c>
      <c r="I419" s="1" t="s">
        <v>50</v>
      </c>
    </row>
    <row r="420" customFormat="false" ht="14.25" hidden="false" customHeight="false" outlineLevel="0" collapsed="false">
      <c r="A420" s="1" t="s">
        <v>875</v>
      </c>
      <c r="B420" s="1" t="s">
        <v>886</v>
      </c>
      <c r="C420" s="2" t="n">
        <v>150</v>
      </c>
      <c r="D420" s="1" t="s">
        <v>32</v>
      </c>
      <c r="E420" s="1" t="s">
        <v>886</v>
      </c>
      <c r="F420" s="2" t="n">
        <v>95984026581</v>
      </c>
      <c r="G420" s="1" t="s">
        <v>887</v>
      </c>
      <c r="H420" s="1" t="s">
        <v>94</v>
      </c>
      <c r="I420" s="1" t="s">
        <v>355</v>
      </c>
    </row>
    <row r="421" customFormat="false" ht="14.25" hidden="false" customHeight="false" outlineLevel="0" collapsed="false">
      <c r="A421" s="1" t="s">
        <v>875</v>
      </c>
      <c r="B421" s="1" t="s">
        <v>888</v>
      </c>
      <c r="C421" s="2" t="n">
        <v>97</v>
      </c>
      <c r="D421" s="1" t="s">
        <v>30</v>
      </c>
      <c r="E421" s="1" t="s">
        <v>888</v>
      </c>
      <c r="F421" s="2" t="n">
        <v>5511947689597</v>
      </c>
      <c r="G421" s="1" t="s">
        <v>889</v>
      </c>
      <c r="H421" s="1" t="s">
        <v>94</v>
      </c>
      <c r="I421" s="1" t="s">
        <v>54</v>
      </c>
    </row>
    <row r="422" customFormat="false" ht="14.25" hidden="false" customHeight="false" outlineLevel="0" collapsed="false">
      <c r="A422" s="1" t="s">
        <v>890</v>
      </c>
      <c r="B422" s="1" t="s">
        <v>891</v>
      </c>
      <c r="C422" s="2" t="n">
        <v>360</v>
      </c>
      <c r="D422" s="1" t="s">
        <v>30</v>
      </c>
      <c r="E422" s="1" t="s">
        <v>857</v>
      </c>
      <c r="F422" s="2" t="n">
        <v>5512394467745</v>
      </c>
      <c r="G422" s="1" t="s">
        <v>892</v>
      </c>
      <c r="H422" s="1" t="s">
        <v>94</v>
      </c>
      <c r="I422" s="1" t="s">
        <v>355</v>
      </c>
    </row>
    <row r="423" customFormat="false" ht="14.25" hidden="false" customHeight="false" outlineLevel="0" collapsed="false">
      <c r="A423" s="1" t="s">
        <v>893</v>
      </c>
      <c r="B423" s="1" t="s">
        <v>894</v>
      </c>
      <c r="C423" s="2" t="n">
        <v>120</v>
      </c>
      <c r="D423" s="1" t="s">
        <v>21</v>
      </c>
      <c r="E423" s="1" t="s">
        <v>894</v>
      </c>
      <c r="F423" s="2" t="n">
        <v>554988315310</v>
      </c>
      <c r="G423" s="1" t="s">
        <v>895</v>
      </c>
      <c r="H423" s="1" t="s">
        <v>94</v>
      </c>
      <c r="I423" s="1" t="s">
        <v>50</v>
      </c>
    </row>
    <row r="424" customFormat="false" ht="14.25" hidden="false" customHeight="false" outlineLevel="0" collapsed="false">
      <c r="A424" s="1" t="s">
        <v>896</v>
      </c>
      <c r="B424" s="1" t="s">
        <v>897</v>
      </c>
      <c r="C424" s="2" t="n">
        <v>120</v>
      </c>
      <c r="D424" s="1" t="s">
        <v>23</v>
      </c>
      <c r="E424" s="1" t="s">
        <v>897</v>
      </c>
      <c r="F424" s="2" t="n">
        <v>556298148841</v>
      </c>
      <c r="G424" s="1" t="s">
        <v>898</v>
      </c>
      <c r="H424" s="1" t="s">
        <v>94</v>
      </c>
      <c r="I424" s="1" t="s">
        <v>34</v>
      </c>
    </row>
    <row r="425" customFormat="false" ht="14.25" hidden="false" customHeight="false" outlineLevel="0" collapsed="false">
      <c r="A425" s="1" t="s">
        <v>899</v>
      </c>
      <c r="B425" s="1" t="s">
        <v>725</v>
      </c>
      <c r="C425" s="2" t="n">
        <v>120</v>
      </c>
      <c r="D425" s="1" t="s">
        <v>30</v>
      </c>
      <c r="E425" s="1" t="s">
        <v>725</v>
      </c>
      <c r="F425" s="2" t="n">
        <v>5511996490310</v>
      </c>
      <c r="G425" s="1" t="s">
        <v>900</v>
      </c>
      <c r="H425" s="1" t="s">
        <v>94</v>
      </c>
      <c r="I425" s="1" t="s">
        <v>34</v>
      </c>
    </row>
    <row r="426" customFormat="false" ht="14.25" hidden="false" customHeight="false" outlineLevel="0" collapsed="false">
      <c r="A426" s="1" t="s">
        <v>901</v>
      </c>
      <c r="B426" s="1" t="s">
        <v>902</v>
      </c>
      <c r="C426" s="2" t="n">
        <v>294</v>
      </c>
      <c r="D426" s="1" t="s">
        <v>22</v>
      </c>
      <c r="E426" s="1" t="s">
        <v>902</v>
      </c>
      <c r="F426" s="2" t="n">
        <v>554196988319</v>
      </c>
      <c r="G426" s="1" t="s">
        <v>903</v>
      </c>
      <c r="H426" s="1" t="s">
        <v>94</v>
      </c>
      <c r="I426" s="1" t="s">
        <v>34</v>
      </c>
    </row>
    <row r="427" customFormat="false" ht="14.25" hidden="false" customHeight="false" outlineLevel="0" collapsed="false">
      <c r="A427" s="1" t="s">
        <v>904</v>
      </c>
      <c r="B427" s="1" t="s">
        <v>905</v>
      </c>
      <c r="C427" s="2" t="n">
        <v>300</v>
      </c>
      <c r="D427" s="1" t="s">
        <v>30</v>
      </c>
      <c r="E427" s="1" t="s">
        <v>906</v>
      </c>
      <c r="F427" s="2" t="n">
        <v>559584227041</v>
      </c>
      <c r="G427" s="1" t="s">
        <v>907</v>
      </c>
      <c r="H427" s="1" t="s">
        <v>94</v>
      </c>
      <c r="I427" s="1" t="s">
        <v>34</v>
      </c>
      <c r="J427" s="1" t="s">
        <v>908</v>
      </c>
    </row>
    <row r="428" customFormat="false" ht="14.25" hidden="false" customHeight="false" outlineLevel="0" collapsed="false">
      <c r="A428" s="1" t="s">
        <v>909</v>
      </c>
      <c r="B428" s="1" t="s">
        <v>905</v>
      </c>
      <c r="C428" s="2" t="n">
        <v>150</v>
      </c>
      <c r="D428" s="1" t="s">
        <v>23</v>
      </c>
      <c r="E428" s="1" t="s">
        <v>906</v>
      </c>
      <c r="F428" s="2" t="n">
        <v>559584227041</v>
      </c>
      <c r="G428" s="1" t="s">
        <v>907</v>
      </c>
      <c r="H428" s="1" t="s">
        <v>94</v>
      </c>
      <c r="I428" s="1" t="s">
        <v>34</v>
      </c>
    </row>
    <row r="429" customFormat="false" ht="14.25" hidden="false" customHeight="false" outlineLevel="0" collapsed="false">
      <c r="A429" s="1" t="s">
        <v>910</v>
      </c>
      <c r="B429" s="1" t="s">
        <v>911</v>
      </c>
      <c r="C429" s="2" t="n">
        <v>300</v>
      </c>
      <c r="D429" s="1" t="s">
        <v>30</v>
      </c>
      <c r="E429" s="1" t="s">
        <v>912</v>
      </c>
      <c r="F429" s="2" t="n">
        <v>5353552585</v>
      </c>
      <c r="G429" s="1" t="s">
        <v>913</v>
      </c>
      <c r="H429" s="1" t="s">
        <v>94</v>
      </c>
      <c r="I429" s="1" t="s">
        <v>50</v>
      </c>
    </row>
    <row r="430" customFormat="false" ht="14.25" hidden="false" customHeight="false" outlineLevel="0" collapsed="false">
      <c r="A430" s="1" t="s">
        <v>914</v>
      </c>
      <c r="B430" s="1" t="s">
        <v>915</v>
      </c>
      <c r="C430" s="2" t="n">
        <v>120</v>
      </c>
      <c r="D430" s="1" t="s">
        <v>862</v>
      </c>
      <c r="E430" s="1" t="s">
        <v>915</v>
      </c>
      <c r="F430" s="2" t="n">
        <v>553897538058</v>
      </c>
      <c r="G430" s="1" t="s">
        <v>916</v>
      </c>
      <c r="H430" s="1" t="s">
        <v>94</v>
      </c>
      <c r="I430" s="1" t="s">
        <v>50</v>
      </c>
    </row>
    <row r="431" customFormat="false" ht="14.25" hidden="false" customHeight="false" outlineLevel="0" collapsed="false">
      <c r="A431" s="1" t="s">
        <v>917</v>
      </c>
      <c r="B431" s="1" t="s">
        <v>769</v>
      </c>
      <c r="C431" s="2" t="n">
        <v>240</v>
      </c>
      <c r="D431" s="1" t="s">
        <v>390</v>
      </c>
      <c r="E431" s="1" t="s">
        <v>769</v>
      </c>
      <c r="F431" s="2" t="n">
        <v>556592235073</v>
      </c>
      <c r="G431" s="1" t="s">
        <v>770</v>
      </c>
      <c r="H431" s="1" t="s">
        <v>94</v>
      </c>
      <c r="I431" s="1" t="s">
        <v>355</v>
      </c>
    </row>
    <row r="432" customFormat="false" ht="14.25" hidden="false" customHeight="false" outlineLevel="0" collapsed="false">
      <c r="A432" s="1" t="s">
        <v>918</v>
      </c>
      <c r="B432" s="1" t="s">
        <v>919</v>
      </c>
      <c r="C432" s="2" t="n">
        <v>200</v>
      </c>
      <c r="D432" s="1" t="s">
        <v>30</v>
      </c>
      <c r="E432" s="1" t="s">
        <v>919</v>
      </c>
      <c r="F432" s="2" t="n">
        <v>5358105752</v>
      </c>
      <c r="G432" s="1" t="s">
        <v>920</v>
      </c>
      <c r="H432" s="1" t="s">
        <v>94</v>
      </c>
      <c r="I432" s="1" t="s">
        <v>355</v>
      </c>
    </row>
    <row r="433" customFormat="false" ht="14.25" hidden="false" customHeight="false" outlineLevel="0" collapsed="false">
      <c r="A433" s="1" t="s">
        <v>921</v>
      </c>
      <c r="B433" s="1" t="s">
        <v>922</v>
      </c>
      <c r="C433" s="2" t="n">
        <v>150</v>
      </c>
      <c r="D433" s="1" t="s">
        <v>32</v>
      </c>
      <c r="E433" s="1" t="s">
        <v>922</v>
      </c>
      <c r="F433" s="2" t="n">
        <v>554599904385</v>
      </c>
      <c r="G433" s="1" t="s">
        <v>923</v>
      </c>
      <c r="H433" s="1" t="s">
        <v>94</v>
      </c>
      <c r="I433" s="1" t="s">
        <v>355</v>
      </c>
    </row>
    <row r="434" customFormat="false" ht="14.25" hidden="false" customHeight="false" outlineLevel="0" collapsed="false">
      <c r="A434" s="1" t="s">
        <v>924</v>
      </c>
      <c r="B434" s="1" t="s">
        <v>925</v>
      </c>
      <c r="C434" s="2" t="n">
        <v>600</v>
      </c>
      <c r="D434" s="1" t="s">
        <v>106</v>
      </c>
      <c r="E434" s="1" t="s">
        <v>925</v>
      </c>
      <c r="F434" s="2" t="n">
        <v>554191733801</v>
      </c>
      <c r="G434" s="1" t="s">
        <v>926</v>
      </c>
      <c r="H434" s="1" t="s">
        <v>94</v>
      </c>
      <c r="I434" s="1" t="s">
        <v>54</v>
      </c>
    </row>
    <row r="435" customFormat="false" ht="14.25" hidden="false" customHeight="false" outlineLevel="0" collapsed="false">
      <c r="A435" s="1" t="s">
        <v>836</v>
      </c>
      <c r="B435" s="1" t="s">
        <v>927</v>
      </c>
      <c r="C435" s="2" t="n">
        <v>80</v>
      </c>
      <c r="D435" s="1" t="s">
        <v>16</v>
      </c>
      <c r="E435" s="1" t="s">
        <v>927</v>
      </c>
      <c r="F435" s="2" t="n">
        <v>5551981880231</v>
      </c>
      <c r="G435" s="1" t="s">
        <v>928</v>
      </c>
      <c r="H435" s="1" t="s">
        <v>94</v>
      </c>
      <c r="I435" s="1" t="s">
        <v>34</v>
      </c>
    </row>
    <row r="436" customFormat="false" ht="14.25" hidden="false" customHeight="false" outlineLevel="0" collapsed="false">
      <c r="A436" s="1" t="s">
        <v>875</v>
      </c>
      <c r="B436" s="1" t="s">
        <v>873</v>
      </c>
      <c r="C436" s="2" t="n">
        <v>90</v>
      </c>
      <c r="D436" s="1" t="s">
        <v>30</v>
      </c>
      <c r="E436" s="1" t="s">
        <v>873</v>
      </c>
      <c r="F436" s="2" t="n">
        <v>559584137039</v>
      </c>
      <c r="G436" s="1" t="s">
        <v>874</v>
      </c>
      <c r="H436" s="1" t="s">
        <v>94</v>
      </c>
      <c r="I436" s="1" t="s">
        <v>34</v>
      </c>
    </row>
    <row r="437" customFormat="false" ht="14.25" hidden="false" customHeight="false" outlineLevel="0" collapsed="false">
      <c r="A437" s="1" t="s">
        <v>875</v>
      </c>
      <c r="B437" s="1" t="s">
        <v>929</v>
      </c>
      <c r="C437" s="2" t="n">
        <v>240</v>
      </c>
      <c r="D437" s="1" t="s">
        <v>30</v>
      </c>
      <c r="E437" s="1" t="s">
        <v>930</v>
      </c>
      <c r="F437" s="2" t="n">
        <v>555494826336</v>
      </c>
      <c r="G437" s="1" t="s">
        <v>931</v>
      </c>
      <c r="H437" s="1" t="s">
        <v>94</v>
      </c>
      <c r="I437" s="1" t="s">
        <v>50</v>
      </c>
    </row>
    <row r="438" customFormat="false" ht="14.25" hidden="false" customHeight="false" outlineLevel="0" collapsed="false">
      <c r="A438" s="1" t="s">
        <v>932</v>
      </c>
      <c r="B438" s="1" t="s">
        <v>933</v>
      </c>
      <c r="C438" s="2" t="n">
        <v>110</v>
      </c>
      <c r="D438" s="1" t="s">
        <v>24</v>
      </c>
      <c r="E438" s="1" t="s">
        <v>933</v>
      </c>
      <c r="F438" s="2" t="n">
        <v>554998113765</v>
      </c>
      <c r="G438" s="1" t="s">
        <v>934</v>
      </c>
      <c r="H438" s="1" t="s">
        <v>94</v>
      </c>
      <c r="I438" s="1" t="s">
        <v>54</v>
      </c>
    </row>
    <row r="439" customFormat="false" ht="14.25" hidden="false" customHeight="false" outlineLevel="0" collapsed="false">
      <c r="A439" s="1" t="s">
        <v>935</v>
      </c>
      <c r="B439" s="1" t="s">
        <v>936</v>
      </c>
      <c r="C439" s="2" t="n">
        <v>100</v>
      </c>
      <c r="D439" s="1" t="s">
        <v>20</v>
      </c>
      <c r="E439" s="1" t="s">
        <v>937</v>
      </c>
      <c r="F439" s="2" t="n">
        <v>554192565332</v>
      </c>
      <c r="G439" s="1" t="s">
        <v>938</v>
      </c>
      <c r="H439" s="1" t="s">
        <v>94</v>
      </c>
      <c r="I439" s="1" t="s">
        <v>50</v>
      </c>
    </row>
    <row r="440" customFormat="false" ht="14.25" hidden="false" customHeight="false" outlineLevel="0" collapsed="false">
      <c r="A440" s="1" t="s">
        <v>939</v>
      </c>
      <c r="B440" s="1" t="s">
        <v>940</v>
      </c>
      <c r="C440" s="2" t="n">
        <v>140</v>
      </c>
      <c r="D440" s="1" t="s">
        <v>32</v>
      </c>
      <c r="E440" s="1" t="s">
        <v>941</v>
      </c>
      <c r="F440" s="2" t="n">
        <v>5352483372</v>
      </c>
      <c r="G440" s="1" t="s">
        <v>942</v>
      </c>
      <c r="H440" s="1" t="s">
        <v>94</v>
      </c>
      <c r="I440" s="1" t="s">
        <v>50</v>
      </c>
    </row>
    <row r="441" customFormat="false" ht="14.25" hidden="false" customHeight="false" outlineLevel="0" collapsed="false">
      <c r="A441" s="1" t="s">
        <v>943</v>
      </c>
      <c r="B441" s="1" t="s">
        <v>944</v>
      </c>
      <c r="C441" s="2" t="n">
        <v>30</v>
      </c>
      <c r="D441" s="1" t="s">
        <v>862</v>
      </c>
      <c r="E441" s="1" t="s">
        <v>945</v>
      </c>
      <c r="F441" s="2" t="n">
        <v>554197483195</v>
      </c>
      <c r="G441" s="1" t="s">
        <v>43</v>
      </c>
      <c r="H441" s="1" t="s">
        <v>94</v>
      </c>
      <c r="I441" s="1" t="s">
        <v>50</v>
      </c>
    </row>
    <row r="442" customFormat="false" ht="14.25" hidden="false" customHeight="false" outlineLevel="0" collapsed="false">
      <c r="A442" s="1" t="s">
        <v>946</v>
      </c>
      <c r="B442" s="1" t="s">
        <v>947</v>
      </c>
      <c r="C442" s="2" t="n">
        <v>97</v>
      </c>
      <c r="D442" s="1" t="s">
        <v>20</v>
      </c>
      <c r="E442" s="1" t="s">
        <v>72</v>
      </c>
      <c r="F442" s="2" t="n">
        <v>559584286486</v>
      </c>
      <c r="G442" s="1" t="s">
        <v>948</v>
      </c>
      <c r="H442" s="1" t="s">
        <v>94</v>
      </c>
      <c r="I442" s="1" t="s">
        <v>34</v>
      </c>
    </row>
    <row r="443" customFormat="false" ht="14.25" hidden="false" customHeight="false" outlineLevel="0" collapsed="false">
      <c r="A443" s="1" t="s">
        <v>949</v>
      </c>
      <c r="B443" s="1" t="s">
        <v>950</v>
      </c>
      <c r="C443" s="2" t="n">
        <v>80</v>
      </c>
      <c r="D443" s="1" t="s">
        <v>21</v>
      </c>
      <c r="E443" s="1" t="s">
        <v>950</v>
      </c>
      <c r="F443" s="2" t="n">
        <v>559684329227</v>
      </c>
      <c r="G443" s="1" t="s">
        <v>951</v>
      </c>
      <c r="H443" s="1" t="s">
        <v>94</v>
      </c>
      <c r="I443" s="1" t="s">
        <v>355</v>
      </c>
      <c r="J443" s="1" t="s">
        <v>35</v>
      </c>
      <c r="K443" s="1" t="s">
        <v>36</v>
      </c>
      <c r="L443" s="1" t="s">
        <v>37</v>
      </c>
      <c r="M443" s="1" t="s">
        <v>38</v>
      </c>
    </row>
    <row r="444" customFormat="false" ht="14.25" hidden="false" customHeight="false" outlineLevel="0" collapsed="false">
      <c r="A444" s="1" t="s">
        <v>952</v>
      </c>
      <c r="B444" s="1" t="s">
        <v>953</v>
      </c>
      <c r="C444" s="2" t="n">
        <v>400</v>
      </c>
      <c r="D444" s="1" t="s">
        <v>24</v>
      </c>
      <c r="E444" s="1" t="s">
        <v>954</v>
      </c>
      <c r="F444" s="2" t="n">
        <v>5511912250930</v>
      </c>
      <c r="G444" s="1" t="s">
        <v>519</v>
      </c>
      <c r="H444" s="1" t="s">
        <v>94</v>
      </c>
      <c r="I444" s="1" t="s">
        <v>355</v>
      </c>
    </row>
    <row r="445" customFormat="false" ht="14.25" hidden="false" customHeight="false" outlineLevel="0" collapsed="false">
      <c r="A445" s="1" t="s">
        <v>955</v>
      </c>
      <c r="B445" s="1" t="s">
        <v>956</v>
      </c>
      <c r="C445" s="2" t="n">
        <v>420</v>
      </c>
      <c r="D445" s="1" t="s">
        <v>24</v>
      </c>
      <c r="E445" s="1" t="s">
        <v>956</v>
      </c>
      <c r="F445" s="2" t="n">
        <v>554888762765</v>
      </c>
      <c r="G445" s="1" t="s">
        <v>957</v>
      </c>
      <c r="H445" s="1" t="s">
        <v>94</v>
      </c>
      <c r="I445" s="1" t="s">
        <v>355</v>
      </c>
    </row>
    <row r="446" customFormat="false" ht="14.25" hidden="false" customHeight="false" outlineLevel="0" collapsed="false">
      <c r="A446" s="1" t="s">
        <v>958</v>
      </c>
      <c r="B446" s="1" t="s">
        <v>959</v>
      </c>
      <c r="C446" s="2" t="n">
        <v>120</v>
      </c>
      <c r="D446" s="1" t="s">
        <v>30</v>
      </c>
      <c r="E446" s="1" t="s">
        <v>960</v>
      </c>
      <c r="F446" s="2" t="n">
        <v>553491516413</v>
      </c>
      <c r="G446" s="1" t="s">
        <v>961</v>
      </c>
      <c r="H446" s="1" t="s">
        <v>94</v>
      </c>
      <c r="I446" s="1" t="s">
        <v>355</v>
      </c>
      <c r="J446" s="1" t="s">
        <v>35</v>
      </c>
      <c r="K446" s="1" t="s">
        <v>69</v>
      </c>
      <c r="L446" s="1" t="s">
        <v>70</v>
      </c>
      <c r="M446" s="1" t="s">
        <v>38</v>
      </c>
    </row>
    <row r="447" customFormat="false" ht="14.25" hidden="false" customHeight="false" outlineLevel="0" collapsed="false">
      <c r="A447" s="1" t="s">
        <v>962</v>
      </c>
      <c r="B447" s="1" t="s">
        <v>963</v>
      </c>
      <c r="C447" s="2" t="n">
        <v>147</v>
      </c>
      <c r="D447" s="1" t="s">
        <v>390</v>
      </c>
      <c r="E447" s="1" t="s">
        <v>963</v>
      </c>
      <c r="F447" s="2" t="n">
        <v>5521982245006</v>
      </c>
      <c r="G447" s="1" t="s">
        <v>964</v>
      </c>
      <c r="H447" s="1" t="s">
        <v>94</v>
      </c>
      <c r="I447" s="1" t="s">
        <v>50</v>
      </c>
      <c r="N447" s="1" t="s">
        <v>965</v>
      </c>
    </row>
    <row r="448" customFormat="false" ht="14.25" hidden="false" customHeight="false" outlineLevel="0" collapsed="false">
      <c r="A448" s="1" t="s">
        <v>966</v>
      </c>
      <c r="B448" s="1" t="s">
        <v>865</v>
      </c>
      <c r="C448" s="2" t="n">
        <v>147</v>
      </c>
      <c r="D448" s="1" t="s">
        <v>18</v>
      </c>
      <c r="E448" s="1" t="s">
        <v>865</v>
      </c>
      <c r="F448" s="2" t="n">
        <v>554791920955</v>
      </c>
      <c r="G448" s="1" t="s">
        <v>866</v>
      </c>
      <c r="H448" s="1" t="s">
        <v>94</v>
      </c>
      <c r="I448" s="1" t="s">
        <v>50</v>
      </c>
    </row>
    <row r="449" customFormat="false" ht="14.25" hidden="false" customHeight="false" outlineLevel="0" collapsed="false">
      <c r="A449" s="1" t="s">
        <v>967</v>
      </c>
      <c r="B449" s="1" t="s">
        <v>968</v>
      </c>
      <c r="C449" s="2" t="n">
        <v>294</v>
      </c>
      <c r="D449" s="1" t="s">
        <v>21</v>
      </c>
      <c r="E449" s="1" t="s">
        <v>969</v>
      </c>
      <c r="F449" s="2" t="n">
        <v>5547933835549</v>
      </c>
      <c r="G449" s="1" t="s">
        <v>970</v>
      </c>
      <c r="H449" s="1" t="s">
        <v>94</v>
      </c>
      <c r="I449" s="1" t="s">
        <v>34</v>
      </c>
    </row>
    <row r="450" customFormat="false" ht="14.25" hidden="false" customHeight="false" outlineLevel="0" collapsed="false">
      <c r="A450" s="1" t="s">
        <v>971</v>
      </c>
      <c r="B450" s="1" t="s">
        <v>972</v>
      </c>
      <c r="C450" s="2" t="n">
        <v>240</v>
      </c>
      <c r="D450" s="1" t="s">
        <v>21</v>
      </c>
      <c r="E450" s="1" t="s">
        <v>972</v>
      </c>
      <c r="F450" s="2" t="n">
        <v>554788892712</v>
      </c>
      <c r="G450" s="1" t="s">
        <v>973</v>
      </c>
      <c r="H450" s="1" t="s">
        <v>94</v>
      </c>
      <c r="I450" s="1" t="s">
        <v>34</v>
      </c>
    </row>
    <row r="451" customFormat="false" ht="14.25" hidden="false" customHeight="false" outlineLevel="0" collapsed="false">
      <c r="A451" s="1" t="s">
        <v>974</v>
      </c>
      <c r="B451" s="1" t="s">
        <v>975</v>
      </c>
      <c r="C451" s="2" t="n">
        <v>147</v>
      </c>
      <c r="D451" s="1" t="s">
        <v>18</v>
      </c>
      <c r="E451" s="1" t="s">
        <v>975</v>
      </c>
      <c r="F451" s="2" t="n">
        <v>554198670387</v>
      </c>
      <c r="G451" s="1" t="s">
        <v>976</v>
      </c>
      <c r="H451" s="1" t="s">
        <v>94</v>
      </c>
      <c r="I451" s="1" t="s">
        <v>34</v>
      </c>
    </row>
    <row r="452" customFormat="false" ht="14.25" hidden="false" customHeight="false" outlineLevel="0" collapsed="false">
      <c r="A452" s="1" t="s">
        <v>977</v>
      </c>
      <c r="B452" s="1" t="s">
        <v>978</v>
      </c>
      <c r="C452" s="2" t="n">
        <v>150</v>
      </c>
      <c r="D452" s="1" t="s">
        <v>32</v>
      </c>
      <c r="E452" s="1" t="s">
        <v>978</v>
      </c>
      <c r="F452" s="2" t="n">
        <v>556881028303</v>
      </c>
      <c r="G452" s="1" t="s">
        <v>979</v>
      </c>
      <c r="H452" s="1" t="s">
        <v>94</v>
      </c>
      <c r="I452" s="1" t="s">
        <v>50</v>
      </c>
    </row>
    <row r="453" customFormat="false" ht="14.25" hidden="false" customHeight="false" outlineLevel="0" collapsed="false">
      <c r="A453" s="1" t="s">
        <v>980</v>
      </c>
      <c r="B453" s="1" t="s">
        <v>981</v>
      </c>
      <c r="C453" s="2" t="n">
        <v>240</v>
      </c>
      <c r="D453" s="1" t="s">
        <v>30</v>
      </c>
      <c r="E453" s="1" t="s">
        <v>981</v>
      </c>
      <c r="F453" s="2" t="n">
        <v>556294514130</v>
      </c>
      <c r="G453" s="1" t="s">
        <v>982</v>
      </c>
      <c r="H453" s="1" t="s">
        <v>94</v>
      </c>
      <c r="I453" s="1" t="s">
        <v>355</v>
      </c>
    </row>
    <row r="454" customFormat="false" ht="14.25" hidden="false" customHeight="false" outlineLevel="0" collapsed="false">
      <c r="A454" s="1" t="s">
        <v>983</v>
      </c>
      <c r="B454" s="1" t="s">
        <v>984</v>
      </c>
      <c r="C454" s="2" t="n">
        <v>240</v>
      </c>
      <c r="D454" s="1" t="s">
        <v>30</v>
      </c>
      <c r="E454" s="1" t="s">
        <v>985</v>
      </c>
      <c r="F454" s="2" t="n">
        <v>554888212591</v>
      </c>
      <c r="G454" s="1" t="s">
        <v>986</v>
      </c>
      <c r="H454" s="1" t="s">
        <v>94</v>
      </c>
      <c r="I454" s="1" t="s">
        <v>355</v>
      </c>
      <c r="J454" s="1" t="s">
        <v>35</v>
      </c>
      <c r="K454" s="1" t="s">
        <v>69</v>
      </c>
      <c r="L454" s="1" t="s">
        <v>70</v>
      </c>
      <c r="M454" s="1" t="s">
        <v>38</v>
      </c>
    </row>
    <row r="455" customFormat="false" ht="14.25" hidden="false" customHeight="false" outlineLevel="0" collapsed="false">
      <c r="A455" s="1" t="s">
        <v>987</v>
      </c>
      <c r="B455" s="1" t="s">
        <v>988</v>
      </c>
      <c r="C455" s="2" t="n">
        <v>30</v>
      </c>
      <c r="D455" s="1" t="s">
        <v>862</v>
      </c>
      <c r="E455" s="1" t="s">
        <v>989</v>
      </c>
      <c r="F455" s="2" t="n">
        <v>5352935154</v>
      </c>
      <c r="G455" s="1" t="s">
        <v>990</v>
      </c>
      <c r="H455" s="1" t="s">
        <v>94</v>
      </c>
      <c r="I455" s="1" t="s">
        <v>355</v>
      </c>
    </row>
    <row r="456" customFormat="false" ht="14.25" hidden="false" customHeight="false" outlineLevel="0" collapsed="false">
      <c r="A456" s="1" t="s">
        <v>991</v>
      </c>
      <c r="B456" s="1" t="s">
        <v>992</v>
      </c>
      <c r="C456" s="2" t="n">
        <v>20</v>
      </c>
      <c r="D456" s="1" t="s">
        <v>862</v>
      </c>
      <c r="E456" s="1" t="s">
        <v>992</v>
      </c>
      <c r="F456" s="2" t="n">
        <v>559584374965</v>
      </c>
      <c r="G456" s="1" t="s">
        <v>993</v>
      </c>
      <c r="H456" s="1" t="s">
        <v>94</v>
      </c>
      <c r="I456" s="1" t="s">
        <v>54</v>
      </c>
    </row>
    <row r="457" customFormat="false" ht="14.25" hidden="false" customHeight="false" outlineLevel="0" collapsed="false">
      <c r="A457" s="1" t="s">
        <v>994</v>
      </c>
      <c r="B457" s="1" t="s">
        <v>219</v>
      </c>
      <c r="C457" s="2" t="n">
        <v>600</v>
      </c>
      <c r="D457" s="1" t="s">
        <v>24</v>
      </c>
      <c r="E457" s="1" t="s">
        <v>219</v>
      </c>
      <c r="F457" s="2" t="n">
        <v>556284270683</v>
      </c>
      <c r="G457" s="1" t="s">
        <v>220</v>
      </c>
      <c r="H457" s="1" t="s">
        <v>94</v>
      </c>
      <c r="I457" s="1" t="s">
        <v>50</v>
      </c>
    </row>
    <row r="458" customFormat="false" ht="14.25" hidden="false" customHeight="false" outlineLevel="0" collapsed="false">
      <c r="A458" s="1" t="s">
        <v>995</v>
      </c>
      <c r="B458" s="1" t="s">
        <v>996</v>
      </c>
      <c r="C458" s="2" t="n">
        <v>140</v>
      </c>
      <c r="D458" s="1" t="s">
        <v>32</v>
      </c>
      <c r="E458" s="1" t="s">
        <v>996</v>
      </c>
      <c r="F458" s="2" t="n">
        <v>554896062328</v>
      </c>
      <c r="G458" s="1" t="s">
        <v>997</v>
      </c>
      <c r="H458" s="1" t="s">
        <v>94</v>
      </c>
      <c r="I458" s="1" t="s">
        <v>34</v>
      </c>
    </row>
    <row r="459" customFormat="false" ht="14.25" hidden="false" customHeight="false" outlineLevel="0" collapsed="false">
      <c r="A459" s="1" t="s">
        <v>998</v>
      </c>
      <c r="B459" s="1" t="s">
        <v>999</v>
      </c>
      <c r="C459" s="2" t="n">
        <v>45</v>
      </c>
      <c r="D459" s="1" t="s">
        <v>390</v>
      </c>
      <c r="E459" s="1" t="s">
        <v>999</v>
      </c>
      <c r="F459" s="2" t="n">
        <v>554891097084</v>
      </c>
      <c r="G459" s="1" t="s">
        <v>1000</v>
      </c>
      <c r="H459" s="1" t="s">
        <v>94</v>
      </c>
      <c r="I459" s="1" t="s">
        <v>149</v>
      </c>
    </row>
    <row r="460" customFormat="false" ht="14.25" hidden="false" customHeight="false" outlineLevel="0" collapsed="false">
      <c r="A460" s="1" t="s">
        <v>1001</v>
      </c>
      <c r="B460" s="1" t="s">
        <v>1002</v>
      </c>
      <c r="C460" s="2" t="n">
        <v>150</v>
      </c>
      <c r="D460" s="1" t="s">
        <v>32</v>
      </c>
      <c r="E460" s="1" t="s">
        <v>1002</v>
      </c>
      <c r="F460" s="2" t="n">
        <v>559584281951</v>
      </c>
      <c r="G460" s="1" t="s">
        <v>1003</v>
      </c>
      <c r="H460" s="1" t="s">
        <v>94</v>
      </c>
      <c r="I460" s="1" t="s">
        <v>355</v>
      </c>
    </row>
    <row r="461" customFormat="false" ht="14.25" hidden="false" customHeight="false" outlineLevel="0" collapsed="false">
      <c r="A461" s="1" t="s">
        <v>1004</v>
      </c>
      <c r="B461" s="1" t="s">
        <v>1005</v>
      </c>
      <c r="C461" s="2" t="n">
        <v>150</v>
      </c>
      <c r="D461" s="1" t="s">
        <v>32</v>
      </c>
      <c r="E461" s="1" t="s">
        <v>1006</v>
      </c>
      <c r="F461" s="2" t="n">
        <v>554195393903</v>
      </c>
      <c r="G461" s="1" t="s">
        <v>43</v>
      </c>
      <c r="H461" s="1" t="s">
        <v>94</v>
      </c>
      <c r="I461" s="1" t="s">
        <v>34</v>
      </c>
    </row>
    <row r="462" customFormat="false" ht="14.25" hidden="false" customHeight="false" outlineLevel="0" collapsed="false">
      <c r="A462" s="1" t="s">
        <v>1007</v>
      </c>
      <c r="B462" s="1" t="s">
        <v>1008</v>
      </c>
      <c r="C462" s="2" t="n">
        <v>140</v>
      </c>
      <c r="D462" s="1" t="s">
        <v>32</v>
      </c>
      <c r="E462" s="1" t="s">
        <v>1008</v>
      </c>
      <c r="F462" s="2" t="n">
        <v>554899107133</v>
      </c>
      <c r="G462" s="1" t="s">
        <v>1009</v>
      </c>
      <c r="H462" s="1" t="s">
        <v>94</v>
      </c>
      <c r="I462" s="1" t="s">
        <v>34</v>
      </c>
    </row>
    <row r="463" customFormat="false" ht="14.25" hidden="false" customHeight="false" outlineLevel="0" collapsed="false">
      <c r="A463" s="1" t="s">
        <v>1010</v>
      </c>
      <c r="B463" s="1" t="s">
        <v>1011</v>
      </c>
      <c r="C463" s="2" t="n">
        <v>294</v>
      </c>
      <c r="D463" s="1" t="s">
        <v>390</v>
      </c>
      <c r="E463" s="1" t="s">
        <v>1011</v>
      </c>
      <c r="F463" s="2" t="n">
        <v>558896038771</v>
      </c>
      <c r="G463" s="1" t="s">
        <v>1012</v>
      </c>
      <c r="H463" s="1" t="s">
        <v>94</v>
      </c>
      <c r="I463" s="1" t="s">
        <v>50</v>
      </c>
    </row>
    <row r="464" customFormat="false" ht="14.25" hidden="false" customHeight="false" outlineLevel="0" collapsed="false">
      <c r="A464" s="1" t="s">
        <v>1013</v>
      </c>
      <c r="B464" s="1" t="s">
        <v>1014</v>
      </c>
      <c r="C464" s="2" t="n">
        <v>120</v>
      </c>
      <c r="D464" s="1" t="s">
        <v>862</v>
      </c>
      <c r="E464" s="1" t="s">
        <v>1014</v>
      </c>
      <c r="F464" s="2" t="n">
        <v>5548996335616</v>
      </c>
      <c r="G464" s="1" t="s">
        <v>1015</v>
      </c>
      <c r="H464" s="1" t="s">
        <v>94</v>
      </c>
      <c r="I464" s="1" t="s">
        <v>355</v>
      </c>
      <c r="N464" s="1" t="s">
        <v>965</v>
      </c>
    </row>
    <row r="465" customFormat="false" ht="14.25" hidden="false" customHeight="false" outlineLevel="0" collapsed="false">
      <c r="A465" s="1" t="s">
        <v>1016</v>
      </c>
      <c r="B465" s="1" t="s">
        <v>1017</v>
      </c>
      <c r="C465" s="2" t="n">
        <v>97</v>
      </c>
      <c r="D465" s="1" t="s">
        <v>20</v>
      </c>
      <c r="E465" s="1" t="s">
        <v>1018</v>
      </c>
      <c r="F465" s="2" t="n">
        <v>555193667337</v>
      </c>
      <c r="G465" s="1" t="s">
        <v>1019</v>
      </c>
      <c r="H465" s="1" t="s">
        <v>94</v>
      </c>
      <c r="I465" s="1" t="s">
        <v>355</v>
      </c>
      <c r="N465" s="1" t="s">
        <v>965</v>
      </c>
    </row>
    <row r="466" customFormat="false" ht="14.25" hidden="false" customHeight="false" outlineLevel="0" collapsed="false">
      <c r="A466" s="1" t="s">
        <v>1020</v>
      </c>
      <c r="B466" s="1" t="s">
        <v>418</v>
      </c>
      <c r="C466" s="2" t="n">
        <v>197</v>
      </c>
      <c r="D466" s="1" t="s">
        <v>1021</v>
      </c>
      <c r="E466" s="1" t="s">
        <v>419</v>
      </c>
      <c r="F466" s="2" t="n">
        <v>554791936352</v>
      </c>
      <c r="G466" s="1" t="s">
        <v>420</v>
      </c>
      <c r="H466" s="1" t="s">
        <v>94</v>
      </c>
      <c r="I466" s="1" t="s">
        <v>54</v>
      </c>
      <c r="N466" s="1" t="s">
        <v>1022</v>
      </c>
    </row>
    <row r="467" customFormat="false" ht="14.25" hidden="false" customHeight="false" outlineLevel="0" collapsed="false">
      <c r="A467" s="1" t="s">
        <v>1023</v>
      </c>
      <c r="B467" s="1" t="s">
        <v>1024</v>
      </c>
      <c r="C467" s="2" t="n">
        <v>73.5</v>
      </c>
      <c r="D467" s="1" t="s">
        <v>390</v>
      </c>
      <c r="E467" s="1" t="s">
        <v>1024</v>
      </c>
      <c r="F467" s="2" t="n">
        <v>555499271067</v>
      </c>
      <c r="G467" s="1" t="s">
        <v>1025</v>
      </c>
      <c r="H467" s="1" t="s">
        <v>94</v>
      </c>
      <c r="I467" s="1" t="s">
        <v>355</v>
      </c>
      <c r="N467" s="1" t="s">
        <v>965</v>
      </c>
    </row>
    <row r="468" customFormat="false" ht="14.25" hidden="false" customHeight="false" outlineLevel="0" collapsed="false">
      <c r="A468" s="1" t="s">
        <v>1026</v>
      </c>
      <c r="B468" s="1" t="s">
        <v>1027</v>
      </c>
      <c r="C468" s="2" t="n">
        <v>194</v>
      </c>
      <c r="D468" s="1" t="s">
        <v>20</v>
      </c>
      <c r="E468" s="1" t="s">
        <v>1027</v>
      </c>
      <c r="F468" s="2" t="n">
        <v>554195482482</v>
      </c>
      <c r="G468" s="1" t="s">
        <v>1028</v>
      </c>
      <c r="H468" s="1" t="s">
        <v>94</v>
      </c>
      <c r="I468" s="1" t="s">
        <v>50</v>
      </c>
      <c r="N468" s="1" t="s">
        <v>965</v>
      </c>
    </row>
    <row r="469" customFormat="false" ht="14.25" hidden="false" customHeight="false" outlineLevel="0" collapsed="false">
      <c r="A469" s="1" t="s">
        <v>1029</v>
      </c>
      <c r="B469" s="1" t="s">
        <v>1030</v>
      </c>
      <c r="C469" s="2" t="n">
        <v>197</v>
      </c>
      <c r="D469" s="1" t="s">
        <v>28</v>
      </c>
      <c r="E469" s="1" t="s">
        <v>1030</v>
      </c>
      <c r="F469" s="2" t="n">
        <v>5519971704468</v>
      </c>
      <c r="G469" s="1" t="s">
        <v>1031</v>
      </c>
      <c r="H469" s="1" t="s">
        <v>94</v>
      </c>
      <c r="I469" s="1" t="s">
        <v>355</v>
      </c>
      <c r="N469" s="1" t="s">
        <v>965</v>
      </c>
    </row>
    <row r="470" customFormat="false" ht="14.25" hidden="false" customHeight="false" outlineLevel="0" collapsed="false">
      <c r="A470" s="1" t="s">
        <v>1032</v>
      </c>
      <c r="B470" s="1" t="s">
        <v>740</v>
      </c>
      <c r="C470" s="2" t="n">
        <v>147</v>
      </c>
      <c r="D470" s="1" t="s">
        <v>22</v>
      </c>
      <c r="E470" s="1" t="s">
        <v>1033</v>
      </c>
      <c r="F470" s="2" t="n">
        <v>5519981183492</v>
      </c>
      <c r="G470" s="1" t="s">
        <v>33</v>
      </c>
      <c r="H470" s="1" t="s">
        <v>94</v>
      </c>
      <c r="I470" s="1" t="s">
        <v>54</v>
      </c>
      <c r="N470" s="1" t="s">
        <v>1022</v>
      </c>
    </row>
    <row r="471" customFormat="false" ht="14.25" hidden="false" customHeight="false" outlineLevel="0" collapsed="false">
      <c r="A471" s="1" t="s">
        <v>1034</v>
      </c>
      <c r="B471" s="1" t="s">
        <v>1035</v>
      </c>
      <c r="C471" s="2" t="n">
        <v>147</v>
      </c>
      <c r="D471" s="1" t="s">
        <v>18</v>
      </c>
      <c r="E471" s="1" t="s">
        <v>1035</v>
      </c>
      <c r="F471" s="2" t="n">
        <v>5511966578758</v>
      </c>
      <c r="G471" s="1" t="s">
        <v>1036</v>
      </c>
      <c r="H471" s="1" t="s">
        <v>94</v>
      </c>
      <c r="I471" s="1" t="s">
        <v>355</v>
      </c>
      <c r="N471" s="1" t="s">
        <v>965</v>
      </c>
    </row>
    <row r="472" customFormat="false" ht="14.25" hidden="false" customHeight="false" outlineLevel="0" collapsed="false">
      <c r="A472" s="1" t="s">
        <v>1034</v>
      </c>
      <c r="B472" s="1" t="s">
        <v>740</v>
      </c>
      <c r="C472" s="2" t="n">
        <v>120</v>
      </c>
      <c r="D472" s="1" t="s">
        <v>30</v>
      </c>
      <c r="E472" s="1" t="s">
        <v>1033</v>
      </c>
      <c r="F472" s="2" t="n">
        <v>5519981183492</v>
      </c>
      <c r="G472" s="1" t="s">
        <v>33</v>
      </c>
      <c r="H472" s="1" t="s">
        <v>94</v>
      </c>
      <c r="I472" s="1" t="s">
        <v>54</v>
      </c>
      <c r="N472" s="1" t="s">
        <v>1022</v>
      </c>
    </row>
    <row r="473" customFormat="false" ht="14.25" hidden="false" customHeight="false" outlineLevel="0" collapsed="false">
      <c r="A473" s="1" t="s">
        <v>1037</v>
      </c>
      <c r="B473" s="1" t="s">
        <v>1038</v>
      </c>
      <c r="C473" s="2" t="n">
        <v>120</v>
      </c>
      <c r="D473" s="1" t="s">
        <v>30</v>
      </c>
      <c r="E473" s="1" t="s">
        <v>1039</v>
      </c>
      <c r="F473" s="2" t="n">
        <v>559286190187</v>
      </c>
      <c r="G473" s="1" t="s">
        <v>1040</v>
      </c>
      <c r="H473" s="1" t="s">
        <v>94</v>
      </c>
      <c r="I473" s="1" t="s">
        <v>355</v>
      </c>
      <c r="N473" s="1" t="s">
        <v>965</v>
      </c>
    </row>
    <row r="474" customFormat="false" ht="14.25" hidden="false" customHeight="false" outlineLevel="0" collapsed="false">
      <c r="A474" s="1" t="s">
        <v>1041</v>
      </c>
      <c r="B474" s="1" t="s">
        <v>1042</v>
      </c>
      <c r="C474" s="2" t="n">
        <v>150</v>
      </c>
      <c r="D474" s="1" t="s">
        <v>32</v>
      </c>
      <c r="E474" s="1" t="s">
        <v>1042</v>
      </c>
      <c r="F474" s="2" t="n">
        <v>559584395827</v>
      </c>
      <c r="G474" s="1" t="s">
        <v>1043</v>
      </c>
      <c r="H474" s="1" t="s">
        <v>94</v>
      </c>
      <c r="I474" s="1" t="s">
        <v>355</v>
      </c>
      <c r="J474" s="1" t="s">
        <v>35</v>
      </c>
      <c r="K474" s="1" t="s">
        <v>1044</v>
      </c>
      <c r="M474" s="1" t="s">
        <v>38</v>
      </c>
      <c r="N474" s="1" t="s">
        <v>965</v>
      </c>
    </row>
    <row r="475" customFormat="false" ht="14.25" hidden="false" customHeight="false" outlineLevel="0" collapsed="false">
      <c r="A475" s="1" t="s">
        <v>1045</v>
      </c>
      <c r="B475" s="1" t="s">
        <v>1046</v>
      </c>
      <c r="C475" s="2" t="n">
        <v>150</v>
      </c>
      <c r="D475" s="1" t="s">
        <v>32</v>
      </c>
      <c r="E475" s="1" t="s">
        <v>1047</v>
      </c>
      <c r="F475" s="2" t="n">
        <v>573106910116</v>
      </c>
      <c r="G475" s="1" t="s">
        <v>43</v>
      </c>
      <c r="H475" s="1" t="s">
        <v>94</v>
      </c>
      <c r="I475" s="1" t="s">
        <v>50</v>
      </c>
      <c r="J475" s="1" t="s">
        <v>35</v>
      </c>
      <c r="K475" s="1" t="s">
        <v>36</v>
      </c>
      <c r="L475" s="1" t="s">
        <v>37</v>
      </c>
      <c r="M475" s="1" t="s">
        <v>38</v>
      </c>
      <c r="N475" s="1" t="s">
        <v>965</v>
      </c>
    </row>
    <row r="476" customFormat="false" ht="14.25" hidden="false" customHeight="false" outlineLevel="0" collapsed="false">
      <c r="A476" s="1" t="s">
        <v>1048</v>
      </c>
      <c r="B476" s="1" t="s">
        <v>1049</v>
      </c>
      <c r="C476" s="2" t="n">
        <v>147</v>
      </c>
      <c r="D476" s="1" t="s">
        <v>18</v>
      </c>
      <c r="E476" s="1" t="s">
        <v>1049</v>
      </c>
      <c r="F476" s="2" t="n">
        <v>5518997281568</v>
      </c>
      <c r="G476" s="1" t="s">
        <v>1050</v>
      </c>
      <c r="H476" s="1" t="s">
        <v>94</v>
      </c>
      <c r="I476" s="1" t="s">
        <v>355</v>
      </c>
      <c r="N476" s="1" t="s">
        <v>965</v>
      </c>
    </row>
    <row r="477" customFormat="false" ht="14.25" hidden="false" customHeight="false" outlineLevel="0" collapsed="false">
      <c r="A477" s="1" t="s">
        <v>1051</v>
      </c>
      <c r="B477" s="1" t="s">
        <v>1052</v>
      </c>
      <c r="C477" s="2" t="n">
        <v>194</v>
      </c>
      <c r="D477" s="1" t="s">
        <v>20</v>
      </c>
      <c r="E477" s="1" t="s">
        <v>1053</v>
      </c>
      <c r="F477" s="2" t="n">
        <v>559584077552</v>
      </c>
      <c r="G477" s="1" t="s">
        <v>1054</v>
      </c>
      <c r="H477" s="1" t="s">
        <v>94</v>
      </c>
      <c r="I477" s="1" t="s">
        <v>355</v>
      </c>
      <c r="N477" s="1" t="s">
        <v>965</v>
      </c>
    </row>
    <row r="478" customFormat="false" ht="14.25" hidden="false" customHeight="false" outlineLevel="0" collapsed="false">
      <c r="A478" s="1" t="s">
        <v>1055</v>
      </c>
      <c r="B478" s="1" t="s">
        <v>1056</v>
      </c>
      <c r="C478" s="2" t="n">
        <v>60</v>
      </c>
      <c r="D478" s="1" t="s">
        <v>862</v>
      </c>
      <c r="E478" s="1" t="s">
        <v>1056</v>
      </c>
      <c r="F478" s="2" t="n">
        <v>559681063104</v>
      </c>
      <c r="G478" s="1" t="s">
        <v>1057</v>
      </c>
      <c r="H478" s="1" t="s">
        <v>94</v>
      </c>
      <c r="I478" s="1" t="s">
        <v>50</v>
      </c>
      <c r="N478" s="1" t="s">
        <v>965</v>
      </c>
    </row>
    <row r="479" customFormat="false" ht="14.25" hidden="false" customHeight="false" outlineLevel="0" collapsed="false">
      <c r="A479" s="1" t="s">
        <v>1058</v>
      </c>
      <c r="B479" s="1" t="s">
        <v>1059</v>
      </c>
      <c r="C479" s="2" t="n">
        <v>97</v>
      </c>
      <c r="D479" s="1" t="s">
        <v>30</v>
      </c>
      <c r="E479" s="1" t="s">
        <v>1060</v>
      </c>
      <c r="F479" s="2" t="n">
        <v>5511982228198</v>
      </c>
      <c r="G479" s="1" t="s">
        <v>1061</v>
      </c>
      <c r="H479" s="1" t="s">
        <v>94</v>
      </c>
      <c r="I479" s="1" t="s">
        <v>50</v>
      </c>
      <c r="N479" s="1" t="s">
        <v>965</v>
      </c>
    </row>
    <row r="480" customFormat="false" ht="14.25" hidden="false" customHeight="false" outlineLevel="0" collapsed="false">
      <c r="A480" s="1" t="s">
        <v>1062</v>
      </c>
      <c r="B480" s="1" t="s">
        <v>1063</v>
      </c>
      <c r="C480" s="2" t="n">
        <v>120</v>
      </c>
      <c r="D480" s="1" t="s">
        <v>30</v>
      </c>
      <c r="E480" s="1" t="s">
        <v>1063</v>
      </c>
      <c r="F480" s="2" t="n">
        <v>5511933370691</v>
      </c>
      <c r="G480" s="1" t="s">
        <v>1064</v>
      </c>
      <c r="H480" s="1" t="s">
        <v>94</v>
      </c>
      <c r="I480" s="1" t="s">
        <v>50</v>
      </c>
      <c r="N480" s="1" t="s">
        <v>965</v>
      </c>
    </row>
    <row r="481" customFormat="false" ht="14.25" hidden="false" customHeight="false" outlineLevel="0" collapsed="false">
      <c r="A481" s="1" t="s">
        <v>1065</v>
      </c>
      <c r="B481" s="1" t="s">
        <v>1066</v>
      </c>
      <c r="C481" s="2" t="n">
        <v>120</v>
      </c>
      <c r="D481" s="1" t="s">
        <v>862</v>
      </c>
      <c r="E481" s="1" t="s">
        <v>1067</v>
      </c>
      <c r="F481" s="2" t="n">
        <v>554797403502</v>
      </c>
      <c r="G481" s="1" t="s">
        <v>43</v>
      </c>
      <c r="H481" s="1" t="s">
        <v>94</v>
      </c>
      <c r="I481" s="1" t="s">
        <v>50</v>
      </c>
      <c r="N481" s="1" t="s">
        <v>965</v>
      </c>
    </row>
    <row r="482" customFormat="false" ht="14.25" hidden="false" customHeight="false" outlineLevel="0" collapsed="false">
      <c r="A482" s="1" t="s">
        <v>1065</v>
      </c>
      <c r="B482" s="1" t="s">
        <v>1068</v>
      </c>
      <c r="C482" s="2" t="n">
        <v>150</v>
      </c>
      <c r="D482" s="1" t="s">
        <v>32</v>
      </c>
      <c r="E482" s="1" t="s">
        <v>315</v>
      </c>
      <c r="F482" s="2" t="n">
        <v>559591212862</v>
      </c>
      <c r="G482" s="1" t="s">
        <v>316</v>
      </c>
      <c r="H482" s="1" t="s">
        <v>94</v>
      </c>
      <c r="I482" s="1" t="s">
        <v>54</v>
      </c>
      <c r="N482" s="1" t="s">
        <v>1022</v>
      </c>
    </row>
    <row r="483" customFormat="false" ht="14.25" hidden="false" customHeight="false" outlineLevel="0" collapsed="false">
      <c r="A483" s="1" t="s">
        <v>1069</v>
      </c>
      <c r="B483" s="1" t="s">
        <v>1070</v>
      </c>
      <c r="C483" s="2" t="n">
        <v>150</v>
      </c>
      <c r="D483" s="1" t="s">
        <v>32</v>
      </c>
      <c r="E483" s="1" t="s">
        <v>1071</v>
      </c>
      <c r="F483" s="2" t="n">
        <v>5511951661862</v>
      </c>
      <c r="G483" s="1" t="s">
        <v>1072</v>
      </c>
      <c r="H483" s="1" t="s">
        <v>94</v>
      </c>
      <c r="I483" s="1" t="s">
        <v>355</v>
      </c>
      <c r="J483" s="1" t="s">
        <v>35</v>
      </c>
      <c r="K483" s="1" t="s">
        <v>36</v>
      </c>
      <c r="L483" s="1" t="s">
        <v>37</v>
      </c>
      <c r="M483" s="1" t="s">
        <v>38</v>
      </c>
      <c r="N483" s="1" t="s">
        <v>965</v>
      </c>
    </row>
    <row r="484" customFormat="false" ht="14.25" hidden="false" customHeight="false" outlineLevel="0" collapsed="false">
      <c r="A484" s="1" t="s">
        <v>1073</v>
      </c>
      <c r="B484" s="1" t="s">
        <v>1074</v>
      </c>
      <c r="C484" s="2" t="n">
        <v>240</v>
      </c>
      <c r="D484" s="1" t="s">
        <v>23</v>
      </c>
      <c r="E484" s="1" t="s">
        <v>1074</v>
      </c>
      <c r="F484" s="2" t="n">
        <v>559591467720</v>
      </c>
      <c r="G484" s="1" t="s">
        <v>43</v>
      </c>
      <c r="H484" s="1" t="s">
        <v>94</v>
      </c>
      <c r="I484" s="1" t="s">
        <v>50</v>
      </c>
      <c r="N484" s="1" t="s">
        <v>965</v>
      </c>
    </row>
    <row r="485" customFormat="false" ht="14.25" hidden="false" customHeight="false" outlineLevel="0" collapsed="false">
      <c r="A485" s="1" t="s">
        <v>1075</v>
      </c>
      <c r="B485" s="1" t="s">
        <v>1076</v>
      </c>
      <c r="C485" s="2" t="n">
        <v>97</v>
      </c>
      <c r="D485" s="1" t="s">
        <v>20</v>
      </c>
      <c r="E485" s="1" t="s">
        <v>1076</v>
      </c>
      <c r="F485" s="2" t="n">
        <v>555195558065</v>
      </c>
      <c r="G485" s="1" t="s">
        <v>1077</v>
      </c>
      <c r="H485" s="1" t="s">
        <v>94</v>
      </c>
      <c r="I485" s="1" t="s">
        <v>355</v>
      </c>
      <c r="N485" s="1" t="s">
        <v>965</v>
      </c>
    </row>
    <row r="486" customFormat="false" ht="14.25" hidden="false" customHeight="false" outlineLevel="0" collapsed="false">
      <c r="A486" s="1" t="s">
        <v>1078</v>
      </c>
      <c r="B486" s="1" t="s">
        <v>1038</v>
      </c>
      <c r="C486" s="2" t="n">
        <v>147</v>
      </c>
      <c r="D486" s="1" t="s">
        <v>22</v>
      </c>
      <c r="E486" s="1" t="s">
        <v>1079</v>
      </c>
      <c r="F486" s="2" t="n">
        <v>554896112864</v>
      </c>
      <c r="G486" s="1" t="s">
        <v>745</v>
      </c>
      <c r="H486" s="1" t="s">
        <v>94</v>
      </c>
      <c r="I486" s="1" t="s">
        <v>54</v>
      </c>
      <c r="N486" s="1" t="s">
        <v>1022</v>
      </c>
    </row>
    <row r="487" customFormat="false" ht="14.25" hidden="false" customHeight="false" outlineLevel="0" collapsed="false">
      <c r="A487" s="1" t="s">
        <v>1080</v>
      </c>
      <c r="B487" s="1" t="s">
        <v>1081</v>
      </c>
      <c r="C487" s="2" t="n">
        <v>150</v>
      </c>
      <c r="D487" s="1" t="s">
        <v>32</v>
      </c>
      <c r="E487" s="1" t="s">
        <v>1082</v>
      </c>
      <c r="F487" s="2" t="n">
        <v>554791259392</v>
      </c>
      <c r="G487" s="1" t="n">
        <v>0</v>
      </c>
      <c r="H487" s="1" t="s">
        <v>94</v>
      </c>
      <c r="I487" s="1" t="s">
        <v>50</v>
      </c>
      <c r="N487" s="1" t="s">
        <v>965</v>
      </c>
    </row>
    <row r="488" customFormat="false" ht="14.25" hidden="false" customHeight="false" outlineLevel="0" collapsed="false">
      <c r="A488" s="1" t="s">
        <v>1083</v>
      </c>
      <c r="B488" s="1" t="s">
        <v>1084</v>
      </c>
      <c r="C488" s="2" t="n">
        <v>100</v>
      </c>
      <c r="D488" s="1" t="s">
        <v>20</v>
      </c>
      <c r="E488" s="1" t="s">
        <v>1084</v>
      </c>
      <c r="F488" s="2" t="n">
        <v>5521971476824</v>
      </c>
      <c r="G488" s="1" t="s">
        <v>1085</v>
      </c>
      <c r="H488" s="1" t="s">
        <v>94</v>
      </c>
      <c r="I488" s="1" t="s">
        <v>50</v>
      </c>
      <c r="N488" s="1" t="s">
        <v>965</v>
      </c>
    </row>
    <row r="489" customFormat="false" ht="14.25" hidden="false" customHeight="false" outlineLevel="0" collapsed="false">
      <c r="A489" s="1" t="s">
        <v>1086</v>
      </c>
      <c r="B489" s="1" t="s">
        <v>1087</v>
      </c>
      <c r="C489" s="2" t="n">
        <v>300</v>
      </c>
      <c r="D489" s="1" t="s">
        <v>30</v>
      </c>
      <c r="E489" s="1" t="s">
        <v>1087</v>
      </c>
      <c r="F489" s="2" t="n">
        <v>17866539853</v>
      </c>
      <c r="G489" s="1" t="s">
        <v>1088</v>
      </c>
      <c r="H489" s="1" t="s">
        <v>94</v>
      </c>
      <c r="I489" s="1" t="s">
        <v>355</v>
      </c>
      <c r="J489" s="1" t="s">
        <v>35</v>
      </c>
      <c r="K489" s="1" t="s">
        <v>69</v>
      </c>
      <c r="L489" s="1" t="s">
        <v>70</v>
      </c>
      <c r="M489" s="1" t="s">
        <v>38</v>
      </c>
      <c r="N489" s="1" t="s">
        <v>965</v>
      </c>
    </row>
    <row r="490" customFormat="false" ht="14.25" hidden="false" customHeight="false" outlineLevel="0" collapsed="false">
      <c r="A490" s="1" t="s">
        <v>1089</v>
      </c>
      <c r="B490" s="1" t="s">
        <v>1090</v>
      </c>
      <c r="C490" s="2" t="n">
        <v>120</v>
      </c>
      <c r="D490" s="1" t="s">
        <v>21</v>
      </c>
      <c r="E490" s="1" t="s">
        <v>1090</v>
      </c>
      <c r="F490" s="2" t="n">
        <v>559584003335</v>
      </c>
      <c r="G490" s="1" t="s">
        <v>1091</v>
      </c>
      <c r="H490" s="1" t="s">
        <v>94</v>
      </c>
      <c r="I490" s="1" t="s">
        <v>355</v>
      </c>
      <c r="N490" s="1" t="s">
        <v>965</v>
      </c>
    </row>
    <row r="491" customFormat="false" ht="14.25" hidden="false" customHeight="false" outlineLevel="0" collapsed="false">
      <c r="A491" s="1" t="s">
        <v>1092</v>
      </c>
      <c r="B491" s="1" t="s">
        <v>1093</v>
      </c>
      <c r="C491" s="2" t="n">
        <v>294</v>
      </c>
      <c r="D491" s="1" t="s">
        <v>390</v>
      </c>
      <c r="E491" s="1" t="s">
        <v>1094</v>
      </c>
      <c r="F491" s="2" t="n">
        <v>555496212443</v>
      </c>
      <c r="G491" s="1" t="s">
        <v>1095</v>
      </c>
      <c r="H491" s="1" t="s">
        <v>94</v>
      </c>
      <c r="I491" s="1" t="s">
        <v>50</v>
      </c>
      <c r="J491" s="1" t="s">
        <v>35</v>
      </c>
      <c r="K491" s="1" t="s">
        <v>69</v>
      </c>
      <c r="L491" s="1" t="s">
        <v>70</v>
      </c>
      <c r="M491" s="1" t="s">
        <v>38</v>
      </c>
      <c r="N491" s="1" t="s">
        <v>965</v>
      </c>
    </row>
    <row r="492" customFormat="false" ht="14.25" hidden="false" customHeight="false" outlineLevel="0" collapsed="false">
      <c r="A492" s="1" t="s">
        <v>1096</v>
      </c>
      <c r="B492" s="1" t="s">
        <v>1097</v>
      </c>
      <c r="C492" s="2" t="n">
        <v>97</v>
      </c>
      <c r="D492" s="1" t="s">
        <v>20</v>
      </c>
      <c r="E492" s="1" t="s">
        <v>1097</v>
      </c>
      <c r="F492" s="2" t="n">
        <v>554796011911</v>
      </c>
      <c r="G492" s="1" t="s">
        <v>1098</v>
      </c>
      <c r="H492" s="1" t="s">
        <v>94</v>
      </c>
      <c r="I492" s="1" t="s">
        <v>54</v>
      </c>
      <c r="N492" s="1" t="s">
        <v>1022</v>
      </c>
    </row>
    <row r="493" customFormat="false" ht="14.25" hidden="false" customHeight="false" outlineLevel="0" collapsed="false">
      <c r="A493" s="1" t="s">
        <v>1099</v>
      </c>
      <c r="B493" s="1" t="s">
        <v>1100</v>
      </c>
      <c r="C493" s="2" t="n">
        <v>291</v>
      </c>
      <c r="D493" s="1" t="s">
        <v>20</v>
      </c>
      <c r="E493" s="1" t="s">
        <v>1100</v>
      </c>
      <c r="F493" s="2" t="n">
        <v>554891726832</v>
      </c>
      <c r="G493" s="1" t="s">
        <v>1101</v>
      </c>
      <c r="H493" s="1" t="s">
        <v>94</v>
      </c>
      <c r="I493" s="1" t="s">
        <v>355</v>
      </c>
      <c r="N493" s="1" t="s">
        <v>965</v>
      </c>
    </row>
    <row r="494" customFormat="false" ht="14.25" hidden="false" customHeight="false" outlineLevel="0" collapsed="false">
      <c r="A494" s="1" t="s">
        <v>1102</v>
      </c>
      <c r="B494" s="1" t="s">
        <v>959</v>
      </c>
      <c r="C494" s="2" t="n">
        <v>294</v>
      </c>
      <c r="D494" s="1" t="s">
        <v>30</v>
      </c>
      <c r="E494" s="1" t="s">
        <v>1103</v>
      </c>
      <c r="F494" s="2" t="n">
        <v>553491649559</v>
      </c>
      <c r="G494" s="1" t="s">
        <v>1104</v>
      </c>
      <c r="H494" s="1" t="s">
        <v>94</v>
      </c>
      <c r="I494" s="1" t="s">
        <v>50</v>
      </c>
      <c r="N494" s="1" t="s">
        <v>965</v>
      </c>
    </row>
    <row r="495" customFormat="false" ht="14.25" hidden="false" customHeight="false" outlineLevel="0" collapsed="false">
      <c r="A495" s="1" t="s">
        <v>1105</v>
      </c>
      <c r="B495" s="1" t="s">
        <v>630</v>
      </c>
      <c r="C495" s="2" t="n">
        <v>147</v>
      </c>
      <c r="D495" s="1" t="s">
        <v>18</v>
      </c>
      <c r="E495" s="1" t="s">
        <v>630</v>
      </c>
      <c r="F495" s="2" t="n">
        <v>5518996452405</v>
      </c>
      <c r="G495" s="1" t="s">
        <v>631</v>
      </c>
      <c r="H495" s="1" t="s">
        <v>94</v>
      </c>
      <c r="I495" s="1" t="s">
        <v>54</v>
      </c>
      <c r="N495" s="1" t="s">
        <v>1022</v>
      </c>
    </row>
    <row r="496" customFormat="false" ht="14.25" hidden="false" customHeight="false" outlineLevel="0" collapsed="false">
      <c r="A496" s="1" t="s">
        <v>1106</v>
      </c>
      <c r="B496" s="1" t="s">
        <v>1107</v>
      </c>
      <c r="C496" s="2" t="n">
        <v>150</v>
      </c>
      <c r="D496" s="1" t="s">
        <v>32</v>
      </c>
      <c r="E496" s="1" t="s">
        <v>1107</v>
      </c>
      <c r="F496" s="2" t="n">
        <v>554796460379</v>
      </c>
      <c r="G496" s="1" t="s">
        <v>1108</v>
      </c>
      <c r="H496" s="1" t="s">
        <v>94</v>
      </c>
      <c r="I496" s="1" t="s">
        <v>34</v>
      </c>
      <c r="N496" s="1" t="s">
        <v>965</v>
      </c>
    </row>
    <row r="497" customFormat="false" ht="14.25" hidden="false" customHeight="false" outlineLevel="0" collapsed="false">
      <c r="A497" s="1" t="s">
        <v>1109</v>
      </c>
      <c r="B497" s="1" t="s">
        <v>1110</v>
      </c>
      <c r="C497" s="2" t="n">
        <v>150</v>
      </c>
      <c r="D497" s="1" t="s">
        <v>32</v>
      </c>
      <c r="E497" s="1" t="s">
        <v>1110</v>
      </c>
      <c r="F497" s="2" t="n">
        <v>554197483606</v>
      </c>
      <c r="G497" s="1" t="s">
        <v>1111</v>
      </c>
      <c r="H497" s="1" t="s">
        <v>94</v>
      </c>
      <c r="I497" s="1" t="s">
        <v>355</v>
      </c>
      <c r="N497" s="1" t="s">
        <v>965</v>
      </c>
    </row>
    <row r="498" customFormat="false" ht="14.25" hidden="false" customHeight="false" outlineLevel="0" collapsed="false">
      <c r="A498" s="1" t="s">
        <v>1112</v>
      </c>
      <c r="B498" s="1" t="s">
        <v>963</v>
      </c>
      <c r="C498" s="2" t="n">
        <v>147</v>
      </c>
      <c r="D498" s="1" t="s">
        <v>18</v>
      </c>
      <c r="E498" s="1" t="s">
        <v>963</v>
      </c>
      <c r="F498" s="2" t="n">
        <v>5521982245006</v>
      </c>
      <c r="G498" s="1" t="s">
        <v>964</v>
      </c>
      <c r="H498" s="1" t="s">
        <v>94</v>
      </c>
      <c r="I498" s="1" t="s">
        <v>54</v>
      </c>
      <c r="N498" s="1" t="s">
        <v>1022</v>
      </c>
    </row>
    <row r="499" customFormat="false" ht="14.25" hidden="false" customHeight="false" outlineLevel="0" collapsed="false">
      <c r="A499" s="1" t="s">
        <v>1113</v>
      </c>
      <c r="B499" s="1" t="s">
        <v>1114</v>
      </c>
      <c r="C499" s="2" t="n">
        <v>300</v>
      </c>
      <c r="D499" s="1" t="s">
        <v>106</v>
      </c>
      <c r="E499" s="1" t="s">
        <v>1114</v>
      </c>
      <c r="F499" s="2" t="n">
        <v>555496832215</v>
      </c>
      <c r="G499" s="1" t="s">
        <v>1115</v>
      </c>
      <c r="H499" s="1" t="s">
        <v>94</v>
      </c>
      <c r="I499" s="1" t="s">
        <v>54</v>
      </c>
      <c r="N499" s="1" t="s">
        <v>1022</v>
      </c>
    </row>
    <row r="500" customFormat="false" ht="14.25" hidden="false" customHeight="false" outlineLevel="0" collapsed="false">
      <c r="A500" s="1" t="s">
        <v>1116</v>
      </c>
      <c r="B500" s="1" t="s">
        <v>692</v>
      </c>
      <c r="C500" s="2" t="n">
        <v>80</v>
      </c>
      <c r="D500" s="1" t="s">
        <v>21</v>
      </c>
      <c r="E500" s="1" t="s">
        <v>692</v>
      </c>
      <c r="F500" s="2" t="s">
        <v>1117</v>
      </c>
      <c r="G500" s="1" t="s">
        <v>693</v>
      </c>
      <c r="H500" s="1" t="s">
        <v>94</v>
      </c>
      <c r="I500" s="1" t="s">
        <v>54</v>
      </c>
      <c r="N500" s="1" t="s">
        <v>1022</v>
      </c>
    </row>
    <row r="501" customFormat="false" ht="14.25" hidden="false" customHeight="false" outlineLevel="0" collapsed="false">
      <c r="A501" s="1" t="s">
        <v>1118</v>
      </c>
      <c r="B501" s="1" t="s">
        <v>1119</v>
      </c>
      <c r="C501" s="2" t="n">
        <v>120</v>
      </c>
      <c r="D501" s="1" t="s">
        <v>21</v>
      </c>
      <c r="E501" s="1" t="s">
        <v>1119</v>
      </c>
      <c r="F501" s="2" t="n">
        <v>554888294362</v>
      </c>
      <c r="G501" s="1" t="s">
        <v>1120</v>
      </c>
      <c r="H501" s="1" t="s">
        <v>94</v>
      </c>
      <c r="I501" s="1" t="s">
        <v>355</v>
      </c>
      <c r="J501" s="1" t="s">
        <v>35</v>
      </c>
      <c r="K501" s="1" t="s">
        <v>69</v>
      </c>
      <c r="L501" s="1" t="s">
        <v>70</v>
      </c>
      <c r="M501" s="1" t="s">
        <v>38</v>
      </c>
      <c r="N501" s="1" t="s">
        <v>965</v>
      </c>
    </row>
    <row r="502" customFormat="false" ht="14.25" hidden="false" customHeight="false" outlineLevel="0" collapsed="false">
      <c r="A502" s="1" t="s">
        <v>1121</v>
      </c>
      <c r="B502" s="1" t="s">
        <v>1122</v>
      </c>
      <c r="C502" s="2" t="n">
        <v>1200</v>
      </c>
      <c r="D502" s="1" t="s">
        <v>27</v>
      </c>
      <c r="E502" s="1" t="s">
        <v>1123</v>
      </c>
      <c r="F502" s="2" t="n">
        <v>555496415399</v>
      </c>
      <c r="G502" s="1" t="s">
        <v>1124</v>
      </c>
      <c r="H502" s="1" t="s">
        <v>94</v>
      </c>
      <c r="I502" s="1" t="s">
        <v>34</v>
      </c>
      <c r="J502" s="1" t="s">
        <v>1125</v>
      </c>
      <c r="K502" s="1" t="s">
        <v>303</v>
      </c>
      <c r="M502" s="1" t="s">
        <v>303</v>
      </c>
      <c r="N502" s="1" t="s">
        <v>965</v>
      </c>
    </row>
    <row r="503" customFormat="false" ht="14.25" hidden="false" customHeight="false" outlineLevel="0" collapsed="false">
      <c r="A503" s="1" t="s">
        <v>1126</v>
      </c>
      <c r="B503" s="1" t="s">
        <v>1127</v>
      </c>
      <c r="C503" s="2" t="n">
        <v>150</v>
      </c>
      <c r="D503" s="1" t="s">
        <v>30</v>
      </c>
      <c r="E503" s="1" t="s">
        <v>1127</v>
      </c>
      <c r="F503" s="2" t="n">
        <v>554199041813</v>
      </c>
      <c r="G503" s="1" t="s">
        <v>1128</v>
      </c>
      <c r="H503" s="1" t="s">
        <v>94</v>
      </c>
      <c r="I503" s="1" t="s">
        <v>50</v>
      </c>
      <c r="N503" s="1" t="s">
        <v>965</v>
      </c>
    </row>
    <row r="504" customFormat="false" ht="14.25" hidden="false" customHeight="false" outlineLevel="0" collapsed="false">
      <c r="A504" s="1" t="s">
        <v>1129</v>
      </c>
      <c r="B504" s="1" t="s">
        <v>1130</v>
      </c>
      <c r="C504" s="2" t="n">
        <v>147</v>
      </c>
      <c r="D504" s="1" t="s">
        <v>22</v>
      </c>
      <c r="E504" s="1" t="s">
        <v>1131</v>
      </c>
      <c r="F504" s="2" t="n">
        <v>554796225595</v>
      </c>
      <c r="G504" s="1" t="s">
        <v>1132</v>
      </c>
      <c r="H504" s="1" t="s">
        <v>94</v>
      </c>
      <c r="I504" s="1" t="s">
        <v>50</v>
      </c>
      <c r="N504" s="1" t="s">
        <v>965</v>
      </c>
    </row>
    <row r="505" customFormat="false" ht="14.25" hidden="false" customHeight="false" outlineLevel="0" collapsed="false">
      <c r="A505" s="1" t="s">
        <v>1133</v>
      </c>
      <c r="B505" s="1" t="s">
        <v>1134</v>
      </c>
      <c r="C505" s="2" t="n">
        <v>150</v>
      </c>
      <c r="D505" s="1" t="s">
        <v>1021</v>
      </c>
      <c r="E505" s="1" t="s">
        <v>1134</v>
      </c>
      <c r="F505" s="2" t="n">
        <v>554197486923</v>
      </c>
      <c r="G505" s="1" t="s">
        <v>1135</v>
      </c>
      <c r="H505" s="1" t="s">
        <v>94</v>
      </c>
      <c r="I505" s="1" t="s">
        <v>54</v>
      </c>
      <c r="N505" s="1" t="s">
        <v>1022</v>
      </c>
    </row>
    <row r="506" customFormat="false" ht="14.25" hidden="false" customHeight="false" outlineLevel="0" collapsed="false">
      <c r="A506" s="1" t="s">
        <v>1136</v>
      </c>
      <c r="B506" s="1" t="s">
        <v>1137</v>
      </c>
      <c r="C506" s="2" t="n">
        <v>147</v>
      </c>
      <c r="D506" s="1" t="s">
        <v>390</v>
      </c>
      <c r="E506" s="1" t="s">
        <v>1137</v>
      </c>
      <c r="F506" s="2" t="n">
        <v>554199696560</v>
      </c>
      <c r="G506" s="1" t="s">
        <v>1138</v>
      </c>
      <c r="H506" s="1" t="s">
        <v>94</v>
      </c>
      <c r="I506" s="1" t="s">
        <v>50</v>
      </c>
      <c r="J506" s="1" t="s">
        <v>35</v>
      </c>
      <c r="K506" s="1" t="s">
        <v>36</v>
      </c>
      <c r="L506" s="1" t="s">
        <v>37</v>
      </c>
      <c r="M506" s="1" t="s">
        <v>38</v>
      </c>
      <c r="N506" s="1" t="s">
        <v>965</v>
      </c>
    </row>
    <row r="507" customFormat="false" ht="14.25" hidden="false" customHeight="false" outlineLevel="0" collapsed="false">
      <c r="A507" s="1" t="s">
        <v>1139</v>
      </c>
      <c r="B507" s="1" t="s">
        <v>1140</v>
      </c>
      <c r="C507" s="2" t="n">
        <v>147</v>
      </c>
      <c r="D507" s="1" t="s">
        <v>390</v>
      </c>
      <c r="E507" s="1" t="s">
        <v>1140</v>
      </c>
      <c r="F507" s="2" t="n">
        <v>554891786304</v>
      </c>
      <c r="G507" s="1" t="s">
        <v>1141</v>
      </c>
      <c r="H507" s="1" t="s">
        <v>94</v>
      </c>
      <c r="I507" s="1" t="s">
        <v>50</v>
      </c>
      <c r="N507" s="1" t="s">
        <v>965</v>
      </c>
    </row>
    <row r="508" customFormat="false" ht="14.25" hidden="false" customHeight="false" outlineLevel="0" collapsed="false">
      <c r="A508" s="1" t="s">
        <v>1142</v>
      </c>
      <c r="B508" s="1" t="s">
        <v>1143</v>
      </c>
      <c r="C508" s="2" t="n">
        <v>120</v>
      </c>
      <c r="D508" s="1" t="s">
        <v>21</v>
      </c>
      <c r="E508" s="1" t="s">
        <v>1143</v>
      </c>
      <c r="F508" s="2" t="n">
        <v>559591266145</v>
      </c>
      <c r="G508" s="1" t="s">
        <v>1144</v>
      </c>
      <c r="H508" s="1" t="s">
        <v>94</v>
      </c>
      <c r="I508" s="1" t="s">
        <v>355</v>
      </c>
      <c r="N508" s="1" t="s">
        <v>965</v>
      </c>
    </row>
    <row r="509" customFormat="false" ht="14.25" hidden="false" customHeight="false" outlineLevel="0" collapsed="false">
      <c r="A509" s="1" t="s">
        <v>1145</v>
      </c>
      <c r="B509" s="1" t="s">
        <v>1146</v>
      </c>
      <c r="C509" s="2" t="n">
        <v>291</v>
      </c>
      <c r="D509" s="1" t="s">
        <v>20</v>
      </c>
      <c r="E509" s="1" t="s">
        <v>1146</v>
      </c>
      <c r="F509" s="2" t="n">
        <v>5596984192145</v>
      </c>
      <c r="G509" s="1" t="s">
        <v>1147</v>
      </c>
      <c r="H509" s="1" t="s">
        <v>94</v>
      </c>
      <c r="I509" s="1" t="s">
        <v>355</v>
      </c>
      <c r="N509" s="1" t="s">
        <v>965</v>
      </c>
    </row>
    <row r="510" customFormat="false" ht="14.25" hidden="false" customHeight="false" outlineLevel="0" collapsed="false">
      <c r="A510" s="1" t="s">
        <v>1148</v>
      </c>
      <c r="B510" s="1" t="s">
        <v>1149</v>
      </c>
      <c r="C510" s="2" t="n">
        <v>120</v>
      </c>
      <c r="D510" s="1" t="s">
        <v>30</v>
      </c>
      <c r="E510" s="1" t="s">
        <v>1150</v>
      </c>
      <c r="F510" s="2" t="n">
        <v>5569992374587</v>
      </c>
      <c r="G510" s="1" t="s">
        <v>1151</v>
      </c>
      <c r="H510" s="1" t="s">
        <v>94</v>
      </c>
      <c r="I510" s="1" t="s">
        <v>355</v>
      </c>
      <c r="J510" s="1" t="s">
        <v>619</v>
      </c>
      <c r="K510" s="1" t="s">
        <v>303</v>
      </c>
      <c r="M510" s="1" t="s">
        <v>304</v>
      </c>
      <c r="N510" s="1" t="s">
        <v>965</v>
      </c>
    </row>
    <row r="511" customFormat="false" ht="14.25" hidden="false" customHeight="false" outlineLevel="0" collapsed="false">
      <c r="A511" s="1" t="s">
        <v>1152</v>
      </c>
      <c r="B511" s="1" t="s">
        <v>1153</v>
      </c>
      <c r="C511" s="2" t="n">
        <v>450</v>
      </c>
      <c r="D511" s="1" t="s">
        <v>24</v>
      </c>
      <c r="E511" s="1" t="s">
        <v>1154</v>
      </c>
      <c r="F511" s="2" t="n">
        <v>5519996916795</v>
      </c>
      <c r="G511" s="1" t="s">
        <v>1155</v>
      </c>
      <c r="H511" s="1" t="s">
        <v>94</v>
      </c>
      <c r="I511" s="1" t="s">
        <v>355</v>
      </c>
      <c r="N511" s="1" t="s">
        <v>965</v>
      </c>
    </row>
    <row r="512" customFormat="false" ht="14.25" hidden="false" customHeight="false" outlineLevel="0" collapsed="false">
      <c r="A512" s="1" t="s">
        <v>1156</v>
      </c>
      <c r="B512" s="1" t="s">
        <v>1157</v>
      </c>
      <c r="C512" s="2" t="n">
        <v>150</v>
      </c>
      <c r="D512" s="1" t="s">
        <v>32</v>
      </c>
      <c r="E512" s="1" t="s">
        <v>1157</v>
      </c>
      <c r="F512" s="2" t="n">
        <v>5511959302227</v>
      </c>
      <c r="G512" s="1" t="s">
        <v>1158</v>
      </c>
      <c r="H512" s="1" t="s">
        <v>94</v>
      </c>
      <c r="I512" s="1" t="s">
        <v>50</v>
      </c>
      <c r="J512" s="1" t="s">
        <v>35</v>
      </c>
      <c r="K512" s="1" t="s">
        <v>36</v>
      </c>
      <c r="L512" s="1" t="s">
        <v>37</v>
      </c>
      <c r="M512" s="1" t="s">
        <v>38</v>
      </c>
      <c r="N512" s="1" t="s">
        <v>965</v>
      </c>
    </row>
    <row r="513" customFormat="false" ht="14.25" hidden="false" customHeight="false" outlineLevel="0" collapsed="false">
      <c r="A513" s="1" t="s">
        <v>1159</v>
      </c>
      <c r="B513" s="1" t="s">
        <v>1160</v>
      </c>
      <c r="C513" s="2" t="n">
        <v>147</v>
      </c>
      <c r="D513" s="1" t="s">
        <v>21</v>
      </c>
      <c r="E513" s="1" t="s">
        <v>1160</v>
      </c>
      <c r="F513" s="2" t="n">
        <v>554799527846</v>
      </c>
      <c r="G513" s="1" t="s">
        <v>1161</v>
      </c>
      <c r="H513" s="1" t="s">
        <v>94</v>
      </c>
      <c r="I513" s="1" t="s">
        <v>355</v>
      </c>
      <c r="N513" s="1" t="s">
        <v>965</v>
      </c>
    </row>
    <row r="514" customFormat="false" ht="14.25" hidden="false" customHeight="false" outlineLevel="0" collapsed="false">
      <c r="A514" s="1" t="s">
        <v>1162</v>
      </c>
      <c r="B514" s="1" t="s">
        <v>1114</v>
      </c>
      <c r="C514" s="2" t="n">
        <v>300</v>
      </c>
      <c r="D514" s="1" t="s">
        <v>106</v>
      </c>
      <c r="E514" s="1" t="s">
        <v>1114</v>
      </c>
      <c r="F514" s="2" t="n">
        <v>555496832215</v>
      </c>
      <c r="G514" s="1" t="s">
        <v>1115</v>
      </c>
      <c r="H514" s="1" t="s">
        <v>94</v>
      </c>
      <c r="I514" s="1" t="s">
        <v>54</v>
      </c>
      <c r="N514" s="1" t="s">
        <v>1022</v>
      </c>
    </row>
    <row r="515" customFormat="false" ht="14.25" hidden="false" customHeight="false" outlineLevel="0" collapsed="false">
      <c r="A515" s="1" t="s">
        <v>1163</v>
      </c>
      <c r="B515" s="1" t="s">
        <v>1164</v>
      </c>
      <c r="C515" s="2" t="n">
        <v>441</v>
      </c>
      <c r="D515" s="1" t="s">
        <v>22</v>
      </c>
      <c r="E515" s="1" t="s">
        <v>1165</v>
      </c>
      <c r="F515" s="2" t="n">
        <v>5511939493328</v>
      </c>
      <c r="G515" s="1" t="s">
        <v>43</v>
      </c>
      <c r="H515" s="1" t="s">
        <v>94</v>
      </c>
      <c r="I515" s="1" t="s">
        <v>50</v>
      </c>
      <c r="N515" s="1" t="s">
        <v>965</v>
      </c>
    </row>
    <row r="516" customFormat="false" ht="14.25" hidden="false" customHeight="false" outlineLevel="0" collapsed="false">
      <c r="A516" s="1" t="s">
        <v>1166</v>
      </c>
      <c r="B516" s="1" t="s">
        <v>1167</v>
      </c>
      <c r="C516" s="2" t="n">
        <v>120</v>
      </c>
      <c r="D516" s="1" t="s">
        <v>21</v>
      </c>
      <c r="E516" s="1" t="s">
        <v>1167</v>
      </c>
      <c r="F516" s="2" t="n">
        <v>559584143145</v>
      </c>
      <c r="G516" s="1" t="s">
        <v>1168</v>
      </c>
      <c r="H516" s="1" t="s">
        <v>94</v>
      </c>
      <c r="I516" s="1" t="s">
        <v>355</v>
      </c>
      <c r="N516" s="1" t="s">
        <v>965</v>
      </c>
    </row>
    <row r="517" customFormat="false" ht="14.25" hidden="false" customHeight="false" outlineLevel="0" collapsed="false">
      <c r="A517" s="1" t="s">
        <v>1166</v>
      </c>
      <c r="B517" s="1" t="s">
        <v>1167</v>
      </c>
      <c r="C517" s="2" t="n">
        <v>97</v>
      </c>
      <c r="D517" s="1" t="s">
        <v>20</v>
      </c>
      <c r="E517" s="1" t="s">
        <v>1167</v>
      </c>
      <c r="F517" s="2" t="n">
        <v>559584143145</v>
      </c>
      <c r="G517" s="1" t="s">
        <v>1168</v>
      </c>
      <c r="H517" s="1" t="s">
        <v>94</v>
      </c>
      <c r="I517" s="1" t="s">
        <v>355</v>
      </c>
      <c r="N517" s="1" t="s">
        <v>965</v>
      </c>
    </row>
    <row r="518" customFormat="false" ht="14.25" hidden="false" customHeight="false" outlineLevel="0" collapsed="false">
      <c r="A518" s="1" t="s">
        <v>1169</v>
      </c>
      <c r="B518" s="1" t="s">
        <v>219</v>
      </c>
      <c r="C518" s="2" t="n">
        <v>400</v>
      </c>
      <c r="D518" s="1" t="s">
        <v>27</v>
      </c>
      <c r="E518" s="1" t="s">
        <v>219</v>
      </c>
      <c r="F518" s="2" t="n">
        <v>556284270683</v>
      </c>
      <c r="G518" s="1" t="s">
        <v>220</v>
      </c>
      <c r="H518" s="1" t="s">
        <v>94</v>
      </c>
      <c r="I518" s="1" t="s">
        <v>54</v>
      </c>
      <c r="N518" s="1" t="s">
        <v>1022</v>
      </c>
    </row>
    <row r="519" customFormat="false" ht="14.25" hidden="false" customHeight="false" outlineLevel="0" collapsed="false">
      <c r="A519" s="1" t="s">
        <v>1170</v>
      </c>
      <c r="B519" s="1" t="s">
        <v>1171</v>
      </c>
      <c r="C519" s="2" t="n">
        <v>220</v>
      </c>
      <c r="D519" s="1" t="s">
        <v>390</v>
      </c>
      <c r="E519" s="1" t="s">
        <v>1171</v>
      </c>
      <c r="F519" s="2" t="n">
        <v>555499975991</v>
      </c>
      <c r="G519" s="1" t="s">
        <v>1172</v>
      </c>
      <c r="H519" s="1" t="s">
        <v>94</v>
      </c>
      <c r="I519" s="1" t="s">
        <v>50</v>
      </c>
      <c r="N519" s="1" t="s">
        <v>965</v>
      </c>
    </row>
    <row r="520" customFormat="false" ht="14.25" hidden="false" customHeight="false" outlineLevel="0" collapsed="false">
      <c r="A520" s="1" t="s">
        <v>1173</v>
      </c>
      <c r="B520" s="1" t="s">
        <v>1174</v>
      </c>
      <c r="C520" s="2" t="n">
        <v>150</v>
      </c>
      <c r="D520" s="1" t="s">
        <v>32</v>
      </c>
      <c r="E520" s="1" t="s">
        <v>1174</v>
      </c>
      <c r="F520" s="2" t="n">
        <v>5511974163807</v>
      </c>
      <c r="G520" s="1" t="s">
        <v>1175</v>
      </c>
      <c r="H520" s="1" t="s">
        <v>94</v>
      </c>
      <c r="I520" s="1" t="s">
        <v>355</v>
      </c>
      <c r="J520" s="1" t="s">
        <v>1176</v>
      </c>
      <c r="K520" s="1" t="s">
        <v>1177</v>
      </c>
      <c r="L520" s="1" t="s">
        <v>1178</v>
      </c>
      <c r="M520" s="1" t="s">
        <v>1179</v>
      </c>
      <c r="N520" s="1" t="s">
        <v>965</v>
      </c>
    </row>
    <row r="521" customFormat="false" ht="14.25" hidden="false" customHeight="false" outlineLevel="0" collapsed="false">
      <c r="A521" s="1" t="s">
        <v>1180</v>
      </c>
      <c r="B521" s="1" t="s">
        <v>1181</v>
      </c>
      <c r="C521" s="2" t="n">
        <v>140</v>
      </c>
      <c r="D521" s="1" t="s">
        <v>32</v>
      </c>
      <c r="E521" s="1" t="s">
        <v>1181</v>
      </c>
      <c r="F521" s="2" t="n">
        <v>555493620297</v>
      </c>
      <c r="G521" s="1" t="s">
        <v>1182</v>
      </c>
      <c r="H521" s="1" t="s">
        <v>94</v>
      </c>
      <c r="I521" s="1" t="s">
        <v>34</v>
      </c>
      <c r="N521" s="1" t="s">
        <v>965</v>
      </c>
    </row>
    <row r="522" customFormat="false" ht="14.25" hidden="false" customHeight="false" outlineLevel="0" collapsed="false">
      <c r="A522" s="1" t="s">
        <v>1183</v>
      </c>
      <c r="B522" s="1" t="s">
        <v>1184</v>
      </c>
      <c r="C522" s="2" t="n">
        <v>250</v>
      </c>
      <c r="D522" s="1" t="s">
        <v>27</v>
      </c>
      <c r="E522" s="1" t="s">
        <v>1184</v>
      </c>
      <c r="F522" s="2" t="n">
        <v>554184014887</v>
      </c>
      <c r="G522" s="1" t="s">
        <v>1185</v>
      </c>
      <c r="H522" s="1" t="s">
        <v>94</v>
      </c>
      <c r="I522" s="1" t="s">
        <v>34</v>
      </c>
      <c r="J522" s="1" t="s">
        <v>60</v>
      </c>
      <c r="K522" s="1" t="s">
        <v>27</v>
      </c>
      <c r="L522" s="1" t="s">
        <v>728</v>
      </c>
      <c r="M522" s="1" t="s">
        <v>62</v>
      </c>
      <c r="N522" s="1" t="s">
        <v>965</v>
      </c>
    </row>
    <row r="523" customFormat="false" ht="14.25" hidden="false" customHeight="false" outlineLevel="0" collapsed="false">
      <c r="A523" s="1" t="s">
        <v>1186</v>
      </c>
      <c r="B523" s="1" t="s">
        <v>1187</v>
      </c>
      <c r="C523" s="2" t="n">
        <v>97</v>
      </c>
      <c r="D523" s="1" t="s">
        <v>20</v>
      </c>
      <c r="E523" s="1" t="s">
        <v>1188</v>
      </c>
      <c r="F523" s="2" t="n">
        <v>5514981372724</v>
      </c>
      <c r="G523" s="1" t="s">
        <v>1189</v>
      </c>
      <c r="H523" s="1" t="s">
        <v>94</v>
      </c>
      <c r="I523" s="1" t="s">
        <v>50</v>
      </c>
      <c r="J523" s="1" t="s">
        <v>35</v>
      </c>
      <c r="K523" s="1" t="s">
        <v>36</v>
      </c>
      <c r="L523" s="1" t="s">
        <v>37</v>
      </c>
      <c r="M523" s="1" t="s">
        <v>38</v>
      </c>
      <c r="N523" s="1" t="s">
        <v>965</v>
      </c>
    </row>
    <row r="524" customFormat="false" ht="14.25" hidden="false" customHeight="false" outlineLevel="0" collapsed="false">
      <c r="A524" s="1" t="s">
        <v>1190</v>
      </c>
      <c r="B524" s="1" t="s">
        <v>1191</v>
      </c>
      <c r="C524" s="2" t="n">
        <v>242</v>
      </c>
      <c r="D524" s="1" t="s">
        <v>20</v>
      </c>
      <c r="E524" s="1" t="s">
        <v>1192</v>
      </c>
      <c r="F524" s="2" t="n">
        <v>5358366148</v>
      </c>
      <c r="G524" s="1" t="s">
        <v>1193</v>
      </c>
      <c r="H524" s="1" t="s">
        <v>94</v>
      </c>
      <c r="I524" s="1" t="s">
        <v>50</v>
      </c>
      <c r="N524" s="1" t="s">
        <v>965</v>
      </c>
    </row>
    <row r="525" customFormat="false" ht="14.25" hidden="false" customHeight="false" outlineLevel="0" collapsed="false">
      <c r="A525" s="1" t="s">
        <v>1194</v>
      </c>
      <c r="B525" s="1" t="s">
        <v>1164</v>
      </c>
      <c r="C525" s="2" t="n">
        <v>441</v>
      </c>
      <c r="D525" s="1" t="s">
        <v>22</v>
      </c>
      <c r="E525" s="1" t="s">
        <v>1165</v>
      </c>
      <c r="F525" s="2" t="n">
        <v>5511939493328</v>
      </c>
      <c r="G525" s="1" t="s">
        <v>43</v>
      </c>
      <c r="H525" s="1" t="s">
        <v>94</v>
      </c>
      <c r="I525" s="1" t="s">
        <v>50</v>
      </c>
      <c r="N525" s="1" t="s">
        <v>965</v>
      </c>
    </row>
    <row r="526" customFormat="false" ht="14.25" hidden="false" customHeight="false" outlineLevel="0" collapsed="false">
      <c r="A526" s="1" t="s">
        <v>1195</v>
      </c>
      <c r="B526" s="1" t="s">
        <v>1196</v>
      </c>
      <c r="C526" s="2" t="n">
        <v>147</v>
      </c>
      <c r="D526" s="1" t="s">
        <v>22</v>
      </c>
      <c r="E526" s="1" t="s">
        <v>1196</v>
      </c>
      <c r="F526" s="2" t="n">
        <v>5511965251647</v>
      </c>
      <c r="G526" s="1" t="s">
        <v>1197</v>
      </c>
      <c r="H526" s="1" t="s">
        <v>94</v>
      </c>
      <c r="I526" s="1" t="s">
        <v>54</v>
      </c>
      <c r="N526" s="1" t="s">
        <v>1022</v>
      </c>
    </row>
    <row r="527" customFormat="false" ht="14.25" hidden="false" customHeight="false" outlineLevel="0" collapsed="false">
      <c r="A527" s="1" t="s">
        <v>1198</v>
      </c>
      <c r="B527" s="1" t="s">
        <v>1196</v>
      </c>
      <c r="C527" s="2" t="n">
        <v>240</v>
      </c>
      <c r="D527" s="1" t="s">
        <v>30</v>
      </c>
      <c r="E527" s="1" t="s">
        <v>1196</v>
      </c>
      <c r="F527" s="2" t="n">
        <v>5511965251647</v>
      </c>
      <c r="G527" s="1" t="s">
        <v>1197</v>
      </c>
      <c r="H527" s="1" t="s">
        <v>94</v>
      </c>
      <c r="I527" s="1" t="s">
        <v>54</v>
      </c>
      <c r="N527" s="1" t="s">
        <v>1022</v>
      </c>
    </row>
    <row r="528" customFormat="false" ht="14.25" hidden="false" customHeight="false" outlineLevel="0" collapsed="false">
      <c r="A528" s="1" t="s">
        <v>1199</v>
      </c>
      <c r="B528" s="1" t="s">
        <v>1200</v>
      </c>
      <c r="C528" s="2" t="n">
        <v>97</v>
      </c>
      <c r="D528" s="1" t="s">
        <v>20</v>
      </c>
      <c r="E528" s="1" t="s">
        <v>1200</v>
      </c>
      <c r="F528" s="2" t="n">
        <v>554195365684</v>
      </c>
      <c r="G528" s="1" t="s">
        <v>1201</v>
      </c>
      <c r="H528" s="1" t="s">
        <v>94</v>
      </c>
      <c r="I528" s="1" t="s">
        <v>50</v>
      </c>
      <c r="N528" s="1" t="s">
        <v>965</v>
      </c>
    </row>
    <row r="529" customFormat="false" ht="14.25" hidden="false" customHeight="false" outlineLevel="0" collapsed="false">
      <c r="A529" s="1" t="s">
        <v>1202</v>
      </c>
      <c r="B529" s="1" t="s">
        <v>1203</v>
      </c>
      <c r="C529" s="2" t="n">
        <v>147</v>
      </c>
      <c r="D529" s="1" t="s">
        <v>18</v>
      </c>
      <c r="E529" s="1" t="s">
        <v>1204</v>
      </c>
      <c r="F529" s="2" t="n">
        <v>554187270635</v>
      </c>
      <c r="G529" s="1" t="s">
        <v>1205</v>
      </c>
      <c r="H529" s="1" t="s">
        <v>94</v>
      </c>
      <c r="I529" s="1" t="s">
        <v>355</v>
      </c>
      <c r="N529" s="1" t="s">
        <v>965</v>
      </c>
    </row>
    <row r="530" customFormat="false" ht="14.25" hidden="false" customHeight="false" outlineLevel="0" collapsed="false">
      <c r="A530" s="1" t="s">
        <v>1206</v>
      </c>
      <c r="B530" s="1" t="s">
        <v>1207</v>
      </c>
      <c r="C530" s="2" t="n">
        <v>150</v>
      </c>
      <c r="D530" s="1" t="s">
        <v>32</v>
      </c>
      <c r="E530" s="1" t="s">
        <v>1207</v>
      </c>
      <c r="F530" s="2" t="n">
        <v>5521959334195</v>
      </c>
      <c r="G530" s="1" t="s">
        <v>1208</v>
      </c>
      <c r="H530" s="1" t="s">
        <v>94</v>
      </c>
      <c r="I530" s="1" t="s">
        <v>34</v>
      </c>
      <c r="J530" s="1" t="s">
        <v>35</v>
      </c>
      <c r="K530" s="1" t="s">
        <v>36</v>
      </c>
      <c r="L530" s="1" t="s">
        <v>37</v>
      </c>
      <c r="M530" s="1" t="s">
        <v>38</v>
      </c>
      <c r="N530" s="1" t="s">
        <v>965</v>
      </c>
    </row>
    <row r="531" customFormat="false" ht="14.25" hidden="false" customHeight="false" outlineLevel="0" collapsed="false">
      <c r="A531" s="1" t="s">
        <v>1209</v>
      </c>
      <c r="B531" s="1" t="s">
        <v>1210</v>
      </c>
      <c r="C531" s="2" t="n">
        <v>194</v>
      </c>
      <c r="D531" s="1" t="s">
        <v>20</v>
      </c>
      <c r="E531" s="1" t="s">
        <v>1210</v>
      </c>
      <c r="F531" s="2" t="n">
        <v>559584271257</v>
      </c>
      <c r="G531" s="1" t="s">
        <v>1211</v>
      </c>
      <c r="H531" s="1" t="s">
        <v>94</v>
      </c>
      <c r="I531" s="1" t="s">
        <v>50</v>
      </c>
      <c r="J531" s="1" t="s">
        <v>35</v>
      </c>
      <c r="K531" s="1" t="s">
        <v>36</v>
      </c>
      <c r="L531" s="1" t="s">
        <v>37</v>
      </c>
      <c r="M531" s="1" t="s">
        <v>38</v>
      </c>
      <c r="N531" s="1" t="s">
        <v>965</v>
      </c>
    </row>
    <row r="532" customFormat="false" ht="14.25" hidden="false" customHeight="false" outlineLevel="0" collapsed="false">
      <c r="A532" s="1" t="s">
        <v>1212</v>
      </c>
      <c r="B532" s="1" t="s">
        <v>1213</v>
      </c>
      <c r="C532" s="2" t="n">
        <v>120</v>
      </c>
      <c r="D532" s="1" t="s">
        <v>21</v>
      </c>
      <c r="E532" s="1" t="s">
        <v>1213</v>
      </c>
      <c r="F532" s="2" t="n">
        <v>554884540636</v>
      </c>
      <c r="G532" s="1" t="s">
        <v>1214</v>
      </c>
      <c r="H532" s="1" t="s">
        <v>94</v>
      </c>
      <c r="I532" s="1" t="s">
        <v>34</v>
      </c>
      <c r="N532" s="1" t="s">
        <v>965</v>
      </c>
    </row>
    <row r="533" customFormat="false" ht="14.25" hidden="false" customHeight="false" outlineLevel="0" collapsed="false">
      <c r="A533" s="1" t="s">
        <v>1215</v>
      </c>
      <c r="B533" s="1" t="s">
        <v>1216</v>
      </c>
      <c r="C533" s="2" t="n">
        <v>150</v>
      </c>
      <c r="D533" s="1" t="s">
        <v>32</v>
      </c>
      <c r="E533" s="1" t="s">
        <v>504</v>
      </c>
      <c r="F533" s="2" t="n">
        <v>559584275807</v>
      </c>
      <c r="G533" s="1" t="s">
        <v>505</v>
      </c>
      <c r="H533" s="1" t="s">
        <v>94</v>
      </c>
      <c r="I533" s="1" t="s">
        <v>54</v>
      </c>
      <c r="N533" s="1" t="s">
        <v>1022</v>
      </c>
    </row>
    <row r="534" customFormat="false" ht="14.25" hidden="false" customHeight="false" outlineLevel="0" collapsed="false">
      <c r="A534" s="1" t="s">
        <v>1217</v>
      </c>
      <c r="B534" s="1" t="s">
        <v>1218</v>
      </c>
      <c r="C534" s="2" t="n">
        <v>150</v>
      </c>
      <c r="D534" s="1" t="s">
        <v>32</v>
      </c>
      <c r="E534" s="1" t="s">
        <v>1218</v>
      </c>
      <c r="F534" s="2" t="n">
        <v>554199922513</v>
      </c>
      <c r="G534" s="1" t="s">
        <v>1219</v>
      </c>
      <c r="H534" s="1" t="s">
        <v>94</v>
      </c>
      <c r="I534" s="1" t="s">
        <v>34</v>
      </c>
      <c r="N534" s="1" t="s">
        <v>965</v>
      </c>
    </row>
    <row r="535" customFormat="false" ht="14.25" hidden="false" customHeight="false" outlineLevel="0" collapsed="false">
      <c r="A535" s="1" t="s">
        <v>1220</v>
      </c>
      <c r="B535" s="1" t="s">
        <v>1221</v>
      </c>
      <c r="C535" s="2" t="n">
        <v>300</v>
      </c>
      <c r="D535" s="1" t="s">
        <v>32</v>
      </c>
      <c r="E535" s="1" t="s">
        <v>1221</v>
      </c>
      <c r="F535" s="2" t="n">
        <v>559584305924</v>
      </c>
      <c r="G535" s="1" t="s">
        <v>1222</v>
      </c>
      <c r="H535" s="1" t="s">
        <v>94</v>
      </c>
      <c r="I535" s="1" t="s">
        <v>50</v>
      </c>
      <c r="N535" s="1" t="s">
        <v>965</v>
      </c>
    </row>
    <row r="536" customFormat="false" ht="14.25" hidden="false" customHeight="false" outlineLevel="0" collapsed="false">
      <c r="A536" s="1" t="s">
        <v>1223</v>
      </c>
      <c r="B536" s="1" t="s">
        <v>1224</v>
      </c>
      <c r="C536" s="2" t="n">
        <v>97</v>
      </c>
      <c r="D536" s="1" t="s">
        <v>20</v>
      </c>
      <c r="E536" s="1" t="s">
        <v>1225</v>
      </c>
      <c r="F536" s="2" t="n">
        <v>554184924912</v>
      </c>
      <c r="G536" s="1" t="s">
        <v>1226</v>
      </c>
      <c r="H536" s="1" t="s">
        <v>94</v>
      </c>
      <c r="I536" s="1" t="s">
        <v>355</v>
      </c>
      <c r="J536" s="1" t="s">
        <v>35</v>
      </c>
      <c r="K536" s="1" t="s">
        <v>69</v>
      </c>
      <c r="L536" s="1" t="s">
        <v>70</v>
      </c>
      <c r="M536" s="1" t="s">
        <v>38</v>
      </c>
      <c r="N536" s="1" t="s">
        <v>965</v>
      </c>
    </row>
    <row r="537" customFormat="false" ht="14.25" hidden="false" customHeight="false" outlineLevel="0" collapsed="false">
      <c r="A537" s="1" t="s">
        <v>1227</v>
      </c>
      <c r="B537" s="1" t="s">
        <v>1228</v>
      </c>
      <c r="C537" s="2" t="n">
        <v>197</v>
      </c>
      <c r="D537" s="1" t="s">
        <v>1021</v>
      </c>
      <c r="E537" s="1" t="s">
        <v>1229</v>
      </c>
      <c r="F537" s="2" t="n">
        <v>5511932216166</v>
      </c>
      <c r="G537" s="1" t="s">
        <v>1230</v>
      </c>
      <c r="H537" s="1" t="s">
        <v>94</v>
      </c>
      <c r="I537" s="1" t="s">
        <v>50</v>
      </c>
      <c r="N537" s="1" t="s">
        <v>965</v>
      </c>
    </row>
    <row r="538" customFormat="false" ht="14.25" hidden="false" customHeight="false" outlineLevel="0" collapsed="false">
      <c r="A538" s="1" t="s">
        <v>1231</v>
      </c>
      <c r="B538" s="1" t="s">
        <v>1232</v>
      </c>
      <c r="C538" s="2" t="n">
        <v>147</v>
      </c>
      <c r="D538" s="1" t="s">
        <v>390</v>
      </c>
      <c r="E538" s="1" t="s">
        <v>1232</v>
      </c>
      <c r="F538" s="2" t="n">
        <v>554198218403</v>
      </c>
      <c r="G538" s="1" t="s">
        <v>1233</v>
      </c>
      <c r="H538" s="1" t="s">
        <v>94</v>
      </c>
      <c r="I538" s="1" t="s">
        <v>50</v>
      </c>
      <c r="N538" s="1" t="s">
        <v>965</v>
      </c>
    </row>
    <row r="539" customFormat="false" ht="14.25" hidden="false" customHeight="false" outlineLevel="0" collapsed="false">
      <c r="A539" s="1" t="s">
        <v>1234</v>
      </c>
      <c r="B539" s="1" t="s">
        <v>1235</v>
      </c>
      <c r="C539" s="2" t="n">
        <v>244</v>
      </c>
      <c r="D539" s="1" t="s">
        <v>20</v>
      </c>
      <c r="E539" s="1" t="s">
        <v>1235</v>
      </c>
      <c r="F539" s="2" t="n">
        <v>554199744863</v>
      </c>
      <c r="G539" s="1" t="s">
        <v>1236</v>
      </c>
      <c r="H539" s="1" t="s">
        <v>94</v>
      </c>
      <c r="I539" s="1" t="s">
        <v>50</v>
      </c>
      <c r="N539" s="1" t="s">
        <v>965</v>
      </c>
    </row>
    <row r="540" customFormat="false" ht="14.25" hidden="false" customHeight="false" outlineLevel="0" collapsed="false">
      <c r="A540" s="1" t="s">
        <v>1237</v>
      </c>
      <c r="B540" s="1" t="s">
        <v>1238</v>
      </c>
      <c r="C540" s="2" t="n">
        <v>367</v>
      </c>
      <c r="D540" s="1" t="s">
        <v>390</v>
      </c>
      <c r="E540" s="1" t="s">
        <v>1238</v>
      </c>
      <c r="F540" s="2" t="n">
        <v>557581266204</v>
      </c>
      <c r="G540" s="1" t="n">
        <v>0</v>
      </c>
      <c r="H540" s="1" t="s">
        <v>94</v>
      </c>
      <c r="I540" s="1" t="s">
        <v>50</v>
      </c>
      <c r="N540" s="1" t="s">
        <v>965</v>
      </c>
    </row>
    <row r="541" customFormat="false" ht="14.25" hidden="false" customHeight="false" outlineLevel="0" collapsed="false">
      <c r="A541" s="1" t="s">
        <v>1239</v>
      </c>
      <c r="B541" s="1" t="s">
        <v>1240</v>
      </c>
      <c r="C541" s="2" t="n">
        <v>150</v>
      </c>
      <c r="D541" s="1" t="s">
        <v>32</v>
      </c>
      <c r="E541" s="1" t="s">
        <v>1240</v>
      </c>
      <c r="F541" s="2" t="n">
        <v>559584294505</v>
      </c>
      <c r="G541" s="1" t="s">
        <v>1241</v>
      </c>
      <c r="H541" s="1" t="s">
        <v>94</v>
      </c>
      <c r="I541" s="1" t="s">
        <v>355</v>
      </c>
      <c r="J541" s="1" t="s">
        <v>1176</v>
      </c>
      <c r="K541" s="1" t="s">
        <v>1177</v>
      </c>
      <c r="L541" s="1" t="s">
        <v>1242</v>
      </c>
      <c r="M541" s="1" t="s">
        <v>1243</v>
      </c>
      <c r="N541" s="1" t="s">
        <v>965</v>
      </c>
    </row>
    <row r="542" customFormat="false" ht="14.25" hidden="false" customHeight="false" outlineLevel="0" collapsed="false">
      <c r="A542" s="1" t="s">
        <v>1244</v>
      </c>
      <c r="B542" s="1" t="s">
        <v>1245</v>
      </c>
      <c r="C542" s="2" t="n">
        <v>150</v>
      </c>
      <c r="D542" s="1" t="s">
        <v>32</v>
      </c>
      <c r="E542" s="1" t="s">
        <v>1245</v>
      </c>
      <c r="F542" s="2" t="n">
        <v>554797307888</v>
      </c>
      <c r="G542" s="1" t="s">
        <v>1246</v>
      </c>
      <c r="H542" s="1" t="s">
        <v>94</v>
      </c>
      <c r="I542" s="1" t="s">
        <v>50</v>
      </c>
      <c r="N542" s="1" t="s">
        <v>965</v>
      </c>
    </row>
    <row r="543" customFormat="false" ht="14.25" hidden="false" customHeight="false" outlineLevel="0" collapsed="false">
      <c r="A543" s="1" t="s">
        <v>1247</v>
      </c>
      <c r="B543" s="1" t="s">
        <v>897</v>
      </c>
      <c r="C543" s="2" t="n">
        <v>197</v>
      </c>
      <c r="D543" s="1" t="s">
        <v>1021</v>
      </c>
      <c r="E543" s="1" t="s">
        <v>897</v>
      </c>
      <c r="F543" s="2" t="n">
        <v>556298148841</v>
      </c>
      <c r="G543" s="1" t="s">
        <v>898</v>
      </c>
      <c r="H543" s="1" t="s">
        <v>94</v>
      </c>
      <c r="I543" s="1" t="s">
        <v>54</v>
      </c>
      <c r="N543" s="1" t="s">
        <v>1022</v>
      </c>
    </row>
    <row r="544" customFormat="false" ht="14.25" hidden="false" customHeight="false" outlineLevel="0" collapsed="false">
      <c r="A544" s="1" t="s">
        <v>1248</v>
      </c>
      <c r="B544" s="1" t="s">
        <v>1249</v>
      </c>
      <c r="C544" s="2" t="n">
        <v>900</v>
      </c>
      <c r="D544" s="1" t="s">
        <v>27</v>
      </c>
      <c r="E544" s="1" t="s">
        <v>1249</v>
      </c>
      <c r="F544" s="2" t="n">
        <v>555499935802</v>
      </c>
      <c r="G544" s="1" t="s">
        <v>1250</v>
      </c>
      <c r="H544" s="1" t="s">
        <v>94</v>
      </c>
      <c r="I544" s="1" t="s">
        <v>54</v>
      </c>
      <c r="N544" s="1" t="s">
        <v>1022</v>
      </c>
    </row>
    <row r="545" customFormat="false" ht="14.25" hidden="false" customHeight="false" outlineLevel="0" collapsed="false">
      <c r="A545" s="1" t="s">
        <v>1251</v>
      </c>
      <c r="B545" s="1" t="s">
        <v>842</v>
      </c>
      <c r="C545" s="2" t="n">
        <v>500</v>
      </c>
      <c r="D545" s="1" t="s">
        <v>27</v>
      </c>
      <c r="E545" s="1" t="s">
        <v>842</v>
      </c>
      <c r="F545" s="2" t="n">
        <v>5511916718221</v>
      </c>
      <c r="G545" s="1" t="s">
        <v>843</v>
      </c>
      <c r="H545" s="1" t="s">
        <v>94</v>
      </c>
      <c r="I545" s="1" t="s">
        <v>34</v>
      </c>
      <c r="N545" s="1" t="s">
        <v>965</v>
      </c>
    </row>
    <row r="546" customFormat="false" ht="14.25" hidden="false" customHeight="false" outlineLevel="0" collapsed="false">
      <c r="A546" s="1" t="s">
        <v>1252</v>
      </c>
      <c r="B546" s="1" t="s">
        <v>1253</v>
      </c>
      <c r="C546" s="2" t="n">
        <v>149</v>
      </c>
      <c r="D546" s="1" t="s">
        <v>21</v>
      </c>
      <c r="E546" s="1" t="s">
        <v>1253</v>
      </c>
      <c r="F546" s="2" t="n">
        <v>559591756033</v>
      </c>
      <c r="G546" s="1" t="s">
        <v>1254</v>
      </c>
      <c r="H546" s="1" t="s">
        <v>94</v>
      </c>
      <c r="I546" s="1" t="s">
        <v>149</v>
      </c>
      <c r="N546" s="1" t="s">
        <v>965</v>
      </c>
    </row>
    <row r="547" customFormat="false" ht="14.25" hidden="false" customHeight="false" outlineLevel="0" collapsed="false">
      <c r="A547" s="1" t="s">
        <v>1255</v>
      </c>
      <c r="B547" s="1" t="s">
        <v>644</v>
      </c>
      <c r="C547" s="2" t="n">
        <v>500</v>
      </c>
      <c r="D547" s="1" t="s">
        <v>27</v>
      </c>
      <c r="E547" s="1" t="s">
        <v>644</v>
      </c>
      <c r="F547" s="2" t="n">
        <v>554184753747</v>
      </c>
      <c r="G547" s="1" t="s">
        <v>645</v>
      </c>
      <c r="H547" s="1" t="s">
        <v>94</v>
      </c>
      <c r="I547" s="1" t="s">
        <v>149</v>
      </c>
      <c r="N547" s="1" t="s">
        <v>965</v>
      </c>
    </row>
    <row r="548" customFormat="false" ht="14.25" hidden="false" customHeight="false" outlineLevel="0" collapsed="false">
      <c r="A548" s="1" t="s">
        <v>1256</v>
      </c>
      <c r="B548" s="1" t="s">
        <v>767</v>
      </c>
      <c r="C548" s="2" t="n">
        <v>75</v>
      </c>
      <c r="D548" s="1" t="s">
        <v>390</v>
      </c>
      <c r="E548" s="1" t="s">
        <v>767</v>
      </c>
      <c r="F548" s="2" t="n">
        <v>558596624436</v>
      </c>
      <c r="G548" s="1" t="s">
        <v>768</v>
      </c>
      <c r="H548" s="1" t="s">
        <v>94</v>
      </c>
      <c r="I548" s="1" t="s">
        <v>50</v>
      </c>
      <c r="N548" s="1" t="s">
        <v>965</v>
      </c>
    </row>
    <row r="549" customFormat="false" ht="14.25" hidden="false" customHeight="false" outlineLevel="0" collapsed="false">
      <c r="A549" s="1" t="s">
        <v>1257</v>
      </c>
      <c r="B549" s="1" t="s">
        <v>143</v>
      </c>
      <c r="C549" s="2" t="n">
        <v>250</v>
      </c>
      <c r="D549" s="1" t="s">
        <v>106</v>
      </c>
      <c r="E549" s="1" t="s">
        <v>143</v>
      </c>
      <c r="F549" s="2" t="n">
        <v>5519989668621</v>
      </c>
      <c r="G549" s="1" t="s">
        <v>144</v>
      </c>
      <c r="H549" s="1" t="s">
        <v>94</v>
      </c>
      <c r="I549" s="1" t="s">
        <v>50</v>
      </c>
      <c r="N549" s="1" t="s">
        <v>965</v>
      </c>
    </row>
    <row r="550" customFormat="false" ht="14.25" hidden="false" customHeight="false" outlineLevel="0" collapsed="false">
      <c r="A550" s="1" t="s">
        <v>1258</v>
      </c>
      <c r="B550" s="1" t="s">
        <v>1103</v>
      </c>
      <c r="C550" s="2" t="n">
        <v>100</v>
      </c>
      <c r="D550" s="1" t="s">
        <v>30</v>
      </c>
      <c r="E550" s="1" t="s">
        <v>960</v>
      </c>
      <c r="F550" s="2" t="n">
        <v>553491516413</v>
      </c>
      <c r="G550" s="1" t="s">
        <v>961</v>
      </c>
      <c r="H550" s="1" t="s">
        <v>94</v>
      </c>
      <c r="I550" s="1" t="s">
        <v>54</v>
      </c>
      <c r="N550" s="1" t="s">
        <v>1022</v>
      </c>
    </row>
    <row r="551" customFormat="false" ht="14.25" hidden="false" customHeight="false" outlineLevel="0" collapsed="false">
      <c r="A551" s="1" t="s">
        <v>1259</v>
      </c>
      <c r="B551" s="1" t="s">
        <v>1260</v>
      </c>
      <c r="C551" s="2" t="n">
        <v>1500</v>
      </c>
      <c r="D551" s="1" t="s">
        <v>27</v>
      </c>
      <c r="E551" s="1" t="s">
        <v>1260</v>
      </c>
      <c r="F551" s="2" t="n">
        <v>554197169992</v>
      </c>
      <c r="G551" s="1" t="s">
        <v>1261</v>
      </c>
      <c r="H551" s="1" t="s">
        <v>94</v>
      </c>
      <c r="I551" s="1" t="s">
        <v>355</v>
      </c>
      <c r="N551" s="1" t="s">
        <v>965</v>
      </c>
    </row>
    <row r="552" customFormat="false" ht="14.25" hidden="false" customHeight="false" outlineLevel="0" collapsed="false">
      <c r="A552" s="1" t="s">
        <v>1262</v>
      </c>
      <c r="B552" s="1" t="s">
        <v>912</v>
      </c>
      <c r="C552" s="2" t="n">
        <v>180</v>
      </c>
      <c r="D552" s="1" t="s">
        <v>30</v>
      </c>
      <c r="E552" s="1" t="s">
        <v>1263</v>
      </c>
      <c r="F552" s="2" t="n">
        <v>5519992392675</v>
      </c>
      <c r="G552" s="1" t="s">
        <v>1264</v>
      </c>
      <c r="H552" s="1" t="s">
        <v>94</v>
      </c>
      <c r="I552" s="1" t="s">
        <v>50</v>
      </c>
      <c r="N552" s="1" t="s">
        <v>965</v>
      </c>
    </row>
    <row r="553" customFormat="false" ht="14.25" hidden="false" customHeight="false" outlineLevel="0" collapsed="false">
      <c r="A553" s="1" t="s">
        <v>1265</v>
      </c>
      <c r="B553" s="1" t="s">
        <v>912</v>
      </c>
      <c r="C553" s="2" t="n">
        <v>194</v>
      </c>
      <c r="D553" s="1" t="s">
        <v>20</v>
      </c>
      <c r="E553" s="1" t="s">
        <v>1263</v>
      </c>
      <c r="F553" s="2" t="n">
        <v>5519992392675</v>
      </c>
      <c r="G553" s="1" t="s">
        <v>1264</v>
      </c>
      <c r="H553" s="1" t="s">
        <v>94</v>
      </c>
      <c r="I553" s="1" t="s">
        <v>50</v>
      </c>
      <c r="N553" s="1" t="s">
        <v>965</v>
      </c>
    </row>
    <row r="554" customFormat="false" ht="14.25" hidden="false" customHeight="false" outlineLevel="0" collapsed="false">
      <c r="A554" s="1" t="s">
        <v>1266</v>
      </c>
      <c r="B554" s="1" t="s">
        <v>1267</v>
      </c>
      <c r="C554" s="2" t="n">
        <v>147</v>
      </c>
      <c r="D554" s="1" t="s">
        <v>390</v>
      </c>
      <c r="E554" s="1" t="s">
        <v>1267</v>
      </c>
      <c r="F554" s="2" t="n">
        <v>554198194655</v>
      </c>
      <c r="G554" s="1" t="s">
        <v>1268</v>
      </c>
      <c r="H554" s="1" t="s">
        <v>94</v>
      </c>
      <c r="I554" s="1" t="s">
        <v>34</v>
      </c>
      <c r="J554" s="1" t="s">
        <v>35</v>
      </c>
      <c r="K554" s="1" t="s">
        <v>69</v>
      </c>
      <c r="L554" s="1" t="s">
        <v>70</v>
      </c>
      <c r="M554" s="1" t="s">
        <v>38</v>
      </c>
      <c r="N554" s="1" t="s">
        <v>965</v>
      </c>
    </row>
    <row r="555" customFormat="false" ht="14.25" hidden="false" customHeight="false" outlineLevel="0" collapsed="false">
      <c r="A555" s="1" t="s">
        <v>1269</v>
      </c>
      <c r="B555" s="1" t="s">
        <v>613</v>
      </c>
      <c r="C555" s="2" t="n">
        <v>180</v>
      </c>
      <c r="D555" s="1" t="s">
        <v>21</v>
      </c>
      <c r="E555" s="1" t="s">
        <v>613</v>
      </c>
      <c r="F555" s="2" t="n">
        <v>554891328250</v>
      </c>
      <c r="G555" s="1" t="s">
        <v>1270</v>
      </c>
      <c r="H555" s="1" t="s">
        <v>94</v>
      </c>
      <c r="I555" s="1" t="s">
        <v>54</v>
      </c>
      <c r="N555" s="1" t="s">
        <v>1022</v>
      </c>
    </row>
    <row r="556" customFormat="false" ht="14.25" hidden="false" customHeight="false" outlineLevel="0" collapsed="false">
      <c r="A556" s="1" t="s">
        <v>1271</v>
      </c>
      <c r="B556" s="1" t="s">
        <v>1272</v>
      </c>
      <c r="C556" s="2" t="n">
        <v>147</v>
      </c>
      <c r="D556" s="1" t="s">
        <v>22</v>
      </c>
      <c r="E556" s="1" t="s">
        <v>1272</v>
      </c>
      <c r="F556" s="2" t="n">
        <v>554598357193</v>
      </c>
      <c r="G556" s="1" t="s">
        <v>872</v>
      </c>
      <c r="H556" s="1" t="s">
        <v>94</v>
      </c>
      <c r="I556" s="1" t="s">
        <v>54</v>
      </c>
      <c r="N556" s="1" t="s">
        <v>1022</v>
      </c>
    </row>
    <row r="557" customFormat="false" ht="14.25" hidden="false" customHeight="false" outlineLevel="0" collapsed="false">
      <c r="A557" s="1" t="s">
        <v>1273</v>
      </c>
      <c r="B557" s="1" t="s">
        <v>1274</v>
      </c>
      <c r="C557" s="2" t="n">
        <v>222</v>
      </c>
      <c r="D557" s="1" t="s">
        <v>18</v>
      </c>
      <c r="E557" s="1" t="s">
        <v>1274</v>
      </c>
      <c r="F557" s="2" t="n">
        <v>559191317072</v>
      </c>
      <c r="G557" s="1" t="s">
        <v>1275</v>
      </c>
      <c r="H557" s="1" t="s">
        <v>94</v>
      </c>
      <c r="I557" s="1" t="s">
        <v>355</v>
      </c>
      <c r="N557" s="1" t="s">
        <v>965</v>
      </c>
    </row>
    <row r="558" customFormat="false" ht="14.25" hidden="false" customHeight="false" outlineLevel="0" collapsed="false">
      <c r="A558" s="1" t="s">
        <v>1276</v>
      </c>
      <c r="B558" s="1" t="s">
        <v>1277</v>
      </c>
      <c r="C558" s="2" t="n">
        <v>200</v>
      </c>
      <c r="D558" s="1" t="s">
        <v>20</v>
      </c>
      <c r="E558" s="1" t="s">
        <v>1278</v>
      </c>
      <c r="F558" s="2" t="n">
        <v>5527988445838</v>
      </c>
      <c r="G558" s="1" t="s">
        <v>1279</v>
      </c>
      <c r="H558" s="1" t="s">
        <v>94</v>
      </c>
      <c r="I558" s="1" t="s">
        <v>54</v>
      </c>
      <c r="N558" s="1" t="s">
        <v>1022</v>
      </c>
    </row>
    <row r="559" customFormat="false" ht="14.25" hidden="false" customHeight="false" outlineLevel="0" collapsed="false">
      <c r="A559" s="1" t="s">
        <v>1280</v>
      </c>
      <c r="B559" s="1" t="s">
        <v>1281</v>
      </c>
      <c r="C559" s="2" t="n">
        <v>150</v>
      </c>
      <c r="D559" s="1" t="s">
        <v>32</v>
      </c>
      <c r="E559" s="1" t="s">
        <v>1282</v>
      </c>
      <c r="F559" s="2" t="n">
        <v>556281304277</v>
      </c>
      <c r="G559" s="1" t="s">
        <v>1283</v>
      </c>
      <c r="H559" s="1" t="s">
        <v>94</v>
      </c>
      <c r="I559" s="1" t="s">
        <v>50</v>
      </c>
      <c r="N559" s="1" t="s">
        <v>965</v>
      </c>
    </row>
    <row r="560" customFormat="false" ht="14.25" hidden="false" customHeight="false" outlineLevel="0" collapsed="false">
      <c r="A560" s="1" t="s">
        <v>1284</v>
      </c>
      <c r="B560" s="1" t="s">
        <v>1285</v>
      </c>
      <c r="C560" s="2" t="n">
        <v>147</v>
      </c>
      <c r="D560" s="1" t="s">
        <v>390</v>
      </c>
      <c r="E560" s="1" t="s">
        <v>1285</v>
      </c>
      <c r="F560" s="2" t="n">
        <v>559584303962</v>
      </c>
      <c r="G560" s="1" t="s">
        <v>1286</v>
      </c>
      <c r="H560" s="1" t="s">
        <v>94</v>
      </c>
      <c r="I560" s="1" t="s">
        <v>54</v>
      </c>
      <c r="N560" s="1" t="s">
        <v>1022</v>
      </c>
    </row>
    <row r="561" customFormat="false" ht="14.25" hidden="false" customHeight="false" outlineLevel="0" collapsed="false">
      <c r="A561" s="1" t="s">
        <v>1287</v>
      </c>
      <c r="B561" s="1" t="s">
        <v>1288</v>
      </c>
      <c r="C561" s="2" t="n">
        <v>97</v>
      </c>
      <c r="D561" s="1" t="s">
        <v>20</v>
      </c>
      <c r="E561" s="1" t="s">
        <v>1288</v>
      </c>
      <c r="F561" s="2" t="n">
        <v>554892235520</v>
      </c>
      <c r="G561" s="1" t="s">
        <v>1289</v>
      </c>
      <c r="H561" s="1" t="s">
        <v>94</v>
      </c>
      <c r="I561" s="1" t="s">
        <v>50</v>
      </c>
      <c r="N561" s="1" t="s">
        <v>965</v>
      </c>
    </row>
    <row r="562" customFormat="false" ht="14.25" hidden="false" customHeight="false" outlineLevel="0" collapsed="false">
      <c r="A562" s="1" t="s">
        <v>1290</v>
      </c>
      <c r="B562" s="1" t="s">
        <v>1291</v>
      </c>
      <c r="C562" s="2" t="n">
        <v>147</v>
      </c>
      <c r="D562" s="1" t="s">
        <v>22</v>
      </c>
      <c r="E562" s="1" t="s">
        <v>1291</v>
      </c>
      <c r="F562" s="2" t="n">
        <v>559684029500</v>
      </c>
      <c r="G562" s="1" t="s">
        <v>1292</v>
      </c>
      <c r="H562" s="1" t="s">
        <v>94</v>
      </c>
      <c r="I562" s="1" t="s">
        <v>34</v>
      </c>
      <c r="N562" s="1" t="s">
        <v>965</v>
      </c>
    </row>
    <row r="563" customFormat="false" ht="14.25" hidden="false" customHeight="false" outlineLevel="0" collapsed="false">
      <c r="A563" s="1" t="s">
        <v>1293</v>
      </c>
      <c r="B563" s="1" t="s">
        <v>1294</v>
      </c>
      <c r="C563" s="2" t="n">
        <v>97</v>
      </c>
      <c r="D563" s="1" t="s">
        <v>20</v>
      </c>
      <c r="E563" s="1" t="s">
        <v>854</v>
      </c>
      <c r="F563" s="2" t="n">
        <v>559584081146</v>
      </c>
      <c r="G563" s="1" t="s">
        <v>1295</v>
      </c>
      <c r="H563" s="1" t="s">
        <v>94</v>
      </c>
      <c r="I563" s="1" t="s">
        <v>54</v>
      </c>
      <c r="N563" s="1" t="s">
        <v>1022</v>
      </c>
    </row>
    <row r="564" customFormat="false" ht="14.25" hidden="false" customHeight="false" outlineLevel="0" collapsed="false">
      <c r="A564" s="1" t="s">
        <v>1296</v>
      </c>
      <c r="B564" s="1" t="s">
        <v>1297</v>
      </c>
      <c r="C564" s="2" t="n">
        <v>369</v>
      </c>
      <c r="D564" s="1" t="s">
        <v>21</v>
      </c>
      <c r="E564" s="1" t="s">
        <v>1297</v>
      </c>
      <c r="F564" s="2" t="n">
        <v>554820005875</v>
      </c>
      <c r="G564" s="1" t="s">
        <v>43</v>
      </c>
      <c r="H564" s="1" t="s">
        <v>94</v>
      </c>
      <c r="I564" s="1" t="s">
        <v>54</v>
      </c>
      <c r="N564" s="1" t="s">
        <v>965</v>
      </c>
    </row>
    <row r="565" customFormat="false" ht="14.25" hidden="false" customHeight="false" outlineLevel="0" collapsed="false">
      <c r="A565" s="1" t="s">
        <v>1298</v>
      </c>
      <c r="B565" s="1" t="s">
        <v>1299</v>
      </c>
      <c r="C565" s="2" t="n">
        <v>150</v>
      </c>
      <c r="D565" s="1" t="s">
        <v>32</v>
      </c>
      <c r="E565" s="1" t="s">
        <v>1300</v>
      </c>
      <c r="F565" s="2" t="n">
        <v>553491539667</v>
      </c>
      <c r="G565" s="1" t="s">
        <v>1301</v>
      </c>
      <c r="H565" s="1" t="s">
        <v>94</v>
      </c>
      <c r="I565" s="1" t="s">
        <v>355</v>
      </c>
      <c r="N565" s="1" t="s">
        <v>965</v>
      </c>
    </row>
    <row r="566" customFormat="false" ht="14.25" hidden="false" customHeight="false" outlineLevel="0" collapsed="false">
      <c r="A566" s="1" t="s">
        <v>1302</v>
      </c>
      <c r="B566" s="1" t="s">
        <v>1303</v>
      </c>
      <c r="C566" s="2" t="n">
        <v>150</v>
      </c>
      <c r="D566" s="1" t="s">
        <v>32</v>
      </c>
      <c r="E566" s="1" t="s">
        <v>1303</v>
      </c>
      <c r="F566" s="2" t="n">
        <v>556291721257</v>
      </c>
      <c r="G566" s="1" t="s">
        <v>43</v>
      </c>
      <c r="H566" s="1" t="s">
        <v>1304</v>
      </c>
      <c r="I566" s="1" t="s">
        <v>34</v>
      </c>
      <c r="N566" s="1" t="s">
        <v>965</v>
      </c>
    </row>
    <row r="567" customFormat="false" ht="14.25" hidden="false" customHeight="false" outlineLevel="0" collapsed="false">
      <c r="A567" s="1" t="s">
        <v>1305</v>
      </c>
      <c r="B567" s="1" t="s">
        <v>1306</v>
      </c>
      <c r="C567" s="2" t="n">
        <v>150</v>
      </c>
      <c r="D567" s="1" t="s">
        <v>390</v>
      </c>
      <c r="E567" s="1" t="s">
        <v>1306</v>
      </c>
      <c r="F567" s="2" t="n">
        <v>556599736852</v>
      </c>
      <c r="G567" s="1" t="s">
        <v>1307</v>
      </c>
      <c r="H567" s="1" t="s">
        <v>94</v>
      </c>
      <c r="I567" s="1" t="s">
        <v>54</v>
      </c>
      <c r="N567" s="1" t="s">
        <v>965</v>
      </c>
    </row>
    <row r="568" customFormat="false" ht="14.25" hidden="false" customHeight="false" outlineLevel="0" collapsed="false">
      <c r="A568" s="1" t="s">
        <v>1308</v>
      </c>
      <c r="B568" s="1" t="s">
        <v>1309</v>
      </c>
      <c r="C568" s="2" t="n">
        <v>97</v>
      </c>
      <c r="D568" s="1" t="s">
        <v>20</v>
      </c>
      <c r="E568" s="1" t="s">
        <v>1309</v>
      </c>
      <c r="F568" s="2" t="n">
        <v>559584215058</v>
      </c>
      <c r="G568" s="1" t="s">
        <v>1310</v>
      </c>
      <c r="H568" s="1" t="s">
        <v>94</v>
      </c>
      <c r="I568" s="1" t="s">
        <v>355</v>
      </c>
      <c r="J568" s="1" t="s">
        <v>60</v>
      </c>
      <c r="K568" s="1" t="s">
        <v>27</v>
      </c>
      <c r="L568" s="1" t="s">
        <v>221</v>
      </c>
      <c r="M568" s="1" t="s">
        <v>62</v>
      </c>
      <c r="N568" s="1" t="s">
        <v>965</v>
      </c>
    </row>
    <row r="569" customFormat="false" ht="14.25" hidden="false" customHeight="false" outlineLevel="0" collapsed="false">
      <c r="A569" s="1" t="s">
        <v>1311</v>
      </c>
      <c r="B569" s="1" t="s">
        <v>1312</v>
      </c>
      <c r="C569" s="2" t="n">
        <v>388</v>
      </c>
      <c r="D569" s="1" t="s">
        <v>20</v>
      </c>
      <c r="E569" s="1" t="s">
        <v>1312</v>
      </c>
      <c r="F569" s="2" t="n">
        <v>554799105471</v>
      </c>
      <c r="G569" s="1" t="s">
        <v>1313</v>
      </c>
      <c r="H569" s="1" t="s">
        <v>94</v>
      </c>
      <c r="I569" s="1" t="s">
        <v>355</v>
      </c>
      <c r="J569" s="1" t="s">
        <v>35</v>
      </c>
      <c r="K569" s="1" t="s">
        <v>272</v>
      </c>
      <c r="L569" s="1" t="s">
        <v>273</v>
      </c>
      <c r="M569" s="1" t="s">
        <v>38</v>
      </c>
      <c r="N569" s="1" t="s">
        <v>965</v>
      </c>
    </row>
    <row r="570" customFormat="false" ht="14.25" hidden="false" customHeight="false" outlineLevel="0" collapsed="false">
      <c r="A570" s="1" t="s">
        <v>1314</v>
      </c>
      <c r="B570" s="1" t="s">
        <v>1315</v>
      </c>
      <c r="C570" s="2" t="n">
        <v>244</v>
      </c>
      <c r="D570" s="1" t="s">
        <v>20</v>
      </c>
      <c r="E570" s="1" t="s">
        <v>1316</v>
      </c>
      <c r="F570" s="2" t="n">
        <v>5358557775</v>
      </c>
      <c r="G570" s="1" t="s">
        <v>1317</v>
      </c>
      <c r="H570" s="1" t="s">
        <v>94</v>
      </c>
      <c r="I570" s="1" t="s">
        <v>50</v>
      </c>
      <c r="N570" s="1" t="s">
        <v>965</v>
      </c>
    </row>
    <row r="571" customFormat="false" ht="14.25" hidden="false" customHeight="false" outlineLevel="0" collapsed="false">
      <c r="A571" s="1" t="s">
        <v>1318</v>
      </c>
      <c r="B571" s="1" t="s">
        <v>1319</v>
      </c>
      <c r="C571" s="2" t="n">
        <v>150</v>
      </c>
      <c r="D571" s="1" t="s">
        <v>32</v>
      </c>
      <c r="E571" s="1" t="s">
        <v>1320</v>
      </c>
      <c r="F571" s="2" t="n">
        <v>554898099771</v>
      </c>
      <c r="G571" s="1" t="s">
        <v>43</v>
      </c>
      <c r="H571" s="1" t="s">
        <v>94</v>
      </c>
      <c r="I571" s="1" t="s">
        <v>50</v>
      </c>
      <c r="N571" s="1" t="s">
        <v>965</v>
      </c>
    </row>
    <row r="572" customFormat="false" ht="14.25" hidden="false" customHeight="false" outlineLevel="0" collapsed="false">
      <c r="A572" s="1" t="s">
        <v>1321</v>
      </c>
      <c r="B572" s="1" t="s">
        <v>1322</v>
      </c>
      <c r="C572" s="2" t="n">
        <v>120</v>
      </c>
      <c r="D572" s="1" t="s">
        <v>30</v>
      </c>
      <c r="E572" s="1" t="s">
        <v>1322</v>
      </c>
      <c r="F572" s="2" t="n">
        <v>554898064561</v>
      </c>
      <c r="G572" s="1" t="s">
        <v>1323</v>
      </c>
      <c r="H572" s="1" t="s">
        <v>94</v>
      </c>
      <c r="I572" s="1" t="s">
        <v>50</v>
      </c>
      <c r="J572" s="1" t="s">
        <v>1176</v>
      </c>
      <c r="K572" s="1" t="s">
        <v>1177</v>
      </c>
      <c r="L572" s="1" t="s">
        <v>1324</v>
      </c>
      <c r="M572" s="1" t="s">
        <v>1243</v>
      </c>
      <c r="N572" s="1" t="s">
        <v>965</v>
      </c>
    </row>
    <row r="573" customFormat="false" ht="14.25" hidden="false" customHeight="false" outlineLevel="0" collapsed="false">
      <c r="A573" s="1" t="s">
        <v>1325</v>
      </c>
      <c r="B573" s="1" t="s">
        <v>1326</v>
      </c>
      <c r="C573" s="2" t="n">
        <v>147</v>
      </c>
      <c r="D573" s="1" t="s">
        <v>390</v>
      </c>
      <c r="E573" s="1" t="s">
        <v>1326</v>
      </c>
      <c r="F573" s="2" t="n">
        <v>554199416289</v>
      </c>
      <c r="G573" s="1" t="s">
        <v>1327</v>
      </c>
      <c r="H573" s="1" t="s">
        <v>94</v>
      </c>
      <c r="I573" s="1" t="s">
        <v>355</v>
      </c>
      <c r="N573" s="1" t="s">
        <v>965</v>
      </c>
    </row>
    <row r="574" customFormat="false" ht="14.25" hidden="false" customHeight="false" outlineLevel="0" collapsed="false">
      <c r="A574" s="1" t="s">
        <v>1328</v>
      </c>
      <c r="B574" s="1" t="s">
        <v>1326</v>
      </c>
      <c r="C574" s="2" t="n">
        <v>120</v>
      </c>
      <c r="D574" s="1" t="s">
        <v>21</v>
      </c>
      <c r="E574" s="1" t="s">
        <v>1326</v>
      </c>
      <c r="F574" s="2" t="n">
        <v>554199416289</v>
      </c>
      <c r="G574" s="1" t="s">
        <v>1327</v>
      </c>
      <c r="H574" s="1" t="s">
        <v>94</v>
      </c>
      <c r="I574" s="1" t="s">
        <v>355</v>
      </c>
      <c r="N574" s="1" t="s">
        <v>965</v>
      </c>
    </row>
    <row r="575" customFormat="false" ht="14.25" hidden="false" customHeight="false" outlineLevel="0" collapsed="false">
      <c r="A575" s="1" t="s">
        <v>1329</v>
      </c>
      <c r="B575" s="1" t="s">
        <v>1330</v>
      </c>
      <c r="C575" s="2" t="n">
        <v>150</v>
      </c>
      <c r="D575" s="1" t="s">
        <v>32</v>
      </c>
      <c r="E575" s="1" t="s">
        <v>1330</v>
      </c>
      <c r="F575" s="2" t="n">
        <v>556596713278</v>
      </c>
      <c r="G575" s="1" t="s">
        <v>1331</v>
      </c>
      <c r="H575" s="1" t="s">
        <v>94</v>
      </c>
      <c r="I575" s="1" t="s">
        <v>355</v>
      </c>
      <c r="N575" s="1" t="s">
        <v>965</v>
      </c>
    </row>
    <row r="576" customFormat="false" ht="14.25" hidden="false" customHeight="false" outlineLevel="0" collapsed="false">
      <c r="A576" s="1" t="s">
        <v>1332</v>
      </c>
      <c r="B576" s="1" t="s">
        <v>1333</v>
      </c>
      <c r="C576" s="2" t="n">
        <v>120</v>
      </c>
      <c r="D576" s="1" t="s">
        <v>21</v>
      </c>
      <c r="E576" s="1" t="s">
        <v>1334</v>
      </c>
      <c r="F576" s="2" t="n">
        <v>559574003085</v>
      </c>
      <c r="G576" s="1" t="s">
        <v>1335</v>
      </c>
      <c r="H576" s="1" t="s">
        <v>94</v>
      </c>
      <c r="I576" s="1" t="s">
        <v>355</v>
      </c>
      <c r="N576" s="1" t="s">
        <v>965</v>
      </c>
    </row>
    <row r="577" customFormat="false" ht="14.25" hidden="false" customHeight="false" outlineLevel="0" collapsed="false">
      <c r="A577" s="1" t="s">
        <v>1336</v>
      </c>
      <c r="B577" s="1" t="s">
        <v>1337</v>
      </c>
      <c r="C577" s="2" t="n">
        <v>150</v>
      </c>
      <c r="D577" s="1" t="s">
        <v>32</v>
      </c>
      <c r="E577" s="1" t="s">
        <v>1337</v>
      </c>
      <c r="F577" s="2" t="n">
        <v>554195298746</v>
      </c>
      <c r="G577" s="1" t="s">
        <v>1338</v>
      </c>
      <c r="H577" s="1" t="s">
        <v>94</v>
      </c>
      <c r="I577" s="1" t="s">
        <v>50</v>
      </c>
      <c r="J577" s="1" t="s">
        <v>1176</v>
      </c>
      <c r="K577" s="1" t="s">
        <v>1177</v>
      </c>
      <c r="L577" s="1" t="s">
        <v>1324</v>
      </c>
      <c r="M577" s="1" t="s">
        <v>1243</v>
      </c>
      <c r="N577" s="1" t="s">
        <v>965</v>
      </c>
    </row>
    <row r="578" customFormat="false" ht="14.25" hidden="false" customHeight="false" outlineLevel="0" collapsed="false">
      <c r="A578" s="1" t="s">
        <v>1339</v>
      </c>
      <c r="B578" s="1" t="s">
        <v>1340</v>
      </c>
      <c r="C578" s="2" t="n">
        <v>147</v>
      </c>
      <c r="D578" s="1" t="s">
        <v>18</v>
      </c>
      <c r="E578" s="1" t="s">
        <v>1340</v>
      </c>
      <c r="F578" s="2" t="n">
        <v>554198341911</v>
      </c>
      <c r="G578" s="1" t="s">
        <v>1341</v>
      </c>
      <c r="H578" s="1" t="s">
        <v>94</v>
      </c>
      <c r="I578" s="1" t="s">
        <v>50</v>
      </c>
      <c r="N578" s="1" t="s">
        <v>965</v>
      </c>
    </row>
    <row r="579" customFormat="false" ht="14.25" hidden="false" customHeight="false" outlineLevel="0" collapsed="false">
      <c r="A579" s="1" t="s">
        <v>1342</v>
      </c>
      <c r="B579" s="1" t="s">
        <v>1343</v>
      </c>
      <c r="C579" s="2" t="n">
        <v>147</v>
      </c>
      <c r="D579" s="1" t="s">
        <v>22</v>
      </c>
      <c r="E579" s="1" t="s">
        <v>1343</v>
      </c>
      <c r="F579" s="2" t="n">
        <v>554888233617</v>
      </c>
      <c r="G579" s="1" t="s">
        <v>1344</v>
      </c>
      <c r="H579" s="1" t="s">
        <v>94</v>
      </c>
      <c r="I579" s="1" t="s">
        <v>50</v>
      </c>
      <c r="N579" s="1" t="s">
        <v>965</v>
      </c>
    </row>
    <row r="580" customFormat="false" ht="14.25" hidden="false" customHeight="false" outlineLevel="0" collapsed="false">
      <c r="A580" s="1" t="s">
        <v>1345</v>
      </c>
      <c r="B580" s="1" t="s">
        <v>1346</v>
      </c>
      <c r="C580" s="2" t="n">
        <v>120</v>
      </c>
      <c r="D580" s="1" t="s">
        <v>21</v>
      </c>
      <c r="E580" s="1" t="s">
        <v>1346</v>
      </c>
      <c r="F580" s="2" t="n">
        <v>559584377071</v>
      </c>
      <c r="G580" s="1" t="s">
        <v>1347</v>
      </c>
      <c r="H580" s="1" t="s">
        <v>94</v>
      </c>
      <c r="I580" s="1" t="s">
        <v>34</v>
      </c>
      <c r="N580" s="1" t="s">
        <v>965</v>
      </c>
    </row>
    <row r="581" customFormat="false" ht="14.25" hidden="false" customHeight="false" outlineLevel="0" collapsed="false">
      <c r="A581" s="1" t="s">
        <v>1348</v>
      </c>
      <c r="B581" s="1" t="s">
        <v>1349</v>
      </c>
      <c r="C581" s="2" t="n">
        <v>150</v>
      </c>
      <c r="D581" s="1" t="s">
        <v>32</v>
      </c>
      <c r="E581" s="1" t="s">
        <v>1349</v>
      </c>
      <c r="F581" s="2" t="n">
        <v>554184117770</v>
      </c>
      <c r="G581" s="1" t="s">
        <v>1350</v>
      </c>
      <c r="H581" s="1" t="s">
        <v>94</v>
      </c>
      <c r="I581" s="1" t="s">
        <v>355</v>
      </c>
      <c r="N581" s="1" t="s">
        <v>965</v>
      </c>
    </row>
    <row r="582" customFormat="false" ht="14.25" hidden="false" customHeight="false" outlineLevel="0" collapsed="false">
      <c r="A582" s="1" t="s">
        <v>1351</v>
      </c>
      <c r="B582" s="1" t="s">
        <v>1352</v>
      </c>
      <c r="C582" s="2" t="n">
        <v>160</v>
      </c>
      <c r="D582" s="1" t="s">
        <v>30</v>
      </c>
      <c r="E582" s="1" t="s">
        <v>1353</v>
      </c>
      <c r="F582" s="2" t="n">
        <v>559584260066</v>
      </c>
      <c r="G582" s="1" t="s">
        <v>1354</v>
      </c>
      <c r="H582" s="1" t="s">
        <v>94</v>
      </c>
      <c r="I582" s="1" t="s">
        <v>54</v>
      </c>
      <c r="N582" s="1" t="s">
        <v>1022</v>
      </c>
    </row>
    <row r="583" customFormat="false" ht="14.25" hidden="false" customHeight="false" outlineLevel="0" collapsed="false">
      <c r="A583" s="1" t="s">
        <v>1355</v>
      </c>
      <c r="B583" s="1" t="s">
        <v>1356</v>
      </c>
      <c r="C583" s="2" t="n">
        <v>145</v>
      </c>
      <c r="D583" s="1" t="s">
        <v>20</v>
      </c>
      <c r="E583" s="1" t="s">
        <v>1357</v>
      </c>
      <c r="F583" s="2" t="n">
        <v>554191126913</v>
      </c>
      <c r="G583" s="1" t="s">
        <v>1358</v>
      </c>
      <c r="H583" s="1" t="s">
        <v>94</v>
      </c>
      <c r="I583" s="1" t="s">
        <v>355</v>
      </c>
      <c r="J583" s="1" t="s">
        <v>35</v>
      </c>
      <c r="K583" s="1" t="s">
        <v>36</v>
      </c>
      <c r="L583" s="1" t="s">
        <v>37</v>
      </c>
      <c r="M583" s="1" t="s">
        <v>38</v>
      </c>
      <c r="N583" s="1" t="s">
        <v>965</v>
      </c>
    </row>
    <row r="584" customFormat="false" ht="14.25" hidden="false" customHeight="false" outlineLevel="0" collapsed="false">
      <c r="A584" s="1" t="s">
        <v>1359</v>
      </c>
      <c r="B584" s="1" t="s">
        <v>1360</v>
      </c>
      <c r="C584" s="2" t="n">
        <v>150</v>
      </c>
      <c r="D584" s="1" t="s">
        <v>32</v>
      </c>
      <c r="E584" s="1" t="s">
        <v>1360</v>
      </c>
      <c r="F584" s="2" t="n">
        <v>5511988036255</v>
      </c>
      <c r="G584" s="1" t="s">
        <v>1361</v>
      </c>
      <c r="H584" s="1" t="s">
        <v>94</v>
      </c>
      <c r="I584" s="1" t="s">
        <v>50</v>
      </c>
      <c r="N584" s="1" t="s">
        <v>965</v>
      </c>
    </row>
    <row r="585" customFormat="false" ht="14.25" hidden="false" customHeight="false" outlineLevel="0" collapsed="false">
      <c r="A585" s="1" t="s">
        <v>1362</v>
      </c>
      <c r="B585" s="1" t="s">
        <v>1363</v>
      </c>
      <c r="C585" s="2" t="n">
        <v>150</v>
      </c>
      <c r="D585" s="1" t="s">
        <v>32</v>
      </c>
      <c r="E585" s="1" t="s">
        <v>1363</v>
      </c>
      <c r="F585" s="2" t="n">
        <v>554998144215</v>
      </c>
      <c r="G585" s="1" t="s">
        <v>1363</v>
      </c>
      <c r="H585" s="1" t="s">
        <v>94</v>
      </c>
      <c r="I585" s="1" t="s">
        <v>34</v>
      </c>
      <c r="N585" s="1" t="s">
        <v>965</v>
      </c>
    </row>
    <row r="586" customFormat="false" ht="14.25" hidden="false" customHeight="false" outlineLevel="0" collapsed="false">
      <c r="A586" s="1" t="s">
        <v>1364</v>
      </c>
      <c r="B586" s="1" t="s">
        <v>1365</v>
      </c>
      <c r="C586" s="2" t="n">
        <v>294</v>
      </c>
      <c r="D586" s="1" t="s">
        <v>21</v>
      </c>
      <c r="E586" s="1" t="s">
        <v>1366</v>
      </c>
      <c r="F586" s="2" t="n">
        <v>555496705292</v>
      </c>
      <c r="G586" s="1" t="s">
        <v>1367</v>
      </c>
      <c r="H586" s="1" t="s">
        <v>94</v>
      </c>
      <c r="I586" s="1" t="s">
        <v>355</v>
      </c>
      <c r="N586" s="1" t="s">
        <v>965</v>
      </c>
    </row>
    <row r="587" customFormat="false" ht="14.25" hidden="false" customHeight="false" outlineLevel="0" collapsed="false">
      <c r="A587" s="1" t="s">
        <v>1368</v>
      </c>
      <c r="B587" s="1" t="s">
        <v>1369</v>
      </c>
      <c r="C587" s="2" t="n">
        <v>147</v>
      </c>
      <c r="D587" s="1" t="s">
        <v>21</v>
      </c>
      <c r="E587" s="1" t="s">
        <v>1370</v>
      </c>
      <c r="F587" s="2" t="n">
        <v>18135737867</v>
      </c>
      <c r="G587" s="1" t="s">
        <v>1371</v>
      </c>
      <c r="H587" s="1" t="s">
        <v>94</v>
      </c>
      <c r="I587" s="1" t="s">
        <v>50</v>
      </c>
      <c r="J587" s="1" t="s">
        <v>97</v>
      </c>
      <c r="K587" s="1" t="s">
        <v>20</v>
      </c>
      <c r="L587" s="1" t="s">
        <v>469</v>
      </c>
      <c r="M587" s="1" t="s">
        <v>99</v>
      </c>
      <c r="N587" s="1" t="s">
        <v>965</v>
      </c>
    </row>
    <row r="588" customFormat="false" ht="14.25" hidden="false" customHeight="false" outlineLevel="0" collapsed="false">
      <c r="A588" s="1" t="s">
        <v>1372</v>
      </c>
      <c r="B588" s="1" t="s">
        <v>1373</v>
      </c>
      <c r="C588" s="2" t="n">
        <v>294</v>
      </c>
      <c r="D588" s="1" t="s">
        <v>22</v>
      </c>
      <c r="E588" s="1" t="s">
        <v>1374</v>
      </c>
      <c r="F588" s="2" t="n">
        <v>59892373641</v>
      </c>
      <c r="G588" s="1" t="s">
        <v>1375</v>
      </c>
      <c r="H588" s="1" t="s">
        <v>94</v>
      </c>
      <c r="I588" s="1" t="s">
        <v>34</v>
      </c>
      <c r="N588" s="1" t="s">
        <v>965</v>
      </c>
    </row>
    <row r="589" customFormat="false" ht="14.25" hidden="false" customHeight="false" outlineLevel="0" collapsed="false">
      <c r="A589" s="1" t="s">
        <v>1372</v>
      </c>
      <c r="B589" s="1" t="s">
        <v>1373</v>
      </c>
      <c r="C589" s="2" t="n">
        <v>294</v>
      </c>
      <c r="D589" s="1" t="s">
        <v>21</v>
      </c>
      <c r="E589" s="1" t="s">
        <v>1374</v>
      </c>
      <c r="F589" s="2" t="n">
        <v>59892373641</v>
      </c>
      <c r="G589" s="1" t="s">
        <v>1375</v>
      </c>
      <c r="H589" s="1" t="s">
        <v>94</v>
      </c>
      <c r="I589" s="1" t="s">
        <v>34</v>
      </c>
      <c r="N589" s="1" t="s">
        <v>965</v>
      </c>
    </row>
    <row r="590" customFormat="false" ht="14.25" hidden="false" customHeight="false" outlineLevel="0" collapsed="false">
      <c r="A590" s="1" t="s">
        <v>1376</v>
      </c>
      <c r="B590" s="1" t="s">
        <v>879</v>
      </c>
      <c r="C590" s="2" t="n">
        <v>75</v>
      </c>
      <c r="D590" s="1" t="s">
        <v>21</v>
      </c>
      <c r="E590" s="1" t="s">
        <v>879</v>
      </c>
      <c r="F590" s="2" t="n">
        <v>556199807330</v>
      </c>
      <c r="G590" s="1" t="s">
        <v>880</v>
      </c>
      <c r="H590" s="1" t="s">
        <v>94</v>
      </c>
      <c r="I590" s="1" t="s">
        <v>50</v>
      </c>
      <c r="N590" s="1" t="s">
        <v>965</v>
      </c>
    </row>
    <row r="591" customFormat="false" ht="14.25" hidden="false" customHeight="false" outlineLevel="0" collapsed="false">
      <c r="A591" s="1" t="s">
        <v>1372</v>
      </c>
      <c r="B591" s="1" t="s">
        <v>1373</v>
      </c>
      <c r="C591" s="2" t="n">
        <v>123</v>
      </c>
      <c r="D591" s="1" t="s">
        <v>18</v>
      </c>
      <c r="E591" s="1" t="s">
        <v>1374</v>
      </c>
      <c r="F591" s="2" t="n">
        <v>59892373641</v>
      </c>
      <c r="G591" s="1" t="s">
        <v>1375</v>
      </c>
      <c r="H591" s="1" t="s">
        <v>94</v>
      </c>
      <c r="I591" s="1" t="s">
        <v>34</v>
      </c>
      <c r="N591" s="1" t="s">
        <v>965</v>
      </c>
    </row>
    <row r="592" customFormat="false" ht="14.25" hidden="false" customHeight="false" outlineLevel="0" collapsed="false">
      <c r="A592" s="1" t="s">
        <v>1377</v>
      </c>
      <c r="B592" s="1" t="s">
        <v>1378</v>
      </c>
      <c r="C592" s="2" t="n">
        <v>150</v>
      </c>
      <c r="D592" s="1" t="s">
        <v>32</v>
      </c>
      <c r="E592" s="1" t="s">
        <v>1378</v>
      </c>
      <c r="F592" s="2" t="n">
        <v>554199549345</v>
      </c>
      <c r="G592" s="1" t="s">
        <v>1379</v>
      </c>
      <c r="H592" s="1" t="s">
        <v>94</v>
      </c>
      <c r="I592" s="1" t="s">
        <v>50</v>
      </c>
      <c r="J592" s="1" t="s">
        <v>1176</v>
      </c>
      <c r="K592" s="1" t="s">
        <v>1177</v>
      </c>
      <c r="L592" s="1" t="s">
        <v>1324</v>
      </c>
      <c r="M592" s="1" t="s">
        <v>1243</v>
      </c>
      <c r="N592" s="1" t="s">
        <v>965</v>
      </c>
    </row>
    <row r="593" customFormat="false" ht="14.25" hidden="false" customHeight="false" outlineLevel="0" collapsed="false">
      <c r="A593" s="1" t="s">
        <v>1380</v>
      </c>
      <c r="B593" s="1" t="s">
        <v>1381</v>
      </c>
      <c r="C593" s="2" t="n">
        <v>300</v>
      </c>
      <c r="D593" s="1" t="s">
        <v>106</v>
      </c>
      <c r="E593" s="1" t="s">
        <v>1381</v>
      </c>
      <c r="F593" s="2" t="n">
        <v>554196550828</v>
      </c>
      <c r="G593" s="1" t="s">
        <v>1382</v>
      </c>
      <c r="H593" s="1" t="s">
        <v>94</v>
      </c>
      <c r="I593" s="1" t="s">
        <v>50</v>
      </c>
      <c r="N593" s="1" t="s">
        <v>965</v>
      </c>
    </row>
    <row r="594" customFormat="false" ht="14.25" hidden="false" customHeight="false" outlineLevel="0" collapsed="false">
      <c r="A594" s="1" t="s">
        <v>1383</v>
      </c>
      <c r="B594" s="1" t="s">
        <v>1384</v>
      </c>
      <c r="C594" s="2" t="n">
        <v>300</v>
      </c>
      <c r="D594" s="1" t="s">
        <v>30</v>
      </c>
      <c r="E594" s="1" t="s">
        <v>1385</v>
      </c>
      <c r="F594" s="2" t="n">
        <v>553497060180</v>
      </c>
      <c r="G594" s="1" t="s">
        <v>1386</v>
      </c>
      <c r="H594" s="1" t="s">
        <v>94</v>
      </c>
      <c r="I594" s="1" t="s">
        <v>355</v>
      </c>
      <c r="N594" s="1" t="s">
        <v>965</v>
      </c>
    </row>
    <row r="595" customFormat="false" ht="14.25" hidden="false" customHeight="false" outlineLevel="0" collapsed="false">
      <c r="A595" s="1" t="s">
        <v>1387</v>
      </c>
      <c r="B595" s="1" t="s">
        <v>1388</v>
      </c>
      <c r="C595" s="2" t="n">
        <v>147</v>
      </c>
      <c r="D595" s="1" t="s">
        <v>390</v>
      </c>
      <c r="E595" s="1" t="s">
        <v>1388</v>
      </c>
      <c r="F595" s="2" t="n">
        <v>554891808764</v>
      </c>
      <c r="G595" s="1" t="s">
        <v>1389</v>
      </c>
      <c r="H595" s="1" t="s">
        <v>94</v>
      </c>
      <c r="I595" s="1" t="s">
        <v>54</v>
      </c>
      <c r="N595" s="1" t="s">
        <v>965</v>
      </c>
    </row>
    <row r="596" customFormat="false" ht="14.25" hidden="false" customHeight="false" outlineLevel="0" collapsed="false">
      <c r="A596" s="1" t="s">
        <v>1390</v>
      </c>
      <c r="B596" s="1" t="s">
        <v>1391</v>
      </c>
      <c r="C596" s="2" t="n">
        <v>97</v>
      </c>
      <c r="D596" s="1" t="s">
        <v>20</v>
      </c>
      <c r="E596" s="1" t="s">
        <v>1391</v>
      </c>
      <c r="F596" s="2" t="n">
        <v>554197483033</v>
      </c>
      <c r="G596" s="1" t="s">
        <v>1392</v>
      </c>
      <c r="H596" s="1" t="s">
        <v>94</v>
      </c>
      <c r="I596" s="1" t="s">
        <v>355</v>
      </c>
      <c r="J596" s="1" t="s">
        <v>97</v>
      </c>
      <c r="K596" s="1" t="s">
        <v>20</v>
      </c>
      <c r="L596" s="1" t="s">
        <v>98</v>
      </c>
      <c r="M596" s="1" t="s">
        <v>99</v>
      </c>
      <c r="N596" s="1" t="s">
        <v>965</v>
      </c>
    </row>
    <row r="597" customFormat="false" ht="14.25" hidden="false" customHeight="false" outlineLevel="0" collapsed="false">
      <c r="A597" s="1" t="s">
        <v>1393</v>
      </c>
      <c r="B597" s="1" t="s">
        <v>1394</v>
      </c>
      <c r="C597" s="2" t="n">
        <v>147</v>
      </c>
      <c r="D597" s="1" t="s">
        <v>390</v>
      </c>
      <c r="E597" s="1" t="s">
        <v>1394</v>
      </c>
      <c r="F597" s="2" t="n">
        <v>554198792302</v>
      </c>
      <c r="G597" s="1" t="s">
        <v>1395</v>
      </c>
      <c r="H597" s="1" t="s">
        <v>94</v>
      </c>
      <c r="I597" s="1" t="s">
        <v>355</v>
      </c>
      <c r="J597" s="1" t="s">
        <v>35</v>
      </c>
      <c r="K597" s="1" t="s">
        <v>69</v>
      </c>
      <c r="L597" s="1" t="s">
        <v>70</v>
      </c>
      <c r="M597" s="1" t="s">
        <v>38</v>
      </c>
      <c r="N597" s="1" t="s">
        <v>965</v>
      </c>
    </row>
    <row r="598" customFormat="false" ht="14.25" hidden="false" customHeight="false" outlineLevel="0" collapsed="false">
      <c r="A598" s="1" t="s">
        <v>1396</v>
      </c>
      <c r="B598" s="1" t="s">
        <v>1394</v>
      </c>
      <c r="C598" s="2" t="n">
        <v>120</v>
      </c>
      <c r="D598" s="1" t="s">
        <v>30</v>
      </c>
      <c r="E598" s="1" t="s">
        <v>1397</v>
      </c>
      <c r="F598" s="2" t="n">
        <v>5354001951</v>
      </c>
      <c r="G598" s="1" t="s">
        <v>1398</v>
      </c>
      <c r="H598" s="1" t="s">
        <v>94</v>
      </c>
      <c r="I598" s="1" t="s">
        <v>50</v>
      </c>
      <c r="N598" s="1" t="s">
        <v>965</v>
      </c>
    </row>
    <row r="599" customFormat="false" ht="14.25" hidden="false" customHeight="false" outlineLevel="0" collapsed="false">
      <c r="A599" s="1" t="s">
        <v>1399</v>
      </c>
      <c r="B599" s="1" t="s">
        <v>1400</v>
      </c>
      <c r="C599" s="2" t="n">
        <v>150</v>
      </c>
      <c r="D599" s="1" t="s">
        <v>32</v>
      </c>
      <c r="E599" s="1" t="s">
        <v>1400</v>
      </c>
      <c r="F599" s="2" t="n">
        <v>555195957069</v>
      </c>
      <c r="G599" s="1" t="s">
        <v>1401</v>
      </c>
      <c r="H599" s="1" t="s">
        <v>94</v>
      </c>
      <c r="I599" s="1" t="s">
        <v>355</v>
      </c>
      <c r="J599" s="1" t="s">
        <v>1176</v>
      </c>
      <c r="K599" s="1" t="s">
        <v>1177</v>
      </c>
      <c r="L599" s="1" t="s">
        <v>1242</v>
      </c>
      <c r="M599" s="1" t="s">
        <v>1243</v>
      </c>
      <c r="N599" s="1" t="s">
        <v>965</v>
      </c>
    </row>
    <row r="600" customFormat="false" ht="14.25" hidden="false" customHeight="false" outlineLevel="0" collapsed="false">
      <c r="A600" s="1" t="s">
        <v>1402</v>
      </c>
      <c r="B600" s="1" t="s">
        <v>1403</v>
      </c>
      <c r="C600" s="2" t="n">
        <v>360</v>
      </c>
      <c r="D600" s="1" t="s">
        <v>21</v>
      </c>
      <c r="E600" s="1" t="s">
        <v>1403</v>
      </c>
      <c r="F600" s="2" t="n">
        <v>554891196924</v>
      </c>
      <c r="G600" s="1" t="s">
        <v>1404</v>
      </c>
      <c r="H600" s="1" t="s">
        <v>94</v>
      </c>
      <c r="I600" s="1" t="s">
        <v>34</v>
      </c>
      <c r="N600" s="1" t="s">
        <v>965</v>
      </c>
    </row>
    <row r="601" customFormat="false" ht="14.25" hidden="false" customHeight="false" outlineLevel="0" collapsed="false">
      <c r="A601" s="1" t="s">
        <v>1405</v>
      </c>
      <c r="B601" s="1" t="s">
        <v>1406</v>
      </c>
      <c r="C601" s="2" t="n">
        <v>440</v>
      </c>
      <c r="D601" s="1" t="s">
        <v>24</v>
      </c>
      <c r="E601" s="1" t="s">
        <v>1406</v>
      </c>
      <c r="F601" s="2" t="n">
        <v>5595920012312</v>
      </c>
      <c r="G601" s="1" t="s">
        <v>1407</v>
      </c>
      <c r="H601" s="1" t="s">
        <v>94</v>
      </c>
      <c r="I601" s="1" t="s">
        <v>34</v>
      </c>
      <c r="N601" s="1" t="s">
        <v>965</v>
      </c>
    </row>
    <row r="602" customFormat="false" ht="14.25" hidden="false" customHeight="false" outlineLevel="0" collapsed="false">
      <c r="A602" s="1" t="s">
        <v>1408</v>
      </c>
      <c r="B602" s="1" t="s">
        <v>1409</v>
      </c>
      <c r="C602" s="2" t="n">
        <v>120</v>
      </c>
      <c r="D602" s="1" t="s">
        <v>30</v>
      </c>
      <c r="E602" s="1" t="s">
        <v>1410</v>
      </c>
      <c r="F602" s="2" t="n">
        <v>5519993215719</v>
      </c>
      <c r="G602" s="1" t="s">
        <v>1411</v>
      </c>
      <c r="H602" s="1" t="s">
        <v>94</v>
      </c>
      <c r="I602" s="1" t="s">
        <v>50</v>
      </c>
      <c r="N602" s="1" t="s">
        <v>965</v>
      </c>
    </row>
    <row r="603" customFormat="false" ht="14.25" hidden="false" customHeight="false" outlineLevel="0" collapsed="false">
      <c r="A603" s="1" t="s">
        <v>1412</v>
      </c>
      <c r="B603" s="1" t="s">
        <v>1076</v>
      </c>
      <c r="C603" s="2" t="n">
        <v>120</v>
      </c>
      <c r="D603" s="1" t="s">
        <v>25</v>
      </c>
      <c r="E603" s="1" t="s">
        <v>1076</v>
      </c>
      <c r="F603" s="2" t="n">
        <v>555195558065</v>
      </c>
      <c r="G603" s="1" t="s">
        <v>1077</v>
      </c>
      <c r="H603" s="1" t="s">
        <v>94</v>
      </c>
      <c r="I603" s="1" t="s">
        <v>54</v>
      </c>
      <c r="N603" s="1" t="s">
        <v>1022</v>
      </c>
    </row>
    <row r="604" customFormat="false" ht="14.25" hidden="false" customHeight="false" outlineLevel="0" collapsed="false">
      <c r="A604" s="1" t="s">
        <v>1413</v>
      </c>
      <c r="B604" s="1" t="s">
        <v>1414</v>
      </c>
      <c r="C604" s="2" t="n">
        <v>150</v>
      </c>
      <c r="D604" s="1" t="s">
        <v>32</v>
      </c>
      <c r="E604" s="1" t="s">
        <v>1415</v>
      </c>
      <c r="F604" s="2" t="n">
        <v>5511956063396</v>
      </c>
      <c r="G604" s="1" t="s">
        <v>33</v>
      </c>
      <c r="H604" s="1" t="s">
        <v>94</v>
      </c>
      <c r="I604" s="1" t="s">
        <v>34</v>
      </c>
      <c r="N604" s="1" t="s">
        <v>965</v>
      </c>
    </row>
    <row r="605" customFormat="false" ht="14.25" hidden="false" customHeight="false" outlineLevel="0" collapsed="false">
      <c r="A605" s="1" t="s">
        <v>1416</v>
      </c>
      <c r="B605" s="1" t="s">
        <v>1417</v>
      </c>
      <c r="C605" s="2" t="n">
        <v>294</v>
      </c>
      <c r="D605" s="1" t="s">
        <v>18</v>
      </c>
      <c r="E605" s="1" t="s">
        <v>1417</v>
      </c>
      <c r="F605" s="2" t="n">
        <v>554899269382</v>
      </c>
      <c r="G605" s="1" t="s">
        <v>1418</v>
      </c>
      <c r="H605" s="1" t="s">
        <v>94</v>
      </c>
      <c r="I605" s="1" t="s">
        <v>50</v>
      </c>
      <c r="N605" s="1" t="s">
        <v>965</v>
      </c>
    </row>
    <row r="606" customFormat="false" ht="14.25" hidden="false" customHeight="false" outlineLevel="0" collapsed="false">
      <c r="A606" s="1" t="s">
        <v>1419</v>
      </c>
      <c r="B606" s="1" t="s">
        <v>1420</v>
      </c>
      <c r="C606" s="2" t="n">
        <v>147</v>
      </c>
      <c r="D606" s="1" t="s">
        <v>18</v>
      </c>
      <c r="E606" s="1" t="s">
        <v>1420</v>
      </c>
      <c r="F606" s="2" t="n">
        <v>559591136177</v>
      </c>
      <c r="G606" s="1" t="s">
        <v>1421</v>
      </c>
      <c r="H606" s="1" t="s">
        <v>94</v>
      </c>
      <c r="I606" s="1" t="s">
        <v>54</v>
      </c>
      <c r="N606" s="1" t="s">
        <v>1022</v>
      </c>
    </row>
    <row r="607" customFormat="false" ht="14.25" hidden="false" customHeight="false" outlineLevel="0" collapsed="false">
      <c r="A607" s="1" t="s">
        <v>1422</v>
      </c>
      <c r="B607" s="1" t="s">
        <v>1423</v>
      </c>
      <c r="C607" s="2" t="n">
        <v>97</v>
      </c>
      <c r="D607" s="1" t="s">
        <v>20</v>
      </c>
      <c r="E607" s="1" t="s">
        <v>1424</v>
      </c>
      <c r="F607" s="2" t="n">
        <v>5541995096750</v>
      </c>
      <c r="G607" s="1" t="s">
        <v>1425</v>
      </c>
      <c r="H607" s="1" t="s">
        <v>94</v>
      </c>
      <c r="I607" s="1" t="s">
        <v>54</v>
      </c>
      <c r="J607" s="1" t="s">
        <v>35</v>
      </c>
      <c r="K607" s="1" t="s">
        <v>272</v>
      </c>
      <c r="L607" s="1" t="s">
        <v>273</v>
      </c>
      <c r="M607" s="1" t="s">
        <v>38</v>
      </c>
      <c r="N607" s="1" t="s">
        <v>965</v>
      </c>
    </row>
    <row r="608" customFormat="false" ht="14.25" hidden="false" customHeight="false" outlineLevel="0" collapsed="false">
      <c r="A608" s="1" t="s">
        <v>1426</v>
      </c>
      <c r="B608" s="1" t="s">
        <v>1427</v>
      </c>
      <c r="C608" s="2" t="n">
        <v>90</v>
      </c>
      <c r="D608" s="1" t="s">
        <v>20</v>
      </c>
      <c r="E608" s="1" t="s">
        <v>1428</v>
      </c>
      <c r="F608" s="2" t="n">
        <v>559584374004</v>
      </c>
      <c r="G608" s="1" t="s">
        <v>1429</v>
      </c>
      <c r="H608" s="1" t="s">
        <v>94</v>
      </c>
      <c r="I608" s="1" t="s">
        <v>355</v>
      </c>
      <c r="N608" s="1" t="s">
        <v>965</v>
      </c>
    </row>
    <row r="609" customFormat="false" ht="14.25" hidden="false" customHeight="false" outlineLevel="0" collapsed="false">
      <c r="A609" s="1" t="s">
        <v>1430</v>
      </c>
      <c r="B609" s="1" t="s">
        <v>1431</v>
      </c>
      <c r="C609" s="2" t="n">
        <v>120</v>
      </c>
      <c r="D609" s="1" t="s">
        <v>30</v>
      </c>
      <c r="E609" s="1" t="s">
        <v>1431</v>
      </c>
      <c r="F609" s="2" t="n">
        <v>554898153102</v>
      </c>
      <c r="G609" s="1" t="s">
        <v>1432</v>
      </c>
      <c r="H609" s="1" t="s">
        <v>94</v>
      </c>
      <c r="I609" s="1" t="s">
        <v>50</v>
      </c>
      <c r="N609" s="1" t="s">
        <v>965</v>
      </c>
    </row>
    <row r="610" customFormat="false" ht="14.25" hidden="false" customHeight="false" outlineLevel="0" collapsed="false">
      <c r="A610" s="1" t="s">
        <v>1433</v>
      </c>
      <c r="B610" s="1" t="s">
        <v>1434</v>
      </c>
      <c r="C610" s="2" t="n">
        <v>108</v>
      </c>
      <c r="D610" s="1" t="s">
        <v>22</v>
      </c>
      <c r="E610" s="1" t="s">
        <v>1434</v>
      </c>
      <c r="F610" s="2" t="n">
        <v>554195835616</v>
      </c>
      <c r="G610" s="1" t="s">
        <v>1435</v>
      </c>
      <c r="H610" s="1" t="s">
        <v>94</v>
      </c>
      <c r="I610" s="1" t="s">
        <v>355</v>
      </c>
      <c r="N610" s="1" t="s">
        <v>965</v>
      </c>
    </row>
    <row r="611" customFormat="false" ht="14.25" hidden="false" customHeight="false" outlineLevel="0" collapsed="false">
      <c r="A611" s="1" t="s">
        <v>1433</v>
      </c>
      <c r="B611" s="1" t="s">
        <v>1434</v>
      </c>
      <c r="C611" s="2" t="n">
        <v>480</v>
      </c>
      <c r="D611" s="1" t="s">
        <v>30</v>
      </c>
      <c r="E611" s="1" t="s">
        <v>1434</v>
      </c>
      <c r="F611" s="2" t="n">
        <v>554195835616</v>
      </c>
      <c r="G611" s="1" t="s">
        <v>1435</v>
      </c>
      <c r="H611" s="1" t="s">
        <v>94</v>
      </c>
      <c r="I611" s="1" t="s">
        <v>355</v>
      </c>
      <c r="N611" s="1" t="s">
        <v>965</v>
      </c>
    </row>
    <row r="612" customFormat="false" ht="14.25" hidden="false" customHeight="false" outlineLevel="0" collapsed="false">
      <c r="A612" s="1" t="s">
        <v>1436</v>
      </c>
      <c r="B612" s="1" t="s">
        <v>999</v>
      </c>
      <c r="C612" s="2" t="n">
        <v>150</v>
      </c>
      <c r="D612" s="1" t="s">
        <v>32</v>
      </c>
      <c r="E612" s="1" t="s">
        <v>999</v>
      </c>
      <c r="F612" s="2" t="n">
        <v>554891097084</v>
      </c>
      <c r="G612" s="1" t="s">
        <v>1000</v>
      </c>
      <c r="H612" s="1" t="s">
        <v>94</v>
      </c>
      <c r="I612" s="1" t="s">
        <v>54</v>
      </c>
      <c r="N612" s="1" t="s">
        <v>1022</v>
      </c>
    </row>
    <row r="613" customFormat="false" ht="14.25" hidden="false" customHeight="false" outlineLevel="0" collapsed="false">
      <c r="A613" s="1" t="s">
        <v>1437</v>
      </c>
      <c r="B613" s="1" t="s">
        <v>1438</v>
      </c>
      <c r="C613" s="2" t="n">
        <v>294</v>
      </c>
      <c r="D613" s="1" t="s">
        <v>18</v>
      </c>
      <c r="E613" s="1" t="s">
        <v>1438</v>
      </c>
      <c r="F613" s="2" t="n">
        <v>553798069518</v>
      </c>
      <c r="G613" s="1" t="s">
        <v>1439</v>
      </c>
      <c r="H613" s="1" t="s">
        <v>94</v>
      </c>
      <c r="I613" s="1" t="s">
        <v>50</v>
      </c>
      <c r="J613" s="1" t="s">
        <v>35</v>
      </c>
      <c r="K613" s="1" t="s">
        <v>69</v>
      </c>
      <c r="L613" s="1" t="s">
        <v>70</v>
      </c>
      <c r="M613" s="1" t="s">
        <v>38</v>
      </c>
      <c r="N613" s="1" t="s">
        <v>965</v>
      </c>
    </row>
    <row r="614" customFormat="false" ht="14.25" hidden="false" customHeight="false" outlineLevel="0" collapsed="false">
      <c r="A614" s="1" t="s">
        <v>1440</v>
      </c>
      <c r="B614" s="1" t="s">
        <v>963</v>
      </c>
      <c r="C614" s="2" t="n">
        <v>75</v>
      </c>
      <c r="D614" s="1" t="s">
        <v>22</v>
      </c>
      <c r="E614" s="1" t="s">
        <v>963</v>
      </c>
      <c r="F614" s="2" t="n">
        <v>5521982245006</v>
      </c>
      <c r="G614" s="1" t="s">
        <v>964</v>
      </c>
      <c r="H614" s="1" t="s">
        <v>94</v>
      </c>
      <c r="I614" s="1" t="s">
        <v>54</v>
      </c>
      <c r="N614" s="1" t="s">
        <v>1022</v>
      </c>
    </row>
    <row r="615" customFormat="false" ht="14.25" hidden="false" customHeight="false" outlineLevel="0" collapsed="false">
      <c r="A615" s="1" t="s">
        <v>1441</v>
      </c>
      <c r="B615" s="1" t="s">
        <v>811</v>
      </c>
      <c r="C615" s="2" t="n">
        <v>150</v>
      </c>
      <c r="D615" s="1" t="s">
        <v>29</v>
      </c>
      <c r="E615" s="1" t="s">
        <v>811</v>
      </c>
      <c r="F615" s="2" t="n">
        <v>556592781869</v>
      </c>
      <c r="G615" s="1" t="s">
        <v>812</v>
      </c>
      <c r="H615" s="1" t="s">
        <v>94</v>
      </c>
      <c r="I615" s="1" t="s">
        <v>54</v>
      </c>
      <c r="N615" s="1" t="s">
        <v>1022</v>
      </c>
    </row>
    <row r="616" customFormat="false" ht="14.25" hidden="false" customHeight="false" outlineLevel="0" collapsed="false">
      <c r="A616" s="1" t="s">
        <v>1442</v>
      </c>
      <c r="B616" s="1" t="s">
        <v>1443</v>
      </c>
      <c r="C616" s="2" t="n">
        <v>600</v>
      </c>
      <c r="D616" s="1" t="s">
        <v>24</v>
      </c>
      <c r="E616" s="1" t="s">
        <v>1444</v>
      </c>
      <c r="F616" s="2" t="n">
        <v>559591640869</v>
      </c>
      <c r="G616" s="1" t="s">
        <v>1445</v>
      </c>
      <c r="H616" s="1" t="s">
        <v>94</v>
      </c>
      <c r="I616" s="1" t="s">
        <v>54</v>
      </c>
      <c r="N616" s="1" t="s">
        <v>1022</v>
      </c>
    </row>
    <row r="617" customFormat="false" ht="14.25" hidden="false" customHeight="false" outlineLevel="0" collapsed="false">
      <c r="A617" s="1" t="s">
        <v>1446</v>
      </c>
      <c r="B617" s="1" t="s">
        <v>1447</v>
      </c>
      <c r="C617" s="2" t="n">
        <v>150</v>
      </c>
      <c r="D617" s="1" t="s">
        <v>32</v>
      </c>
      <c r="E617" s="1" t="s">
        <v>1448</v>
      </c>
      <c r="F617" s="2" t="n">
        <v>555499000296</v>
      </c>
      <c r="G617" s="1" t="s">
        <v>43</v>
      </c>
      <c r="H617" s="1" t="s">
        <v>94</v>
      </c>
      <c r="I617" s="1" t="s">
        <v>50</v>
      </c>
      <c r="N617" s="1" t="s">
        <v>965</v>
      </c>
    </row>
    <row r="618" customFormat="false" ht="14.25" hidden="false" customHeight="false" outlineLevel="0" collapsed="false">
      <c r="A618" s="1" t="s">
        <v>1449</v>
      </c>
      <c r="B618" s="1" t="s">
        <v>1450</v>
      </c>
      <c r="C618" s="2" t="n">
        <v>120</v>
      </c>
      <c r="D618" s="1" t="s">
        <v>30</v>
      </c>
      <c r="E618" s="1" t="s">
        <v>1451</v>
      </c>
      <c r="F618" s="2" t="n">
        <v>556196234251</v>
      </c>
      <c r="G618" s="1" t="s">
        <v>1452</v>
      </c>
      <c r="H618" s="1" t="s">
        <v>94</v>
      </c>
      <c r="I618" s="1" t="s">
        <v>355</v>
      </c>
      <c r="J618" s="1" t="s">
        <v>35</v>
      </c>
      <c r="K618" s="1" t="s">
        <v>69</v>
      </c>
      <c r="L618" s="1" t="s">
        <v>70</v>
      </c>
      <c r="M618" s="1" t="s">
        <v>38</v>
      </c>
      <c r="N618" s="1" t="s">
        <v>965</v>
      </c>
    </row>
    <row r="619" customFormat="false" ht="14.25" hidden="false" customHeight="false" outlineLevel="0" collapsed="false">
      <c r="A619" s="1" t="s">
        <v>1453</v>
      </c>
      <c r="B619" s="1" t="s">
        <v>1454</v>
      </c>
      <c r="C619" s="2" t="n">
        <v>150</v>
      </c>
      <c r="D619" s="1" t="s">
        <v>32</v>
      </c>
      <c r="E619" s="1" t="s">
        <v>1455</v>
      </c>
      <c r="F619" s="2" t="n">
        <v>554691206930</v>
      </c>
      <c r="G619" s="1" t="s">
        <v>1456</v>
      </c>
      <c r="H619" s="1" t="s">
        <v>94</v>
      </c>
      <c r="I619" s="1" t="s">
        <v>355</v>
      </c>
      <c r="J619" s="1" t="s">
        <v>1176</v>
      </c>
      <c r="K619" s="1" t="s">
        <v>1177</v>
      </c>
      <c r="L619" s="1" t="s">
        <v>1324</v>
      </c>
      <c r="M619" s="1" t="s">
        <v>1243</v>
      </c>
      <c r="N619" s="1" t="s">
        <v>965</v>
      </c>
    </row>
    <row r="620" customFormat="false" ht="14.25" hidden="false" customHeight="false" outlineLevel="0" collapsed="false">
      <c r="A620" s="1" t="s">
        <v>1457</v>
      </c>
      <c r="B620" s="1" t="s">
        <v>1458</v>
      </c>
      <c r="C620" s="2" t="n">
        <v>150</v>
      </c>
      <c r="D620" s="1" t="s">
        <v>32</v>
      </c>
      <c r="E620" s="1" t="s">
        <v>1458</v>
      </c>
      <c r="F620" s="2" t="n">
        <v>554796532166</v>
      </c>
      <c r="G620" s="1" t="s">
        <v>1459</v>
      </c>
      <c r="H620" s="1" t="s">
        <v>94</v>
      </c>
      <c r="I620" s="1" t="s">
        <v>34</v>
      </c>
      <c r="N620" s="1" t="s">
        <v>965</v>
      </c>
    </row>
    <row r="621" customFormat="false" ht="14.25" hidden="false" customHeight="false" outlineLevel="0" collapsed="false">
      <c r="A621" s="1" t="s">
        <v>1460</v>
      </c>
      <c r="B621" s="1" t="s">
        <v>294</v>
      </c>
      <c r="C621" s="2" t="n">
        <v>750</v>
      </c>
      <c r="D621" s="1" t="s">
        <v>106</v>
      </c>
      <c r="E621" s="1" t="s">
        <v>294</v>
      </c>
      <c r="F621" s="2" t="n">
        <v>5511918514374</v>
      </c>
      <c r="G621" s="1" t="s">
        <v>295</v>
      </c>
      <c r="H621" s="1" t="s">
        <v>94</v>
      </c>
      <c r="I621" s="1" t="s">
        <v>34</v>
      </c>
      <c r="N621" s="1" t="s">
        <v>965</v>
      </c>
    </row>
    <row r="622" customFormat="false" ht="14.25" hidden="false" customHeight="false" outlineLevel="0" collapsed="false">
      <c r="A622" s="1" t="s">
        <v>1461</v>
      </c>
      <c r="B622" s="1" t="s">
        <v>1462</v>
      </c>
      <c r="C622" s="2" t="n">
        <v>147</v>
      </c>
      <c r="D622" s="1" t="s">
        <v>20</v>
      </c>
      <c r="E622" s="1" t="s">
        <v>1463</v>
      </c>
      <c r="F622" s="2" t="n">
        <v>554196358252</v>
      </c>
      <c r="G622" s="1" t="s">
        <v>1464</v>
      </c>
      <c r="H622" s="1" t="s">
        <v>94</v>
      </c>
      <c r="I622" s="1" t="s">
        <v>50</v>
      </c>
      <c r="N622" s="1" t="s">
        <v>965</v>
      </c>
    </row>
    <row r="623" customFormat="false" ht="16.4" hidden="false" customHeight="false" outlineLevel="0" collapsed="false">
      <c r="A623" s="1" t="s">
        <v>1465</v>
      </c>
      <c r="B623" s="1" t="s">
        <v>1466</v>
      </c>
      <c r="C623" s="2" t="n">
        <v>294</v>
      </c>
      <c r="D623" s="1" t="s">
        <v>390</v>
      </c>
      <c r="E623" s="7" t="s">
        <v>1467</v>
      </c>
      <c r="F623" s="2" t="n">
        <v>554187292927</v>
      </c>
      <c r="G623" s="1" t="s">
        <v>1468</v>
      </c>
      <c r="H623" s="1" t="s">
        <v>94</v>
      </c>
      <c r="I623" s="1" t="s">
        <v>355</v>
      </c>
      <c r="N623" s="1" t="s">
        <v>965</v>
      </c>
    </row>
    <row r="624" customFormat="false" ht="14.25" hidden="false" customHeight="false" outlineLevel="0" collapsed="false">
      <c r="A624" s="1" t="s">
        <v>1469</v>
      </c>
      <c r="B624" s="1" t="s">
        <v>1470</v>
      </c>
      <c r="C624" s="2" t="n">
        <v>120</v>
      </c>
      <c r="D624" s="1" t="s">
        <v>1471</v>
      </c>
      <c r="E624" s="1" t="s">
        <v>1470</v>
      </c>
      <c r="F624" s="2" t="n">
        <v>5548988493540</v>
      </c>
      <c r="G624" s="1" t="s">
        <v>43</v>
      </c>
      <c r="H624" s="1" t="s">
        <v>94</v>
      </c>
      <c r="I624" s="1" t="s">
        <v>50</v>
      </c>
      <c r="N624" s="1" t="s">
        <v>965</v>
      </c>
    </row>
    <row r="625" customFormat="false" ht="14.25" hidden="false" customHeight="false" outlineLevel="0" collapsed="false">
      <c r="A625" s="1" t="s">
        <v>1472</v>
      </c>
      <c r="B625" s="1" t="s">
        <v>1473</v>
      </c>
      <c r="C625" s="2" t="n">
        <v>194</v>
      </c>
      <c r="D625" s="1" t="s">
        <v>20</v>
      </c>
      <c r="E625" s="1" t="s">
        <v>1474</v>
      </c>
      <c r="F625" s="2" t="n">
        <v>555496483450</v>
      </c>
      <c r="G625" s="1" t="s">
        <v>43</v>
      </c>
      <c r="H625" s="1" t="s">
        <v>94</v>
      </c>
      <c r="I625" s="1" t="s">
        <v>50</v>
      </c>
      <c r="N625" s="1" t="s">
        <v>965</v>
      </c>
    </row>
    <row r="626" customFormat="false" ht="14.25" hidden="false" customHeight="false" outlineLevel="0" collapsed="false">
      <c r="A626" s="1" t="s">
        <v>1475</v>
      </c>
      <c r="B626" s="1" t="s">
        <v>1476</v>
      </c>
      <c r="C626" s="2" t="n">
        <v>147</v>
      </c>
      <c r="D626" s="1" t="s">
        <v>390</v>
      </c>
      <c r="E626" s="1" t="s">
        <v>1477</v>
      </c>
      <c r="F626" s="2" t="n">
        <v>554196591179</v>
      </c>
      <c r="G626" s="1" t="s">
        <v>1478</v>
      </c>
      <c r="H626" s="1" t="s">
        <v>94</v>
      </c>
      <c r="I626" s="1" t="s">
        <v>34</v>
      </c>
      <c r="J626" s="1" t="s">
        <v>35</v>
      </c>
      <c r="K626" s="1" t="s">
        <v>69</v>
      </c>
      <c r="L626" s="1" t="s">
        <v>70</v>
      </c>
      <c r="M626" s="1" t="s">
        <v>38</v>
      </c>
      <c r="N626" s="1" t="s">
        <v>965</v>
      </c>
    </row>
    <row r="627" customFormat="false" ht="14.25" hidden="false" customHeight="false" outlineLevel="0" collapsed="false">
      <c r="A627" s="1" t="s">
        <v>1479</v>
      </c>
      <c r="B627" s="1" t="s">
        <v>1480</v>
      </c>
      <c r="C627" s="2" t="n">
        <v>147</v>
      </c>
      <c r="D627" s="1" t="s">
        <v>390</v>
      </c>
      <c r="E627" s="1" t="s">
        <v>1480</v>
      </c>
      <c r="F627" s="2" t="n">
        <v>554891705244</v>
      </c>
      <c r="G627" s="1" t="s">
        <v>1481</v>
      </c>
      <c r="H627" s="1" t="s">
        <v>94</v>
      </c>
      <c r="I627" s="1" t="s">
        <v>355</v>
      </c>
      <c r="N627" s="1" t="s">
        <v>965</v>
      </c>
    </row>
    <row r="628" customFormat="false" ht="14.25" hidden="false" customHeight="false" outlineLevel="0" collapsed="false">
      <c r="A628" s="1" t="s">
        <v>1482</v>
      </c>
      <c r="B628" s="1" t="s">
        <v>1483</v>
      </c>
      <c r="C628" s="2" t="n">
        <v>194</v>
      </c>
      <c r="D628" s="1" t="s">
        <v>20</v>
      </c>
      <c r="E628" s="1" t="s">
        <v>1484</v>
      </c>
      <c r="F628" s="2" t="n">
        <v>554195121320</v>
      </c>
      <c r="G628" s="1" t="s">
        <v>1485</v>
      </c>
      <c r="H628" s="1" t="s">
        <v>94</v>
      </c>
      <c r="I628" s="1" t="s">
        <v>34</v>
      </c>
      <c r="N628" s="1" t="s">
        <v>965</v>
      </c>
    </row>
    <row r="629" customFormat="false" ht="14.25" hidden="false" customHeight="false" outlineLevel="0" collapsed="false">
      <c r="A629" s="1" t="s">
        <v>1486</v>
      </c>
      <c r="B629" s="1" t="s">
        <v>1196</v>
      </c>
      <c r="C629" s="2" t="n">
        <v>150</v>
      </c>
      <c r="D629" s="1" t="s">
        <v>32</v>
      </c>
      <c r="E629" s="1" t="s">
        <v>1196</v>
      </c>
      <c r="F629" s="2" t="n">
        <v>5511965251647</v>
      </c>
      <c r="G629" s="1" t="s">
        <v>1197</v>
      </c>
      <c r="H629" s="1" t="s">
        <v>94</v>
      </c>
      <c r="I629" s="1" t="s">
        <v>54</v>
      </c>
      <c r="N629" s="1" t="s">
        <v>1022</v>
      </c>
    </row>
    <row r="630" customFormat="false" ht="14.25" hidden="false" customHeight="false" outlineLevel="0" collapsed="false">
      <c r="A630" s="1" t="s">
        <v>1487</v>
      </c>
      <c r="B630" s="1" t="s">
        <v>1488</v>
      </c>
      <c r="C630" s="2" t="n">
        <v>147</v>
      </c>
      <c r="D630" s="1" t="s">
        <v>18</v>
      </c>
      <c r="E630" s="1" t="s">
        <v>1488</v>
      </c>
      <c r="F630" s="2" t="n">
        <v>559591259323</v>
      </c>
      <c r="G630" s="1" t="s">
        <v>1489</v>
      </c>
      <c r="H630" s="1" t="s">
        <v>94</v>
      </c>
      <c r="I630" s="1" t="s">
        <v>34</v>
      </c>
      <c r="N630" s="1" t="s">
        <v>965</v>
      </c>
    </row>
    <row r="631" customFormat="false" ht="14.25" hidden="false" customHeight="false" outlineLevel="0" collapsed="false">
      <c r="A631" s="1" t="s">
        <v>1490</v>
      </c>
      <c r="B631" s="1" t="s">
        <v>1491</v>
      </c>
      <c r="C631" s="2" t="n">
        <v>120</v>
      </c>
      <c r="D631" s="1" t="s">
        <v>23</v>
      </c>
      <c r="E631" s="1" t="s">
        <v>1492</v>
      </c>
      <c r="F631" s="2" t="n">
        <v>554195850524</v>
      </c>
      <c r="G631" s="1" t="s">
        <v>1493</v>
      </c>
      <c r="H631" s="1" t="s">
        <v>94</v>
      </c>
      <c r="I631" s="1" t="s">
        <v>54</v>
      </c>
      <c r="N631" s="1" t="s">
        <v>1022</v>
      </c>
    </row>
    <row r="632" customFormat="false" ht="14.25" hidden="false" customHeight="false" outlineLevel="0" collapsed="false">
      <c r="A632" s="1" t="s">
        <v>1494</v>
      </c>
      <c r="B632" s="1" t="s">
        <v>1495</v>
      </c>
      <c r="C632" s="2" t="n">
        <v>150</v>
      </c>
      <c r="D632" s="1" t="s">
        <v>32</v>
      </c>
      <c r="E632" s="1" t="s">
        <v>1496</v>
      </c>
      <c r="F632" s="2" t="n">
        <v>559591464074</v>
      </c>
      <c r="G632" s="1" t="s">
        <v>43</v>
      </c>
      <c r="H632" s="1" t="s">
        <v>94</v>
      </c>
      <c r="I632" s="1" t="s">
        <v>50</v>
      </c>
      <c r="N632" s="1" t="s">
        <v>965</v>
      </c>
    </row>
    <row r="633" customFormat="false" ht="14.25" hidden="false" customHeight="false" outlineLevel="0" collapsed="false">
      <c r="A633" s="1" t="s">
        <v>1497</v>
      </c>
      <c r="B633" s="1" t="s">
        <v>1498</v>
      </c>
      <c r="C633" s="2" t="n">
        <v>180</v>
      </c>
      <c r="D633" s="1" t="s">
        <v>25</v>
      </c>
      <c r="E633" s="1" t="s">
        <v>1498</v>
      </c>
      <c r="F633" s="2" t="n">
        <v>554185252121</v>
      </c>
      <c r="G633" s="1" t="s">
        <v>1499</v>
      </c>
      <c r="H633" s="1" t="s">
        <v>94</v>
      </c>
      <c r="I633" s="1" t="s">
        <v>54</v>
      </c>
      <c r="N633" s="1" t="s">
        <v>1022</v>
      </c>
    </row>
    <row r="634" customFormat="false" ht="14.25" hidden="false" customHeight="false" outlineLevel="0" collapsed="false">
      <c r="A634" s="1" t="s">
        <v>1497</v>
      </c>
      <c r="B634" s="1" t="s">
        <v>1500</v>
      </c>
      <c r="C634" s="2" t="n">
        <v>240</v>
      </c>
      <c r="D634" s="1" t="s">
        <v>30</v>
      </c>
      <c r="E634" s="1" t="s">
        <v>1500</v>
      </c>
      <c r="F634" s="2" t="n">
        <v>554195504940</v>
      </c>
      <c r="G634" s="1" t="s">
        <v>1501</v>
      </c>
      <c r="H634" s="1" t="s">
        <v>94</v>
      </c>
      <c r="I634" s="1" t="s">
        <v>355</v>
      </c>
      <c r="J634" s="1" t="s">
        <v>35</v>
      </c>
      <c r="K634" s="1" t="s">
        <v>69</v>
      </c>
      <c r="L634" s="1" t="s">
        <v>528</v>
      </c>
      <c r="M634" s="1" t="s">
        <v>38</v>
      </c>
      <c r="N634" s="1" t="s">
        <v>965</v>
      </c>
    </row>
    <row r="635" customFormat="false" ht="14.25" hidden="false" customHeight="false" outlineLevel="0" collapsed="false">
      <c r="A635" s="1" t="s">
        <v>1497</v>
      </c>
      <c r="B635" s="1" t="s">
        <v>1502</v>
      </c>
      <c r="C635" s="2" t="n">
        <v>240</v>
      </c>
      <c r="D635" s="1" t="s">
        <v>30</v>
      </c>
      <c r="E635" s="1" t="s">
        <v>1503</v>
      </c>
      <c r="F635" s="2" t="n">
        <v>5511954079148</v>
      </c>
      <c r="G635" s="1" t="s">
        <v>1504</v>
      </c>
      <c r="H635" s="1" t="s">
        <v>94</v>
      </c>
      <c r="I635" s="1" t="s">
        <v>34</v>
      </c>
      <c r="N635" s="1" t="s">
        <v>965</v>
      </c>
    </row>
    <row r="636" customFormat="false" ht="14.25" hidden="false" customHeight="false" outlineLevel="0" collapsed="false">
      <c r="A636" s="1" t="s">
        <v>1497</v>
      </c>
      <c r="B636" s="1" t="s">
        <v>1505</v>
      </c>
      <c r="C636" s="2" t="n">
        <v>150</v>
      </c>
      <c r="D636" s="1" t="s">
        <v>32</v>
      </c>
      <c r="E636" s="1" t="s">
        <v>1506</v>
      </c>
      <c r="F636" s="2" t="n">
        <v>556298601358</v>
      </c>
      <c r="G636" s="1" t="s">
        <v>1507</v>
      </c>
      <c r="H636" s="1" t="s">
        <v>94</v>
      </c>
      <c r="I636" s="1" t="s">
        <v>34</v>
      </c>
      <c r="J636" s="1" t="s">
        <v>35</v>
      </c>
      <c r="K636" s="1" t="s">
        <v>36</v>
      </c>
      <c r="L636" s="1" t="s">
        <v>37</v>
      </c>
      <c r="M636" s="1" t="s">
        <v>38</v>
      </c>
      <c r="N636" s="1" t="s">
        <v>965</v>
      </c>
    </row>
    <row r="637" customFormat="false" ht="14.25" hidden="false" customHeight="false" outlineLevel="0" collapsed="false">
      <c r="A637" s="1" t="s">
        <v>1508</v>
      </c>
      <c r="B637" s="1" t="s">
        <v>1509</v>
      </c>
      <c r="C637" s="2" t="n">
        <v>150</v>
      </c>
      <c r="D637" s="1" t="s">
        <v>32</v>
      </c>
      <c r="E637" s="1" t="s">
        <v>1509</v>
      </c>
      <c r="F637" s="2" t="n">
        <v>554598099536</v>
      </c>
      <c r="G637" s="1" t="s">
        <v>1510</v>
      </c>
      <c r="H637" s="1" t="s">
        <v>94</v>
      </c>
      <c r="I637" s="1" t="s">
        <v>34</v>
      </c>
      <c r="N637" s="1" t="s">
        <v>965</v>
      </c>
    </row>
    <row r="638" customFormat="false" ht="14.25" hidden="false" customHeight="false" outlineLevel="0" collapsed="false">
      <c r="A638" s="1" t="s">
        <v>1497</v>
      </c>
      <c r="B638" s="1" t="s">
        <v>1511</v>
      </c>
      <c r="C638" s="2" t="n">
        <v>197</v>
      </c>
      <c r="D638" s="1" t="s">
        <v>28</v>
      </c>
      <c r="E638" s="1" t="s">
        <v>1511</v>
      </c>
      <c r="F638" s="2" t="n">
        <v>554796019207</v>
      </c>
      <c r="G638" s="1" t="s">
        <v>1512</v>
      </c>
      <c r="H638" s="1" t="s">
        <v>94</v>
      </c>
      <c r="I638" s="1" t="s">
        <v>34</v>
      </c>
      <c r="N638" s="1" t="s">
        <v>965</v>
      </c>
    </row>
    <row r="639" customFormat="false" ht="14.25" hidden="false" customHeight="false" outlineLevel="0" collapsed="false">
      <c r="A639" s="1" t="s">
        <v>1497</v>
      </c>
      <c r="B639" s="1" t="s">
        <v>972</v>
      </c>
      <c r="C639" s="2" t="n">
        <v>120</v>
      </c>
      <c r="D639" s="1" t="s">
        <v>21</v>
      </c>
      <c r="E639" s="1" t="s">
        <v>972</v>
      </c>
      <c r="F639" s="2" t="n">
        <v>554788892712</v>
      </c>
      <c r="G639" s="1" t="s">
        <v>973</v>
      </c>
      <c r="H639" s="1" t="s">
        <v>94</v>
      </c>
      <c r="I639" s="1" t="s">
        <v>34</v>
      </c>
      <c r="N639" s="1" t="s">
        <v>965</v>
      </c>
    </row>
    <row r="640" customFormat="false" ht="14.25" hidden="false" customHeight="false" outlineLevel="0" collapsed="false">
      <c r="A640" s="1" t="s">
        <v>1497</v>
      </c>
      <c r="B640" s="1" t="s">
        <v>1513</v>
      </c>
      <c r="C640" s="2" t="n">
        <v>20</v>
      </c>
      <c r="D640" s="1" t="s">
        <v>862</v>
      </c>
      <c r="E640" s="1" t="s">
        <v>1513</v>
      </c>
      <c r="F640" s="2" t="n">
        <v>5511975290592</v>
      </c>
      <c r="G640" s="1" t="s">
        <v>1514</v>
      </c>
      <c r="H640" s="1" t="s">
        <v>94</v>
      </c>
      <c r="I640" s="1" t="s">
        <v>54</v>
      </c>
      <c r="N640" s="1" t="s">
        <v>1022</v>
      </c>
    </row>
    <row r="641" customFormat="false" ht="14.25" hidden="false" customHeight="false" outlineLevel="0" collapsed="false">
      <c r="A641" s="1" t="s">
        <v>1497</v>
      </c>
      <c r="B641" s="1" t="s">
        <v>1154</v>
      </c>
      <c r="C641" s="2" t="n">
        <v>600</v>
      </c>
      <c r="D641" s="1" t="s">
        <v>27</v>
      </c>
      <c r="E641" s="1" t="s">
        <v>1154</v>
      </c>
      <c r="F641" s="2" t="n">
        <v>5519996916795</v>
      </c>
      <c r="G641" s="1" t="s">
        <v>1155</v>
      </c>
      <c r="H641" s="1" t="s">
        <v>94</v>
      </c>
      <c r="I641" s="1" t="s">
        <v>54</v>
      </c>
      <c r="N641" s="1" t="s">
        <v>1022</v>
      </c>
    </row>
    <row r="642" customFormat="false" ht="14.25" hidden="false" customHeight="false" outlineLevel="0" collapsed="false">
      <c r="A642" s="1" t="s">
        <v>1515</v>
      </c>
      <c r="B642" s="1" t="s">
        <v>1516</v>
      </c>
      <c r="C642" s="2" t="n">
        <v>291</v>
      </c>
      <c r="D642" s="1" t="s">
        <v>20</v>
      </c>
      <c r="E642" s="1" t="s">
        <v>1516</v>
      </c>
      <c r="F642" s="2" t="n">
        <v>559584298986</v>
      </c>
      <c r="G642" s="1" t="s">
        <v>1517</v>
      </c>
      <c r="H642" s="1" t="s">
        <v>94</v>
      </c>
      <c r="I642" s="1" t="s">
        <v>34</v>
      </c>
      <c r="N642" s="1" t="s">
        <v>965</v>
      </c>
    </row>
    <row r="643" customFormat="false" ht="14.25" hidden="false" customHeight="false" outlineLevel="0" collapsed="false">
      <c r="A643" s="1" t="s">
        <v>1518</v>
      </c>
      <c r="B643" s="1" t="s">
        <v>1519</v>
      </c>
      <c r="C643" s="2" t="n">
        <v>420</v>
      </c>
      <c r="D643" s="1" t="s">
        <v>30</v>
      </c>
      <c r="E643" s="1" t="s">
        <v>1520</v>
      </c>
      <c r="F643" s="2" t="n">
        <v>559591618846</v>
      </c>
      <c r="G643" s="1" t="s">
        <v>1521</v>
      </c>
      <c r="H643" s="1" t="s">
        <v>94</v>
      </c>
      <c r="I643" s="1" t="s">
        <v>34</v>
      </c>
      <c r="N643" s="1" t="s">
        <v>965</v>
      </c>
    </row>
    <row r="644" customFormat="false" ht="14.25" hidden="false" customHeight="false" outlineLevel="0" collapsed="false">
      <c r="A644" s="1" t="s">
        <v>1522</v>
      </c>
      <c r="B644" s="1" t="s">
        <v>1523</v>
      </c>
      <c r="C644" s="2" t="n">
        <v>150</v>
      </c>
      <c r="D644" s="1" t="s">
        <v>32</v>
      </c>
      <c r="E644" s="1" t="s">
        <v>1523</v>
      </c>
      <c r="F644" s="2" t="n">
        <v>5353198044</v>
      </c>
      <c r="G644" s="1" t="s">
        <v>1524</v>
      </c>
      <c r="H644" s="1" t="s">
        <v>94</v>
      </c>
      <c r="I644" s="1" t="s">
        <v>34</v>
      </c>
      <c r="N644" s="1" t="s">
        <v>965</v>
      </c>
    </row>
    <row r="645" customFormat="false" ht="14.25" hidden="false" customHeight="false" outlineLevel="0" collapsed="false">
      <c r="A645" s="1" t="s">
        <v>1525</v>
      </c>
      <c r="B645" s="1" t="s">
        <v>1526</v>
      </c>
      <c r="C645" s="2" t="n">
        <v>147</v>
      </c>
      <c r="D645" s="1" t="s">
        <v>390</v>
      </c>
      <c r="E645" s="1" t="s">
        <v>1526</v>
      </c>
      <c r="F645" s="2" t="n">
        <v>56972408728</v>
      </c>
      <c r="G645" s="1" t="s">
        <v>1527</v>
      </c>
      <c r="H645" s="1" t="s">
        <v>94</v>
      </c>
      <c r="I645" s="1" t="s">
        <v>50</v>
      </c>
      <c r="J645" s="1" t="s">
        <v>97</v>
      </c>
      <c r="K645" s="1" t="s">
        <v>20</v>
      </c>
      <c r="L645" s="1" t="s">
        <v>469</v>
      </c>
      <c r="M645" s="1" t="s">
        <v>99</v>
      </c>
      <c r="N645" s="1" t="s">
        <v>965</v>
      </c>
    </row>
    <row r="646" customFormat="false" ht="14.25" hidden="false" customHeight="false" outlineLevel="0" collapsed="false">
      <c r="A646" s="1" t="s">
        <v>1528</v>
      </c>
      <c r="B646" s="1" t="s">
        <v>1529</v>
      </c>
      <c r="C646" s="2" t="n">
        <v>120</v>
      </c>
      <c r="D646" s="1" t="s">
        <v>30</v>
      </c>
      <c r="E646" s="1" t="s">
        <v>1530</v>
      </c>
      <c r="F646" s="2" t="n">
        <v>5355635519</v>
      </c>
      <c r="G646" s="1" t="s">
        <v>1531</v>
      </c>
      <c r="H646" s="1" t="s">
        <v>94</v>
      </c>
      <c r="I646" s="1" t="s">
        <v>50</v>
      </c>
      <c r="N646" s="1" t="s">
        <v>965</v>
      </c>
    </row>
    <row r="647" customFormat="false" ht="14.25" hidden="false" customHeight="false" outlineLevel="0" collapsed="false">
      <c r="A647" s="1" t="s">
        <v>1532</v>
      </c>
      <c r="B647" s="1" t="s">
        <v>1533</v>
      </c>
      <c r="C647" s="2" t="n">
        <v>150</v>
      </c>
      <c r="D647" s="1" t="s">
        <v>390</v>
      </c>
      <c r="E647" s="1" t="s">
        <v>1533</v>
      </c>
      <c r="F647" s="2" t="n">
        <v>554188492542</v>
      </c>
      <c r="G647" s="1" t="s">
        <v>1534</v>
      </c>
      <c r="H647" s="1" t="s">
        <v>94</v>
      </c>
      <c r="I647" s="1" t="s">
        <v>355</v>
      </c>
      <c r="J647" s="1" t="s">
        <v>35</v>
      </c>
      <c r="K647" s="1" t="s">
        <v>69</v>
      </c>
      <c r="L647" s="1" t="s">
        <v>70</v>
      </c>
      <c r="M647" s="1" t="s">
        <v>38</v>
      </c>
      <c r="N647" s="1" t="s">
        <v>965</v>
      </c>
    </row>
    <row r="648" customFormat="false" ht="14.25" hidden="false" customHeight="false" outlineLevel="0" collapsed="false">
      <c r="A648" s="1" t="s">
        <v>1535</v>
      </c>
      <c r="B648" s="1" t="s">
        <v>1536</v>
      </c>
      <c r="C648" s="2" t="n">
        <v>97</v>
      </c>
      <c r="D648" s="1" t="s">
        <v>20</v>
      </c>
      <c r="E648" s="1" t="s">
        <v>346</v>
      </c>
      <c r="F648" s="2" t="n">
        <v>559584250378</v>
      </c>
      <c r="G648" s="1" t="s">
        <v>1537</v>
      </c>
      <c r="H648" s="1" t="s">
        <v>94</v>
      </c>
      <c r="I648" s="1" t="s">
        <v>50</v>
      </c>
      <c r="J648" s="1" t="s">
        <v>35</v>
      </c>
      <c r="K648" s="1" t="s">
        <v>36</v>
      </c>
      <c r="L648" s="1" t="s">
        <v>37</v>
      </c>
      <c r="M648" s="1" t="s">
        <v>38</v>
      </c>
      <c r="N648" s="1" t="s">
        <v>965</v>
      </c>
    </row>
    <row r="649" customFormat="false" ht="14.25" hidden="false" customHeight="false" outlineLevel="0" collapsed="false">
      <c r="A649" s="1" t="s">
        <v>1538</v>
      </c>
      <c r="B649" s="1" t="s">
        <v>1539</v>
      </c>
      <c r="C649" s="2" t="n">
        <v>120</v>
      </c>
      <c r="D649" s="1" t="s">
        <v>23</v>
      </c>
      <c r="E649" s="1" t="s">
        <v>1540</v>
      </c>
      <c r="F649" s="2" t="n">
        <v>559591372343</v>
      </c>
      <c r="G649" s="1" t="s">
        <v>33</v>
      </c>
      <c r="H649" s="1" t="s">
        <v>94</v>
      </c>
      <c r="I649" s="1" t="s">
        <v>34</v>
      </c>
      <c r="N649" s="1" t="s">
        <v>965</v>
      </c>
    </row>
    <row r="650" customFormat="false" ht="14.25" hidden="false" customHeight="false" outlineLevel="0" collapsed="false">
      <c r="A650" s="1" t="s">
        <v>1541</v>
      </c>
      <c r="B650" s="1" t="s">
        <v>1542</v>
      </c>
      <c r="C650" s="2" t="n">
        <v>147</v>
      </c>
      <c r="D650" s="1" t="s">
        <v>18</v>
      </c>
      <c r="E650" s="1" t="s">
        <v>1542</v>
      </c>
      <c r="F650" s="2" t="n">
        <v>5515997950933</v>
      </c>
      <c r="G650" s="1" t="s">
        <v>1543</v>
      </c>
      <c r="H650" s="1" t="s">
        <v>94</v>
      </c>
      <c r="I650" s="1" t="s">
        <v>355</v>
      </c>
      <c r="N650" s="1" t="s">
        <v>965</v>
      </c>
    </row>
    <row r="651" customFormat="false" ht="14.25" hidden="false" customHeight="false" outlineLevel="0" collapsed="false">
      <c r="A651" s="1" t="s">
        <v>1544</v>
      </c>
      <c r="B651" s="1" t="s">
        <v>1545</v>
      </c>
      <c r="C651" s="2" t="n">
        <v>150</v>
      </c>
      <c r="D651" s="1" t="s">
        <v>32</v>
      </c>
      <c r="E651" s="1" t="s">
        <v>1545</v>
      </c>
      <c r="F651" s="2" t="n">
        <v>5519981530343</v>
      </c>
      <c r="G651" s="1" t="s">
        <v>1546</v>
      </c>
      <c r="H651" s="1" t="s">
        <v>94</v>
      </c>
      <c r="I651" s="1" t="s">
        <v>355</v>
      </c>
      <c r="N651" s="1" t="s">
        <v>965</v>
      </c>
    </row>
    <row r="652" customFormat="false" ht="14.25" hidden="false" customHeight="false" outlineLevel="0" collapsed="false">
      <c r="A652" s="1" t="s">
        <v>1547</v>
      </c>
      <c r="B652" s="1" t="s">
        <v>912</v>
      </c>
      <c r="C652" s="2" t="n">
        <v>90</v>
      </c>
      <c r="D652" s="1" t="s">
        <v>16</v>
      </c>
      <c r="E652" s="1" t="s">
        <v>1263</v>
      </c>
      <c r="F652" s="2" t="n">
        <v>5519992392675</v>
      </c>
      <c r="G652" s="1" t="s">
        <v>1264</v>
      </c>
      <c r="H652" s="1" t="s">
        <v>94</v>
      </c>
      <c r="I652" s="1" t="s">
        <v>54</v>
      </c>
      <c r="N652" s="1" t="s">
        <v>1022</v>
      </c>
    </row>
    <row r="653" customFormat="false" ht="14.25" hidden="false" customHeight="false" outlineLevel="0" collapsed="false">
      <c r="A653" s="1" t="s">
        <v>1548</v>
      </c>
      <c r="B653" s="1" t="s">
        <v>1260</v>
      </c>
      <c r="C653" s="2" t="n">
        <v>900</v>
      </c>
      <c r="D653" s="1" t="s">
        <v>24</v>
      </c>
      <c r="E653" s="1" t="s">
        <v>1260</v>
      </c>
      <c r="F653" s="2" t="n">
        <v>554197169992</v>
      </c>
      <c r="G653" s="1" t="s">
        <v>1261</v>
      </c>
      <c r="H653" s="1" t="s">
        <v>94</v>
      </c>
      <c r="I653" s="1" t="s">
        <v>54</v>
      </c>
      <c r="N653" s="1" t="s">
        <v>1022</v>
      </c>
    </row>
    <row r="654" customFormat="false" ht="14.25" hidden="false" customHeight="false" outlineLevel="0" collapsed="false">
      <c r="A654" s="1" t="s">
        <v>1549</v>
      </c>
      <c r="B654" s="1" t="s">
        <v>1550</v>
      </c>
      <c r="C654" s="2" t="n">
        <v>97</v>
      </c>
      <c r="D654" s="1" t="s">
        <v>20</v>
      </c>
      <c r="E654" s="1" t="s">
        <v>1550</v>
      </c>
      <c r="F654" s="2" t="n">
        <v>559584382054</v>
      </c>
      <c r="G654" s="1" t="s">
        <v>1551</v>
      </c>
      <c r="H654" s="1" t="s">
        <v>94</v>
      </c>
      <c r="I654" s="1" t="s">
        <v>50</v>
      </c>
      <c r="J654" s="1" t="s">
        <v>35</v>
      </c>
      <c r="K654" s="1" t="s">
        <v>36</v>
      </c>
      <c r="L654" s="1" t="s">
        <v>37</v>
      </c>
      <c r="M654" s="1" t="s">
        <v>38</v>
      </c>
      <c r="N654" s="1" t="s">
        <v>965</v>
      </c>
    </row>
    <row r="655" customFormat="false" ht="14.25" hidden="false" customHeight="false" outlineLevel="0" collapsed="false">
      <c r="A655" s="1" t="s">
        <v>1552</v>
      </c>
      <c r="B655" s="1" t="s">
        <v>1553</v>
      </c>
      <c r="C655" s="2" t="n">
        <v>150</v>
      </c>
      <c r="D655" s="1" t="s">
        <v>32</v>
      </c>
      <c r="E655" s="1" t="s">
        <v>1553</v>
      </c>
      <c r="F655" s="2" t="n">
        <v>554599647201</v>
      </c>
      <c r="G655" s="1" t="s">
        <v>33</v>
      </c>
      <c r="H655" s="1" t="s">
        <v>94</v>
      </c>
      <c r="I655" s="1" t="s">
        <v>34</v>
      </c>
      <c r="N655" s="1" t="s">
        <v>965</v>
      </c>
    </row>
    <row r="656" customFormat="false" ht="14.25" hidden="false" customHeight="false" outlineLevel="0" collapsed="false">
      <c r="A656" s="1" t="s">
        <v>1554</v>
      </c>
      <c r="B656" s="1" t="s">
        <v>1555</v>
      </c>
      <c r="C656" s="2" t="n">
        <v>150</v>
      </c>
      <c r="D656" s="1" t="s">
        <v>32</v>
      </c>
      <c r="E656" s="1" t="s">
        <v>1556</v>
      </c>
      <c r="F656" s="2" t="n">
        <v>56990727434</v>
      </c>
      <c r="G656" s="1" t="s">
        <v>1557</v>
      </c>
      <c r="H656" s="1" t="s">
        <v>1558</v>
      </c>
      <c r="I656" s="1" t="s">
        <v>34</v>
      </c>
      <c r="N656" s="1" t="s">
        <v>965</v>
      </c>
    </row>
    <row r="657" customFormat="false" ht="14.25" hidden="false" customHeight="false" outlineLevel="0" collapsed="false">
      <c r="A657" s="1" t="s">
        <v>1559</v>
      </c>
      <c r="B657" s="1" t="s">
        <v>1560</v>
      </c>
      <c r="C657" s="2" t="n">
        <v>750</v>
      </c>
      <c r="D657" s="1" t="s">
        <v>27</v>
      </c>
      <c r="E657" s="1" t="s">
        <v>1560</v>
      </c>
      <c r="F657" s="2" t="n">
        <v>555197087967</v>
      </c>
      <c r="G657" s="1" t="s">
        <v>1561</v>
      </c>
      <c r="H657" s="1" t="s">
        <v>94</v>
      </c>
      <c r="I657" s="1" t="s">
        <v>50</v>
      </c>
      <c r="N657" s="1" t="s">
        <v>965</v>
      </c>
    </row>
    <row r="658" customFormat="false" ht="14.25" hidden="false" customHeight="false" outlineLevel="0" collapsed="false">
      <c r="A658" s="1" t="s">
        <v>1562</v>
      </c>
      <c r="B658" s="1" t="s">
        <v>135</v>
      </c>
      <c r="C658" s="2" t="n">
        <v>500</v>
      </c>
      <c r="D658" s="1" t="s">
        <v>27</v>
      </c>
      <c r="E658" s="1" t="s">
        <v>135</v>
      </c>
      <c r="F658" s="2" t="n">
        <v>554184708349</v>
      </c>
      <c r="G658" s="1" t="s">
        <v>136</v>
      </c>
      <c r="H658" s="1" t="s">
        <v>94</v>
      </c>
      <c r="I658" s="1" t="s">
        <v>54</v>
      </c>
      <c r="N658" s="1" t="s">
        <v>1022</v>
      </c>
    </row>
    <row r="659" customFormat="false" ht="14.25" hidden="false" customHeight="false" outlineLevel="0" collapsed="false">
      <c r="A659" s="1" t="s">
        <v>1563</v>
      </c>
      <c r="B659" s="1" t="s">
        <v>1564</v>
      </c>
      <c r="C659" s="2" t="n">
        <v>147</v>
      </c>
      <c r="D659" s="1" t="s">
        <v>390</v>
      </c>
      <c r="E659" s="1" t="s">
        <v>1565</v>
      </c>
      <c r="F659" s="2" t="n">
        <v>554899331747</v>
      </c>
      <c r="G659" s="1" t="s">
        <v>1566</v>
      </c>
      <c r="H659" s="1" t="s">
        <v>94</v>
      </c>
      <c r="I659" s="1" t="s">
        <v>34</v>
      </c>
      <c r="J659" s="1" t="s">
        <v>35</v>
      </c>
      <c r="K659" s="1" t="s">
        <v>69</v>
      </c>
      <c r="L659" s="1" t="s">
        <v>70</v>
      </c>
      <c r="M659" s="1" t="s">
        <v>38</v>
      </c>
      <c r="N659" s="1" t="s">
        <v>965</v>
      </c>
    </row>
    <row r="660" customFormat="false" ht="14.25" hidden="false" customHeight="false" outlineLevel="0" collapsed="false">
      <c r="A660" s="1" t="s">
        <v>1567</v>
      </c>
      <c r="B660" s="1" t="s">
        <v>1568</v>
      </c>
      <c r="C660" s="2" t="n">
        <v>90</v>
      </c>
      <c r="D660" s="1" t="s">
        <v>16</v>
      </c>
      <c r="E660" s="1" t="s">
        <v>1568</v>
      </c>
      <c r="F660" s="2" t="n">
        <v>554192121651</v>
      </c>
      <c r="G660" s="1" t="s">
        <v>1569</v>
      </c>
      <c r="H660" s="1" t="s">
        <v>94</v>
      </c>
      <c r="I660" s="1" t="s">
        <v>355</v>
      </c>
      <c r="N660" s="1" t="s">
        <v>965</v>
      </c>
    </row>
    <row r="661" customFormat="false" ht="14.25" hidden="false" customHeight="false" outlineLevel="0" collapsed="false">
      <c r="A661" s="1" t="s">
        <v>1570</v>
      </c>
      <c r="B661" s="1" t="s">
        <v>1571</v>
      </c>
      <c r="C661" s="2" t="n">
        <v>147</v>
      </c>
      <c r="D661" s="1" t="s">
        <v>390</v>
      </c>
      <c r="E661" s="1" t="s">
        <v>1571</v>
      </c>
      <c r="F661" s="2" t="n">
        <v>554198111746</v>
      </c>
      <c r="G661" s="1" t="s">
        <v>1572</v>
      </c>
      <c r="H661" s="1" t="s">
        <v>94</v>
      </c>
      <c r="I661" s="1" t="s">
        <v>34</v>
      </c>
      <c r="J661" s="1" t="s">
        <v>35</v>
      </c>
      <c r="K661" s="1" t="s">
        <v>69</v>
      </c>
      <c r="L661" s="1" t="s">
        <v>70</v>
      </c>
      <c r="M661" s="1" t="s">
        <v>38</v>
      </c>
      <c r="N661" s="1" t="s">
        <v>965</v>
      </c>
    </row>
    <row r="662" customFormat="false" ht="14.25" hidden="false" customHeight="false" outlineLevel="0" collapsed="false">
      <c r="A662" s="1" t="s">
        <v>1573</v>
      </c>
      <c r="B662" s="1" t="s">
        <v>1574</v>
      </c>
      <c r="C662" s="2" t="n">
        <v>75</v>
      </c>
      <c r="D662" s="1" t="s">
        <v>30</v>
      </c>
      <c r="E662" s="1" t="s">
        <v>1574</v>
      </c>
      <c r="F662" s="2" t="n">
        <v>554796680782</v>
      </c>
      <c r="G662" s="1" t="s">
        <v>1575</v>
      </c>
      <c r="H662" s="1" t="s">
        <v>94</v>
      </c>
      <c r="I662" s="1" t="s">
        <v>34</v>
      </c>
      <c r="N662" s="1" t="s">
        <v>965</v>
      </c>
    </row>
    <row r="663" customFormat="false" ht="14.25" hidden="false" customHeight="false" outlineLevel="0" collapsed="false">
      <c r="A663" s="1" t="s">
        <v>1576</v>
      </c>
      <c r="B663" s="1" t="s">
        <v>1577</v>
      </c>
      <c r="C663" s="2" t="n">
        <v>200</v>
      </c>
      <c r="D663" s="1" t="s">
        <v>30</v>
      </c>
      <c r="E663" s="1" t="s">
        <v>1577</v>
      </c>
      <c r="F663" s="2" t="n">
        <v>559591750294</v>
      </c>
      <c r="G663" s="1" t="s">
        <v>1578</v>
      </c>
      <c r="H663" s="1" t="s">
        <v>94</v>
      </c>
      <c r="I663" s="1" t="s">
        <v>54</v>
      </c>
      <c r="N663" s="1" t="s">
        <v>1022</v>
      </c>
    </row>
    <row r="664" customFormat="false" ht="14.25" hidden="false" customHeight="false" outlineLevel="0" collapsed="false">
      <c r="A664" s="1" t="s">
        <v>1579</v>
      </c>
      <c r="B664" s="1" t="s">
        <v>1580</v>
      </c>
      <c r="C664" s="2" t="n">
        <v>291</v>
      </c>
      <c r="D664" s="1" t="s">
        <v>20</v>
      </c>
      <c r="E664" s="1" t="s">
        <v>1581</v>
      </c>
      <c r="F664" s="2" t="n">
        <v>554591414688</v>
      </c>
      <c r="G664" s="1" t="s">
        <v>1582</v>
      </c>
      <c r="H664" s="1" t="s">
        <v>94</v>
      </c>
      <c r="I664" s="1" t="s">
        <v>34</v>
      </c>
      <c r="J664" s="1" t="s">
        <v>35</v>
      </c>
      <c r="K664" s="1" t="s">
        <v>36</v>
      </c>
      <c r="L664" s="1" t="s">
        <v>37</v>
      </c>
      <c r="M664" s="1" t="s">
        <v>38</v>
      </c>
      <c r="N664" s="1" t="s">
        <v>965</v>
      </c>
    </row>
    <row r="665" customFormat="false" ht="14.25" hidden="false" customHeight="false" outlineLevel="0" collapsed="false">
      <c r="A665" s="1" t="s">
        <v>1583</v>
      </c>
      <c r="B665" s="1" t="s">
        <v>1584</v>
      </c>
      <c r="C665" s="2" t="n">
        <v>150</v>
      </c>
      <c r="D665" s="1" t="s">
        <v>30</v>
      </c>
      <c r="E665" s="1" t="s">
        <v>1585</v>
      </c>
      <c r="F665" s="2" t="n">
        <v>554199794689</v>
      </c>
      <c r="G665" s="1" t="s">
        <v>1586</v>
      </c>
      <c r="H665" s="1" t="s">
        <v>94</v>
      </c>
      <c r="I665" s="1" t="s">
        <v>355</v>
      </c>
      <c r="N665" s="1" t="s">
        <v>965</v>
      </c>
    </row>
    <row r="666" customFormat="false" ht="14.25" hidden="false" customHeight="false" outlineLevel="0" collapsed="false">
      <c r="A666" s="1" t="s">
        <v>1587</v>
      </c>
      <c r="B666" s="1" t="s">
        <v>705</v>
      </c>
      <c r="C666" s="2" t="n">
        <v>100</v>
      </c>
      <c r="D666" s="1" t="s">
        <v>30</v>
      </c>
      <c r="E666" s="1" t="s">
        <v>705</v>
      </c>
      <c r="F666" s="2" t="n">
        <v>554184740618</v>
      </c>
      <c r="G666" s="1" t="s">
        <v>707</v>
      </c>
      <c r="H666" s="1" t="s">
        <v>94</v>
      </c>
      <c r="I666" s="1" t="s">
        <v>54</v>
      </c>
      <c r="N666" s="1" t="s">
        <v>1022</v>
      </c>
    </row>
    <row r="667" customFormat="false" ht="14.25" hidden="false" customHeight="false" outlineLevel="0" collapsed="false">
      <c r="A667" s="1" t="s">
        <v>1588</v>
      </c>
      <c r="B667" s="1" t="s">
        <v>1589</v>
      </c>
      <c r="C667" s="2" t="n">
        <v>147</v>
      </c>
      <c r="D667" s="1" t="s">
        <v>390</v>
      </c>
      <c r="E667" s="1" t="s">
        <v>1589</v>
      </c>
      <c r="F667" s="2" t="n">
        <v>556592567596</v>
      </c>
      <c r="G667" s="1" t="s">
        <v>1590</v>
      </c>
      <c r="H667" s="1" t="s">
        <v>94</v>
      </c>
      <c r="I667" s="1" t="s">
        <v>355</v>
      </c>
      <c r="J667" s="1" t="s">
        <v>35</v>
      </c>
      <c r="K667" s="1" t="s">
        <v>69</v>
      </c>
      <c r="L667" s="1" t="s">
        <v>70</v>
      </c>
      <c r="M667" s="1" t="s">
        <v>38</v>
      </c>
      <c r="N667" s="1" t="s">
        <v>965</v>
      </c>
    </row>
    <row r="668" customFormat="false" ht="14.25" hidden="false" customHeight="false" outlineLevel="0" collapsed="false">
      <c r="A668" s="1" t="s">
        <v>1591</v>
      </c>
      <c r="B668" s="1" t="s">
        <v>1592</v>
      </c>
      <c r="C668" s="2" t="n">
        <v>120</v>
      </c>
      <c r="D668" s="1" t="s">
        <v>25</v>
      </c>
      <c r="E668" s="1" t="s">
        <v>1593</v>
      </c>
      <c r="F668" s="2" t="n">
        <v>5351902311</v>
      </c>
      <c r="G668" s="1" t="s">
        <v>1594</v>
      </c>
      <c r="H668" s="1" t="s">
        <v>94</v>
      </c>
      <c r="I668" s="1" t="s">
        <v>50</v>
      </c>
      <c r="N668" s="1" t="s">
        <v>965</v>
      </c>
    </row>
    <row r="669" customFormat="false" ht="14.25" hidden="false" customHeight="false" outlineLevel="0" collapsed="false">
      <c r="A669" s="1" t="s">
        <v>1595</v>
      </c>
      <c r="B669" s="1" t="s">
        <v>1596</v>
      </c>
      <c r="C669" s="2" t="n">
        <v>147</v>
      </c>
      <c r="D669" s="1" t="s">
        <v>18</v>
      </c>
      <c r="E669" s="1" t="s">
        <v>1597</v>
      </c>
      <c r="F669" s="2" t="n">
        <v>554188900028</v>
      </c>
      <c r="G669" s="1" t="s">
        <v>1598</v>
      </c>
      <c r="H669" s="1" t="s">
        <v>94</v>
      </c>
      <c r="I669" s="1" t="s">
        <v>54</v>
      </c>
      <c r="N669" s="1" t="s">
        <v>1022</v>
      </c>
    </row>
    <row r="670" customFormat="false" ht="14.25" hidden="false" customHeight="false" outlineLevel="0" collapsed="false">
      <c r="A670" s="1" t="s">
        <v>1599</v>
      </c>
      <c r="B670" s="1" t="s">
        <v>1600</v>
      </c>
      <c r="C670" s="2" t="n">
        <v>150</v>
      </c>
      <c r="D670" s="1" t="s">
        <v>30</v>
      </c>
      <c r="E670" s="1" t="s">
        <v>1600</v>
      </c>
      <c r="F670" s="2" t="n">
        <v>5511919074749</v>
      </c>
      <c r="G670" s="1" t="s">
        <v>1601</v>
      </c>
      <c r="H670" s="1" t="s">
        <v>94</v>
      </c>
      <c r="I670" s="1" t="s">
        <v>355</v>
      </c>
      <c r="N670" s="1" t="s">
        <v>965</v>
      </c>
    </row>
    <row r="671" customFormat="false" ht="14.25" hidden="false" customHeight="false" outlineLevel="0" collapsed="false">
      <c r="A671" s="1" t="s">
        <v>1602</v>
      </c>
      <c r="B671" s="1" t="s">
        <v>1603</v>
      </c>
      <c r="C671" s="2" t="n">
        <v>150</v>
      </c>
      <c r="D671" s="1" t="s">
        <v>32</v>
      </c>
      <c r="E671" s="1" t="s">
        <v>1603</v>
      </c>
      <c r="F671" s="2" t="n">
        <v>559484201567</v>
      </c>
      <c r="G671" s="1" t="s">
        <v>1604</v>
      </c>
      <c r="H671" s="1" t="s">
        <v>94</v>
      </c>
      <c r="I671" s="1" t="s">
        <v>50</v>
      </c>
      <c r="N671" s="1" t="s">
        <v>965</v>
      </c>
    </row>
    <row r="672" customFormat="false" ht="14.25" hidden="false" customHeight="false" outlineLevel="0" collapsed="false">
      <c r="A672" s="1" t="s">
        <v>1605</v>
      </c>
      <c r="B672" s="1" t="s">
        <v>1606</v>
      </c>
      <c r="C672" s="2" t="n">
        <v>197</v>
      </c>
      <c r="D672" s="1" t="s">
        <v>24</v>
      </c>
      <c r="E672" s="1" t="s">
        <v>1606</v>
      </c>
      <c r="F672" s="2" t="n">
        <v>554192047427</v>
      </c>
      <c r="G672" s="1" t="s">
        <v>33</v>
      </c>
      <c r="H672" s="1" t="s">
        <v>94</v>
      </c>
      <c r="I672" s="1" t="s">
        <v>34</v>
      </c>
      <c r="J672" s="1" t="s">
        <v>60</v>
      </c>
      <c r="K672" s="1" t="s">
        <v>27</v>
      </c>
      <c r="L672" s="1" t="s">
        <v>1607</v>
      </c>
      <c r="M672" s="1" t="s">
        <v>62</v>
      </c>
      <c r="N672" s="1" t="s">
        <v>965</v>
      </c>
    </row>
    <row r="673" customFormat="false" ht="14.25" hidden="false" customHeight="false" outlineLevel="0" collapsed="false">
      <c r="A673" s="1" t="s">
        <v>1608</v>
      </c>
      <c r="B673" s="1" t="s">
        <v>1609</v>
      </c>
      <c r="C673" s="2" t="n">
        <v>150</v>
      </c>
      <c r="D673" s="1" t="s">
        <v>32</v>
      </c>
      <c r="E673" s="1" t="s">
        <v>1609</v>
      </c>
      <c r="F673" s="2" t="n">
        <v>559581046851</v>
      </c>
      <c r="G673" s="1" t="s">
        <v>33</v>
      </c>
      <c r="H673" s="1" t="s">
        <v>94</v>
      </c>
      <c r="I673" s="1" t="s">
        <v>34</v>
      </c>
      <c r="J673" s="1" t="s">
        <v>35</v>
      </c>
      <c r="K673" s="1" t="s">
        <v>36</v>
      </c>
      <c r="L673" s="1" t="s">
        <v>37</v>
      </c>
      <c r="M673" s="1" t="s">
        <v>38</v>
      </c>
      <c r="N673" s="1" t="s">
        <v>965</v>
      </c>
    </row>
    <row r="674" customFormat="false" ht="14.25" hidden="false" customHeight="false" outlineLevel="0" collapsed="false">
      <c r="A674" s="1" t="s">
        <v>1610</v>
      </c>
      <c r="B674" s="1" t="s">
        <v>1164</v>
      </c>
      <c r="C674" s="2" t="n">
        <v>100</v>
      </c>
      <c r="D674" s="1" t="s">
        <v>22</v>
      </c>
      <c r="E674" s="1" t="s">
        <v>1164</v>
      </c>
      <c r="F674" s="2" t="n">
        <v>5511992406888</v>
      </c>
      <c r="G674" s="1" t="s">
        <v>1611</v>
      </c>
      <c r="H674" s="1" t="s">
        <v>94</v>
      </c>
      <c r="I674" s="1" t="s">
        <v>54</v>
      </c>
      <c r="N674" s="1" t="s">
        <v>1022</v>
      </c>
    </row>
    <row r="675" customFormat="false" ht="14.25" hidden="false" customHeight="false" outlineLevel="0" collapsed="false">
      <c r="A675" s="1" t="s">
        <v>1612</v>
      </c>
      <c r="B675" s="1" t="s">
        <v>1613</v>
      </c>
      <c r="C675" s="2" t="n">
        <v>294</v>
      </c>
      <c r="D675" s="1" t="s">
        <v>22</v>
      </c>
      <c r="E675" s="1" t="s">
        <v>1614</v>
      </c>
      <c r="F675" s="2" t="n">
        <v>554199684888</v>
      </c>
      <c r="G675" s="1" t="s">
        <v>1615</v>
      </c>
      <c r="H675" s="1" t="s">
        <v>94</v>
      </c>
      <c r="I675" s="1" t="s">
        <v>355</v>
      </c>
      <c r="N675" s="1" t="s">
        <v>965</v>
      </c>
    </row>
    <row r="676" customFormat="false" ht="14.25" hidden="false" customHeight="false" outlineLevel="0" collapsed="false">
      <c r="A676" s="1" t="s">
        <v>1616</v>
      </c>
      <c r="B676" s="1" t="s">
        <v>1617</v>
      </c>
      <c r="C676" s="2" t="n">
        <v>150</v>
      </c>
      <c r="D676" s="1" t="s">
        <v>32</v>
      </c>
      <c r="E676" s="1" t="s">
        <v>1618</v>
      </c>
      <c r="F676" s="2" t="n">
        <v>559684135194</v>
      </c>
      <c r="G676" s="1" t="s">
        <v>1619</v>
      </c>
      <c r="H676" s="1" t="s">
        <v>94</v>
      </c>
      <c r="I676" s="1" t="s">
        <v>34</v>
      </c>
      <c r="N676" s="1" t="s">
        <v>965</v>
      </c>
    </row>
    <row r="677" customFormat="false" ht="14.25" hidden="false" customHeight="false" outlineLevel="0" collapsed="false">
      <c r="A677" s="1" t="s">
        <v>1620</v>
      </c>
      <c r="B677" s="1" t="s">
        <v>1621</v>
      </c>
      <c r="C677" s="2" t="n">
        <v>120</v>
      </c>
      <c r="D677" s="1" t="s">
        <v>30</v>
      </c>
      <c r="E677" s="1" t="s">
        <v>1622</v>
      </c>
      <c r="F677" s="2" t="n">
        <v>5353645608</v>
      </c>
      <c r="G677" s="1" t="s">
        <v>1623</v>
      </c>
      <c r="H677" s="1" t="s">
        <v>94</v>
      </c>
      <c r="I677" s="1" t="s">
        <v>50</v>
      </c>
      <c r="N677" s="1" t="s">
        <v>965</v>
      </c>
    </row>
    <row r="678" customFormat="false" ht="14.25" hidden="false" customHeight="false" outlineLevel="0" collapsed="false">
      <c r="A678" s="1" t="s">
        <v>1620</v>
      </c>
      <c r="B678" s="1" t="s">
        <v>1624</v>
      </c>
      <c r="C678" s="2" t="n">
        <v>120</v>
      </c>
      <c r="D678" s="1" t="s">
        <v>30</v>
      </c>
      <c r="E678" s="1" t="s">
        <v>1624</v>
      </c>
      <c r="F678" s="2" t="n">
        <v>554197024987</v>
      </c>
      <c r="G678" s="1" t="s">
        <v>1625</v>
      </c>
      <c r="H678" s="1" t="s">
        <v>94</v>
      </c>
      <c r="I678" s="1" t="s">
        <v>355</v>
      </c>
      <c r="N678" s="1" t="s">
        <v>965</v>
      </c>
    </row>
    <row r="679" customFormat="false" ht="14.25" hidden="false" customHeight="false" outlineLevel="0" collapsed="false">
      <c r="A679" s="1" t="s">
        <v>1626</v>
      </c>
      <c r="B679" s="1" t="s">
        <v>1627</v>
      </c>
      <c r="C679" s="2" t="n">
        <v>150</v>
      </c>
      <c r="D679" s="1" t="s">
        <v>32</v>
      </c>
      <c r="E679" s="1" t="s">
        <v>1628</v>
      </c>
      <c r="F679" s="2" t="n">
        <v>5511962853945</v>
      </c>
      <c r="G679" s="1" t="s">
        <v>33</v>
      </c>
      <c r="H679" s="1" t="s">
        <v>94</v>
      </c>
      <c r="I679" s="1" t="s">
        <v>34</v>
      </c>
      <c r="N679" s="1" t="s">
        <v>965</v>
      </c>
    </row>
    <row r="680" customFormat="false" ht="14.25" hidden="false" customHeight="false" outlineLevel="0" collapsed="false">
      <c r="A680" s="1" t="s">
        <v>1629</v>
      </c>
      <c r="B680" s="1" t="s">
        <v>1630</v>
      </c>
      <c r="C680" s="2" t="n">
        <v>150</v>
      </c>
      <c r="D680" s="1" t="s">
        <v>32</v>
      </c>
      <c r="E680" s="1" t="s">
        <v>1631</v>
      </c>
      <c r="F680" s="2" t="n">
        <v>553397017278</v>
      </c>
      <c r="G680" s="1" t="s">
        <v>33</v>
      </c>
      <c r="H680" s="1" t="s">
        <v>94</v>
      </c>
      <c r="I680" s="1" t="s">
        <v>34</v>
      </c>
      <c r="J680" s="1" t="s">
        <v>1176</v>
      </c>
      <c r="K680" s="1" t="s">
        <v>1177</v>
      </c>
      <c r="L680" s="1" t="s">
        <v>1178</v>
      </c>
      <c r="M680" s="1" t="s">
        <v>1179</v>
      </c>
      <c r="N680" s="1" t="s">
        <v>965</v>
      </c>
    </row>
    <row r="681" customFormat="false" ht="14.25" hidden="false" customHeight="false" outlineLevel="0" collapsed="false">
      <c r="A681" s="1" t="s">
        <v>1632</v>
      </c>
      <c r="B681" s="1" t="s">
        <v>1633</v>
      </c>
      <c r="C681" s="2" t="n">
        <v>97</v>
      </c>
      <c r="D681" s="1" t="s">
        <v>20</v>
      </c>
      <c r="E681" s="1" t="s">
        <v>1634</v>
      </c>
      <c r="F681" s="2" t="n">
        <v>554797946128</v>
      </c>
      <c r="G681" s="1" t="s">
        <v>1635</v>
      </c>
      <c r="H681" s="1" t="s">
        <v>94</v>
      </c>
      <c r="I681" s="1" t="s">
        <v>50</v>
      </c>
      <c r="N681" s="1" t="s">
        <v>965</v>
      </c>
    </row>
    <row r="682" customFormat="false" ht="14.25" hidden="false" customHeight="false" outlineLevel="0" collapsed="false">
      <c r="A682" s="1" t="s">
        <v>1636</v>
      </c>
      <c r="B682" s="1" t="s">
        <v>1637</v>
      </c>
      <c r="C682" s="2" t="n">
        <v>240</v>
      </c>
      <c r="D682" s="1" t="s">
        <v>390</v>
      </c>
      <c r="E682" s="1" t="s">
        <v>1638</v>
      </c>
      <c r="F682" s="2" t="n">
        <v>554899263876</v>
      </c>
      <c r="G682" s="1" t="s">
        <v>737</v>
      </c>
      <c r="H682" s="1" t="s">
        <v>94</v>
      </c>
      <c r="I682" s="1" t="s">
        <v>54</v>
      </c>
      <c r="N682" s="1" t="s">
        <v>1022</v>
      </c>
    </row>
    <row r="683" customFormat="false" ht="14.25" hidden="false" customHeight="false" outlineLevel="0" collapsed="false">
      <c r="A683" s="1" t="s">
        <v>1639</v>
      </c>
      <c r="B683" s="1" t="s">
        <v>1640</v>
      </c>
      <c r="C683" s="2" t="n">
        <v>150</v>
      </c>
      <c r="D683" s="1" t="s">
        <v>32</v>
      </c>
      <c r="E683" s="1" t="s">
        <v>1640</v>
      </c>
      <c r="F683" s="2" t="n">
        <v>559584398079</v>
      </c>
      <c r="G683" s="1" t="s">
        <v>814</v>
      </c>
      <c r="H683" s="1" t="s">
        <v>94</v>
      </c>
      <c r="I683" s="1" t="s">
        <v>54</v>
      </c>
      <c r="N683" s="1" t="s">
        <v>1022</v>
      </c>
    </row>
    <row r="684" customFormat="false" ht="14.25" hidden="false" customHeight="false" outlineLevel="0" collapsed="false">
      <c r="A684" s="1" t="s">
        <v>1641</v>
      </c>
      <c r="B684" s="1" t="s">
        <v>1642</v>
      </c>
      <c r="C684" s="2" t="n">
        <v>60</v>
      </c>
      <c r="D684" s="1" t="s">
        <v>25</v>
      </c>
      <c r="E684" s="1" t="s">
        <v>1642</v>
      </c>
      <c r="F684" s="2" t="n">
        <v>554195873308</v>
      </c>
      <c r="G684" s="1" t="s">
        <v>1643</v>
      </c>
      <c r="H684" s="1" t="s">
        <v>94</v>
      </c>
      <c r="I684" s="1" t="s">
        <v>34</v>
      </c>
      <c r="N684" s="1" t="s">
        <v>965</v>
      </c>
    </row>
    <row r="685" customFormat="false" ht="14.25" hidden="false" customHeight="false" outlineLevel="0" collapsed="false">
      <c r="A685" s="1" t="s">
        <v>1644</v>
      </c>
      <c r="B685" s="1" t="s">
        <v>1645</v>
      </c>
      <c r="C685" s="2" t="n">
        <v>480</v>
      </c>
      <c r="D685" s="1" t="s">
        <v>30</v>
      </c>
      <c r="E685" s="1" t="s">
        <v>1646</v>
      </c>
      <c r="F685" s="2" t="n">
        <v>5514997514747</v>
      </c>
      <c r="G685" s="1" t="s">
        <v>1647</v>
      </c>
      <c r="H685" s="1" t="s">
        <v>94</v>
      </c>
      <c r="I685" s="1" t="s">
        <v>34</v>
      </c>
      <c r="J685" s="1" t="s">
        <v>35</v>
      </c>
      <c r="K685" s="1" t="s">
        <v>36</v>
      </c>
      <c r="L685" s="1" t="s">
        <v>37</v>
      </c>
      <c r="M685" s="1" t="s">
        <v>38</v>
      </c>
      <c r="N685" s="1" t="s">
        <v>965</v>
      </c>
    </row>
    <row r="686" customFormat="false" ht="14.25" hidden="false" customHeight="false" outlineLevel="0" collapsed="false">
      <c r="A686" s="1" t="s">
        <v>1648</v>
      </c>
      <c r="B686" s="1" t="s">
        <v>1649</v>
      </c>
      <c r="C686" s="2" t="n">
        <v>147</v>
      </c>
      <c r="D686" s="1" t="s">
        <v>18</v>
      </c>
      <c r="E686" s="1" t="s">
        <v>1649</v>
      </c>
      <c r="F686" s="2" t="n">
        <v>554188195394</v>
      </c>
      <c r="G686" s="1" t="s">
        <v>1650</v>
      </c>
      <c r="H686" s="1" t="s">
        <v>94</v>
      </c>
      <c r="I686" s="1" t="s">
        <v>50</v>
      </c>
      <c r="N686" s="1" t="s">
        <v>965</v>
      </c>
    </row>
    <row r="687" customFormat="false" ht="14.25" hidden="false" customHeight="false" outlineLevel="0" collapsed="false">
      <c r="A687" s="1" t="s">
        <v>1651</v>
      </c>
      <c r="B687" s="1" t="s">
        <v>1652</v>
      </c>
      <c r="C687" s="2" t="n">
        <v>147</v>
      </c>
      <c r="D687" s="1" t="s">
        <v>390</v>
      </c>
      <c r="E687" s="1" t="s">
        <v>1652</v>
      </c>
      <c r="F687" s="2" t="n">
        <v>556281066019</v>
      </c>
      <c r="G687" s="1" t="s">
        <v>1653</v>
      </c>
      <c r="H687" s="1" t="s">
        <v>94</v>
      </c>
      <c r="I687" s="1" t="s">
        <v>50</v>
      </c>
      <c r="N687" s="1" t="s">
        <v>965</v>
      </c>
    </row>
    <row r="688" customFormat="false" ht="14.25" hidden="false" customHeight="false" outlineLevel="0" collapsed="false">
      <c r="A688" s="1" t="s">
        <v>1654</v>
      </c>
      <c r="B688" s="1" t="s">
        <v>1655</v>
      </c>
      <c r="C688" s="2" t="n">
        <v>147</v>
      </c>
      <c r="D688" s="1" t="s">
        <v>22</v>
      </c>
      <c r="E688" s="1" t="s">
        <v>1655</v>
      </c>
      <c r="F688" s="2" t="n">
        <v>5554933002353</v>
      </c>
      <c r="G688" s="1" t="s">
        <v>1656</v>
      </c>
      <c r="H688" s="1" t="s">
        <v>94</v>
      </c>
      <c r="I688" s="1" t="s">
        <v>355</v>
      </c>
      <c r="N688" s="1" t="s">
        <v>965</v>
      </c>
    </row>
    <row r="689" customFormat="false" ht="14.25" hidden="false" customHeight="false" outlineLevel="0" collapsed="false">
      <c r="A689" s="1" t="s">
        <v>1657</v>
      </c>
      <c r="B689" s="1" t="s">
        <v>1658</v>
      </c>
      <c r="C689" s="2" t="n">
        <v>150</v>
      </c>
      <c r="D689" s="1" t="s">
        <v>30</v>
      </c>
      <c r="E689" s="1" t="s">
        <v>1658</v>
      </c>
      <c r="F689" s="2" t="n">
        <v>554196154328</v>
      </c>
      <c r="G689" s="1" t="s">
        <v>1659</v>
      </c>
      <c r="H689" s="1" t="s">
        <v>94</v>
      </c>
      <c r="I689" s="1" t="s">
        <v>34</v>
      </c>
      <c r="N689" s="1" t="s">
        <v>965</v>
      </c>
    </row>
    <row r="690" customFormat="false" ht="14.25" hidden="false" customHeight="false" outlineLevel="0" collapsed="false">
      <c r="A690" s="1" t="s">
        <v>1660</v>
      </c>
      <c r="B690" s="8" t="s">
        <v>1661</v>
      </c>
      <c r="C690" s="2" t="n">
        <v>420</v>
      </c>
      <c r="D690" s="1" t="s">
        <v>30</v>
      </c>
      <c r="E690" s="1" t="s">
        <v>1662</v>
      </c>
      <c r="F690" s="2" t="n">
        <v>553499432464</v>
      </c>
      <c r="G690" s="1" t="s">
        <v>1663</v>
      </c>
      <c r="H690" s="1" t="s">
        <v>94</v>
      </c>
      <c r="I690" s="1" t="s">
        <v>50</v>
      </c>
      <c r="J690" s="1" t="s">
        <v>35</v>
      </c>
      <c r="K690" s="1" t="s">
        <v>36</v>
      </c>
      <c r="L690" s="1" t="s">
        <v>37</v>
      </c>
      <c r="M690" s="1" t="s">
        <v>38</v>
      </c>
      <c r="N690" s="1" t="s">
        <v>965</v>
      </c>
    </row>
    <row r="691" customFormat="false" ht="14.25" hidden="false" customHeight="false" outlineLevel="0" collapsed="false">
      <c r="A691" s="1" t="s">
        <v>1664</v>
      </c>
      <c r="B691" s="1" t="s">
        <v>1665</v>
      </c>
      <c r="C691" s="2" t="n">
        <v>147</v>
      </c>
      <c r="D691" s="1" t="s">
        <v>390</v>
      </c>
      <c r="E691" s="1" t="s">
        <v>1665</v>
      </c>
      <c r="F691" s="2" t="n">
        <v>554188900028</v>
      </c>
      <c r="G691" s="1" t="s">
        <v>1598</v>
      </c>
      <c r="H691" s="1" t="s">
        <v>94</v>
      </c>
      <c r="I691" s="1" t="s">
        <v>54</v>
      </c>
      <c r="N691" s="1" t="s">
        <v>1022</v>
      </c>
    </row>
    <row r="692" customFormat="false" ht="14.25" hidden="false" customHeight="false" outlineLevel="0" collapsed="false">
      <c r="A692" s="1" t="s">
        <v>1666</v>
      </c>
      <c r="B692" s="1" t="s">
        <v>1667</v>
      </c>
      <c r="C692" s="2" t="n">
        <v>150</v>
      </c>
      <c r="D692" s="1" t="s">
        <v>32</v>
      </c>
      <c r="E692" s="1" t="s">
        <v>1667</v>
      </c>
      <c r="F692" s="2" t="n">
        <v>555181489643</v>
      </c>
      <c r="G692" s="1" t="s">
        <v>1668</v>
      </c>
      <c r="H692" s="1" t="s">
        <v>94</v>
      </c>
      <c r="I692" s="1" t="s">
        <v>50</v>
      </c>
      <c r="N692" s="1" t="s">
        <v>965</v>
      </c>
    </row>
    <row r="693" customFormat="false" ht="14.25" hidden="false" customHeight="false" outlineLevel="0" collapsed="false">
      <c r="A693" s="1" t="s">
        <v>1669</v>
      </c>
      <c r="B693" s="1" t="s">
        <v>1670</v>
      </c>
      <c r="C693" s="2" t="n">
        <v>147</v>
      </c>
      <c r="D693" s="1" t="s">
        <v>390</v>
      </c>
      <c r="E693" s="1" t="s">
        <v>1670</v>
      </c>
      <c r="F693" s="2" t="n">
        <v>554896146544</v>
      </c>
      <c r="G693" s="1" t="s">
        <v>1671</v>
      </c>
      <c r="H693" s="1" t="s">
        <v>94</v>
      </c>
      <c r="I693" s="1" t="s">
        <v>50</v>
      </c>
      <c r="N693" s="1" t="s">
        <v>965</v>
      </c>
    </row>
    <row r="694" customFormat="false" ht="14.25" hidden="false" customHeight="false" outlineLevel="0" collapsed="false">
      <c r="A694" s="1" t="s">
        <v>1672</v>
      </c>
      <c r="B694" s="1" t="s">
        <v>1673</v>
      </c>
      <c r="C694" s="2" t="n">
        <v>588</v>
      </c>
      <c r="D694" s="1" t="s">
        <v>390</v>
      </c>
      <c r="E694" s="1" t="s">
        <v>1673</v>
      </c>
      <c r="F694" s="2" t="n">
        <v>559591232996</v>
      </c>
      <c r="G694" s="1" t="s">
        <v>1674</v>
      </c>
      <c r="H694" s="1" t="s">
        <v>94</v>
      </c>
      <c r="I694" s="1" t="s">
        <v>34</v>
      </c>
      <c r="N694" s="1" t="s">
        <v>965</v>
      </c>
    </row>
    <row r="695" customFormat="false" ht="14.25" hidden="false" customHeight="false" outlineLevel="0" collapsed="false">
      <c r="A695" s="1" t="s">
        <v>1675</v>
      </c>
      <c r="B695" s="1" t="s">
        <v>1676</v>
      </c>
      <c r="C695" s="2" t="n">
        <v>150</v>
      </c>
      <c r="D695" s="1" t="s">
        <v>24</v>
      </c>
      <c r="E695" s="1" t="s">
        <v>1676</v>
      </c>
      <c r="F695" s="2" t="n">
        <v>556799952165</v>
      </c>
      <c r="H695" s="1" t="s">
        <v>94</v>
      </c>
      <c r="I695" s="1" t="s">
        <v>34</v>
      </c>
      <c r="N695" s="1" t="s">
        <v>965</v>
      </c>
    </row>
    <row r="696" customFormat="false" ht="14.25" hidden="false" customHeight="false" outlineLevel="0" collapsed="false">
      <c r="A696" s="1" t="s">
        <v>1677</v>
      </c>
      <c r="B696" s="1" t="s">
        <v>1678</v>
      </c>
      <c r="C696" s="2" t="n">
        <v>147</v>
      </c>
      <c r="D696" s="1" t="s">
        <v>22</v>
      </c>
      <c r="E696" s="1" t="s">
        <v>1678</v>
      </c>
      <c r="F696" s="2" t="n">
        <v>554591459833</v>
      </c>
      <c r="G696" s="1" t="s">
        <v>1679</v>
      </c>
      <c r="H696" s="1" t="s">
        <v>94</v>
      </c>
      <c r="I696" s="1" t="s">
        <v>54</v>
      </c>
      <c r="N696" s="1" t="s">
        <v>965</v>
      </c>
    </row>
    <row r="697" customFormat="false" ht="14.25" hidden="false" customHeight="false" outlineLevel="0" collapsed="false">
      <c r="A697" s="1" t="s">
        <v>1680</v>
      </c>
      <c r="B697" s="1" t="s">
        <v>1681</v>
      </c>
      <c r="C697" s="2" t="n">
        <v>150</v>
      </c>
      <c r="D697" s="1" t="s">
        <v>32</v>
      </c>
      <c r="E697" s="1" t="s">
        <v>1681</v>
      </c>
      <c r="F697" s="2" t="n">
        <v>5512981378624</v>
      </c>
      <c r="G697" s="1" t="s">
        <v>1682</v>
      </c>
      <c r="H697" s="1" t="s">
        <v>94</v>
      </c>
      <c r="I697" s="1" t="s">
        <v>50</v>
      </c>
      <c r="N697" s="1" t="s">
        <v>965</v>
      </c>
    </row>
    <row r="698" customFormat="false" ht="14.25" hidden="false" customHeight="false" outlineLevel="0" collapsed="false">
      <c r="A698" s="1" t="s">
        <v>1683</v>
      </c>
      <c r="B698" s="1" t="s">
        <v>1678</v>
      </c>
      <c r="C698" s="2" t="n">
        <v>120</v>
      </c>
      <c r="D698" s="1" t="s">
        <v>30</v>
      </c>
      <c r="E698" s="1" t="s">
        <v>1678</v>
      </c>
      <c r="F698" s="2" t="n">
        <v>554591459833</v>
      </c>
      <c r="G698" s="1" t="s">
        <v>1679</v>
      </c>
      <c r="H698" s="1" t="s">
        <v>94</v>
      </c>
      <c r="I698" s="1" t="s">
        <v>54</v>
      </c>
      <c r="N698" s="1" t="s">
        <v>965</v>
      </c>
    </row>
    <row r="699" customFormat="false" ht="14.25" hidden="false" customHeight="false" outlineLevel="0" collapsed="false">
      <c r="A699" s="1" t="s">
        <v>1684</v>
      </c>
      <c r="B699" s="1" t="s">
        <v>1685</v>
      </c>
      <c r="C699" s="2" t="n">
        <v>600</v>
      </c>
      <c r="D699" s="1" t="s">
        <v>106</v>
      </c>
      <c r="E699" s="1" t="s">
        <v>1685</v>
      </c>
      <c r="F699" s="2" t="n">
        <v>556281656833</v>
      </c>
      <c r="G699" s="1" t="s">
        <v>1686</v>
      </c>
      <c r="H699" s="1" t="s">
        <v>94</v>
      </c>
      <c r="I699" s="1" t="s">
        <v>355</v>
      </c>
      <c r="N699" s="1" t="s">
        <v>965</v>
      </c>
    </row>
    <row r="700" customFormat="false" ht="14.25" hidden="false" customHeight="false" outlineLevel="0" collapsed="false">
      <c r="A700" s="1" t="s">
        <v>1687</v>
      </c>
      <c r="B700" s="1" t="s">
        <v>1688</v>
      </c>
      <c r="C700" s="2" t="n">
        <v>300</v>
      </c>
      <c r="D700" s="1" t="s">
        <v>21</v>
      </c>
      <c r="E700" s="1" t="s">
        <v>1688</v>
      </c>
      <c r="F700" s="2" t="n">
        <v>554899929652</v>
      </c>
      <c r="G700" s="1" t="s">
        <v>1689</v>
      </c>
      <c r="H700" s="1" t="s">
        <v>94</v>
      </c>
      <c r="I700" s="1" t="s">
        <v>34</v>
      </c>
      <c r="J700" s="1" t="s">
        <v>908</v>
      </c>
      <c r="N700" s="1" t="s">
        <v>965</v>
      </c>
    </row>
    <row r="701" customFormat="false" ht="14.25" hidden="false" customHeight="false" outlineLevel="0" collapsed="false">
      <c r="A701" s="1" t="s">
        <v>1690</v>
      </c>
      <c r="B701" s="1" t="s">
        <v>1691</v>
      </c>
      <c r="C701" s="2" t="n">
        <v>240</v>
      </c>
      <c r="D701" s="1" t="s">
        <v>30</v>
      </c>
      <c r="E701" s="1" t="s">
        <v>1692</v>
      </c>
      <c r="F701" s="2" t="n">
        <v>5511981375920</v>
      </c>
      <c r="G701" s="1" t="s">
        <v>1693</v>
      </c>
      <c r="H701" s="1" t="s">
        <v>94</v>
      </c>
      <c r="I701" s="1" t="s">
        <v>34</v>
      </c>
      <c r="N701" s="1" t="s">
        <v>965</v>
      </c>
    </row>
    <row r="702" customFormat="false" ht="14.25" hidden="false" customHeight="false" outlineLevel="0" collapsed="false">
      <c r="A702" s="1" t="s">
        <v>1690</v>
      </c>
      <c r="B702" s="1" t="s">
        <v>1694</v>
      </c>
      <c r="C702" s="2" t="n">
        <v>240</v>
      </c>
      <c r="D702" s="1" t="s">
        <v>390</v>
      </c>
      <c r="E702" s="1" t="s">
        <v>1695</v>
      </c>
      <c r="F702" s="2" t="n">
        <v>554197259591</v>
      </c>
      <c r="G702" s="1" t="s">
        <v>1696</v>
      </c>
      <c r="H702" s="1" t="s">
        <v>94</v>
      </c>
      <c r="I702" s="1" t="s">
        <v>50</v>
      </c>
      <c r="N702" s="1" t="s">
        <v>965</v>
      </c>
    </row>
    <row r="703" customFormat="false" ht="14.25" hidden="false" customHeight="false" outlineLevel="0" collapsed="false">
      <c r="A703" s="1" t="s">
        <v>1697</v>
      </c>
      <c r="B703" s="1" t="s">
        <v>1698</v>
      </c>
      <c r="C703" s="2" t="n">
        <v>200</v>
      </c>
      <c r="D703" s="1" t="s">
        <v>1699</v>
      </c>
      <c r="E703" s="1" t="s">
        <v>1700</v>
      </c>
      <c r="H703" s="1" t="s">
        <v>94</v>
      </c>
      <c r="I703" s="1" t="s">
        <v>54</v>
      </c>
      <c r="N703" s="1" t="s">
        <v>1022</v>
      </c>
    </row>
    <row r="704" customFormat="false" ht="14.25" hidden="false" customHeight="false" outlineLevel="0" collapsed="false">
      <c r="A704" s="1" t="s">
        <v>1701</v>
      </c>
      <c r="B704" s="1" t="s">
        <v>1702</v>
      </c>
      <c r="C704" s="2" t="n">
        <v>97</v>
      </c>
      <c r="D704" s="1" t="s">
        <v>20</v>
      </c>
      <c r="E704" s="1" t="s">
        <v>1702</v>
      </c>
      <c r="F704" s="2" t="n">
        <v>559584406992</v>
      </c>
      <c r="G704" s="1" t="s">
        <v>1703</v>
      </c>
      <c r="H704" s="1" t="s">
        <v>94</v>
      </c>
      <c r="I704" s="1" t="s">
        <v>34</v>
      </c>
      <c r="N704" s="1" t="s">
        <v>965</v>
      </c>
    </row>
    <row r="705" customFormat="false" ht="14.25" hidden="false" customHeight="false" outlineLevel="0" collapsed="false">
      <c r="A705" s="1" t="s">
        <v>1704</v>
      </c>
      <c r="B705" s="1" t="s">
        <v>1306</v>
      </c>
      <c r="C705" s="2" t="n">
        <v>147</v>
      </c>
      <c r="D705" s="1" t="s">
        <v>22</v>
      </c>
      <c r="E705" s="1" t="s">
        <v>1306</v>
      </c>
      <c r="F705" s="2" t="n">
        <v>556599736852</v>
      </c>
      <c r="G705" s="1" t="s">
        <v>1307</v>
      </c>
      <c r="H705" s="1" t="s">
        <v>94</v>
      </c>
      <c r="I705" s="1" t="s">
        <v>54</v>
      </c>
      <c r="N705" s="1" t="s">
        <v>1022</v>
      </c>
    </row>
    <row r="706" customFormat="false" ht="14.25" hidden="false" customHeight="false" outlineLevel="0" collapsed="false">
      <c r="B706" s="1" t="s">
        <v>43</v>
      </c>
      <c r="C706" s="2" t="n">
        <v>0</v>
      </c>
      <c r="D706" s="1" t="s">
        <v>21</v>
      </c>
      <c r="E706" s="1" t="s">
        <v>1343</v>
      </c>
      <c r="F706" s="2" t="n">
        <v>554888233617</v>
      </c>
      <c r="G706" s="1" t="s">
        <v>1344</v>
      </c>
      <c r="H706" s="1" t="s">
        <v>94</v>
      </c>
      <c r="I706" s="1" t="s">
        <v>54</v>
      </c>
      <c r="N706" s="1" t="s">
        <v>1022</v>
      </c>
    </row>
    <row r="707" customFormat="false" ht="14.25" hidden="false" customHeight="false" outlineLevel="0" collapsed="false">
      <c r="A707" s="1" t="s">
        <v>1705</v>
      </c>
      <c r="B707" s="1" t="s">
        <v>1706</v>
      </c>
      <c r="C707" s="2" t="n">
        <v>147</v>
      </c>
      <c r="D707" s="1" t="s">
        <v>18</v>
      </c>
      <c r="E707" s="1" t="s">
        <v>1707</v>
      </c>
      <c r="F707" s="2" t="n">
        <v>556291104005</v>
      </c>
      <c r="G707" s="1" t="s">
        <v>1708</v>
      </c>
      <c r="H707" s="1" t="s">
        <v>94</v>
      </c>
      <c r="I707" s="1" t="s">
        <v>54</v>
      </c>
      <c r="N707" s="1" t="s">
        <v>1022</v>
      </c>
    </row>
    <row r="708" customFormat="false" ht="14.25" hidden="false" customHeight="false" outlineLevel="0" collapsed="false">
      <c r="A708" s="1" t="s">
        <v>1709</v>
      </c>
      <c r="B708" s="1" t="s">
        <v>1710</v>
      </c>
      <c r="C708" s="2" t="n">
        <v>150</v>
      </c>
      <c r="D708" s="1" t="s">
        <v>32</v>
      </c>
      <c r="E708" s="1" t="s">
        <v>1710</v>
      </c>
      <c r="F708" s="2" t="n">
        <v>554196168782</v>
      </c>
      <c r="G708" s="1" t="s">
        <v>1711</v>
      </c>
      <c r="H708" s="1" t="s">
        <v>94</v>
      </c>
      <c r="I708" s="1" t="s">
        <v>355</v>
      </c>
      <c r="N708" s="1" t="s">
        <v>965</v>
      </c>
    </row>
    <row r="709" customFormat="false" ht="14.25" hidden="false" customHeight="false" outlineLevel="0" collapsed="false">
      <c r="A709" s="1" t="s">
        <v>1712</v>
      </c>
      <c r="B709" s="1" t="s">
        <v>1713</v>
      </c>
      <c r="C709" s="2" t="n">
        <v>300</v>
      </c>
      <c r="D709" s="1" t="s">
        <v>32</v>
      </c>
      <c r="E709" s="1" t="s">
        <v>1714</v>
      </c>
      <c r="F709" s="2" t="n">
        <v>555481044944</v>
      </c>
      <c r="G709" s="1" t="s">
        <v>1715</v>
      </c>
      <c r="H709" s="1" t="s">
        <v>94</v>
      </c>
      <c r="I709" s="1" t="s">
        <v>34</v>
      </c>
      <c r="N709" s="1" t="s">
        <v>965</v>
      </c>
    </row>
    <row r="710" customFormat="false" ht="14.25" hidden="false" customHeight="false" outlineLevel="0" collapsed="false">
      <c r="A710" s="1" t="s">
        <v>1716</v>
      </c>
      <c r="B710" s="1" t="s">
        <v>252</v>
      </c>
      <c r="C710" s="2" t="n">
        <v>150</v>
      </c>
      <c r="D710" s="1" t="s">
        <v>32</v>
      </c>
      <c r="E710" s="1" t="s">
        <v>252</v>
      </c>
      <c r="F710" s="2" t="n">
        <v>5511938011568</v>
      </c>
      <c r="G710" s="1" t="s">
        <v>253</v>
      </c>
      <c r="H710" s="1" t="s">
        <v>94</v>
      </c>
      <c r="I710" s="1" t="s">
        <v>54</v>
      </c>
      <c r="N710" s="1" t="s">
        <v>1022</v>
      </c>
    </row>
    <row r="711" customFormat="false" ht="14.25" hidden="false" customHeight="false" outlineLevel="0" collapsed="false">
      <c r="A711" s="1" t="s">
        <v>1717</v>
      </c>
      <c r="B711" s="1" t="s">
        <v>1718</v>
      </c>
      <c r="C711" s="2" t="n">
        <v>150</v>
      </c>
      <c r="D711" s="1" t="s">
        <v>32</v>
      </c>
      <c r="E711" s="1" t="s">
        <v>1718</v>
      </c>
      <c r="F711" s="2" t="n">
        <v>5354629954</v>
      </c>
      <c r="G711" s="1" t="s">
        <v>1719</v>
      </c>
      <c r="H711" s="1" t="s">
        <v>94</v>
      </c>
      <c r="I711" s="1" t="s">
        <v>34</v>
      </c>
      <c r="N711" s="1" t="s">
        <v>965</v>
      </c>
    </row>
    <row r="712" customFormat="false" ht="14.25" hidden="false" customHeight="false" outlineLevel="0" collapsed="false">
      <c r="A712" s="1" t="s">
        <v>1720</v>
      </c>
      <c r="B712" s="1" t="s">
        <v>1721</v>
      </c>
      <c r="C712" s="2" t="n">
        <v>150</v>
      </c>
      <c r="D712" s="1" t="s">
        <v>32</v>
      </c>
      <c r="E712" s="1" t="s">
        <v>1722</v>
      </c>
      <c r="F712" s="2" t="n">
        <v>554184521162</v>
      </c>
      <c r="G712" s="1" t="s">
        <v>1723</v>
      </c>
      <c r="H712" s="1" t="s">
        <v>94</v>
      </c>
      <c r="I712" s="1" t="s">
        <v>34</v>
      </c>
      <c r="J712" s="1" t="s">
        <v>35</v>
      </c>
      <c r="K712" s="1" t="s">
        <v>36</v>
      </c>
      <c r="L712" s="1" t="s">
        <v>37</v>
      </c>
      <c r="M712" s="1" t="s">
        <v>38</v>
      </c>
      <c r="N712" s="1" t="s">
        <v>965</v>
      </c>
    </row>
    <row r="713" customFormat="false" ht="14.25" hidden="false" customHeight="false" outlineLevel="0" collapsed="false">
      <c r="A713" s="1" t="s">
        <v>1724</v>
      </c>
      <c r="B713" s="1" t="s">
        <v>1725</v>
      </c>
      <c r="C713" s="2" t="n">
        <v>150</v>
      </c>
      <c r="D713" s="1" t="s">
        <v>22</v>
      </c>
      <c r="E713" s="1" t="s">
        <v>1725</v>
      </c>
      <c r="F713" s="2" t="n">
        <v>554197032682</v>
      </c>
      <c r="G713" s="1" t="s">
        <v>1726</v>
      </c>
      <c r="H713" s="1" t="s">
        <v>94</v>
      </c>
      <c r="I713" s="1" t="s">
        <v>54</v>
      </c>
      <c r="N713" s="1" t="s">
        <v>1022</v>
      </c>
    </row>
    <row r="714" customFormat="false" ht="14.25" hidden="false" customHeight="false" outlineLevel="0" collapsed="false">
      <c r="A714" s="1" t="s">
        <v>1727</v>
      </c>
      <c r="B714" s="1" t="s">
        <v>1728</v>
      </c>
      <c r="C714" s="2" t="n">
        <v>150</v>
      </c>
      <c r="D714" s="1" t="s">
        <v>1471</v>
      </c>
      <c r="E714" s="1" t="s">
        <v>1728</v>
      </c>
      <c r="F714" s="2" t="n">
        <v>554199071114</v>
      </c>
      <c r="G714" s="1" t="s">
        <v>1729</v>
      </c>
      <c r="H714" s="1" t="s">
        <v>94</v>
      </c>
      <c r="I714" s="1" t="s">
        <v>355</v>
      </c>
      <c r="N714" s="1" t="s">
        <v>965</v>
      </c>
    </row>
    <row r="715" customFormat="false" ht="14.25" hidden="false" customHeight="false" outlineLevel="0" collapsed="false">
      <c r="A715" s="1" t="s">
        <v>1730</v>
      </c>
      <c r="B715" s="1" t="s">
        <v>1731</v>
      </c>
      <c r="C715" s="2" t="n">
        <v>147</v>
      </c>
      <c r="D715" s="1" t="s">
        <v>390</v>
      </c>
      <c r="E715" s="1" t="s">
        <v>1731</v>
      </c>
      <c r="F715" s="2" t="n">
        <v>554198690517</v>
      </c>
      <c r="G715" s="1" t="s">
        <v>1732</v>
      </c>
      <c r="H715" s="1" t="s">
        <v>94</v>
      </c>
      <c r="I715" s="1" t="s">
        <v>355</v>
      </c>
      <c r="N715" s="1" t="s">
        <v>965</v>
      </c>
    </row>
    <row r="716" customFormat="false" ht="14.25" hidden="false" customHeight="false" outlineLevel="0" collapsed="false">
      <c r="A716" s="1" t="s">
        <v>1733</v>
      </c>
      <c r="B716" s="1" t="s">
        <v>1734</v>
      </c>
      <c r="C716" s="2" t="n">
        <v>450</v>
      </c>
      <c r="D716" s="1" t="s">
        <v>24</v>
      </c>
      <c r="E716" s="1" t="s">
        <v>1734</v>
      </c>
      <c r="F716" s="2" t="n">
        <v>556692637187</v>
      </c>
      <c r="G716" s="1" t="s">
        <v>1735</v>
      </c>
      <c r="H716" s="1" t="s">
        <v>94</v>
      </c>
      <c r="I716" s="1" t="s">
        <v>355</v>
      </c>
      <c r="N716" s="1" t="s">
        <v>965</v>
      </c>
    </row>
    <row r="717" customFormat="false" ht="14.25" hidden="false" customHeight="false" outlineLevel="0" collapsed="false">
      <c r="A717" s="1" t="s">
        <v>1736</v>
      </c>
      <c r="B717" s="1" t="s">
        <v>1737</v>
      </c>
      <c r="C717" s="2" t="n">
        <v>150</v>
      </c>
      <c r="D717" s="1" t="s">
        <v>32</v>
      </c>
      <c r="E717" s="1" t="s">
        <v>1738</v>
      </c>
      <c r="F717" s="2" t="n">
        <v>554195831409</v>
      </c>
      <c r="G717" s="1" t="s">
        <v>1739</v>
      </c>
      <c r="H717" s="1" t="s">
        <v>94</v>
      </c>
      <c r="I717" s="1" t="s">
        <v>34</v>
      </c>
      <c r="N717" s="1" t="s">
        <v>965</v>
      </c>
    </row>
    <row r="718" customFormat="false" ht="14.25" hidden="false" customHeight="false" outlineLevel="0" collapsed="false">
      <c r="A718" s="1" t="s">
        <v>1740</v>
      </c>
      <c r="B718" s="1" t="s">
        <v>1741</v>
      </c>
      <c r="C718" s="2" t="n">
        <v>150</v>
      </c>
      <c r="D718" s="1" t="s">
        <v>29</v>
      </c>
      <c r="E718" s="1" t="s">
        <v>1741</v>
      </c>
      <c r="F718" s="2" t="n">
        <v>554187387956</v>
      </c>
      <c r="G718" s="1" t="s">
        <v>1742</v>
      </c>
      <c r="H718" s="1" t="s">
        <v>94</v>
      </c>
      <c r="I718" s="1" t="s">
        <v>355</v>
      </c>
      <c r="N718" s="1" t="s">
        <v>965</v>
      </c>
    </row>
    <row r="719" customFormat="false" ht="14.25" hidden="false" customHeight="false" outlineLevel="0" collapsed="false">
      <c r="A719" s="1" t="s">
        <v>1743</v>
      </c>
      <c r="B719" s="1" t="s">
        <v>1744</v>
      </c>
      <c r="C719" s="2" t="n">
        <v>60</v>
      </c>
      <c r="D719" s="1" t="s">
        <v>862</v>
      </c>
      <c r="E719" s="1" t="s">
        <v>1745</v>
      </c>
      <c r="F719" s="2" t="n">
        <v>553173657197</v>
      </c>
      <c r="G719" s="1" t="s">
        <v>1746</v>
      </c>
      <c r="H719" s="1" t="s">
        <v>94</v>
      </c>
      <c r="I719" s="1" t="s">
        <v>50</v>
      </c>
      <c r="N719" s="1" t="s">
        <v>965</v>
      </c>
    </row>
    <row r="720" customFormat="false" ht="14.25" hidden="false" customHeight="false" outlineLevel="0" collapsed="false">
      <c r="A720" s="1" t="s">
        <v>1747</v>
      </c>
      <c r="B720" s="1" t="s">
        <v>1748</v>
      </c>
      <c r="C720" s="2" t="n">
        <v>120</v>
      </c>
      <c r="D720" s="1" t="s">
        <v>21</v>
      </c>
      <c r="E720" s="1" t="s">
        <v>1748</v>
      </c>
      <c r="F720" s="2" t="n">
        <v>559584093409</v>
      </c>
      <c r="G720" s="1" t="s">
        <v>1749</v>
      </c>
      <c r="H720" s="1" t="s">
        <v>94</v>
      </c>
      <c r="I720" s="1" t="s">
        <v>355</v>
      </c>
      <c r="N720" s="1" t="s">
        <v>965</v>
      </c>
    </row>
    <row r="721" customFormat="false" ht="14.25" hidden="false" customHeight="false" outlineLevel="0" collapsed="false">
      <c r="A721" s="1" t="s">
        <v>1750</v>
      </c>
      <c r="B721" s="1" t="s">
        <v>1751</v>
      </c>
      <c r="C721" s="2" t="n">
        <v>50</v>
      </c>
      <c r="D721" s="1" t="s">
        <v>862</v>
      </c>
      <c r="E721" s="1" t="s">
        <v>1751</v>
      </c>
      <c r="F721" s="2" t="n">
        <v>554197054059</v>
      </c>
      <c r="G721" s="1" t="s">
        <v>1468</v>
      </c>
      <c r="H721" s="1" t="s">
        <v>94</v>
      </c>
      <c r="I721" s="1" t="s">
        <v>355</v>
      </c>
      <c r="J721" s="1" t="s">
        <v>1176</v>
      </c>
      <c r="K721" s="1" t="s">
        <v>1752</v>
      </c>
      <c r="L721" s="1" t="s">
        <v>1753</v>
      </c>
      <c r="M721" s="1" t="s">
        <v>1179</v>
      </c>
      <c r="N721" s="1" t="s">
        <v>965</v>
      </c>
    </row>
    <row r="722" customFormat="false" ht="14.25" hidden="false" customHeight="false" outlineLevel="0" collapsed="false">
      <c r="A722" s="1" t="s">
        <v>1754</v>
      </c>
      <c r="B722" s="1" t="s">
        <v>1755</v>
      </c>
      <c r="C722" s="2" t="n">
        <v>150</v>
      </c>
      <c r="D722" s="1" t="s">
        <v>32</v>
      </c>
      <c r="E722" s="1" t="s">
        <v>1755</v>
      </c>
      <c r="F722" s="2" t="n">
        <v>556182059813</v>
      </c>
      <c r="G722" s="1" t="s">
        <v>1756</v>
      </c>
      <c r="H722" s="1" t="s">
        <v>94</v>
      </c>
      <c r="I722" s="1" t="s">
        <v>34</v>
      </c>
      <c r="N722" s="1" t="s">
        <v>965</v>
      </c>
    </row>
    <row r="723" customFormat="false" ht="14.25" hidden="false" customHeight="false" outlineLevel="0" collapsed="false">
      <c r="A723" s="1" t="s">
        <v>1757</v>
      </c>
      <c r="B723" s="1" t="s">
        <v>1758</v>
      </c>
      <c r="C723" s="2" t="n">
        <v>120</v>
      </c>
      <c r="D723" s="1" t="s">
        <v>30</v>
      </c>
      <c r="E723" s="1" t="s">
        <v>1758</v>
      </c>
      <c r="F723" s="2" t="n">
        <v>5511939372460</v>
      </c>
      <c r="G723" s="1" t="s">
        <v>1759</v>
      </c>
      <c r="H723" s="1" t="s">
        <v>94</v>
      </c>
      <c r="I723" s="1" t="s">
        <v>54</v>
      </c>
      <c r="N723" s="1" t="s">
        <v>1022</v>
      </c>
    </row>
    <row r="724" customFormat="false" ht="14.25" hidden="false" customHeight="false" outlineLevel="0" collapsed="false">
      <c r="A724" s="1" t="s">
        <v>1760</v>
      </c>
      <c r="B724" s="1" t="s">
        <v>1761</v>
      </c>
      <c r="C724" s="2" t="n">
        <v>60</v>
      </c>
      <c r="D724" s="1" t="s">
        <v>25</v>
      </c>
      <c r="E724" s="1" t="s">
        <v>1762</v>
      </c>
      <c r="F724" s="2" t="n">
        <v>5355629785</v>
      </c>
      <c r="G724" s="1" t="s">
        <v>668</v>
      </c>
      <c r="H724" s="1" t="s">
        <v>94</v>
      </c>
      <c r="I724" s="1" t="s">
        <v>34</v>
      </c>
      <c r="N724" s="1" t="s">
        <v>965</v>
      </c>
    </row>
    <row r="725" customFormat="false" ht="14.25" hidden="false" customHeight="false" outlineLevel="0" collapsed="false">
      <c r="A725" s="1" t="s">
        <v>1763</v>
      </c>
      <c r="B725" s="1" t="s">
        <v>1731</v>
      </c>
      <c r="C725" s="2" t="n">
        <v>147</v>
      </c>
      <c r="D725" s="1" t="s">
        <v>18</v>
      </c>
      <c r="E725" s="1" t="s">
        <v>1731</v>
      </c>
      <c r="F725" s="2" t="n">
        <v>554198690517</v>
      </c>
      <c r="G725" s="1" t="s">
        <v>1732</v>
      </c>
      <c r="H725" s="1" t="s">
        <v>94</v>
      </c>
      <c r="I725" s="1" t="s">
        <v>54</v>
      </c>
      <c r="N725" s="1" t="s">
        <v>1022</v>
      </c>
    </row>
    <row r="726" customFormat="false" ht="14.25" hidden="false" customHeight="false" outlineLevel="0" collapsed="false">
      <c r="A726" s="1" t="s">
        <v>1764</v>
      </c>
      <c r="B726" s="1" t="s">
        <v>1765</v>
      </c>
      <c r="C726" s="2" t="n">
        <v>197</v>
      </c>
      <c r="D726" s="1" t="s">
        <v>1021</v>
      </c>
      <c r="E726" s="1" t="s">
        <v>1765</v>
      </c>
      <c r="F726" s="2" t="n">
        <v>554195034361</v>
      </c>
      <c r="G726" s="1" t="s">
        <v>1766</v>
      </c>
      <c r="H726" s="1" t="s">
        <v>94</v>
      </c>
      <c r="I726" s="1" t="s">
        <v>50</v>
      </c>
      <c r="N726" s="1" t="s">
        <v>965</v>
      </c>
    </row>
    <row r="727" customFormat="false" ht="14.25" hidden="false" customHeight="false" outlineLevel="0" collapsed="false">
      <c r="A727" s="1" t="s">
        <v>1767</v>
      </c>
      <c r="B727" s="1" t="s">
        <v>1768</v>
      </c>
      <c r="C727" s="2" t="n">
        <v>240</v>
      </c>
      <c r="D727" s="1" t="s">
        <v>21</v>
      </c>
      <c r="E727" s="1" t="s">
        <v>1768</v>
      </c>
      <c r="F727" s="2" t="n">
        <v>554796557384</v>
      </c>
      <c r="G727" s="1" t="s">
        <v>1769</v>
      </c>
      <c r="H727" s="1" t="s">
        <v>94</v>
      </c>
      <c r="I727" s="1" t="s">
        <v>54</v>
      </c>
      <c r="N727" s="1" t="s">
        <v>1022</v>
      </c>
    </row>
    <row r="728" customFormat="false" ht="14.25" hidden="false" customHeight="false" outlineLevel="0" collapsed="false">
      <c r="A728" s="1" t="s">
        <v>1770</v>
      </c>
      <c r="B728" s="1" t="s">
        <v>1771</v>
      </c>
      <c r="C728" s="2" t="n">
        <v>150</v>
      </c>
      <c r="D728" s="1" t="s">
        <v>32</v>
      </c>
      <c r="E728" s="1" t="s">
        <v>1771</v>
      </c>
      <c r="F728" s="2" t="n">
        <v>554185042577</v>
      </c>
      <c r="G728" s="1" t="s">
        <v>1772</v>
      </c>
      <c r="H728" s="1" t="s">
        <v>94</v>
      </c>
      <c r="I728" s="1" t="s">
        <v>34</v>
      </c>
      <c r="N728" s="1" t="s">
        <v>965</v>
      </c>
    </row>
    <row r="729" customFormat="false" ht="14.25" hidden="false" customHeight="false" outlineLevel="0" collapsed="false">
      <c r="A729" s="1" t="s">
        <v>1773</v>
      </c>
      <c r="B729" s="1" t="s">
        <v>1774</v>
      </c>
      <c r="C729" s="2" t="n">
        <v>90</v>
      </c>
      <c r="D729" s="1" t="s">
        <v>16</v>
      </c>
      <c r="E729" s="1" t="s">
        <v>1774</v>
      </c>
      <c r="F729" s="2" t="n">
        <v>5515997985942</v>
      </c>
      <c r="G729" s="1" t="s">
        <v>1775</v>
      </c>
      <c r="H729" s="1" t="s">
        <v>94</v>
      </c>
      <c r="I729" s="1" t="s">
        <v>50</v>
      </c>
      <c r="N729" s="1" t="s">
        <v>965</v>
      </c>
    </row>
    <row r="730" customFormat="false" ht="14.25" hidden="false" customHeight="false" outlineLevel="0" collapsed="false">
      <c r="A730" s="1" t="s">
        <v>1776</v>
      </c>
      <c r="B730" s="1" t="s">
        <v>1777</v>
      </c>
      <c r="C730" s="2" t="n">
        <v>120</v>
      </c>
      <c r="D730" s="1" t="s">
        <v>30</v>
      </c>
      <c r="E730" s="1" t="s">
        <v>1777</v>
      </c>
      <c r="F730" s="2" t="n">
        <v>554191678109</v>
      </c>
      <c r="G730" s="1" t="s">
        <v>1778</v>
      </c>
      <c r="H730" s="1" t="s">
        <v>94</v>
      </c>
      <c r="I730" s="1" t="s">
        <v>355</v>
      </c>
      <c r="N730" s="1" t="s">
        <v>965</v>
      </c>
    </row>
    <row r="731" customFormat="false" ht="14.25" hidden="false" customHeight="false" outlineLevel="0" collapsed="false">
      <c r="A731" s="1" t="s">
        <v>1779</v>
      </c>
      <c r="B731" s="1" t="s">
        <v>1774</v>
      </c>
      <c r="C731" s="2" t="n">
        <v>147</v>
      </c>
      <c r="D731" s="1" t="s">
        <v>18</v>
      </c>
      <c r="E731" s="1" t="s">
        <v>1774</v>
      </c>
      <c r="F731" s="2" t="n">
        <v>5515997985942</v>
      </c>
      <c r="G731" s="1" t="s">
        <v>1775</v>
      </c>
      <c r="H731" s="1" t="s">
        <v>94</v>
      </c>
      <c r="I731" s="1" t="s">
        <v>34</v>
      </c>
      <c r="N731" s="1" t="s">
        <v>965</v>
      </c>
    </row>
    <row r="732" customFormat="false" ht="14.25" hidden="false" customHeight="false" outlineLevel="0" collapsed="false">
      <c r="A732" s="1" t="s">
        <v>1780</v>
      </c>
      <c r="B732" s="1" t="s">
        <v>1480</v>
      </c>
      <c r="C732" s="2" t="n">
        <v>147</v>
      </c>
      <c r="D732" s="1" t="s">
        <v>390</v>
      </c>
      <c r="E732" s="1" t="s">
        <v>1480</v>
      </c>
      <c r="F732" s="2" t="n">
        <v>554891705244</v>
      </c>
      <c r="G732" s="1" t="s">
        <v>1481</v>
      </c>
      <c r="H732" s="1" t="s">
        <v>94</v>
      </c>
      <c r="I732" s="1" t="s">
        <v>50</v>
      </c>
      <c r="N732" s="1" t="s">
        <v>1022</v>
      </c>
    </row>
    <row r="733" customFormat="false" ht="14.25" hidden="false" customHeight="false" outlineLevel="0" collapsed="false">
      <c r="A733" s="1" t="s">
        <v>1781</v>
      </c>
      <c r="B733" s="1" t="s">
        <v>1782</v>
      </c>
      <c r="C733" s="2" t="n">
        <v>240</v>
      </c>
      <c r="D733" s="1" t="s">
        <v>21</v>
      </c>
      <c r="E733" s="1" t="s">
        <v>1783</v>
      </c>
      <c r="F733" s="2" t="n">
        <v>554988392769</v>
      </c>
      <c r="G733" s="1" t="s">
        <v>1784</v>
      </c>
      <c r="H733" s="1" t="s">
        <v>94</v>
      </c>
      <c r="I733" s="1" t="s">
        <v>355</v>
      </c>
      <c r="J733" s="1" t="s">
        <v>60</v>
      </c>
      <c r="K733" s="1" t="s">
        <v>27</v>
      </c>
      <c r="L733" s="1" t="s">
        <v>221</v>
      </c>
      <c r="M733" s="1" t="s">
        <v>62</v>
      </c>
      <c r="N733" s="1" t="s">
        <v>965</v>
      </c>
    </row>
    <row r="734" customFormat="false" ht="14.25" hidden="false" customHeight="false" outlineLevel="0" collapsed="false">
      <c r="A734" s="1" t="s">
        <v>1785</v>
      </c>
      <c r="B734" s="1" t="s">
        <v>1786</v>
      </c>
      <c r="C734" s="2" t="n">
        <v>294</v>
      </c>
      <c r="D734" s="1" t="s">
        <v>18</v>
      </c>
      <c r="E734" s="1" t="s">
        <v>1787</v>
      </c>
      <c r="F734" s="2" t="n">
        <v>5515997938402</v>
      </c>
      <c r="G734" s="1" t="s">
        <v>1788</v>
      </c>
      <c r="H734" s="1" t="s">
        <v>94</v>
      </c>
      <c r="I734" s="1" t="s">
        <v>355</v>
      </c>
      <c r="J734" s="1" t="s">
        <v>35</v>
      </c>
      <c r="K734" s="1" t="s">
        <v>69</v>
      </c>
      <c r="L734" s="1" t="s">
        <v>70</v>
      </c>
      <c r="M734" s="1" t="s">
        <v>38</v>
      </c>
      <c r="N734" s="1" t="s">
        <v>965</v>
      </c>
    </row>
    <row r="735" customFormat="false" ht="14.25" hidden="false" customHeight="false" outlineLevel="0" collapsed="false">
      <c r="A735" s="1" t="s">
        <v>1789</v>
      </c>
      <c r="B735" s="1" t="s">
        <v>1790</v>
      </c>
      <c r="C735" s="2" t="n">
        <v>45</v>
      </c>
      <c r="D735" s="1" t="s">
        <v>25</v>
      </c>
      <c r="E735" s="1" t="s">
        <v>1791</v>
      </c>
      <c r="F735" s="2" t="n">
        <v>554184537514</v>
      </c>
      <c r="G735" s="1" t="s">
        <v>1792</v>
      </c>
      <c r="H735" s="1" t="s">
        <v>94</v>
      </c>
      <c r="I735" s="1" t="s">
        <v>34</v>
      </c>
      <c r="N735" s="1" t="s">
        <v>965</v>
      </c>
    </row>
    <row r="736" customFormat="false" ht="14.25" hidden="false" customHeight="false" outlineLevel="0" collapsed="false">
      <c r="A736" s="1" t="s">
        <v>1793</v>
      </c>
      <c r="B736" s="1" t="s">
        <v>1794</v>
      </c>
      <c r="C736" s="2" t="n">
        <v>150</v>
      </c>
      <c r="D736" s="1" t="s">
        <v>32</v>
      </c>
      <c r="E736" s="1" t="s">
        <v>1794</v>
      </c>
      <c r="F736" s="2" t="n">
        <v>554896192290</v>
      </c>
      <c r="G736" s="1" t="s">
        <v>1795</v>
      </c>
      <c r="H736" s="1" t="s">
        <v>94</v>
      </c>
      <c r="I736" s="1" t="s">
        <v>34</v>
      </c>
      <c r="N736" s="1" t="s">
        <v>965</v>
      </c>
    </row>
    <row r="737" customFormat="false" ht="14.25" hidden="false" customHeight="false" outlineLevel="0" collapsed="false">
      <c r="A737" s="1" t="s">
        <v>1796</v>
      </c>
      <c r="B737" s="1" t="s">
        <v>1571</v>
      </c>
      <c r="C737" s="2" t="n">
        <v>147</v>
      </c>
      <c r="D737" s="1" t="s">
        <v>390</v>
      </c>
      <c r="E737" s="1" t="s">
        <v>1571</v>
      </c>
      <c r="F737" s="2" t="n">
        <v>554198111746</v>
      </c>
      <c r="G737" s="1" t="s">
        <v>1572</v>
      </c>
      <c r="H737" s="1" t="s">
        <v>94</v>
      </c>
      <c r="I737" s="1" t="s">
        <v>54</v>
      </c>
      <c r="N737" s="1" t="s">
        <v>1022</v>
      </c>
    </row>
    <row r="738" customFormat="false" ht="14.25" hidden="false" customHeight="false" outlineLevel="0" collapsed="false">
      <c r="A738" s="1" t="s">
        <v>1797</v>
      </c>
      <c r="B738" s="1" t="s">
        <v>1798</v>
      </c>
      <c r="C738" s="2" t="n">
        <v>150</v>
      </c>
      <c r="D738" s="1" t="s">
        <v>30</v>
      </c>
      <c r="E738" s="1" t="s">
        <v>1799</v>
      </c>
      <c r="F738" s="2" t="n">
        <v>5516993411002</v>
      </c>
      <c r="G738" s="1" t="s">
        <v>1800</v>
      </c>
      <c r="H738" s="1" t="s">
        <v>94</v>
      </c>
      <c r="I738" s="1" t="s">
        <v>34</v>
      </c>
      <c r="N738" s="1" t="s">
        <v>965</v>
      </c>
    </row>
    <row r="739" customFormat="false" ht="14.25" hidden="false" customHeight="false" outlineLevel="0" collapsed="false">
      <c r="A739" s="1" t="s">
        <v>1801</v>
      </c>
      <c r="B739" s="1" t="s">
        <v>1581</v>
      </c>
      <c r="C739" s="2" t="n">
        <v>400</v>
      </c>
      <c r="D739" s="1" t="s">
        <v>390</v>
      </c>
      <c r="E739" s="1" t="s">
        <v>1581</v>
      </c>
      <c r="F739" s="2" t="n">
        <v>554591414688</v>
      </c>
      <c r="G739" s="1" t="s">
        <v>1582</v>
      </c>
      <c r="H739" s="1" t="s">
        <v>94</v>
      </c>
      <c r="I739" s="1" t="s">
        <v>54</v>
      </c>
      <c r="N739" s="1" t="s">
        <v>1022</v>
      </c>
    </row>
    <row r="740" customFormat="false" ht="14.25" hidden="false" customHeight="false" outlineLevel="0" collapsed="false">
      <c r="A740" s="1" t="s">
        <v>1802</v>
      </c>
      <c r="B740" s="1" t="s">
        <v>1652</v>
      </c>
      <c r="C740" s="2" t="n">
        <v>147</v>
      </c>
      <c r="D740" s="1" t="s">
        <v>18</v>
      </c>
      <c r="E740" s="1" t="s">
        <v>1803</v>
      </c>
      <c r="F740" s="2" t="n">
        <v>556281066019</v>
      </c>
      <c r="G740" s="1" t="s">
        <v>1653</v>
      </c>
      <c r="H740" s="1" t="s">
        <v>94</v>
      </c>
      <c r="I740" s="1" t="s">
        <v>54</v>
      </c>
      <c r="N740" s="1" t="s">
        <v>1022</v>
      </c>
    </row>
    <row r="741" customFormat="false" ht="14.25" hidden="false" customHeight="false" outlineLevel="0" collapsed="false">
      <c r="A741" s="1" t="s">
        <v>1804</v>
      </c>
      <c r="B741" s="1" t="s">
        <v>1805</v>
      </c>
      <c r="C741" s="2" t="n">
        <v>120</v>
      </c>
      <c r="D741" s="1" t="s">
        <v>30</v>
      </c>
      <c r="E741" s="1" t="s">
        <v>1805</v>
      </c>
      <c r="F741" s="2" t="n">
        <v>555496242893</v>
      </c>
      <c r="G741" s="1" t="s">
        <v>1806</v>
      </c>
      <c r="H741" s="1" t="s">
        <v>94</v>
      </c>
      <c r="I741" s="1" t="s">
        <v>54</v>
      </c>
      <c r="N741" s="1" t="s">
        <v>1022</v>
      </c>
    </row>
    <row r="742" customFormat="false" ht="14.25" hidden="false" customHeight="false" outlineLevel="0" collapsed="false">
      <c r="B742" s="1" t="s">
        <v>43</v>
      </c>
      <c r="C742" s="2" t="n">
        <v>0</v>
      </c>
      <c r="D742" s="1" t="s">
        <v>18</v>
      </c>
      <c r="E742" s="1" t="s">
        <v>1565</v>
      </c>
      <c r="F742" s="2" t="n">
        <v>554899331747</v>
      </c>
      <c r="G742" s="1" t="s">
        <v>1566</v>
      </c>
      <c r="H742" s="1" t="s">
        <v>94</v>
      </c>
      <c r="I742" s="1" t="s">
        <v>54</v>
      </c>
      <c r="N742" s="1" t="s">
        <v>1022</v>
      </c>
    </row>
    <row r="743" customFormat="false" ht="14.25" hidden="false" customHeight="false" outlineLevel="0" collapsed="false">
      <c r="A743" s="1" t="s">
        <v>1807</v>
      </c>
      <c r="B743" s="1" t="s">
        <v>1808</v>
      </c>
      <c r="C743" s="2" t="n">
        <v>120</v>
      </c>
      <c r="D743" s="1" t="s">
        <v>30</v>
      </c>
      <c r="E743" s="1" t="s">
        <v>1809</v>
      </c>
      <c r="F743" s="2" t="n">
        <v>554196104209</v>
      </c>
      <c r="G743" s="1" t="s">
        <v>1810</v>
      </c>
      <c r="H743" s="1" t="s">
        <v>94</v>
      </c>
      <c r="I743" s="1" t="s">
        <v>355</v>
      </c>
      <c r="N743" s="1" t="s">
        <v>965</v>
      </c>
    </row>
    <row r="744" customFormat="false" ht="14.25" hidden="false" customHeight="false" outlineLevel="0" collapsed="false">
      <c r="A744" s="1" t="s">
        <v>1811</v>
      </c>
      <c r="B744" s="1" t="s">
        <v>1812</v>
      </c>
      <c r="C744" s="2" t="n">
        <v>147</v>
      </c>
      <c r="D744" s="1" t="s">
        <v>22</v>
      </c>
      <c r="E744" s="1" t="s">
        <v>1812</v>
      </c>
      <c r="F744" s="2" t="n">
        <v>554195428908</v>
      </c>
      <c r="G744" s="1" t="s">
        <v>1813</v>
      </c>
      <c r="H744" s="1" t="s">
        <v>94</v>
      </c>
      <c r="I744" s="1" t="s">
        <v>50</v>
      </c>
      <c r="J744" s="1" t="s">
        <v>35</v>
      </c>
      <c r="K744" s="1" t="s">
        <v>36</v>
      </c>
      <c r="L744" s="1" t="s">
        <v>37</v>
      </c>
      <c r="M744" s="1" t="s">
        <v>38</v>
      </c>
      <c r="N744" s="1" t="s">
        <v>965</v>
      </c>
    </row>
    <row r="745" customFormat="false" ht="14.25" hidden="false" customHeight="false" outlineLevel="0" collapsed="false">
      <c r="A745" s="1" t="s">
        <v>1814</v>
      </c>
      <c r="B745" s="1" t="s">
        <v>1815</v>
      </c>
      <c r="C745" s="2" t="n">
        <v>120</v>
      </c>
      <c r="D745" s="1" t="s">
        <v>30</v>
      </c>
      <c r="E745" s="1" t="s">
        <v>1816</v>
      </c>
      <c r="F745" s="2" t="n">
        <v>554891901581</v>
      </c>
      <c r="G745" s="1" t="s">
        <v>33</v>
      </c>
      <c r="H745" s="1" t="s">
        <v>94</v>
      </c>
      <c r="I745" s="1" t="s">
        <v>34</v>
      </c>
      <c r="N745" s="1" t="s">
        <v>965</v>
      </c>
    </row>
    <row r="746" customFormat="false" ht="14.25" hidden="false" customHeight="false" outlineLevel="0" collapsed="false">
      <c r="A746" s="1" t="s">
        <v>1817</v>
      </c>
      <c r="B746" s="1" t="s">
        <v>1818</v>
      </c>
      <c r="C746" s="2" t="n">
        <v>150</v>
      </c>
      <c r="D746" s="1" t="s">
        <v>32</v>
      </c>
      <c r="E746" s="1" t="s">
        <v>1819</v>
      </c>
      <c r="F746" s="2" t="n">
        <v>5527998262615</v>
      </c>
      <c r="G746" s="1" t="s">
        <v>33</v>
      </c>
      <c r="H746" s="1" t="s">
        <v>94</v>
      </c>
      <c r="I746" s="1" t="s">
        <v>34</v>
      </c>
      <c r="N746" s="1" t="s">
        <v>965</v>
      </c>
    </row>
    <row r="747" customFormat="false" ht="14.25" hidden="false" customHeight="false" outlineLevel="0" collapsed="false">
      <c r="A747" s="1" t="s">
        <v>1820</v>
      </c>
      <c r="B747" s="1" t="s">
        <v>1821</v>
      </c>
      <c r="C747" s="2" t="n">
        <v>200</v>
      </c>
      <c r="D747" s="1" t="s">
        <v>1699</v>
      </c>
      <c r="E747" s="1" t="s">
        <v>1821</v>
      </c>
      <c r="F747" s="2" t="n">
        <v>554888684882</v>
      </c>
      <c r="G747" s="1" t="s">
        <v>1822</v>
      </c>
      <c r="H747" s="1" t="s">
        <v>94</v>
      </c>
      <c r="I747" s="1" t="s">
        <v>34</v>
      </c>
      <c r="N747" s="1" t="s">
        <v>965</v>
      </c>
    </row>
    <row r="748" customFormat="false" ht="14.25" hidden="false" customHeight="false" outlineLevel="0" collapsed="false">
      <c r="A748" s="1" t="s">
        <v>1823</v>
      </c>
      <c r="B748" s="1" t="s">
        <v>1824</v>
      </c>
      <c r="C748" s="2" t="n">
        <v>97</v>
      </c>
      <c r="D748" s="1" t="s">
        <v>20</v>
      </c>
      <c r="E748" s="1" t="s">
        <v>1824</v>
      </c>
      <c r="F748" s="2" t="n">
        <v>559684026663</v>
      </c>
      <c r="G748" s="1" t="s">
        <v>1825</v>
      </c>
      <c r="H748" s="1" t="s">
        <v>94</v>
      </c>
      <c r="I748" s="1" t="s">
        <v>54</v>
      </c>
      <c r="N748" s="1" t="s">
        <v>1022</v>
      </c>
    </row>
    <row r="749" customFormat="false" ht="14.25" hidden="false" customHeight="false" outlineLevel="0" collapsed="false">
      <c r="A749" s="1" t="s">
        <v>1826</v>
      </c>
      <c r="B749" s="1" t="s">
        <v>1827</v>
      </c>
      <c r="C749" s="2" t="n">
        <v>120</v>
      </c>
      <c r="D749" s="1" t="s">
        <v>23</v>
      </c>
      <c r="E749" s="1" t="s">
        <v>1827</v>
      </c>
      <c r="F749" s="2" t="n">
        <v>554198853152</v>
      </c>
      <c r="G749" s="1" t="s">
        <v>33</v>
      </c>
      <c r="H749" s="1" t="s">
        <v>94</v>
      </c>
      <c r="I749" s="1" t="s">
        <v>34</v>
      </c>
      <c r="N749" s="1" t="s">
        <v>965</v>
      </c>
    </row>
    <row r="750" customFormat="false" ht="14.25" hidden="false" customHeight="false" outlineLevel="0" collapsed="false">
      <c r="A750" s="1" t="s">
        <v>1828</v>
      </c>
      <c r="B750" s="1" t="s">
        <v>1829</v>
      </c>
      <c r="C750" s="2" t="n">
        <v>150</v>
      </c>
      <c r="D750" s="1" t="s">
        <v>32</v>
      </c>
      <c r="E750" s="1" t="s">
        <v>1830</v>
      </c>
      <c r="F750" s="2" t="n">
        <v>554599167180</v>
      </c>
      <c r="G750" s="1" t="s">
        <v>1831</v>
      </c>
      <c r="H750" s="1" t="s">
        <v>94</v>
      </c>
      <c r="I750" s="1" t="s">
        <v>34</v>
      </c>
      <c r="N750" s="1" t="s">
        <v>965</v>
      </c>
    </row>
    <row r="751" customFormat="false" ht="14.25" hidden="false" customHeight="false" outlineLevel="0" collapsed="false">
      <c r="A751" s="1" t="s">
        <v>1832</v>
      </c>
      <c r="B751" s="1" t="s">
        <v>1833</v>
      </c>
      <c r="C751" s="2" t="n">
        <v>147</v>
      </c>
      <c r="D751" s="1" t="s">
        <v>18</v>
      </c>
      <c r="E751" s="1" t="s">
        <v>1833</v>
      </c>
      <c r="F751" s="2" t="n">
        <v>5511968360356</v>
      </c>
      <c r="G751" s="1" t="s">
        <v>1834</v>
      </c>
      <c r="H751" s="1" t="s">
        <v>94</v>
      </c>
      <c r="I751" s="1" t="s">
        <v>50</v>
      </c>
      <c r="J751" s="1" t="s">
        <v>35</v>
      </c>
      <c r="K751" s="1" t="s">
        <v>69</v>
      </c>
      <c r="L751" s="1" t="s">
        <v>70</v>
      </c>
      <c r="M751" s="1" t="s">
        <v>38</v>
      </c>
      <c r="N751" s="1" t="s">
        <v>965</v>
      </c>
    </row>
    <row r="752" customFormat="false" ht="14.25" hidden="false" customHeight="false" outlineLevel="0" collapsed="false">
      <c r="A752" s="1" t="s">
        <v>1835</v>
      </c>
      <c r="B752" s="1" t="s">
        <v>1836</v>
      </c>
      <c r="C752" s="2" t="n">
        <v>440</v>
      </c>
      <c r="D752" s="1" t="s">
        <v>22</v>
      </c>
      <c r="E752" s="1" t="s">
        <v>1837</v>
      </c>
      <c r="F752" s="2" t="n">
        <v>5354081128</v>
      </c>
      <c r="G752" s="1" t="s">
        <v>1838</v>
      </c>
      <c r="H752" s="1" t="s">
        <v>94</v>
      </c>
      <c r="I752" s="1" t="s">
        <v>50</v>
      </c>
      <c r="N752" s="1" t="s">
        <v>965</v>
      </c>
    </row>
    <row r="753" customFormat="false" ht="14.25" hidden="false" customHeight="false" outlineLevel="0" collapsed="false">
      <c r="A753" s="1" t="s">
        <v>1839</v>
      </c>
      <c r="B753" s="1" t="s">
        <v>1840</v>
      </c>
      <c r="C753" s="2" t="n">
        <v>291</v>
      </c>
      <c r="D753" s="1" t="s">
        <v>20</v>
      </c>
      <c r="E753" s="1" t="s">
        <v>1841</v>
      </c>
      <c r="F753" s="2" t="n">
        <v>554899666491</v>
      </c>
      <c r="G753" s="1" t="s">
        <v>1842</v>
      </c>
      <c r="H753" s="1" t="s">
        <v>94</v>
      </c>
      <c r="I753" s="1" t="s">
        <v>355</v>
      </c>
      <c r="N753" s="1" t="s">
        <v>965</v>
      </c>
    </row>
    <row r="754" customFormat="false" ht="14.25" hidden="false" customHeight="false" outlineLevel="0" collapsed="false">
      <c r="A754" s="1" t="s">
        <v>1843</v>
      </c>
      <c r="B754" s="1" t="s">
        <v>1844</v>
      </c>
      <c r="C754" s="2" t="n">
        <v>194</v>
      </c>
      <c r="D754" s="1" t="s">
        <v>20</v>
      </c>
      <c r="E754" s="1" t="s">
        <v>1845</v>
      </c>
      <c r="F754" s="2" t="n">
        <v>554195716705</v>
      </c>
      <c r="G754" s="1" t="s">
        <v>1846</v>
      </c>
      <c r="H754" s="1" t="s">
        <v>94</v>
      </c>
      <c r="I754" s="1" t="s">
        <v>355</v>
      </c>
      <c r="J754" s="1" t="s">
        <v>1176</v>
      </c>
      <c r="K754" s="1" t="s">
        <v>1752</v>
      </c>
      <c r="L754" s="1" t="s">
        <v>1847</v>
      </c>
      <c r="M754" s="1" t="s">
        <v>1179</v>
      </c>
      <c r="N754" s="1" t="s">
        <v>965</v>
      </c>
    </row>
    <row r="755" customFormat="false" ht="14.25" hidden="false" customHeight="false" outlineLevel="0" collapsed="false">
      <c r="A755" s="1" t="s">
        <v>1848</v>
      </c>
      <c r="B755" s="1" t="s">
        <v>1849</v>
      </c>
      <c r="C755" s="2" t="n">
        <v>600</v>
      </c>
      <c r="D755" s="1" t="s">
        <v>106</v>
      </c>
      <c r="E755" s="1" t="s">
        <v>1850</v>
      </c>
      <c r="F755" s="2" t="n">
        <v>554899597391</v>
      </c>
      <c r="G755" s="1" t="s">
        <v>1851</v>
      </c>
      <c r="H755" s="1" t="s">
        <v>94</v>
      </c>
      <c r="I755" s="1" t="s">
        <v>34</v>
      </c>
      <c r="N755" s="1" t="s">
        <v>965</v>
      </c>
    </row>
    <row r="756" customFormat="false" ht="14.25" hidden="false" customHeight="false" outlineLevel="0" collapsed="false">
      <c r="A756" s="1" t="s">
        <v>1852</v>
      </c>
      <c r="B756" s="1" t="s">
        <v>1853</v>
      </c>
      <c r="C756" s="2" t="n">
        <v>60</v>
      </c>
      <c r="D756" s="1" t="s">
        <v>25</v>
      </c>
      <c r="E756" s="1" t="s">
        <v>1853</v>
      </c>
      <c r="F756" s="2" t="n">
        <v>5595984045583</v>
      </c>
      <c r="G756" s="1" t="s">
        <v>1854</v>
      </c>
      <c r="H756" s="1" t="s">
        <v>94</v>
      </c>
      <c r="I756" s="1" t="s">
        <v>50</v>
      </c>
      <c r="N756" s="1" t="s">
        <v>965</v>
      </c>
    </row>
    <row r="757" customFormat="false" ht="14.25" hidden="false" customHeight="false" outlineLevel="0" collapsed="false">
      <c r="A757" s="1" t="s">
        <v>1855</v>
      </c>
      <c r="B757" s="1" t="s">
        <v>1856</v>
      </c>
      <c r="C757" s="2" t="n">
        <v>147</v>
      </c>
      <c r="D757" s="1" t="s">
        <v>18</v>
      </c>
      <c r="E757" s="1" t="s">
        <v>1856</v>
      </c>
      <c r="F757" s="2" t="n">
        <v>554588019937</v>
      </c>
      <c r="G757" s="1" t="s">
        <v>1857</v>
      </c>
      <c r="H757" s="1" t="s">
        <v>94</v>
      </c>
      <c r="I757" s="1" t="s">
        <v>50</v>
      </c>
      <c r="J757" s="1" t="s">
        <v>35</v>
      </c>
      <c r="K757" s="1" t="s">
        <v>69</v>
      </c>
      <c r="L757" s="1" t="s">
        <v>70</v>
      </c>
      <c r="M757" s="1" t="s">
        <v>38</v>
      </c>
      <c r="N757" s="1" t="s">
        <v>965</v>
      </c>
    </row>
    <row r="758" customFormat="false" ht="14.25" hidden="false" customHeight="false" outlineLevel="0" collapsed="false">
      <c r="A758" s="1" t="s">
        <v>1858</v>
      </c>
      <c r="B758" s="1" t="s">
        <v>1859</v>
      </c>
      <c r="C758" s="2" t="n">
        <v>147</v>
      </c>
      <c r="D758" s="1" t="s">
        <v>18</v>
      </c>
      <c r="E758" s="1" t="s">
        <v>1859</v>
      </c>
      <c r="F758" s="2" t="n">
        <v>5511951653484</v>
      </c>
      <c r="G758" s="1" t="s">
        <v>1860</v>
      </c>
      <c r="H758" s="1" t="s">
        <v>94</v>
      </c>
      <c r="I758" s="1" t="s">
        <v>34</v>
      </c>
      <c r="J758" s="1" t="s">
        <v>1176</v>
      </c>
      <c r="K758" s="1" t="s">
        <v>1861</v>
      </c>
      <c r="L758" s="1" t="s">
        <v>1862</v>
      </c>
      <c r="M758" s="1" t="s">
        <v>1179</v>
      </c>
      <c r="N758" s="1" t="s">
        <v>965</v>
      </c>
    </row>
    <row r="759" customFormat="false" ht="14.25" hidden="false" customHeight="false" outlineLevel="0" collapsed="false">
      <c r="A759" s="1" t="s">
        <v>1863</v>
      </c>
      <c r="B759" s="1" t="s">
        <v>1864</v>
      </c>
      <c r="C759" s="2" t="n">
        <v>147</v>
      </c>
      <c r="D759" s="1" t="s">
        <v>22</v>
      </c>
      <c r="E759" s="1" t="s">
        <v>1864</v>
      </c>
      <c r="F759" s="2" t="n">
        <v>554791177858</v>
      </c>
      <c r="G759" s="1" t="s">
        <v>1865</v>
      </c>
      <c r="H759" s="1" t="s">
        <v>94</v>
      </c>
      <c r="I759" s="1" t="s">
        <v>54</v>
      </c>
      <c r="N759" s="1" t="s">
        <v>1022</v>
      </c>
    </row>
    <row r="760" customFormat="false" ht="14.25" hidden="false" customHeight="false" outlineLevel="0" collapsed="false">
      <c r="A760" s="1" t="s">
        <v>1866</v>
      </c>
      <c r="B760" s="1" t="s">
        <v>1867</v>
      </c>
      <c r="C760" s="2" t="n">
        <v>588</v>
      </c>
      <c r="D760" s="1" t="s">
        <v>22</v>
      </c>
      <c r="E760" s="1" t="s">
        <v>1867</v>
      </c>
      <c r="F760" s="2" t="n">
        <v>5519998144461</v>
      </c>
      <c r="G760" s="1" t="s">
        <v>1868</v>
      </c>
      <c r="H760" s="1" t="s">
        <v>94</v>
      </c>
      <c r="I760" s="1" t="s">
        <v>50</v>
      </c>
      <c r="N760" s="1" t="s">
        <v>965</v>
      </c>
    </row>
    <row r="761" customFormat="false" ht="14.25" hidden="false" customHeight="false" outlineLevel="0" collapsed="false">
      <c r="A761" s="1" t="s">
        <v>1869</v>
      </c>
      <c r="B761" s="1" t="s">
        <v>78</v>
      </c>
      <c r="C761" s="2" t="n">
        <v>300</v>
      </c>
      <c r="D761" s="1" t="s">
        <v>27</v>
      </c>
      <c r="E761" s="1" t="s">
        <v>79</v>
      </c>
      <c r="F761" s="2" t="n">
        <v>554197035604</v>
      </c>
      <c r="G761" s="1" t="s">
        <v>80</v>
      </c>
      <c r="H761" s="1" t="s">
        <v>94</v>
      </c>
      <c r="I761" s="1" t="s">
        <v>54</v>
      </c>
      <c r="N761" s="1" t="s">
        <v>965</v>
      </c>
    </row>
    <row r="762" customFormat="false" ht="14.25" hidden="false" customHeight="false" outlineLevel="0" collapsed="false">
      <c r="A762" s="1" t="s">
        <v>1870</v>
      </c>
      <c r="B762" s="1" t="s">
        <v>1824</v>
      </c>
      <c r="C762" s="2" t="n">
        <v>150</v>
      </c>
      <c r="D762" s="1" t="s">
        <v>32</v>
      </c>
      <c r="E762" s="1" t="s">
        <v>1871</v>
      </c>
      <c r="F762" s="2" t="n">
        <v>559684026663</v>
      </c>
      <c r="G762" s="1" t="s">
        <v>1825</v>
      </c>
      <c r="H762" s="1" t="s">
        <v>94</v>
      </c>
      <c r="I762" s="1" t="s">
        <v>54</v>
      </c>
      <c r="N762" s="1" t="s">
        <v>1022</v>
      </c>
    </row>
    <row r="763" customFormat="false" ht="14.25" hidden="false" customHeight="false" outlineLevel="0" collapsed="false">
      <c r="A763" s="1" t="s">
        <v>1872</v>
      </c>
      <c r="B763" s="1" t="s">
        <v>1873</v>
      </c>
      <c r="C763" s="2" t="n">
        <v>194</v>
      </c>
      <c r="D763" s="1" t="s">
        <v>20</v>
      </c>
      <c r="E763" s="1" t="s">
        <v>1874</v>
      </c>
      <c r="F763" s="2" t="n">
        <v>559584381582</v>
      </c>
      <c r="G763" s="1" t="s">
        <v>1875</v>
      </c>
      <c r="H763" s="1" t="s">
        <v>94</v>
      </c>
      <c r="I763" s="1" t="s">
        <v>50</v>
      </c>
      <c r="N763" s="1" t="s">
        <v>965</v>
      </c>
    </row>
    <row r="764" customFormat="false" ht="14.25" hidden="false" customHeight="false" outlineLevel="0" collapsed="false">
      <c r="A764" s="1" t="s">
        <v>1876</v>
      </c>
      <c r="B764" s="1" t="s">
        <v>1877</v>
      </c>
      <c r="C764" s="2" t="n">
        <v>97</v>
      </c>
      <c r="D764" s="1" t="s">
        <v>20</v>
      </c>
      <c r="E764" s="1" t="s">
        <v>1878</v>
      </c>
      <c r="F764" s="2" t="n">
        <v>554792009109</v>
      </c>
      <c r="G764" s="1" t="s">
        <v>1879</v>
      </c>
      <c r="H764" s="1" t="s">
        <v>94</v>
      </c>
      <c r="I764" s="1" t="s">
        <v>50</v>
      </c>
      <c r="J764" s="1" t="s">
        <v>35</v>
      </c>
      <c r="K764" s="1" t="s">
        <v>36</v>
      </c>
      <c r="L764" s="1" t="s">
        <v>37</v>
      </c>
      <c r="M764" s="1" t="s">
        <v>38</v>
      </c>
      <c r="N764" s="1" t="s">
        <v>965</v>
      </c>
    </row>
    <row r="765" customFormat="false" ht="14.25" hidden="false" customHeight="false" outlineLevel="0" collapsed="false">
      <c r="A765" s="1" t="s">
        <v>1880</v>
      </c>
      <c r="B765" s="1" t="s">
        <v>1881</v>
      </c>
      <c r="C765" s="2" t="n">
        <v>240</v>
      </c>
      <c r="D765" s="1" t="s">
        <v>22</v>
      </c>
      <c r="E765" s="1" t="s">
        <v>1881</v>
      </c>
      <c r="F765" s="2" t="n">
        <v>5521965012203</v>
      </c>
      <c r="G765" s="1" t="s">
        <v>1882</v>
      </c>
      <c r="H765" s="1" t="s">
        <v>94</v>
      </c>
      <c r="I765" s="1" t="s">
        <v>54</v>
      </c>
      <c r="N765" s="1" t="s">
        <v>1022</v>
      </c>
    </row>
    <row r="766" customFormat="false" ht="14.25" hidden="false" customHeight="false" outlineLevel="0" collapsed="false">
      <c r="A766" s="1" t="s">
        <v>1883</v>
      </c>
      <c r="B766" s="1" t="s">
        <v>1884</v>
      </c>
      <c r="C766" s="2" t="n">
        <v>240</v>
      </c>
      <c r="D766" s="1" t="s">
        <v>30</v>
      </c>
      <c r="E766" s="1" t="s">
        <v>1885</v>
      </c>
      <c r="F766" s="2" t="n">
        <v>559684078095</v>
      </c>
      <c r="G766" s="1" t="s">
        <v>1886</v>
      </c>
      <c r="H766" s="1" t="s">
        <v>94</v>
      </c>
      <c r="I766" s="1" t="s">
        <v>50</v>
      </c>
      <c r="J766" s="1" t="s">
        <v>908</v>
      </c>
      <c r="N766" s="1" t="s">
        <v>965</v>
      </c>
    </row>
    <row r="767" customFormat="false" ht="14.25" hidden="false" customHeight="false" outlineLevel="0" collapsed="false">
      <c r="A767" s="1" t="s">
        <v>1887</v>
      </c>
      <c r="B767" s="1" t="s">
        <v>1888</v>
      </c>
      <c r="C767" s="2" t="n">
        <v>147</v>
      </c>
      <c r="D767" s="1" t="s">
        <v>22</v>
      </c>
      <c r="E767" s="1" t="s">
        <v>1889</v>
      </c>
      <c r="F767" s="2" t="n">
        <v>559584148374</v>
      </c>
      <c r="G767" s="1" t="s">
        <v>1890</v>
      </c>
      <c r="H767" s="1" t="s">
        <v>94</v>
      </c>
      <c r="I767" s="1" t="s">
        <v>34</v>
      </c>
      <c r="J767" s="1" t="s">
        <v>35</v>
      </c>
      <c r="K767" s="1" t="s">
        <v>36</v>
      </c>
      <c r="L767" s="1" t="s">
        <v>37</v>
      </c>
      <c r="M767" s="1" t="s">
        <v>38</v>
      </c>
      <c r="N767" s="1" t="s">
        <v>965</v>
      </c>
    </row>
    <row r="768" customFormat="false" ht="14.25" hidden="false" customHeight="false" outlineLevel="0" collapsed="false">
      <c r="A768" s="1" t="s">
        <v>1891</v>
      </c>
      <c r="B768" s="1" t="s">
        <v>1892</v>
      </c>
      <c r="C768" s="2" t="n">
        <v>97</v>
      </c>
      <c r="D768" s="1" t="s">
        <v>20</v>
      </c>
      <c r="E768" s="1" t="s">
        <v>1892</v>
      </c>
      <c r="F768" s="2" t="n">
        <v>559584149807</v>
      </c>
      <c r="G768" s="1" t="s">
        <v>1893</v>
      </c>
      <c r="H768" s="1" t="s">
        <v>94</v>
      </c>
      <c r="I768" s="1" t="s">
        <v>355</v>
      </c>
      <c r="J768" s="1" t="s">
        <v>35</v>
      </c>
      <c r="K768" s="1" t="s">
        <v>36</v>
      </c>
      <c r="L768" s="1" t="s">
        <v>37</v>
      </c>
      <c r="M768" s="1" t="s">
        <v>38</v>
      </c>
      <c r="N768" s="1" t="s">
        <v>965</v>
      </c>
    </row>
    <row r="769" customFormat="false" ht="14.25" hidden="false" customHeight="false" outlineLevel="0" collapsed="false">
      <c r="A769" s="1" t="s">
        <v>1894</v>
      </c>
      <c r="B769" s="1" t="s">
        <v>1895</v>
      </c>
      <c r="C769" s="2" t="n">
        <v>120</v>
      </c>
      <c r="D769" s="1" t="s">
        <v>30</v>
      </c>
      <c r="E769" s="1" t="s">
        <v>1895</v>
      </c>
      <c r="F769" s="2" t="n">
        <v>554188980211</v>
      </c>
      <c r="G769" s="1" t="s">
        <v>1896</v>
      </c>
      <c r="H769" s="1" t="s">
        <v>94</v>
      </c>
      <c r="I769" s="1" t="s">
        <v>355</v>
      </c>
      <c r="J769" s="1" t="s">
        <v>1176</v>
      </c>
      <c r="K769" s="1" t="s">
        <v>1897</v>
      </c>
      <c r="L769" s="1" t="s">
        <v>1898</v>
      </c>
      <c r="M769" s="1" t="s">
        <v>1179</v>
      </c>
      <c r="N769" s="1" t="s">
        <v>965</v>
      </c>
    </row>
    <row r="770" customFormat="false" ht="14.25" hidden="false" customHeight="false" outlineLevel="0" collapsed="false">
      <c r="A770" s="1" t="s">
        <v>1899</v>
      </c>
      <c r="B770" s="1" t="s">
        <v>1900</v>
      </c>
      <c r="C770" s="2" t="n">
        <v>120</v>
      </c>
      <c r="D770" s="1" t="s">
        <v>30</v>
      </c>
      <c r="E770" s="1" t="s">
        <v>1900</v>
      </c>
      <c r="F770" s="2" t="n">
        <v>559684163679</v>
      </c>
      <c r="G770" s="1" t="s">
        <v>1901</v>
      </c>
      <c r="H770" s="1" t="s">
        <v>94</v>
      </c>
      <c r="I770" s="1" t="s">
        <v>50</v>
      </c>
      <c r="N770" s="1" t="s">
        <v>965</v>
      </c>
    </row>
    <row r="771" customFormat="false" ht="14.25" hidden="false" customHeight="false" outlineLevel="0" collapsed="false">
      <c r="A771" s="1" t="s">
        <v>1902</v>
      </c>
      <c r="B771" s="1" t="s">
        <v>1903</v>
      </c>
      <c r="C771" s="2" t="n">
        <v>97</v>
      </c>
      <c r="D771" s="1" t="s">
        <v>20</v>
      </c>
      <c r="E771" s="1" t="s">
        <v>1904</v>
      </c>
      <c r="F771" s="2" t="n">
        <v>559584297218</v>
      </c>
      <c r="G771" s="1" t="s">
        <v>1905</v>
      </c>
      <c r="H771" s="1" t="s">
        <v>94</v>
      </c>
      <c r="I771" s="1" t="s">
        <v>50</v>
      </c>
      <c r="N771" s="1" t="s">
        <v>965</v>
      </c>
    </row>
    <row r="772" customFormat="false" ht="14.25" hidden="false" customHeight="false" outlineLevel="0" collapsed="false">
      <c r="A772" s="1" t="s">
        <v>1906</v>
      </c>
      <c r="B772" s="1" t="s">
        <v>1907</v>
      </c>
      <c r="C772" s="2" t="n">
        <v>140</v>
      </c>
      <c r="D772" s="1" t="s">
        <v>390</v>
      </c>
      <c r="E772" s="1" t="s">
        <v>1907</v>
      </c>
      <c r="F772" s="2" t="n">
        <v>554899484493</v>
      </c>
      <c r="G772" s="1" t="s">
        <v>1908</v>
      </c>
      <c r="H772" s="1" t="s">
        <v>94</v>
      </c>
      <c r="I772" s="1" t="s">
        <v>50</v>
      </c>
      <c r="N772" s="1" t="s">
        <v>965</v>
      </c>
    </row>
    <row r="773" customFormat="false" ht="14.25" hidden="false" customHeight="false" outlineLevel="0" collapsed="false">
      <c r="A773" s="1" t="s">
        <v>1909</v>
      </c>
      <c r="B773" s="1" t="s">
        <v>1910</v>
      </c>
      <c r="C773" s="2" t="n">
        <v>291</v>
      </c>
      <c r="D773" s="1" t="s">
        <v>20</v>
      </c>
      <c r="E773" s="1" t="s">
        <v>1910</v>
      </c>
      <c r="F773" s="2" t="n">
        <v>5511947383448</v>
      </c>
      <c r="G773" s="1" t="s">
        <v>1911</v>
      </c>
      <c r="H773" s="1" t="s">
        <v>94</v>
      </c>
      <c r="I773" s="1" t="s">
        <v>355</v>
      </c>
      <c r="J773" s="1" t="s">
        <v>1176</v>
      </c>
      <c r="K773" s="1" t="s">
        <v>1177</v>
      </c>
      <c r="L773" s="1" t="s">
        <v>1178</v>
      </c>
      <c r="M773" s="1" t="s">
        <v>1179</v>
      </c>
      <c r="N773" s="1" t="s">
        <v>965</v>
      </c>
    </row>
    <row r="774" customFormat="false" ht="14.25" hidden="false" customHeight="false" outlineLevel="0" collapsed="false">
      <c r="A774" s="1" t="s">
        <v>1912</v>
      </c>
      <c r="B774" s="1" t="s">
        <v>1913</v>
      </c>
      <c r="C774" s="2" t="n">
        <v>294</v>
      </c>
      <c r="D774" s="1" t="s">
        <v>21</v>
      </c>
      <c r="E774" s="1" t="s">
        <v>1913</v>
      </c>
      <c r="F774" s="2" t="n">
        <v>559584300001</v>
      </c>
      <c r="G774" s="1" t="s">
        <v>1914</v>
      </c>
      <c r="H774" s="1" t="s">
        <v>94</v>
      </c>
      <c r="I774" s="1" t="s">
        <v>54</v>
      </c>
      <c r="N774" s="1" t="s">
        <v>1022</v>
      </c>
    </row>
    <row r="775" customFormat="false" ht="14.25" hidden="false" customHeight="false" outlineLevel="0" collapsed="false">
      <c r="A775" s="1" t="s">
        <v>1915</v>
      </c>
      <c r="B775" s="1" t="s">
        <v>1916</v>
      </c>
      <c r="C775" s="2" t="n">
        <v>147</v>
      </c>
      <c r="D775" s="1" t="s">
        <v>18</v>
      </c>
      <c r="E775" s="1" t="s">
        <v>1917</v>
      </c>
      <c r="F775" s="2" t="n">
        <v>559591162047</v>
      </c>
      <c r="G775" s="1" t="s">
        <v>1918</v>
      </c>
      <c r="H775" s="1" t="s">
        <v>94</v>
      </c>
      <c r="I775" s="1" t="s">
        <v>50</v>
      </c>
      <c r="J775" s="1" t="s">
        <v>35</v>
      </c>
      <c r="K775" s="1" t="s">
        <v>69</v>
      </c>
      <c r="L775" s="1" t="s">
        <v>70</v>
      </c>
      <c r="M775" s="1" t="s">
        <v>38</v>
      </c>
      <c r="N775" s="1" t="s">
        <v>965</v>
      </c>
    </row>
    <row r="776" customFormat="false" ht="14.25" hidden="false" customHeight="false" outlineLevel="0" collapsed="false">
      <c r="A776" s="1" t="s">
        <v>1919</v>
      </c>
      <c r="B776" s="1" t="s">
        <v>1920</v>
      </c>
      <c r="C776" s="2" t="n">
        <v>150</v>
      </c>
      <c r="D776" s="1" t="s">
        <v>30</v>
      </c>
      <c r="E776" s="1" t="s">
        <v>1920</v>
      </c>
      <c r="F776" s="2" t="s">
        <v>1921</v>
      </c>
      <c r="G776" s="1" t="s">
        <v>1922</v>
      </c>
      <c r="H776" s="1" t="s">
        <v>94</v>
      </c>
      <c r="I776" s="1" t="s">
        <v>355</v>
      </c>
      <c r="N776" s="1" t="s">
        <v>965</v>
      </c>
    </row>
    <row r="777" customFormat="false" ht="14.25" hidden="false" customHeight="false" outlineLevel="0" collapsed="false">
      <c r="A777" s="1" t="s">
        <v>1880</v>
      </c>
      <c r="B777" s="1" t="s">
        <v>1923</v>
      </c>
      <c r="C777" s="2" t="n">
        <v>242</v>
      </c>
      <c r="D777" s="1" t="s">
        <v>20</v>
      </c>
      <c r="E777" s="1" t="s">
        <v>1924</v>
      </c>
      <c r="F777" s="2" t="n">
        <v>5516994306925</v>
      </c>
      <c r="G777" s="1" t="s">
        <v>1925</v>
      </c>
      <c r="H777" s="1" t="s">
        <v>94</v>
      </c>
      <c r="I777" s="1" t="s">
        <v>355</v>
      </c>
      <c r="N777" s="1" t="s">
        <v>965</v>
      </c>
    </row>
    <row r="778" customFormat="false" ht="14.25" hidden="false" customHeight="false" outlineLevel="0" collapsed="false">
      <c r="A778" s="1" t="s">
        <v>1926</v>
      </c>
      <c r="B778" s="1" t="s">
        <v>1927</v>
      </c>
      <c r="C778" s="2" t="n">
        <v>240</v>
      </c>
      <c r="D778" s="1" t="s">
        <v>30</v>
      </c>
      <c r="E778" s="1" t="s">
        <v>1927</v>
      </c>
      <c r="F778" s="2" t="n">
        <v>559584229035</v>
      </c>
      <c r="G778" s="1" t="s">
        <v>1928</v>
      </c>
      <c r="H778" s="1" t="s">
        <v>94</v>
      </c>
      <c r="I778" s="1" t="s">
        <v>50</v>
      </c>
      <c r="N778" s="1" t="s">
        <v>965</v>
      </c>
    </row>
    <row r="779" customFormat="false" ht="14.25" hidden="false" customHeight="false" outlineLevel="0" collapsed="false">
      <c r="A779" s="1" t="s">
        <v>1929</v>
      </c>
      <c r="B779" s="1" t="s">
        <v>1930</v>
      </c>
      <c r="C779" s="2" t="n">
        <v>120</v>
      </c>
      <c r="D779" s="1" t="s">
        <v>30</v>
      </c>
      <c r="E779" s="1" t="s">
        <v>1930</v>
      </c>
      <c r="F779" s="2" t="n">
        <v>559591538723</v>
      </c>
      <c r="G779" s="1" t="s">
        <v>1931</v>
      </c>
      <c r="H779" s="1" t="s">
        <v>94</v>
      </c>
      <c r="I779" s="1" t="s">
        <v>54</v>
      </c>
      <c r="N779" s="1" t="s">
        <v>1022</v>
      </c>
    </row>
    <row r="780" customFormat="false" ht="14.25" hidden="false" customHeight="false" outlineLevel="0" collapsed="false">
      <c r="A780" s="1" t="s">
        <v>1932</v>
      </c>
      <c r="B780" s="1" t="s">
        <v>1881</v>
      </c>
      <c r="C780" s="2" t="n">
        <v>200</v>
      </c>
      <c r="D780" s="1" t="s">
        <v>30</v>
      </c>
      <c r="E780" s="1" t="s">
        <v>1881</v>
      </c>
      <c r="F780" s="2" t="n">
        <v>5521965012203</v>
      </c>
      <c r="G780" s="1" t="s">
        <v>1882</v>
      </c>
      <c r="H780" s="1" t="s">
        <v>94</v>
      </c>
      <c r="I780" s="1" t="s">
        <v>54</v>
      </c>
      <c r="N780" s="1" t="s">
        <v>1022</v>
      </c>
    </row>
    <row r="781" customFormat="false" ht="14.25" hidden="false" customHeight="false" outlineLevel="0" collapsed="false">
      <c r="A781" s="1" t="s">
        <v>1933</v>
      </c>
      <c r="B781" s="1" t="s">
        <v>1934</v>
      </c>
      <c r="C781" s="2" t="n">
        <v>450</v>
      </c>
      <c r="D781" s="1" t="s">
        <v>29</v>
      </c>
      <c r="E781" s="1" t="s">
        <v>104</v>
      </c>
      <c r="F781" s="2" t="n">
        <v>554888124202</v>
      </c>
      <c r="G781" s="1" t="s">
        <v>1935</v>
      </c>
      <c r="H781" s="1" t="s">
        <v>94</v>
      </c>
      <c r="I781" s="1" t="s">
        <v>50</v>
      </c>
      <c r="J781" s="1" t="s">
        <v>35</v>
      </c>
      <c r="K781" s="1" t="s">
        <v>36</v>
      </c>
      <c r="L781" s="1" t="s">
        <v>37</v>
      </c>
      <c r="M781" s="1" t="s">
        <v>38</v>
      </c>
      <c r="N781" s="1" t="s">
        <v>965</v>
      </c>
    </row>
    <row r="782" customFormat="false" ht="14.25" hidden="false" customHeight="false" outlineLevel="0" collapsed="false">
      <c r="A782" s="1" t="s">
        <v>1936</v>
      </c>
      <c r="B782" s="1" t="s">
        <v>43</v>
      </c>
      <c r="C782" s="2" t="n">
        <v>0</v>
      </c>
      <c r="D782" s="1" t="s">
        <v>30</v>
      </c>
      <c r="E782" s="1" t="s">
        <v>1937</v>
      </c>
      <c r="F782" s="2" t="n">
        <v>555481420122</v>
      </c>
      <c r="G782" s="1" t="s">
        <v>1938</v>
      </c>
      <c r="H782" s="1" t="s">
        <v>94</v>
      </c>
      <c r="I782" s="1" t="s">
        <v>54</v>
      </c>
      <c r="N782" s="1" t="s">
        <v>965</v>
      </c>
    </row>
    <row r="783" customFormat="false" ht="14.25" hidden="false" customHeight="false" outlineLevel="0" collapsed="false">
      <c r="A783" s="1" t="s">
        <v>1939</v>
      </c>
      <c r="B783" s="1" t="s">
        <v>1940</v>
      </c>
      <c r="C783" s="2" t="n">
        <v>120</v>
      </c>
      <c r="D783" s="1" t="s">
        <v>22</v>
      </c>
      <c r="E783" s="1" t="s">
        <v>1940</v>
      </c>
      <c r="F783" s="2" t="n">
        <v>556298141589</v>
      </c>
      <c r="G783" s="1" t="s">
        <v>1941</v>
      </c>
      <c r="H783" s="1" t="s">
        <v>94</v>
      </c>
      <c r="I783" s="1" t="s">
        <v>355</v>
      </c>
      <c r="J783" s="1" t="s">
        <v>35</v>
      </c>
      <c r="K783" s="1" t="s">
        <v>69</v>
      </c>
      <c r="L783" s="1" t="s">
        <v>70</v>
      </c>
      <c r="M783" s="1" t="s">
        <v>38</v>
      </c>
      <c r="N783" s="1" t="s">
        <v>965</v>
      </c>
    </row>
    <row r="784" customFormat="false" ht="14.25" hidden="false" customHeight="false" outlineLevel="0" collapsed="false">
      <c r="A784" s="1" t="s">
        <v>1942</v>
      </c>
      <c r="B784" s="1" t="s">
        <v>1943</v>
      </c>
      <c r="C784" s="2" t="n">
        <v>441</v>
      </c>
      <c r="D784" s="1" t="s">
        <v>21</v>
      </c>
      <c r="E784" s="1" t="s">
        <v>1944</v>
      </c>
      <c r="F784" s="2" t="n">
        <v>5356671474</v>
      </c>
      <c r="G784" s="1" t="s">
        <v>1945</v>
      </c>
      <c r="H784" s="1" t="s">
        <v>94</v>
      </c>
      <c r="I784" s="1" t="s">
        <v>50</v>
      </c>
      <c r="N784" s="1" t="s">
        <v>965</v>
      </c>
    </row>
    <row r="785" customFormat="false" ht="14.25" hidden="false" customHeight="false" outlineLevel="0" collapsed="false">
      <c r="A785" s="1" t="s">
        <v>1946</v>
      </c>
      <c r="B785" s="1" t="s">
        <v>1812</v>
      </c>
      <c r="C785" s="2" t="n">
        <v>120</v>
      </c>
      <c r="D785" s="1" t="s">
        <v>21</v>
      </c>
      <c r="E785" s="1" t="s">
        <v>1812</v>
      </c>
      <c r="F785" s="2" t="n">
        <v>554195428908</v>
      </c>
      <c r="G785" s="1" t="s">
        <v>1947</v>
      </c>
      <c r="H785" s="1" t="s">
        <v>94</v>
      </c>
      <c r="I785" s="1" t="s">
        <v>54</v>
      </c>
      <c r="N785" s="1" t="s">
        <v>1022</v>
      </c>
    </row>
    <row r="786" customFormat="false" ht="14.25" hidden="false" customHeight="false" outlineLevel="0" collapsed="false">
      <c r="A786" s="1" t="s">
        <v>1948</v>
      </c>
      <c r="B786" s="1" t="s">
        <v>1930</v>
      </c>
      <c r="C786" s="2" t="n">
        <v>300</v>
      </c>
      <c r="D786" s="1" t="s">
        <v>30</v>
      </c>
      <c r="E786" s="1" t="s">
        <v>1930</v>
      </c>
      <c r="F786" s="2" t="n">
        <v>559591538723</v>
      </c>
      <c r="G786" s="1" t="s">
        <v>1931</v>
      </c>
      <c r="H786" s="1" t="s">
        <v>94</v>
      </c>
      <c r="I786" s="1" t="s">
        <v>54</v>
      </c>
      <c r="N786" s="1" t="s">
        <v>1022</v>
      </c>
    </row>
    <row r="787" customFormat="false" ht="14.25" hidden="false" customHeight="false" outlineLevel="0" collapsed="false">
      <c r="A787" s="1" t="s">
        <v>1949</v>
      </c>
      <c r="B787" s="1" t="s">
        <v>1950</v>
      </c>
      <c r="C787" s="2" t="n">
        <v>197</v>
      </c>
      <c r="D787" s="1" t="s">
        <v>20</v>
      </c>
      <c r="E787" s="1" t="s">
        <v>1039</v>
      </c>
      <c r="F787" s="2" t="n">
        <v>559286190187</v>
      </c>
      <c r="G787" s="1" t="s">
        <v>1040</v>
      </c>
      <c r="H787" s="1" t="s">
        <v>94</v>
      </c>
      <c r="I787" s="1" t="s">
        <v>54</v>
      </c>
      <c r="N787" s="1" t="s">
        <v>1022</v>
      </c>
    </row>
    <row r="788" customFormat="false" ht="14.25" hidden="false" customHeight="false" outlineLevel="0" collapsed="false">
      <c r="A788" s="1" t="s">
        <v>1951</v>
      </c>
      <c r="B788" s="1" t="s">
        <v>1952</v>
      </c>
      <c r="C788" s="2" t="n">
        <v>150</v>
      </c>
      <c r="D788" s="1" t="s">
        <v>1471</v>
      </c>
      <c r="E788" s="1" t="s">
        <v>1953</v>
      </c>
      <c r="F788" s="2" t="n">
        <v>559591526125</v>
      </c>
      <c r="G788" s="1" t="s">
        <v>1954</v>
      </c>
      <c r="H788" s="1" t="s">
        <v>94</v>
      </c>
      <c r="I788" s="1" t="s">
        <v>355</v>
      </c>
      <c r="J788" s="1" t="s">
        <v>1176</v>
      </c>
      <c r="K788" s="1" t="s">
        <v>1955</v>
      </c>
      <c r="L788" s="1" t="s">
        <v>1956</v>
      </c>
      <c r="M788" s="1" t="s">
        <v>1179</v>
      </c>
      <c r="N788" s="1" t="s">
        <v>965</v>
      </c>
    </row>
    <row r="789" customFormat="false" ht="14.25" hidden="false" customHeight="false" outlineLevel="0" collapsed="false">
      <c r="A789" s="1" t="s">
        <v>1957</v>
      </c>
      <c r="B789" s="1" t="s">
        <v>1958</v>
      </c>
      <c r="C789" s="2" t="n">
        <v>120</v>
      </c>
      <c r="D789" s="1" t="s">
        <v>21</v>
      </c>
      <c r="E789" s="1" t="s">
        <v>1959</v>
      </c>
      <c r="F789" s="2" t="n">
        <v>5548920023448</v>
      </c>
      <c r="G789" s="1" t="s">
        <v>1960</v>
      </c>
      <c r="H789" s="1" t="s">
        <v>94</v>
      </c>
      <c r="I789" s="1" t="s">
        <v>34</v>
      </c>
      <c r="N789" s="1" t="s">
        <v>965</v>
      </c>
    </row>
    <row r="790" customFormat="false" ht="14.25" hidden="false" customHeight="false" outlineLevel="0" collapsed="false">
      <c r="A790" s="1" t="s">
        <v>1961</v>
      </c>
      <c r="B790" s="1" t="s">
        <v>1962</v>
      </c>
      <c r="C790" s="2" t="n">
        <v>150</v>
      </c>
      <c r="D790" s="1" t="s">
        <v>32</v>
      </c>
      <c r="E790" s="1" t="s">
        <v>1962</v>
      </c>
      <c r="F790" s="2" t="n">
        <v>554796489301</v>
      </c>
      <c r="G790" s="1" t="s">
        <v>1963</v>
      </c>
      <c r="H790" s="1" t="s">
        <v>94</v>
      </c>
      <c r="I790" s="1" t="s">
        <v>355</v>
      </c>
      <c r="J790" s="1" t="s">
        <v>35</v>
      </c>
      <c r="K790" s="1" t="s">
        <v>36</v>
      </c>
      <c r="L790" s="1" t="s">
        <v>37</v>
      </c>
      <c r="M790" s="1" t="s">
        <v>38</v>
      </c>
      <c r="N790" s="1" t="s">
        <v>965</v>
      </c>
    </row>
    <row r="791" customFormat="false" ht="14.25" hidden="false" customHeight="false" outlineLevel="0" collapsed="false">
      <c r="A791" s="1" t="s">
        <v>1964</v>
      </c>
      <c r="B791" s="1" t="s">
        <v>1965</v>
      </c>
      <c r="C791" s="2" t="n">
        <v>150</v>
      </c>
      <c r="D791" s="1" t="s">
        <v>24</v>
      </c>
      <c r="E791" s="1" t="s">
        <v>1965</v>
      </c>
      <c r="F791" s="2" t="n">
        <v>554591393777</v>
      </c>
      <c r="G791" s="1" t="s">
        <v>1966</v>
      </c>
      <c r="H791" s="1" t="s">
        <v>94</v>
      </c>
      <c r="I791" s="1" t="s">
        <v>34</v>
      </c>
      <c r="N791" s="1" t="s">
        <v>965</v>
      </c>
    </row>
    <row r="792" customFormat="false" ht="14.25" hidden="false" customHeight="false" outlineLevel="0" collapsed="false">
      <c r="A792" s="1" t="s">
        <v>1967</v>
      </c>
      <c r="B792" s="1" t="s">
        <v>1968</v>
      </c>
      <c r="C792" s="2" t="n">
        <v>147</v>
      </c>
      <c r="D792" s="1" t="s">
        <v>18</v>
      </c>
      <c r="E792" s="1" t="s">
        <v>1968</v>
      </c>
      <c r="F792" s="2" t="n">
        <v>554999051886</v>
      </c>
      <c r="G792" s="1" t="s">
        <v>1969</v>
      </c>
      <c r="H792" s="1" t="s">
        <v>1304</v>
      </c>
      <c r="I792" s="1" t="s">
        <v>50</v>
      </c>
      <c r="N792" s="1" t="s">
        <v>965</v>
      </c>
    </row>
    <row r="793" customFormat="false" ht="14.25" hidden="false" customHeight="false" outlineLevel="0" collapsed="false">
      <c r="A793" s="1" t="s">
        <v>1970</v>
      </c>
      <c r="B793" s="1" t="s">
        <v>1971</v>
      </c>
      <c r="C793" s="2" t="n">
        <v>294</v>
      </c>
      <c r="D793" s="1" t="s">
        <v>22</v>
      </c>
      <c r="E793" s="1" t="s">
        <v>1972</v>
      </c>
      <c r="F793" s="2" t="n">
        <v>59892375350</v>
      </c>
      <c r="G793" s="1" t="s">
        <v>43</v>
      </c>
      <c r="H793" s="1" t="s">
        <v>94</v>
      </c>
      <c r="I793" s="1" t="s">
        <v>54</v>
      </c>
      <c r="N793" s="1" t="s">
        <v>965</v>
      </c>
    </row>
    <row r="794" customFormat="false" ht="14.25" hidden="false" customHeight="false" outlineLevel="0" collapsed="false">
      <c r="A794" s="1" t="s">
        <v>1973</v>
      </c>
      <c r="B794" s="1" t="s">
        <v>1971</v>
      </c>
      <c r="C794" s="2" t="n">
        <v>294</v>
      </c>
      <c r="D794" s="1" t="s">
        <v>21</v>
      </c>
      <c r="E794" s="1" t="s">
        <v>1972</v>
      </c>
      <c r="H794" s="1" t="s">
        <v>94</v>
      </c>
      <c r="I794" s="1" t="s">
        <v>54</v>
      </c>
      <c r="N794" s="1" t="s">
        <v>1022</v>
      </c>
    </row>
    <row r="795" customFormat="false" ht="14.25" hidden="false" customHeight="false" outlineLevel="0" collapsed="false">
      <c r="A795" s="1" t="s">
        <v>1974</v>
      </c>
      <c r="B795" s="1" t="s">
        <v>1975</v>
      </c>
      <c r="C795" s="2" t="n">
        <v>140</v>
      </c>
      <c r="D795" s="1" t="s">
        <v>32</v>
      </c>
      <c r="E795" s="1" t="s">
        <v>1976</v>
      </c>
      <c r="F795" s="2" t="n">
        <v>5354639742</v>
      </c>
      <c r="G795" s="1" t="s">
        <v>1977</v>
      </c>
      <c r="H795" s="1" t="s">
        <v>94</v>
      </c>
      <c r="I795" s="1" t="s">
        <v>34</v>
      </c>
      <c r="N795" s="1" t="s">
        <v>965</v>
      </c>
    </row>
    <row r="796" customFormat="false" ht="14.25" hidden="false" customHeight="false" outlineLevel="0" collapsed="false">
      <c r="A796" s="1" t="s">
        <v>1978</v>
      </c>
      <c r="B796" s="1" t="s">
        <v>1979</v>
      </c>
      <c r="C796" s="2" t="n">
        <v>97</v>
      </c>
      <c r="D796" s="1" t="s">
        <v>20</v>
      </c>
      <c r="E796" s="1" t="s">
        <v>1979</v>
      </c>
      <c r="F796" s="2" t="n">
        <v>5516981060788</v>
      </c>
      <c r="G796" s="1" t="s">
        <v>1980</v>
      </c>
      <c r="H796" s="1" t="s">
        <v>94</v>
      </c>
      <c r="I796" s="1" t="s">
        <v>50</v>
      </c>
      <c r="J796" s="1" t="s">
        <v>35</v>
      </c>
      <c r="K796" s="1" t="s">
        <v>36</v>
      </c>
      <c r="L796" s="1" t="s">
        <v>37</v>
      </c>
      <c r="M796" s="1" t="s">
        <v>38</v>
      </c>
      <c r="N796" s="1" t="s">
        <v>965</v>
      </c>
    </row>
    <row r="797" customFormat="false" ht="14.25" hidden="false" customHeight="false" outlineLevel="0" collapsed="false">
      <c r="A797" s="1" t="s">
        <v>1981</v>
      </c>
      <c r="B797" s="1" t="s">
        <v>1982</v>
      </c>
      <c r="C797" s="2" t="n">
        <v>150</v>
      </c>
      <c r="D797" s="1" t="s">
        <v>24</v>
      </c>
      <c r="E797" s="1" t="s">
        <v>1983</v>
      </c>
      <c r="F797" s="2" t="n">
        <v>554196240699</v>
      </c>
      <c r="G797" s="1" t="s">
        <v>1984</v>
      </c>
      <c r="H797" s="1" t="s">
        <v>94</v>
      </c>
      <c r="I797" s="1" t="s">
        <v>34</v>
      </c>
      <c r="J797" s="1" t="s">
        <v>35</v>
      </c>
      <c r="K797" s="1" t="s">
        <v>36</v>
      </c>
      <c r="L797" s="1" t="s">
        <v>37</v>
      </c>
      <c r="M797" s="1" t="s">
        <v>38</v>
      </c>
      <c r="N797" s="1" t="s">
        <v>965</v>
      </c>
    </row>
    <row r="798" customFormat="false" ht="14.25" hidden="false" customHeight="false" outlineLevel="0" collapsed="false">
      <c r="A798" s="1" t="s">
        <v>1985</v>
      </c>
      <c r="B798" s="1" t="s">
        <v>1986</v>
      </c>
      <c r="C798" s="2" t="n">
        <v>340</v>
      </c>
      <c r="D798" s="1" t="s">
        <v>20</v>
      </c>
      <c r="E798" s="1" t="s">
        <v>1987</v>
      </c>
      <c r="F798" s="2" t="n">
        <v>554896314101</v>
      </c>
      <c r="G798" s="1" t="s">
        <v>1988</v>
      </c>
      <c r="H798" s="1" t="s">
        <v>94</v>
      </c>
      <c r="I798" s="1" t="s">
        <v>355</v>
      </c>
      <c r="J798" s="1" t="s">
        <v>97</v>
      </c>
      <c r="K798" s="1" t="s">
        <v>20</v>
      </c>
      <c r="L798" s="1" t="s">
        <v>469</v>
      </c>
      <c r="M798" s="1" t="s">
        <v>99</v>
      </c>
      <c r="N798" s="1" t="s">
        <v>965</v>
      </c>
    </row>
    <row r="799" customFormat="false" ht="14.25" hidden="false" customHeight="false" outlineLevel="0" collapsed="false">
      <c r="A799" s="1" t="s">
        <v>1989</v>
      </c>
      <c r="B799" s="1" t="s">
        <v>1990</v>
      </c>
      <c r="C799" s="2" t="n">
        <v>360</v>
      </c>
      <c r="D799" s="1" t="s">
        <v>30</v>
      </c>
      <c r="E799" s="1" t="s">
        <v>1991</v>
      </c>
      <c r="F799" s="2" t="n">
        <v>554584058903</v>
      </c>
      <c r="G799" s="1" t="s">
        <v>1992</v>
      </c>
      <c r="H799" s="1" t="s">
        <v>94</v>
      </c>
      <c r="I799" s="1" t="s">
        <v>50</v>
      </c>
      <c r="N799" s="1" t="s">
        <v>965</v>
      </c>
    </row>
    <row r="800" customFormat="false" ht="14.25" hidden="false" customHeight="false" outlineLevel="0" collapsed="false">
      <c r="A800" s="1" t="s">
        <v>1993</v>
      </c>
      <c r="B800" s="1" t="s">
        <v>1994</v>
      </c>
      <c r="C800" s="2" t="n">
        <v>120</v>
      </c>
      <c r="D800" s="1" t="s">
        <v>30</v>
      </c>
      <c r="E800" s="1" t="s">
        <v>1995</v>
      </c>
      <c r="F800" s="2" t="n">
        <v>554784715632</v>
      </c>
      <c r="G800" s="1" t="s">
        <v>1996</v>
      </c>
      <c r="H800" s="1" t="s">
        <v>94</v>
      </c>
      <c r="I800" s="1" t="s">
        <v>50</v>
      </c>
      <c r="J800" s="1" t="s">
        <v>35</v>
      </c>
      <c r="K800" s="1" t="s">
        <v>36</v>
      </c>
      <c r="L800" s="1" t="s">
        <v>37</v>
      </c>
      <c r="M800" s="1" t="s">
        <v>38</v>
      </c>
      <c r="N800" s="1" t="s">
        <v>965</v>
      </c>
    </row>
    <row r="801" customFormat="false" ht="14.25" hidden="false" customHeight="false" outlineLevel="0" collapsed="false">
      <c r="A801" s="1" t="s">
        <v>1997</v>
      </c>
      <c r="B801" s="1" t="s">
        <v>1998</v>
      </c>
      <c r="C801" s="2" t="n">
        <v>147</v>
      </c>
      <c r="D801" s="1" t="s">
        <v>21</v>
      </c>
      <c r="E801" s="1" t="s">
        <v>1889</v>
      </c>
      <c r="F801" s="2" t="n">
        <v>559584148374</v>
      </c>
      <c r="G801" s="1" t="s">
        <v>1890</v>
      </c>
      <c r="H801" s="1" t="s">
        <v>94</v>
      </c>
      <c r="I801" s="1" t="s">
        <v>34</v>
      </c>
      <c r="N801" s="1" t="s">
        <v>965</v>
      </c>
    </row>
    <row r="802" customFormat="false" ht="14.25" hidden="false" customHeight="false" outlineLevel="0" collapsed="false">
      <c r="A802" s="1" t="s">
        <v>1999</v>
      </c>
      <c r="B802" s="1" t="s">
        <v>2000</v>
      </c>
      <c r="C802" s="2" t="n">
        <v>80</v>
      </c>
      <c r="D802" s="1" t="s">
        <v>20</v>
      </c>
      <c r="E802" s="1" t="s">
        <v>2000</v>
      </c>
      <c r="F802" s="2" t="n">
        <v>554196086817</v>
      </c>
      <c r="G802" s="1" t="s">
        <v>2001</v>
      </c>
      <c r="H802" s="1" t="s">
        <v>94</v>
      </c>
      <c r="I802" s="1" t="s">
        <v>355</v>
      </c>
      <c r="J802" s="1" t="s">
        <v>35</v>
      </c>
      <c r="K802" s="1" t="s">
        <v>36</v>
      </c>
      <c r="L802" s="1" t="s">
        <v>37</v>
      </c>
      <c r="M802" s="1" t="s">
        <v>38</v>
      </c>
      <c r="N802" s="1" t="s">
        <v>965</v>
      </c>
    </row>
    <row r="803" customFormat="false" ht="14.25" hidden="false" customHeight="false" outlineLevel="0" collapsed="false">
      <c r="A803" s="1" t="s">
        <v>2002</v>
      </c>
      <c r="B803" s="1" t="s">
        <v>2003</v>
      </c>
      <c r="C803" s="2" t="n">
        <v>194</v>
      </c>
      <c r="D803" s="1" t="s">
        <v>20</v>
      </c>
      <c r="E803" s="1" t="s">
        <v>2004</v>
      </c>
      <c r="F803" s="2" t="n">
        <v>556596075375</v>
      </c>
      <c r="G803" s="1" t="s">
        <v>2005</v>
      </c>
      <c r="H803" s="1" t="s">
        <v>94</v>
      </c>
      <c r="I803" s="1" t="s">
        <v>355</v>
      </c>
      <c r="N803" s="1" t="s">
        <v>965</v>
      </c>
    </row>
    <row r="804" customFormat="false" ht="14.25" hidden="false" customHeight="false" outlineLevel="0" collapsed="false">
      <c r="A804" s="1" t="s">
        <v>2006</v>
      </c>
      <c r="B804" s="1" t="s">
        <v>2007</v>
      </c>
      <c r="C804" s="2" t="n">
        <v>147</v>
      </c>
      <c r="D804" s="1" t="s">
        <v>22</v>
      </c>
      <c r="E804" s="1" t="s">
        <v>2007</v>
      </c>
      <c r="F804" s="2" t="n">
        <v>554797064604</v>
      </c>
      <c r="G804" s="1" t="s">
        <v>2008</v>
      </c>
      <c r="H804" s="1" t="s">
        <v>94</v>
      </c>
      <c r="I804" s="1" t="s">
        <v>34</v>
      </c>
      <c r="N804" s="1" t="s">
        <v>965</v>
      </c>
    </row>
    <row r="805" customFormat="false" ht="14.25" hidden="false" customHeight="false" outlineLevel="0" collapsed="false">
      <c r="A805" s="1" t="s">
        <v>2009</v>
      </c>
      <c r="B805" s="1" t="s">
        <v>2010</v>
      </c>
      <c r="C805" s="2" t="n">
        <v>120</v>
      </c>
      <c r="D805" s="1" t="s">
        <v>30</v>
      </c>
      <c r="E805" s="1" t="s">
        <v>2011</v>
      </c>
      <c r="F805" s="2" t="n">
        <v>554195629454</v>
      </c>
      <c r="G805" s="1" t="s">
        <v>2012</v>
      </c>
      <c r="H805" s="1" t="s">
        <v>94</v>
      </c>
      <c r="I805" s="1" t="s">
        <v>355</v>
      </c>
      <c r="J805" s="1" t="s">
        <v>35</v>
      </c>
      <c r="K805" s="1" t="s">
        <v>36</v>
      </c>
      <c r="L805" s="1" t="s">
        <v>37</v>
      </c>
      <c r="M805" s="1" t="s">
        <v>38</v>
      </c>
      <c r="N805" s="1" t="s">
        <v>965</v>
      </c>
    </row>
    <row r="806" customFormat="false" ht="14.25" hidden="false" customHeight="false" outlineLevel="0" collapsed="false">
      <c r="A806" s="1" t="s">
        <v>2013</v>
      </c>
      <c r="B806" s="1" t="s">
        <v>2014</v>
      </c>
      <c r="C806" s="2" t="n">
        <v>120</v>
      </c>
      <c r="D806" s="1" t="s">
        <v>30</v>
      </c>
      <c r="E806" s="1" t="s">
        <v>2015</v>
      </c>
      <c r="F806" s="2" t="n">
        <v>554192694545</v>
      </c>
      <c r="G806" s="1" t="s">
        <v>2016</v>
      </c>
      <c r="H806" s="1" t="s">
        <v>94</v>
      </c>
      <c r="I806" s="1" t="s">
        <v>50</v>
      </c>
      <c r="N806" s="1" t="s">
        <v>965</v>
      </c>
    </row>
    <row r="807" customFormat="false" ht="14.25" hidden="false" customHeight="false" outlineLevel="0" collapsed="false">
      <c r="A807" s="1" t="s">
        <v>2017</v>
      </c>
      <c r="B807" s="1" t="s">
        <v>2018</v>
      </c>
      <c r="C807" s="2" t="n">
        <v>147</v>
      </c>
      <c r="D807" s="1" t="s">
        <v>390</v>
      </c>
      <c r="E807" s="1" t="s">
        <v>2019</v>
      </c>
      <c r="F807" s="2" t="n">
        <v>5511921393093</v>
      </c>
      <c r="G807" s="1" t="s">
        <v>2020</v>
      </c>
      <c r="H807" s="1" t="s">
        <v>94</v>
      </c>
      <c r="I807" s="1" t="s">
        <v>34</v>
      </c>
      <c r="N807" s="1" t="s">
        <v>965</v>
      </c>
    </row>
    <row r="808" customFormat="false" ht="14.25" hidden="false" customHeight="false" outlineLevel="0" collapsed="false">
      <c r="A808" s="1" t="s">
        <v>2021</v>
      </c>
      <c r="B808" s="1" t="s">
        <v>2022</v>
      </c>
      <c r="C808" s="2" t="n">
        <v>220</v>
      </c>
      <c r="D808" s="1" t="s">
        <v>390</v>
      </c>
      <c r="E808" s="1" t="s">
        <v>2023</v>
      </c>
      <c r="F808" s="2" t="n">
        <v>559591161397</v>
      </c>
      <c r="G808" s="1" t="s">
        <v>2024</v>
      </c>
      <c r="H808" s="1" t="s">
        <v>94</v>
      </c>
      <c r="I808" s="1" t="s">
        <v>34</v>
      </c>
      <c r="J808" s="1" t="s">
        <v>1176</v>
      </c>
      <c r="K808" s="1" t="s">
        <v>1897</v>
      </c>
      <c r="L808" s="1" t="s">
        <v>1898</v>
      </c>
      <c r="M808" s="1" t="s">
        <v>1179</v>
      </c>
      <c r="N808" s="1" t="s">
        <v>965</v>
      </c>
    </row>
    <row r="809" customFormat="false" ht="14.25" hidden="false" customHeight="false" outlineLevel="0" collapsed="false">
      <c r="A809" s="1" t="s">
        <v>2025</v>
      </c>
      <c r="B809" s="1" t="s">
        <v>2026</v>
      </c>
      <c r="C809" s="2" t="n">
        <v>600</v>
      </c>
      <c r="D809" s="1" t="s">
        <v>27</v>
      </c>
      <c r="E809" s="1" t="s">
        <v>2026</v>
      </c>
      <c r="F809" s="2" t="n">
        <v>554991700503</v>
      </c>
      <c r="G809" s="1" t="s">
        <v>2027</v>
      </c>
      <c r="H809" s="1" t="s">
        <v>94</v>
      </c>
      <c r="I809" s="1" t="s">
        <v>34</v>
      </c>
      <c r="N809" s="1" t="s">
        <v>965</v>
      </c>
    </row>
    <row r="810" customFormat="false" ht="14.25" hidden="false" customHeight="false" outlineLevel="0" collapsed="false">
      <c r="A810" s="1" t="s">
        <v>2028</v>
      </c>
      <c r="B810" s="1" t="s">
        <v>2029</v>
      </c>
      <c r="C810" s="2" t="n">
        <v>120</v>
      </c>
      <c r="D810" s="1" t="s">
        <v>30</v>
      </c>
      <c r="E810" s="1" t="s">
        <v>2030</v>
      </c>
      <c r="F810" s="2" t="n">
        <v>5511913031958</v>
      </c>
      <c r="G810" s="1" t="s">
        <v>2031</v>
      </c>
      <c r="H810" s="1" t="s">
        <v>94</v>
      </c>
      <c r="I810" s="1" t="s">
        <v>50</v>
      </c>
      <c r="J810" s="1" t="s">
        <v>97</v>
      </c>
      <c r="K810" s="1" t="s">
        <v>20</v>
      </c>
      <c r="L810" s="1" t="s">
        <v>469</v>
      </c>
      <c r="M810" s="1" t="s">
        <v>99</v>
      </c>
      <c r="N810" s="1" t="s">
        <v>965</v>
      </c>
    </row>
    <row r="811" customFormat="false" ht="14.25" hidden="false" customHeight="false" outlineLevel="0" collapsed="false">
      <c r="A811" s="1" t="s">
        <v>2032</v>
      </c>
      <c r="B811" s="1" t="s">
        <v>2033</v>
      </c>
      <c r="C811" s="2" t="n">
        <v>500</v>
      </c>
      <c r="D811" s="1" t="s">
        <v>27</v>
      </c>
      <c r="E811" s="1" t="s">
        <v>2034</v>
      </c>
      <c r="F811" s="2" t="n">
        <v>555491544469</v>
      </c>
      <c r="G811" s="1" t="s">
        <v>2035</v>
      </c>
      <c r="H811" s="1" t="s">
        <v>94</v>
      </c>
      <c r="I811" s="1" t="s">
        <v>54</v>
      </c>
      <c r="N811" s="1" t="s">
        <v>1022</v>
      </c>
    </row>
    <row r="812" customFormat="false" ht="14.25" hidden="false" customHeight="false" outlineLevel="0" collapsed="false">
      <c r="A812" s="1" t="s">
        <v>2036</v>
      </c>
      <c r="B812" s="1" t="s">
        <v>2037</v>
      </c>
      <c r="C812" s="2" t="n">
        <v>117</v>
      </c>
      <c r="D812" s="1" t="s">
        <v>20</v>
      </c>
      <c r="E812" s="1" t="s">
        <v>2038</v>
      </c>
      <c r="F812" s="2" t="n">
        <v>559591232996</v>
      </c>
      <c r="G812" s="1" t="s">
        <v>1674</v>
      </c>
      <c r="H812" s="1" t="s">
        <v>94</v>
      </c>
      <c r="I812" s="1" t="s">
        <v>54</v>
      </c>
      <c r="N812" s="1" t="s">
        <v>1022</v>
      </c>
    </row>
    <row r="813" customFormat="false" ht="14.25" hidden="false" customHeight="false" outlineLevel="0" collapsed="false">
      <c r="A813" s="1" t="s">
        <v>2039</v>
      </c>
      <c r="B813" s="1" t="s">
        <v>1836</v>
      </c>
      <c r="C813" s="2" t="n">
        <v>360</v>
      </c>
      <c r="D813" s="1" t="s">
        <v>30</v>
      </c>
      <c r="E813" s="1" t="s">
        <v>2040</v>
      </c>
      <c r="F813" s="2" t="n">
        <v>5354081128</v>
      </c>
      <c r="G813" s="1" t="s">
        <v>1838</v>
      </c>
      <c r="H813" s="1" t="s">
        <v>94</v>
      </c>
      <c r="I813" s="1" t="s">
        <v>54</v>
      </c>
      <c r="N813" s="1" t="s">
        <v>1022</v>
      </c>
    </row>
    <row r="814" customFormat="false" ht="14.25" hidden="false" customHeight="false" outlineLevel="0" collapsed="false">
      <c r="A814" s="1" t="s">
        <v>2041</v>
      </c>
      <c r="B814" s="1" t="s">
        <v>2037</v>
      </c>
      <c r="C814" s="2" t="n">
        <v>147</v>
      </c>
      <c r="D814" s="1" t="s">
        <v>390</v>
      </c>
      <c r="E814" s="1" t="s">
        <v>2038</v>
      </c>
      <c r="F814" s="2" t="n">
        <v>559591232996</v>
      </c>
      <c r="G814" s="1" t="s">
        <v>1674</v>
      </c>
      <c r="H814" s="1" t="s">
        <v>94</v>
      </c>
      <c r="I814" s="1" t="s">
        <v>54</v>
      </c>
      <c r="N814" s="1" t="s">
        <v>1022</v>
      </c>
    </row>
    <row r="815" customFormat="false" ht="14.25" hidden="false" customHeight="false" outlineLevel="0" collapsed="false">
      <c r="A815" s="1" t="s">
        <v>2042</v>
      </c>
      <c r="B815" s="1" t="s">
        <v>2043</v>
      </c>
      <c r="C815" s="2" t="n">
        <v>600</v>
      </c>
      <c r="D815" s="1" t="s">
        <v>27</v>
      </c>
      <c r="E815" s="1" t="s">
        <v>2044</v>
      </c>
      <c r="F815" s="2" t="n">
        <v>556581182225</v>
      </c>
      <c r="G815" s="1" t="s">
        <v>2045</v>
      </c>
      <c r="H815" s="1" t="s">
        <v>94</v>
      </c>
      <c r="I815" s="1" t="s">
        <v>54</v>
      </c>
      <c r="N815" s="1" t="s">
        <v>1022</v>
      </c>
    </row>
    <row r="816" customFormat="false" ht="14.25" hidden="false" customHeight="false" outlineLevel="0" collapsed="false">
      <c r="A816" s="1" t="s">
        <v>2042</v>
      </c>
      <c r="B816" s="1" t="s">
        <v>341</v>
      </c>
      <c r="C816" s="2" t="n">
        <v>50</v>
      </c>
      <c r="D816" s="1" t="s">
        <v>22</v>
      </c>
      <c r="E816" s="1" t="s">
        <v>341</v>
      </c>
      <c r="F816" s="2" t="n">
        <v>5521969875829</v>
      </c>
      <c r="G816" s="1" t="s">
        <v>342</v>
      </c>
      <c r="H816" s="1" t="s">
        <v>94</v>
      </c>
      <c r="I816" s="1" t="s">
        <v>50</v>
      </c>
      <c r="N816" s="1" t="s">
        <v>965</v>
      </c>
    </row>
    <row r="817" customFormat="false" ht="16.4" hidden="false" customHeight="false" outlineLevel="0" collapsed="false">
      <c r="A817" s="1" t="s">
        <v>2042</v>
      </c>
      <c r="B817" s="1" t="s">
        <v>367</v>
      </c>
      <c r="C817" s="2" t="n">
        <v>250</v>
      </c>
      <c r="D817" s="1" t="s">
        <v>106</v>
      </c>
      <c r="E817" s="1" t="s">
        <v>367</v>
      </c>
      <c r="F817" s="2" t="n">
        <v>556992121074</v>
      </c>
      <c r="G817" s="6" t="s">
        <v>2046</v>
      </c>
      <c r="H817" s="1" t="s">
        <v>94</v>
      </c>
      <c r="I817" s="1" t="s">
        <v>34</v>
      </c>
      <c r="N817" s="1" t="s">
        <v>965</v>
      </c>
    </row>
    <row r="818" customFormat="false" ht="14.25" hidden="false" customHeight="false" outlineLevel="0" collapsed="false">
      <c r="A818" s="1" t="s">
        <v>2047</v>
      </c>
      <c r="B818" s="1" t="s">
        <v>2048</v>
      </c>
      <c r="C818" s="2" t="n">
        <v>240</v>
      </c>
      <c r="D818" s="1" t="s">
        <v>30</v>
      </c>
      <c r="E818" s="1" t="s">
        <v>2048</v>
      </c>
      <c r="F818" s="2" t="n">
        <v>555496045048</v>
      </c>
      <c r="G818" s="9" t="s">
        <v>2049</v>
      </c>
      <c r="H818" s="1" t="s">
        <v>94</v>
      </c>
      <c r="I818" s="1" t="s">
        <v>355</v>
      </c>
      <c r="N818" s="1" t="s">
        <v>965</v>
      </c>
    </row>
    <row r="819" customFormat="false" ht="14.25" hidden="false" customHeight="false" outlineLevel="0" collapsed="false">
      <c r="A819" s="1" t="s">
        <v>2050</v>
      </c>
      <c r="B819" s="1" t="s">
        <v>145</v>
      </c>
      <c r="C819" s="2" t="n">
        <v>147</v>
      </c>
      <c r="D819" s="1" t="s">
        <v>390</v>
      </c>
      <c r="E819" s="1" t="s">
        <v>145</v>
      </c>
      <c r="F819" s="2" t="n">
        <v>559591119749</v>
      </c>
      <c r="G819" s="9" t="s">
        <v>133</v>
      </c>
      <c r="H819" s="1" t="s">
        <v>94</v>
      </c>
      <c r="I819" s="1" t="s">
        <v>54</v>
      </c>
      <c r="N819" s="1" t="s">
        <v>1022</v>
      </c>
    </row>
    <row r="820" customFormat="false" ht="14.25" hidden="false" customHeight="false" outlineLevel="0" collapsed="false">
      <c r="A820" s="1" t="s">
        <v>2051</v>
      </c>
      <c r="B820" s="1" t="s">
        <v>2052</v>
      </c>
      <c r="C820" s="2" t="n">
        <v>97</v>
      </c>
      <c r="D820" s="1" t="s">
        <v>20</v>
      </c>
      <c r="E820" s="1" t="s">
        <v>2053</v>
      </c>
      <c r="F820" s="2" t="n">
        <v>554192055170</v>
      </c>
      <c r="G820" s="9" t="s">
        <v>2054</v>
      </c>
      <c r="H820" s="1" t="s">
        <v>94</v>
      </c>
      <c r="I820" s="1" t="s">
        <v>50</v>
      </c>
      <c r="J820" s="1" t="s">
        <v>35</v>
      </c>
      <c r="K820" s="1" t="s">
        <v>69</v>
      </c>
      <c r="L820" s="1" t="s">
        <v>528</v>
      </c>
      <c r="M820" s="1" t="s">
        <v>38</v>
      </c>
      <c r="N820" s="1" t="s">
        <v>965</v>
      </c>
    </row>
    <row r="821" customFormat="false" ht="14.25" hidden="false" customHeight="false" outlineLevel="0" collapsed="false">
      <c r="A821" s="1" t="s">
        <v>2055</v>
      </c>
      <c r="B821" s="1" t="s">
        <v>1164</v>
      </c>
      <c r="C821" s="2" t="n">
        <v>120</v>
      </c>
      <c r="D821" s="1" t="s">
        <v>30</v>
      </c>
      <c r="E821" s="1" t="s">
        <v>1164</v>
      </c>
      <c r="F821" s="2" t="n">
        <v>5511992406888</v>
      </c>
      <c r="G821" s="9" t="s">
        <v>1611</v>
      </c>
      <c r="H821" s="1" t="s">
        <v>94</v>
      </c>
      <c r="I821" s="1" t="s">
        <v>54</v>
      </c>
      <c r="N821" s="1" t="s">
        <v>1022</v>
      </c>
    </row>
    <row r="822" customFormat="false" ht="14.25" hidden="false" customHeight="false" outlineLevel="0" collapsed="false">
      <c r="A822" s="1" t="s">
        <v>2056</v>
      </c>
      <c r="B822" s="1" t="s">
        <v>1466</v>
      </c>
      <c r="C822" s="2" t="n">
        <v>294</v>
      </c>
      <c r="D822" s="1" t="s">
        <v>18</v>
      </c>
      <c r="E822" s="1" t="s">
        <v>1466</v>
      </c>
      <c r="F822" s="2" t="n">
        <v>554187292927</v>
      </c>
      <c r="G822" s="9" t="s">
        <v>2057</v>
      </c>
      <c r="H822" s="1" t="s">
        <v>94</v>
      </c>
      <c r="I822" s="1" t="s">
        <v>54</v>
      </c>
      <c r="N822" s="1" t="s">
        <v>1022</v>
      </c>
    </row>
    <row r="823" customFormat="false" ht="14.25" hidden="false" customHeight="false" outlineLevel="0" collapsed="false">
      <c r="A823" s="1" t="s">
        <v>2058</v>
      </c>
      <c r="B823" s="1" t="s">
        <v>2059</v>
      </c>
      <c r="C823" s="2" t="n">
        <v>60</v>
      </c>
      <c r="D823" s="1" t="s">
        <v>862</v>
      </c>
      <c r="E823" s="1" t="s">
        <v>2059</v>
      </c>
      <c r="F823" s="2" t="n">
        <v>554187671962</v>
      </c>
      <c r="G823" s="9" t="s">
        <v>2060</v>
      </c>
      <c r="H823" s="1" t="s">
        <v>94</v>
      </c>
      <c r="I823" s="1" t="s">
        <v>355</v>
      </c>
      <c r="N823" s="1" t="s">
        <v>965</v>
      </c>
    </row>
    <row r="824" customFormat="false" ht="14.25" hidden="false" customHeight="false" outlineLevel="0" collapsed="false">
      <c r="A824" s="1" t="s">
        <v>2061</v>
      </c>
      <c r="B824" s="1" t="s">
        <v>2062</v>
      </c>
      <c r="C824" s="2" t="n">
        <v>147</v>
      </c>
      <c r="D824" s="1" t="s">
        <v>390</v>
      </c>
      <c r="E824" s="1" t="s">
        <v>2063</v>
      </c>
      <c r="F824" s="2" t="n">
        <v>554891730563</v>
      </c>
      <c r="G824" s="9" t="s">
        <v>2064</v>
      </c>
      <c r="H824" s="1" t="s">
        <v>94</v>
      </c>
      <c r="I824" s="1" t="s">
        <v>50</v>
      </c>
      <c r="N824" s="1" t="s">
        <v>965</v>
      </c>
    </row>
    <row r="825" customFormat="false" ht="14.25" hidden="false" customHeight="false" outlineLevel="0" collapsed="false">
      <c r="A825" s="1" t="s">
        <v>2065</v>
      </c>
      <c r="B825" s="1" t="s">
        <v>2066</v>
      </c>
      <c r="C825" s="2" t="n">
        <v>120</v>
      </c>
      <c r="D825" s="1" t="s">
        <v>23</v>
      </c>
      <c r="E825" s="1" t="s">
        <v>2067</v>
      </c>
      <c r="F825" s="2" t="n">
        <v>554198637077</v>
      </c>
      <c r="G825" s="9" t="s">
        <v>2068</v>
      </c>
      <c r="H825" s="1" t="s">
        <v>94</v>
      </c>
      <c r="I825" s="1" t="s">
        <v>50</v>
      </c>
      <c r="N825" s="1" t="s">
        <v>965</v>
      </c>
    </row>
    <row r="826" customFormat="false" ht="14.25" hidden="false" customHeight="false" outlineLevel="0" collapsed="false">
      <c r="A826" s="1" t="s">
        <v>2069</v>
      </c>
      <c r="B826" s="1" t="s">
        <v>1824</v>
      </c>
      <c r="C826" s="2" t="n">
        <v>150</v>
      </c>
      <c r="D826" s="1" t="s">
        <v>32</v>
      </c>
      <c r="E826" s="1" t="s">
        <v>2070</v>
      </c>
      <c r="F826" s="2" t="n">
        <v>559684026663</v>
      </c>
      <c r="G826" s="9" t="s">
        <v>1825</v>
      </c>
      <c r="H826" s="1" t="s">
        <v>94</v>
      </c>
      <c r="I826" s="1" t="s">
        <v>54</v>
      </c>
      <c r="N826" s="1" t="s">
        <v>1022</v>
      </c>
    </row>
    <row r="827" customFormat="false" ht="14.25" hidden="false" customHeight="false" outlineLevel="0" collapsed="false">
      <c r="A827" s="1" t="s">
        <v>2071</v>
      </c>
      <c r="B827" s="1" t="s">
        <v>2072</v>
      </c>
      <c r="C827" s="2" t="n">
        <v>147</v>
      </c>
      <c r="D827" s="1" t="s">
        <v>390</v>
      </c>
      <c r="E827" s="1" t="s">
        <v>2073</v>
      </c>
      <c r="F827" s="2" t="n">
        <v>5519981269940</v>
      </c>
      <c r="G827" s="9" t="s">
        <v>2074</v>
      </c>
      <c r="H827" s="1" t="s">
        <v>94</v>
      </c>
      <c r="I827" s="1" t="s">
        <v>50</v>
      </c>
      <c r="N827" s="1" t="s">
        <v>965</v>
      </c>
    </row>
    <row r="828" customFormat="false" ht="14.25" hidden="false" customHeight="false" outlineLevel="0" collapsed="false">
      <c r="A828" s="1" t="s">
        <v>2075</v>
      </c>
      <c r="B828" s="1" t="s">
        <v>2076</v>
      </c>
      <c r="C828" s="2" t="n">
        <v>120</v>
      </c>
      <c r="D828" s="1" t="s">
        <v>30</v>
      </c>
      <c r="E828" s="1" t="s">
        <v>2076</v>
      </c>
      <c r="F828" s="2" t="n">
        <v>5511984238459</v>
      </c>
      <c r="G828" s="9" t="s">
        <v>2077</v>
      </c>
      <c r="H828" s="1" t="s">
        <v>94</v>
      </c>
      <c r="I828" s="1" t="s">
        <v>50</v>
      </c>
      <c r="N828" s="1" t="s">
        <v>965</v>
      </c>
    </row>
    <row r="829" customFormat="false" ht="14.25" hidden="false" customHeight="false" outlineLevel="0" collapsed="false">
      <c r="A829" s="1" t="s">
        <v>2078</v>
      </c>
      <c r="B829" s="1" t="s">
        <v>2079</v>
      </c>
      <c r="C829" s="2" t="n">
        <v>295</v>
      </c>
      <c r="D829" s="1" t="s">
        <v>18</v>
      </c>
      <c r="E829" s="1" t="s">
        <v>2080</v>
      </c>
      <c r="F829" s="2" t="n">
        <v>553898364580</v>
      </c>
      <c r="G829" s="9" t="s">
        <v>2081</v>
      </c>
      <c r="H829" s="1" t="s">
        <v>94</v>
      </c>
      <c r="I829" s="1" t="s">
        <v>355</v>
      </c>
      <c r="N829" s="1" t="s">
        <v>965</v>
      </c>
    </row>
    <row r="830" customFormat="false" ht="14.25" hidden="false" customHeight="false" outlineLevel="0" collapsed="false">
      <c r="A830" s="1" t="s">
        <v>2082</v>
      </c>
      <c r="B830" s="1" t="s">
        <v>2083</v>
      </c>
      <c r="C830" s="2" t="n">
        <v>147</v>
      </c>
      <c r="D830" s="1" t="s">
        <v>390</v>
      </c>
      <c r="E830" s="1" t="s">
        <v>2084</v>
      </c>
      <c r="F830" s="2" t="n">
        <v>556199420044</v>
      </c>
      <c r="G830" s="9" t="s">
        <v>43</v>
      </c>
      <c r="H830" s="1" t="s">
        <v>94</v>
      </c>
      <c r="I830" s="1" t="s">
        <v>50</v>
      </c>
      <c r="J830" s="1" t="s">
        <v>35</v>
      </c>
      <c r="K830" s="1" t="s">
        <v>69</v>
      </c>
      <c r="L830" s="1" t="s">
        <v>70</v>
      </c>
      <c r="M830" s="1" t="s">
        <v>38</v>
      </c>
      <c r="N830" s="1" t="s">
        <v>965</v>
      </c>
      <c r="O830" s="1" t="s">
        <v>2085</v>
      </c>
      <c r="P830" s="1" t="s">
        <v>862</v>
      </c>
    </row>
    <row r="831" customFormat="false" ht="14.25" hidden="false" customHeight="false" outlineLevel="0" collapsed="false">
      <c r="A831" s="1" t="s">
        <v>2082</v>
      </c>
      <c r="B831" s="1" t="s">
        <v>105</v>
      </c>
      <c r="C831" s="2" t="n">
        <v>300</v>
      </c>
      <c r="D831" s="1" t="s">
        <v>106</v>
      </c>
      <c r="E831" s="1" t="s">
        <v>105</v>
      </c>
      <c r="F831" s="2" t="n">
        <v>5358746935</v>
      </c>
      <c r="G831" s="1" t="s">
        <v>43</v>
      </c>
      <c r="H831" s="1" t="s">
        <v>94</v>
      </c>
      <c r="I831" s="1" t="s">
        <v>54</v>
      </c>
      <c r="J831" s="1" t="s">
        <v>107</v>
      </c>
      <c r="M831" s="1" t="s">
        <v>108</v>
      </c>
      <c r="Q831" s="10"/>
    </row>
    <row r="832" customFormat="false" ht="14.25" hidden="false" customHeight="false" outlineLevel="0" collapsed="false">
      <c r="A832" s="1" t="s">
        <v>2086</v>
      </c>
      <c r="B832" s="1" t="s">
        <v>2087</v>
      </c>
      <c r="C832" s="2" t="n">
        <v>241</v>
      </c>
      <c r="D832" s="1" t="s">
        <v>20</v>
      </c>
      <c r="E832" s="1" t="s">
        <v>2087</v>
      </c>
      <c r="F832" s="2" t="n">
        <v>554195688649</v>
      </c>
      <c r="G832" s="9" t="s">
        <v>519</v>
      </c>
      <c r="H832" s="1" t="s">
        <v>94</v>
      </c>
      <c r="I832" s="1" t="s">
        <v>34</v>
      </c>
      <c r="N832" s="1" t="s">
        <v>965</v>
      </c>
      <c r="O832" s="1" t="s">
        <v>2088</v>
      </c>
      <c r="P832" s="1" t="s">
        <v>2089</v>
      </c>
    </row>
    <row r="833" customFormat="false" ht="14.25" hidden="false" customHeight="false" outlineLevel="0" collapsed="false">
      <c r="A833" s="1" t="s">
        <v>2090</v>
      </c>
      <c r="B833" s="1" t="s">
        <v>2091</v>
      </c>
      <c r="C833" s="2" t="n">
        <v>300</v>
      </c>
      <c r="D833" s="1" t="s">
        <v>106</v>
      </c>
      <c r="E833" s="1" t="s">
        <v>2091</v>
      </c>
      <c r="F833" s="2" t="n">
        <v>554187657319</v>
      </c>
      <c r="G833" s="9" t="s">
        <v>2092</v>
      </c>
      <c r="H833" s="1" t="s">
        <v>94</v>
      </c>
      <c r="I833" s="1" t="s">
        <v>50</v>
      </c>
      <c r="N833" s="1" t="s">
        <v>965</v>
      </c>
      <c r="O833" s="1" t="s">
        <v>2088</v>
      </c>
      <c r="P833" s="1" t="s">
        <v>2089</v>
      </c>
    </row>
    <row r="834" customFormat="false" ht="14.25" hidden="false" customHeight="false" outlineLevel="0" collapsed="false">
      <c r="A834" s="1" t="s">
        <v>2093</v>
      </c>
      <c r="B834" s="1" t="s">
        <v>2094</v>
      </c>
      <c r="C834" s="2" t="n">
        <v>150</v>
      </c>
      <c r="D834" s="1" t="s">
        <v>32</v>
      </c>
      <c r="E834" s="1" t="s">
        <v>2094</v>
      </c>
      <c r="F834" s="2" t="n">
        <v>554196609704</v>
      </c>
      <c r="G834" s="9" t="s">
        <v>2095</v>
      </c>
      <c r="H834" s="1" t="s">
        <v>94</v>
      </c>
      <c r="I834" s="1" t="s">
        <v>34</v>
      </c>
      <c r="J834" s="1" t="s">
        <v>35</v>
      </c>
      <c r="K834" s="1" t="s">
        <v>69</v>
      </c>
      <c r="L834" s="1" t="s">
        <v>70</v>
      </c>
      <c r="M834" s="1" t="s">
        <v>38</v>
      </c>
      <c r="N834" s="1" t="s">
        <v>965</v>
      </c>
      <c r="O834" s="1" t="s">
        <v>2088</v>
      </c>
      <c r="P834" s="1" t="s">
        <v>2089</v>
      </c>
    </row>
    <row r="835" customFormat="false" ht="14.25" hidden="false" customHeight="false" outlineLevel="0" collapsed="false">
      <c r="A835" s="1" t="s">
        <v>2096</v>
      </c>
      <c r="B835" s="1" t="s">
        <v>2097</v>
      </c>
      <c r="C835" s="2" t="n">
        <v>100</v>
      </c>
      <c r="D835" s="1" t="s">
        <v>20</v>
      </c>
      <c r="E835" s="1" t="s">
        <v>2097</v>
      </c>
      <c r="F835" s="2" t="n">
        <v>554192137912</v>
      </c>
      <c r="G835" s="9" t="s">
        <v>2098</v>
      </c>
      <c r="H835" s="1" t="s">
        <v>94</v>
      </c>
      <c r="I835" s="1" t="s">
        <v>34</v>
      </c>
      <c r="N835" s="1" t="s">
        <v>965</v>
      </c>
      <c r="O835" s="1" t="s">
        <v>2088</v>
      </c>
      <c r="P835" s="1" t="s">
        <v>862</v>
      </c>
    </row>
    <row r="836" customFormat="false" ht="14.25" hidden="false" customHeight="false" outlineLevel="0" collapsed="false">
      <c r="A836" s="1" t="s">
        <v>2099</v>
      </c>
      <c r="B836" s="1" t="s">
        <v>2100</v>
      </c>
      <c r="C836" s="2" t="n">
        <v>120</v>
      </c>
      <c r="D836" s="1" t="s">
        <v>30</v>
      </c>
      <c r="E836" s="1" t="s">
        <v>2100</v>
      </c>
      <c r="F836" s="2" t="n">
        <v>559584407722</v>
      </c>
      <c r="G836" s="9" t="s">
        <v>2101</v>
      </c>
      <c r="H836" s="1" t="s">
        <v>94</v>
      </c>
      <c r="I836" s="1" t="s">
        <v>50</v>
      </c>
      <c r="N836" s="1" t="s">
        <v>965</v>
      </c>
      <c r="O836" s="1" t="s">
        <v>2102</v>
      </c>
      <c r="P836" s="1" t="s">
        <v>2089</v>
      </c>
    </row>
    <row r="837" customFormat="false" ht="14.25" hidden="false" customHeight="false" outlineLevel="0" collapsed="false">
      <c r="A837" s="1" t="s">
        <v>2103</v>
      </c>
      <c r="B837" s="1" t="s">
        <v>2104</v>
      </c>
      <c r="C837" s="2" t="n">
        <v>147</v>
      </c>
      <c r="D837" s="1" t="s">
        <v>390</v>
      </c>
      <c r="E837" s="1" t="s">
        <v>2105</v>
      </c>
      <c r="F837" s="2" t="n">
        <v>554192511990</v>
      </c>
      <c r="G837" s="9" t="s">
        <v>2106</v>
      </c>
      <c r="H837" s="1" t="s">
        <v>94</v>
      </c>
      <c r="I837" s="1" t="s">
        <v>34</v>
      </c>
      <c r="J837" s="1" t="s">
        <v>35</v>
      </c>
      <c r="K837" s="1" t="s">
        <v>36</v>
      </c>
      <c r="L837" s="1" t="s">
        <v>37</v>
      </c>
      <c r="M837" s="1" t="s">
        <v>38</v>
      </c>
      <c r="N837" s="1" t="s">
        <v>965</v>
      </c>
      <c r="O837" s="1" t="s">
        <v>2107</v>
      </c>
      <c r="P837" s="1" t="s">
        <v>862</v>
      </c>
    </row>
    <row r="838" customFormat="false" ht="14.25" hidden="false" customHeight="false" outlineLevel="0" collapsed="false">
      <c r="A838" s="1" t="s">
        <v>2108</v>
      </c>
      <c r="B838" s="1" t="s">
        <v>2109</v>
      </c>
      <c r="C838" s="2" t="n">
        <v>97</v>
      </c>
      <c r="D838" s="1" t="s">
        <v>20</v>
      </c>
      <c r="E838" s="1" t="s">
        <v>2110</v>
      </c>
      <c r="F838" s="2" t="n">
        <v>554598292823</v>
      </c>
      <c r="G838" s="9" t="s">
        <v>2111</v>
      </c>
      <c r="H838" s="1" t="s">
        <v>94</v>
      </c>
      <c r="I838" s="1" t="s">
        <v>50</v>
      </c>
      <c r="J838" s="1" t="s">
        <v>35</v>
      </c>
      <c r="K838" s="1" t="s">
        <v>36</v>
      </c>
      <c r="L838" s="1" t="s">
        <v>37</v>
      </c>
      <c r="M838" s="1" t="s">
        <v>38</v>
      </c>
      <c r="N838" s="1" t="s">
        <v>965</v>
      </c>
      <c r="O838" s="1" t="s">
        <v>2088</v>
      </c>
      <c r="P838" s="1" t="s">
        <v>2089</v>
      </c>
    </row>
    <row r="839" customFormat="false" ht="14.25" hidden="false" customHeight="false" outlineLevel="0" collapsed="false">
      <c r="A839" s="1" t="s">
        <v>2112</v>
      </c>
      <c r="B839" s="1" t="s">
        <v>2113</v>
      </c>
      <c r="C839" s="2" t="n">
        <v>147</v>
      </c>
      <c r="D839" s="1" t="s">
        <v>390</v>
      </c>
      <c r="E839" s="1" t="s">
        <v>2113</v>
      </c>
      <c r="F839" s="2" t="n">
        <v>554899355449</v>
      </c>
      <c r="G839" s="9" t="s">
        <v>519</v>
      </c>
      <c r="H839" s="1" t="s">
        <v>94</v>
      </c>
      <c r="I839" s="1" t="s">
        <v>34</v>
      </c>
      <c r="N839" s="1" t="s">
        <v>965</v>
      </c>
      <c r="O839" s="1" t="s">
        <v>2107</v>
      </c>
      <c r="P839" s="1" t="s">
        <v>862</v>
      </c>
      <c r="Q839" s="10"/>
    </row>
    <row r="840" customFormat="false" ht="14.25" hidden="false" customHeight="false" outlineLevel="0" collapsed="false">
      <c r="A840" s="1" t="s">
        <v>2112</v>
      </c>
      <c r="B840" s="1" t="s">
        <v>2114</v>
      </c>
      <c r="C840" s="2" t="n">
        <v>220</v>
      </c>
      <c r="D840" s="1" t="s">
        <v>390</v>
      </c>
      <c r="E840" s="1" t="s">
        <v>2115</v>
      </c>
      <c r="F840" s="2" t="n">
        <v>5541997175695</v>
      </c>
      <c r="G840" s="9" t="s">
        <v>519</v>
      </c>
      <c r="H840" s="1" t="s">
        <v>94</v>
      </c>
      <c r="I840" s="1" t="s">
        <v>355</v>
      </c>
      <c r="N840" s="1" t="s">
        <v>965</v>
      </c>
      <c r="O840" s="1" t="s">
        <v>2088</v>
      </c>
      <c r="P840" s="1" t="s">
        <v>2089</v>
      </c>
    </row>
    <row r="841" customFormat="false" ht="14.25" hidden="false" customHeight="false" outlineLevel="0" collapsed="false">
      <c r="A841" s="1" t="s">
        <v>2116</v>
      </c>
      <c r="B841" s="1" t="s">
        <v>2117</v>
      </c>
      <c r="C841" s="2" t="n">
        <v>150</v>
      </c>
      <c r="D841" s="1" t="s">
        <v>30</v>
      </c>
      <c r="E841" s="1" t="s">
        <v>2118</v>
      </c>
      <c r="F841" s="2" t="n">
        <v>555499527909</v>
      </c>
      <c r="G841" s="9" t="s">
        <v>2119</v>
      </c>
      <c r="H841" s="1" t="s">
        <v>94</v>
      </c>
      <c r="I841" s="1" t="s">
        <v>50</v>
      </c>
      <c r="N841" s="1" t="s">
        <v>965</v>
      </c>
      <c r="O841" s="1" t="s">
        <v>2120</v>
      </c>
      <c r="P841" s="1" t="s">
        <v>2121</v>
      </c>
    </row>
    <row r="842" customFormat="false" ht="14.25" hidden="false" customHeight="false" outlineLevel="0" collapsed="false">
      <c r="A842" s="1" t="s">
        <v>2122</v>
      </c>
      <c r="B842" s="1" t="s">
        <v>43</v>
      </c>
      <c r="C842" s="2" t="n">
        <v>0</v>
      </c>
      <c r="D842" s="1" t="s">
        <v>390</v>
      </c>
      <c r="E842" s="1" t="s">
        <v>1917</v>
      </c>
      <c r="G842" s="9"/>
      <c r="H842" s="1" t="s">
        <v>94</v>
      </c>
      <c r="I842" s="1" t="s">
        <v>54</v>
      </c>
      <c r="N842" s="1" t="s">
        <v>1022</v>
      </c>
      <c r="O842" s="1" t="s">
        <v>2107</v>
      </c>
      <c r="P842" s="1" t="s">
        <v>862</v>
      </c>
    </row>
    <row r="843" customFormat="false" ht="14.25" hidden="false" customHeight="false" outlineLevel="0" collapsed="false">
      <c r="A843" s="1" t="s">
        <v>2123</v>
      </c>
      <c r="B843" s="1" t="s">
        <v>2124</v>
      </c>
      <c r="C843" s="2" t="n">
        <v>120</v>
      </c>
      <c r="D843" s="1" t="s">
        <v>30</v>
      </c>
      <c r="E843" s="1" t="s">
        <v>2124</v>
      </c>
      <c r="F843" s="2" t="n">
        <v>555491818668</v>
      </c>
      <c r="G843" s="9" t="s">
        <v>2125</v>
      </c>
      <c r="H843" s="1" t="s">
        <v>94</v>
      </c>
      <c r="I843" s="1" t="s">
        <v>54</v>
      </c>
      <c r="N843" s="1" t="s">
        <v>965</v>
      </c>
      <c r="O843" s="1" t="s">
        <v>2126</v>
      </c>
      <c r="P843" s="1" t="s">
        <v>2121</v>
      </c>
    </row>
    <row r="844" customFormat="false" ht="14.25" hidden="false" customHeight="false" outlineLevel="0" collapsed="false">
      <c r="A844" s="1" t="s">
        <v>2127</v>
      </c>
      <c r="B844" s="1" t="s">
        <v>956</v>
      </c>
      <c r="C844" s="2" t="n">
        <v>147</v>
      </c>
      <c r="D844" s="1" t="s">
        <v>18</v>
      </c>
      <c r="E844" s="1" t="s">
        <v>956</v>
      </c>
      <c r="F844" s="2" t="n">
        <v>554888762765</v>
      </c>
      <c r="G844" s="9" t="s">
        <v>957</v>
      </c>
      <c r="H844" s="1" t="s">
        <v>94</v>
      </c>
      <c r="I844" s="1" t="s">
        <v>54</v>
      </c>
      <c r="N844" s="1" t="s">
        <v>1022</v>
      </c>
      <c r="O844" s="1" t="s">
        <v>2128</v>
      </c>
      <c r="P844" s="1" t="s">
        <v>2129</v>
      </c>
    </row>
    <row r="845" customFormat="false" ht="14.25" hidden="false" customHeight="false" outlineLevel="0" collapsed="false">
      <c r="A845" s="1" t="s">
        <v>2130</v>
      </c>
      <c r="B845" s="1" t="s">
        <v>1443</v>
      </c>
      <c r="C845" s="2" t="n">
        <v>1200</v>
      </c>
      <c r="D845" s="1" t="s">
        <v>27</v>
      </c>
      <c r="E845" s="1" t="s">
        <v>1444</v>
      </c>
      <c r="F845" s="2" t="n">
        <v>559591640869</v>
      </c>
      <c r="G845" s="9" t="s">
        <v>1445</v>
      </c>
      <c r="H845" s="1" t="s">
        <v>94</v>
      </c>
      <c r="I845" s="1" t="s">
        <v>54</v>
      </c>
      <c r="N845" s="1" t="s">
        <v>1022</v>
      </c>
      <c r="O845" s="1" t="s">
        <v>2107</v>
      </c>
      <c r="P845" s="1" t="s">
        <v>2121</v>
      </c>
    </row>
    <row r="846" customFormat="false" ht="14.25" hidden="false" customHeight="false" outlineLevel="0" collapsed="false">
      <c r="A846" s="1" t="s">
        <v>2131</v>
      </c>
      <c r="B846" s="1" t="s">
        <v>2132</v>
      </c>
      <c r="C846" s="2" t="n">
        <v>60</v>
      </c>
      <c r="D846" s="1" t="s">
        <v>25</v>
      </c>
      <c r="E846" s="1" t="s">
        <v>2132</v>
      </c>
      <c r="F846" s="2" t="n">
        <v>5511992231257</v>
      </c>
      <c r="G846" s="9" t="s">
        <v>2133</v>
      </c>
      <c r="H846" s="1" t="s">
        <v>94</v>
      </c>
      <c r="I846" s="1" t="s">
        <v>355</v>
      </c>
      <c r="N846" s="1" t="s">
        <v>965</v>
      </c>
      <c r="O846" s="1" t="s">
        <v>2134</v>
      </c>
      <c r="P846" s="1" t="s">
        <v>2135</v>
      </c>
    </row>
    <row r="847" customFormat="false" ht="14.25" hidden="false" customHeight="false" outlineLevel="0" collapsed="false">
      <c r="A847" s="1" t="s">
        <v>2136</v>
      </c>
      <c r="B847" s="1" t="s">
        <v>2137</v>
      </c>
      <c r="C847" s="2" t="n">
        <v>147</v>
      </c>
      <c r="D847" s="1" t="s">
        <v>22</v>
      </c>
      <c r="E847" s="1" t="s">
        <v>2137</v>
      </c>
      <c r="F847" s="2" t="n">
        <v>5511941916855</v>
      </c>
      <c r="G847" s="9" t="s">
        <v>2138</v>
      </c>
      <c r="H847" s="1" t="s">
        <v>94</v>
      </c>
      <c r="I847" s="1" t="s">
        <v>54</v>
      </c>
      <c r="N847" s="1" t="s">
        <v>1022</v>
      </c>
      <c r="O847" s="1" t="s">
        <v>2139</v>
      </c>
      <c r="P847" s="1" t="s">
        <v>2089</v>
      </c>
    </row>
    <row r="848" customFormat="false" ht="14.25" hidden="false" customHeight="false" outlineLevel="0" collapsed="false">
      <c r="A848" s="1" t="s">
        <v>2140</v>
      </c>
      <c r="B848" s="1" t="s">
        <v>2137</v>
      </c>
      <c r="C848" s="2" t="n">
        <v>120</v>
      </c>
      <c r="D848" s="1" t="s">
        <v>30</v>
      </c>
      <c r="E848" s="1" t="s">
        <v>2137</v>
      </c>
      <c r="F848" s="2" t="n">
        <v>5511941916855</v>
      </c>
      <c r="G848" s="9" t="s">
        <v>2138</v>
      </c>
      <c r="H848" s="1" t="s">
        <v>94</v>
      </c>
      <c r="I848" s="1" t="s">
        <v>54</v>
      </c>
      <c r="N848" s="1" t="s">
        <v>1022</v>
      </c>
      <c r="O848" s="1" t="s">
        <v>2139</v>
      </c>
      <c r="P848" s="1" t="s">
        <v>2089</v>
      </c>
    </row>
    <row r="849" customFormat="false" ht="14.25" hidden="false" customHeight="false" outlineLevel="0" collapsed="false">
      <c r="A849" s="1" t="s">
        <v>2141</v>
      </c>
      <c r="B849" s="1" t="s">
        <v>1529</v>
      </c>
      <c r="C849" s="2" t="n">
        <v>120</v>
      </c>
      <c r="D849" s="1" t="s">
        <v>22</v>
      </c>
      <c r="E849" s="1" t="s">
        <v>1530</v>
      </c>
      <c r="F849" s="2" t="n">
        <v>5355635519</v>
      </c>
      <c r="G849" s="9" t="s">
        <v>1531</v>
      </c>
      <c r="H849" s="1" t="s">
        <v>94</v>
      </c>
      <c r="I849" s="1" t="s">
        <v>54</v>
      </c>
      <c r="N849" s="1" t="s">
        <v>1022</v>
      </c>
      <c r="O849" s="1" t="s">
        <v>2142</v>
      </c>
      <c r="P849" s="1" t="s">
        <v>2129</v>
      </c>
    </row>
    <row r="850" customFormat="false" ht="14.25" hidden="false" customHeight="false" outlineLevel="0" collapsed="false">
      <c r="A850" s="1" t="s">
        <v>2143</v>
      </c>
      <c r="B850" s="1" t="s">
        <v>2144</v>
      </c>
      <c r="C850" s="2" t="n">
        <v>120</v>
      </c>
      <c r="D850" s="1" t="s">
        <v>23</v>
      </c>
      <c r="E850" s="1" t="s">
        <v>2145</v>
      </c>
      <c r="F850" s="2" t="n">
        <v>553172099905</v>
      </c>
      <c r="G850" s="9" t="s">
        <v>2146</v>
      </c>
      <c r="H850" s="1" t="s">
        <v>94</v>
      </c>
      <c r="I850" s="1" t="s">
        <v>50</v>
      </c>
      <c r="J850" s="1" t="s">
        <v>97</v>
      </c>
      <c r="K850" s="1" t="s">
        <v>20</v>
      </c>
      <c r="L850" s="1" t="s">
        <v>469</v>
      </c>
      <c r="M850" s="1" t="s">
        <v>99</v>
      </c>
      <c r="N850" s="1" t="s">
        <v>965</v>
      </c>
      <c r="O850" s="1" t="s">
        <v>2107</v>
      </c>
      <c r="P850" s="1" t="s">
        <v>862</v>
      </c>
    </row>
    <row r="851" customFormat="false" ht="14.25" hidden="false" customHeight="false" outlineLevel="0" collapsed="false">
      <c r="A851" s="1" t="s">
        <v>2147</v>
      </c>
      <c r="B851" s="1" t="s">
        <v>2148</v>
      </c>
      <c r="C851" s="2" t="n">
        <v>150</v>
      </c>
      <c r="D851" s="1" t="s">
        <v>32</v>
      </c>
      <c r="E851" s="1" t="s">
        <v>2149</v>
      </c>
      <c r="F851" s="2" t="n">
        <v>554199074412</v>
      </c>
      <c r="G851" s="9" t="s">
        <v>2150</v>
      </c>
      <c r="H851" s="1" t="s">
        <v>94</v>
      </c>
      <c r="I851" s="1" t="s">
        <v>355</v>
      </c>
      <c r="J851" s="1" t="s">
        <v>1176</v>
      </c>
      <c r="K851" s="1" t="s">
        <v>1177</v>
      </c>
      <c r="L851" s="1" t="s">
        <v>1242</v>
      </c>
      <c r="M851" s="1" t="s">
        <v>1243</v>
      </c>
      <c r="N851" s="1" t="s">
        <v>965</v>
      </c>
      <c r="O851" s="1" t="s">
        <v>2107</v>
      </c>
      <c r="P851" s="1" t="s">
        <v>862</v>
      </c>
    </row>
    <row r="852" customFormat="false" ht="14.25" hidden="false" customHeight="false" outlineLevel="0" collapsed="false">
      <c r="A852" s="1" t="s">
        <v>2151</v>
      </c>
      <c r="B852" s="1" t="s">
        <v>1600</v>
      </c>
      <c r="C852" s="2" t="n">
        <v>280</v>
      </c>
      <c r="D852" s="1" t="s">
        <v>27</v>
      </c>
      <c r="E852" s="1" t="s">
        <v>1600</v>
      </c>
      <c r="F852" s="2" t="n">
        <v>5511919074749</v>
      </c>
      <c r="G852" s="9" t="s">
        <v>1601</v>
      </c>
      <c r="H852" s="1" t="s">
        <v>94</v>
      </c>
      <c r="I852" s="1" t="s">
        <v>54</v>
      </c>
      <c r="N852" s="1" t="s">
        <v>1022</v>
      </c>
      <c r="O852" s="1" t="s">
        <v>2135</v>
      </c>
      <c r="P852" s="1" t="s">
        <v>2135</v>
      </c>
    </row>
    <row r="853" customFormat="false" ht="14.25" hidden="false" customHeight="false" outlineLevel="0" collapsed="false">
      <c r="A853" s="1" t="s">
        <v>2152</v>
      </c>
      <c r="B853" s="1" t="s">
        <v>2153</v>
      </c>
      <c r="C853" s="2" t="n">
        <v>147</v>
      </c>
      <c r="D853" s="1" t="s">
        <v>390</v>
      </c>
      <c r="E853" s="1" t="s">
        <v>2153</v>
      </c>
      <c r="F853" s="2" t="n">
        <v>554896871939</v>
      </c>
      <c r="G853" s="9" t="s">
        <v>2154</v>
      </c>
      <c r="H853" s="1" t="s">
        <v>94</v>
      </c>
      <c r="I853" s="1" t="s">
        <v>50</v>
      </c>
      <c r="N853" s="1" t="s">
        <v>965</v>
      </c>
      <c r="O853" s="1" t="s">
        <v>2128</v>
      </c>
      <c r="P853" s="1" t="s">
        <v>2129</v>
      </c>
    </row>
    <row r="854" customFormat="false" ht="14.25" hidden="false" customHeight="false" outlineLevel="0" collapsed="false">
      <c r="A854" s="1" t="s">
        <v>2155</v>
      </c>
      <c r="B854" s="1" t="s">
        <v>2156</v>
      </c>
      <c r="C854" s="2" t="n">
        <v>147</v>
      </c>
      <c r="D854" s="1" t="s">
        <v>18</v>
      </c>
      <c r="E854" s="1" t="s">
        <v>2157</v>
      </c>
      <c r="F854" s="2" t="n">
        <v>554196975586</v>
      </c>
      <c r="G854" s="9" t="s">
        <v>2158</v>
      </c>
      <c r="H854" s="1" t="s">
        <v>94</v>
      </c>
      <c r="I854" s="1" t="s">
        <v>50</v>
      </c>
      <c r="J854" s="1" t="s">
        <v>1176</v>
      </c>
      <c r="K854" s="1" t="s">
        <v>1897</v>
      </c>
      <c r="L854" s="1" t="s">
        <v>1898</v>
      </c>
      <c r="M854" s="1" t="s">
        <v>1179</v>
      </c>
      <c r="N854" s="1" t="s">
        <v>965</v>
      </c>
      <c r="O854" s="1" t="s">
        <v>2159</v>
      </c>
      <c r="P854" s="1" t="s">
        <v>2089</v>
      </c>
    </row>
    <row r="855" customFormat="false" ht="14.25" hidden="false" customHeight="false" outlineLevel="0" collapsed="false">
      <c r="A855" s="1" t="s">
        <v>2160</v>
      </c>
      <c r="B855" s="1" t="s">
        <v>43</v>
      </c>
      <c r="C855" s="2" t="n">
        <v>0</v>
      </c>
      <c r="D855" s="1" t="s">
        <v>22</v>
      </c>
      <c r="E855" s="1" t="s">
        <v>1649</v>
      </c>
      <c r="F855" s="2" t="n">
        <v>554188195394</v>
      </c>
      <c r="G855" s="9" t="s">
        <v>1650</v>
      </c>
      <c r="H855" s="1" t="s">
        <v>94</v>
      </c>
      <c r="I855" s="1" t="s">
        <v>54</v>
      </c>
      <c r="N855" s="1" t="s">
        <v>1022</v>
      </c>
      <c r="O855" s="1" t="s">
        <v>2159</v>
      </c>
      <c r="P855" s="1" t="s">
        <v>2089</v>
      </c>
    </row>
    <row r="856" customFormat="false" ht="14.25" hidden="false" customHeight="false" outlineLevel="0" collapsed="false">
      <c r="A856" s="1" t="s">
        <v>2161</v>
      </c>
      <c r="B856" s="1" t="s">
        <v>43</v>
      </c>
      <c r="C856" s="2" t="n">
        <v>0</v>
      </c>
      <c r="D856" s="1" t="s">
        <v>21</v>
      </c>
      <c r="E856" s="1" t="s">
        <v>1649</v>
      </c>
      <c r="F856" s="2" t="n">
        <v>554188195394</v>
      </c>
      <c r="G856" s="9" t="s">
        <v>1650</v>
      </c>
      <c r="H856" s="1" t="s">
        <v>94</v>
      </c>
      <c r="I856" s="1" t="s">
        <v>54</v>
      </c>
      <c r="N856" s="1" t="s">
        <v>1022</v>
      </c>
      <c r="O856" s="1" t="s">
        <v>2159</v>
      </c>
      <c r="P856" s="1" t="s">
        <v>2089</v>
      </c>
    </row>
    <row r="857" customFormat="false" ht="14.25" hidden="false" customHeight="false" outlineLevel="0" collapsed="false">
      <c r="A857" s="1" t="s">
        <v>2162</v>
      </c>
      <c r="B857" s="1" t="s">
        <v>2163</v>
      </c>
      <c r="C857" s="2" t="n">
        <v>120</v>
      </c>
      <c r="D857" s="1" t="s">
        <v>24</v>
      </c>
      <c r="E857" s="1" t="s">
        <v>2163</v>
      </c>
      <c r="F857" s="2" t="n">
        <v>5511961328620</v>
      </c>
      <c r="G857" s="9" t="s">
        <v>43</v>
      </c>
      <c r="H857" s="1" t="s">
        <v>94</v>
      </c>
      <c r="I857" s="1" t="s">
        <v>50</v>
      </c>
      <c r="N857" s="1" t="s">
        <v>965</v>
      </c>
      <c r="O857" s="1" t="s">
        <v>2107</v>
      </c>
      <c r="P857" s="1" t="s">
        <v>862</v>
      </c>
    </row>
    <row r="858" customFormat="false" ht="14.25" hidden="false" customHeight="false" outlineLevel="0" collapsed="false">
      <c r="A858" s="1" t="s">
        <v>2164</v>
      </c>
      <c r="B858" s="1" t="s">
        <v>341</v>
      </c>
      <c r="C858" s="2" t="n">
        <v>50</v>
      </c>
      <c r="D858" s="1" t="s">
        <v>22</v>
      </c>
      <c r="E858" s="1" t="s">
        <v>341</v>
      </c>
      <c r="F858" s="2" t="n">
        <v>5521969875829</v>
      </c>
      <c r="G858" s="9" t="s">
        <v>342</v>
      </c>
      <c r="H858" s="1" t="s">
        <v>94</v>
      </c>
      <c r="I858" s="1" t="s">
        <v>54</v>
      </c>
      <c r="N858" s="1" t="s">
        <v>1022</v>
      </c>
      <c r="O858" s="1" t="s">
        <v>2107</v>
      </c>
      <c r="P858" s="1" t="s">
        <v>862</v>
      </c>
    </row>
    <row r="859" customFormat="false" ht="14.25" hidden="false" customHeight="false" outlineLevel="0" collapsed="false">
      <c r="A859" s="1" t="s">
        <v>2165</v>
      </c>
      <c r="B859" s="1" t="s">
        <v>43</v>
      </c>
      <c r="C859" s="2" t="n">
        <v>0</v>
      </c>
      <c r="D859" s="1" t="s">
        <v>21</v>
      </c>
      <c r="E859" s="1" t="s">
        <v>341</v>
      </c>
      <c r="F859" s="2" t="n">
        <v>5521969875829</v>
      </c>
      <c r="G859" s="9" t="s">
        <v>342</v>
      </c>
      <c r="H859" s="1" t="s">
        <v>94</v>
      </c>
      <c r="I859" s="1" t="s">
        <v>54</v>
      </c>
      <c r="N859" s="1" t="s">
        <v>1022</v>
      </c>
      <c r="O859" s="1" t="s">
        <v>2107</v>
      </c>
      <c r="P859" s="1" t="s">
        <v>862</v>
      </c>
    </row>
    <row r="860" customFormat="false" ht="14.25" hidden="false" customHeight="false" outlineLevel="0" collapsed="false">
      <c r="A860" s="1" t="s">
        <v>2166</v>
      </c>
      <c r="B860" s="1" t="s">
        <v>2167</v>
      </c>
      <c r="C860" s="2" t="n">
        <v>70</v>
      </c>
      <c r="D860" s="1" t="s">
        <v>390</v>
      </c>
      <c r="E860" s="1" t="s">
        <v>2167</v>
      </c>
      <c r="F860" s="2" t="n">
        <v>554891730563</v>
      </c>
      <c r="G860" s="9" t="s">
        <v>2064</v>
      </c>
      <c r="H860" s="1" t="s">
        <v>94</v>
      </c>
      <c r="I860" s="1" t="s">
        <v>54</v>
      </c>
      <c r="N860" s="1" t="s">
        <v>1022</v>
      </c>
      <c r="O860" s="1" t="s">
        <v>2128</v>
      </c>
      <c r="P860" s="1" t="s">
        <v>2129</v>
      </c>
    </row>
    <row r="861" customFormat="false" ht="14.25" hidden="false" customHeight="false" outlineLevel="0" collapsed="false">
      <c r="A861" s="1" t="s">
        <v>2168</v>
      </c>
      <c r="B861" s="1" t="s">
        <v>2169</v>
      </c>
      <c r="C861" s="2" t="n">
        <v>100</v>
      </c>
      <c r="D861" s="1" t="s">
        <v>23</v>
      </c>
      <c r="E861" s="1" t="s">
        <v>2169</v>
      </c>
      <c r="F861" s="2" t="n">
        <v>555496404223</v>
      </c>
      <c r="G861" s="9" t="s">
        <v>180</v>
      </c>
      <c r="H861" s="1" t="s">
        <v>94</v>
      </c>
      <c r="I861" s="1" t="s">
        <v>54</v>
      </c>
      <c r="N861" s="1" t="s">
        <v>1022</v>
      </c>
      <c r="O861" s="1" t="s">
        <v>2120</v>
      </c>
      <c r="P861" s="1" t="s">
        <v>2121</v>
      </c>
    </row>
    <row r="862" customFormat="false" ht="14.25" hidden="false" customHeight="false" outlineLevel="0" collapsed="false">
      <c r="A862" s="1" t="s">
        <v>2170</v>
      </c>
      <c r="B862" s="1" t="s">
        <v>2171</v>
      </c>
      <c r="C862" s="2" t="n">
        <v>360</v>
      </c>
      <c r="D862" s="1" t="s">
        <v>30</v>
      </c>
      <c r="E862" s="1" t="s">
        <v>2171</v>
      </c>
      <c r="F862" s="2" t="n">
        <v>5511947852613</v>
      </c>
      <c r="G862" s="9" t="s">
        <v>2172</v>
      </c>
      <c r="H862" s="1" t="s">
        <v>94</v>
      </c>
      <c r="I862" s="1" t="s">
        <v>50</v>
      </c>
      <c r="J862" s="1" t="s">
        <v>35</v>
      </c>
      <c r="K862" s="1" t="s">
        <v>36</v>
      </c>
      <c r="L862" s="1" t="s">
        <v>37</v>
      </c>
      <c r="M862" s="1" t="s">
        <v>38</v>
      </c>
      <c r="N862" s="1" t="s">
        <v>965</v>
      </c>
      <c r="O862" s="1" t="s">
        <v>2135</v>
      </c>
      <c r="P862" s="1" t="s">
        <v>2135</v>
      </c>
    </row>
    <row r="863" customFormat="false" ht="14.25" hidden="false" customHeight="false" outlineLevel="0" collapsed="false">
      <c r="A863" s="1" t="s">
        <v>2173</v>
      </c>
      <c r="B863" s="1" t="s">
        <v>2174</v>
      </c>
      <c r="C863" s="2" t="n">
        <v>97</v>
      </c>
      <c r="D863" s="1" t="s">
        <v>20</v>
      </c>
      <c r="E863" s="1" t="s">
        <v>2175</v>
      </c>
      <c r="F863" s="2" t="n">
        <v>559584217382</v>
      </c>
      <c r="G863" s="9" t="n">
        <v>0</v>
      </c>
      <c r="H863" s="1" t="s">
        <v>94</v>
      </c>
      <c r="I863" s="1" t="s">
        <v>34</v>
      </c>
      <c r="J863" s="1" t="s">
        <v>908</v>
      </c>
      <c r="N863" s="1" t="s">
        <v>965</v>
      </c>
      <c r="O863" s="1" t="s">
        <v>2128</v>
      </c>
      <c r="P863" s="1" t="s">
        <v>2129</v>
      </c>
    </row>
    <row r="864" customFormat="false" ht="14.25" hidden="false" customHeight="false" outlineLevel="0" collapsed="false">
      <c r="A864" s="1" t="s">
        <v>2176</v>
      </c>
      <c r="B864" s="1" t="s">
        <v>2177</v>
      </c>
      <c r="C864" s="2" t="n">
        <v>240</v>
      </c>
      <c r="D864" s="1" t="s">
        <v>30</v>
      </c>
      <c r="E864" s="1" t="s">
        <v>2178</v>
      </c>
      <c r="F864" s="2" t="n">
        <v>5351116579</v>
      </c>
      <c r="G864" s="9" t="s">
        <v>33</v>
      </c>
      <c r="H864" s="1" t="s">
        <v>94</v>
      </c>
      <c r="I864" s="1" t="s">
        <v>54</v>
      </c>
      <c r="N864" s="1" t="s">
        <v>1022</v>
      </c>
      <c r="O864" s="1" t="s">
        <v>2107</v>
      </c>
      <c r="P864" s="1" t="s">
        <v>862</v>
      </c>
    </row>
    <row r="865" customFormat="false" ht="14.25" hidden="false" customHeight="false" outlineLevel="0" collapsed="false">
      <c r="A865" s="1" t="s">
        <v>2179</v>
      </c>
      <c r="B865" s="1" t="s">
        <v>2180</v>
      </c>
      <c r="C865" s="2" t="n">
        <v>210</v>
      </c>
      <c r="D865" s="1" t="s">
        <v>32</v>
      </c>
      <c r="E865" s="1" t="s">
        <v>2180</v>
      </c>
      <c r="F865" s="2" t="n">
        <v>558888460284</v>
      </c>
      <c r="G865" s="9"/>
      <c r="H865" s="1" t="s">
        <v>94</v>
      </c>
      <c r="I865" s="1" t="s">
        <v>355</v>
      </c>
      <c r="N865" s="1" t="s">
        <v>965</v>
      </c>
      <c r="O865" s="1" t="s">
        <v>2134</v>
      </c>
      <c r="P865" s="1" t="s">
        <v>2135</v>
      </c>
    </row>
    <row r="866" customFormat="false" ht="14.25" hidden="false" customHeight="false" outlineLevel="0" collapsed="false">
      <c r="A866" s="1" t="s">
        <v>2181</v>
      </c>
      <c r="B866" s="1" t="s">
        <v>483</v>
      </c>
      <c r="C866" s="2" t="n">
        <v>660</v>
      </c>
      <c r="D866" s="1" t="s">
        <v>24</v>
      </c>
      <c r="E866" s="1" t="s">
        <v>2182</v>
      </c>
      <c r="F866" s="2" t="n">
        <v>5515998541153</v>
      </c>
      <c r="G866" s="9" t="s">
        <v>485</v>
      </c>
      <c r="H866" s="1" t="s">
        <v>94</v>
      </c>
      <c r="I866" s="1" t="s">
        <v>54</v>
      </c>
      <c r="N866" s="1" t="s">
        <v>1022</v>
      </c>
      <c r="O866" s="1" t="s">
        <v>2183</v>
      </c>
      <c r="P866" s="1" t="s">
        <v>2135</v>
      </c>
      <c r="Q866" s="1" t="n">
        <v>-1</v>
      </c>
    </row>
    <row r="867" customFormat="false" ht="14.25" hidden="false" customHeight="false" outlineLevel="0" collapsed="false">
      <c r="A867" s="1" t="s">
        <v>2184</v>
      </c>
      <c r="B867" s="1" t="s">
        <v>2185</v>
      </c>
      <c r="C867" s="2" t="n">
        <v>150</v>
      </c>
      <c r="D867" s="1" t="s">
        <v>1471</v>
      </c>
      <c r="E867" s="1" t="s">
        <v>2186</v>
      </c>
      <c r="F867" s="2" t="n">
        <v>5511989087179</v>
      </c>
      <c r="G867" s="9" t="s">
        <v>2187</v>
      </c>
      <c r="H867" s="1" t="s">
        <v>94</v>
      </c>
      <c r="I867" s="1" t="s">
        <v>54</v>
      </c>
      <c r="N867" s="1" t="s">
        <v>965</v>
      </c>
      <c r="O867" s="1" t="s">
        <v>2159</v>
      </c>
      <c r="P867" s="1" t="s">
        <v>2089</v>
      </c>
      <c r="Q867" s="1" t="n">
        <v>8788290832</v>
      </c>
    </row>
    <row r="868" customFormat="false" ht="14.25" hidden="false" customHeight="false" outlineLevel="0" collapsed="false">
      <c r="A868" s="1" t="s">
        <v>2188</v>
      </c>
      <c r="B868" s="1" t="s">
        <v>2185</v>
      </c>
      <c r="C868" s="2" t="n">
        <v>147</v>
      </c>
      <c r="D868" s="1" t="s">
        <v>390</v>
      </c>
      <c r="E868" s="1" t="s">
        <v>2186</v>
      </c>
      <c r="F868" s="2" t="n">
        <v>5511989087179</v>
      </c>
      <c r="G868" s="9" t="s">
        <v>2187</v>
      </c>
      <c r="H868" s="1" t="s">
        <v>94</v>
      </c>
      <c r="I868" s="1" t="s">
        <v>54</v>
      </c>
      <c r="N868" s="1" t="s">
        <v>965</v>
      </c>
      <c r="O868" s="1" t="s">
        <v>2159</v>
      </c>
      <c r="P868" s="1" t="s">
        <v>2089</v>
      </c>
      <c r="Q868" s="1" t="n">
        <v>8788290832</v>
      </c>
    </row>
    <row r="869" customFormat="false" ht="14.25" hidden="false" customHeight="false" outlineLevel="0" collapsed="false">
      <c r="A869" s="1" t="s">
        <v>2189</v>
      </c>
      <c r="B869" s="1" t="s">
        <v>166</v>
      </c>
      <c r="C869" s="2" t="n">
        <v>120</v>
      </c>
      <c r="D869" s="1" t="s">
        <v>23</v>
      </c>
      <c r="E869" s="1" t="s">
        <v>167</v>
      </c>
      <c r="F869" s="2" t="n">
        <v>5595920007750</v>
      </c>
      <c r="G869" s="9" t="s">
        <v>168</v>
      </c>
      <c r="H869" s="1" t="s">
        <v>94</v>
      </c>
      <c r="I869" s="1" t="s">
        <v>54</v>
      </c>
      <c r="N869" s="1" t="s">
        <v>1022</v>
      </c>
      <c r="O869" s="1" t="s">
        <v>2128</v>
      </c>
      <c r="P869" s="1" t="s">
        <v>2129</v>
      </c>
      <c r="Q869" s="1" t="n">
        <v>-1</v>
      </c>
    </row>
    <row r="870" customFormat="false" ht="14.25" hidden="false" customHeight="false" outlineLevel="0" collapsed="false">
      <c r="A870" s="1" t="s">
        <v>2190</v>
      </c>
      <c r="B870" s="1" t="s">
        <v>2191</v>
      </c>
      <c r="C870" s="2" t="n">
        <v>120</v>
      </c>
      <c r="D870" s="1" t="s">
        <v>23</v>
      </c>
      <c r="E870" s="1" t="s">
        <v>2191</v>
      </c>
      <c r="F870" s="2" t="n">
        <v>554192839942</v>
      </c>
      <c r="G870" s="9" t="s">
        <v>2192</v>
      </c>
      <c r="H870" s="1" t="s">
        <v>94</v>
      </c>
      <c r="I870" s="1" t="s">
        <v>34</v>
      </c>
      <c r="N870" s="1" t="s">
        <v>965</v>
      </c>
      <c r="O870" s="1" t="s">
        <v>2088</v>
      </c>
      <c r="P870" s="1" t="s">
        <v>2089</v>
      </c>
      <c r="Q870" s="1" t="n">
        <v>11410556271</v>
      </c>
    </row>
    <row r="871" customFormat="false" ht="14.25" hidden="false" customHeight="false" outlineLevel="0" collapsed="false">
      <c r="A871" s="1" t="s">
        <v>2193</v>
      </c>
      <c r="B871" s="1" t="s">
        <v>281</v>
      </c>
      <c r="C871" s="2" t="n">
        <v>147</v>
      </c>
      <c r="D871" s="1" t="s">
        <v>390</v>
      </c>
      <c r="E871" s="1" t="s">
        <v>281</v>
      </c>
      <c r="F871" s="2" t="n">
        <v>559584239520</v>
      </c>
      <c r="G871" s="9" t="s">
        <v>282</v>
      </c>
      <c r="H871" s="1" t="s">
        <v>94</v>
      </c>
      <c r="I871" s="1" t="s">
        <v>54</v>
      </c>
      <c r="N871" s="1" t="s">
        <v>1022</v>
      </c>
      <c r="O871" s="1" t="s">
        <v>2135</v>
      </c>
      <c r="P871" s="1" t="s">
        <v>2135</v>
      </c>
      <c r="Q871" s="1" t="n">
        <v>11230766260</v>
      </c>
    </row>
    <row r="872" customFormat="false" ht="14.25" hidden="false" customHeight="false" outlineLevel="0" collapsed="false">
      <c r="A872" s="1" t="s">
        <v>2194</v>
      </c>
      <c r="B872" s="1" t="s">
        <v>2195</v>
      </c>
      <c r="C872" s="2" t="n">
        <v>147</v>
      </c>
      <c r="D872" s="1" t="s">
        <v>390</v>
      </c>
      <c r="E872" s="1" t="s">
        <v>2196</v>
      </c>
      <c r="F872" s="2" t="n">
        <v>558599840325</v>
      </c>
      <c r="G872" s="9" t="s">
        <v>2197</v>
      </c>
      <c r="H872" s="1" t="s">
        <v>94</v>
      </c>
      <c r="I872" s="1" t="s">
        <v>355</v>
      </c>
      <c r="J872" s="1" t="s">
        <v>35</v>
      </c>
      <c r="K872" s="1" t="s">
        <v>69</v>
      </c>
      <c r="L872" s="1" t="s">
        <v>70</v>
      </c>
      <c r="M872" s="1" t="s">
        <v>38</v>
      </c>
      <c r="N872" s="1" t="s">
        <v>965</v>
      </c>
      <c r="O872" s="1" t="s">
        <v>2128</v>
      </c>
      <c r="P872" s="1" t="s">
        <v>2129</v>
      </c>
      <c r="Q872" s="1" t="n">
        <v>5438993300</v>
      </c>
    </row>
    <row r="873" customFormat="false" ht="14.25" hidden="false" customHeight="false" outlineLevel="0" collapsed="false">
      <c r="A873" s="1" t="s">
        <v>2198</v>
      </c>
      <c r="B873" s="1" t="s">
        <v>2199</v>
      </c>
      <c r="C873" s="2" t="n">
        <v>150</v>
      </c>
      <c r="D873" s="1" t="s">
        <v>32</v>
      </c>
      <c r="E873" s="1" t="s">
        <v>2200</v>
      </c>
      <c r="F873" s="2" t="n">
        <v>556696363433</v>
      </c>
      <c r="G873" s="9"/>
      <c r="H873" s="1" t="s">
        <v>94</v>
      </c>
      <c r="I873" s="1" t="s">
        <v>50</v>
      </c>
      <c r="N873" s="1" t="s">
        <v>965</v>
      </c>
      <c r="O873" s="1" t="s">
        <v>2107</v>
      </c>
      <c r="P873" s="1" t="s">
        <v>862</v>
      </c>
      <c r="Q873" s="1" t="n">
        <v>0</v>
      </c>
    </row>
    <row r="874" customFormat="false" ht="16.4" hidden="false" customHeight="false" outlineLevel="0" collapsed="false">
      <c r="A874" s="1" t="s">
        <v>2201</v>
      </c>
      <c r="B874" s="1" t="s">
        <v>2202</v>
      </c>
      <c r="C874" s="2" t="n">
        <v>430</v>
      </c>
      <c r="D874" s="1" t="s">
        <v>20</v>
      </c>
      <c r="E874" s="1" t="s">
        <v>2202</v>
      </c>
      <c r="F874" s="2" t="n">
        <v>559591143897</v>
      </c>
      <c r="G874" s="11" t="s">
        <v>2203</v>
      </c>
      <c r="H874" s="1" t="s">
        <v>94</v>
      </c>
      <c r="I874" s="1" t="s">
        <v>50</v>
      </c>
      <c r="N874" s="1" t="s">
        <v>965</v>
      </c>
      <c r="O874" s="1" t="s">
        <v>2204</v>
      </c>
      <c r="P874" s="1" t="s">
        <v>2089</v>
      </c>
      <c r="Q874" s="1" t="n">
        <v>11769074252</v>
      </c>
    </row>
    <row r="875" customFormat="false" ht="14.25" hidden="false" customHeight="false" outlineLevel="0" collapsed="false">
      <c r="A875" s="1" t="s">
        <v>2205</v>
      </c>
      <c r="B875" s="1" t="s">
        <v>2206</v>
      </c>
      <c r="C875" s="2" t="n">
        <v>150</v>
      </c>
      <c r="D875" s="1" t="s">
        <v>32</v>
      </c>
      <c r="E875" s="1" t="s">
        <v>2207</v>
      </c>
      <c r="F875" s="2" t="n">
        <v>554791101878</v>
      </c>
      <c r="G875" s="9" t="s">
        <v>2208</v>
      </c>
      <c r="H875" s="1" t="s">
        <v>94</v>
      </c>
      <c r="I875" s="1" t="s">
        <v>34</v>
      </c>
      <c r="N875" s="1" t="s">
        <v>965</v>
      </c>
      <c r="O875" s="1" t="s">
        <v>2209</v>
      </c>
      <c r="P875" s="1" t="s">
        <v>2129</v>
      </c>
      <c r="Q875" s="1" t="n">
        <v>0</v>
      </c>
    </row>
    <row r="876" customFormat="false" ht="14.25" hidden="false" customHeight="false" outlineLevel="0" collapsed="false">
      <c r="A876" s="1" t="s">
        <v>2210</v>
      </c>
      <c r="B876" s="1" t="s">
        <v>2169</v>
      </c>
      <c r="C876" s="2" t="n">
        <v>200</v>
      </c>
      <c r="D876" s="1" t="s">
        <v>27</v>
      </c>
      <c r="E876" s="1" t="s">
        <v>2169</v>
      </c>
      <c r="F876" s="2" t="n">
        <v>555496404223</v>
      </c>
      <c r="G876" s="9" t="s">
        <v>180</v>
      </c>
      <c r="H876" s="1" t="s">
        <v>94</v>
      </c>
      <c r="I876" s="1" t="s">
        <v>54</v>
      </c>
      <c r="N876" s="1" t="s">
        <v>1022</v>
      </c>
      <c r="O876" s="1" t="s">
        <v>2120</v>
      </c>
      <c r="P876" s="1" t="s">
        <v>2121</v>
      </c>
      <c r="Q876" s="1" t="n">
        <v>-1</v>
      </c>
    </row>
    <row r="877" customFormat="false" ht="14.25" hidden="false" customHeight="false" outlineLevel="0" collapsed="false">
      <c r="A877" s="1" t="s">
        <v>2211</v>
      </c>
      <c r="B877" s="1" t="s">
        <v>43</v>
      </c>
      <c r="C877" s="2" t="n">
        <v>-1</v>
      </c>
      <c r="D877" s="1" t="s">
        <v>27</v>
      </c>
      <c r="E877" s="1" t="s">
        <v>294</v>
      </c>
      <c r="F877" s="2" t="n">
        <v>5511918514374</v>
      </c>
      <c r="G877" s="9" t="s">
        <v>295</v>
      </c>
      <c r="H877" s="1" t="s">
        <v>94</v>
      </c>
      <c r="I877" s="1" t="s">
        <v>54</v>
      </c>
      <c r="N877" s="1" t="s">
        <v>1022</v>
      </c>
      <c r="O877" s="1" t="s">
        <v>2135</v>
      </c>
      <c r="P877" s="1" t="s">
        <v>2135</v>
      </c>
      <c r="Q877" s="1" t="n">
        <v>-1</v>
      </c>
    </row>
    <row r="878" customFormat="false" ht="14.25" hidden="false" customHeight="false" outlineLevel="0" collapsed="false">
      <c r="A878" s="1" t="s">
        <v>2212</v>
      </c>
      <c r="B878" s="1" t="s">
        <v>2213</v>
      </c>
      <c r="C878" s="2" t="n">
        <v>120</v>
      </c>
      <c r="D878" s="1" t="s">
        <v>2214</v>
      </c>
      <c r="E878" s="1" t="s">
        <v>2213</v>
      </c>
      <c r="F878" s="2" t="n">
        <v>559584205495</v>
      </c>
      <c r="G878" s="9" t="s">
        <v>2215</v>
      </c>
      <c r="H878" s="1" t="s">
        <v>94</v>
      </c>
      <c r="I878" s="1" t="s">
        <v>50</v>
      </c>
      <c r="N878" s="1" t="s">
        <v>965</v>
      </c>
      <c r="O878" s="1" t="s">
        <v>2107</v>
      </c>
      <c r="P878" s="1" t="s">
        <v>862</v>
      </c>
      <c r="Q878" s="1" t="n">
        <v>-1</v>
      </c>
    </row>
    <row r="879" customFormat="false" ht="14.25" hidden="false" customHeight="false" outlineLevel="0" collapsed="false">
      <c r="A879" s="1" t="s">
        <v>2216</v>
      </c>
      <c r="B879" s="1" t="s">
        <v>2217</v>
      </c>
      <c r="C879" s="2" t="n">
        <v>147</v>
      </c>
      <c r="D879" s="1" t="s">
        <v>390</v>
      </c>
      <c r="E879" s="1" t="s">
        <v>2217</v>
      </c>
      <c r="F879" s="2" t="n">
        <v>554184549679</v>
      </c>
      <c r="G879" s="9" t="s">
        <v>2218</v>
      </c>
      <c r="H879" s="1" t="s">
        <v>94</v>
      </c>
      <c r="I879" s="1" t="s">
        <v>50</v>
      </c>
      <c r="N879" s="1" t="s">
        <v>965</v>
      </c>
      <c r="O879" s="1" t="s">
        <v>2159</v>
      </c>
      <c r="P879" s="1" t="s">
        <v>2089</v>
      </c>
      <c r="Q879" s="1" t="n">
        <v>1446983900</v>
      </c>
    </row>
    <row r="880" customFormat="false" ht="14.25" hidden="false" customHeight="false" outlineLevel="0" collapsed="false">
      <c r="A880" s="1" t="s">
        <v>2219</v>
      </c>
      <c r="B880" s="1" t="s">
        <v>2220</v>
      </c>
      <c r="C880" s="2" t="n">
        <v>240</v>
      </c>
      <c r="D880" s="1" t="s">
        <v>30</v>
      </c>
      <c r="E880" s="1" t="s">
        <v>2221</v>
      </c>
      <c r="F880" s="2" t="n">
        <v>5352754834</v>
      </c>
      <c r="G880" s="9" t="s">
        <v>2222</v>
      </c>
      <c r="H880" s="1" t="s">
        <v>94</v>
      </c>
      <c r="I880" s="1" t="s">
        <v>355</v>
      </c>
      <c r="N880" s="1" t="s">
        <v>965</v>
      </c>
      <c r="O880" s="1" t="s">
        <v>2159</v>
      </c>
      <c r="P880" s="1" t="s">
        <v>2089</v>
      </c>
      <c r="Q880" s="1" t="n">
        <v>12004244259</v>
      </c>
    </row>
    <row r="881" customFormat="false" ht="14.25" hidden="false" customHeight="false" outlineLevel="0" collapsed="false">
      <c r="A881" s="1" t="s">
        <v>2223</v>
      </c>
      <c r="B881" s="1" t="s">
        <v>2224</v>
      </c>
      <c r="C881" s="2" t="n">
        <v>150</v>
      </c>
      <c r="D881" s="1" t="s">
        <v>1471</v>
      </c>
      <c r="E881" s="1" t="s">
        <v>2224</v>
      </c>
      <c r="F881" s="2" t="n">
        <v>555499152221</v>
      </c>
      <c r="G881" s="9" t="s">
        <v>2225</v>
      </c>
      <c r="H881" s="1" t="s">
        <v>94</v>
      </c>
      <c r="I881" s="1" t="s">
        <v>34</v>
      </c>
      <c r="N881" s="1" t="s">
        <v>965</v>
      </c>
      <c r="O881" s="1" t="s">
        <v>2226</v>
      </c>
      <c r="P881" s="1" t="s">
        <v>2121</v>
      </c>
      <c r="Q881" s="1" t="n">
        <v>0</v>
      </c>
    </row>
    <row r="882" customFormat="false" ht="14.25" hidden="false" customHeight="false" outlineLevel="0" collapsed="false">
      <c r="A882" s="1" t="s">
        <v>2227</v>
      </c>
      <c r="B882" s="1" t="s">
        <v>2228</v>
      </c>
      <c r="C882" s="2" t="n">
        <v>120</v>
      </c>
      <c r="D882" s="1" t="s">
        <v>30</v>
      </c>
      <c r="E882" s="1" t="s">
        <v>2228</v>
      </c>
      <c r="F882" s="2" t="n">
        <v>559584197916</v>
      </c>
      <c r="G882" s="9" t="s">
        <v>2229</v>
      </c>
      <c r="H882" s="1" t="s">
        <v>94</v>
      </c>
      <c r="I882" s="1" t="s">
        <v>355</v>
      </c>
      <c r="J882" s="1" t="s">
        <v>35</v>
      </c>
      <c r="K882" s="1" t="s">
        <v>36</v>
      </c>
      <c r="L882" s="1" t="s">
        <v>37</v>
      </c>
      <c r="M882" s="1" t="s">
        <v>38</v>
      </c>
      <c r="N882" s="1" t="s">
        <v>965</v>
      </c>
      <c r="O882" s="1" t="s">
        <v>2107</v>
      </c>
      <c r="P882" s="1" t="s">
        <v>2135</v>
      </c>
      <c r="Q882" s="1" t="n">
        <v>116.59663288</v>
      </c>
    </row>
    <row r="883" customFormat="false" ht="14.25" hidden="false" customHeight="false" outlineLevel="0" collapsed="false">
      <c r="A883" s="1" t="s">
        <v>2230</v>
      </c>
      <c r="B883" s="1" t="s">
        <v>145</v>
      </c>
      <c r="C883" s="2" t="n">
        <v>150</v>
      </c>
      <c r="D883" s="1" t="s">
        <v>32</v>
      </c>
      <c r="E883" s="1" t="s">
        <v>145</v>
      </c>
      <c r="F883" s="2" t="n">
        <v>559591119749</v>
      </c>
      <c r="G883" s="9" t="s">
        <v>133</v>
      </c>
      <c r="H883" s="1" t="s">
        <v>94</v>
      </c>
      <c r="I883" s="1" t="s">
        <v>54</v>
      </c>
      <c r="N883" s="1" t="s">
        <v>1022</v>
      </c>
      <c r="O883" s="1" t="s">
        <v>2107</v>
      </c>
      <c r="P883" s="1" t="s">
        <v>862</v>
      </c>
      <c r="Q883" s="1" t="n">
        <v>-1</v>
      </c>
    </row>
    <row r="884" customFormat="false" ht="14.25" hidden="false" customHeight="false" outlineLevel="0" collapsed="false">
      <c r="A884" s="1" t="s">
        <v>2231</v>
      </c>
      <c r="B884" s="1" t="s">
        <v>2232</v>
      </c>
      <c r="C884" s="2" t="n">
        <v>150</v>
      </c>
      <c r="D884" s="1" t="s">
        <v>24</v>
      </c>
      <c r="E884" s="1" t="s">
        <v>2232</v>
      </c>
      <c r="F884" s="2" t="n">
        <v>5511994261080</v>
      </c>
      <c r="G884" s="9" t="s">
        <v>43</v>
      </c>
      <c r="H884" s="1" t="s">
        <v>94</v>
      </c>
      <c r="I884" s="1" t="s">
        <v>50</v>
      </c>
      <c r="N884" s="1" t="s">
        <v>965</v>
      </c>
      <c r="O884" s="1" t="s">
        <v>2107</v>
      </c>
      <c r="P884" s="1" t="s">
        <v>862</v>
      </c>
      <c r="Q884" s="1" t="n">
        <v>-1</v>
      </c>
    </row>
    <row r="885" customFormat="false" ht="14.25" hidden="false" customHeight="false" outlineLevel="0" collapsed="false">
      <c r="A885" s="1" t="s">
        <v>2233</v>
      </c>
      <c r="B885" s="1" t="s">
        <v>2234</v>
      </c>
      <c r="C885" s="2" t="n">
        <v>194</v>
      </c>
      <c r="D885" s="1" t="s">
        <v>20</v>
      </c>
      <c r="E885" s="1" t="s">
        <v>2234</v>
      </c>
      <c r="F885" s="2" t="n">
        <v>5595920012132</v>
      </c>
      <c r="G885" s="9" t="s">
        <v>2235</v>
      </c>
      <c r="H885" s="1" t="s">
        <v>94</v>
      </c>
      <c r="I885" s="1" t="s">
        <v>34</v>
      </c>
      <c r="N885" s="1" t="s">
        <v>965</v>
      </c>
      <c r="O885" s="1" t="s">
        <v>2236</v>
      </c>
      <c r="P885" s="1" t="s">
        <v>2129</v>
      </c>
      <c r="Q885" s="1" t="n">
        <v>11744534276</v>
      </c>
    </row>
    <row r="886" customFormat="false" ht="14.25" hidden="false" customHeight="false" outlineLevel="0" collapsed="false">
      <c r="A886" s="1" t="s">
        <v>2237</v>
      </c>
      <c r="B886" s="1" t="s">
        <v>2238</v>
      </c>
      <c r="C886" s="2" t="n">
        <v>97</v>
      </c>
      <c r="D886" s="1" t="s">
        <v>20</v>
      </c>
      <c r="E886" s="1" t="s">
        <v>2238</v>
      </c>
      <c r="F886" s="2" t="n">
        <v>554891467653</v>
      </c>
      <c r="G886" s="9" t="s">
        <v>2239</v>
      </c>
      <c r="H886" s="1" t="s">
        <v>94</v>
      </c>
      <c r="I886" s="1" t="s">
        <v>355</v>
      </c>
      <c r="N886" s="1" t="s">
        <v>965</v>
      </c>
      <c r="O886" s="1" t="s">
        <v>2107</v>
      </c>
      <c r="P886" s="1" t="s">
        <v>862</v>
      </c>
      <c r="Q886" s="1" t="n">
        <v>11747991295</v>
      </c>
    </row>
    <row r="887" customFormat="false" ht="14.25" hidden="false" customHeight="false" outlineLevel="0" collapsed="false">
      <c r="A887" s="1" t="s">
        <v>2240</v>
      </c>
      <c r="B887" s="1" t="s">
        <v>2241</v>
      </c>
      <c r="C887" s="2" t="n">
        <v>150</v>
      </c>
      <c r="D887" s="1" t="s">
        <v>32</v>
      </c>
      <c r="E887" s="1" t="s">
        <v>2241</v>
      </c>
      <c r="F887" s="2" t="n">
        <v>5511915214646</v>
      </c>
      <c r="G887" s="9" t="s">
        <v>43</v>
      </c>
      <c r="H887" s="1" t="s">
        <v>94</v>
      </c>
      <c r="I887" s="1" t="s">
        <v>50</v>
      </c>
      <c r="N887" s="1" t="s">
        <v>965</v>
      </c>
      <c r="O887" s="1" t="s">
        <v>2135</v>
      </c>
      <c r="P887" s="1" t="s">
        <v>2135</v>
      </c>
      <c r="Q887" s="1" t="n">
        <v>0</v>
      </c>
    </row>
    <row r="888" customFormat="false" ht="14.25" hidden="false" customHeight="false" outlineLevel="0" collapsed="false">
      <c r="A888" s="1" t="s">
        <v>2242</v>
      </c>
      <c r="B888" s="1" t="s">
        <v>416</v>
      </c>
      <c r="C888" s="2" t="n">
        <v>440</v>
      </c>
      <c r="D888" s="1" t="s">
        <v>30</v>
      </c>
      <c r="E888" s="1" t="s">
        <v>416</v>
      </c>
      <c r="F888" s="2" t="n">
        <v>555492623688</v>
      </c>
      <c r="G888" s="9" t="s">
        <v>417</v>
      </c>
      <c r="H888" s="1" t="s">
        <v>94</v>
      </c>
      <c r="I888" s="1" t="s">
        <v>54</v>
      </c>
      <c r="N888" s="1" t="s">
        <v>1022</v>
      </c>
      <c r="O888" s="1" t="s">
        <v>2120</v>
      </c>
      <c r="P888" s="1" t="s">
        <v>2121</v>
      </c>
      <c r="Q888" s="1" t="n">
        <v>-1</v>
      </c>
    </row>
    <row r="889" customFormat="false" ht="14.25" hidden="false" customHeight="false" outlineLevel="0" collapsed="false">
      <c r="A889" s="1" t="s">
        <v>2243</v>
      </c>
      <c r="B889" s="1" t="s">
        <v>2244</v>
      </c>
      <c r="C889" s="2" t="n">
        <v>240</v>
      </c>
      <c r="D889" s="1" t="s">
        <v>23</v>
      </c>
      <c r="E889" s="1" t="s">
        <v>2244</v>
      </c>
      <c r="F889" s="2" t="n">
        <v>559584297885</v>
      </c>
      <c r="G889" s="9" t="s">
        <v>519</v>
      </c>
      <c r="H889" s="1" t="s">
        <v>94</v>
      </c>
      <c r="I889" s="1" t="s">
        <v>34</v>
      </c>
      <c r="N889" s="1" t="s">
        <v>965</v>
      </c>
      <c r="O889" s="1" t="s">
        <v>2107</v>
      </c>
      <c r="P889" s="1" t="s">
        <v>2245</v>
      </c>
      <c r="Q889" s="1" t="n">
        <v>0</v>
      </c>
    </row>
    <row r="890" customFormat="false" ht="14.25" hidden="false" customHeight="false" outlineLevel="0" collapsed="false">
      <c r="A890" s="1" t="s">
        <v>2243</v>
      </c>
      <c r="B890" s="1" t="s">
        <v>2246</v>
      </c>
      <c r="C890" s="2" t="n">
        <v>240</v>
      </c>
      <c r="D890" s="1" t="s">
        <v>30</v>
      </c>
      <c r="E890" s="1" t="s">
        <v>2246</v>
      </c>
      <c r="F890" s="2" t="n">
        <v>554195433912</v>
      </c>
      <c r="G890" s="9" t="s">
        <v>2247</v>
      </c>
      <c r="H890" s="1" t="s">
        <v>94</v>
      </c>
      <c r="I890" s="1" t="s">
        <v>355</v>
      </c>
      <c r="J890" s="1" t="s">
        <v>97</v>
      </c>
      <c r="K890" s="1" t="s">
        <v>20</v>
      </c>
      <c r="L890" s="1" t="s">
        <v>469</v>
      </c>
      <c r="M890" s="1" t="s">
        <v>99</v>
      </c>
      <c r="N890" s="1" t="s">
        <v>965</v>
      </c>
      <c r="O890" s="1" t="s">
        <v>2088</v>
      </c>
      <c r="P890" s="1" t="s">
        <v>2089</v>
      </c>
      <c r="Q890" s="1" t="n">
        <v>8769800944</v>
      </c>
    </row>
    <row r="891" customFormat="false" ht="16.4" hidden="false" customHeight="false" outlineLevel="0" collapsed="false">
      <c r="A891" s="1" t="s">
        <v>2248</v>
      </c>
      <c r="B891" s="1" t="s">
        <v>1888</v>
      </c>
      <c r="C891" s="2" t="n">
        <v>580</v>
      </c>
      <c r="D891" s="1" t="s">
        <v>30</v>
      </c>
      <c r="E891" s="1" t="s">
        <v>1888</v>
      </c>
      <c r="F891" s="2" t="n">
        <v>5595984028971</v>
      </c>
      <c r="G891" s="11" t="s">
        <v>2249</v>
      </c>
      <c r="H891" s="1" t="s">
        <v>94</v>
      </c>
      <c r="I891" s="1" t="s">
        <v>54</v>
      </c>
      <c r="N891" s="1" t="s">
        <v>1022</v>
      </c>
      <c r="O891" s="1" t="s">
        <v>2102</v>
      </c>
      <c r="P891" s="1" t="s">
        <v>2089</v>
      </c>
      <c r="Q891" s="1" t="n">
        <v>0</v>
      </c>
    </row>
    <row r="892" customFormat="false" ht="14.25" hidden="false" customHeight="false" outlineLevel="0" collapsed="false">
      <c r="A892" s="1" t="s">
        <v>2250</v>
      </c>
      <c r="B892" s="1" t="s">
        <v>2251</v>
      </c>
      <c r="C892" s="2" t="n">
        <v>900</v>
      </c>
      <c r="D892" s="1" t="s">
        <v>106</v>
      </c>
      <c r="E892" s="1" t="s">
        <v>2251</v>
      </c>
      <c r="F892" s="2" t="n">
        <v>559584288624</v>
      </c>
      <c r="G892" s="9" t="s">
        <v>1468</v>
      </c>
      <c r="H892" s="1" t="s">
        <v>94</v>
      </c>
      <c r="I892" s="1" t="s">
        <v>355</v>
      </c>
      <c r="N892" s="1" t="s">
        <v>965</v>
      </c>
      <c r="O892" s="1" t="s">
        <v>2252</v>
      </c>
      <c r="P892" s="1" t="s">
        <v>2129</v>
      </c>
      <c r="Q892" s="1" t="n">
        <v>0</v>
      </c>
    </row>
    <row r="893" customFormat="false" ht="14.25" hidden="false" customHeight="false" outlineLevel="0" collapsed="false">
      <c r="A893" s="1" t="s">
        <v>2253</v>
      </c>
      <c r="B893" s="1" t="s">
        <v>2254</v>
      </c>
      <c r="C893" s="2" t="n">
        <v>300</v>
      </c>
      <c r="D893" s="1" t="s">
        <v>106</v>
      </c>
      <c r="E893" s="1" t="s">
        <v>2255</v>
      </c>
      <c r="F893" s="2" t="n">
        <v>554185081260</v>
      </c>
      <c r="G893" s="9" t="s">
        <v>1468</v>
      </c>
      <c r="H893" s="1" t="s">
        <v>94</v>
      </c>
      <c r="I893" s="1" t="s">
        <v>355</v>
      </c>
      <c r="N893" s="1" t="s">
        <v>965</v>
      </c>
      <c r="O893" s="1" t="s">
        <v>2088</v>
      </c>
      <c r="P893" s="1" t="s">
        <v>2089</v>
      </c>
      <c r="Q893" s="1" t="n">
        <v>0</v>
      </c>
    </row>
    <row r="894" customFormat="false" ht="14.25" hidden="false" customHeight="false" outlineLevel="0" collapsed="false">
      <c r="A894" s="1" t="s">
        <v>2256</v>
      </c>
      <c r="B894" s="1" t="s">
        <v>43</v>
      </c>
      <c r="C894" s="2" t="n">
        <v>-1</v>
      </c>
      <c r="D894" s="1" t="s">
        <v>24</v>
      </c>
      <c r="E894" s="1" t="s">
        <v>134</v>
      </c>
      <c r="F894" s="2" t="n">
        <v>554184708349</v>
      </c>
      <c r="G894" s="9" t="s">
        <v>136</v>
      </c>
      <c r="H894" s="1" t="s">
        <v>94</v>
      </c>
      <c r="I894" s="1" t="s">
        <v>54</v>
      </c>
      <c r="N894" s="1" t="s">
        <v>1022</v>
      </c>
      <c r="O894" s="1" t="s">
        <v>2159</v>
      </c>
      <c r="P894" s="1" t="s">
        <v>2089</v>
      </c>
      <c r="Q894" s="1" t="n">
        <v>-1</v>
      </c>
    </row>
    <row r="895" customFormat="false" ht="14.25" hidden="false" customHeight="false" outlineLevel="0" collapsed="false">
      <c r="A895" s="1" t="s">
        <v>2257</v>
      </c>
      <c r="B895" s="1" t="s">
        <v>2258</v>
      </c>
      <c r="C895" s="2" t="n">
        <v>295</v>
      </c>
      <c r="D895" s="1" t="s">
        <v>390</v>
      </c>
      <c r="E895" s="1" t="s">
        <v>2259</v>
      </c>
      <c r="F895" s="2" t="n">
        <v>554888205225</v>
      </c>
      <c r="G895" s="9" t="s">
        <v>2260</v>
      </c>
      <c r="H895" s="1" t="s">
        <v>94</v>
      </c>
      <c r="I895" s="1" t="s">
        <v>50</v>
      </c>
      <c r="J895" s="1" t="s">
        <v>35</v>
      </c>
      <c r="K895" s="1" t="s">
        <v>69</v>
      </c>
      <c r="L895" s="1" t="s">
        <v>70</v>
      </c>
      <c r="M895" s="1" t="s">
        <v>38</v>
      </c>
      <c r="N895" s="1" t="s">
        <v>965</v>
      </c>
      <c r="O895" s="1" t="s">
        <v>2261</v>
      </c>
      <c r="P895" s="1" t="s">
        <v>2129</v>
      </c>
      <c r="Q895" s="1" t="n">
        <v>4798465968</v>
      </c>
    </row>
    <row r="896" customFormat="false" ht="14.25" hidden="false" customHeight="false" outlineLevel="0" collapsed="false">
      <c r="A896" s="1" t="s">
        <v>2262</v>
      </c>
      <c r="B896" s="1" t="s">
        <v>2263</v>
      </c>
      <c r="C896" s="2" t="n">
        <v>147</v>
      </c>
      <c r="D896" s="1" t="s">
        <v>390</v>
      </c>
      <c r="E896" s="1" t="s">
        <v>2264</v>
      </c>
      <c r="F896" s="2" t="n">
        <v>554799009126</v>
      </c>
      <c r="G896" s="9" t="s">
        <v>2265</v>
      </c>
      <c r="H896" s="1" t="s">
        <v>94</v>
      </c>
      <c r="I896" s="1" t="s">
        <v>355</v>
      </c>
      <c r="N896" s="1" t="s">
        <v>965</v>
      </c>
      <c r="O896" s="1" t="s">
        <v>2107</v>
      </c>
      <c r="P896" s="1" t="s">
        <v>2129</v>
      </c>
      <c r="Q896" s="1" t="n">
        <v>11439813248</v>
      </c>
    </row>
    <row r="897" customFormat="false" ht="14.25" hidden="false" customHeight="false" outlineLevel="0" collapsed="false">
      <c r="A897" s="1" t="s">
        <v>2266</v>
      </c>
      <c r="B897" s="1" t="s">
        <v>43</v>
      </c>
      <c r="C897" s="2" t="n">
        <v>314</v>
      </c>
      <c r="D897" s="1" t="s">
        <v>22</v>
      </c>
      <c r="E897" s="1" t="s">
        <v>2267</v>
      </c>
      <c r="F897" s="2" t="n">
        <v>554888213118</v>
      </c>
      <c r="G897" s="9" t="s">
        <v>2268</v>
      </c>
      <c r="H897" s="1" t="s">
        <v>94</v>
      </c>
      <c r="I897" s="1" t="s">
        <v>54</v>
      </c>
      <c r="N897" s="1" t="s">
        <v>965</v>
      </c>
      <c r="O897" s="1" t="s">
        <v>2107</v>
      </c>
      <c r="P897" s="1" t="s">
        <v>862</v>
      </c>
      <c r="Q897" s="1" t="n">
        <v>-1</v>
      </c>
    </row>
    <row r="898" customFormat="false" ht="14.25" hidden="false" customHeight="false" outlineLevel="0" collapsed="false">
      <c r="A898" s="1" t="s">
        <v>2269</v>
      </c>
      <c r="B898" s="1" t="s">
        <v>2270</v>
      </c>
      <c r="C898" s="2" t="n">
        <v>120</v>
      </c>
      <c r="D898" s="1" t="s">
        <v>30</v>
      </c>
      <c r="E898" s="1" t="s">
        <v>2271</v>
      </c>
      <c r="F898" s="2" t="n">
        <v>559584107398</v>
      </c>
      <c r="G898" s="9" t="s">
        <v>2272</v>
      </c>
      <c r="H898" s="1" t="s">
        <v>94</v>
      </c>
      <c r="I898" s="1" t="s">
        <v>50</v>
      </c>
      <c r="J898" s="1" t="s">
        <v>35</v>
      </c>
      <c r="K898" s="1" t="s">
        <v>36</v>
      </c>
      <c r="L898" s="1" t="s">
        <v>37</v>
      </c>
      <c r="M898" s="1" t="s">
        <v>38</v>
      </c>
      <c r="N898" s="1" t="s">
        <v>965</v>
      </c>
      <c r="O898" s="1" t="s">
        <v>2107</v>
      </c>
      <c r="P898" s="1" t="s">
        <v>2135</v>
      </c>
      <c r="Q898" s="1" t="n">
        <v>11846626226</v>
      </c>
    </row>
    <row r="899" customFormat="false" ht="14.25" hidden="false" customHeight="false" outlineLevel="0" collapsed="false">
      <c r="A899" s="1" t="s">
        <v>2273</v>
      </c>
      <c r="B899" s="1" t="s">
        <v>2274</v>
      </c>
      <c r="C899" s="2" t="n">
        <v>220</v>
      </c>
      <c r="D899" s="1" t="s">
        <v>30</v>
      </c>
      <c r="E899" s="1" t="s">
        <v>2274</v>
      </c>
      <c r="F899" s="2" t="n">
        <v>5519920004822</v>
      </c>
      <c r="G899" s="9" t="s">
        <v>2275</v>
      </c>
      <c r="H899" s="1" t="s">
        <v>94</v>
      </c>
      <c r="I899" s="1" t="s">
        <v>54</v>
      </c>
      <c r="N899" s="1" t="s">
        <v>1022</v>
      </c>
      <c r="O899" s="1" t="s">
        <v>2276</v>
      </c>
      <c r="P899" s="1" t="s">
        <v>2135</v>
      </c>
      <c r="Q899" s="1" t="n">
        <v>-1</v>
      </c>
    </row>
    <row r="900" customFormat="false" ht="14.25" hidden="false" customHeight="false" outlineLevel="0" collapsed="false">
      <c r="A900" s="1" t="s">
        <v>2277</v>
      </c>
      <c r="B900" s="1" t="s">
        <v>2278</v>
      </c>
      <c r="C900" s="2" t="n">
        <v>200</v>
      </c>
      <c r="D900" s="1" t="s">
        <v>20</v>
      </c>
      <c r="E900" s="1" t="s">
        <v>2278</v>
      </c>
      <c r="F900" s="2" t="n">
        <v>5519920004822</v>
      </c>
      <c r="G900" s="9" t="s">
        <v>2275</v>
      </c>
      <c r="H900" s="1" t="s">
        <v>94</v>
      </c>
      <c r="I900" s="1" t="s">
        <v>54</v>
      </c>
      <c r="N900" s="1" t="s">
        <v>1022</v>
      </c>
      <c r="O900" s="1" t="s">
        <v>2276</v>
      </c>
      <c r="P900" s="1" t="s">
        <v>2135</v>
      </c>
      <c r="Q900" s="1" t="n">
        <v>-1</v>
      </c>
    </row>
    <row r="901" customFormat="false" ht="14.25" hidden="false" customHeight="false" outlineLevel="0" collapsed="false">
      <c r="A901" s="1" t="s">
        <v>2279</v>
      </c>
      <c r="B901" s="1" t="s">
        <v>1652</v>
      </c>
      <c r="C901" s="2" t="n">
        <v>74</v>
      </c>
      <c r="D901" s="1" t="s">
        <v>18</v>
      </c>
      <c r="E901" s="1" t="s">
        <v>1652</v>
      </c>
      <c r="F901" s="2" t="n">
        <v>556281066019</v>
      </c>
      <c r="G901" s="9" t="s">
        <v>1653</v>
      </c>
      <c r="H901" s="1" t="s">
        <v>94</v>
      </c>
      <c r="I901" s="1" t="s">
        <v>54</v>
      </c>
      <c r="N901" s="1" t="s">
        <v>1022</v>
      </c>
      <c r="O901" s="1" t="s">
        <v>2280</v>
      </c>
      <c r="P901" s="1" t="s">
        <v>2281</v>
      </c>
      <c r="Q901" s="1" t="n">
        <v>-1</v>
      </c>
    </row>
    <row r="902" customFormat="false" ht="14.25" hidden="false" customHeight="false" outlineLevel="0" collapsed="false">
      <c r="A902" s="1" t="s">
        <v>2282</v>
      </c>
      <c r="B902" s="1" t="s">
        <v>2283</v>
      </c>
      <c r="C902" s="2" t="n">
        <v>120</v>
      </c>
      <c r="D902" s="1" t="s">
        <v>30</v>
      </c>
      <c r="E902" s="1" t="s">
        <v>2284</v>
      </c>
      <c r="F902" s="2" t="n">
        <v>5513974230688</v>
      </c>
      <c r="G902" s="9" t="s">
        <v>2285</v>
      </c>
      <c r="H902" s="1" t="s">
        <v>94</v>
      </c>
      <c r="I902" s="1" t="s">
        <v>54</v>
      </c>
      <c r="N902" s="1" t="s">
        <v>965</v>
      </c>
      <c r="O902" s="1" t="s">
        <v>2135</v>
      </c>
      <c r="P902" s="1" t="s">
        <v>2135</v>
      </c>
      <c r="Q902" s="1" t="n">
        <v>-1</v>
      </c>
    </row>
    <row r="903" customFormat="false" ht="14.25" hidden="false" customHeight="false" outlineLevel="0" collapsed="false">
      <c r="A903" s="1" t="s">
        <v>2286</v>
      </c>
      <c r="B903" s="1" t="s">
        <v>2287</v>
      </c>
      <c r="C903" s="2" t="n">
        <v>147</v>
      </c>
      <c r="D903" s="1" t="s">
        <v>21</v>
      </c>
      <c r="E903" s="1" t="s">
        <v>2007</v>
      </c>
      <c r="F903" s="2" t="n">
        <v>554797064604</v>
      </c>
      <c r="G903" s="9" t="s">
        <v>2008</v>
      </c>
      <c r="H903" s="1" t="s">
        <v>94</v>
      </c>
      <c r="I903" s="1" t="s">
        <v>34</v>
      </c>
      <c r="N903" s="1" t="s">
        <v>965</v>
      </c>
      <c r="O903" s="1" t="s">
        <v>2288</v>
      </c>
      <c r="P903" s="1" t="s">
        <v>2129</v>
      </c>
    </row>
    <row r="904" customFormat="false" ht="14.25" hidden="false" customHeight="false" outlineLevel="0" collapsed="false">
      <c r="A904" s="1" t="s">
        <v>2289</v>
      </c>
      <c r="B904" s="1" t="s">
        <v>2290</v>
      </c>
      <c r="C904" s="2" t="n">
        <v>150</v>
      </c>
      <c r="D904" s="1" t="s">
        <v>32</v>
      </c>
      <c r="E904" s="1" t="s">
        <v>2291</v>
      </c>
      <c r="F904" s="2" t="n">
        <v>555496390051</v>
      </c>
      <c r="G904" s="9" t="s">
        <v>2292</v>
      </c>
      <c r="H904" s="1" t="s">
        <v>94</v>
      </c>
      <c r="I904" s="1" t="s">
        <v>355</v>
      </c>
      <c r="J904" s="1" t="s">
        <v>1176</v>
      </c>
      <c r="K904" s="1" t="s">
        <v>1177</v>
      </c>
      <c r="L904" s="1" t="s">
        <v>1324</v>
      </c>
      <c r="M904" s="1" t="s">
        <v>1243</v>
      </c>
      <c r="N904" s="1" t="s">
        <v>965</v>
      </c>
      <c r="O904" s="1" t="s">
        <v>2107</v>
      </c>
      <c r="P904" s="1" t="s">
        <v>862</v>
      </c>
    </row>
    <row r="905" customFormat="false" ht="14.25" hidden="false" customHeight="false" outlineLevel="0" collapsed="false">
      <c r="A905" s="1" t="s">
        <v>2293</v>
      </c>
      <c r="B905" s="1" t="s">
        <v>2294</v>
      </c>
      <c r="C905" s="2" t="n">
        <v>147</v>
      </c>
      <c r="D905" s="1" t="s">
        <v>390</v>
      </c>
      <c r="E905" s="1" t="s">
        <v>2294</v>
      </c>
      <c r="F905" s="2" t="n">
        <v>554197159485</v>
      </c>
      <c r="G905" s="9" t="s">
        <v>2295</v>
      </c>
      <c r="H905" s="1" t="s">
        <v>94</v>
      </c>
      <c r="I905" s="1" t="s">
        <v>355</v>
      </c>
      <c r="N905" s="1" t="s">
        <v>965</v>
      </c>
      <c r="O905" s="1" t="s">
        <v>2128</v>
      </c>
      <c r="P905" s="1" t="s">
        <v>2129</v>
      </c>
      <c r="Q905" s="1" t="n">
        <v>11571517286</v>
      </c>
    </row>
    <row r="906" customFormat="false" ht="14.25" hidden="false" customHeight="false" outlineLevel="0" collapsed="false">
      <c r="A906" s="1" t="s">
        <v>2296</v>
      </c>
      <c r="B906" s="1" t="s">
        <v>2297</v>
      </c>
      <c r="C906" s="2" t="n">
        <v>294</v>
      </c>
      <c r="D906" s="1" t="s">
        <v>22</v>
      </c>
      <c r="E906" s="1" t="s">
        <v>2298</v>
      </c>
      <c r="F906" s="2" t="n">
        <v>554184731481</v>
      </c>
      <c r="G906" s="9" t="s">
        <v>2299</v>
      </c>
      <c r="H906" s="1" t="s">
        <v>94</v>
      </c>
      <c r="I906" s="1" t="s">
        <v>50</v>
      </c>
      <c r="N906" s="1" t="s">
        <v>965</v>
      </c>
      <c r="O906" s="1" t="s">
        <v>2159</v>
      </c>
      <c r="P906" s="1" t="s">
        <v>2089</v>
      </c>
    </row>
    <row r="907" customFormat="false" ht="14.25" hidden="false" customHeight="false" outlineLevel="0" collapsed="false">
      <c r="A907" s="1" t="s">
        <v>2300</v>
      </c>
      <c r="B907" s="1" t="s">
        <v>2301</v>
      </c>
      <c r="C907" s="2" t="n">
        <v>120</v>
      </c>
      <c r="D907" s="1" t="s">
        <v>30</v>
      </c>
      <c r="E907" s="1" t="s">
        <v>2302</v>
      </c>
      <c r="F907" s="2" t="n">
        <v>559584019799</v>
      </c>
      <c r="G907" s="9" t="s">
        <v>2303</v>
      </c>
      <c r="H907" s="1" t="s">
        <v>94</v>
      </c>
      <c r="I907" s="1" t="s">
        <v>34</v>
      </c>
      <c r="N907" s="1" t="s">
        <v>965</v>
      </c>
      <c r="O907" s="1" t="s">
        <v>2280</v>
      </c>
      <c r="P907" s="1" t="s">
        <v>2281</v>
      </c>
    </row>
    <row r="908" customFormat="false" ht="14.25" hidden="false" customHeight="false" outlineLevel="0" collapsed="false">
      <c r="A908" s="1" t="s">
        <v>2304</v>
      </c>
      <c r="B908" s="1" t="s">
        <v>2305</v>
      </c>
      <c r="C908" s="2" t="n">
        <v>120</v>
      </c>
      <c r="D908" s="1" t="s">
        <v>30</v>
      </c>
      <c r="E908" s="1" t="s">
        <v>2305</v>
      </c>
      <c r="F908" s="2" t="n">
        <v>5519989545325</v>
      </c>
      <c r="G908" s="9" t="s">
        <v>2306</v>
      </c>
      <c r="H908" s="1" t="s">
        <v>94</v>
      </c>
      <c r="I908" s="1" t="s">
        <v>50</v>
      </c>
      <c r="N908" s="1" t="s">
        <v>965</v>
      </c>
      <c r="O908" s="1" t="s">
        <v>2276</v>
      </c>
      <c r="P908" s="1" t="s">
        <v>2135</v>
      </c>
    </row>
    <row r="909" customFormat="false" ht="14.25" hidden="false" customHeight="false" outlineLevel="0" collapsed="false">
      <c r="A909" s="1" t="s">
        <v>2307</v>
      </c>
      <c r="B909" s="1" t="s">
        <v>2308</v>
      </c>
      <c r="C909" s="2" t="n">
        <v>300</v>
      </c>
      <c r="D909" s="1" t="s">
        <v>27</v>
      </c>
      <c r="E909" s="1" t="s">
        <v>2308</v>
      </c>
      <c r="F909" s="2" t="n">
        <v>5511940232561</v>
      </c>
      <c r="G909" s="9" t="s">
        <v>2309</v>
      </c>
      <c r="H909" s="1" t="s">
        <v>94</v>
      </c>
      <c r="I909" s="1" t="s">
        <v>355</v>
      </c>
      <c r="J909" s="1" t="s">
        <v>35</v>
      </c>
      <c r="K909" s="1" t="s">
        <v>36</v>
      </c>
      <c r="L909" s="1" t="s">
        <v>37</v>
      </c>
      <c r="M909" s="1" t="s">
        <v>38</v>
      </c>
      <c r="N909" s="1" t="s">
        <v>965</v>
      </c>
      <c r="O909" s="1" t="s">
        <v>2280</v>
      </c>
      <c r="P909" s="1" t="s">
        <v>2281</v>
      </c>
    </row>
    <row r="910" customFormat="false" ht="14.25" hidden="false" customHeight="false" outlineLevel="0" collapsed="false">
      <c r="A910" s="1" t="s">
        <v>2310</v>
      </c>
      <c r="B910" s="1" t="s">
        <v>2311</v>
      </c>
      <c r="C910" s="2" t="n">
        <v>97</v>
      </c>
      <c r="D910" s="1" t="s">
        <v>20</v>
      </c>
      <c r="E910" s="1" t="s">
        <v>2311</v>
      </c>
      <c r="F910" s="2" t="n">
        <v>555496205451</v>
      </c>
      <c r="G910" s="9" t="s">
        <v>2312</v>
      </c>
      <c r="H910" s="1" t="s">
        <v>94</v>
      </c>
      <c r="I910" s="1" t="s">
        <v>355</v>
      </c>
      <c r="N910" s="1" t="s">
        <v>965</v>
      </c>
      <c r="O910" s="1" t="s">
        <v>2313</v>
      </c>
      <c r="P910" s="1" t="s">
        <v>2121</v>
      </c>
      <c r="Q910" s="1" t="n">
        <v>11475548206</v>
      </c>
    </row>
    <row r="911" customFormat="false" ht="14.25" hidden="false" customHeight="false" outlineLevel="0" collapsed="false">
      <c r="A911" s="1" t="s">
        <v>2314</v>
      </c>
      <c r="B911" s="1" t="s">
        <v>1681</v>
      </c>
      <c r="C911" s="2" t="n">
        <v>150</v>
      </c>
      <c r="D911" s="1" t="s">
        <v>30</v>
      </c>
      <c r="E911" s="1" t="s">
        <v>1681</v>
      </c>
      <c r="F911" s="2" t="n">
        <v>5512981378624</v>
      </c>
      <c r="G911" s="9" t="s">
        <v>2315</v>
      </c>
      <c r="H911" s="1" t="s">
        <v>94</v>
      </c>
      <c r="I911" s="1" t="s">
        <v>54</v>
      </c>
      <c r="N911" s="1" t="s">
        <v>1022</v>
      </c>
      <c r="O911" s="1" t="s">
        <v>2280</v>
      </c>
      <c r="P911" s="1" t="s">
        <v>2281</v>
      </c>
    </row>
    <row r="912" customFormat="false" ht="14.25" hidden="false" customHeight="false" outlineLevel="0" collapsed="false">
      <c r="A912" s="1" t="s">
        <v>2316</v>
      </c>
      <c r="B912" s="1" t="s">
        <v>2317</v>
      </c>
      <c r="C912" s="2" t="n">
        <v>500</v>
      </c>
      <c r="D912" s="1" t="s">
        <v>27</v>
      </c>
      <c r="E912" s="1" t="s">
        <v>2318</v>
      </c>
      <c r="F912" s="2" t="n">
        <v>5515998541153</v>
      </c>
      <c r="G912" s="9" t="s">
        <v>485</v>
      </c>
      <c r="H912" s="1" t="s">
        <v>94</v>
      </c>
      <c r="I912" s="1" t="s">
        <v>54</v>
      </c>
      <c r="N912" s="1" t="s">
        <v>1022</v>
      </c>
      <c r="O912" s="1" t="s">
        <v>2183</v>
      </c>
      <c r="P912" s="1" t="s">
        <v>2135</v>
      </c>
    </row>
    <row r="913" customFormat="false" ht="14.25" hidden="false" customHeight="false" outlineLevel="0" collapsed="false">
      <c r="A913" s="1" t="s">
        <v>2319</v>
      </c>
      <c r="B913" s="1" t="s">
        <v>1074</v>
      </c>
      <c r="C913" s="2" t="n">
        <v>294</v>
      </c>
      <c r="D913" s="1" t="s">
        <v>390</v>
      </c>
      <c r="E913" s="1" t="s">
        <v>1074</v>
      </c>
      <c r="F913" s="2" t="n">
        <v>559591467720</v>
      </c>
      <c r="G913" s="9" t="n">
        <v>0</v>
      </c>
      <c r="H913" s="1" t="s">
        <v>94</v>
      </c>
      <c r="I913" s="1" t="s">
        <v>50</v>
      </c>
      <c r="J913" s="1" t="s">
        <v>60</v>
      </c>
      <c r="K913" s="1" t="s">
        <v>27</v>
      </c>
      <c r="L913" s="1" t="s">
        <v>365</v>
      </c>
      <c r="M913" s="1" t="s">
        <v>62</v>
      </c>
      <c r="N913" s="1" t="s">
        <v>965</v>
      </c>
      <c r="O913" s="1" t="s">
        <v>2107</v>
      </c>
      <c r="P913" s="1" t="s">
        <v>2320</v>
      </c>
    </row>
    <row r="914" customFormat="false" ht="14.25" hidden="false" customHeight="false" outlineLevel="0" collapsed="false">
      <c r="A914" s="1" t="s">
        <v>2321</v>
      </c>
      <c r="B914" s="1" t="s">
        <v>1074</v>
      </c>
      <c r="C914" s="2" t="n">
        <v>120</v>
      </c>
      <c r="D914" s="1" t="s">
        <v>30</v>
      </c>
      <c r="E914" s="1" t="s">
        <v>1074</v>
      </c>
      <c r="F914" s="2" t="n">
        <v>559591467720</v>
      </c>
      <c r="G914" s="9" t="s">
        <v>2322</v>
      </c>
      <c r="H914" s="1" t="s">
        <v>94</v>
      </c>
      <c r="I914" s="1" t="s">
        <v>50</v>
      </c>
      <c r="N914" s="1" t="s">
        <v>965</v>
      </c>
      <c r="O914" s="1" t="s">
        <v>2107</v>
      </c>
      <c r="P914" s="1" t="s">
        <v>2281</v>
      </c>
    </row>
    <row r="915" customFormat="false" ht="14.25" hidden="false" customHeight="false" outlineLevel="0" collapsed="false">
      <c r="A915" s="1" t="s">
        <v>2323</v>
      </c>
      <c r="B915" s="1" t="s">
        <v>2324</v>
      </c>
      <c r="C915" s="2" t="n">
        <v>150</v>
      </c>
      <c r="D915" s="1" t="s">
        <v>32</v>
      </c>
      <c r="E915" s="1" t="s">
        <v>2325</v>
      </c>
      <c r="F915" s="2" t="n">
        <v>556182201243</v>
      </c>
      <c r="G915" s="9" t="s">
        <v>2326</v>
      </c>
      <c r="H915" s="1" t="s">
        <v>94</v>
      </c>
      <c r="I915" s="1" t="s">
        <v>50</v>
      </c>
      <c r="J915" s="1" t="s">
        <v>35</v>
      </c>
      <c r="K915" s="1" t="s">
        <v>36</v>
      </c>
      <c r="L915" s="1" t="s">
        <v>37</v>
      </c>
      <c r="M915" s="1" t="s">
        <v>38</v>
      </c>
      <c r="N915" s="1" t="s">
        <v>965</v>
      </c>
      <c r="O915" s="1" t="s">
        <v>2107</v>
      </c>
      <c r="P915" s="1" t="s">
        <v>862</v>
      </c>
    </row>
    <row r="916" customFormat="false" ht="14.25" hidden="false" customHeight="false" outlineLevel="0" collapsed="false">
      <c r="A916" s="1" t="s">
        <v>2327</v>
      </c>
      <c r="B916" s="1" t="s">
        <v>2328</v>
      </c>
      <c r="C916" s="2" t="n">
        <v>441</v>
      </c>
      <c r="D916" s="1" t="s">
        <v>32</v>
      </c>
      <c r="E916" s="1" t="s">
        <v>2329</v>
      </c>
      <c r="F916" s="2" t="n">
        <v>5354824405</v>
      </c>
      <c r="G916" s="9" t="s">
        <v>2330</v>
      </c>
      <c r="H916" s="1" t="s">
        <v>94</v>
      </c>
      <c r="I916" s="1" t="s">
        <v>34</v>
      </c>
      <c r="N916" s="1" t="s">
        <v>965</v>
      </c>
      <c r="O916" s="1" t="s">
        <v>2236</v>
      </c>
      <c r="P916" s="1" t="s">
        <v>2129</v>
      </c>
    </row>
    <row r="917" customFormat="false" ht="14.25" hidden="false" customHeight="false" outlineLevel="0" collapsed="false">
      <c r="A917" s="1" t="s">
        <v>2331</v>
      </c>
      <c r="B917" s="1" t="s">
        <v>2332</v>
      </c>
      <c r="C917" s="2" t="n">
        <v>245</v>
      </c>
      <c r="D917" s="1" t="s">
        <v>2333</v>
      </c>
      <c r="E917" s="1" t="s">
        <v>2332</v>
      </c>
      <c r="F917" s="2" t="n">
        <v>5350748276</v>
      </c>
      <c r="G917" s="9" t="s">
        <v>2334</v>
      </c>
      <c r="H917" s="1" t="s">
        <v>94</v>
      </c>
      <c r="I917" s="1" t="s">
        <v>34</v>
      </c>
      <c r="J917" s="1" t="s">
        <v>35</v>
      </c>
      <c r="K917" s="1" t="s">
        <v>36</v>
      </c>
      <c r="L917" s="1" t="s">
        <v>37</v>
      </c>
      <c r="M917" s="1" t="s">
        <v>38</v>
      </c>
      <c r="N917" s="1" t="s">
        <v>965</v>
      </c>
      <c r="O917" s="1" t="s">
        <v>2107</v>
      </c>
      <c r="P917" s="1" t="s">
        <v>862</v>
      </c>
    </row>
    <row r="918" customFormat="false" ht="14.25" hidden="false" customHeight="false" outlineLevel="0" collapsed="false">
      <c r="A918" s="1" t="s">
        <v>2335</v>
      </c>
      <c r="B918" s="1" t="s">
        <v>2336</v>
      </c>
      <c r="C918" s="2" t="n">
        <v>150</v>
      </c>
      <c r="D918" s="1" t="s">
        <v>32</v>
      </c>
      <c r="E918" s="1" t="s">
        <v>2336</v>
      </c>
      <c r="F918" s="2" t="n">
        <v>556481189667</v>
      </c>
      <c r="G918" s="9" t="s">
        <v>2337</v>
      </c>
      <c r="H918" s="1" t="s">
        <v>94</v>
      </c>
      <c r="I918" s="1" t="s">
        <v>355</v>
      </c>
      <c r="J918" s="1" t="s">
        <v>35</v>
      </c>
      <c r="K918" s="1" t="s">
        <v>36</v>
      </c>
      <c r="L918" s="1" t="s">
        <v>37</v>
      </c>
      <c r="M918" s="1" t="s">
        <v>38</v>
      </c>
      <c r="N918" s="1" t="s">
        <v>965</v>
      </c>
      <c r="O918" s="1" t="s">
        <v>2107</v>
      </c>
      <c r="P918" s="1" t="s">
        <v>862</v>
      </c>
    </row>
    <row r="919" customFormat="false" ht="14.25" hidden="false" customHeight="false" outlineLevel="0" collapsed="false">
      <c r="A919" s="1" t="s">
        <v>2338</v>
      </c>
      <c r="B919" s="1" t="s">
        <v>2339</v>
      </c>
      <c r="C919" s="2" t="n">
        <v>120</v>
      </c>
      <c r="D919" s="1" t="s">
        <v>21</v>
      </c>
      <c r="E919" s="1" t="s">
        <v>2339</v>
      </c>
      <c r="F919" s="2" t="n">
        <v>559584371182</v>
      </c>
      <c r="G919" s="9" t="s">
        <v>43</v>
      </c>
      <c r="H919" s="1" t="s">
        <v>94</v>
      </c>
      <c r="I919" s="1" t="s">
        <v>54</v>
      </c>
      <c r="N919" s="1" t="s">
        <v>1022</v>
      </c>
      <c r="O919" s="1" t="s">
        <v>2236</v>
      </c>
      <c r="P919" s="1" t="s">
        <v>2129</v>
      </c>
    </row>
    <row r="920" customFormat="false" ht="16.4" hidden="false" customHeight="false" outlineLevel="0" collapsed="false">
      <c r="A920" s="1" t="s">
        <v>2335</v>
      </c>
      <c r="B920" s="1" t="s">
        <v>2340</v>
      </c>
      <c r="C920" s="2" t="n">
        <v>200</v>
      </c>
      <c r="D920" s="1" t="s">
        <v>30</v>
      </c>
      <c r="E920" s="1" t="s">
        <v>1662</v>
      </c>
      <c r="F920" s="2" t="n">
        <v>553499432464</v>
      </c>
      <c r="G920" s="11" t="s">
        <v>1663</v>
      </c>
      <c r="H920" s="1" t="s">
        <v>94</v>
      </c>
      <c r="I920" s="1" t="s">
        <v>54</v>
      </c>
      <c r="N920" s="1" t="s">
        <v>1022</v>
      </c>
      <c r="O920" s="1" t="s">
        <v>2341</v>
      </c>
      <c r="P920" s="1" t="s">
        <v>2245</v>
      </c>
    </row>
    <row r="921" customFormat="false" ht="14.25" hidden="false" customHeight="false" outlineLevel="0" collapsed="false">
      <c r="A921" s="1" t="s">
        <v>2342</v>
      </c>
      <c r="B921" s="1" t="s">
        <v>2343</v>
      </c>
      <c r="C921" s="2" t="n">
        <v>150</v>
      </c>
      <c r="D921" s="1" t="s">
        <v>32</v>
      </c>
      <c r="E921" s="1" t="s">
        <v>2343</v>
      </c>
      <c r="F921" s="2" t="n">
        <v>554792221708</v>
      </c>
      <c r="G921" s="9" t="s">
        <v>2344</v>
      </c>
      <c r="H921" s="1" t="s">
        <v>94</v>
      </c>
      <c r="I921" s="1" t="s">
        <v>34</v>
      </c>
      <c r="J921" s="1" t="s">
        <v>1176</v>
      </c>
      <c r="K921" s="1" t="s">
        <v>1177</v>
      </c>
      <c r="L921" s="1" t="s">
        <v>1178</v>
      </c>
      <c r="M921" s="1" t="s">
        <v>1179</v>
      </c>
      <c r="N921" s="1" t="s">
        <v>965</v>
      </c>
      <c r="O921" s="1" t="s">
        <v>2345</v>
      </c>
      <c r="P921" s="1" t="s">
        <v>2129</v>
      </c>
    </row>
    <row r="922" customFormat="false" ht="14.25" hidden="false" customHeight="false" outlineLevel="0" collapsed="false">
      <c r="A922" s="1" t="s">
        <v>2346</v>
      </c>
      <c r="B922" s="1" t="s">
        <v>2347</v>
      </c>
      <c r="C922" s="2" t="n">
        <v>147</v>
      </c>
      <c r="D922" s="1" t="s">
        <v>22</v>
      </c>
      <c r="E922" s="1" t="s">
        <v>2348</v>
      </c>
      <c r="F922" s="2" t="n">
        <v>559492892477</v>
      </c>
      <c r="G922" s="9" t="s">
        <v>43</v>
      </c>
      <c r="H922" s="1" t="s">
        <v>94</v>
      </c>
      <c r="I922" s="1" t="s">
        <v>50</v>
      </c>
      <c r="J922" s="1" t="s">
        <v>35</v>
      </c>
      <c r="K922" s="1" t="s">
        <v>69</v>
      </c>
      <c r="L922" s="1" t="s">
        <v>70</v>
      </c>
      <c r="M922" s="1" t="s">
        <v>38</v>
      </c>
      <c r="N922" s="1" t="s">
        <v>965</v>
      </c>
      <c r="O922" s="1" t="s">
        <v>2349</v>
      </c>
      <c r="P922" s="1" t="s">
        <v>2350</v>
      </c>
    </row>
    <row r="923" customFormat="false" ht="14.25" hidden="false" customHeight="false" outlineLevel="0" collapsed="false">
      <c r="A923" s="1" t="s">
        <v>2346</v>
      </c>
      <c r="B923" s="1" t="s">
        <v>1916</v>
      </c>
      <c r="C923" s="2" t="n">
        <v>147</v>
      </c>
      <c r="D923" s="1" t="s">
        <v>390</v>
      </c>
      <c r="E923" s="1" t="s">
        <v>1917</v>
      </c>
      <c r="F923" s="2" t="n">
        <v>559591162047</v>
      </c>
      <c r="G923" s="1" t="s">
        <v>1918</v>
      </c>
      <c r="H923" s="1" t="s">
        <v>94</v>
      </c>
      <c r="I923" s="1" t="s">
        <v>50</v>
      </c>
      <c r="J923" s="1" t="s">
        <v>35</v>
      </c>
      <c r="K923" s="1" t="s">
        <v>69</v>
      </c>
      <c r="L923" s="1" t="s">
        <v>70</v>
      </c>
      <c r="M923" s="1" t="s">
        <v>38</v>
      </c>
      <c r="N923" s="1" t="s">
        <v>965</v>
      </c>
    </row>
    <row r="924" customFormat="false" ht="14.25" hidden="false" customHeight="false" outlineLevel="0" collapsed="false">
      <c r="A924" s="1" t="s">
        <v>2346</v>
      </c>
      <c r="B924" s="1" t="s">
        <v>418</v>
      </c>
      <c r="C924" s="2" t="n">
        <v>500</v>
      </c>
      <c r="D924" s="1" t="s">
        <v>27</v>
      </c>
      <c r="E924" s="1" t="s">
        <v>419</v>
      </c>
      <c r="F924" s="2" t="n">
        <v>554791936352</v>
      </c>
      <c r="G924" s="1" t="s">
        <v>420</v>
      </c>
      <c r="H924" s="1" t="s">
        <v>94</v>
      </c>
      <c r="I924" s="1" t="s">
        <v>34</v>
      </c>
      <c r="N924" s="1" t="s">
        <v>965</v>
      </c>
    </row>
    <row r="925" customFormat="false" ht="14.25" hidden="false" customHeight="false" outlineLevel="0" collapsed="false">
      <c r="A925" s="1" t="s">
        <v>2351</v>
      </c>
      <c r="B925" s="1" t="s">
        <v>2352</v>
      </c>
      <c r="C925" s="2" t="n">
        <v>147</v>
      </c>
      <c r="D925" s="1" t="s">
        <v>18</v>
      </c>
      <c r="E925" s="1" t="s">
        <v>2353</v>
      </c>
      <c r="F925" s="2" t="n">
        <v>554185049202</v>
      </c>
      <c r="G925" s="1" t="s">
        <v>2354</v>
      </c>
      <c r="H925" s="1" t="s">
        <v>94</v>
      </c>
      <c r="I925" s="1" t="s">
        <v>355</v>
      </c>
      <c r="J925" s="1" t="s">
        <v>35</v>
      </c>
      <c r="K925" s="1" t="s">
        <v>69</v>
      </c>
      <c r="L925" s="1" t="s">
        <v>70</v>
      </c>
      <c r="M925" s="1" t="s">
        <v>38</v>
      </c>
      <c r="N925" s="1" t="s">
        <v>965</v>
      </c>
      <c r="O925" s="1" t="s">
        <v>2159</v>
      </c>
      <c r="P925" s="1" t="s">
        <v>2089</v>
      </c>
    </row>
    <row r="926" customFormat="false" ht="14.25" hidden="false" customHeight="false" outlineLevel="0" collapsed="false">
      <c r="A926" s="1" t="s">
        <v>2355</v>
      </c>
      <c r="B926" s="1" t="s">
        <v>2356</v>
      </c>
      <c r="C926" s="2" t="n">
        <v>240</v>
      </c>
      <c r="D926" s="1" t="s">
        <v>21</v>
      </c>
      <c r="E926" s="1" t="s">
        <v>2357</v>
      </c>
      <c r="F926" s="2" t="n">
        <v>5548999792387</v>
      </c>
      <c r="G926" s="1" t="s">
        <v>2358</v>
      </c>
      <c r="H926" s="1" t="s">
        <v>94</v>
      </c>
      <c r="I926" s="1" t="s">
        <v>355</v>
      </c>
      <c r="N926" s="1" t="s">
        <v>965</v>
      </c>
      <c r="O926" s="1" t="s">
        <v>2128</v>
      </c>
      <c r="P926" s="1" t="s">
        <v>2129</v>
      </c>
    </row>
    <row r="927" customFormat="false" ht="14.25" hidden="false" customHeight="false" outlineLevel="0" collapsed="false">
      <c r="A927" s="1" t="s">
        <v>2359</v>
      </c>
      <c r="B927" s="1" t="s">
        <v>2360</v>
      </c>
      <c r="C927" s="2" t="n">
        <v>194</v>
      </c>
      <c r="D927" s="1" t="s">
        <v>20</v>
      </c>
      <c r="E927" s="1" t="s">
        <v>2360</v>
      </c>
      <c r="F927" s="2" t="n">
        <v>5358091217</v>
      </c>
      <c r="G927" s="1" t="s">
        <v>2361</v>
      </c>
      <c r="H927" s="1" t="s">
        <v>94</v>
      </c>
      <c r="I927" s="1" t="s">
        <v>355</v>
      </c>
      <c r="N927" s="1" t="s">
        <v>965</v>
      </c>
      <c r="O927" s="1" t="s">
        <v>2107</v>
      </c>
      <c r="P927" s="1" t="s">
        <v>2129</v>
      </c>
    </row>
    <row r="928" customFormat="false" ht="14.25" hidden="false" customHeight="false" outlineLevel="0" collapsed="false">
      <c r="A928" s="1" t="s">
        <v>2362</v>
      </c>
      <c r="B928" s="1" t="s">
        <v>2360</v>
      </c>
      <c r="C928" s="2" t="n">
        <v>360</v>
      </c>
      <c r="D928" s="1" t="s">
        <v>30</v>
      </c>
      <c r="E928" s="1" t="s">
        <v>2360</v>
      </c>
      <c r="F928" s="2" t="n">
        <v>5358091217</v>
      </c>
      <c r="G928" s="1" t="s">
        <v>2361</v>
      </c>
      <c r="H928" s="1" t="s">
        <v>94</v>
      </c>
      <c r="I928" s="1" t="s">
        <v>355</v>
      </c>
      <c r="J928" s="1" t="s">
        <v>35</v>
      </c>
      <c r="K928" s="1" t="s">
        <v>272</v>
      </c>
      <c r="L928" s="1" t="s">
        <v>273</v>
      </c>
      <c r="M928" s="1" t="s">
        <v>38</v>
      </c>
      <c r="N928" s="1" t="s">
        <v>965</v>
      </c>
      <c r="O928" s="1" t="s">
        <v>2107</v>
      </c>
      <c r="P928" s="1" t="s">
        <v>2129</v>
      </c>
    </row>
    <row r="929" customFormat="false" ht="14.25" hidden="false" customHeight="false" outlineLevel="0" collapsed="false">
      <c r="A929" s="1" t="s">
        <v>2363</v>
      </c>
      <c r="B929" s="1" t="s">
        <v>602</v>
      </c>
      <c r="C929" s="2" t="n">
        <v>150</v>
      </c>
      <c r="D929" s="1" t="s">
        <v>29</v>
      </c>
      <c r="E929" s="1" t="s">
        <v>602</v>
      </c>
      <c r="F929" s="2" t="n">
        <v>5354714239</v>
      </c>
      <c r="G929" s="1" t="s">
        <v>603</v>
      </c>
      <c r="H929" s="1" t="s">
        <v>94</v>
      </c>
      <c r="I929" s="1" t="s">
        <v>54</v>
      </c>
      <c r="N929" s="1" t="s">
        <v>1022</v>
      </c>
      <c r="O929" s="1" t="s">
        <v>2159</v>
      </c>
      <c r="P929" s="1" t="s">
        <v>2089</v>
      </c>
    </row>
    <row r="930" customFormat="false" ht="14.25" hidden="false" customHeight="false" outlineLevel="0" collapsed="false">
      <c r="A930" s="1" t="s">
        <v>2364</v>
      </c>
      <c r="B930" s="1" t="s">
        <v>2365</v>
      </c>
      <c r="C930" s="2" t="n">
        <v>97</v>
      </c>
      <c r="D930" s="1" t="s">
        <v>20</v>
      </c>
      <c r="E930" s="1" t="s">
        <v>2365</v>
      </c>
      <c r="F930" s="2" t="n">
        <v>554891223863</v>
      </c>
      <c r="G930" s="1" t="s">
        <v>2366</v>
      </c>
      <c r="H930" s="1" t="s">
        <v>94</v>
      </c>
      <c r="I930" s="1" t="s">
        <v>355</v>
      </c>
      <c r="J930" s="1" t="s">
        <v>1176</v>
      </c>
      <c r="K930" s="1" t="s">
        <v>1955</v>
      </c>
      <c r="L930" s="1" t="s">
        <v>1956</v>
      </c>
      <c r="M930" s="1" t="s">
        <v>1179</v>
      </c>
      <c r="N930" s="1" t="s">
        <v>965</v>
      </c>
      <c r="O930" s="1" t="s">
        <v>2367</v>
      </c>
      <c r="P930" s="1" t="s">
        <v>2129</v>
      </c>
    </row>
    <row r="931" customFormat="false" ht="14.25" hidden="false" customHeight="false" outlineLevel="0" collapsed="false">
      <c r="A931" s="1" t="s">
        <v>2368</v>
      </c>
      <c r="B931" s="1" t="s">
        <v>1971</v>
      </c>
      <c r="C931" s="2" t="n">
        <v>585</v>
      </c>
      <c r="D931" s="1" t="s">
        <v>22</v>
      </c>
      <c r="E931" s="1" t="s">
        <v>2369</v>
      </c>
      <c r="F931" s="2" t="n">
        <v>59895930973</v>
      </c>
      <c r="G931" s="1" t="s">
        <v>2370</v>
      </c>
      <c r="H931" s="1" t="s">
        <v>94</v>
      </c>
      <c r="I931" s="1" t="s">
        <v>34</v>
      </c>
      <c r="N931" s="1" t="s">
        <v>965</v>
      </c>
      <c r="O931" s="1" t="s">
        <v>2236</v>
      </c>
      <c r="P931" s="1" t="s">
        <v>2129</v>
      </c>
    </row>
    <row r="932" customFormat="false" ht="14.25" hidden="false" customHeight="false" outlineLevel="0" collapsed="false">
      <c r="A932" s="1" t="s">
        <v>2371</v>
      </c>
      <c r="B932" s="1" t="s">
        <v>2372</v>
      </c>
      <c r="C932" s="2" t="n">
        <v>97</v>
      </c>
      <c r="D932" s="1" t="s">
        <v>20</v>
      </c>
      <c r="E932" s="1" t="s">
        <v>2373</v>
      </c>
      <c r="F932" s="2" t="n">
        <v>554699784263</v>
      </c>
      <c r="G932" s="1" t="s">
        <v>2374</v>
      </c>
      <c r="H932" s="1" t="s">
        <v>94</v>
      </c>
      <c r="I932" s="1" t="s">
        <v>355</v>
      </c>
      <c r="N932" s="1" t="s">
        <v>965</v>
      </c>
      <c r="O932" s="1" t="s">
        <v>2107</v>
      </c>
      <c r="P932" s="1" t="s">
        <v>2089</v>
      </c>
    </row>
    <row r="933" customFormat="false" ht="14.25" hidden="false" customHeight="false" outlineLevel="0" collapsed="false">
      <c r="A933" s="1" t="s">
        <v>2375</v>
      </c>
      <c r="B933" s="1" t="s">
        <v>945</v>
      </c>
      <c r="C933" s="2" t="n">
        <v>147</v>
      </c>
      <c r="D933" s="1" t="s">
        <v>390</v>
      </c>
      <c r="E933" s="1" t="s">
        <v>945</v>
      </c>
      <c r="F933" s="2" t="n">
        <v>554197483195</v>
      </c>
      <c r="G933" s="1" t="s">
        <v>2376</v>
      </c>
      <c r="H933" s="1" t="s">
        <v>94</v>
      </c>
      <c r="I933" s="1" t="s">
        <v>54</v>
      </c>
      <c r="N933" s="1" t="s">
        <v>1022</v>
      </c>
      <c r="O933" s="1" t="s">
        <v>2159</v>
      </c>
      <c r="P933" s="1" t="s">
        <v>2089</v>
      </c>
    </row>
    <row r="934" customFormat="false" ht="14.25" hidden="false" customHeight="false" outlineLevel="0" collapsed="false">
      <c r="A934" s="1" t="s">
        <v>2377</v>
      </c>
      <c r="B934" s="1" t="s">
        <v>1971</v>
      </c>
      <c r="C934" s="2" t="n">
        <v>585</v>
      </c>
      <c r="D934" s="1" t="s">
        <v>21</v>
      </c>
      <c r="E934" s="1" t="s">
        <v>2369</v>
      </c>
      <c r="F934" s="2" t="n">
        <v>59895930973</v>
      </c>
      <c r="G934" s="1" t="s">
        <v>2370</v>
      </c>
      <c r="H934" s="1" t="s">
        <v>94</v>
      </c>
      <c r="I934" s="1" t="s">
        <v>34</v>
      </c>
      <c r="N934" s="1" t="s">
        <v>965</v>
      </c>
      <c r="O934" s="1" t="s">
        <v>2236</v>
      </c>
      <c r="P934" s="1" t="s">
        <v>2129</v>
      </c>
    </row>
    <row r="935" customFormat="false" ht="14.25" hidden="false" customHeight="false" outlineLevel="0" collapsed="false">
      <c r="A935" s="1" t="s">
        <v>2378</v>
      </c>
      <c r="B935" s="1" t="s">
        <v>2379</v>
      </c>
      <c r="C935" s="2" t="n">
        <v>420</v>
      </c>
      <c r="D935" s="1" t="s">
        <v>30</v>
      </c>
      <c r="E935" s="1" t="s">
        <v>2380</v>
      </c>
      <c r="F935" s="2" t="n">
        <v>554884510279</v>
      </c>
      <c r="G935" s="1" t="s">
        <v>2381</v>
      </c>
      <c r="H935" s="1" t="s">
        <v>94</v>
      </c>
      <c r="I935" s="1" t="s">
        <v>34</v>
      </c>
      <c r="J935" s="1" t="s">
        <v>35</v>
      </c>
      <c r="K935" s="1" t="s">
        <v>69</v>
      </c>
      <c r="L935" s="1" t="s">
        <v>70</v>
      </c>
      <c r="M935" s="1" t="s">
        <v>38</v>
      </c>
      <c r="N935" s="1" t="s">
        <v>965</v>
      </c>
      <c r="O935" s="1" t="s">
        <v>2142</v>
      </c>
      <c r="P935" s="1" t="s">
        <v>2129</v>
      </c>
    </row>
    <row r="936" customFormat="false" ht="14.25" hidden="false" customHeight="false" outlineLevel="0" collapsed="false">
      <c r="A936" s="1" t="s">
        <v>2382</v>
      </c>
      <c r="B936" s="1" t="s">
        <v>798</v>
      </c>
      <c r="C936" s="2" t="n">
        <v>194</v>
      </c>
      <c r="D936" s="1" t="s">
        <v>20</v>
      </c>
      <c r="E936" s="1" t="s">
        <v>799</v>
      </c>
      <c r="F936" s="2" t="n">
        <v>559584121787</v>
      </c>
      <c r="G936" s="1" t="s">
        <v>800</v>
      </c>
      <c r="H936" s="1" t="s">
        <v>94</v>
      </c>
      <c r="I936" s="1" t="s">
        <v>54</v>
      </c>
      <c r="N936" s="1" t="s">
        <v>1022</v>
      </c>
      <c r="O936" s="1" t="s">
        <v>2159</v>
      </c>
      <c r="P936" s="1" t="s">
        <v>2089</v>
      </c>
    </row>
    <row r="937" customFormat="false" ht="14.25" hidden="false" customHeight="false" outlineLevel="0" collapsed="false">
      <c r="A937" s="1" t="s">
        <v>2383</v>
      </c>
      <c r="B937" s="1" t="s">
        <v>798</v>
      </c>
      <c r="C937" s="2" t="n">
        <v>120</v>
      </c>
      <c r="D937" s="1" t="s">
        <v>862</v>
      </c>
      <c r="E937" s="1" t="s">
        <v>799</v>
      </c>
      <c r="F937" s="2" t="n">
        <v>559584121787</v>
      </c>
      <c r="G937" s="1" t="s">
        <v>800</v>
      </c>
      <c r="H937" s="1" t="s">
        <v>94</v>
      </c>
      <c r="I937" s="1" t="s">
        <v>54</v>
      </c>
      <c r="N937" s="1" t="s">
        <v>1022</v>
      </c>
      <c r="O937" s="1" t="s">
        <v>2159</v>
      </c>
      <c r="P937" s="1" t="s">
        <v>2089</v>
      </c>
    </row>
    <row r="938" customFormat="false" ht="14.25" hidden="false" customHeight="false" outlineLevel="0" collapsed="false">
      <c r="A938" s="1" t="s">
        <v>2384</v>
      </c>
      <c r="B938" s="1" t="s">
        <v>2385</v>
      </c>
      <c r="C938" s="2" t="n">
        <v>700</v>
      </c>
      <c r="D938" s="1" t="s">
        <v>23</v>
      </c>
      <c r="E938" s="1" t="s">
        <v>2386</v>
      </c>
      <c r="F938" s="2" t="n">
        <v>554899074401</v>
      </c>
      <c r="G938" s="1" t="s">
        <v>519</v>
      </c>
      <c r="H938" s="1" t="s">
        <v>94</v>
      </c>
      <c r="I938" s="1" t="s">
        <v>34</v>
      </c>
      <c r="N938" s="1" t="s">
        <v>965</v>
      </c>
      <c r="O938" s="1" t="s">
        <v>2128</v>
      </c>
      <c r="P938" s="1" t="s">
        <v>2129</v>
      </c>
    </row>
    <row r="939" customFormat="false" ht="14.25" hidden="false" customHeight="false" outlineLevel="0" collapsed="false">
      <c r="A939" s="1" t="s">
        <v>2387</v>
      </c>
      <c r="B939" s="1" t="s">
        <v>2388</v>
      </c>
      <c r="C939" s="2" t="n">
        <v>150</v>
      </c>
      <c r="D939" s="1" t="s">
        <v>18</v>
      </c>
      <c r="E939" s="1" t="s">
        <v>2388</v>
      </c>
      <c r="F939" s="2" t="n">
        <v>5547933811978</v>
      </c>
      <c r="G939" s="1" t="s">
        <v>2389</v>
      </c>
      <c r="H939" s="1" t="s">
        <v>94</v>
      </c>
      <c r="I939" s="1" t="s">
        <v>50</v>
      </c>
      <c r="N939" s="1" t="s">
        <v>965</v>
      </c>
      <c r="O939" s="1" t="s">
        <v>2236</v>
      </c>
      <c r="P939" s="1" t="s">
        <v>2129</v>
      </c>
    </row>
    <row r="940" customFormat="false" ht="16.4" hidden="false" customHeight="false" outlineLevel="0" collapsed="false">
      <c r="A940" s="1" t="s">
        <v>2390</v>
      </c>
      <c r="B940" s="1" t="s">
        <v>2258</v>
      </c>
      <c r="C940" s="2" t="n">
        <v>240</v>
      </c>
      <c r="D940" s="1" t="s">
        <v>21</v>
      </c>
      <c r="E940" s="1" t="s">
        <v>2391</v>
      </c>
      <c r="F940" s="2" t="n">
        <v>554888205225</v>
      </c>
      <c r="G940" s="11" t="s">
        <v>2392</v>
      </c>
      <c r="H940" s="1" t="s">
        <v>94</v>
      </c>
      <c r="I940" s="1" t="s">
        <v>54</v>
      </c>
      <c r="N940" s="1" t="s">
        <v>1022</v>
      </c>
      <c r="O940" s="1" t="s">
        <v>2261</v>
      </c>
      <c r="P940" s="1" t="s">
        <v>2129</v>
      </c>
    </row>
    <row r="941" customFormat="false" ht="14.25" hidden="false" customHeight="false" outlineLevel="0" collapsed="false">
      <c r="A941" s="1" t="s">
        <v>2393</v>
      </c>
      <c r="B941" s="1" t="s">
        <v>1466</v>
      </c>
      <c r="C941" s="2" t="n">
        <v>147</v>
      </c>
      <c r="D941" s="1" t="s">
        <v>18</v>
      </c>
      <c r="E941" s="1" t="s">
        <v>1466</v>
      </c>
      <c r="F941" s="2" t="n">
        <v>554187292927</v>
      </c>
      <c r="G941" s="1" t="s">
        <v>2057</v>
      </c>
      <c r="H941" s="1" t="s">
        <v>94</v>
      </c>
      <c r="I941" s="1" t="s">
        <v>54</v>
      </c>
      <c r="N941" s="1" t="s">
        <v>1022</v>
      </c>
      <c r="O941" s="1" t="s">
        <v>2394</v>
      </c>
      <c r="P941" s="1" t="s">
        <v>2089</v>
      </c>
    </row>
    <row r="942" customFormat="false" ht="14.25" hidden="false" customHeight="false" outlineLevel="0" collapsed="false">
      <c r="A942" s="1" t="s">
        <v>2395</v>
      </c>
      <c r="B942" s="1" t="s">
        <v>2396</v>
      </c>
      <c r="C942" s="2" t="n">
        <v>150</v>
      </c>
      <c r="D942" s="1" t="s">
        <v>30</v>
      </c>
      <c r="E942" s="1" t="s">
        <v>2396</v>
      </c>
      <c r="F942" s="2" t="n">
        <v>559584019185</v>
      </c>
      <c r="G942" s="1" t="s">
        <v>43</v>
      </c>
      <c r="H942" s="1" t="s">
        <v>94</v>
      </c>
      <c r="I942" s="1" t="s">
        <v>355</v>
      </c>
      <c r="N942" s="1" t="s">
        <v>965</v>
      </c>
      <c r="O942" s="1" t="s">
        <v>2226</v>
      </c>
      <c r="P942" s="1" t="s">
        <v>2397</v>
      </c>
    </row>
    <row r="943" customFormat="false" ht="14.25" hidden="false" customHeight="false" outlineLevel="0" collapsed="false">
      <c r="A943" s="1" t="s">
        <v>2398</v>
      </c>
      <c r="B943" s="1" t="s">
        <v>2399</v>
      </c>
      <c r="C943" s="2" t="n">
        <v>150</v>
      </c>
      <c r="D943" s="1" t="s">
        <v>32</v>
      </c>
      <c r="E943" s="1" t="s">
        <v>2399</v>
      </c>
      <c r="F943" s="2" t="n">
        <v>5511948563300</v>
      </c>
      <c r="G943" s="1" t="s">
        <v>519</v>
      </c>
      <c r="H943" s="1" t="s">
        <v>94</v>
      </c>
      <c r="I943" s="1" t="s">
        <v>34</v>
      </c>
      <c r="N943" s="1" t="s">
        <v>965</v>
      </c>
      <c r="O943" s="1" t="s">
        <v>2135</v>
      </c>
      <c r="P943" s="1" t="s">
        <v>2135</v>
      </c>
    </row>
    <row r="944" customFormat="false" ht="14.25" hidden="false" customHeight="false" outlineLevel="0" collapsed="false">
      <c r="A944" s="1" t="s">
        <v>2400</v>
      </c>
      <c r="B944" s="1" t="s">
        <v>2401</v>
      </c>
      <c r="C944" s="2" t="n">
        <v>600</v>
      </c>
      <c r="D944" s="1" t="s">
        <v>106</v>
      </c>
      <c r="E944" s="1" t="s">
        <v>2401</v>
      </c>
      <c r="F944" s="2" t="n">
        <v>5595984025752</v>
      </c>
      <c r="G944" s="1" t="s">
        <v>2402</v>
      </c>
      <c r="H944" s="1" t="s">
        <v>94</v>
      </c>
      <c r="I944" s="1" t="s">
        <v>50</v>
      </c>
      <c r="J944" s="1" t="s">
        <v>35</v>
      </c>
      <c r="K944" s="1" t="s">
        <v>36</v>
      </c>
      <c r="L944" s="1" t="s">
        <v>37</v>
      </c>
      <c r="M944" s="1" t="s">
        <v>38</v>
      </c>
      <c r="N944" s="1" t="s">
        <v>965</v>
      </c>
      <c r="O944" s="1" t="s">
        <v>2403</v>
      </c>
      <c r="P944" s="1" t="s">
        <v>2135</v>
      </c>
    </row>
    <row r="945" customFormat="false" ht="14.25" hidden="false" customHeight="false" outlineLevel="0" collapsed="false">
      <c r="A945" s="1" t="s">
        <v>2404</v>
      </c>
      <c r="B945" s="1" t="s">
        <v>135</v>
      </c>
      <c r="C945" s="2" t="n">
        <v>300</v>
      </c>
      <c r="D945" s="1" t="s">
        <v>24</v>
      </c>
      <c r="E945" s="1" t="s">
        <v>135</v>
      </c>
      <c r="F945" s="2" t="n">
        <v>554184708349</v>
      </c>
      <c r="G945" s="1" t="s">
        <v>136</v>
      </c>
      <c r="H945" s="1" t="s">
        <v>94</v>
      </c>
      <c r="I945" s="1" t="s">
        <v>54</v>
      </c>
      <c r="N945" s="1" t="s">
        <v>1022</v>
      </c>
      <c r="O945" s="1" t="s">
        <v>2159</v>
      </c>
      <c r="P945" s="1" t="s">
        <v>2089</v>
      </c>
    </row>
    <row r="946" customFormat="false" ht="14.25" hidden="false" customHeight="false" outlineLevel="0" collapsed="false">
      <c r="A946" s="1" t="s">
        <v>2405</v>
      </c>
      <c r="B946" s="1" t="s">
        <v>2406</v>
      </c>
      <c r="C946" s="2" t="n">
        <v>97</v>
      </c>
      <c r="D946" s="1" t="s">
        <v>20</v>
      </c>
      <c r="E946" s="1" t="s">
        <v>2406</v>
      </c>
      <c r="F946" s="2" t="n">
        <v>554188277050</v>
      </c>
      <c r="G946" s="1" t="s">
        <v>2407</v>
      </c>
      <c r="H946" s="1" t="s">
        <v>94</v>
      </c>
      <c r="I946" s="1" t="s">
        <v>50</v>
      </c>
      <c r="N946" s="1" t="s">
        <v>965</v>
      </c>
      <c r="O946" s="1" t="s">
        <v>2159</v>
      </c>
      <c r="P946" s="1" t="s">
        <v>2089</v>
      </c>
    </row>
    <row r="947" customFormat="false" ht="14.25" hidden="false" customHeight="false" outlineLevel="0" collapsed="false">
      <c r="A947" s="1" t="s">
        <v>2408</v>
      </c>
      <c r="B947" s="1" t="s">
        <v>2409</v>
      </c>
      <c r="C947" s="2" t="n">
        <v>120</v>
      </c>
      <c r="D947" s="1" t="s">
        <v>23</v>
      </c>
      <c r="E947" s="1" t="s">
        <v>2409</v>
      </c>
      <c r="F947" s="2" t="n">
        <v>554198534399</v>
      </c>
      <c r="G947" s="1" t="s">
        <v>2410</v>
      </c>
      <c r="H947" s="1" t="s">
        <v>94</v>
      </c>
      <c r="I947" s="1" t="s">
        <v>34</v>
      </c>
      <c r="N947" s="1" t="s">
        <v>965</v>
      </c>
      <c r="O947" s="1" t="s">
        <v>2159</v>
      </c>
      <c r="P947" s="1" t="s">
        <v>2089</v>
      </c>
    </row>
    <row r="948" customFormat="false" ht="16.4" hidden="false" customHeight="false" outlineLevel="0" collapsed="false">
      <c r="A948" s="1" t="s">
        <v>2411</v>
      </c>
      <c r="B948" s="1" t="s">
        <v>2412</v>
      </c>
      <c r="C948" s="2" t="n">
        <v>240</v>
      </c>
      <c r="D948" s="1" t="s">
        <v>30</v>
      </c>
      <c r="E948" s="1" t="s">
        <v>2413</v>
      </c>
      <c r="F948" s="2" t="n">
        <v>555481420122</v>
      </c>
      <c r="G948" s="11" t="s">
        <v>2414</v>
      </c>
      <c r="H948" s="1" t="s">
        <v>94</v>
      </c>
      <c r="I948" s="1" t="s">
        <v>54</v>
      </c>
      <c r="N948" s="1" t="s">
        <v>1022</v>
      </c>
      <c r="O948" s="1" t="s">
        <v>2120</v>
      </c>
      <c r="P948" s="1" t="s">
        <v>2397</v>
      </c>
    </row>
    <row r="949" customFormat="false" ht="14.25" hidden="false" customHeight="false" outlineLevel="0" collapsed="false">
      <c r="A949" s="1" t="s">
        <v>2415</v>
      </c>
      <c r="B949" s="1" t="s">
        <v>2416</v>
      </c>
      <c r="C949" s="2" t="n">
        <v>147</v>
      </c>
      <c r="D949" s="1" t="s">
        <v>390</v>
      </c>
      <c r="E949" s="1" t="s">
        <v>2417</v>
      </c>
      <c r="F949" s="2" t="n">
        <v>554191036564</v>
      </c>
      <c r="G949" s="9" t="s">
        <v>2418</v>
      </c>
      <c r="H949" s="1" t="s">
        <v>94</v>
      </c>
      <c r="I949" s="1" t="s">
        <v>355</v>
      </c>
      <c r="N949" s="1" t="s">
        <v>965</v>
      </c>
      <c r="O949" s="1" t="s">
        <v>2088</v>
      </c>
      <c r="P949" s="1" t="s">
        <v>2089</v>
      </c>
    </row>
    <row r="950" customFormat="false" ht="14.25" hidden="false" customHeight="false" outlineLevel="0" collapsed="false">
      <c r="A950" s="1" t="s">
        <v>2419</v>
      </c>
      <c r="B950" s="1" t="s">
        <v>2420</v>
      </c>
      <c r="C950" s="2" t="n">
        <v>600</v>
      </c>
      <c r="D950" s="1" t="s">
        <v>106</v>
      </c>
      <c r="E950" s="1" t="s">
        <v>2421</v>
      </c>
      <c r="F950" s="2" t="n">
        <v>556281570618</v>
      </c>
      <c r="G950" s="9" t="s">
        <v>43</v>
      </c>
      <c r="H950" s="1" t="s">
        <v>94</v>
      </c>
      <c r="I950" s="1" t="s">
        <v>34</v>
      </c>
      <c r="N950" s="1" t="s">
        <v>965</v>
      </c>
      <c r="O950" s="1" t="s">
        <v>2280</v>
      </c>
      <c r="P950" s="1" t="s">
        <v>2281</v>
      </c>
    </row>
    <row r="951" customFormat="false" ht="14.25" hidden="false" customHeight="false" outlineLevel="0" collapsed="false">
      <c r="A951" s="1" t="s">
        <v>2419</v>
      </c>
      <c r="B951" s="1" t="s">
        <v>2169</v>
      </c>
      <c r="C951" s="2" t="n">
        <v>200</v>
      </c>
      <c r="D951" s="1" t="s">
        <v>27</v>
      </c>
      <c r="E951" s="1" t="s">
        <v>2169</v>
      </c>
      <c r="F951" s="2" t="n">
        <v>555496404223</v>
      </c>
      <c r="G951" s="9" t="s">
        <v>180</v>
      </c>
      <c r="H951" s="1" t="s">
        <v>94</v>
      </c>
      <c r="I951" s="1" t="s">
        <v>54</v>
      </c>
      <c r="N951" s="1" t="s">
        <v>1022</v>
      </c>
      <c r="O951" s="1" t="s">
        <v>2120</v>
      </c>
      <c r="P951" s="1" t="s">
        <v>2121</v>
      </c>
    </row>
    <row r="952" customFormat="false" ht="16.4" hidden="false" customHeight="false" outlineLevel="0" collapsed="false">
      <c r="A952" s="1" t="s">
        <v>2419</v>
      </c>
      <c r="B952" s="1" t="s">
        <v>2422</v>
      </c>
      <c r="C952" s="2" t="n">
        <v>250</v>
      </c>
      <c r="D952" s="1" t="s">
        <v>106</v>
      </c>
      <c r="E952" s="1" t="s">
        <v>2422</v>
      </c>
      <c r="F952" s="2" t="n">
        <v>554196277713</v>
      </c>
      <c r="G952" s="11" t="s">
        <v>2423</v>
      </c>
      <c r="H952" s="1" t="s">
        <v>94</v>
      </c>
      <c r="I952" s="1" t="s">
        <v>54</v>
      </c>
      <c r="N952" s="1" t="s">
        <v>1022</v>
      </c>
      <c r="O952" s="1" t="s">
        <v>2107</v>
      </c>
      <c r="P952" s="1" t="s">
        <v>862</v>
      </c>
    </row>
    <row r="953" customFormat="false" ht="14.25" hidden="false" customHeight="false" outlineLevel="0" collapsed="false">
      <c r="A953" s="1" t="s">
        <v>2424</v>
      </c>
      <c r="B953" s="1" t="s">
        <v>2425</v>
      </c>
      <c r="C953" s="2" t="n">
        <v>150</v>
      </c>
      <c r="D953" s="1" t="s">
        <v>32</v>
      </c>
      <c r="E953" s="1" t="s">
        <v>2426</v>
      </c>
      <c r="F953" s="2" t="n">
        <v>559584038633</v>
      </c>
      <c r="G953" s="12" t="s">
        <v>43</v>
      </c>
      <c r="H953" s="1" t="s">
        <v>94</v>
      </c>
      <c r="I953" s="1" t="s">
        <v>34</v>
      </c>
      <c r="N953" s="1" t="s">
        <v>965</v>
      </c>
      <c r="O953" s="1" t="s">
        <v>2427</v>
      </c>
      <c r="P953" s="1" t="s">
        <v>2428</v>
      </c>
      <c r="Q953" s="1" t="n">
        <v>-1</v>
      </c>
    </row>
    <row r="954" customFormat="false" ht="14.25" hidden="false" customHeight="false" outlineLevel="0" collapsed="false">
      <c r="A954" s="1" t="s">
        <v>2429</v>
      </c>
      <c r="B954" s="1" t="s">
        <v>2430</v>
      </c>
      <c r="C954" s="2" t="n">
        <v>150</v>
      </c>
      <c r="D954" s="1" t="s">
        <v>18</v>
      </c>
      <c r="E954" s="1" t="s">
        <v>2430</v>
      </c>
      <c r="F954" s="2" t="n">
        <v>554599849949</v>
      </c>
      <c r="G954" s="12" t="s">
        <v>2431</v>
      </c>
      <c r="H954" s="1" t="s">
        <v>94</v>
      </c>
      <c r="I954" s="1" t="s">
        <v>355</v>
      </c>
      <c r="J954" s="1" t="s">
        <v>35</v>
      </c>
      <c r="K954" s="1" t="s">
        <v>69</v>
      </c>
      <c r="L954" s="1" t="s">
        <v>70</v>
      </c>
      <c r="M954" s="1" t="s">
        <v>38</v>
      </c>
      <c r="N954" s="1" t="s">
        <v>965</v>
      </c>
      <c r="O954" s="1" t="s">
        <v>2432</v>
      </c>
      <c r="P954" s="1" t="s">
        <v>2089</v>
      </c>
      <c r="Q954" s="1" t="n">
        <v>11194032273</v>
      </c>
    </row>
    <row r="955" customFormat="false" ht="14.25" hidden="false" customHeight="false" outlineLevel="0" collapsed="false">
      <c r="A955" s="1" t="s">
        <v>2433</v>
      </c>
      <c r="B955" s="1" t="s">
        <v>296</v>
      </c>
      <c r="C955" s="2" t="n">
        <v>147</v>
      </c>
      <c r="D955" s="1" t="s">
        <v>21</v>
      </c>
      <c r="E955" s="1" t="s">
        <v>296</v>
      </c>
      <c r="F955" s="2" t="n">
        <v>559584273585</v>
      </c>
      <c r="G955" s="12" t="s">
        <v>297</v>
      </c>
      <c r="H955" s="1" t="s">
        <v>94</v>
      </c>
      <c r="I955" s="1" t="s">
        <v>54</v>
      </c>
      <c r="N955" s="1" t="s">
        <v>1022</v>
      </c>
      <c r="O955" s="1" t="s">
        <v>2280</v>
      </c>
      <c r="P955" s="1" t="s">
        <v>2281</v>
      </c>
      <c r="Q955" s="1" t="n">
        <v>-1</v>
      </c>
    </row>
    <row r="956" customFormat="false" ht="14.25" hidden="false" customHeight="false" outlineLevel="0" collapsed="false">
      <c r="A956" s="1" t="s">
        <v>2434</v>
      </c>
      <c r="B956" s="1" t="s">
        <v>2435</v>
      </c>
      <c r="C956" s="2" t="n">
        <v>120</v>
      </c>
      <c r="D956" s="1" t="s">
        <v>30</v>
      </c>
      <c r="E956" s="1" t="s">
        <v>2436</v>
      </c>
      <c r="F956" s="2" t="n">
        <v>559392429984</v>
      </c>
      <c r="G956" s="12" t="s">
        <v>43</v>
      </c>
      <c r="H956" s="1" t="s">
        <v>94</v>
      </c>
      <c r="I956" s="1" t="s">
        <v>50</v>
      </c>
      <c r="N956" s="1" t="s">
        <v>965</v>
      </c>
      <c r="O956" s="1" t="s">
        <v>2107</v>
      </c>
      <c r="P956" s="1" t="s">
        <v>2350</v>
      </c>
      <c r="Q956" s="1" t="n">
        <v>-1</v>
      </c>
    </row>
    <row r="957" customFormat="false" ht="16.4" hidden="false" customHeight="false" outlineLevel="0" collapsed="false">
      <c r="A957" s="1" t="s">
        <v>2437</v>
      </c>
      <c r="B957" s="1" t="s">
        <v>2438</v>
      </c>
      <c r="C957" s="2" t="n">
        <v>194</v>
      </c>
      <c r="D957" s="1" t="s">
        <v>20</v>
      </c>
      <c r="E957" s="1" t="s">
        <v>2438</v>
      </c>
      <c r="F957" s="2" t="n">
        <v>5511950684877</v>
      </c>
      <c r="G957" s="11" t="s">
        <v>2439</v>
      </c>
      <c r="H957" s="1" t="s">
        <v>94</v>
      </c>
      <c r="I957" s="1" t="s">
        <v>50</v>
      </c>
      <c r="J957" s="1" t="s">
        <v>35</v>
      </c>
      <c r="K957" s="1" t="s">
        <v>69</v>
      </c>
      <c r="L957" s="1" t="s">
        <v>70</v>
      </c>
      <c r="M957" s="1" t="s">
        <v>38</v>
      </c>
      <c r="N957" s="1" t="s">
        <v>965</v>
      </c>
      <c r="O957" s="1" t="s">
        <v>2107</v>
      </c>
      <c r="P957" s="1" t="s">
        <v>2135</v>
      </c>
      <c r="Q957" s="1" t="n">
        <v>-1</v>
      </c>
    </row>
    <row r="958" customFormat="false" ht="14.25" hidden="false" customHeight="false" outlineLevel="0" collapsed="false">
      <c r="A958" s="1" t="s">
        <v>2440</v>
      </c>
      <c r="B958" s="1" t="s">
        <v>2441</v>
      </c>
      <c r="C958" s="2" t="n">
        <v>300</v>
      </c>
      <c r="D958" s="1" t="s">
        <v>24</v>
      </c>
      <c r="E958" s="1" t="s">
        <v>806</v>
      </c>
      <c r="F958" s="2" t="n">
        <v>559584033004</v>
      </c>
      <c r="G958" s="12" t="s">
        <v>43</v>
      </c>
      <c r="H958" s="1" t="s">
        <v>94</v>
      </c>
      <c r="I958" s="1" t="s">
        <v>54</v>
      </c>
      <c r="N958" s="1" t="s">
        <v>1022</v>
      </c>
      <c r="O958" s="1" t="s">
        <v>2107</v>
      </c>
      <c r="P958" s="1" t="s">
        <v>862</v>
      </c>
      <c r="Q958" s="1" t="n">
        <v>-1</v>
      </c>
    </row>
    <row r="959" customFormat="false" ht="14.25" hidden="false" customHeight="false" outlineLevel="0" collapsed="false">
      <c r="A959" s="1" t="s">
        <v>2442</v>
      </c>
      <c r="B959" s="1" t="s">
        <v>1042</v>
      </c>
      <c r="C959" s="2" t="n">
        <v>150</v>
      </c>
      <c r="D959" s="1" t="s">
        <v>29</v>
      </c>
      <c r="E959" s="1" t="s">
        <v>1042</v>
      </c>
      <c r="F959" s="2" t="n">
        <v>556593630827</v>
      </c>
      <c r="G959" s="12" t="s">
        <v>1043</v>
      </c>
      <c r="H959" s="1" t="s">
        <v>94</v>
      </c>
      <c r="I959" s="1" t="s">
        <v>54</v>
      </c>
      <c r="N959" s="1" t="s">
        <v>965</v>
      </c>
      <c r="O959" s="1" t="s">
        <v>2443</v>
      </c>
      <c r="P959" s="1" t="s">
        <v>2281</v>
      </c>
      <c r="Q959" s="1" t="n">
        <v>-1</v>
      </c>
    </row>
    <row r="960" customFormat="false" ht="14.25" hidden="false" customHeight="false" outlineLevel="0" collapsed="false">
      <c r="A960" s="1" t="s">
        <v>2444</v>
      </c>
      <c r="B960" s="1" t="s">
        <v>2445</v>
      </c>
      <c r="C960" s="2" t="n">
        <v>120</v>
      </c>
      <c r="D960" s="1" t="s">
        <v>20</v>
      </c>
      <c r="E960" s="1" t="s">
        <v>2445</v>
      </c>
      <c r="F960" s="2" t="n">
        <v>559584275470</v>
      </c>
      <c r="G960" s="12" t="s">
        <v>2446</v>
      </c>
      <c r="H960" s="1" t="s">
        <v>94</v>
      </c>
      <c r="I960" s="1" t="s">
        <v>34</v>
      </c>
      <c r="J960" s="1" t="s">
        <v>1176</v>
      </c>
      <c r="K960" s="1" t="s">
        <v>1897</v>
      </c>
      <c r="L960" s="1" t="s">
        <v>2447</v>
      </c>
      <c r="M960" s="1" t="s">
        <v>1179</v>
      </c>
      <c r="N960" s="1" t="s">
        <v>965</v>
      </c>
      <c r="O960" s="1" t="s">
        <v>2280</v>
      </c>
      <c r="P960" s="1" t="s">
        <v>2281</v>
      </c>
      <c r="Q960" s="1" t="n">
        <v>0</v>
      </c>
    </row>
    <row r="961" customFormat="false" ht="14.25" hidden="false" customHeight="false" outlineLevel="0" collapsed="false">
      <c r="A961" s="1" t="s">
        <v>2448</v>
      </c>
      <c r="B961" s="1" t="s">
        <v>1706</v>
      </c>
      <c r="C961" s="2" t="n">
        <v>148</v>
      </c>
      <c r="D961" s="1" t="s">
        <v>18</v>
      </c>
      <c r="E961" s="1" t="s">
        <v>2449</v>
      </c>
      <c r="F961" s="2" t="n">
        <v>556291104005</v>
      </c>
      <c r="G961" s="12" t="s">
        <v>1708</v>
      </c>
      <c r="H961" s="1" t="s">
        <v>94</v>
      </c>
      <c r="I961" s="1" t="s">
        <v>54</v>
      </c>
      <c r="N961" s="1" t="s">
        <v>1022</v>
      </c>
      <c r="O961" s="1" t="s">
        <v>2107</v>
      </c>
      <c r="P961" s="1" t="s">
        <v>862</v>
      </c>
      <c r="Q961" s="1" t="n">
        <v>0</v>
      </c>
    </row>
    <row r="962" customFormat="false" ht="14.25" hidden="false" customHeight="false" outlineLevel="0" collapsed="false">
      <c r="A962" s="1" t="s">
        <v>2450</v>
      </c>
      <c r="B962" s="1" t="s">
        <v>2451</v>
      </c>
      <c r="C962" s="2" t="n">
        <v>600</v>
      </c>
      <c r="D962" s="1" t="s">
        <v>27</v>
      </c>
      <c r="E962" s="1" t="s">
        <v>2452</v>
      </c>
      <c r="F962" s="2" t="n">
        <v>554184901771</v>
      </c>
      <c r="G962" s="12" t="s">
        <v>519</v>
      </c>
      <c r="H962" s="1" t="s">
        <v>94</v>
      </c>
      <c r="I962" s="1" t="s">
        <v>34</v>
      </c>
      <c r="N962" s="1" t="s">
        <v>965</v>
      </c>
      <c r="O962" s="1" t="s">
        <v>2159</v>
      </c>
      <c r="P962" s="1" t="s">
        <v>2089</v>
      </c>
      <c r="Q962" s="1" t="n">
        <v>0</v>
      </c>
    </row>
    <row r="963" customFormat="false" ht="14.25" hidden="false" customHeight="false" outlineLevel="0" collapsed="false">
      <c r="A963" s="1" t="s">
        <v>2453</v>
      </c>
      <c r="B963" s="1" t="s">
        <v>2454</v>
      </c>
      <c r="C963" s="2" t="n">
        <v>360</v>
      </c>
      <c r="D963" s="1" t="s">
        <v>22</v>
      </c>
      <c r="E963" s="1" t="s">
        <v>2454</v>
      </c>
      <c r="F963" s="2" t="n">
        <v>555491661267</v>
      </c>
      <c r="G963" s="12" t="s">
        <v>512</v>
      </c>
      <c r="H963" s="1" t="s">
        <v>94</v>
      </c>
      <c r="I963" s="1" t="s">
        <v>54</v>
      </c>
      <c r="N963" s="1" t="s">
        <v>1022</v>
      </c>
      <c r="O963" s="1" t="s">
        <v>2126</v>
      </c>
      <c r="P963" s="1" t="s">
        <v>2121</v>
      </c>
      <c r="Q963" s="1" t="n">
        <v>-1</v>
      </c>
    </row>
    <row r="964" customFormat="false" ht="14.25" hidden="false" customHeight="false" outlineLevel="0" collapsed="false">
      <c r="A964" s="1" t="s">
        <v>2455</v>
      </c>
      <c r="B964" s="1" t="s">
        <v>2456</v>
      </c>
      <c r="C964" s="2" t="n">
        <v>294</v>
      </c>
      <c r="D964" s="1" t="s">
        <v>390</v>
      </c>
      <c r="E964" s="1" t="s">
        <v>2456</v>
      </c>
      <c r="F964" s="2" t="n">
        <v>555496483450</v>
      </c>
      <c r="G964" s="12" t="s">
        <v>2457</v>
      </c>
      <c r="H964" s="1" t="s">
        <v>94</v>
      </c>
      <c r="I964" s="1" t="s">
        <v>54</v>
      </c>
      <c r="N964" s="1" t="s">
        <v>1022</v>
      </c>
      <c r="O964" s="1" t="s">
        <v>2120</v>
      </c>
      <c r="P964" s="1" t="s">
        <v>2121</v>
      </c>
      <c r="Q964" s="1" t="n">
        <v>-1</v>
      </c>
    </row>
    <row r="965" customFormat="false" ht="14.25" hidden="false" customHeight="false" outlineLevel="0" collapsed="false">
      <c r="A965" s="1" t="s">
        <v>2458</v>
      </c>
      <c r="B965" s="1" t="s">
        <v>2459</v>
      </c>
      <c r="C965" s="2" t="n">
        <v>150</v>
      </c>
      <c r="D965" s="1" t="s">
        <v>32</v>
      </c>
      <c r="E965" s="1" t="s">
        <v>2459</v>
      </c>
      <c r="F965" s="2" t="n">
        <v>556992398228</v>
      </c>
      <c r="G965" s="12" t="s">
        <v>2460</v>
      </c>
      <c r="H965" s="1" t="s">
        <v>94</v>
      </c>
      <c r="I965" s="1" t="s">
        <v>54</v>
      </c>
      <c r="N965" s="1" t="s">
        <v>965</v>
      </c>
      <c r="O965" s="1" t="s">
        <v>2107</v>
      </c>
      <c r="P965" s="1" t="s">
        <v>862</v>
      </c>
      <c r="Q965" s="1" t="n">
        <v>-1</v>
      </c>
    </row>
    <row r="966" customFormat="false" ht="14.25" hidden="false" customHeight="false" outlineLevel="0" collapsed="false">
      <c r="A966" s="1" t="s">
        <v>2461</v>
      </c>
      <c r="B966" s="1" t="s">
        <v>2462</v>
      </c>
      <c r="C966" s="2" t="n">
        <v>150</v>
      </c>
      <c r="D966" s="1" t="s">
        <v>29</v>
      </c>
      <c r="E966" s="1" t="s">
        <v>2462</v>
      </c>
      <c r="F966" s="2" t="n">
        <v>556599813011</v>
      </c>
      <c r="G966" s="12" t="s">
        <v>2463</v>
      </c>
      <c r="H966" s="1" t="s">
        <v>94</v>
      </c>
      <c r="I966" s="1" t="s">
        <v>355</v>
      </c>
      <c r="J966" s="1" t="s">
        <v>1176</v>
      </c>
      <c r="K966" s="1" t="s">
        <v>1955</v>
      </c>
      <c r="L966" s="1" t="s">
        <v>1956</v>
      </c>
      <c r="M966" s="1" t="s">
        <v>1179</v>
      </c>
      <c r="N966" s="1" t="s">
        <v>965</v>
      </c>
      <c r="O966" s="1" t="s">
        <v>2107</v>
      </c>
      <c r="P966" s="1" t="s">
        <v>2320</v>
      </c>
      <c r="Q966" s="1" t="n">
        <v>12610735170</v>
      </c>
    </row>
    <row r="967" customFormat="false" ht="14.25" hidden="false" customHeight="false" outlineLevel="0" collapsed="false">
      <c r="A967" s="1" t="s">
        <v>2464</v>
      </c>
      <c r="B967" s="1" t="s">
        <v>2465</v>
      </c>
      <c r="C967" s="2" t="n">
        <v>240</v>
      </c>
      <c r="D967" s="1" t="s">
        <v>30</v>
      </c>
      <c r="E967" s="1" t="s">
        <v>2466</v>
      </c>
      <c r="F967" s="2" t="n">
        <v>555494900026</v>
      </c>
      <c r="G967" s="12" t="s">
        <v>2467</v>
      </c>
      <c r="H967" s="1" t="s">
        <v>94</v>
      </c>
      <c r="I967" s="1" t="s">
        <v>355</v>
      </c>
      <c r="N967" s="1" t="s">
        <v>965</v>
      </c>
      <c r="O967" s="1" t="s">
        <v>2120</v>
      </c>
      <c r="P967" s="1" t="s">
        <v>2121</v>
      </c>
      <c r="Q967" s="1" t="n">
        <v>7245296081</v>
      </c>
    </row>
    <row r="968" customFormat="false" ht="14.25" hidden="false" customHeight="false" outlineLevel="0" collapsed="false">
      <c r="A968" s="1" t="s">
        <v>2468</v>
      </c>
      <c r="B968" s="1" t="s">
        <v>2469</v>
      </c>
      <c r="C968" s="2" t="n">
        <v>97</v>
      </c>
      <c r="D968" s="1" t="s">
        <v>20</v>
      </c>
      <c r="E968" s="1" t="s">
        <v>2469</v>
      </c>
      <c r="F968" s="2" t="n">
        <v>555491253833</v>
      </c>
      <c r="G968" s="12" t="s">
        <v>2470</v>
      </c>
      <c r="H968" s="1" t="s">
        <v>94</v>
      </c>
      <c r="I968" s="1" t="s">
        <v>34</v>
      </c>
      <c r="J968" s="1" t="s">
        <v>97</v>
      </c>
      <c r="K968" s="1" t="s">
        <v>20</v>
      </c>
      <c r="L968" s="1" t="s">
        <v>469</v>
      </c>
      <c r="M968" s="1" t="s">
        <v>99</v>
      </c>
      <c r="N968" s="1" t="s">
        <v>965</v>
      </c>
      <c r="O968" s="1" t="s">
        <v>2107</v>
      </c>
      <c r="P968" s="1" t="s">
        <v>2121</v>
      </c>
      <c r="Q968" s="1" t="n">
        <v>12490090143</v>
      </c>
    </row>
    <row r="969" customFormat="false" ht="14.25" hidden="false" customHeight="false" outlineLevel="0" collapsed="false">
      <c r="A969" s="1" t="s">
        <v>2471</v>
      </c>
      <c r="B969" s="1" t="s">
        <v>2472</v>
      </c>
      <c r="C969" s="2" t="n">
        <v>300</v>
      </c>
      <c r="D969" s="1" t="s">
        <v>29</v>
      </c>
      <c r="E969" s="1" t="s">
        <v>2473</v>
      </c>
      <c r="F969" s="2" t="n">
        <v>559584187020</v>
      </c>
      <c r="G969" s="12" t="s">
        <v>519</v>
      </c>
      <c r="H969" s="1" t="s">
        <v>94</v>
      </c>
      <c r="I969" s="1" t="s">
        <v>34</v>
      </c>
      <c r="J969" s="1" t="s">
        <v>35</v>
      </c>
      <c r="K969" s="1" t="s">
        <v>69</v>
      </c>
      <c r="L969" s="1" t="s">
        <v>70</v>
      </c>
      <c r="M969" s="1" t="s">
        <v>38</v>
      </c>
      <c r="N969" s="1" t="s">
        <v>965</v>
      </c>
      <c r="O969" s="1" t="s">
        <v>2107</v>
      </c>
      <c r="P969" s="1" t="s">
        <v>862</v>
      </c>
      <c r="Q969" s="1" t="n">
        <v>0</v>
      </c>
    </row>
    <row r="970" customFormat="false" ht="14.25" hidden="false" customHeight="false" outlineLevel="0" collapsed="false">
      <c r="A970" s="1" t="s">
        <v>2474</v>
      </c>
      <c r="B970" s="1" t="s">
        <v>2475</v>
      </c>
      <c r="C970" s="2" t="n">
        <v>150</v>
      </c>
      <c r="D970" s="1" t="s">
        <v>24</v>
      </c>
      <c r="E970" s="1" t="s">
        <v>2475</v>
      </c>
      <c r="F970" s="2" t="n">
        <v>556195290537</v>
      </c>
      <c r="G970" s="12" t="s">
        <v>43</v>
      </c>
      <c r="H970" s="1" t="s">
        <v>94</v>
      </c>
      <c r="I970" s="1" t="s">
        <v>50</v>
      </c>
      <c r="J970" s="1" t="s">
        <v>35</v>
      </c>
      <c r="K970" s="1" t="s">
        <v>36</v>
      </c>
      <c r="L970" s="1" t="s">
        <v>37</v>
      </c>
      <c r="M970" s="1" t="s">
        <v>38</v>
      </c>
      <c r="N970" s="1" t="s">
        <v>965</v>
      </c>
      <c r="O970" s="1" t="s">
        <v>2107</v>
      </c>
      <c r="P970" s="1" t="s">
        <v>862</v>
      </c>
      <c r="Q970" s="1" t="n">
        <v>-1</v>
      </c>
    </row>
    <row r="971" customFormat="false" ht="14.25" hidden="false" customHeight="false" outlineLevel="0" collapsed="false">
      <c r="A971" s="1" t="s">
        <v>2476</v>
      </c>
      <c r="B971" s="1" t="s">
        <v>2477</v>
      </c>
      <c r="C971" s="2" t="n">
        <v>300</v>
      </c>
      <c r="D971" s="1" t="s">
        <v>30</v>
      </c>
      <c r="E971" s="1" t="s">
        <v>2477</v>
      </c>
      <c r="F971" s="2" t="n">
        <v>559584187791</v>
      </c>
      <c r="G971" s="12" t="s">
        <v>2478</v>
      </c>
      <c r="H971" s="1" t="s">
        <v>94</v>
      </c>
      <c r="I971" s="1" t="s">
        <v>355</v>
      </c>
      <c r="J971" s="1" t="s">
        <v>1176</v>
      </c>
      <c r="K971" s="1" t="s">
        <v>1897</v>
      </c>
      <c r="L971" s="1" t="s">
        <v>2447</v>
      </c>
      <c r="M971" s="1" t="s">
        <v>1179</v>
      </c>
      <c r="N971" s="1" t="s">
        <v>965</v>
      </c>
      <c r="O971" s="1" t="s">
        <v>2120</v>
      </c>
      <c r="P971" s="1" t="s">
        <v>862</v>
      </c>
      <c r="Q971" s="1" t="n">
        <v>11611357233</v>
      </c>
    </row>
    <row r="972" customFormat="false" ht="14.25" hidden="false" customHeight="false" outlineLevel="0" collapsed="false">
      <c r="A972" s="1" t="s">
        <v>2479</v>
      </c>
      <c r="B972" s="1" t="s">
        <v>2480</v>
      </c>
      <c r="C972" s="2" t="n">
        <v>147</v>
      </c>
      <c r="D972" s="1" t="s">
        <v>390</v>
      </c>
      <c r="E972" s="1" t="s">
        <v>2480</v>
      </c>
      <c r="F972" s="2" t="n">
        <v>554195365537</v>
      </c>
      <c r="G972" s="12" t="s">
        <v>519</v>
      </c>
      <c r="H972" s="1" t="s">
        <v>94</v>
      </c>
      <c r="I972" s="1" t="s">
        <v>34</v>
      </c>
      <c r="N972" s="1" t="s">
        <v>965</v>
      </c>
      <c r="O972" s="1" t="s">
        <v>2159</v>
      </c>
      <c r="P972" s="1" t="s">
        <v>2089</v>
      </c>
      <c r="Q972" s="1" t="n">
        <v>0</v>
      </c>
    </row>
    <row r="973" customFormat="false" ht="14.25" hidden="false" customHeight="false" outlineLevel="0" collapsed="false">
      <c r="A973" s="1" t="s">
        <v>2481</v>
      </c>
      <c r="B973" s="1" t="s">
        <v>2482</v>
      </c>
      <c r="C973" s="2" t="n">
        <v>90</v>
      </c>
      <c r="D973" s="1" t="s">
        <v>16</v>
      </c>
      <c r="E973" s="1" t="s">
        <v>1745</v>
      </c>
      <c r="F973" s="2" t="n">
        <v>553173657197</v>
      </c>
      <c r="G973" s="12" t="s">
        <v>1746</v>
      </c>
      <c r="H973" s="1" t="s">
        <v>94</v>
      </c>
      <c r="I973" s="1" t="s">
        <v>54</v>
      </c>
      <c r="N973" s="1" t="s">
        <v>1022</v>
      </c>
      <c r="O973" s="1" t="s">
        <v>2107</v>
      </c>
      <c r="P973" s="1" t="s">
        <v>862</v>
      </c>
      <c r="Q973" s="1" t="n">
        <v>0</v>
      </c>
    </row>
    <row r="974" customFormat="false" ht="14.25" hidden="false" customHeight="false" outlineLevel="0" collapsed="false">
      <c r="A974" s="1" t="s">
        <v>2483</v>
      </c>
      <c r="B974" s="1" t="s">
        <v>2484</v>
      </c>
      <c r="C974" s="2" t="n">
        <v>120</v>
      </c>
      <c r="D974" s="1" t="s">
        <v>20</v>
      </c>
      <c r="E974" s="1" t="s">
        <v>2485</v>
      </c>
      <c r="F974" s="2" t="n">
        <v>5511968730004</v>
      </c>
      <c r="G974" s="12" t="s">
        <v>2486</v>
      </c>
      <c r="H974" s="1" t="s">
        <v>94</v>
      </c>
      <c r="I974" s="1" t="s">
        <v>34</v>
      </c>
      <c r="N974" s="1" t="s">
        <v>965</v>
      </c>
      <c r="O974" s="1" t="s">
        <v>2487</v>
      </c>
      <c r="P974" s="1" t="s">
        <v>2135</v>
      </c>
      <c r="Q974" s="1" t="n">
        <v>0</v>
      </c>
    </row>
    <row r="975" customFormat="false" ht="14.25" hidden="false" customHeight="false" outlineLevel="0" collapsed="false">
      <c r="A975" s="1" t="s">
        <v>2488</v>
      </c>
      <c r="B975" s="1" t="s">
        <v>2484</v>
      </c>
      <c r="C975" s="2" t="n">
        <v>120</v>
      </c>
      <c r="D975" s="1" t="s">
        <v>30</v>
      </c>
      <c r="E975" s="1" t="s">
        <v>2485</v>
      </c>
      <c r="F975" s="2" t="n">
        <v>5511968730004</v>
      </c>
      <c r="G975" s="12" t="s">
        <v>2486</v>
      </c>
      <c r="H975" s="1" t="s">
        <v>94</v>
      </c>
      <c r="I975" s="1" t="s">
        <v>34</v>
      </c>
      <c r="N975" s="1" t="s">
        <v>965</v>
      </c>
      <c r="O975" s="1" t="s">
        <v>2487</v>
      </c>
      <c r="P975" s="1" t="s">
        <v>2135</v>
      </c>
      <c r="Q975" s="1" t="n">
        <v>0</v>
      </c>
    </row>
    <row r="976" customFormat="false" ht="14.25" hidden="false" customHeight="false" outlineLevel="0" collapsed="false">
      <c r="A976" s="1" t="s">
        <v>2489</v>
      </c>
      <c r="B976" s="1" t="s">
        <v>1165</v>
      </c>
      <c r="C976" s="2" t="n">
        <v>150</v>
      </c>
      <c r="D976" s="1" t="s">
        <v>32</v>
      </c>
      <c r="E976" s="1" t="s">
        <v>2490</v>
      </c>
      <c r="F976" s="2" t="n">
        <v>559591481352</v>
      </c>
      <c r="G976" s="12" t="s">
        <v>2491</v>
      </c>
      <c r="H976" s="1" t="s">
        <v>94</v>
      </c>
      <c r="I976" s="1" t="s">
        <v>54</v>
      </c>
      <c r="N976" s="1" t="s">
        <v>1022</v>
      </c>
      <c r="O976" s="1" t="s">
        <v>2135</v>
      </c>
      <c r="P976" s="1" t="s">
        <v>2135</v>
      </c>
      <c r="Q976" s="1" t="n">
        <v>-1</v>
      </c>
    </row>
    <row r="977" customFormat="false" ht="14.25" hidden="false" customHeight="false" outlineLevel="0" collapsed="false">
      <c r="A977" s="1" t="s">
        <v>2492</v>
      </c>
      <c r="B977" s="1" t="s">
        <v>2493</v>
      </c>
      <c r="C977" s="2" t="n">
        <v>150</v>
      </c>
      <c r="D977" s="1" t="s">
        <v>1021</v>
      </c>
      <c r="E977" s="1" t="s">
        <v>2494</v>
      </c>
      <c r="F977" s="2" t="n">
        <v>554198706895</v>
      </c>
      <c r="G977" s="12" t="s">
        <v>2495</v>
      </c>
      <c r="H977" s="1" t="s">
        <v>94</v>
      </c>
      <c r="I977" s="1" t="s">
        <v>54</v>
      </c>
      <c r="N977" s="1" t="s">
        <v>1022</v>
      </c>
      <c r="O977" s="1" t="s">
        <v>2159</v>
      </c>
      <c r="P977" s="1" t="s">
        <v>2089</v>
      </c>
      <c r="Q977" s="1" t="n">
        <v>-1</v>
      </c>
    </row>
    <row r="978" customFormat="false" ht="14.25" hidden="false" customHeight="false" outlineLevel="0" collapsed="false">
      <c r="A978" s="1" t="s">
        <v>2496</v>
      </c>
      <c r="B978" s="1" t="s">
        <v>2497</v>
      </c>
      <c r="C978" s="2" t="n">
        <v>150</v>
      </c>
      <c r="D978" s="1" t="s">
        <v>32</v>
      </c>
      <c r="E978" s="1" t="s">
        <v>2497</v>
      </c>
      <c r="F978" s="2" t="n">
        <v>554888655936</v>
      </c>
      <c r="G978" s="12" t="s">
        <v>2498</v>
      </c>
      <c r="H978" s="1" t="s">
        <v>94</v>
      </c>
      <c r="I978" s="1" t="s">
        <v>50</v>
      </c>
      <c r="J978" s="1" t="s">
        <v>1176</v>
      </c>
      <c r="K978" s="1" t="s">
        <v>1177</v>
      </c>
      <c r="L978" s="1" t="s">
        <v>1324</v>
      </c>
      <c r="M978" s="1" t="s">
        <v>1243</v>
      </c>
      <c r="N978" s="1" t="s">
        <v>965</v>
      </c>
      <c r="O978" s="1" t="s">
        <v>2128</v>
      </c>
      <c r="P978" s="1" t="s">
        <v>2129</v>
      </c>
      <c r="Q978" s="1" t="n">
        <v>-1</v>
      </c>
    </row>
    <row r="979" customFormat="false" ht="14.25" hidden="false" customHeight="false" outlineLevel="0" collapsed="false">
      <c r="A979" s="1" t="s">
        <v>2499</v>
      </c>
      <c r="B979" s="1" t="s">
        <v>2500</v>
      </c>
      <c r="C979" s="2" t="n">
        <v>194</v>
      </c>
      <c r="D979" s="1" t="s">
        <v>20</v>
      </c>
      <c r="E979" s="1" t="s">
        <v>2500</v>
      </c>
      <c r="F979" s="2" t="n">
        <v>554195674753</v>
      </c>
      <c r="G979" s="9" t="s">
        <v>2501</v>
      </c>
      <c r="H979" s="1" t="s">
        <v>94</v>
      </c>
      <c r="I979" s="1" t="s">
        <v>50</v>
      </c>
      <c r="J979" s="1" t="s">
        <v>35</v>
      </c>
      <c r="K979" s="1" t="s">
        <v>36</v>
      </c>
      <c r="L979" s="1" t="s">
        <v>37</v>
      </c>
      <c r="M979" s="1" t="s">
        <v>38</v>
      </c>
      <c r="N979" s="1" t="s">
        <v>965</v>
      </c>
      <c r="O979" s="1" t="s">
        <v>2088</v>
      </c>
      <c r="P979" s="1" t="s">
        <v>2089</v>
      </c>
      <c r="Q979" s="1" t="n">
        <v>-1</v>
      </c>
    </row>
    <row r="980" customFormat="false" ht="14.25" hidden="false" customHeight="false" outlineLevel="0" collapsed="false">
      <c r="A980" s="1" t="s">
        <v>2502</v>
      </c>
      <c r="B980" s="1" t="s">
        <v>2503</v>
      </c>
      <c r="C980" s="2" t="n">
        <v>147</v>
      </c>
      <c r="D980" s="1" t="s">
        <v>390</v>
      </c>
      <c r="E980" s="1" t="s">
        <v>2503</v>
      </c>
      <c r="F980" s="2" t="n">
        <v>555499426873</v>
      </c>
      <c r="G980" s="9" t="s">
        <v>2504</v>
      </c>
      <c r="H980" s="1" t="s">
        <v>94</v>
      </c>
      <c r="I980" s="1" t="s">
        <v>50</v>
      </c>
      <c r="J980" s="1" t="s">
        <v>1176</v>
      </c>
      <c r="K980" s="1" t="s">
        <v>1897</v>
      </c>
      <c r="L980" s="1" t="s">
        <v>1898</v>
      </c>
      <c r="M980" s="1" t="s">
        <v>1179</v>
      </c>
      <c r="N980" s="1" t="s">
        <v>965</v>
      </c>
      <c r="O980" s="1" t="s">
        <v>2120</v>
      </c>
      <c r="P980" s="1" t="s">
        <v>2121</v>
      </c>
      <c r="Q980" s="1" t="n">
        <v>-1</v>
      </c>
    </row>
    <row r="981" customFormat="false" ht="14.25" hidden="false" customHeight="false" outlineLevel="0" collapsed="false">
      <c r="A981" s="1" t="s">
        <v>2505</v>
      </c>
      <c r="B981" s="1" t="s">
        <v>2506</v>
      </c>
      <c r="C981" s="2" t="n">
        <v>360</v>
      </c>
      <c r="D981" s="1" t="s">
        <v>16</v>
      </c>
      <c r="E981" s="1" t="s">
        <v>2507</v>
      </c>
      <c r="F981" s="2" t="n">
        <v>5978274291</v>
      </c>
      <c r="G981" s="9" t="s">
        <v>2508</v>
      </c>
      <c r="H981" s="1" t="s">
        <v>94</v>
      </c>
      <c r="I981" s="1" t="s">
        <v>34</v>
      </c>
      <c r="N981" s="1" t="s">
        <v>965</v>
      </c>
      <c r="O981" s="1" t="s">
        <v>2159</v>
      </c>
      <c r="P981" s="1" t="s">
        <v>2089</v>
      </c>
      <c r="Q981" s="1" t="n">
        <v>0</v>
      </c>
    </row>
    <row r="982" customFormat="false" ht="14.25" hidden="false" customHeight="false" outlineLevel="0" collapsed="false">
      <c r="A982" s="1" t="s">
        <v>2509</v>
      </c>
      <c r="B982" s="1" t="s">
        <v>2510</v>
      </c>
      <c r="C982" s="2" t="n">
        <v>147</v>
      </c>
      <c r="D982" s="1" t="s">
        <v>390</v>
      </c>
      <c r="E982" s="1" t="s">
        <v>2510</v>
      </c>
      <c r="F982" s="2" t="n">
        <v>556492304444</v>
      </c>
      <c r="G982" s="9" t="s">
        <v>2511</v>
      </c>
      <c r="H982" s="1" t="s">
        <v>94</v>
      </c>
      <c r="I982" s="1" t="s">
        <v>54</v>
      </c>
      <c r="N982" s="1" t="s">
        <v>1022</v>
      </c>
      <c r="O982" s="1" t="s">
        <v>2443</v>
      </c>
      <c r="P982" s="1" t="s">
        <v>2281</v>
      </c>
      <c r="Q982" s="1" t="n">
        <v>-1</v>
      </c>
    </row>
    <row r="983" customFormat="false" ht="14.25" hidden="false" customHeight="false" outlineLevel="0" collapsed="false">
      <c r="A983" s="1" t="s">
        <v>2512</v>
      </c>
      <c r="B983" s="1" t="s">
        <v>1808</v>
      </c>
      <c r="C983" s="2" t="n">
        <v>120</v>
      </c>
      <c r="D983" s="1" t="s">
        <v>30</v>
      </c>
      <c r="E983" s="1" t="s">
        <v>2513</v>
      </c>
      <c r="F983" s="2" t="n">
        <v>554196104209</v>
      </c>
      <c r="G983" s="9" t="s">
        <v>1810</v>
      </c>
      <c r="H983" s="1" t="s">
        <v>94</v>
      </c>
      <c r="I983" s="1" t="s">
        <v>54</v>
      </c>
      <c r="N983" s="1" t="s">
        <v>965</v>
      </c>
      <c r="O983" s="1" t="s">
        <v>2088</v>
      </c>
      <c r="P983" s="1" t="s">
        <v>2089</v>
      </c>
      <c r="Q983" s="1" t="n">
        <v>-1</v>
      </c>
    </row>
    <row r="984" customFormat="false" ht="14.25" hidden="false" customHeight="false" outlineLevel="0" collapsed="false">
      <c r="A984" s="1" t="s">
        <v>2514</v>
      </c>
      <c r="B984" s="1" t="s">
        <v>2515</v>
      </c>
      <c r="C984" s="2" t="n">
        <v>150</v>
      </c>
      <c r="D984" s="1" t="s">
        <v>32</v>
      </c>
      <c r="E984" s="1" t="s">
        <v>2515</v>
      </c>
      <c r="F984" s="2" t="n">
        <v>554599167180</v>
      </c>
      <c r="G984" s="9" t="s">
        <v>1831</v>
      </c>
      <c r="H984" s="1" t="s">
        <v>94</v>
      </c>
      <c r="I984" s="1" t="s">
        <v>54</v>
      </c>
      <c r="N984" s="1" t="s">
        <v>1022</v>
      </c>
      <c r="O984" s="1" t="s">
        <v>2107</v>
      </c>
      <c r="P984" s="1" t="s">
        <v>862</v>
      </c>
      <c r="Q984" s="1" t="n">
        <v>0</v>
      </c>
    </row>
    <row r="985" customFormat="false" ht="14.25" hidden="false" customHeight="false" outlineLevel="0" collapsed="false">
      <c r="A985" s="1" t="s">
        <v>2516</v>
      </c>
      <c r="B985" s="1" t="s">
        <v>2517</v>
      </c>
      <c r="C985" s="2" t="n">
        <v>150</v>
      </c>
      <c r="D985" s="1" t="s">
        <v>1471</v>
      </c>
      <c r="E985" s="1" t="s">
        <v>2517</v>
      </c>
      <c r="F985" s="2" t="n">
        <v>5511951668733</v>
      </c>
      <c r="G985" s="9" t="s">
        <v>2518</v>
      </c>
      <c r="H985" s="1" t="s">
        <v>94</v>
      </c>
      <c r="I985" s="1" t="s">
        <v>34</v>
      </c>
      <c r="N985" s="1" t="s">
        <v>965</v>
      </c>
      <c r="O985" s="1" t="s">
        <v>2107</v>
      </c>
      <c r="P985" s="1" t="s">
        <v>862</v>
      </c>
      <c r="Q985" s="1" t="n">
        <v>0</v>
      </c>
    </row>
    <row r="986" customFormat="false" ht="14.25" hidden="false" customHeight="false" outlineLevel="0" collapsed="false">
      <c r="A986" s="1" t="s">
        <v>2519</v>
      </c>
      <c r="B986" s="1" t="s">
        <v>1042</v>
      </c>
      <c r="C986" s="2" t="n">
        <v>240</v>
      </c>
      <c r="D986" s="1" t="s">
        <v>20</v>
      </c>
      <c r="E986" s="1" t="s">
        <v>1042</v>
      </c>
      <c r="F986" s="2" t="n">
        <v>556593630827</v>
      </c>
      <c r="G986" s="9" t="s">
        <v>1043</v>
      </c>
      <c r="H986" s="1" t="s">
        <v>94</v>
      </c>
      <c r="I986" s="1" t="s">
        <v>54</v>
      </c>
      <c r="N986" s="1" t="s">
        <v>1022</v>
      </c>
      <c r="O986" s="1" t="s">
        <v>2520</v>
      </c>
      <c r="P986" s="1" t="s">
        <v>2320</v>
      </c>
      <c r="Q986" s="1" t="n">
        <v>-1</v>
      </c>
    </row>
    <row r="987" customFormat="false" ht="14.25" hidden="false" customHeight="false" outlineLevel="0" collapsed="false">
      <c r="A987" s="1" t="s">
        <v>2521</v>
      </c>
      <c r="B987" s="1" t="s">
        <v>2522</v>
      </c>
      <c r="C987" s="2" t="n">
        <v>150</v>
      </c>
      <c r="D987" s="1" t="s">
        <v>390</v>
      </c>
      <c r="E987" s="1" t="s">
        <v>2522</v>
      </c>
      <c r="F987" s="2" t="n">
        <v>559684352871</v>
      </c>
      <c r="G987" s="9" t="s">
        <v>2523</v>
      </c>
      <c r="H987" s="1" t="s">
        <v>94</v>
      </c>
      <c r="I987" s="1" t="s">
        <v>54</v>
      </c>
      <c r="N987" s="1" t="s">
        <v>1022</v>
      </c>
      <c r="O987" s="1" t="s">
        <v>2280</v>
      </c>
      <c r="P987" s="1" t="s">
        <v>2281</v>
      </c>
      <c r="Q987" s="1" t="n">
        <v>-1</v>
      </c>
    </row>
    <row r="988" customFormat="false" ht="14.25" hidden="false" customHeight="false" outlineLevel="0" collapsed="false">
      <c r="A988" s="1" t="s">
        <v>2524</v>
      </c>
      <c r="B988" s="1" t="s">
        <v>1306</v>
      </c>
      <c r="C988" s="2" t="n">
        <v>150</v>
      </c>
      <c r="D988" s="1" t="s">
        <v>32</v>
      </c>
      <c r="E988" s="1" t="s">
        <v>1306</v>
      </c>
      <c r="F988" s="2" t="n">
        <v>556599736852</v>
      </c>
      <c r="G988" s="9" t="s">
        <v>2525</v>
      </c>
      <c r="H988" s="1" t="s">
        <v>94</v>
      </c>
      <c r="I988" s="1" t="s">
        <v>54</v>
      </c>
      <c r="N988" s="1" t="s">
        <v>1022</v>
      </c>
      <c r="O988" s="1" t="s">
        <v>2107</v>
      </c>
      <c r="P988" s="1" t="s">
        <v>862</v>
      </c>
      <c r="Q988" s="1" t="n">
        <v>-1</v>
      </c>
    </row>
    <row r="989" customFormat="false" ht="14.25" hidden="false" customHeight="false" outlineLevel="0" collapsed="false">
      <c r="A989" s="1" t="s">
        <v>2526</v>
      </c>
      <c r="B989" s="1" t="s">
        <v>2527</v>
      </c>
      <c r="C989" s="2" t="n">
        <v>147</v>
      </c>
      <c r="D989" s="1" t="s">
        <v>18</v>
      </c>
      <c r="E989" s="1" t="s">
        <v>2527</v>
      </c>
      <c r="F989" s="2" t="n">
        <v>554197435481</v>
      </c>
      <c r="G989" s="9" t="s">
        <v>2528</v>
      </c>
      <c r="H989" s="1" t="s">
        <v>94</v>
      </c>
      <c r="I989" s="1" t="s">
        <v>355</v>
      </c>
      <c r="J989" s="1" t="s">
        <v>35</v>
      </c>
      <c r="K989" s="1" t="s">
        <v>69</v>
      </c>
      <c r="L989" s="1" t="s">
        <v>70</v>
      </c>
      <c r="M989" s="1" t="s">
        <v>38</v>
      </c>
      <c r="N989" s="1" t="s">
        <v>965</v>
      </c>
      <c r="O989" s="1" t="s">
        <v>2159</v>
      </c>
      <c r="P989" s="1" t="s">
        <v>2089</v>
      </c>
      <c r="Q989" s="1" t="n">
        <v>17632984</v>
      </c>
    </row>
    <row r="990" customFormat="false" ht="14.25" hidden="false" customHeight="false" outlineLevel="0" collapsed="false">
      <c r="A990" s="1" t="s">
        <v>2529</v>
      </c>
      <c r="B990" s="1" t="s">
        <v>2530</v>
      </c>
      <c r="C990" s="2" t="n">
        <v>97</v>
      </c>
      <c r="D990" s="1" t="s">
        <v>20</v>
      </c>
      <c r="E990" s="1" t="s">
        <v>2530</v>
      </c>
      <c r="F990" s="2" t="n">
        <v>554185322122</v>
      </c>
      <c r="G990" s="9" t="s">
        <v>2531</v>
      </c>
      <c r="H990" s="1" t="s">
        <v>94</v>
      </c>
      <c r="I990" s="1" t="s">
        <v>355</v>
      </c>
      <c r="N990" s="1" t="s">
        <v>965</v>
      </c>
      <c r="O990" s="1" t="s">
        <v>2107</v>
      </c>
      <c r="P990" s="1" t="s">
        <v>862</v>
      </c>
      <c r="Q990" s="1" t="n">
        <v>7223595272</v>
      </c>
    </row>
    <row r="991" customFormat="false" ht="14.25" hidden="false" customHeight="false" outlineLevel="0" collapsed="false">
      <c r="A991" s="1" t="s">
        <v>2532</v>
      </c>
      <c r="B991" s="1" t="s">
        <v>2533</v>
      </c>
      <c r="C991" s="2" t="n">
        <v>150</v>
      </c>
      <c r="D991" s="1" t="s">
        <v>32</v>
      </c>
      <c r="E991" s="1" t="s">
        <v>2533</v>
      </c>
      <c r="F991" s="2" t="n">
        <v>5596984192145</v>
      </c>
      <c r="G991" s="9" t="s">
        <v>2534</v>
      </c>
      <c r="H991" s="1" t="s">
        <v>94</v>
      </c>
      <c r="I991" s="1" t="s">
        <v>54</v>
      </c>
      <c r="N991" s="1" t="s">
        <v>1022</v>
      </c>
      <c r="O991" s="1" t="s">
        <v>2159</v>
      </c>
      <c r="P991" s="1" t="s">
        <v>2089</v>
      </c>
      <c r="Q991" s="1" t="n">
        <v>-1</v>
      </c>
    </row>
    <row r="992" customFormat="false" ht="14.25" hidden="false" customHeight="false" outlineLevel="0" collapsed="false">
      <c r="A992" s="1" t="s">
        <v>2535</v>
      </c>
      <c r="B992" s="1" t="s">
        <v>2536</v>
      </c>
      <c r="C992" s="2" t="n">
        <v>420</v>
      </c>
      <c r="D992" s="1" t="s">
        <v>30</v>
      </c>
      <c r="E992" s="1" t="s">
        <v>2537</v>
      </c>
      <c r="F992" s="2" t="n">
        <v>554198337434</v>
      </c>
      <c r="G992" s="9" t="s">
        <v>2538</v>
      </c>
      <c r="H992" s="1" t="s">
        <v>94</v>
      </c>
      <c r="I992" s="1" t="s">
        <v>355</v>
      </c>
      <c r="N992" s="1" t="s">
        <v>965</v>
      </c>
      <c r="O992" s="1" t="s">
        <v>2088</v>
      </c>
      <c r="P992" s="1" t="s">
        <v>2089</v>
      </c>
      <c r="Q992" s="1" t="n">
        <v>4862384900</v>
      </c>
    </row>
    <row r="993" customFormat="false" ht="14.25" hidden="false" customHeight="false" outlineLevel="0" collapsed="false">
      <c r="A993" s="1" t="s">
        <v>2539</v>
      </c>
      <c r="B993" s="1" t="s">
        <v>2540</v>
      </c>
      <c r="C993" s="2" t="n">
        <v>97</v>
      </c>
      <c r="D993" s="1" t="s">
        <v>20</v>
      </c>
      <c r="E993" s="1" t="s">
        <v>2541</v>
      </c>
      <c r="F993" s="2" t="n">
        <v>554192511762</v>
      </c>
      <c r="G993" s="9" t="s">
        <v>2542</v>
      </c>
      <c r="H993" s="1" t="s">
        <v>94</v>
      </c>
      <c r="I993" s="1" t="s">
        <v>355</v>
      </c>
      <c r="J993" s="1" t="s">
        <v>35</v>
      </c>
      <c r="K993" s="1" t="s">
        <v>36</v>
      </c>
      <c r="L993" s="1" t="s">
        <v>37</v>
      </c>
      <c r="M993" s="1" t="s">
        <v>38</v>
      </c>
      <c r="N993" s="1" t="s">
        <v>965</v>
      </c>
      <c r="O993" s="1" t="s">
        <v>2159</v>
      </c>
      <c r="P993" s="1" t="s">
        <v>2089</v>
      </c>
      <c r="Q993" s="1" t="n">
        <v>11796446203</v>
      </c>
    </row>
    <row r="994" customFormat="false" ht="14.25" hidden="false" customHeight="false" outlineLevel="0" collapsed="false">
      <c r="A994" s="1" t="s">
        <v>2539</v>
      </c>
      <c r="B994" s="1" t="s">
        <v>2543</v>
      </c>
      <c r="C994" s="2" t="n">
        <v>147</v>
      </c>
      <c r="D994" s="1" t="s">
        <v>18</v>
      </c>
      <c r="E994" s="1" t="s">
        <v>2543</v>
      </c>
      <c r="F994" s="2" t="n">
        <v>554195298798</v>
      </c>
      <c r="G994" s="9" t="s">
        <v>2544</v>
      </c>
      <c r="H994" s="1" t="s">
        <v>94</v>
      </c>
      <c r="I994" s="1" t="s">
        <v>355</v>
      </c>
      <c r="J994" s="1" t="s">
        <v>1176</v>
      </c>
      <c r="K994" s="1" t="s">
        <v>1897</v>
      </c>
      <c r="L994" s="1" t="s">
        <v>2447</v>
      </c>
      <c r="M994" s="1" t="s">
        <v>1179</v>
      </c>
      <c r="N994" s="1" t="s">
        <v>965</v>
      </c>
      <c r="O994" s="1" t="s">
        <v>2107</v>
      </c>
      <c r="P994" s="1" t="s">
        <v>862</v>
      </c>
      <c r="Q994" s="1" t="n">
        <v>9711970</v>
      </c>
    </row>
    <row r="995" customFormat="false" ht="14.25" hidden="false" customHeight="false" outlineLevel="0" collapsed="false">
      <c r="A995" s="1" t="s">
        <v>2545</v>
      </c>
      <c r="B995" s="1" t="s">
        <v>2546</v>
      </c>
      <c r="C995" s="2" t="n">
        <v>150</v>
      </c>
      <c r="D995" s="1" t="s">
        <v>32</v>
      </c>
      <c r="E995" s="1" t="s">
        <v>2547</v>
      </c>
      <c r="F995" s="2" t="n">
        <v>5927498912</v>
      </c>
      <c r="G995" s="9" t="s">
        <v>2548</v>
      </c>
      <c r="H995" s="1" t="s">
        <v>94</v>
      </c>
      <c r="I995" s="1" t="s">
        <v>355</v>
      </c>
      <c r="N995" s="1" t="s">
        <v>965</v>
      </c>
      <c r="O995" s="1" t="s">
        <v>2107</v>
      </c>
      <c r="P995" s="1" t="s">
        <v>862</v>
      </c>
      <c r="Q995" s="1" t="n">
        <v>0</v>
      </c>
    </row>
    <row r="996" customFormat="false" ht="14.25" hidden="false" customHeight="false" outlineLevel="0" collapsed="false">
      <c r="A996" s="1" t="s">
        <v>2549</v>
      </c>
      <c r="B996" s="1" t="s">
        <v>2550</v>
      </c>
      <c r="C996" s="2" t="n">
        <v>930</v>
      </c>
      <c r="D996" s="1" t="s">
        <v>390</v>
      </c>
      <c r="E996" s="1" t="s">
        <v>2551</v>
      </c>
      <c r="F996" s="2" t="n">
        <v>554184816184</v>
      </c>
      <c r="G996" s="9" t="s">
        <v>2552</v>
      </c>
      <c r="H996" s="1" t="s">
        <v>94</v>
      </c>
      <c r="I996" s="1" t="s">
        <v>34</v>
      </c>
      <c r="N996" s="1" t="s">
        <v>965</v>
      </c>
      <c r="O996" s="1" t="s">
        <v>2107</v>
      </c>
      <c r="P996" s="1" t="s">
        <v>862</v>
      </c>
      <c r="Q996" s="1" t="n">
        <v>-1</v>
      </c>
    </row>
    <row r="997" customFormat="false" ht="14.25" hidden="false" customHeight="false" outlineLevel="0" collapsed="false">
      <c r="A997" s="1" t="s">
        <v>2492</v>
      </c>
      <c r="B997" s="1" t="s">
        <v>2493</v>
      </c>
      <c r="C997" s="2" t="n">
        <v>525</v>
      </c>
      <c r="D997" s="1" t="s">
        <v>27</v>
      </c>
      <c r="E997" s="1" t="s">
        <v>2494</v>
      </c>
      <c r="F997" s="2" t="n">
        <v>554198706895</v>
      </c>
      <c r="G997" s="12" t="s">
        <v>2495</v>
      </c>
      <c r="H997" s="1" t="s">
        <v>94</v>
      </c>
      <c r="I997" s="1" t="s">
        <v>54</v>
      </c>
      <c r="N997" s="1" t="s">
        <v>965</v>
      </c>
      <c r="O997" s="1" t="s">
        <v>2159</v>
      </c>
      <c r="P997" s="1" t="s">
        <v>2089</v>
      </c>
      <c r="Q997" s="1" t="n">
        <v>-1</v>
      </c>
    </row>
    <row r="998" customFormat="false" ht="14.25" hidden="false" customHeight="false" outlineLevel="0" collapsed="false">
      <c r="A998" s="1" t="s">
        <v>2492</v>
      </c>
      <c r="B998" s="1" t="s">
        <v>105</v>
      </c>
      <c r="C998" s="2" t="n">
        <v>200</v>
      </c>
      <c r="D998" s="1" t="s">
        <v>106</v>
      </c>
      <c r="E998" s="1" t="s">
        <v>105</v>
      </c>
      <c r="F998" s="2" t="n">
        <v>5358746935</v>
      </c>
      <c r="G998" s="1" t="s">
        <v>43</v>
      </c>
      <c r="H998" s="1" t="s">
        <v>94</v>
      </c>
      <c r="I998" s="1" t="s">
        <v>54</v>
      </c>
      <c r="J998" s="1" t="s">
        <v>107</v>
      </c>
      <c r="M998" s="1" t="s">
        <v>108</v>
      </c>
      <c r="N998" s="1" t="s">
        <v>965</v>
      </c>
      <c r="O998" s="1" t="s">
        <v>2159</v>
      </c>
      <c r="P998" s="1" t="s">
        <v>2089</v>
      </c>
      <c r="Q998" s="1" t="n">
        <v>0</v>
      </c>
    </row>
    <row r="999" customFormat="false" ht="14.25" hidden="false" customHeight="false" outlineLevel="0" collapsed="false">
      <c r="A999" s="1" t="s">
        <v>2492</v>
      </c>
      <c r="B999" s="1" t="s">
        <v>2059</v>
      </c>
      <c r="C999" s="2" t="n">
        <v>87</v>
      </c>
      <c r="D999" s="1" t="s">
        <v>390</v>
      </c>
      <c r="E999" s="1" t="s">
        <v>2059</v>
      </c>
      <c r="F999" s="2" t="n">
        <v>554187671962</v>
      </c>
      <c r="G999" s="9" t="s">
        <v>2060</v>
      </c>
      <c r="H999" s="1" t="s">
        <v>94</v>
      </c>
      <c r="I999" s="1" t="s">
        <v>355</v>
      </c>
      <c r="N999" s="1" t="s">
        <v>965</v>
      </c>
    </row>
    <row r="1000" customFormat="false" ht="14.25" hidden="false" customHeight="false" outlineLevel="0" collapsed="false">
      <c r="A1000" s="1" t="s">
        <v>2553</v>
      </c>
      <c r="B1000" s="1" t="s">
        <v>471</v>
      </c>
      <c r="C1000" s="2" t="n">
        <v>240</v>
      </c>
      <c r="D1000" s="1" t="s">
        <v>30</v>
      </c>
      <c r="E1000" s="1" t="s">
        <v>471</v>
      </c>
      <c r="F1000" s="2" t="n">
        <v>5511981656902</v>
      </c>
      <c r="G1000" s="9" t="s">
        <v>697</v>
      </c>
      <c r="H1000" s="1" t="s">
        <v>94</v>
      </c>
      <c r="I1000" s="1" t="s">
        <v>54</v>
      </c>
      <c r="N1000" s="1" t="s">
        <v>1022</v>
      </c>
      <c r="O1000" s="1" t="s">
        <v>2135</v>
      </c>
      <c r="P1000" s="1" t="s">
        <v>2135</v>
      </c>
      <c r="Q1000" s="1" t="n">
        <v>-1</v>
      </c>
    </row>
    <row r="1001" customFormat="false" ht="16.4" hidden="false" customHeight="false" outlineLevel="0" collapsed="false">
      <c r="A1001" s="1" t="s">
        <v>2553</v>
      </c>
      <c r="B1001" s="1" t="s">
        <v>2554</v>
      </c>
      <c r="C1001" s="2" t="n">
        <v>40</v>
      </c>
      <c r="D1001" s="1" t="s">
        <v>20</v>
      </c>
      <c r="E1001" s="1" t="s">
        <v>2554</v>
      </c>
      <c r="F1001" s="2" t="n">
        <v>559584298044</v>
      </c>
      <c r="G1001" s="11" t="s">
        <v>2555</v>
      </c>
      <c r="H1001" s="1" t="s">
        <v>94</v>
      </c>
      <c r="I1001" s="1" t="s">
        <v>54</v>
      </c>
      <c r="N1001" s="1" t="s">
        <v>965</v>
      </c>
    </row>
    <row r="1002" customFormat="false" ht="14.25" hidden="false" customHeight="false" outlineLevel="0" collapsed="false">
      <c r="A1002" s="1" t="s">
        <v>2556</v>
      </c>
      <c r="B1002" s="1" t="s">
        <v>2557</v>
      </c>
      <c r="C1002" s="2" t="n">
        <v>150</v>
      </c>
      <c r="D1002" s="1" t="s">
        <v>1471</v>
      </c>
      <c r="E1002" s="1" t="s">
        <v>2558</v>
      </c>
      <c r="F1002" s="2" t="n">
        <v>5595920008541</v>
      </c>
      <c r="G1002" s="9" t="s">
        <v>43</v>
      </c>
      <c r="H1002" s="1" t="s">
        <v>94</v>
      </c>
      <c r="I1002" s="1" t="s">
        <v>355</v>
      </c>
      <c r="N1002" s="1" t="s">
        <v>965</v>
      </c>
      <c r="O1002" s="1" t="s">
        <v>2107</v>
      </c>
      <c r="P1002" s="1" t="s">
        <v>2135</v>
      </c>
      <c r="Q1002" s="1" t="n">
        <v>-1</v>
      </c>
    </row>
    <row r="1003" customFormat="false" ht="14.25" hidden="false" customHeight="false" outlineLevel="0" collapsed="false">
      <c r="A1003" s="1" t="s">
        <v>2559</v>
      </c>
      <c r="B1003" s="1" t="s">
        <v>2560</v>
      </c>
      <c r="C1003" s="2" t="n">
        <v>120</v>
      </c>
      <c r="D1003" s="1" t="s">
        <v>21</v>
      </c>
      <c r="E1003" s="1" t="s">
        <v>2560</v>
      </c>
      <c r="F1003" s="2" t="n">
        <v>559584291424</v>
      </c>
      <c r="G1003" s="9" t="s">
        <v>2561</v>
      </c>
      <c r="H1003" s="1" t="s">
        <v>94</v>
      </c>
      <c r="I1003" s="1" t="s">
        <v>50</v>
      </c>
      <c r="N1003" s="1" t="s">
        <v>965</v>
      </c>
      <c r="O1003" s="1" t="s">
        <v>2562</v>
      </c>
      <c r="P1003" s="1" t="s">
        <v>2129</v>
      </c>
      <c r="Q1003" s="1" t="n">
        <v>11650080255</v>
      </c>
    </row>
    <row r="1004" customFormat="false" ht="14.25" hidden="false" customHeight="false" outlineLevel="0" collapsed="false">
      <c r="A1004" s="1" t="s">
        <v>2563</v>
      </c>
      <c r="B1004" s="1" t="s">
        <v>2564</v>
      </c>
      <c r="C1004" s="2" t="n">
        <v>480</v>
      </c>
      <c r="D1004" s="1" t="s">
        <v>30</v>
      </c>
      <c r="E1004" s="1" t="s">
        <v>2564</v>
      </c>
      <c r="F1004" s="2" t="n">
        <v>5511981288679</v>
      </c>
      <c r="G1004" s="9" t="s">
        <v>2565</v>
      </c>
      <c r="H1004" s="1" t="s">
        <v>94</v>
      </c>
      <c r="I1004" s="1" t="s">
        <v>50</v>
      </c>
      <c r="N1004" s="1" t="s">
        <v>965</v>
      </c>
      <c r="O1004" s="1" t="s">
        <v>2142</v>
      </c>
      <c r="P1004" s="1" t="s">
        <v>2129</v>
      </c>
      <c r="Q1004" s="1" t="n">
        <v>-1</v>
      </c>
    </row>
    <row r="1005" customFormat="false" ht="14.25" hidden="false" customHeight="false" outlineLevel="0" collapsed="false">
      <c r="A1005" s="1" t="s">
        <v>2566</v>
      </c>
      <c r="B1005" s="1" t="s">
        <v>2567</v>
      </c>
      <c r="C1005" s="2" t="n">
        <v>294</v>
      </c>
      <c r="D1005" s="1" t="s">
        <v>390</v>
      </c>
      <c r="E1005" s="1" t="s">
        <v>1910</v>
      </c>
      <c r="F1005" s="2" t="n">
        <v>5511947383448</v>
      </c>
      <c r="G1005" s="9" t="s">
        <v>1911</v>
      </c>
      <c r="H1005" s="1" t="s">
        <v>94</v>
      </c>
      <c r="I1005" s="1" t="s">
        <v>54</v>
      </c>
      <c r="N1005" s="1" t="s">
        <v>1022</v>
      </c>
      <c r="O1005" s="1" t="s">
        <v>2159</v>
      </c>
      <c r="P1005" s="1" t="s">
        <v>2089</v>
      </c>
      <c r="Q1005" s="1" t="n">
        <v>-1</v>
      </c>
    </row>
    <row r="1006" customFormat="false" ht="14.25" hidden="false" customHeight="false" outlineLevel="0" collapsed="false">
      <c r="A1006" s="1" t="s">
        <v>2568</v>
      </c>
      <c r="B1006" s="1" t="s">
        <v>2569</v>
      </c>
      <c r="C1006" s="2" t="n">
        <v>360</v>
      </c>
      <c r="D1006" s="1" t="s">
        <v>20</v>
      </c>
      <c r="E1006" s="1" t="s">
        <v>2570</v>
      </c>
      <c r="F1006" s="2" t="n">
        <v>559581036890</v>
      </c>
      <c r="G1006" s="9" t="s">
        <v>2571</v>
      </c>
      <c r="H1006" s="1" t="s">
        <v>94</v>
      </c>
      <c r="I1006" s="1" t="s">
        <v>54</v>
      </c>
      <c r="N1006" s="1" t="s">
        <v>965</v>
      </c>
      <c r="O1006" s="1" t="s">
        <v>2107</v>
      </c>
      <c r="P1006" s="1" t="s">
        <v>2135</v>
      </c>
      <c r="Q1006" s="1" t="n">
        <v>-1</v>
      </c>
    </row>
    <row r="1007" customFormat="false" ht="14.25" hidden="false" customHeight="false" outlineLevel="0" collapsed="false">
      <c r="A1007" s="1" t="s">
        <v>2572</v>
      </c>
      <c r="B1007" s="1" t="s">
        <v>2573</v>
      </c>
      <c r="C1007" s="2" t="n">
        <v>300</v>
      </c>
      <c r="D1007" s="1" t="s">
        <v>30</v>
      </c>
      <c r="E1007" s="1" t="s">
        <v>2573</v>
      </c>
      <c r="F1007" s="2" t="n">
        <v>555493512191</v>
      </c>
      <c r="G1007" s="9" t="s">
        <v>2574</v>
      </c>
      <c r="H1007" s="1" t="s">
        <v>94</v>
      </c>
      <c r="I1007" s="1" t="s">
        <v>54</v>
      </c>
      <c r="N1007" s="1" t="s">
        <v>1022</v>
      </c>
      <c r="O1007" s="1" t="s">
        <v>2120</v>
      </c>
      <c r="P1007" s="1" t="s">
        <v>2121</v>
      </c>
      <c r="Q1007" s="1" t="n">
        <v>-1</v>
      </c>
    </row>
    <row r="1008" customFormat="false" ht="14.25" hidden="false" customHeight="false" outlineLevel="0" collapsed="false">
      <c r="A1008" s="1" t="s">
        <v>2572</v>
      </c>
      <c r="B1008" s="1" t="s">
        <v>1539</v>
      </c>
      <c r="C1008" s="2" t="n">
        <v>600</v>
      </c>
      <c r="D1008" s="1" t="s">
        <v>27</v>
      </c>
      <c r="E1008" s="1" t="s">
        <v>2575</v>
      </c>
      <c r="F1008" s="2" t="n">
        <v>559591343034</v>
      </c>
      <c r="G1008" s="9" t="s">
        <v>2576</v>
      </c>
      <c r="H1008" s="1" t="s">
        <v>94</v>
      </c>
      <c r="I1008" s="1" t="s">
        <v>355</v>
      </c>
      <c r="N1008" s="1" t="s">
        <v>965</v>
      </c>
      <c r="O1008" s="1" t="s">
        <v>2159</v>
      </c>
      <c r="P1008" s="1" t="s">
        <v>2089</v>
      </c>
      <c r="Q1008" s="1" t="n">
        <v>0</v>
      </c>
    </row>
    <row r="1009" customFormat="false" ht="14.25" hidden="false" customHeight="false" outlineLevel="0" collapsed="false">
      <c r="A1009" s="1" t="s">
        <v>2572</v>
      </c>
      <c r="B1009" s="1" t="s">
        <v>2577</v>
      </c>
      <c r="C1009" s="2" t="n">
        <v>294</v>
      </c>
      <c r="D1009" s="1" t="s">
        <v>390</v>
      </c>
      <c r="E1009" s="1" t="s">
        <v>2578</v>
      </c>
      <c r="F1009" s="2" t="n">
        <v>554187657458</v>
      </c>
      <c r="G1009" s="9" t="s">
        <v>2579</v>
      </c>
      <c r="H1009" s="1" t="s">
        <v>94</v>
      </c>
      <c r="I1009" s="1" t="s">
        <v>355</v>
      </c>
      <c r="J1009" s="1" t="s">
        <v>35</v>
      </c>
      <c r="K1009" s="1" t="s">
        <v>36</v>
      </c>
      <c r="L1009" s="1" t="s">
        <v>37</v>
      </c>
      <c r="M1009" s="1" t="s">
        <v>38</v>
      </c>
      <c r="N1009" s="1" t="s">
        <v>965</v>
      </c>
      <c r="O1009" s="1" t="s">
        <v>2088</v>
      </c>
      <c r="P1009" s="1" t="s">
        <v>2089</v>
      </c>
      <c r="Q1009" s="1" t="n">
        <v>3612457934</v>
      </c>
    </row>
    <row r="1010" customFormat="false" ht="14.25" hidden="false" customHeight="false" outlineLevel="0" collapsed="false">
      <c r="A1010" s="1" t="s">
        <v>2580</v>
      </c>
      <c r="B1010" s="1" t="s">
        <v>2581</v>
      </c>
      <c r="C1010" s="2" t="n">
        <v>120</v>
      </c>
      <c r="D1010" s="1" t="s">
        <v>23</v>
      </c>
      <c r="E1010" s="1" t="s">
        <v>2581</v>
      </c>
      <c r="F1010" s="2" t="n">
        <v>5511988137960</v>
      </c>
      <c r="G1010" s="9" t="s">
        <v>2582</v>
      </c>
      <c r="H1010" s="1" t="s">
        <v>94</v>
      </c>
      <c r="I1010" s="1" t="s">
        <v>50</v>
      </c>
      <c r="N1010" s="1" t="s">
        <v>965</v>
      </c>
      <c r="O1010" s="1" t="s">
        <v>2134</v>
      </c>
      <c r="P1010" s="1" t="s">
        <v>2135</v>
      </c>
      <c r="Q1010" s="1" t="n">
        <v>-1</v>
      </c>
    </row>
    <row r="1011" customFormat="false" ht="14.25" hidden="false" customHeight="false" outlineLevel="0" collapsed="false">
      <c r="A1011" s="1" t="s">
        <v>2572</v>
      </c>
      <c r="B1011" s="1" t="s">
        <v>1849</v>
      </c>
      <c r="C1011" s="2" t="n">
        <v>600</v>
      </c>
      <c r="D1011" s="1" t="s">
        <v>106</v>
      </c>
      <c r="E1011" s="1" t="s">
        <v>1850</v>
      </c>
      <c r="F1011" s="2" t="n">
        <v>554899597391</v>
      </c>
      <c r="G1011" s="1" t="s">
        <v>1851</v>
      </c>
      <c r="H1011" s="1" t="s">
        <v>94</v>
      </c>
      <c r="I1011" s="1" t="s">
        <v>34</v>
      </c>
      <c r="N1011" s="1" t="s">
        <v>965</v>
      </c>
    </row>
    <row r="1012" customFormat="false" ht="14.25" hidden="false" customHeight="false" outlineLevel="0" collapsed="false">
      <c r="A1012" s="1" t="s">
        <v>2572</v>
      </c>
      <c r="B1012" s="1" t="s">
        <v>2583</v>
      </c>
      <c r="C1012" s="2" t="n">
        <v>120</v>
      </c>
      <c r="D1012" s="1" t="s">
        <v>23</v>
      </c>
      <c r="E1012" s="1" t="s">
        <v>2584</v>
      </c>
      <c r="F1012" s="2" t="n">
        <v>5511963130113</v>
      </c>
      <c r="G1012" s="1" t="s">
        <v>43</v>
      </c>
      <c r="H1012" s="1" t="s">
        <v>94</v>
      </c>
      <c r="I1012" s="1" t="s">
        <v>50</v>
      </c>
      <c r="N1012" s="1" t="s">
        <v>965</v>
      </c>
      <c r="O1012" s="1" t="s">
        <v>2107</v>
      </c>
      <c r="P1012" s="1" t="s">
        <v>862</v>
      </c>
      <c r="Q1012" s="1" t="n">
        <v>-1</v>
      </c>
    </row>
    <row r="1013" customFormat="false" ht="16.4" hidden="false" customHeight="false" outlineLevel="0" collapsed="false">
      <c r="A1013" s="1" t="s">
        <v>2572</v>
      </c>
      <c r="B1013" s="1" t="s">
        <v>1574</v>
      </c>
      <c r="C1013" s="2" t="n">
        <v>75</v>
      </c>
      <c r="D1013" s="1" t="s">
        <v>30</v>
      </c>
      <c r="E1013" s="1" t="s">
        <v>1574</v>
      </c>
      <c r="F1013" s="2" t="n">
        <v>554796680782</v>
      </c>
      <c r="G1013" s="11" t="s">
        <v>2585</v>
      </c>
      <c r="H1013" s="1" t="s">
        <v>94</v>
      </c>
      <c r="I1013" s="1" t="s">
        <v>34</v>
      </c>
      <c r="N1013" s="1" t="s">
        <v>965</v>
      </c>
    </row>
    <row r="1014" customFormat="false" ht="16.4" hidden="false" customHeight="false" outlineLevel="0" collapsed="false">
      <c r="A1014" s="1" t="s">
        <v>2572</v>
      </c>
      <c r="B1014" s="1" t="s">
        <v>2586</v>
      </c>
      <c r="C1014" s="2" t="n">
        <v>150</v>
      </c>
      <c r="D1014" s="1" t="s">
        <v>32</v>
      </c>
      <c r="E1014" s="1" t="s">
        <v>2586</v>
      </c>
      <c r="F1014" s="2" t="n">
        <v>554191076146</v>
      </c>
      <c r="G1014" s="11" t="s">
        <v>2587</v>
      </c>
      <c r="H1014" s="1" t="s">
        <v>94</v>
      </c>
      <c r="I1014" s="1" t="s">
        <v>34</v>
      </c>
      <c r="N1014" s="1" t="s">
        <v>965</v>
      </c>
      <c r="O1014" s="1" t="s">
        <v>2159</v>
      </c>
      <c r="P1014" s="1" t="s">
        <v>2089</v>
      </c>
    </row>
    <row r="1015" customFormat="false" ht="14.25" hidden="false" customHeight="false" outlineLevel="0" collapsed="false">
      <c r="A1015" s="1" t="s">
        <v>2588</v>
      </c>
      <c r="B1015" s="1" t="s">
        <v>2589</v>
      </c>
      <c r="C1015" s="2" t="n">
        <v>120</v>
      </c>
      <c r="D1015" s="1" t="s">
        <v>21</v>
      </c>
      <c r="E1015" s="1" t="s">
        <v>2589</v>
      </c>
      <c r="F1015" s="2" t="n">
        <v>559574001949</v>
      </c>
      <c r="G1015" s="9" t="s">
        <v>2590</v>
      </c>
      <c r="H1015" s="1" t="s">
        <v>94</v>
      </c>
      <c r="I1015" s="1" t="s">
        <v>355</v>
      </c>
      <c r="J1015" s="1" t="s">
        <v>1176</v>
      </c>
      <c r="K1015" s="1" t="s">
        <v>1897</v>
      </c>
      <c r="L1015" s="1" t="s">
        <v>2447</v>
      </c>
      <c r="M1015" s="1" t="s">
        <v>1179</v>
      </c>
      <c r="N1015" s="1" t="s">
        <v>965</v>
      </c>
      <c r="O1015" s="1" t="s">
        <v>2128</v>
      </c>
      <c r="P1015" s="1" t="s">
        <v>2129</v>
      </c>
      <c r="Q1015" s="1" t="n">
        <v>11548490237</v>
      </c>
    </row>
    <row r="1016" customFormat="false" ht="14.25" hidden="false" customHeight="false" outlineLevel="0" collapsed="false">
      <c r="A1016" s="1" t="s">
        <v>2572</v>
      </c>
      <c r="B1016" s="1" t="s">
        <v>2591</v>
      </c>
      <c r="C1016" s="2" t="n">
        <v>147</v>
      </c>
      <c r="D1016" s="1" t="s">
        <v>30</v>
      </c>
      <c r="E1016" s="1" t="s">
        <v>2592</v>
      </c>
      <c r="F1016" s="2" t="n">
        <v>554691346097</v>
      </c>
      <c r="G1016" s="9" t="s">
        <v>43</v>
      </c>
      <c r="H1016" s="1" t="s">
        <v>94</v>
      </c>
      <c r="I1016" s="1" t="s">
        <v>50</v>
      </c>
      <c r="N1016" s="1" t="s">
        <v>965</v>
      </c>
      <c r="O1016" s="1" t="s">
        <v>2276</v>
      </c>
      <c r="P1016" s="1" t="s">
        <v>2135</v>
      </c>
      <c r="Q1016" s="1" t="n">
        <v>-1</v>
      </c>
    </row>
    <row r="1017" customFormat="false" ht="14.25" hidden="false" customHeight="false" outlineLevel="0" collapsed="false">
      <c r="A1017" s="1" t="s">
        <v>2572</v>
      </c>
      <c r="B1017" s="1" t="s">
        <v>2593</v>
      </c>
      <c r="C1017" s="2" t="n">
        <v>120</v>
      </c>
      <c r="D1017" s="1" t="s">
        <v>20</v>
      </c>
      <c r="E1017" s="1" t="s">
        <v>2593</v>
      </c>
      <c r="F1017" s="2" t="n">
        <v>559599774507</v>
      </c>
      <c r="G1017" s="9" t="s">
        <v>2594</v>
      </c>
      <c r="H1017" s="1" t="s">
        <v>94</v>
      </c>
      <c r="I1017" s="1" t="s">
        <v>355</v>
      </c>
      <c r="J1017" s="1" t="s">
        <v>35</v>
      </c>
      <c r="K1017" s="1" t="s">
        <v>36</v>
      </c>
      <c r="L1017" s="1" t="s">
        <v>37</v>
      </c>
      <c r="M1017" s="1" t="s">
        <v>38</v>
      </c>
      <c r="N1017" s="1" t="s">
        <v>965</v>
      </c>
      <c r="O1017" s="1" t="s">
        <v>2107</v>
      </c>
      <c r="P1017" s="1" t="s">
        <v>862</v>
      </c>
      <c r="Q1017" s="1" t="n">
        <v>11598761269</v>
      </c>
    </row>
    <row r="1018" customFormat="false" ht="14.25" hidden="false" customHeight="false" outlineLevel="0" collapsed="false">
      <c r="A1018" s="1" t="s">
        <v>2595</v>
      </c>
      <c r="B1018" s="1" t="s">
        <v>1721</v>
      </c>
      <c r="C1018" s="2" t="n">
        <v>150</v>
      </c>
      <c r="D1018" s="1" t="s">
        <v>24</v>
      </c>
      <c r="E1018" s="1" t="s">
        <v>1721</v>
      </c>
      <c r="F1018" s="2" t="n">
        <v>554184521162</v>
      </c>
      <c r="G1018" s="9" t="s">
        <v>1723</v>
      </c>
      <c r="H1018" s="1" t="s">
        <v>94</v>
      </c>
      <c r="I1018" s="1" t="s">
        <v>54</v>
      </c>
      <c r="N1018" s="1" t="s">
        <v>1022</v>
      </c>
      <c r="O1018" s="1" t="s">
        <v>2107</v>
      </c>
      <c r="P1018" s="1" t="s">
        <v>862</v>
      </c>
      <c r="Q1018" s="1" t="n">
        <v>0</v>
      </c>
    </row>
    <row r="1019" customFormat="false" ht="14.25" hidden="false" customHeight="false" outlineLevel="0" collapsed="false">
      <c r="A1019" s="1" t="s">
        <v>2596</v>
      </c>
      <c r="B1019" s="1" t="s">
        <v>2597</v>
      </c>
      <c r="C1019" s="2" t="n">
        <v>120</v>
      </c>
      <c r="D1019" s="1" t="s">
        <v>20</v>
      </c>
      <c r="E1019" s="1" t="s">
        <v>2598</v>
      </c>
      <c r="F1019" s="2" t="n">
        <v>559584085211</v>
      </c>
      <c r="G1019" s="9" t="s">
        <v>2599</v>
      </c>
      <c r="H1019" s="1" t="s">
        <v>94</v>
      </c>
      <c r="I1019" s="1" t="s">
        <v>34</v>
      </c>
      <c r="N1019" s="1" t="s">
        <v>965</v>
      </c>
      <c r="O1019" s="1" t="s">
        <v>2159</v>
      </c>
      <c r="P1019" s="1" t="s">
        <v>2089</v>
      </c>
      <c r="Q1019" s="1" t="n">
        <v>0</v>
      </c>
    </row>
    <row r="1020" customFormat="false" ht="14.25" hidden="false" customHeight="false" outlineLevel="0" collapsed="false">
      <c r="A1020" s="1" t="s">
        <v>2600</v>
      </c>
      <c r="B1020" s="1" t="s">
        <v>2601</v>
      </c>
      <c r="C1020" s="2" t="n">
        <v>97</v>
      </c>
      <c r="D1020" s="1" t="s">
        <v>20</v>
      </c>
      <c r="E1020" s="1" t="s">
        <v>2601</v>
      </c>
      <c r="F1020" s="2" t="n">
        <v>5511982597796</v>
      </c>
      <c r="G1020" s="9" t="s">
        <v>43</v>
      </c>
      <c r="H1020" s="1" t="s">
        <v>94</v>
      </c>
      <c r="I1020" s="1" t="s">
        <v>50</v>
      </c>
      <c r="N1020" s="1" t="s">
        <v>965</v>
      </c>
      <c r="O1020" s="1" t="s">
        <v>2107</v>
      </c>
      <c r="P1020" s="1" t="s">
        <v>2245</v>
      </c>
      <c r="Q1020" s="1" t="n">
        <v>-1</v>
      </c>
    </row>
    <row r="1021" customFormat="false" ht="14.25" hidden="false" customHeight="false" outlineLevel="0" collapsed="false">
      <c r="A1021" s="1" t="s">
        <v>2602</v>
      </c>
      <c r="B1021" s="1" t="s">
        <v>1634</v>
      </c>
      <c r="C1021" s="2" t="n">
        <v>147</v>
      </c>
      <c r="D1021" s="1" t="s">
        <v>22</v>
      </c>
      <c r="E1021" s="1" t="s">
        <v>1634</v>
      </c>
      <c r="F1021" s="2" t="n">
        <v>554797946128</v>
      </c>
      <c r="G1021" s="9" t="s">
        <v>1635</v>
      </c>
      <c r="H1021" s="1" t="s">
        <v>94</v>
      </c>
      <c r="I1021" s="1" t="s">
        <v>54</v>
      </c>
      <c r="N1021" s="1" t="s">
        <v>1022</v>
      </c>
      <c r="O1021" s="1" t="s">
        <v>2107</v>
      </c>
      <c r="P1021" s="1" t="s">
        <v>862</v>
      </c>
      <c r="Q1021" s="1" t="n">
        <v>0</v>
      </c>
    </row>
    <row r="1022" customFormat="false" ht="14.25" hidden="false" customHeight="false" outlineLevel="0" collapsed="false">
      <c r="A1022" s="1" t="s">
        <v>2603</v>
      </c>
      <c r="B1022" s="1" t="s">
        <v>1634</v>
      </c>
      <c r="C1022" s="2" t="n">
        <v>443</v>
      </c>
      <c r="D1022" s="1" t="s">
        <v>21</v>
      </c>
      <c r="E1022" s="1" t="s">
        <v>1634</v>
      </c>
      <c r="F1022" s="2" t="n">
        <v>554797946128</v>
      </c>
      <c r="G1022" s="9" t="s">
        <v>1635</v>
      </c>
      <c r="H1022" s="1" t="s">
        <v>94</v>
      </c>
      <c r="I1022" s="1" t="s">
        <v>54</v>
      </c>
      <c r="N1022" s="1" t="s">
        <v>1022</v>
      </c>
      <c r="O1022" s="1" t="s">
        <v>2107</v>
      </c>
      <c r="P1022" s="1" t="s">
        <v>862</v>
      </c>
      <c r="Q1022" s="1" t="n">
        <v>0</v>
      </c>
    </row>
    <row r="1023" customFormat="false" ht="14.25" hidden="false" customHeight="false" outlineLevel="0" collapsed="false">
      <c r="A1023" s="1" t="s">
        <v>2604</v>
      </c>
      <c r="B1023" s="1" t="s">
        <v>2605</v>
      </c>
      <c r="C1023" s="2" t="n">
        <v>150</v>
      </c>
      <c r="D1023" s="1" t="s">
        <v>32</v>
      </c>
      <c r="E1023" s="1" t="s">
        <v>2605</v>
      </c>
      <c r="F1023" s="2" t="n">
        <v>555499335401</v>
      </c>
      <c r="G1023" s="9" t="s">
        <v>2606</v>
      </c>
      <c r="H1023" s="1" t="s">
        <v>94</v>
      </c>
      <c r="I1023" s="1" t="s">
        <v>355</v>
      </c>
      <c r="J1023" s="1" t="s">
        <v>1176</v>
      </c>
      <c r="K1023" s="1" t="s">
        <v>1177</v>
      </c>
      <c r="L1023" s="1" t="s">
        <v>1242</v>
      </c>
      <c r="M1023" s="1" t="s">
        <v>1243</v>
      </c>
      <c r="N1023" s="1" t="s">
        <v>965</v>
      </c>
      <c r="O1023" s="1" t="s">
        <v>2126</v>
      </c>
      <c r="P1023" s="1" t="s">
        <v>2121</v>
      </c>
      <c r="Q1023" s="1" t="n">
        <v>0</v>
      </c>
    </row>
    <row r="1024" customFormat="false" ht="14.25" hidden="false" customHeight="false" outlineLevel="0" collapsed="false">
      <c r="A1024" s="1" t="s">
        <v>2607</v>
      </c>
      <c r="B1024" s="1" t="s">
        <v>2608</v>
      </c>
      <c r="C1024" s="2" t="n">
        <v>660</v>
      </c>
      <c r="D1024" s="1" t="s">
        <v>21</v>
      </c>
      <c r="E1024" s="1" t="s">
        <v>2608</v>
      </c>
      <c r="F1024" s="2" t="n">
        <v>554884391398</v>
      </c>
      <c r="G1024" s="9" t="s">
        <v>2609</v>
      </c>
      <c r="H1024" s="1" t="s">
        <v>94</v>
      </c>
      <c r="I1024" s="1" t="s">
        <v>355</v>
      </c>
      <c r="N1024" s="1" t="s">
        <v>965</v>
      </c>
      <c r="O1024" s="1" t="s">
        <v>2252</v>
      </c>
      <c r="P1024" s="1" t="s">
        <v>2129</v>
      </c>
      <c r="Q1024" s="1" t="n">
        <v>11971989207</v>
      </c>
    </row>
    <row r="1025" customFormat="false" ht="14.25" hidden="false" customHeight="false" outlineLevel="0" collapsed="false">
      <c r="A1025" s="1" t="s">
        <v>2610</v>
      </c>
      <c r="B1025" s="1" t="s">
        <v>2611</v>
      </c>
      <c r="C1025" s="2" t="n">
        <v>294</v>
      </c>
      <c r="D1025" s="1" t="s">
        <v>22</v>
      </c>
      <c r="E1025" s="1" t="s">
        <v>969</v>
      </c>
      <c r="F1025" s="2" t="n">
        <v>554199765508</v>
      </c>
      <c r="G1025" s="9" t="s">
        <v>2612</v>
      </c>
      <c r="H1025" s="1" t="s">
        <v>94</v>
      </c>
      <c r="I1025" s="1" t="s">
        <v>355</v>
      </c>
      <c r="J1025" s="1" t="s">
        <v>1176</v>
      </c>
      <c r="K1025" s="1" t="s">
        <v>1897</v>
      </c>
      <c r="L1025" s="1" t="s">
        <v>1898</v>
      </c>
      <c r="M1025" s="1" t="s">
        <v>1179</v>
      </c>
      <c r="N1025" s="1" t="s">
        <v>965</v>
      </c>
      <c r="O1025" s="1" t="s">
        <v>2159</v>
      </c>
      <c r="P1025" s="1" t="s">
        <v>2089</v>
      </c>
      <c r="Q1025" s="1" t="n">
        <v>0</v>
      </c>
    </row>
    <row r="1026" customFormat="false" ht="14.25" hidden="false" customHeight="false" outlineLevel="0" collapsed="false">
      <c r="A1026" s="1" t="s">
        <v>2613</v>
      </c>
      <c r="B1026" s="1" t="s">
        <v>2614</v>
      </c>
      <c r="C1026" s="2" t="n">
        <v>300</v>
      </c>
      <c r="D1026" s="1" t="s">
        <v>106</v>
      </c>
      <c r="E1026" s="1" t="s">
        <v>2614</v>
      </c>
      <c r="F1026" s="2" t="n">
        <v>554187182858</v>
      </c>
      <c r="G1026" s="9" t="s">
        <v>43</v>
      </c>
      <c r="H1026" s="1" t="s">
        <v>94</v>
      </c>
      <c r="I1026" s="1" t="s">
        <v>50</v>
      </c>
      <c r="N1026" s="1" t="s">
        <v>965</v>
      </c>
      <c r="O1026" s="1" t="s">
        <v>2107</v>
      </c>
      <c r="P1026" s="1" t="s">
        <v>862</v>
      </c>
      <c r="Q1026" s="1" t="n">
        <v>-1</v>
      </c>
    </row>
    <row r="1027" customFormat="false" ht="14.25" hidden="false" customHeight="false" outlineLevel="0" collapsed="false">
      <c r="A1027" s="1" t="s">
        <v>2615</v>
      </c>
      <c r="B1027" s="1" t="s">
        <v>2153</v>
      </c>
      <c r="C1027" s="2" t="n">
        <v>147</v>
      </c>
      <c r="D1027" s="1" t="s">
        <v>390</v>
      </c>
      <c r="E1027" s="1" t="s">
        <v>2153</v>
      </c>
      <c r="F1027" s="2" t="n">
        <v>554896871939</v>
      </c>
      <c r="G1027" s="9" t="s">
        <v>2154</v>
      </c>
      <c r="H1027" s="1" t="s">
        <v>94</v>
      </c>
      <c r="I1027" s="1" t="s">
        <v>54</v>
      </c>
      <c r="N1027" s="1" t="s">
        <v>1022</v>
      </c>
      <c r="O1027" s="1" t="s">
        <v>2128</v>
      </c>
      <c r="P1027" s="1" t="s">
        <v>2129</v>
      </c>
      <c r="Q1027" s="1" t="n">
        <v>0</v>
      </c>
    </row>
    <row r="1028" customFormat="false" ht="14.25" hidden="false" customHeight="false" outlineLevel="0" collapsed="false">
      <c r="A1028" s="1" t="s">
        <v>2616</v>
      </c>
      <c r="B1028" s="1" t="s">
        <v>2617</v>
      </c>
      <c r="C1028" s="2" t="n">
        <v>120</v>
      </c>
      <c r="D1028" s="1" t="s">
        <v>30</v>
      </c>
      <c r="E1028" s="1" t="s">
        <v>2618</v>
      </c>
      <c r="F1028" s="2" t="n">
        <v>559584399049</v>
      </c>
      <c r="G1028" s="9" t="s">
        <v>2619</v>
      </c>
      <c r="H1028" s="1" t="s">
        <v>94</v>
      </c>
      <c r="I1028" s="1" t="s">
        <v>50</v>
      </c>
      <c r="J1028" s="1" t="s">
        <v>35</v>
      </c>
      <c r="K1028" s="1" t="s">
        <v>36</v>
      </c>
      <c r="L1028" s="1" t="s">
        <v>37</v>
      </c>
      <c r="M1028" s="1" t="s">
        <v>38</v>
      </c>
      <c r="N1028" s="1" t="s">
        <v>965</v>
      </c>
      <c r="O1028" s="1" t="s">
        <v>2276</v>
      </c>
      <c r="P1028" s="1" t="s">
        <v>2135</v>
      </c>
      <c r="Q1028" s="1" t="n">
        <v>-1</v>
      </c>
    </row>
    <row r="1029" customFormat="false" ht="14.25" hidden="false" customHeight="false" outlineLevel="0" collapsed="false">
      <c r="A1029" s="1" t="s">
        <v>2620</v>
      </c>
      <c r="B1029" s="1" t="s">
        <v>2621</v>
      </c>
      <c r="C1029" s="2" t="n">
        <v>294</v>
      </c>
      <c r="D1029" s="1" t="s">
        <v>18</v>
      </c>
      <c r="E1029" s="1" t="s">
        <v>2622</v>
      </c>
      <c r="F1029" s="2" t="n">
        <v>554892089032</v>
      </c>
      <c r="G1029" s="9" t="s">
        <v>2623</v>
      </c>
      <c r="H1029" s="1" t="s">
        <v>94</v>
      </c>
      <c r="I1029" s="1" t="s">
        <v>355</v>
      </c>
      <c r="J1029" s="1" t="s">
        <v>35</v>
      </c>
      <c r="K1029" s="1" t="s">
        <v>36</v>
      </c>
      <c r="L1029" s="1" t="s">
        <v>37</v>
      </c>
      <c r="M1029" s="1" t="s">
        <v>38</v>
      </c>
      <c r="N1029" s="1" t="s">
        <v>965</v>
      </c>
      <c r="O1029" s="1" t="s">
        <v>2128</v>
      </c>
      <c r="P1029" s="1" t="s">
        <v>2129</v>
      </c>
      <c r="Q1029" s="1" t="n">
        <v>11338823230</v>
      </c>
    </row>
    <row r="1030" customFormat="false" ht="14.25" hidden="false" customHeight="false" outlineLevel="0" collapsed="false">
      <c r="A1030" s="1" t="s">
        <v>2624</v>
      </c>
      <c r="B1030" s="1" t="s">
        <v>2625</v>
      </c>
      <c r="C1030" s="2" t="n">
        <v>150</v>
      </c>
      <c r="D1030" s="1" t="s">
        <v>32</v>
      </c>
      <c r="E1030" s="1" t="s">
        <v>2626</v>
      </c>
      <c r="F1030" s="2" t="n">
        <v>553591616260</v>
      </c>
      <c r="G1030" s="9" t="s">
        <v>244</v>
      </c>
      <c r="H1030" s="1" t="s">
        <v>94</v>
      </c>
      <c r="I1030" s="1" t="s">
        <v>54</v>
      </c>
      <c r="N1030" s="1" t="s">
        <v>1022</v>
      </c>
      <c r="O1030" s="1" t="s">
        <v>2107</v>
      </c>
      <c r="P1030" s="1" t="s">
        <v>2245</v>
      </c>
      <c r="Q1030" s="1" t="n">
        <v>-1</v>
      </c>
    </row>
    <row r="1031" customFormat="false" ht="14.25" hidden="false" customHeight="false" outlineLevel="0" collapsed="false">
      <c r="A1031" s="1" t="s">
        <v>2627</v>
      </c>
      <c r="B1031" s="1" t="s">
        <v>2628</v>
      </c>
      <c r="C1031" s="2" t="n">
        <v>150</v>
      </c>
      <c r="D1031" s="1" t="s">
        <v>32</v>
      </c>
      <c r="E1031" s="1" t="s">
        <v>2629</v>
      </c>
      <c r="F1031" s="2" t="n">
        <v>573337148051</v>
      </c>
      <c r="G1031" s="9" t="s">
        <v>2630</v>
      </c>
      <c r="H1031" s="1" t="s">
        <v>94</v>
      </c>
      <c r="I1031" s="1" t="s">
        <v>355</v>
      </c>
      <c r="J1031" s="1" t="s">
        <v>1176</v>
      </c>
      <c r="K1031" s="1" t="s">
        <v>1177</v>
      </c>
      <c r="L1031" s="1" t="s">
        <v>1178</v>
      </c>
      <c r="M1031" s="1" t="s">
        <v>1179</v>
      </c>
      <c r="N1031" s="1" t="s">
        <v>965</v>
      </c>
      <c r="O1031" s="1" t="s">
        <v>2107</v>
      </c>
      <c r="P1031" s="1" t="s">
        <v>862</v>
      </c>
      <c r="Q1031" s="1" t="n">
        <v>-1</v>
      </c>
    </row>
    <row r="1032" customFormat="false" ht="14.25" hidden="false" customHeight="false" outlineLevel="0" collapsed="false">
      <c r="A1032" s="1" t="s">
        <v>2631</v>
      </c>
      <c r="B1032" s="1" t="s">
        <v>758</v>
      </c>
      <c r="C1032" s="2" t="n">
        <v>150</v>
      </c>
      <c r="D1032" s="1" t="s">
        <v>32</v>
      </c>
      <c r="E1032" s="1" t="s">
        <v>758</v>
      </c>
      <c r="F1032" s="2" t="n">
        <v>559584126524</v>
      </c>
      <c r="G1032" s="9" t="s">
        <v>519</v>
      </c>
      <c r="H1032" s="1" t="s">
        <v>94</v>
      </c>
      <c r="I1032" s="1" t="s">
        <v>54</v>
      </c>
      <c r="N1032" s="1" t="s">
        <v>1022</v>
      </c>
      <c r="O1032" s="1" t="s">
        <v>2107</v>
      </c>
      <c r="P1032" s="1" t="s">
        <v>862</v>
      </c>
      <c r="Q1032" s="1" t="n">
        <v>0</v>
      </c>
    </row>
    <row r="1033" customFormat="false" ht="14.25" hidden="false" customHeight="false" outlineLevel="0" collapsed="false">
      <c r="A1033" s="1" t="s">
        <v>2632</v>
      </c>
      <c r="B1033" s="1" t="s">
        <v>2633</v>
      </c>
      <c r="C1033" s="2" t="n">
        <v>420</v>
      </c>
      <c r="D1033" s="1" t="s">
        <v>30</v>
      </c>
      <c r="E1033" s="1" t="s">
        <v>2633</v>
      </c>
      <c r="F1033" s="2" t="n">
        <v>555496355996</v>
      </c>
      <c r="G1033" s="9" t="s">
        <v>2634</v>
      </c>
      <c r="H1033" s="1" t="s">
        <v>94</v>
      </c>
      <c r="I1033" s="1" t="s">
        <v>50</v>
      </c>
      <c r="J1033" s="1" t="s">
        <v>35</v>
      </c>
      <c r="K1033" s="1" t="s">
        <v>69</v>
      </c>
      <c r="L1033" s="1" t="s">
        <v>70</v>
      </c>
      <c r="M1033" s="1" t="s">
        <v>38</v>
      </c>
      <c r="N1033" s="1" t="s">
        <v>965</v>
      </c>
      <c r="O1033" s="1" t="s">
        <v>2126</v>
      </c>
      <c r="P1033" s="1" t="s">
        <v>2121</v>
      </c>
      <c r="Q1033" s="1" t="n">
        <v>-1</v>
      </c>
    </row>
    <row r="1034" customFormat="false" ht="14.25" hidden="false" customHeight="false" outlineLevel="0" collapsed="false">
      <c r="A1034" s="1" t="s">
        <v>2635</v>
      </c>
      <c r="B1034" s="1" t="s">
        <v>2636</v>
      </c>
      <c r="C1034" s="2" t="n">
        <v>147</v>
      </c>
      <c r="D1034" s="1" t="s">
        <v>18</v>
      </c>
      <c r="E1034" s="1" t="s">
        <v>2637</v>
      </c>
      <c r="F1034" s="2" t="n">
        <v>5511944895016</v>
      </c>
      <c r="G1034" s="9" t="s">
        <v>2638</v>
      </c>
      <c r="H1034" s="1" t="s">
        <v>94</v>
      </c>
      <c r="I1034" s="1" t="s">
        <v>355</v>
      </c>
      <c r="N1034" s="1" t="s">
        <v>965</v>
      </c>
      <c r="O1034" s="1" t="s">
        <v>2107</v>
      </c>
      <c r="P1034" s="1" t="s">
        <v>2135</v>
      </c>
      <c r="Q1034" s="1" t="n">
        <v>4818917818</v>
      </c>
    </row>
    <row r="1035" customFormat="false" ht="14.25" hidden="false" customHeight="false" outlineLevel="0" collapsed="false">
      <c r="A1035" s="1" t="s">
        <v>2639</v>
      </c>
      <c r="B1035" s="1" t="s">
        <v>2640</v>
      </c>
      <c r="C1035" s="2" t="n">
        <v>120</v>
      </c>
      <c r="D1035" s="1" t="s">
        <v>30</v>
      </c>
      <c r="E1035" s="1" t="s">
        <v>2641</v>
      </c>
      <c r="F1035" s="2" t="n">
        <v>5519988335383</v>
      </c>
      <c r="G1035" s="9" t="s">
        <v>2642</v>
      </c>
      <c r="H1035" s="1" t="s">
        <v>94</v>
      </c>
      <c r="I1035" s="1" t="s">
        <v>34</v>
      </c>
      <c r="N1035" s="1" t="s">
        <v>965</v>
      </c>
      <c r="O1035" s="1" t="s">
        <v>2643</v>
      </c>
      <c r="P1035" s="1" t="s">
        <v>2135</v>
      </c>
      <c r="Q1035" s="1" t="n">
        <v>0</v>
      </c>
    </row>
    <row r="1036" customFormat="false" ht="14.25" hidden="false" customHeight="false" outlineLevel="0" collapsed="false">
      <c r="A1036" s="1" t="s">
        <v>2644</v>
      </c>
      <c r="B1036" s="1" t="s">
        <v>2636</v>
      </c>
      <c r="C1036" s="2" t="n">
        <v>120</v>
      </c>
      <c r="D1036" s="1" t="s">
        <v>30</v>
      </c>
      <c r="E1036" s="1" t="s">
        <v>2637</v>
      </c>
      <c r="F1036" s="2" t="n">
        <v>5511944895016</v>
      </c>
      <c r="G1036" s="9" t="s">
        <v>2638</v>
      </c>
      <c r="H1036" s="1" t="s">
        <v>94</v>
      </c>
      <c r="I1036" s="1" t="s">
        <v>355</v>
      </c>
      <c r="N1036" s="1" t="s">
        <v>965</v>
      </c>
      <c r="O1036" s="1" t="s">
        <v>2107</v>
      </c>
      <c r="P1036" s="1" t="s">
        <v>2135</v>
      </c>
      <c r="Q1036" s="1" t="n">
        <v>4818917818</v>
      </c>
    </row>
    <row r="1037" customFormat="false" ht="14.25" hidden="false" customHeight="false" outlineLevel="0" collapsed="false">
      <c r="A1037" s="1" t="s">
        <v>2645</v>
      </c>
      <c r="B1037" s="1" t="s">
        <v>2646</v>
      </c>
      <c r="C1037" s="2" t="n">
        <v>120</v>
      </c>
      <c r="D1037" s="1" t="s">
        <v>2214</v>
      </c>
      <c r="E1037" s="1" t="s">
        <v>2646</v>
      </c>
      <c r="F1037" s="2" t="n">
        <v>556481168509</v>
      </c>
      <c r="G1037" s="9" t="s">
        <v>2647</v>
      </c>
      <c r="H1037" s="1" t="s">
        <v>94</v>
      </c>
      <c r="I1037" s="1" t="s">
        <v>50</v>
      </c>
      <c r="J1037" s="1" t="s">
        <v>35</v>
      </c>
      <c r="K1037" s="1" t="s">
        <v>69</v>
      </c>
      <c r="L1037" s="1" t="s">
        <v>70</v>
      </c>
      <c r="M1037" s="1" t="s">
        <v>38</v>
      </c>
      <c r="N1037" s="1" t="s">
        <v>965</v>
      </c>
      <c r="O1037" s="1" t="s">
        <v>2648</v>
      </c>
      <c r="P1037" s="1" t="s">
        <v>862</v>
      </c>
      <c r="Q1037" s="1" t="n">
        <v>-1</v>
      </c>
    </row>
    <row r="1038" customFormat="false" ht="14.25" hidden="false" customHeight="false" outlineLevel="0" collapsed="false">
      <c r="A1038" s="1" t="s">
        <v>2649</v>
      </c>
      <c r="B1038" s="1" t="s">
        <v>2636</v>
      </c>
      <c r="C1038" s="2" t="n">
        <v>120</v>
      </c>
      <c r="D1038" s="1" t="s">
        <v>862</v>
      </c>
      <c r="E1038" s="1" t="s">
        <v>2637</v>
      </c>
      <c r="F1038" s="2" t="n">
        <v>5511944895016</v>
      </c>
      <c r="G1038" s="9" t="s">
        <v>2638</v>
      </c>
      <c r="H1038" s="1" t="s">
        <v>94</v>
      </c>
      <c r="I1038" s="1" t="s">
        <v>355</v>
      </c>
      <c r="N1038" s="1" t="s">
        <v>965</v>
      </c>
      <c r="O1038" s="1" t="s">
        <v>2107</v>
      </c>
      <c r="P1038" s="1" t="s">
        <v>2135</v>
      </c>
      <c r="Q1038" s="1" t="n">
        <v>4818917818</v>
      </c>
    </row>
    <row r="1039" customFormat="false" ht="14.25" hidden="false" customHeight="false" outlineLevel="0" collapsed="false">
      <c r="A1039" s="1" t="s">
        <v>2650</v>
      </c>
      <c r="B1039" s="1" t="s">
        <v>2651</v>
      </c>
      <c r="C1039" s="2" t="n">
        <v>147</v>
      </c>
      <c r="D1039" s="1" t="s">
        <v>18</v>
      </c>
      <c r="E1039" s="1" t="s">
        <v>2651</v>
      </c>
      <c r="F1039" s="2" t="n">
        <v>559681082485</v>
      </c>
      <c r="G1039" s="9" t="s">
        <v>2652</v>
      </c>
      <c r="H1039" s="1" t="s">
        <v>94</v>
      </c>
      <c r="I1039" s="1" t="s">
        <v>355</v>
      </c>
      <c r="N1039" s="1" t="s">
        <v>965</v>
      </c>
      <c r="O1039" s="1" t="s">
        <v>2159</v>
      </c>
      <c r="P1039" s="1" t="s">
        <v>2089</v>
      </c>
      <c r="Q1039" s="1" t="n">
        <v>11344978223</v>
      </c>
    </row>
    <row r="1040" customFormat="false" ht="14.25" hidden="false" customHeight="false" outlineLevel="0" collapsed="false">
      <c r="A1040" s="1" t="s">
        <v>2649</v>
      </c>
      <c r="B1040" s="1" t="s">
        <v>2653</v>
      </c>
      <c r="C1040" s="2" t="n">
        <v>150</v>
      </c>
      <c r="D1040" s="1" t="s">
        <v>32</v>
      </c>
      <c r="E1040" s="1" t="s">
        <v>2654</v>
      </c>
      <c r="F1040" s="2" t="n">
        <v>559584107108</v>
      </c>
      <c r="G1040" s="9" t="s">
        <v>2655</v>
      </c>
      <c r="H1040" s="1" t="s">
        <v>94</v>
      </c>
      <c r="I1040" s="1" t="s">
        <v>50</v>
      </c>
      <c r="N1040" s="1" t="s">
        <v>965</v>
      </c>
      <c r="O1040" s="1" t="s">
        <v>2107</v>
      </c>
      <c r="P1040" s="1" t="s">
        <v>862</v>
      </c>
      <c r="Q1040" s="1" t="n">
        <v>-1</v>
      </c>
    </row>
    <row r="1041" customFormat="false" ht="14.25" hidden="false" customHeight="false" outlineLevel="0" collapsed="false">
      <c r="A1041" s="1" t="s">
        <v>2649</v>
      </c>
      <c r="B1041" s="1" t="s">
        <v>2656</v>
      </c>
      <c r="C1041" s="2" t="n">
        <v>147</v>
      </c>
      <c r="D1041" s="1" t="s">
        <v>22</v>
      </c>
      <c r="E1041" s="1" t="s">
        <v>2657</v>
      </c>
      <c r="F1041" s="2" t="n">
        <v>18562664691</v>
      </c>
      <c r="G1041" s="9" t="s">
        <v>2658</v>
      </c>
      <c r="H1041" s="1" t="s">
        <v>94</v>
      </c>
      <c r="I1041" s="1" t="s">
        <v>355</v>
      </c>
      <c r="N1041" s="1" t="s">
        <v>965</v>
      </c>
      <c r="O1041" s="1" t="s">
        <v>2659</v>
      </c>
      <c r="P1041" s="1" t="s">
        <v>2245</v>
      </c>
      <c r="Q1041" s="1" t="n">
        <v>0</v>
      </c>
    </row>
    <row r="1042" customFormat="false" ht="16.4" hidden="false" customHeight="false" outlineLevel="0" collapsed="false">
      <c r="A1042" s="1" t="s">
        <v>2649</v>
      </c>
      <c r="B1042" s="1" t="s">
        <v>2656</v>
      </c>
      <c r="C1042" s="2" t="n">
        <v>120</v>
      </c>
      <c r="D1042" s="1" t="s">
        <v>30</v>
      </c>
      <c r="E1042" s="1" t="s">
        <v>2657</v>
      </c>
      <c r="F1042" s="2" t="n">
        <v>559684162886</v>
      </c>
      <c r="G1042" s="11" t="s">
        <v>2660</v>
      </c>
      <c r="H1042" s="1" t="s">
        <v>94</v>
      </c>
      <c r="I1042" s="1" t="s">
        <v>355</v>
      </c>
      <c r="N1042" s="1" t="s">
        <v>965</v>
      </c>
      <c r="O1042" s="1" t="s">
        <v>2659</v>
      </c>
      <c r="P1042" s="1" t="s">
        <v>2245</v>
      </c>
      <c r="Q1042" s="1" t="n">
        <v>0</v>
      </c>
    </row>
    <row r="1043" customFormat="false" ht="14.25" hidden="false" customHeight="false" outlineLevel="0" collapsed="false">
      <c r="A1043" s="1" t="s">
        <v>2649</v>
      </c>
      <c r="B1043" s="1" t="s">
        <v>2656</v>
      </c>
      <c r="C1043" s="2" t="n">
        <v>147</v>
      </c>
      <c r="D1043" s="1" t="s">
        <v>22</v>
      </c>
      <c r="E1043" s="1" t="s">
        <v>2661</v>
      </c>
      <c r="F1043" s="2" t="n">
        <v>553182986802</v>
      </c>
      <c r="G1043" s="9" t="s">
        <v>2662</v>
      </c>
      <c r="H1043" s="1" t="s">
        <v>94</v>
      </c>
      <c r="I1043" s="1" t="s">
        <v>355</v>
      </c>
      <c r="N1043" s="1" t="s">
        <v>965</v>
      </c>
      <c r="O1043" s="1" t="s">
        <v>2659</v>
      </c>
      <c r="P1043" s="1" t="s">
        <v>2245</v>
      </c>
      <c r="Q1043" s="1" t="n">
        <v>0</v>
      </c>
    </row>
    <row r="1044" customFormat="false" ht="14.25" hidden="false" customHeight="false" outlineLevel="0" collapsed="false">
      <c r="A1044" s="1" t="s">
        <v>2649</v>
      </c>
      <c r="B1044" s="1" t="s">
        <v>2656</v>
      </c>
      <c r="C1044" s="2" t="n">
        <v>120</v>
      </c>
      <c r="D1044" s="1" t="s">
        <v>30</v>
      </c>
      <c r="E1044" s="1" t="s">
        <v>2661</v>
      </c>
      <c r="F1044" s="2" t="n">
        <v>553182986802</v>
      </c>
      <c r="G1044" s="9" t="s">
        <v>2662</v>
      </c>
      <c r="H1044" s="1" t="s">
        <v>94</v>
      </c>
      <c r="I1044" s="1" t="s">
        <v>355</v>
      </c>
      <c r="N1044" s="1" t="s">
        <v>965</v>
      </c>
      <c r="O1044" s="1" t="s">
        <v>2659</v>
      </c>
      <c r="P1044" s="1" t="s">
        <v>2245</v>
      </c>
      <c r="Q1044" s="1" t="n">
        <v>0</v>
      </c>
    </row>
    <row r="1045" customFormat="false" ht="14.25" hidden="false" customHeight="false" outlineLevel="0" collapsed="false">
      <c r="A1045" s="1" t="s">
        <v>2663</v>
      </c>
      <c r="B1045" s="1" t="s">
        <v>2664</v>
      </c>
      <c r="C1045" s="2" t="n">
        <v>150</v>
      </c>
      <c r="D1045" s="1" t="s">
        <v>1471</v>
      </c>
      <c r="E1045" s="1" t="s">
        <v>2665</v>
      </c>
      <c r="F1045" s="2" t="n">
        <v>554891344683</v>
      </c>
      <c r="G1045" s="9" t="s">
        <v>2666</v>
      </c>
      <c r="H1045" s="1" t="s">
        <v>94</v>
      </c>
      <c r="I1045" s="1" t="s">
        <v>34</v>
      </c>
      <c r="N1045" s="1" t="s">
        <v>965</v>
      </c>
      <c r="O1045" s="1" t="s">
        <v>2128</v>
      </c>
      <c r="P1045" s="1" t="s">
        <v>2129</v>
      </c>
      <c r="Q1045" s="1" t="n">
        <v>0</v>
      </c>
    </row>
    <row r="1046" customFormat="false" ht="14.25" hidden="false" customHeight="false" outlineLevel="0" collapsed="false">
      <c r="A1046" s="1" t="s">
        <v>2667</v>
      </c>
      <c r="B1046" s="1" t="s">
        <v>2668</v>
      </c>
      <c r="C1046" s="2" t="n">
        <v>480</v>
      </c>
      <c r="D1046" s="1" t="s">
        <v>30</v>
      </c>
      <c r="E1046" s="1" t="s">
        <v>2668</v>
      </c>
      <c r="F1046" s="2" t="n">
        <v>5511910622660</v>
      </c>
      <c r="G1046" s="9" t="s">
        <v>2669</v>
      </c>
      <c r="H1046" s="1" t="s">
        <v>94</v>
      </c>
      <c r="I1046" s="1" t="s">
        <v>54</v>
      </c>
      <c r="N1046" s="1" t="s">
        <v>1022</v>
      </c>
      <c r="O1046" s="1" t="s">
        <v>2135</v>
      </c>
      <c r="P1046" s="1" t="s">
        <v>2135</v>
      </c>
      <c r="Q1046" s="1" t="n">
        <v>-1</v>
      </c>
    </row>
    <row r="1047" customFormat="false" ht="14.25" hidden="false" customHeight="false" outlineLevel="0" collapsed="false">
      <c r="A1047" s="1" t="s">
        <v>2670</v>
      </c>
      <c r="B1047" s="1" t="s">
        <v>2671</v>
      </c>
      <c r="C1047" s="2" t="n">
        <v>150</v>
      </c>
      <c r="D1047" s="1" t="s">
        <v>24</v>
      </c>
      <c r="E1047" s="1" t="s">
        <v>2671</v>
      </c>
      <c r="F1047" s="2" t="n">
        <v>554788347947</v>
      </c>
      <c r="G1047" s="9" t="s">
        <v>2672</v>
      </c>
      <c r="H1047" s="1" t="s">
        <v>94</v>
      </c>
      <c r="I1047" s="1" t="s">
        <v>34</v>
      </c>
      <c r="N1047" s="1" t="s">
        <v>965</v>
      </c>
      <c r="O1047" s="1" t="s">
        <v>2107</v>
      </c>
      <c r="P1047" s="1" t="s">
        <v>862</v>
      </c>
      <c r="Q1047" s="1" t="n">
        <v>-1</v>
      </c>
    </row>
    <row r="1048" customFormat="false" ht="14.25" hidden="false" customHeight="false" outlineLevel="0" collapsed="false">
      <c r="A1048" s="1" t="s">
        <v>2673</v>
      </c>
      <c r="B1048" s="1" t="s">
        <v>2674</v>
      </c>
      <c r="C1048" s="2" t="n">
        <v>147</v>
      </c>
      <c r="D1048" s="1" t="s">
        <v>21</v>
      </c>
      <c r="E1048" s="1" t="s">
        <v>2674</v>
      </c>
      <c r="F1048" s="2" t="n">
        <v>554192032291</v>
      </c>
      <c r="G1048" s="9" t="s">
        <v>2675</v>
      </c>
      <c r="H1048" s="1" t="s">
        <v>94</v>
      </c>
      <c r="I1048" s="1" t="s">
        <v>54</v>
      </c>
      <c r="N1048" s="1" t="s">
        <v>1022</v>
      </c>
      <c r="O1048" s="1" t="s">
        <v>2676</v>
      </c>
      <c r="P1048" s="1" t="s">
        <v>2129</v>
      </c>
      <c r="Q1048" s="1" t="n">
        <v>-1</v>
      </c>
    </row>
    <row r="1049" customFormat="false" ht="14.25" hidden="false" customHeight="false" outlineLevel="0" collapsed="false">
      <c r="A1049" s="1" t="s">
        <v>2677</v>
      </c>
      <c r="B1049" s="1" t="s">
        <v>2678</v>
      </c>
      <c r="C1049" s="2" t="n">
        <v>900</v>
      </c>
      <c r="D1049" s="1" t="s">
        <v>106</v>
      </c>
      <c r="E1049" s="1" t="s">
        <v>2678</v>
      </c>
      <c r="F1049" s="2" t="n">
        <v>554888798345</v>
      </c>
      <c r="G1049" s="9" t="s">
        <v>2679</v>
      </c>
      <c r="H1049" s="1" t="s">
        <v>94</v>
      </c>
      <c r="I1049" s="1" t="s">
        <v>34</v>
      </c>
      <c r="N1049" s="1" t="s">
        <v>965</v>
      </c>
      <c r="O1049" s="1" t="s">
        <v>2128</v>
      </c>
      <c r="P1049" s="1" t="s">
        <v>2129</v>
      </c>
      <c r="Q1049" s="1" t="n">
        <v>0</v>
      </c>
    </row>
    <row r="1050" customFormat="false" ht="14.25" hidden="false" customHeight="false" outlineLevel="0" collapsed="false">
      <c r="A1050" s="1" t="s">
        <v>2680</v>
      </c>
      <c r="B1050" s="1" t="s">
        <v>2681</v>
      </c>
      <c r="C1050" s="2" t="n">
        <v>150</v>
      </c>
      <c r="D1050" s="1" t="s">
        <v>32</v>
      </c>
      <c r="E1050" s="1" t="s">
        <v>2681</v>
      </c>
      <c r="F1050" s="2" t="n">
        <v>554791489195</v>
      </c>
      <c r="G1050" s="9" t="s">
        <v>2682</v>
      </c>
      <c r="H1050" s="1" t="s">
        <v>94</v>
      </c>
      <c r="I1050" s="1" t="s">
        <v>34</v>
      </c>
      <c r="J1050" s="1" t="s">
        <v>1176</v>
      </c>
      <c r="K1050" s="1" t="s">
        <v>1955</v>
      </c>
      <c r="L1050" s="1" t="s">
        <v>2683</v>
      </c>
      <c r="M1050" s="1" t="s">
        <v>1179</v>
      </c>
      <c r="N1050" s="1" t="s">
        <v>965</v>
      </c>
      <c r="O1050" s="1" t="s">
        <v>2107</v>
      </c>
      <c r="P1050" s="1" t="s">
        <v>2129</v>
      </c>
      <c r="Q1050" s="1" t="n">
        <v>0</v>
      </c>
    </row>
    <row r="1051" customFormat="false" ht="14.25" hidden="false" customHeight="false" outlineLevel="0" collapsed="false">
      <c r="A1051" s="1" t="s">
        <v>2684</v>
      </c>
      <c r="B1051" s="1" t="s">
        <v>2636</v>
      </c>
      <c r="C1051" s="2" t="n">
        <v>250</v>
      </c>
      <c r="D1051" s="1" t="s">
        <v>29</v>
      </c>
      <c r="E1051" s="1" t="s">
        <v>2637</v>
      </c>
      <c r="F1051" s="2" t="n">
        <v>5511944895016</v>
      </c>
      <c r="G1051" s="9" t="s">
        <v>2638</v>
      </c>
      <c r="H1051" s="1" t="s">
        <v>94</v>
      </c>
      <c r="I1051" s="1" t="s">
        <v>355</v>
      </c>
      <c r="N1051" s="1" t="s">
        <v>965</v>
      </c>
      <c r="O1051" s="1" t="s">
        <v>2107</v>
      </c>
      <c r="P1051" s="1" t="s">
        <v>2135</v>
      </c>
      <c r="Q1051" s="1" t="n">
        <v>0</v>
      </c>
    </row>
    <row r="1052" customFormat="false" ht="14.25" hidden="false" customHeight="false" outlineLevel="0" collapsed="false">
      <c r="A1052" s="1" t="s">
        <v>2685</v>
      </c>
      <c r="B1052" s="1" t="s">
        <v>2686</v>
      </c>
      <c r="C1052" s="2" t="n">
        <v>194</v>
      </c>
      <c r="D1052" s="1" t="s">
        <v>20</v>
      </c>
      <c r="E1052" s="1" t="s">
        <v>2687</v>
      </c>
      <c r="F1052" s="2" t="n">
        <v>5516993929176</v>
      </c>
      <c r="G1052" s="9" t="s">
        <v>2688</v>
      </c>
      <c r="H1052" s="1" t="s">
        <v>94</v>
      </c>
      <c r="I1052" s="1" t="s">
        <v>355</v>
      </c>
      <c r="J1052" s="1" t="s">
        <v>35</v>
      </c>
      <c r="K1052" s="1" t="s">
        <v>272</v>
      </c>
      <c r="L1052" s="1" t="s">
        <v>273</v>
      </c>
      <c r="M1052" s="1" t="s">
        <v>38</v>
      </c>
      <c r="N1052" s="1" t="s">
        <v>965</v>
      </c>
      <c r="O1052" s="1" t="s">
        <v>2689</v>
      </c>
      <c r="P1052" s="1" t="s">
        <v>2135</v>
      </c>
      <c r="Q1052" s="1" t="n">
        <v>11481124218</v>
      </c>
    </row>
    <row r="1053" customFormat="false" ht="14.25" hidden="false" customHeight="false" outlineLevel="0" collapsed="false">
      <c r="A1053" s="1" t="s">
        <v>2690</v>
      </c>
      <c r="B1053" s="1" t="s">
        <v>884</v>
      </c>
      <c r="C1053" s="2" t="n">
        <v>120</v>
      </c>
      <c r="D1053" s="1" t="s">
        <v>23</v>
      </c>
      <c r="E1053" s="1" t="s">
        <v>884</v>
      </c>
      <c r="F1053" s="2" t="n">
        <v>554192184353</v>
      </c>
      <c r="G1053" s="9" t="s">
        <v>885</v>
      </c>
      <c r="H1053" s="1" t="s">
        <v>94</v>
      </c>
      <c r="I1053" s="1" t="s">
        <v>54</v>
      </c>
      <c r="N1053" s="1" t="s">
        <v>1022</v>
      </c>
      <c r="O1053" s="1" t="s">
        <v>2159</v>
      </c>
      <c r="P1053" s="1" t="s">
        <v>2089</v>
      </c>
      <c r="Q1053" s="1" t="n">
        <v>-1</v>
      </c>
    </row>
    <row r="1054" customFormat="false" ht="14.25" hidden="false" customHeight="false" outlineLevel="0" collapsed="false">
      <c r="A1054" s="1" t="s">
        <v>2691</v>
      </c>
      <c r="B1054" s="1" t="s">
        <v>2692</v>
      </c>
      <c r="C1054" s="2" t="n">
        <v>150</v>
      </c>
      <c r="D1054" s="1" t="s">
        <v>32</v>
      </c>
      <c r="E1054" s="1" t="s">
        <v>2692</v>
      </c>
      <c r="F1054" s="2" t="n">
        <v>5927379604</v>
      </c>
      <c r="G1054" s="9" t="s">
        <v>2693</v>
      </c>
      <c r="H1054" s="1" t="s">
        <v>94</v>
      </c>
      <c r="I1054" s="1" t="s">
        <v>50</v>
      </c>
      <c r="N1054" s="1" t="s">
        <v>965</v>
      </c>
      <c r="O1054" s="1" t="s">
        <v>2107</v>
      </c>
      <c r="P1054" s="1" t="s">
        <v>862</v>
      </c>
      <c r="Q1054" s="1" t="n">
        <v>-1</v>
      </c>
    </row>
    <row r="1055" customFormat="false" ht="14.25" hidden="false" customHeight="false" outlineLevel="0" collapsed="false">
      <c r="A1055" s="1" t="s">
        <v>2694</v>
      </c>
      <c r="B1055" s="1" t="s">
        <v>2695</v>
      </c>
      <c r="C1055" s="2" t="n">
        <v>294</v>
      </c>
      <c r="D1055" s="1" t="s">
        <v>21</v>
      </c>
      <c r="E1055" s="1" t="s">
        <v>2696</v>
      </c>
      <c r="F1055" s="2" t="n">
        <v>559584096367</v>
      </c>
      <c r="G1055" s="9" t="s">
        <v>2697</v>
      </c>
      <c r="H1055" s="1" t="s">
        <v>94</v>
      </c>
      <c r="I1055" s="1" t="s">
        <v>54</v>
      </c>
      <c r="N1055" s="1" t="s">
        <v>965</v>
      </c>
      <c r="O1055" s="1" t="s">
        <v>2128</v>
      </c>
      <c r="P1055" s="1" t="s">
        <v>2129</v>
      </c>
      <c r="Q1055" s="1" t="n">
        <v>-1</v>
      </c>
    </row>
    <row r="1056" customFormat="false" ht="14.25" hidden="false" customHeight="false" outlineLevel="0" collapsed="false">
      <c r="A1056" s="1" t="s">
        <v>2698</v>
      </c>
      <c r="B1056" s="1" t="s">
        <v>2699</v>
      </c>
      <c r="C1056" s="2" t="n">
        <v>300</v>
      </c>
      <c r="D1056" s="1" t="s">
        <v>106</v>
      </c>
      <c r="E1056" s="1" t="s">
        <v>2700</v>
      </c>
      <c r="F1056" s="2" t="n">
        <v>554187708060</v>
      </c>
      <c r="G1056" s="9" t="s">
        <v>2701</v>
      </c>
      <c r="H1056" s="1" t="s">
        <v>94</v>
      </c>
      <c r="I1056" s="1" t="s">
        <v>355</v>
      </c>
      <c r="N1056" s="1" t="s">
        <v>965</v>
      </c>
      <c r="O1056" s="1" t="s">
        <v>2088</v>
      </c>
      <c r="P1056" s="1" t="s">
        <v>2089</v>
      </c>
      <c r="Q1056" s="1" t="n">
        <v>3260836934</v>
      </c>
    </row>
    <row r="1057" customFormat="false" ht="14.25" hidden="false" customHeight="false" outlineLevel="0" collapsed="false">
      <c r="A1057" s="1" t="s">
        <v>2702</v>
      </c>
      <c r="B1057" s="1" t="s">
        <v>2703</v>
      </c>
      <c r="C1057" s="2" t="n">
        <v>97</v>
      </c>
      <c r="D1057" s="1" t="s">
        <v>20</v>
      </c>
      <c r="E1057" s="1" t="s">
        <v>2703</v>
      </c>
      <c r="F1057" s="2" t="n">
        <v>554195773334</v>
      </c>
      <c r="G1057" s="9" t="s">
        <v>2704</v>
      </c>
      <c r="H1057" s="1" t="s">
        <v>94</v>
      </c>
      <c r="I1057" s="1" t="s">
        <v>34</v>
      </c>
      <c r="J1057" s="1" t="s">
        <v>97</v>
      </c>
      <c r="K1057" s="1" t="s">
        <v>20</v>
      </c>
      <c r="L1057" s="1" t="s">
        <v>469</v>
      </c>
      <c r="M1057" s="1" t="s">
        <v>99</v>
      </c>
      <c r="N1057" s="1" t="s">
        <v>965</v>
      </c>
      <c r="O1057" s="1" t="s">
        <v>2088</v>
      </c>
      <c r="P1057" s="1" t="s">
        <v>2089</v>
      </c>
      <c r="Q1057" s="1" t="n">
        <v>11760658235</v>
      </c>
    </row>
    <row r="1058" customFormat="false" ht="14.25" hidden="false" customHeight="false" outlineLevel="0" collapsed="false">
      <c r="A1058" s="1" t="s">
        <v>2705</v>
      </c>
      <c r="B1058" s="1" t="s">
        <v>2706</v>
      </c>
      <c r="C1058" s="2" t="n">
        <v>90</v>
      </c>
      <c r="D1058" s="1" t="s">
        <v>16</v>
      </c>
      <c r="E1058" s="1" t="s">
        <v>2706</v>
      </c>
      <c r="F1058" s="2" t="n">
        <v>559584407526</v>
      </c>
      <c r="G1058" s="9" t="s">
        <v>2707</v>
      </c>
      <c r="H1058" s="1" t="s">
        <v>94</v>
      </c>
      <c r="I1058" s="1" t="s">
        <v>34</v>
      </c>
      <c r="J1058" s="1" t="s">
        <v>1176</v>
      </c>
      <c r="K1058" s="1" t="s">
        <v>1897</v>
      </c>
      <c r="L1058" s="1" t="s">
        <v>1898</v>
      </c>
      <c r="M1058" s="1" t="s">
        <v>1179</v>
      </c>
      <c r="N1058" s="1" t="s">
        <v>965</v>
      </c>
      <c r="O1058" s="1" t="s">
        <v>2708</v>
      </c>
      <c r="P1058" s="1" t="s">
        <v>2089</v>
      </c>
      <c r="Q1058" s="1" t="n">
        <v>11982961279</v>
      </c>
    </row>
    <row r="1059" customFormat="false" ht="14.25" hidden="false" customHeight="false" outlineLevel="0" collapsed="false">
      <c r="A1059" s="1" t="s">
        <v>2709</v>
      </c>
      <c r="B1059" s="1" t="s">
        <v>2710</v>
      </c>
      <c r="C1059" s="2" t="n">
        <v>90</v>
      </c>
      <c r="D1059" s="1" t="s">
        <v>16</v>
      </c>
      <c r="E1059" s="1" t="s">
        <v>2711</v>
      </c>
      <c r="F1059" s="2" t="n">
        <v>51967206803</v>
      </c>
      <c r="G1059" s="9" t="s">
        <v>2712</v>
      </c>
      <c r="H1059" s="1" t="s">
        <v>94</v>
      </c>
      <c r="I1059" s="1" t="s">
        <v>355</v>
      </c>
      <c r="N1059" s="1" t="s">
        <v>965</v>
      </c>
      <c r="O1059" s="1" t="s">
        <v>2159</v>
      </c>
      <c r="P1059" s="1" t="s">
        <v>2089</v>
      </c>
      <c r="Q1059" s="1" t="n">
        <v>-1</v>
      </c>
    </row>
    <row r="1060" customFormat="false" ht="14.25" hidden="false" customHeight="false" outlineLevel="0" collapsed="false">
      <c r="A1060" s="1" t="s">
        <v>2713</v>
      </c>
      <c r="B1060" s="1" t="s">
        <v>2714</v>
      </c>
      <c r="C1060" s="2" t="n">
        <v>210</v>
      </c>
      <c r="D1060" s="1" t="s">
        <v>32</v>
      </c>
      <c r="E1060" s="1" t="s">
        <v>2715</v>
      </c>
      <c r="F1060" s="2" t="n">
        <v>559284719334</v>
      </c>
      <c r="G1060" s="9" t="s">
        <v>2716</v>
      </c>
      <c r="H1060" s="1" t="s">
        <v>94</v>
      </c>
      <c r="I1060" s="1" t="s">
        <v>50</v>
      </c>
      <c r="J1060" s="1" t="s">
        <v>35</v>
      </c>
      <c r="K1060" s="1" t="s">
        <v>36</v>
      </c>
      <c r="L1060" s="1" t="s">
        <v>37</v>
      </c>
      <c r="M1060" s="1" t="s">
        <v>38</v>
      </c>
      <c r="N1060" s="1" t="s">
        <v>965</v>
      </c>
      <c r="O1060" s="1" t="s">
        <v>2139</v>
      </c>
      <c r="P1060" s="1" t="s">
        <v>2089</v>
      </c>
      <c r="Q1060" s="1" t="n">
        <v>-1</v>
      </c>
    </row>
    <row r="1061" customFormat="false" ht="14.25" hidden="false" customHeight="false" outlineLevel="0" collapsed="false">
      <c r="A1061" s="1" t="s">
        <v>2717</v>
      </c>
      <c r="B1061" s="1" t="s">
        <v>1881</v>
      </c>
      <c r="C1061" s="2" t="n">
        <v>147</v>
      </c>
      <c r="D1061" s="1" t="s">
        <v>22</v>
      </c>
      <c r="E1061" s="1" t="s">
        <v>1881</v>
      </c>
      <c r="F1061" s="2" t="n">
        <v>5521965012203</v>
      </c>
      <c r="G1061" s="9" t="s">
        <v>1882</v>
      </c>
      <c r="H1061" s="1" t="s">
        <v>94</v>
      </c>
      <c r="I1061" s="1" t="s">
        <v>54</v>
      </c>
      <c r="N1061" s="1" t="s">
        <v>1022</v>
      </c>
      <c r="O1061" s="1" t="s">
        <v>2107</v>
      </c>
      <c r="P1061" s="1" t="s">
        <v>2718</v>
      </c>
      <c r="Q1061" s="1" t="n">
        <v>-1</v>
      </c>
    </row>
    <row r="1062" customFormat="false" ht="14.25" hidden="false" customHeight="false" outlineLevel="0" collapsed="false">
      <c r="A1062" s="1" t="s">
        <v>2719</v>
      </c>
      <c r="B1062" s="1" t="s">
        <v>1881</v>
      </c>
      <c r="C1062" s="2" t="n">
        <v>147</v>
      </c>
      <c r="D1062" s="1" t="s">
        <v>30</v>
      </c>
      <c r="E1062" s="1" t="s">
        <v>1881</v>
      </c>
      <c r="F1062" s="2" t="n">
        <v>5521965012203</v>
      </c>
      <c r="G1062" s="9" t="s">
        <v>1882</v>
      </c>
      <c r="H1062" s="1" t="s">
        <v>94</v>
      </c>
      <c r="I1062" s="1" t="s">
        <v>54</v>
      </c>
      <c r="N1062" s="1" t="s">
        <v>1022</v>
      </c>
      <c r="O1062" s="1" t="s">
        <v>2107</v>
      </c>
      <c r="P1062" s="1" t="s">
        <v>2718</v>
      </c>
      <c r="Q1062" s="1" t="n">
        <v>-1</v>
      </c>
    </row>
    <row r="1063" customFormat="false" ht="14.25" hidden="false" customHeight="false" outlineLevel="0" collapsed="false">
      <c r="A1063" s="1" t="s">
        <v>2720</v>
      </c>
      <c r="B1063" s="1" t="s">
        <v>2721</v>
      </c>
      <c r="C1063" s="2" t="n">
        <v>60</v>
      </c>
      <c r="D1063" s="1" t="s">
        <v>474</v>
      </c>
      <c r="E1063" s="1" t="s">
        <v>2721</v>
      </c>
      <c r="F1063" s="2" t="n">
        <v>555491558430</v>
      </c>
      <c r="G1063" s="9" t="s">
        <v>2722</v>
      </c>
      <c r="H1063" s="1" t="s">
        <v>94</v>
      </c>
      <c r="I1063" s="1" t="s">
        <v>355</v>
      </c>
      <c r="N1063" s="1" t="s">
        <v>965</v>
      </c>
      <c r="O1063" s="1" t="s">
        <v>2107</v>
      </c>
      <c r="P1063" s="1" t="s">
        <v>2121</v>
      </c>
      <c r="Q1063" s="1" t="n">
        <v>11771951273</v>
      </c>
    </row>
    <row r="1064" customFormat="false" ht="14.25" hidden="false" customHeight="false" outlineLevel="0" collapsed="false">
      <c r="A1064" s="1" t="s">
        <v>2720</v>
      </c>
      <c r="B1064" s="1" t="s">
        <v>2721</v>
      </c>
      <c r="C1064" s="2" t="n">
        <v>120</v>
      </c>
      <c r="D1064" s="1" t="s">
        <v>30</v>
      </c>
      <c r="E1064" s="1" t="s">
        <v>2721</v>
      </c>
      <c r="F1064" s="2" t="n">
        <v>555491558430</v>
      </c>
      <c r="G1064" s="9" t="s">
        <v>2722</v>
      </c>
      <c r="H1064" s="1" t="s">
        <v>94</v>
      </c>
      <c r="I1064" s="1" t="s">
        <v>355</v>
      </c>
      <c r="N1064" s="1" t="s">
        <v>965</v>
      </c>
      <c r="O1064" s="1" t="s">
        <v>2107</v>
      </c>
      <c r="P1064" s="1" t="s">
        <v>2121</v>
      </c>
      <c r="Q1064" s="1" t="n">
        <v>11771951273</v>
      </c>
    </row>
    <row r="1065" customFormat="false" ht="14.25" hidden="false" customHeight="false" outlineLevel="0" collapsed="false">
      <c r="A1065" s="1" t="s">
        <v>2723</v>
      </c>
      <c r="B1065" s="1" t="s">
        <v>2724</v>
      </c>
      <c r="C1065" s="2" t="n">
        <v>120</v>
      </c>
      <c r="D1065" s="1" t="s">
        <v>20</v>
      </c>
      <c r="E1065" s="1" t="s">
        <v>2724</v>
      </c>
      <c r="F1065" s="2" t="n">
        <v>553499098215</v>
      </c>
      <c r="G1065" s="9" t="s">
        <v>43</v>
      </c>
      <c r="H1065" s="1" t="s">
        <v>94</v>
      </c>
      <c r="I1065" s="1" t="s">
        <v>50</v>
      </c>
      <c r="J1065" s="1" t="s">
        <v>35</v>
      </c>
      <c r="K1065" s="1" t="s">
        <v>36</v>
      </c>
      <c r="L1065" s="1" t="s">
        <v>37</v>
      </c>
      <c r="M1065" s="1" t="s">
        <v>38</v>
      </c>
      <c r="N1065" s="1" t="s">
        <v>965</v>
      </c>
      <c r="O1065" s="1" t="s">
        <v>2107</v>
      </c>
      <c r="P1065" s="1" t="s">
        <v>862</v>
      </c>
      <c r="Q1065" s="1" t="n">
        <v>-1</v>
      </c>
    </row>
    <row r="1066" customFormat="false" ht="14.25" hidden="false" customHeight="false" outlineLevel="0" collapsed="false">
      <c r="A1066" s="1" t="s">
        <v>2725</v>
      </c>
      <c r="B1066" s="1" t="s">
        <v>2726</v>
      </c>
      <c r="C1066" s="2" t="n">
        <v>150</v>
      </c>
      <c r="D1066" s="1" t="s">
        <v>32</v>
      </c>
      <c r="E1066" s="1" t="s">
        <v>2726</v>
      </c>
      <c r="F1066" s="2" t="n">
        <v>554899673194</v>
      </c>
      <c r="G1066" s="9" t="s">
        <v>2727</v>
      </c>
      <c r="H1066" s="1" t="s">
        <v>94</v>
      </c>
      <c r="I1066" s="1" t="s">
        <v>355</v>
      </c>
      <c r="J1066" s="1" t="s">
        <v>35</v>
      </c>
      <c r="K1066" s="1" t="s">
        <v>36</v>
      </c>
      <c r="L1066" s="1" t="s">
        <v>37</v>
      </c>
      <c r="M1066" s="1" t="s">
        <v>38</v>
      </c>
      <c r="N1066" s="1" t="s">
        <v>965</v>
      </c>
      <c r="O1066" s="1" t="s">
        <v>2107</v>
      </c>
      <c r="P1066" s="1" t="s">
        <v>862</v>
      </c>
      <c r="Q1066" s="1" t="n">
        <v>-1</v>
      </c>
    </row>
    <row r="1067" customFormat="false" ht="14.25" hidden="false" customHeight="false" outlineLevel="0" collapsed="false">
      <c r="A1067" s="1" t="s">
        <v>2728</v>
      </c>
      <c r="B1067" s="1" t="s">
        <v>2729</v>
      </c>
      <c r="C1067" s="2" t="n">
        <v>120</v>
      </c>
      <c r="D1067" s="1" t="s">
        <v>23</v>
      </c>
      <c r="E1067" s="1" t="s">
        <v>2729</v>
      </c>
      <c r="F1067" s="2" t="n">
        <v>559584297376</v>
      </c>
      <c r="G1067" s="9" t="s">
        <v>2730</v>
      </c>
      <c r="H1067" s="1" t="s">
        <v>94</v>
      </c>
      <c r="I1067" s="1" t="s">
        <v>34</v>
      </c>
      <c r="J1067" s="1" t="s">
        <v>35</v>
      </c>
      <c r="K1067" s="1" t="s">
        <v>36</v>
      </c>
      <c r="L1067" s="1" t="s">
        <v>37</v>
      </c>
      <c r="M1067" s="1" t="s">
        <v>38</v>
      </c>
      <c r="N1067" s="1" t="s">
        <v>965</v>
      </c>
      <c r="O1067" s="1" t="s">
        <v>2159</v>
      </c>
      <c r="P1067" s="1" t="s">
        <v>2089</v>
      </c>
      <c r="Q1067" s="1" t="n">
        <v>-1</v>
      </c>
    </row>
    <row r="1068" customFormat="false" ht="14.25" hidden="false" customHeight="false" outlineLevel="0" collapsed="false">
      <c r="A1068" s="1" t="s">
        <v>2731</v>
      </c>
      <c r="B1068" s="1" t="s">
        <v>2732</v>
      </c>
      <c r="C1068" s="2" t="n">
        <v>150</v>
      </c>
      <c r="D1068" s="1" t="s">
        <v>32</v>
      </c>
      <c r="E1068" s="1" t="s">
        <v>2732</v>
      </c>
      <c r="F1068" s="2" t="n">
        <v>559584214940</v>
      </c>
      <c r="G1068" s="9" t="s">
        <v>2733</v>
      </c>
      <c r="H1068" s="1" t="s">
        <v>94</v>
      </c>
      <c r="I1068" s="1" t="s">
        <v>355</v>
      </c>
      <c r="J1068" s="1" t="s">
        <v>1176</v>
      </c>
      <c r="K1068" s="1" t="s">
        <v>1177</v>
      </c>
      <c r="L1068" s="1" t="s">
        <v>1178</v>
      </c>
      <c r="M1068" s="1" t="s">
        <v>1179</v>
      </c>
      <c r="N1068" s="1" t="s">
        <v>965</v>
      </c>
      <c r="O1068" s="1" t="s">
        <v>2427</v>
      </c>
      <c r="P1068" s="1" t="s">
        <v>2734</v>
      </c>
      <c r="Q1068" s="1" t="n">
        <v>-1</v>
      </c>
    </row>
    <row r="1069" customFormat="false" ht="14.25" hidden="false" customHeight="false" outlineLevel="0" collapsed="false">
      <c r="A1069" s="1" t="s">
        <v>2735</v>
      </c>
      <c r="B1069" s="1" t="s">
        <v>2736</v>
      </c>
      <c r="C1069" s="2" t="n">
        <v>150</v>
      </c>
      <c r="D1069" s="1" t="s">
        <v>32</v>
      </c>
      <c r="E1069" s="1" t="s">
        <v>2507</v>
      </c>
      <c r="F1069" s="2" t="n">
        <v>5978274291</v>
      </c>
      <c r="G1069" s="9" t="s">
        <v>2508</v>
      </c>
      <c r="H1069" s="1" t="s">
        <v>94</v>
      </c>
      <c r="I1069" s="1" t="s">
        <v>54</v>
      </c>
      <c r="N1069" s="1" t="s">
        <v>1022</v>
      </c>
      <c r="O1069" s="1" t="s">
        <v>2159</v>
      </c>
      <c r="P1069" s="1" t="s">
        <v>2089</v>
      </c>
      <c r="Q1069" s="1" t="n">
        <v>-1</v>
      </c>
    </row>
    <row r="1070" customFormat="false" ht="14.25" hidden="false" customHeight="false" outlineLevel="0" collapsed="false">
      <c r="A1070" s="1" t="s">
        <v>2737</v>
      </c>
      <c r="B1070" s="1" t="s">
        <v>2738</v>
      </c>
      <c r="C1070" s="2" t="n">
        <v>294</v>
      </c>
      <c r="D1070" s="1" t="s">
        <v>18</v>
      </c>
      <c r="E1070" s="1" t="s">
        <v>2738</v>
      </c>
      <c r="F1070" s="2" t="n">
        <v>556296899164</v>
      </c>
      <c r="G1070" s="9" t="s">
        <v>2739</v>
      </c>
      <c r="H1070" s="1" t="s">
        <v>94</v>
      </c>
      <c r="I1070" s="1" t="s">
        <v>34</v>
      </c>
      <c r="J1070" s="1" t="s">
        <v>35</v>
      </c>
      <c r="K1070" s="1" t="s">
        <v>36</v>
      </c>
      <c r="L1070" s="1" t="s">
        <v>37</v>
      </c>
      <c r="M1070" s="1" t="s">
        <v>38</v>
      </c>
      <c r="N1070" s="1" t="s">
        <v>965</v>
      </c>
      <c r="O1070" s="1" t="s">
        <v>2280</v>
      </c>
      <c r="P1070" s="1" t="s">
        <v>2281</v>
      </c>
      <c r="Q1070" s="1" t="n">
        <v>-1</v>
      </c>
    </row>
    <row r="1071" customFormat="false" ht="14.25" hidden="false" customHeight="false" outlineLevel="0" collapsed="false">
      <c r="A1071" s="1" t="s">
        <v>2740</v>
      </c>
      <c r="B1071" s="1" t="s">
        <v>2593</v>
      </c>
      <c r="C1071" s="2" t="n">
        <v>147</v>
      </c>
      <c r="D1071" s="1" t="s">
        <v>21</v>
      </c>
      <c r="E1071" s="1" t="s">
        <v>2593</v>
      </c>
      <c r="F1071" s="2" t="n">
        <v>5352070096</v>
      </c>
      <c r="G1071" s="9" t="s">
        <v>2594</v>
      </c>
      <c r="H1071" s="1" t="s">
        <v>94</v>
      </c>
      <c r="I1071" s="1" t="s">
        <v>54</v>
      </c>
      <c r="N1071" s="1" t="s">
        <v>1022</v>
      </c>
      <c r="O1071" s="1" t="s">
        <v>2562</v>
      </c>
      <c r="P1071" s="1" t="s">
        <v>2129</v>
      </c>
      <c r="Q1071" s="1" t="n">
        <v>-1</v>
      </c>
    </row>
    <row r="1072" customFormat="false" ht="14.25" hidden="false" customHeight="false" outlineLevel="0" collapsed="false">
      <c r="A1072" s="1" t="s">
        <v>2741</v>
      </c>
      <c r="B1072" s="1" t="s">
        <v>2742</v>
      </c>
      <c r="C1072" s="2" t="n">
        <v>441</v>
      </c>
      <c r="D1072" s="1" t="s">
        <v>21</v>
      </c>
      <c r="E1072" s="1" t="s">
        <v>2742</v>
      </c>
      <c r="F1072" s="2" t="n">
        <v>554888036597</v>
      </c>
      <c r="G1072" s="9" t="s">
        <v>2743</v>
      </c>
      <c r="H1072" s="1" t="s">
        <v>94</v>
      </c>
      <c r="I1072" s="1" t="s">
        <v>50</v>
      </c>
      <c r="J1072" s="1" t="s">
        <v>35</v>
      </c>
      <c r="K1072" s="1" t="s">
        <v>36</v>
      </c>
      <c r="L1072" s="1" t="s">
        <v>37</v>
      </c>
      <c r="M1072" s="1" t="s">
        <v>38</v>
      </c>
      <c r="N1072" s="1" t="s">
        <v>965</v>
      </c>
      <c r="O1072" s="1" t="s">
        <v>2107</v>
      </c>
      <c r="P1072" s="1" t="s">
        <v>862</v>
      </c>
      <c r="Q1072" s="1" t="n">
        <v>-1</v>
      </c>
    </row>
    <row r="1073" customFormat="false" ht="14.25" hidden="false" customHeight="false" outlineLevel="0" collapsed="false">
      <c r="A1073" s="1" t="s">
        <v>2744</v>
      </c>
      <c r="B1073" s="1" t="s">
        <v>705</v>
      </c>
      <c r="C1073" s="2" t="n">
        <v>600</v>
      </c>
      <c r="D1073" s="1" t="s">
        <v>24</v>
      </c>
      <c r="E1073" s="1" t="s">
        <v>705</v>
      </c>
      <c r="F1073" s="2" t="n">
        <v>554184740618</v>
      </c>
      <c r="G1073" s="1" t="s">
        <v>707</v>
      </c>
      <c r="H1073" s="1" t="s">
        <v>94</v>
      </c>
      <c r="I1073" s="1" t="s">
        <v>54</v>
      </c>
      <c r="N1073" s="1" t="s">
        <v>1022</v>
      </c>
    </row>
    <row r="1074" customFormat="false" ht="14.25" hidden="false" customHeight="false" outlineLevel="0" collapsed="false">
      <c r="A1074" s="1" t="s">
        <v>2741</v>
      </c>
      <c r="B1074" s="1" t="s">
        <v>2745</v>
      </c>
      <c r="C1074" s="2" t="n">
        <v>300</v>
      </c>
      <c r="D1074" s="1" t="s">
        <v>106</v>
      </c>
      <c r="E1074" s="1" t="s">
        <v>2255</v>
      </c>
      <c r="F1074" s="2" t="n">
        <v>554185081260</v>
      </c>
      <c r="G1074" s="9" t="s">
        <v>1468</v>
      </c>
      <c r="H1074" s="1" t="s">
        <v>94</v>
      </c>
      <c r="I1074" s="1" t="s">
        <v>355</v>
      </c>
      <c r="N1074" s="1" t="s">
        <v>965</v>
      </c>
      <c r="O1074" s="1" t="s">
        <v>2088</v>
      </c>
      <c r="P1074" s="1" t="s">
        <v>2089</v>
      </c>
      <c r="Q1074" s="1" t="n">
        <v>0</v>
      </c>
    </row>
    <row r="1075" customFormat="false" ht="14.25" hidden="false" customHeight="false" outlineLevel="0" collapsed="false">
      <c r="A1075" s="1" t="s">
        <v>2746</v>
      </c>
      <c r="B1075" s="1" t="s">
        <v>2747</v>
      </c>
      <c r="C1075" s="2" t="n">
        <v>120</v>
      </c>
      <c r="D1075" s="1" t="s">
        <v>20</v>
      </c>
      <c r="E1075" s="1" t="s">
        <v>2747</v>
      </c>
      <c r="F1075" s="2" t="n">
        <v>559584293436</v>
      </c>
      <c r="G1075" s="9" t="s">
        <v>2748</v>
      </c>
      <c r="H1075" s="1" t="s">
        <v>94</v>
      </c>
      <c r="I1075" s="1" t="s">
        <v>54</v>
      </c>
      <c r="N1075" s="1" t="s">
        <v>1022</v>
      </c>
      <c r="O1075" s="1" t="s">
        <v>2749</v>
      </c>
      <c r="P1075" s="1" t="s">
        <v>2320</v>
      </c>
      <c r="Q1075" s="1" t="n">
        <v>-1</v>
      </c>
    </row>
    <row r="1076" customFormat="false" ht="14.25" hidden="false" customHeight="false" outlineLevel="0" collapsed="false">
      <c r="A1076" s="1" t="s">
        <v>2750</v>
      </c>
      <c r="B1076" s="1" t="s">
        <v>2747</v>
      </c>
      <c r="C1076" s="2" t="n">
        <v>240</v>
      </c>
      <c r="D1076" s="1" t="s">
        <v>30</v>
      </c>
      <c r="E1076" s="1" t="s">
        <v>2747</v>
      </c>
      <c r="F1076" s="2" t="n">
        <v>559584293436</v>
      </c>
      <c r="G1076" s="9" t="s">
        <v>2748</v>
      </c>
      <c r="H1076" s="1" t="s">
        <v>94</v>
      </c>
      <c r="I1076" s="1" t="s">
        <v>54</v>
      </c>
      <c r="N1076" s="1" t="s">
        <v>1022</v>
      </c>
      <c r="O1076" s="1" t="s">
        <v>2749</v>
      </c>
      <c r="P1076" s="1" t="s">
        <v>2320</v>
      </c>
      <c r="Q1076" s="1" t="n">
        <v>-1</v>
      </c>
    </row>
    <row r="1077" customFormat="false" ht="14.25" hidden="false" customHeight="false" outlineLevel="0" collapsed="false">
      <c r="A1077" s="1" t="s">
        <v>2751</v>
      </c>
      <c r="B1077" s="1" t="s">
        <v>2752</v>
      </c>
      <c r="C1077" s="2" t="n">
        <v>369</v>
      </c>
      <c r="D1077" s="1" t="s">
        <v>18</v>
      </c>
      <c r="E1077" s="1" t="s">
        <v>2752</v>
      </c>
      <c r="F1077" s="2" t="n">
        <v>554198735582</v>
      </c>
      <c r="G1077" s="9" t="s">
        <v>2753</v>
      </c>
      <c r="H1077" s="1" t="s">
        <v>94</v>
      </c>
      <c r="I1077" s="1" t="s">
        <v>34</v>
      </c>
      <c r="N1077" s="1" t="s">
        <v>965</v>
      </c>
      <c r="O1077" s="1" t="s">
        <v>2159</v>
      </c>
      <c r="P1077" s="1" t="s">
        <v>2089</v>
      </c>
      <c r="Q1077" s="1" t="n">
        <v>-1</v>
      </c>
    </row>
    <row r="1078" customFormat="false" ht="14.25" hidden="false" customHeight="false" outlineLevel="0" collapsed="false">
      <c r="A1078" s="1" t="s">
        <v>2754</v>
      </c>
      <c r="B1078" s="1" t="s">
        <v>2755</v>
      </c>
      <c r="C1078" s="2" t="n">
        <v>430</v>
      </c>
      <c r="D1078" s="1" t="s">
        <v>16</v>
      </c>
      <c r="E1078" s="1" t="s">
        <v>2756</v>
      </c>
      <c r="F1078" s="2" t="n">
        <v>59895930973</v>
      </c>
      <c r="G1078" s="9" t="s">
        <v>2370</v>
      </c>
      <c r="H1078" s="1" t="s">
        <v>94</v>
      </c>
      <c r="I1078" s="1" t="s">
        <v>54</v>
      </c>
      <c r="N1078" s="1" t="s">
        <v>1022</v>
      </c>
      <c r="O1078" s="1" t="s">
        <v>2236</v>
      </c>
      <c r="P1078" s="1" t="s">
        <v>2129</v>
      </c>
      <c r="Q1078" s="1" t="n">
        <v>-1</v>
      </c>
    </row>
    <row r="1079" customFormat="false" ht="14.25" hidden="false" customHeight="false" outlineLevel="0" collapsed="false">
      <c r="A1079" s="1" t="s">
        <v>2757</v>
      </c>
      <c r="B1079" s="1" t="s">
        <v>2758</v>
      </c>
      <c r="C1079" s="2" t="n">
        <v>150</v>
      </c>
      <c r="D1079" s="1" t="s">
        <v>32</v>
      </c>
      <c r="E1079" s="1" t="s">
        <v>2758</v>
      </c>
      <c r="F1079" s="2" t="n">
        <v>559584295833</v>
      </c>
      <c r="G1079" s="9" t="s">
        <v>2759</v>
      </c>
      <c r="H1079" s="1" t="s">
        <v>94</v>
      </c>
      <c r="I1079" s="1" t="s">
        <v>54</v>
      </c>
      <c r="N1079" s="1" t="s">
        <v>965</v>
      </c>
      <c r="O1079" s="1" t="s">
        <v>2760</v>
      </c>
      <c r="P1079" s="1" t="s">
        <v>2121</v>
      </c>
      <c r="Q1079" s="1" t="n">
        <v>-1</v>
      </c>
    </row>
    <row r="1080" customFormat="false" ht="14.25" hidden="false" customHeight="false" outlineLevel="0" collapsed="false">
      <c r="A1080" s="1" t="s">
        <v>2761</v>
      </c>
      <c r="B1080" s="1" t="s">
        <v>2762</v>
      </c>
      <c r="C1080" s="2" t="n">
        <v>600</v>
      </c>
      <c r="D1080" s="1" t="s">
        <v>27</v>
      </c>
      <c r="E1080" s="1" t="s">
        <v>495</v>
      </c>
      <c r="F1080" s="2" t="n">
        <v>553799589574</v>
      </c>
      <c r="G1080" s="9" t="s">
        <v>496</v>
      </c>
      <c r="H1080" s="1" t="s">
        <v>94</v>
      </c>
      <c r="I1080" s="1" t="s">
        <v>54</v>
      </c>
      <c r="N1080" s="1" t="s">
        <v>1022</v>
      </c>
      <c r="O1080" s="1" t="s">
        <v>2763</v>
      </c>
      <c r="P1080" s="1" t="s">
        <v>2245</v>
      </c>
      <c r="Q1080" s="1" t="n">
        <v>-1</v>
      </c>
    </row>
    <row r="1081" customFormat="false" ht="14.25" hidden="false" customHeight="false" outlineLevel="0" collapsed="false">
      <c r="A1081" s="1" t="s">
        <v>2764</v>
      </c>
      <c r="B1081" s="1" t="s">
        <v>2765</v>
      </c>
      <c r="C1081" s="2" t="n">
        <v>240</v>
      </c>
      <c r="D1081" s="1" t="s">
        <v>30</v>
      </c>
      <c r="E1081" s="1" t="s">
        <v>2765</v>
      </c>
      <c r="F1081" s="2" t="n">
        <v>559584229364</v>
      </c>
      <c r="G1081" s="9" t="s">
        <v>43</v>
      </c>
      <c r="H1081" s="1" t="s">
        <v>94</v>
      </c>
      <c r="I1081" s="1" t="s">
        <v>54</v>
      </c>
      <c r="N1081" s="1" t="s">
        <v>965</v>
      </c>
      <c r="O1081" s="1" t="s">
        <v>2749</v>
      </c>
      <c r="P1081" s="1" t="s">
        <v>2320</v>
      </c>
      <c r="Q1081" s="1" t="n">
        <v>-1</v>
      </c>
    </row>
    <row r="1082" customFormat="false" ht="14.25" hidden="false" customHeight="false" outlineLevel="0" collapsed="false">
      <c r="A1082" s="1" t="s">
        <v>2766</v>
      </c>
      <c r="B1082" s="1" t="s">
        <v>2167</v>
      </c>
      <c r="C1082" s="2" t="n">
        <v>120</v>
      </c>
      <c r="D1082" s="1" t="s">
        <v>2214</v>
      </c>
      <c r="E1082" s="1" t="s">
        <v>2167</v>
      </c>
      <c r="F1082" s="2" t="n">
        <v>554891730563</v>
      </c>
      <c r="G1082" s="9" t="s">
        <v>2064</v>
      </c>
      <c r="H1082" s="1" t="s">
        <v>94</v>
      </c>
      <c r="I1082" s="1" t="s">
        <v>54</v>
      </c>
      <c r="N1082" s="1" t="s">
        <v>1022</v>
      </c>
      <c r="O1082" s="1" t="s">
        <v>2128</v>
      </c>
      <c r="P1082" s="1" t="s">
        <v>2129</v>
      </c>
      <c r="Q1082" s="1" t="n">
        <v>-1</v>
      </c>
    </row>
    <row r="1083" customFormat="false" ht="14.25" hidden="false" customHeight="false" outlineLevel="0" collapsed="false">
      <c r="A1083" s="1" t="s">
        <v>2767</v>
      </c>
      <c r="B1083" s="1" t="s">
        <v>2768</v>
      </c>
      <c r="C1083" s="2" t="n">
        <v>150</v>
      </c>
      <c r="D1083" s="1" t="s">
        <v>24</v>
      </c>
      <c r="E1083" s="1" t="s">
        <v>2769</v>
      </c>
      <c r="F1083" s="2" t="n">
        <v>556681034055</v>
      </c>
      <c r="G1083" s="9" t="s">
        <v>2770</v>
      </c>
      <c r="H1083" s="1" t="s">
        <v>94</v>
      </c>
      <c r="I1083" s="1" t="s">
        <v>355</v>
      </c>
      <c r="J1083" s="1" t="s">
        <v>908</v>
      </c>
      <c r="N1083" s="1" t="s">
        <v>965</v>
      </c>
      <c r="O1083" s="1" t="s">
        <v>2107</v>
      </c>
      <c r="P1083" s="1" t="s">
        <v>2320</v>
      </c>
      <c r="Q1083" s="1" t="n">
        <v>-1</v>
      </c>
    </row>
    <row r="1084" customFormat="false" ht="14.25" hidden="false" customHeight="false" outlineLevel="0" collapsed="false">
      <c r="A1084" s="1" t="s">
        <v>2771</v>
      </c>
      <c r="B1084" s="1" t="s">
        <v>2772</v>
      </c>
      <c r="C1084" s="2" t="n">
        <v>150</v>
      </c>
      <c r="D1084" s="1" t="s">
        <v>32</v>
      </c>
      <c r="E1084" s="1" t="s">
        <v>2772</v>
      </c>
      <c r="F1084" s="2" t="n">
        <v>555491032659</v>
      </c>
      <c r="G1084" s="9" t="s">
        <v>2773</v>
      </c>
      <c r="H1084" s="1" t="s">
        <v>94</v>
      </c>
      <c r="I1084" s="1" t="s">
        <v>54</v>
      </c>
      <c r="N1084" s="1" t="s">
        <v>1022</v>
      </c>
      <c r="O1084" s="1" t="s">
        <v>2107</v>
      </c>
      <c r="P1084" s="1" t="s">
        <v>2121</v>
      </c>
      <c r="Q1084" s="1" t="n">
        <v>-1</v>
      </c>
    </row>
    <row r="1085" customFormat="false" ht="14.25" hidden="false" customHeight="false" outlineLevel="0" collapsed="false">
      <c r="A1085" s="1" t="s">
        <v>2774</v>
      </c>
      <c r="B1085" s="1" t="s">
        <v>406</v>
      </c>
      <c r="C1085" s="2" t="n">
        <v>150</v>
      </c>
      <c r="D1085" s="1" t="s">
        <v>32</v>
      </c>
      <c r="E1085" s="1" t="s">
        <v>2775</v>
      </c>
      <c r="F1085" s="2" t="n">
        <v>556294446991</v>
      </c>
      <c r="G1085" s="9" t="s">
        <v>519</v>
      </c>
      <c r="H1085" s="1" t="s">
        <v>94</v>
      </c>
      <c r="I1085" s="1" t="s">
        <v>34</v>
      </c>
      <c r="J1085" s="1" t="s">
        <v>35</v>
      </c>
      <c r="K1085" s="1" t="s">
        <v>36</v>
      </c>
      <c r="L1085" s="1" t="s">
        <v>37</v>
      </c>
      <c r="M1085" s="1" t="s">
        <v>38</v>
      </c>
      <c r="N1085" s="1" t="s">
        <v>965</v>
      </c>
      <c r="O1085" s="1" t="s">
        <v>2085</v>
      </c>
      <c r="P1085" s="1" t="s">
        <v>862</v>
      </c>
      <c r="Q1085" s="1" t="n">
        <v>-1</v>
      </c>
    </row>
    <row r="1086" customFormat="false" ht="14.25" hidden="false" customHeight="false" outlineLevel="0" collapsed="false">
      <c r="A1086" s="1" t="s">
        <v>2776</v>
      </c>
      <c r="B1086" s="1" t="s">
        <v>2777</v>
      </c>
      <c r="C1086" s="2" t="n">
        <v>294</v>
      </c>
      <c r="D1086" s="1" t="s">
        <v>30</v>
      </c>
      <c r="E1086" s="1" t="s">
        <v>2778</v>
      </c>
      <c r="F1086" s="2" t="s">
        <v>2779</v>
      </c>
      <c r="G1086" s="9" t="s">
        <v>43</v>
      </c>
      <c r="H1086" s="1" t="s">
        <v>94</v>
      </c>
      <c r="I1086" s="1" t="s">
        <v>54</v>
      </c>
      <c r="N1086" s="1" t="s">
        <v>965</v>
      </c>
      <c r="O1086" s="1" t="s">
        <v>2760</v>
      </c>
      <c r="P1086" s="1" t="s">
        <v>2121</v>
      </c>
      <c r="Q1086" s="1" t="n">
        <v>-1</v>
      </c>
    </row>
    <row r="1087" customFormat="false" ht="14.25" hidden="false" customHeight="false" outlineLevel="0" collapsed="false">
      <c r="A1087" s="1" t="s">
        <v>2780</v>
      </c>
      <c r="B1087" s="1" t="s">
        <v>2781</v>
      </c>
      <c r="C1087" s="2" t="n">
        <v>266</v>
      </c>
      <c r="D1087" s="1" t="s">
        <v>22</v>
      </c>
      <c r="E1087" s="1" t="s">
        <v>2778</v>
      </c>
      <c r="F1087" s="2" t="s">
        <v>2782</v>
      </c>
      <c r="G1087" s="9" t="s">
        <v>43</v>
      </c>
      <c r="H1087" s="1" t="s">
        <v>94</v>
      </c>
      <c r="I1087" s="1" t="s">
        <v>54</v>
      </c>
      <c r="N1087" s="1" t="s">
        <v>965</v>
      </c>
      <c r="O1087" s="1" t="s">
        <v>2760</v>
      </c>
      <c r="P1087" s="1" t="s">
        <v>2121</v>
      </c>
      <c r="Q1087" s="1" t="n">
        <v>-1</v>
      </c>
    </row>
    <row r="1088" customFormat="false" ht="14.25" hidden="false" customHeight="false" outlineLevel="0" collapsed="false">
      <c r="A1088" s="1" t="s">
        <v>2783</v>
      </c>
      <c r="B1088" s="1" t="s">
        <v>2784</v>
      </c>
      <c r="C1088" s="2" t="n">
        <v>150</v>
      </c>
      <c r="D1088" s="1" t="s">
        <v>32</v>
      </c>
      <c r="E1088" s="1" t="s">
        <v>2784</v>
      </c>
      <c r="F1088" s="2" t="n">
        <v>554191076146</v>
      </c>
      <c r="G1088" s="9" t="s">
        <v>2587</v>
      </c>
      <c r="H1088" s="1" t="s">
        <v>94</v>
      </c>
      <c r="I1088" s="1" t="s">
        <v>54</v>
      </c>
      <c r="N1088" s="1" t="s">
        <v>1022</v>
      </c>
      <c r="O1088" s="1" t="s">
        <v>2107</v>
      </c>
      <c r="P1088" s="1" t="s">
        <v>862</v>
      </c>
      <c r="Q1088" s="1" t="n">
        <v>0</v>
      </c>
    </row>
    <row r="1089" customFormat="false" ht="14.25" hidden="false" customHeight="false" outlineLevel="0" collapsed="false">
      <c r="A1089" s="1" t="s">
        <v>2785</v>
      </c>
      <c r="B1089" s="1" t="s">
        <v>2786</v>
      </c>
      <c r="C1089" s="2" t="n">
        <v>147</v>
      </c>
      <c r="D1089" s="1" t="s">
        <v>18</v>
      </c>
      <c r="E1089" s="1" t="s">
        <v>2786</v>
      </c>
      <c r="F1089" s="2" t="n">
        <v>559584018059</v>
      </c>
      <c r="G1089" s="9" t="s">
        <v>2787</v>
      </c>
      <c r="H1089" s="1" t="s">
        <v>94</v>
      </c>
      <c r="I1089" s="1" t="s">
        <v>355</v>
      </c>
      <c r="N1089" s="1" t="s">
        <v>965</v>
      </c>
      <c r="O1089" s="1" t="s">
        <v>2280</v>
      </c>
      <c r="P1089" s="1" t="s">
        <v>2281</v>
      </c>
      <c r="Q1089" s="1" t="n">
        <v>-1</v>
      </c>
    </row>
    <row r="1090" customFormat="false" ht="14.25" hidden="false" customHeight="false" outlineLevel="0" collapsed="false">
      <c r="A1090" s="1" t="s">
        <v>2788</v>
      </c>
      <c r="B1090" s="1" t="s">
        <v>2195</v>
      </c>
      <c r="C1090" s="2" t="n">
        <v>75</v>
      </c>
      <c r="D1090" s="1" t="s">
        <v>390</v>
      </c>
      <c r="E1090" s="1" t="s">
        <v>2196</v>
      </c>
      <c r="F1090" s="2" t="n">
        <v>558599840325</v>
      </c>
      <c r="G1090" s="9" t="s">
        <v>2197</v>
      </c>
      <c r="H1090" s="1" t="s">
        <v>94</v>
      </c>
      <c r="I1090" s="1" t="s">
        <v>54</v>
      </c>
      <c r="N1090" s="1" t="s">
        <v>1022</v>
      </c>
      <c r="O1090" s="1" t="s">
        <v>2107</v>
      </c>
      <c r="P1090" s="1" t="s">
        <v>862</v>
      </c>
      <c r="Q1090" s="1" t="n">
        <v>-1</v>
      </c>
    </row>
    <row r="1091" customFormat="false" ht="14.25" hidden="false" customHeight="false" outlineLevel="0" collapsed="false">
      <c r="A1091" s="1" t="s">
        <v>2789</v>
      </c>
      <c r="B1091" s="1" t="s">
        <v>2790</v>
      </c>
      <c r="C1091" s="2" t="n">
        <v>240</v>
      </c>
      <c r="D1091" s="1" t="s">
        <v>21</v>
      </c>
      <c r="E1091" s="1" t="s">
        <v>2790</v>
      </c>
      <c r="F1091" s="2" t="n">
        <v>5547999879884</v>
      </c>
      <c r="G1091" s="9" t="s">
        <v>2791</v>
      </c>
      <c r="H1091" s="1" t="s">
        <v>94</v>
      </c>
      <c r="I1091" s="1" t="s">
        <v>34</v>
      </c>
      <c r="N1091" s="1" t="s">
        <v>965</v>
      </c>
      <c r="O1091" s="1" t="s">
        <v>2345</v>
      </c>
      <c r="P1091" s="1" t="s">
        <v>2129</v>
      </c>
      <c r="Q1091" s="1" t="n">
        <v>0</v>
      </c>
    </row>
    <row r="1092" customFormat="false" ht="14.25" hidden="false" customHeight="false" outlineLevel="0" collapsed="false">
      <c r="A1092" s="1" t="s">
        <v>2792</v>
      </c>
      <c r="B1092" s="1" t="s">
        <v>2793</v>
      </c>
      <c r="C1092" s="2" t="n">
        <v>300</v>
      </c>
      <c r="D1092" s="1" t="s">
        <v>29</v>
      </c>
      <c r="E1092" s="1" t="s">
        <v>2794</v>
      </c>
      <c r="F1092" s="2" t="n">
        <v>554799296245</v>
      </c>
      <c r="G1092" s="9" t="s">
        <v>2795</v>
      </c>
      <c r="H1092" s="1" t="s">
        <v>94</v>
      </c>
      <c r="I1092" s="1" t="s">
        <v>355</v>
      </c>
      <c r="N1092" s="1" t="s">
        <v>965</v>
      </c>
      <c r="O1092" s="1" t="s">
        <v>2236</v>
      </c>
      <c r="P1092" s="1" t="s">
        <v>2129</v>
      </c>
      <c r="Q1092" s="1" t="n">
        <v>3934853900</v>
      </c>
    </row>
    <row r="1093" customFormat="false" ht="14.25" hidden="false" customHeight="false" outlineLevel="0" collapsed="false">
      <c r="A1093" s="1" t="s">
        <v>2796</v>
      </c>
      <c r="B1093" s="1" t="s">
        <v>2797</v>
      </c>
      <c r="C1093" s="2" t="n">
        <v>150</v>
      </c>
      <c r="D1093" s="1" t="s">
        <v>32</v>
      </c>
      <c r="E1093" s="1" t="s">
        <v>2797</v>
      </c>
      <c r="F1093" s="2" t="n">
        <v>554791530689</v>
      </c>
      <c r="G1093" s="9" t="s">
        <v>2798</v>
      </c>
      <c r="H1093" s="1" t="s">
        <v>94</v>
      </c>
      <c r="I1093" s="1" t="s">
        <v>34</v>
      </c>
      <c r="N1093" s="1" t="s">
        <v>965</v>
      </c>
      <c r="O1093" s="1" t="s">
        <v>2107</v>
      </c>
      <c r="P1093" s="1" t="s">
        <v>862</v>
      </c>
      <c r="Q1093" s="1" t="n">
        <v>-1</v>
      </c>
    </row>
    <row r="1094" customFormat="false" ht="14.25" hidden="false" customHeight="false" outlineLevel="0" collapsed="false">
      <c r="A1094" s="1" t="s">
        <v>2799</v>
      </c>
      <c r="B1094" s="1" t="s">
        <v>2800</v>
      </c>
      <c r="C1094" s="2" t="n">
        <v>240</v>
      </c>
      <c r="D1094" s="1" t="s">
        <v>21</v>
      </c>
      <c r="E1094" s="1" t="s">
        <v>2800</v>
      </c>
      <c r="F1094" s="2" t="n">
        <v>554888249508</v>
      </c>
      <c r="G1094" s="9" t="s">
        <v>374</v>
      </c>
      <c r="H1094" s="1" t="s">
        <v>94</v>
      </c>
      <c r="I1094" s="1" t="s">
        <v>54</v>
      </c>
      <c r="N1094" s="1" t="s">
        <v>1022</v>
      </c>
      <c r="O1094" s="1" t="s">
        <v>2128</v>
      </c>
      <c r="P1094" s="1" t="s">
        <v>2129</v>
      </c>
      <c r="Q1094" s="1" t="n">
        <v>-1</v>
      </c>
    </row>
    <row r="1095" customFormat="false" ht="14.25" hidden="false" customHeight="false" outlineLevel="0" collapsed="false">
      <c r="A1095" s="1" t="s">
        <v>2801</v>
      </c>
      <c r="B1095" s="1" t="s">
        <v>2802</v>
      </c>
      <c r="C1095" s="2" t="n">
        <v>120</v>
      </c>
      <c r="D1095" s="1" t="s">
        <v>20</v>
      </c>
      <c r="E1095" s="1" t="s">
        <v>2803</v>
      </c>
      <c r="F1095" s="2" t="n">
        <v>554195389264</v>
      </c>
      <c r="G1095" s="9" t="s">
        <v>2804</v>
      </c>
      <c r="H1095" s="1" t="s">
        <v>94</v>
      </c>
      <c r="I1095" s="1" t="s">
        <v>34</v>
      </c>
      <c r="N1095" s="1" t="s">
        <v>965</v>
      </c>
      <c r="O1095" s="1" t="s">
        <v>2159</v>
      </c>
      <c r="P1095" s="1" t="s">
        <v>2089</v>
      </c>
      <c r="Q1095" s="1" t="n">
        <v>-1</v>
      </c>
    </row>
    <row r="1096" customFormat="false" ht="14.25" hidden="false" customHeight="false" outlineLevel="0" collapsed="false">
      <c r="A1096" s="1" t="s">
        <v>2805</v>
      </c>
      <c r="B1096" s="1" t="s">
        <v>2806</v>
      </c>
      <c r="C1096" s="2" t="n">
        <v>300</v>
      </c>
      <c r="D1096" s="1" t="s">
        <v>20</v>
      </c>
      <c r="E1096" s="1" t="s">
        <v>2807</v>
      </c>
      <c r="F1096" s="2" t="n">
        <v>556294035268</v>
      </c>
      <c r="G1096" s="9" t="s">
        <v>2808</v>
      </c>
      <c r="H1096" s="1" t="s">
        <v>94</v>
      </c>
      <c r="I1096" s="1" t="s">
        <v>50</v>
      </c>
      <c r="N1096" s="1" t="s">
        <v>965</v>
      </c>
      <c r="O1096" s="1" t="s">
        <v>2107</v>
      </c>
      <c r="P1096" s="1" t="s">
        <v>862</v>
      </c>
      <c r="Q1096" s="1" t="n">
        <v>-1</v>
      </c>
    </row>
    <row r="1097" customFormat="false" ht="14.25" hidden="false" customHeight="false" outlineLevel="0" collapsed="false">
      <c r="A1097" s="1" t="s">
        <v>2809</v>
      </c>
      <c r="B1097" s="1" t="s">
        <v>2810</v>
      </c>
      <c r="C1097" s="2" t="n">
        <v>150</v>
      </c>
      <c r="D1097" s="1" t="s">
        <v>32</v>
      </c>
      <c r="E1097" s="1" t="s">
        <v>2811</v>
      </c>
      <c r="F1097" s="2" t="n">
        <v>554191155690</v>
      </c>
      <c r="G1097" s="9" t="s">
        <v>2812</v>
      </c>
      <c r="H1097" s="1" t="s">
        <v>94</v>
      </c>
      <c r="I1097" s="1" t="s">
        <v>54</v>
      </c>
      <c r="J1097" s="1" t="s">
        <v>35</v>
      </c>
      <c r="K1097" s="1" t="s">
        <v>36</v>
      </c>
      <c r="L1097" s="1" t="s">
        <v>37</v>
      </c>
      <c r="M1097" s="1" t="s">
        <v>38</v>
      </c>
      <c r="N1097" s="1" t="s">
        <v>965</v>
      </c>
      <c r="O1097" s="1" t="s">
        <v>2107</v>
      </c>
      <c r="P1097" s="1" t="s">
        <v>862</v>
      </c>
      <c r="Q1097" s="1" t="n">
        <v>-1</v>
      </c>
    </row>
    <row r="1098" customFormat="false" ht="14.25" hidden="false" customHeight="false" outlineLevel="0" collapsed="false">
      <c r="A1098" s="1" t="s">
        <v>2813</v>
      </c>
      <c r="B1098" s="1" t="s">
        <v>2814</v>
      </c>
      <c r="C1098" s="2" t="n">
        <v>150</v>
      </c>
      <c r="D1098" s="1" t="s">
        <v>20</v>
      </c>
      <c r="E1098" s="1" t="s">
        <v>2814</v>
      </c>
      <c r="F1098" s="2" t="n">
        <v>554197116202</v>
      </c>
      <c r="G1098" s="9" t="s">
        <v>2815</v>
      </c>
      <c r="H1098" s="1" t="s">
        <v>94</v>
      </c>
      <c r="I1098" s="1" t="s">
        <v>54</v>
      </c>
      <c r="J1098" s="1" t="s">
        <v>35</v>
      </c>
      <c r="K1098" s="1" t="s">
        <v>36</v>
      </c>
      <c r="L1098" s="1" t="s">
        <v>37</v>
      </c>
      <c r="M1098" s="1" t="s">
        <v>38</v>
      </c>
      <c r="N1098" s="1" t="s">
        <v>965</v>
      </c>
      <c r="O1098" s="1" t="s">
        <v>2159</v>
      </c>
      <c r="P1098" s="1" t="s">
        <v>2089</v>
      </c>
      <c r="Q1098" s="1" t="n">
        <v>-1</v>
      </c>
    </row>
    <row r="1099" customFormat="false" ht="14.25" hidden="false" customHeight="false" outlineLevel="0" collapsed="false">
      <c r="A1099" s="1" t="s">
        <v>2816</v>
      </c>
      <c r="B1099" s="1" t="s">
        <v>2817</v>
      </c>
      <c r="C1099" s="2" t="n">
        <v>150</v>
      </c>
      <c r="D1099" s="1" t="s">
        <v>1471</v>
      </c>
      <c r="E1099" s="1" t="s">
        <v>2818</v>
      </c>
      <c r="F1099" s="2" t="n">
        <v>5511974977625</v>
      </c>
      <c r="G1099" s="9" t="s">
        <v>2819</v>
      </c>
      <c r="H1099" s="1" t="s">
        <v>94</v>
      </c>
      <c r="I1099" s="1" t="s">
        <v>34</v>
      </c>
      <c r="N1099" s="1" t="s">
        <v>965</v>
      </c>
      <c r="O1099" s="1" t="s">
        <v>2107</v>
      </c>
      <c r="P1099" s="1" t="s">
        <v>862</v>
      </c>
      <c r="Q1099" s="1" t="n">
        <v>0</v>
      </c>
    </row>
    <row r="1100" customFormat="false" ht="14.25" hidden="false" customHeight="false" outlineLevel="0" collapsed="false">
      <c r="A1100" s="1" t="s">
        <v>2820</v>
      </c>
      <c r="B1100" s="1" t="s">
        <v>2821</v>
      </c>
      <c r="C1100" s="2" t="n">
        <v>400</v>
      </c>
      <c r="D1100" s="1" t="s">
        <v>106</v>
      </c>
      <c r="E1100" s="1" t="s">
        <v>2821</v>
      </c>
      <c r="F1100" s="2" t="n">
        <v>5511954715763</v>
      </c>
      <c r="G1100" s="9" t="s">
        <v>2822</v>
      </c>
      <c r="H1100" s="1" t="s">
        <v>94</v>
      </c>
      <c r="I1100" s="1" t="s">
        <v>34</v>
      </c>
      <c r="N1100" s="1" t="s">
        <v>965</v>
      </c>
      <c r="O1100" s="1" t="s">
        <v>2823</v>
      </c>
      <c r="P1100" s="1" t="s">
        <v>2135</v>
      </c>
      <c r="Q1100" s="1" t="n">
        <v>0</v>
      </c>
    </row>
    <row r="1101" customFormat="false" ht="14.25" hidden="false" customHeight="false" outlineLevel="0" collapsed="false">
      <c r="A1101" s="1" t="s">
        <v>2824</v>
      </c>
      <c r="B1101" s="1" t="s">
        <v>2825</v>
      </c>
      <c r="C1101" s="2" t="n">
        <v>240</v>
      </c>
      <c r="D1101" s="1" t="s">
        <v>30</v>
      </c>
      <c r="E1101" s="1" t="s">
        <v>2826</v>
      </c>
      <c r="F1101" s="2" t="n">
        <v>553195677687</v>
      </c>
      <c r="G1101" s="9" t="s">
        <v>2827</v>
      </c>
      <c r="H1101" s="1" t="s">
        <v>94</v>
      </c>
      <c r="I1101" s="1" t="s">
        <v>34</v>
      </c>
      <c r="J1101" s="1" t="s">
        <v>1176</v>
      </c>
      <c r="K1101" s="1" t="s">
        <v>1897</v>
      </c>
      <c r="L1101" s="1" t="s">
        <v>2828</v>
      </c>
      <c r="M1101" s="1" t="s">
        <v>1179</v>
      </c>
      <c r="N1101" s="1" t="s">
        <v>965</v>
      </c>
      <c r="O1101" s="1" t="s">
        <v>2659</v>
      </c>
      <c r="P1101" s="1" t="s">
        <v>2245</v>
      </c>
      <c r="Q1101" s="1" t="n">
        <v>0</v>
      </c>
    </row>
    <row r="1102" customFormat="false" ht="14.25" hidden="false" customHeight="false" outlineLevel="0" collapsed="false">
      <c r="A1102" s="1" t="s">
        <v>2829</v>
      </c>
      <c r="B1102" s="1" t="s">
        <v>2830</v>
      </c>
      <c r="C1102" s="2" t="n">
        <v>120</v>
      </c>
      <c r="D1102" s="1" t="s">
        <v>20</v>
      </c>
      <c r="E1102" s="1" t="s">
        <v>2830</v>
      </c>
      <c r="F1102" s="2" t="n">
        <v>559584156470</v>
      </c>
      <c r="G1102" s="9" t="s">
        <v>2831</v>
      </c>
      <c r="H1102" s="1" t="s">
        <v>94</v>
      </c>
      <c r="I1102" s="1" t="s">
        <v>355</v>
      </c>
      <c r="N1102" s="1" t="s">
        <v>965</v>
      </c>
      <c r="O1102" s="1" t="s">
        <v>2139</v>
      </c>
      <c r="P1102" s="1" t="s">
        <v>2089</v>
      </c>
      <c r="Q1102" s="1" t="n">
        <v>11756732264</v>
      </c>
    </row>
    <row r="1103" customFormat="false" ht="14.25" hidden="false" customHeight="false" outlineLevel="0" collapsed="false">
      <c r="A1103" s="1" t="s">
        <v>2832</v>
      </c>
      <c r="B1103" s="1" t="s">
        <v>2087</v>
      </c>
      <c r="C1103" s="2" t="n">
        <v>147</v>
      </c>
      <c r="D1103" s="1" t="s">
        <v>18</v>
      </c>
      <c r="E1103" s="1" t="s">
        <v>2087</v>
      </c>
      <c r="F1103" s="2" t="n">
        <v>554195688649</v>
      </c>
      <c r="G1103" s="9" t="s">
        <v>2833</v>
      </c>
      <c r="H1103" s="1" t="s">
        <v>94</v>
      </c>
      <c r="I1103" s="1" t="s">
        <v>54</v>
      </c>
      <c r="N1103" s="1" t="s">
        <v>1022</v>
      </c>
      <c r="O1103" s="1" t="s">
        <v>2159</v>
      </c>
      <c r="P1103" s="1" t="s">
        <v>2089</v>
      </c>
      <c r="Q1103" s="1" t="n">
        <v>-1</v>
      </c>
    </row>
    <row r="1104" customFormat="false" ht="14.25" hidden="false" customHeight="false" outlineLevel="0" collapsed="false">
      <c r="A1104" s="1" t="s">
        <v>2834</v>
      </c>
      <c r="B1104" s="1" t="s">
        <v>2835</v>
      </c>
      <c r="C1104" s="2" t="n">
        <v>120</v>
      </c>
      <c r="D1104" s="1" t="s">
        <v>23</v>
      </c>
      <c r="E1104" s="1" t="s">
        <v>2836</v>
      </c>
      <c r="F1104" s="2" t="n">
        <v>5927501751</v>
      </c>
      <c r="G1104" s="9" t="s">
        <v>2837</v>
      </c>
      <c r="H1104" s="1" t="s">
        <v>94</v>
      </c>
      <c r="I1104" s="1" t="s">
        <v>34</v>
      </c>
      <c r="N1104" s="1" t="s">
        <v>965</v>
      </c>
      <c r="O1104" s="1" t="s">
        <v>2107</v>
      </c>
      <c r="P1104" s="1" t="s">
        <v>862</v>
      </c>
      <c r="Q1104" s="1" t="n">
        <v>0</v>
      </c>
    </row>
    <row r="1105" customFormat="false" ht="14.25" hidden="false" customHeight="false" outlineLevel="0" collapsed="false">
      <c r="A1105" s="1" t="s">
        <v>2838</v>
      </c>
      <c r="B1105" s="1" t="s">
        <v>2839</v>
      </c>
      <c r="C1105" s="2" t="n">
        <v>194</v>
      </c>
      <c r="D1105" s="1" t="s">
        <v>20</v>
      </c>
      <c r="E1105" s="1" t="s">
        <v>2840</v>
      </c>
      <c r="F1105" s="2" t="n">
        <v>17673171185</v>
      </c>
      <c r="G1105" s="9" t="s">
        <v>43</v>
      </c>
      <c r="H1105" s="1" t="s">
        <v>94</v>
      </c>
      <c r="I1105" s="1" t="s">
        <v>50</v>
      </c>
      <c r="N1105" s="1" t="s">
        <v>965</v>
      </c>
      <c r="O1105" s="1" t="s">
        <v>2126</v>
      </c>
      <c r="P1105" s="1" t="s">
        <v>2121</v>
      </c>
      <c r="Q1105" s="1" t="n">
        <v>-1</v>
      </c>
    </row>
    <row r="1106" customFormat="false" ht="14.25" hidden="false" customHeight="false" outlineLevel="0" collapsed="false">
      <c r="A1106" s="1" t="s">
        <v>2841</v>
      </c>
      <c r="B1106" s="1" t="s">
        <v>2842</v>
      </c>
      <c r="C1106" s="2" t="n">
        <v>300</v>
      </c>
      <c r="D1106" s="1" t="s">
        <v>27</v>
      </c>
      <c r="E1106" s="1" t="s">
        <v>2842</v>
      </c>
      <c r="F1106" s="2" t="n">
        <v>559885995663</v>
      </c>
      <c r="G1106" s="9" t="s">
        <v>2843</v>
      </c>
      <c r="H1106" s="1" t="s">
        <v>94</v>
      </c>
      <c r="I1106" s="1" t="s">
        <v>54</v>
      </c>
      <c r="N1106" s="1" t="s">
        <v>1022</v>
      </c>
      <c r="O1106" s="1" t="s">
        <v>2107</v>
      </c>
      <c r="P1106" s="1" t="s">
        <v>862</v>
      </c>
      <c r="Q1106" s="1" t="n">
        <v>0</v>
      </c>
    </row>
    <row r="1107" customFormat="false" ht="14.25" hidden="false" customHeight="false" outlineLevel="0" collapsed="false">
      <c r="A1107" s="1" t="s">
        <v>2844</v>
      </c>
      <c r="B1107" s="1" t="s">
        <v>2845</v>
      </c>
      <c r="C1107" s="2" t="n">
        <v>250</v>
      </c>
      <c r="D1107" s="1" t="s">
        <v>30</v>
      </c>
      <c r="E1107" s="1" t="s">
        <v>2845</v>
      </c>
      <c r="F1107" s="2" t="n">
        <v>553497060180</v>
      </c>
      <c r="G1107" s="9" t="s">
        <v>1386</v>
      </c>
      <c r="H1107" s="1" t="s">
        <v>94</v>
      </c>
      <c r="I1107" s="1" t="s">
        <v>54</v>
      </c>
      <c r="N1107" s="1" t="s">
        <v>1022</v>
      </c>
      <c r="O1107" s="1" t="s">
        <v>2341</v>
      </c>
      <c r="P1107" s="1" t="s">
        <v>2245</v>
      </c>
      <c r="Q1107" s="1" t="n">
        <v>-1</v>
      </c>
    </row>
    <row r="1108" customFormat="false" ht="14.25" hidden="false" customHeight="false" outlineLevel="0" collapsed="false">
      <c r="A1108" s="1" t="s">
        <v>2846</v>
      </c>
      <c r="B1108" s="1" t="s">
        <v>2847</v>
      </c>
      <c r="C1108" s="2" t="n">
        <v>147</v>
      </c>
      <c r="D1108" s="1" t="s">
        <v>18</v>
      </c>
      <c r="E1108" s="1" t="s">
        <v>2848</v>
      </c>
      <c r="F1108" s="2" t="n">
        <v>554199542433</v>
      </c>
      <c r="G1108" s="9" t="s">
        <v>2849</v>
      </c>
      <c r="H1108" s="1" t="s">
        <v>94</v>
      </c>
      <c r="I1108" s="1" t="s">
        <v>355</v>
      </c>
      <c r="N1108" s="1" t="s">
        <v>965</v>
      </c>
      <c r="O1108" s="1" t="s">
        <v>2159</v>
      </c>
      <c r="P1108" s="1" t="s">
        <v>2089</v>
      </c>
      <c r="Q1108" s="1" t="n">
        <v>0</v>
      </c>
    </row>
    <row r="1109" customFormat="false" ht="14.25" hidden="false" customHeight="false" outlineLevel="0" collapsed="false">
      <c r="A1109" s="1" t="s">
        <v>2850</v>
      </c>
      <c r="B1109" s="1" t="s">
        <v>2851</v>
      </c>
      <c r="C1109" s="2" t="n">
        <v>120</v>
      </c>
      <c r="D1109" s="1" t="s">
        <v>30</v>
      </c>
      <c r="E1109" s="1" t="s">
        <v>2851</v>
      </c>
      <c r="F1109" s="2" t="n">
        <v>555496941819</v>
      </c>
      <c r="G1109" s="9" t="s">
        <v>2852</v>
      </c>
      <c r="H1109" s="1" t="s">
        <v>94</v>
      </c>
      <c r="I1109" s="1" t="s">
        <v>355</v>
      </c>
      <c r="N1109" s="1" t="s">
        <v>965</v>
      </c>
      <c r="O1109" s="1" t="s">
        <v>2126</v>
      </c>
      <c r="P1109" s="1" t="s">
        <v>2121</v>
      </c>
      <c r="Q1109" s="1" t="n">
        <v>7370502090</v>
      </c>
    </row>
    <row r="1110" customFormat="false" ht="14.25" hidden="false" customHeight="false" outlineLevel="0" collapsed="false">
      <c r="A1110" s="1" t="s">
        <v>2853</v>
      </c>
      <c r="B1110" s="1" t="s">
        <v>1681</v>
      </c>
      <c r="C1110" s="2" t="n">
        <v>300</v>
      </c>
      <c r="D1110" s="1" t="s">
        <v>30</v>
      </c>
      <c r="E1110" s="1" t="s">
        <v>1681</v>
      </c>
      <c r="F1110" s="2" t="n">
        <v>5512981378624</v>
      </c>
      <c r="G1110" s="9" t="s">
        <v>2315</v>
      </c>
      <c r="H1110" s="1" t="s">
        <v>94</v>
      </c>
      <c r="I1110" s="1" t="s">
        <v>54</v>
      </c>
      <c r="N1110" s="1" t="s">
        <v>1022</v>
      </c>
      <c r="O1110" s="1" t="s">
        <v>2280</v>
      </c>
      <c r="P1110" s="1" t="s">
        <v>2281</v>
      </c>
      <c r="Q1110" s="1" t="n">
        <v>-1</v>
      </c>
    </row>
    <row r="1111" customFormat="false" ht="14.25" hidden="false" customHeight="false" outlineLevel="0" collapsed="false">
      <c r="A1111" s="1" t="s">
        <v>2854</v>
      </c>
      <c r="B1111" s="1" t="s">
        <v>2153</v>
      </c>
      <c r="C1111" s="2" t="n">
        <v>120</v>
      </c>
      <c r="D1111" s="1" t="s">
        <v>21</v>
      </c>
      <c r="E1111" s="1" t="s">
        <v>2153</v>
      </c>
      <c r="F1111" s="2" t="n">
        <v>554896871939</v>
      </c>
      <c r="G1111" s="9" t="s">
        <v>2154</v>
      </c>
      <c r="H1111" s="1" t="s">
        <v>94</v>
      </c>
      <c r="I1111" s="1" t="s">
        <v>54</v>
      </c>
      <c r="N1111" s="1" t="s">
        <v>1022</v>
      </c>
      <c r="O1111" s="1" t="s">
        <v>2128</v>
      </c>
      <c r="P1111" s="1" t="s">
        <v>2129</v>
      </c>
      <c r="Q1111" s="1" t="n">
        <v>0</v>
      </c>
    </row>
    <row r="1112" customFormat="false" ht="14.25" hidden="false" customHeight="false" outlineLevel="0" collapsed="false">
      <c r="A1112" s="1" t="s">
        <v>2855</v>
      </c>
      <c r="B1112" s="1" t="s">
        <v>2856</v>
      </c>
      <c r="C1112" s="2" t="n">
        <v>120</v>
      </c>
      <c r="D1112" s="1" t="s">
        <v>30</v>
      </c>
      <c r="E1112" s="1" t="s">
        <v>2857</v>
      </c>
      <c r="F1112" s="2" t="n">
        <v>5491130059179</v>
      </c>
      <c r="G1112" s="9" t="s">
        <v>2858</v>
      </c>
      <c r="H1112" s="1" t="s">
        <v>2859</v>
      </c>
      <c r="I1112" s="1" t="s">
        <v>50</v>
      </c>
      <c r="J1112" s="1" t="s">
        <v>35</v>
      </c>
      <c r="K1112" s="1" t="s">
        <v>36</v>
      </c>
      <c r="L1112" s="1" t="s">
        <v>37</v>
      </c>
      <c r="M1112" s="1" t="s">
        <v>38</v>
      </c>
      <c r="N1112" s="1" t="s">
        <v>965</v>
      </c>
      <c r="O1112" s="1" t="s">
        <v>2135</v>
      </c>
      <c r="P1112" s="1" t="s">
        <v>2135</v>
      </c>
      <c r="Q1112" s="1" t="n">
        <v>-1</v>
      </c>
    </row>
    <row r="1113" customFormat="false" ht="14.25" hidden="false" customHeight="false" outlineLevel="0" collapsed="false">
      <c r="A1113" s="1" t="s">
        <v>2860</v>
      </c>
      <c r="B1113" s="1" t="s">
        <v>2861</v>
      </c>
      <c r="C1113" s="2" t="n">
        <v>150</v>
      </c>
      <c r="D1113" s="1" t="s">
        <v>32</v>
      </c>
      <c r="E1113" s="1" t="s">
        <v>2861</v>
      </c>
      <c r="F1113" s="2" t="n">
        <v>554187764013</v>
      </c>
      <c r="G1113" s="9" t="s">
        <v>2862</v>
      </c>
      <c r="H1113" s="1" t="s">
        <v>94</v>
      </c>
      <c r="I1113" s="1" t="s">
        <v>34</v>
      </c>
      <c r="J1113" s="1" t="s">
        <v>1176</v>
      </c>
      <c r="K1113" s="1" t="s">
        <v>1177</v>
      </c>
      <c r="L1113" s="1" t="s">
        <v>1324</v>
      </c>
      <c r="M1113" s="1" t="s">
        <v>1243</v>
      </c>
      <c r="N1113" s="1" t="s">
        <v>965</v>
      </c>
      <c r="O1113" s="1" t="s">
        <v>2159</v>
      </c>
      <c r="P1113" s="1" t="s">
        <v>2089</v>
      </c>
      <c r="Q1113" s="1" t="n">
        <v>0</v>
      </c>
    </row>
    <row r="1114" customFormat="false" ht="14.25" hidden="false" customHeight="false" outlineLevel="0" collapsed="false">
      <c r="A1114" s="1" t="s">
        <v>2863</v>
      </c>
      <c r="B1114" s="1" t="s">
        <v>2864</v>
      </c>
      <c r="C1114" s="2" t="n">
        <v>240</v>
      </c>
      <c r="D1114" s="1" t="s">
        <v>21</v>
      </c>
      <c r="E1114" s="1" t="s">
        <v>2865</v>
      </c>
      <c r="F1114" s="2" t="n">
        <v>5511940418338</v>
      </c>
      <c r="G1114" s="9" t="s">
        <v>2866</v>
      </c>
      <c r="H1114" s="1" t="s">
        <v>94</v>
      </c>
      <c r="I1114" s="1" t="s">
        <v>355</v>
      </c>
      <c r="N1114" s="1" t="s">
        <v>965</v>
      </c>
      <c r="O1114" s="1" t="s">
        <v>2867</v>
      </c>
      <c r="P1114" s="1" t="s">
        <v>2129</v>
      </c>
      <c r="Q1114" s="1" t="n">
        <v>13225243949</v>
      </c>
    </row>
    <row r="1115" customFormat="false" ht="14.25" hidden="false" customHeight="false" outlineLevel="0" collapsed="false">
      <c r="A1115" s="1" t="s">
        <v>2868</v>
      </c>
      <c r="B1115" s="1" t="s">
        <v>2869</v>
      </c>
      <c r="C1115" s="2" t="n">
        <v>147</v>
      </c>
      <c r="D1115" s="1" t="s">
        <v>21</v>
      </c>
      <c r="E1115" s="1" t="s">
        <v>2870</v>
      </c>
      <c r="F1115" s="2" t="n">
        <v>554792542707</v>
      </c>
      <c r="G1115" s="9" t="s">
        <v>2871</v>
      </c>
      <c r="H1115" s="1" t="s">
        <v>94</v>
      </c>
      <c r="I1115" s="1" t="s">
        <v>355</v>
      </c>
      <c r="N1115" s="1" t="s">
        <v>965</v>
      </c>
      <c r="O1115" s="1" t="s">
        <v>2236</v>
      </c>
      <c r="P1115" s="1" t="s">
        <v>2129</v>
      </c>
      <c r="Q1115" s="1" t="n">
        <v>0</v>
      </c>
    </row>
    <row r="1116" customFormat="false" ht="14.25" hidden="false" customHeight="false" outlineLevel="0" collapsed="false">
      <c r="A1116" s="1" t="s">
        <v>2872</v>
      </c>
      <c r="B1116" s="1" t="s">
        <v>2873</v>
      </c>
      <c r="C1116" s="2" t="n">
        <v>294</v>
      </c>
      <c r="D1116" s="1" t="s">
        <v>390</v>
      </c>
      <c r="E1116" s="1" t="s">
        <v>2873</v>
      </c>
      <c r="F1116" s="2" t="n">
        <v>559584379233</v>
      </c>
      <c r="G1116" s="9" t="s">
        <v>2874</v>
      </c>
      <c r="H1116" s="1" t="s">
        <v>94</v>
      </c>
      <c r="I1116" s="1" t="s">
        <v>54</v>
      </c>
      <c r="N1116" s="1" t="s">
        <v>1022</v>
      </c>
      <c r="O1116" s="1" t="s">
        <v>2107</v>
      </c>
      <c r="P1116" s="1" t="s">
        <v>862</v>
      </c>
      <c r="Q1116" s="1" t="n">
        <v>-1</v>
      </c>
    </row>
    <row r="1117" customFormat="false" ht="14.25" hidden="false" customHeight="false" outlineLevel="0" collapsed="false">
      <c r="A1117" s="1" t="s">
        <v>2875</v>
      </c>
      <c r="B1117" s="1" t="s">
        <v>205</v>
      </c>
      <c r="C1117" s="2" t="n">
        <v>150</v>
      </c>
      <c r="D1117" s="1" t="s">
        <v>24</v>
      </c>
      <c r="E1117" s="1" t="s">
        <v>205</v>
      </c>
      <c r="F1117" s="2" t="n">
        <v>5511972143364</v>
      </c>
      <c r="G1117" s="9" t="s">
        <v>206</v>
      </c>
      <c r="H1117" s="1" t="s">
        <v>94</v>
      </c>
      <c r="I1117" s="1" t="s">
        <v>54</v>
      </c>
      <c r="N1117" s="1" t="s">
        <v>1022</v>
      </c>
      <c r="O1117" s="1" t="s">
        <v>2107</v>
      </c>
      <c r="P1117" s="1" t="s">
        <v>862</v>
      </c>
      <c r="Q1117" s="1" t="n">
        <v>0</v>
      </c>
    </row>
    <row r="1118" customFormat="false" ht="14.25" hidden="false" customHeight="false" outlineLevel="0" collapsed="false">
      <c r="A1118" s="1" t="s">
        <v>2876</v>
      </c>
      <c r="B1118" s="1" t="s">
        <v>1741</v>
      </c>
      <c r="C1118" s="2" t="n">
        <v>120</v>
      </c>
      <c r="D1118" s="1" t="s">
        <v>23</v>
      </c>
      <c r="E1118" s="1" t="s">
        <v>1741</v>
      </c>
      <c r="F1118" s="2" t="n">
        <v>554187387956</v>
      </c>
      <c r="G1118" s="9" t="s">
        <v>1742</v>
      </c>
      <c r="H1118" s="1" t="s">
        <v>94</v>
      </c>
      <c r="I1118" s="1" t="s">
        <v>54</v>
      </c>
      <c r="N1118" s="1" t="s">
        <v>1022</v>
      </c>
      <c r="O1118" s="1" t="s">
        <v>2107</v>
      </c>
      <c r="P1118" s="1" t="s">
        <v>862</v>
      </c>
      <c r="Q1118" s="1" t="n">
        <v>0</v>
      </c>
    </row>
    <row r="1119" customFormat="false" ht="14.25" hidden="false" customHeight="false" outlineLevel="0" collapsed="false">
      <c r="A1119" s="1" t="s">
        <v>2877</v>
      </c>
      <c r="B1119" s="1" t="s">
        <v>2878</v>
      </c>
      <c r="C1119" s="2" t="n">
        <v>120</v>
      </c>
      <c r="D1119" s="1" t="s">
        <v>21</v>
      </c>
      <c r="E1119" s="1" t="s">
        <v>2878</v>
      </c>
      <c r="F1119" s="2" t="n">
        <v>556799197437</v>
      </c>
      <c r="G1119" s="9" t="s">
        <v>43</v>
      </c>
      <c r="H1119" s="1" t="s">
        <v>94</v>
      </c>
      <c r="I1119" s="1" t="s">
        <v>50</v>
      </c>
      <c r="N1119" s="1" t="s">
        <v>965</v>
      </c>
      <c r="O1119" s="1" t="s">
        <v>2209</v>
      </c>
      <c r="P1119" s="1" t="s">
        <v>2129</v>
      </c>
      <c r="Q1119" s="1" t="n">
        <v>-1</v>
      </c>
    </row>
    <row r="1120" customFormat="false" ht="14.25" hidden="false" customHeight="false" outlineLevel="0" collapsed="false">
      <c r="A1120" s="1" t="s">
        <v>2879</v>
      </c>
      <c r="B1120" s="1" t="s">
        <v>2880</v>
      </c>
      <c r="C1120" s="2" t="n">
        <v>1500</v>
      </c>
      <c r="D1120" s="1" t="s">
        <v>27</v>
      </c>
      <c r="E1120" s="1" t="s">
        <v>2880</v>
      </c>
      <c r="F1120" s="2" t="n">
        <v>559599773288</v>
      </c>
      <c r="G1120" s="9" t="s">
        <v>329</v>
      </c>
      <c r="H1120" s="1" t="s">
        <v>94</v>
      </c>
      <c r="I1120" s="1" t="s">
        <v>54</v>
      </c>
      <c r="N1120" s="1" t="s">
        <v>1022</v>
      </c>
      <c r="O1120" s="1" t="s">
        <v>2159</v>
      </c>
      <c r="P1120" s="1" t="s">
        <v>2089</v>
      </c>
      <c r="Q1120" s="1" t="n">
        <v>-1</v>
      </c>
    </row>
    <row r="1121" customFormat="false" ht="14.25" hidden="false" customHeight="false" outlineLevel="0" collapsed="false">
      <c r="A1121" s="1" t="s">
        <v>2881</v>
      </c>
      <c r="B1121" s="1" t="s">
        <v>328</v>
      </c>
      <c r="C1121" s="2" t="n">
        <v>900</v>
      </c>
      <c r="D1121" s="1" t="s">
        <v>24</v>
      </c>
      <c r="E1121" s="1" t="s">
        <v>328</v>
      </c>
      <c r="F1121" s="2" t="n">
        <v>559599773288</v>
      </c>
      <c r="G1121" s="9" t="s">
        <v>329</v>
      </c>
      <c r="H1121" s="1" t="s">
        <v>94</v>
      </c>
      <c r="I1121" s="1" t="s">
        <v>54</v>
      </c>
      <c r="N1121" s="1" t="s">
        <v>1022</v>
      </c>
      <c r="O1121" s="1" t="s">
        <v>2159</v>
      </c>
      <c r="P1121" s="1" t="s">
        <v>2089</v>
      </c>
      <c r="Q1121" s="1" t="n">
        <v>-1</v>
      </c>
    </row>
    <row r="1122" customFormat="false" ht="14.25" hidden="false" customHeight="false" outlineLevel="0" collapsed="false">
      <c r="A1122" s="1" t="s">
        <v>2882</v>
      </c>
      <c r="B1122" s="1" t="s">
        <v>1881</v>
      </c>
      <c r="C1122" s="2" t="n">
        <v>294</v>
      </c>
      <c r="D1122" s="1" t="s">
        <v>30</v>
      </c>
      <c r="E1122" s="1" t="s">
        <v>1881</v>
      </c>
      <c r="F1122" s="2" t="n">
        <v>5521965012203</v>
      </c>
      <c r="G1122" s="9" t="s">
        <v>1882</v>
      </c>
      <c r="H1122" s="1" t="s">
        <v>94</v>
      </c>
      <c r="I1122" s="1" t="s">
        <v>54</v>
      </c>
      <c r="N1122" s="1" t="s">
        <v>1022</v>
      </c>
      <c r="O1122" s="1" t="s">
        <v>2107</v>
      </c>
      <c r="P1122" s="1" t="s">
        <v>2718</v>
      </c>
      <c r="Q1122" s="1" t="n">
        <v>-1</v>
      </c>
    </row>
    <row r="1123" customFormat="false" ht="14.25" hidden="false" customHeight="false" outlineLevel="0" collapsed="false">
      <c r="A1123" s="1" t="s">
        <v>2883</v>
      </c>
      <c r="B1123" s="1" t="s">
        <v>1881</v>
      </c>
      <c r="C1123" s="2" t="n">
        <v>294</v>
      </c>
      <c r="D1123" s="1" t="s">
        <v>22</v>
      </c>
      <c r="E1123" s="1" t="s">
        <v>1881</v>
      </c>
      <c r="G1123" s="9"/>
      <c r="H1123" s="1" t="s">
        <v>94</v>
      </c>
      <c r="I1123" s="1" t="s">
        <v>54</v>
      </c>
      <c r="N1123" s="1" t="s">
        <v>1022</v>
      </c>
      <c r="O1123" s="1" t="s">
        <v>2107</v>
      </c>
      <c r="P1123" s="1" t="s">
        <v>2718</v>
      </c>
      <c r="Q1123" s="1" t="n">
        <v>-1</v>
      </c>
    </row>
    <row r="1124" customFormat="false" ht="14.25" hidden="false" customHeight="false" outlineLevel="0" collapsed="false">
      <c r="A1124" s="1" t="s">
        <v>2884</v>
      </c>
      <c r="B1124" s="1" t="s">
        <v>2885</v>
      </c>
      <c r="C1124" s="2" t="n">
        <v>150</v>
      </c>
      <c r="D1124" s="1" t="s">
        <v>1471</v>
      </c>
      <c r="E1124" s="1" t="s">
        <v>2885</v>
      </c>
      <c r="F1124" s="2" t="n">
        <v>5511989205119</v>
      </c>
      <c r="G1124" s="9" t="s">
        <v>2886</v>
      </c>
      <c r="H1124" s="1" t="s">
        <v>94</v>
      </c>
      <c r="I1124" s="1" t="s">
        <v>355</v>
      </c>
      <c r="N1124" s="1" t="s">
        <v>965</v>
      </c>
      <c r="O1124" s="1" t="s">
        <v>2159</v>
      </c>
      <c r="P1124" s="1" t="s">
        <v>2089</v>
      </c>
      <c r="Q1124" s="1" t="n">
        <v>-1</v>
      </c>
    </row>
    <row r="1125" customFormat="false" ht="14.25" hidden="false" customHeight="false" outlineLevel="0" collapsed="false">
      <c r="A1125" s="1" t="s">
        <v>2887</v>
      </c>
      <c r="B1125" s="1" t="s">
        <v>2888</v>
      </c>
      <c r="C1125" s="2" t="n">
        <v>300</v>
      </c>
      <c r="D1125" s="1" t="s">
        <v>2889</v>
      </c>
      <c r="E1125" s="1" t="s">
        <v>2888</v>
      </c>
      <c r="F1125" s="2" t="n">
        <v>554197203642</v>
      </c>
      <c r="G1125" s="9" t="s">
        <v>2890</v>
      </c>
      <c r="H1125" s="1" t="s">
        <v>94</v>
      </c>
      <c r="I1125" s="1" t="s">
        <v>34</v>
      </c>
      <c r="J1125" s="1" t="s">
        <v>35</v>
      </c>
      <c r="K1125" s="1" t="s">
        <v>36</v>
      </c>
      <c r="L1125" s="1" t="s">
        <v>37</v>
      </c>
      <c r="M1125" s="1" t="s">
        <v>38</v>
      </c>
      <c r="N1125" s="1" t="s">
        <v>965</v>
      </c>
      <c r="O1125" s="1" t="s">
        <v>2159</v>
      </c>
      <c r="P1125" s="1" t="s">
        <v>2089</v>
      </c>
      <c r="Q1125" s="1" t="n">
        <v>0</v>
      </c>
    </row>
    <row r="1126" customFormat="false" ht="14.25" hidden="false" customHeight="false" outlineLevel="0" collapsed="false">
      <c r="A1126" s="1" t="s">
        <v>2891</v>
      </c>
      <c r="B1126" s="1" t="s">
        <v>2892</v>
      </c>
      <c r="C1126" s="2" t="n">
        <v>300</v>
      </c>
      <c r="D1126" s="1" t="s">
        <v>20</v>
      </c>
      <c r="E1126" s="1" t="s">
        <v>2892</v>
      </c>
      <c r="F1126" s="2" t="n">
        <v>554187832107</v>
      </c>
      <c r="G1126" s="9" t="s">
        <v>2893</v>
      </c>
      <c r="H1126" s="1" t="s">
        <v>94</v>
      </c>
      <c r="I1126" s="1" t="s">
        <v>34</v>
      </c>
      <c r="J1126" s="1" t="s">
        <v>1176</v>
      </c>
      <c r="K1126" s="1" t="s">
        <v>1897</v>
      </c>
      <c r="L1126" s="1" t="s">
        <v>2447</v>
      </c>
      <c r="M1126" s="1" t="s">
        <v>1179</v>
      </c>
      <c r="N1126" s="1" t="s">
        <v>965</v>
      </c>
      <c r="O1126" s="1" t="s">
        <v>2159</v>
      </c>
      <c r="P1126" s="1" t="s">
        <v>2089</v>
      </c>
      <c r="Q1126" s="1" t="n">
        <v>0</v>
      </c>
    </row>
    <row r="1127" customFormat="false" ht="14.25" hidden="false" customHeight="false" outlineLevel="0" collapsed="false">
      <c r="A1127" s="1" t="s">
        <v>2894</v>
      </c>
      <c r="B1127" s="1" t="s">
        <v>2895</v>
      </c>
      <c r="C1127" s="2" t="n">
        <v>240</v>
      </c>
      <c r="D1127" s="1" t="s">
        <v>30</v>
      </c>
      <c r="E1127" s="1" t="s">
        <v>2896</v>
      </c>
      <c r="F1127" s="2" t="n">
        <v>559584406323</v>
      </c>
      <c r="G1127" s="9" t="s">
        <v>2897</v>
      </c>
      <c r="H1127" s="1" t="s">
        <v>94</v>
      </c>
      <c r="I1127" s="1" t="s">
        <v>50</v>
      </c>
      <c r="N1127" s="1" t="s">
        <v>965</v>
      </c>
      <c r="O1127" s="1" t="s">
        <v>2898</v>
      </c>
      <c r="P1127" s="1" t="s">
        <v>2135</v>
      </c>
      <c r="Q1127" s="1" t="n">
        <v>-1</v>
      </c>
    </row>
    <row r="1128" customFormat="false" ht="14.25" hidden="false" customHeight="false" outlineLevel="0" collapsed="false">
      <c r="A1128" s="1" t="s">
        <v>2899</v>
      </c>
      <c r="B1128" s="1" t="s">
        <v>2900</v>
      </c>
      <c r="C1128" s="2" t="n">
        <v>150</v>
      </c>
      <c r="D1128" s="1" t="s">
        <v>32</v>
      </c>
      <c r="E1128" s="1" t="s">
        <v>2900</v>
      </c>
      <c r="F1128" s="2" t="n">
        <v>554420023673</v>
      </c>
      <c r="G1128" s="9" t="s">
        <v>2901</v>
      </c>
      <c r="H1128" s="1" t="s">
        <v>94</v>
      </c>
      <c r="I1128" s="1" t="s">
        <v>50</v>
      </c>
      <c r="J1128" s="1" t="s">
        <v>1176</v>
      </c>
      <c r="K1128" s="1" t="s">
        <v>1177</v>
      </c>
      <c r="L1128" s="1" t="s">
        <v>1242</v>
      </c>
      <c r="M1128" s="1" t="s">
        <v>1243</v>
      </c>
      <c r="N1128" s="1" t="s">
        <v>965</v>
      </c>
      <c r="O1128" s="1" t="s">
        <v>2107</v>
      </c>
      <c r="P1128" s="1" t="s">
        <v>862</v>
      </c>
      <c r="Q1128" s="1" t="n">
        <v>-1</v>
      </c>
    </row>
    <row r="1129" customFormat="false" ht="14.25" hidden="false" customHeight="false" outlineLevel="0" collapsed="false">
      <c r="A1129" s="1" t="s">
        <v>2902</v>
      </c>
      <c r="B1129" s="1" t="s">
        <v>2903</v>
      </c>
      <c r="C1129" s="2" t="n">
        <v>97</v>
      </c>
      <c r="D1129" s="1" t="s">
        <v>20</v>
      </c>
      <c r="E1129" s="1" t="s">
        <v>2903</v>
      </c>
      <c r="F1129" s="2" t="n">
        <v>554188170690</v>
      </c>
      <c r="G1129" s="9" t="s">
        <v>2904</v>
      </c>
      <c r="H1129" s="1" t="s">
        <v>94</v>
      </c>
      <c r="I1129" s="1" t="s">
        <v>50</v>
      </c>
      <c r="N1129" s="1" t="s">
        <v>965</v>
      </c>
      <c r="O1129" s="1" t="s">
        <v>2088</v>
      </c>
      <c r="P1129" s="1" t="s">
        <v>2089</v>
      </c>
      <c r="Q1129" s="1" t="n">
        <v>-1</v>
      </c>
    </row>
    <row r="1130" customFormat="false" ht="14.25" hidden="false" customHeight="false" outlineLevel="0" collapsed="false">
      <c r="A1130" s="1" t="s">
        <v>2905</v>
      </c>
      <c r="B1130" s="1" t="s">
        <v>2906</v>
      </c>
      <c r="C1130" s="2" t="n">
        <v>150</v>
      </c>
      <c r="D1130" s="1" t="s">
        <v>32</v>
      </c>
      <c r="E1130" s="1" t="s">
        <v>2906</v>
      </c>
      <c r="F1130" s="2" t="n">
        <v>5521983506624</v>
      </c>
      <c r="G1130" s="9" t="s">
        <v>2907</v>
      </c>
      <c r="H1130" s="1" t="s">
        <v>94</v>
      </c>
      <c r="I1130" s="1" t="s">
        <v>50</v>
      </c>
      <c r="J1130" s="1" t="s">
        <v>35</v>
      </c>
      <c r="K1130" s="1" t="s">
        <v>36</v>
      </c>
      <c r="L1130" s="1" t="s">
        <v>37</v>
      </c>
      <c r="M1130" s="1" t="s">
        <v>38</v>
      </c>
      <c r="N1130" s="1" t="s">
        <v>965</v>
      </c>
      <c r="O1130" s="1" t="s">
        <v>2107</v>
      </c>
      <c r="P1130" s="1" t="s">
        <v>862</v>
      </c>
      <c r="Q1130" s="1" t="n">
        <v>-1</v>
      </c>
    </row>
    <row r="1131" customFormat="false" ht="14.25" hidden="false" customHeight="false" outlineLevel="0" collapsed="false">
      <c r="A1131" s="1" t="s">
        <v>2908</v>
      </c>
      <c r="B1131" s="1" t="s">
        <v>1652</v>
      </c>
      <c r="C1131" s="2" t="n">
        <v>100</v>
      </c>
      <c r="D1131" s="1" t="s">
        <v>390</v>
      </c>
      <c r="E1131" s="1" t="s">
        <v>2909</v>
      </c>
      <c r="F1131" s="2" t="n">
        <v>556281066019</v>
      </c>
      <c r="G1131" s="9" t="s">
        <v>1653</v>
      </c>
      <c r="H1131" s="1" t="s">
        <v>94</v>
      </c>
      <c r="I1131" s="1" t="s">
        <v>54</v>
      </c>
      <c r="N1131" s="1" t="s">
        <v>1022</v>
      </c>
      <c r="O1131" s="1" t="s">
        <v>2280</v>
      </c>
      <c r="P1131" s="1" t="s">
        <v>2281</v>
      </c>
      <c r="Q1131" s="1" t="n">
        <v>-1</v>
      </c>
    </row>
    <row r="1132" customFormat="false" ht="14.25" hidden="false" customHeight="false" outlineLevel="0" collapsed="false">
      <c r="A1132" s="1" t="s">
        <v>2910</v>
      </c>
      <c r="B1132" s="1" t="s">
        <v>2911</v>
      </c>
      <c r="C1132" s="2" t="n">
        <v>300</v>
      </c>
      <c r="D1132" s="1" t="s">
        <v>106</v>
      </c>
      <c r="E1132" s="1" t="s">
        <v>2911</v>
      </c>
      <c r="F1132" s="2" t="n">
        <v>555496829535</v>
      </c>
      <c r="G1132" s="9" t="s">
        <v>2912</v>
      </c>
      <c r="H1132" s="1" t="s">
        <v>94</v>
      </c>
      <c r="I1132" s="1" t="s">
        <v>355</v>
      </c>
      <c r="N1132" s="1" t="s">
        <v>965</v>
      </c>
      <c r="O1132" s="1" t="s">
        <v>2107</v>
      </c>
      <c r="P1132" s="1" t="s">
        <v>862</v>
      </c>
      <c r="Q1132" s="1" t="n">
        <v>0</v>
      </c>
    </row>
    <row r="1133" customFormat="false" ht="14.25" hidden="false" customHeight="false" outlineLevel="0" collapsed="false">
      <c r="A1133" s="1" t="s">
        <v>2913</v>
      </c>
      <c r="B1133" s="1" t="s">
        <v>2914</v>
      </c>
      <c r="C1133" s="2" t="n">
        <v>150</v>
      </c>
      <c r="D1133" s="1" t="s">
        <v>32</v>
      </c>
      <c r="E1133" s="1" t="s">
        <v>2914</v>
      </c>
      <c r="F1133" s="2" t="n">
        <v>559584256973</v>
      </c>
      <c r="G1133" s="9" t="s">
        <v>2915</v>
      </c>
      <c r="H1133" s="1" t="s">
        <v>94</v>
      </c>
      <c r="I1133" s="1" t="s">
        <v>54</v>
      </c>
      <c r="N1133" s="1" t="s">
        <v>1022</v>
      </c>
      <c r="O1133" s="1" t="s">
        <v>2107</v>
      </c>
      <c r="P1133" s="1" t="s">
        <v>862</v>
      </c>
      <c r="Q1133" s="1" t="n">
        <v>-1</v>
      </c>
    </row>
    <row r="1134" customFormat="false" ht="14.25" hidden="false" customHeight="false" outlineLevel="0" collapsed="false">
      <c r="A1134" s="1" t="s">
        <v>2916</v>
      </c>
      <c r="B1134" s="1" t="s">
        <v>2917</v>
      </c>
      <c r="C1134" s="2" t="n">
        <v>97</v>
      </c>
      <c r="D1134" s="1" t="s">
        <v>16</v>
      </c>
      <c r="E1134" s="1" t="s">
        <v>2918</v>
      </c>
      <c r="F1134" s="2" t="n">
        <v>554899378524</v>
      </c>
      <c r="G1134" s="9" t="s">
        <v>2919</v>
      </c>
      <c r="H1134" s="1" t="s">
        <v>94</v>
      </c>
      <c r="I1134" s="1" t="s">
        <v>54</v>
      </c>
      <c r="N1134" s="1" t="s">
        <v>1022</v>
      </c>
      <c r="O1134" s="1" t="s">
        <v>2107</v>
      </c>
      <c r="P1134" s="1" t="s">
        <v>2129</v>
      </c>
      <c r="Q1134" s="1" t="n">
        <v>-1</v>
      </c>
    </row>
    <row r="1135" customFormat="false" ht="14.25" hidden="false" customHeight="false" outlineLevel="0" collapsed="false">
      <c r="A1135" s="1" t="s">
        <v>2920</v>
      </c>
      <c r="B1135" s="1" t="s">
        <v>2921</v>
      </c>
      <c r="C1135" s="2" t="n">
        <v>120</v>
      </c>
      <c r="D1135" s="1" t="s">
        <v>862</v>
      </c>
      <c r="E1135" s="1" t="s">
        <v>906</v>
      </c>
      <c r="F1135" s="2" t="n">
        <v>559584227041</v>
      </c>
      <c r="G1135" s="9" t="s">
        <v>907</v>
      </c>
      <c r="H1135" s="1" t="s">
        <v>94</v>
      </c>
      <c r="I1135" s="1" t="s">
        <v>54</v>
      </c>
      <c r="N1135" s="1" t="s">
        <v>1022</v>
      </c>
      <c r="O1135" s="1" t="s">
        <v>2107</v>
      </c>
      <c r="P1135" s="1" t="s">
        <v>862</v>
      </c>
      <c r="Q1135" s="1" t="n">
        <v>0</v>
      </c>
    </row>
    <row r="1136" customFormat="false" ht="14.25" hidden="false" customHeight="false" outlineLevel="0" collapsed="false">
      <c r="A1136" s="1" t="s">
        <v>2922</v>
      </c>
      <c r="B1136" s="1" t="s">
        <v>2923</v>
      </c>
      <c r="C1136" s="2" t="n">
        <v>240</v>
      </c>
      <c r="D1136" s="1" t="s">
        <v>20</v>
      </c>
      <c r="E1136" s="1" t="s">
        <v>2924</v>
      </c>
      <c r="F1136" s="2" t="n">
        <v>554192858366</v>
      </c>
      <c r="G1136" s="9" t="s">
        <v>2925</v>
      </c>
      <c r="H1136" s="1" t="s">
        <v>94</v>
      </c>
      <c r="I1136" s="1" t="s">
        <v>34</v>
      </c>
      <c r="J1136" s="1" t="s">
        <v>35</v>
      </c>
      <c r="K1136" s="1" t="s">
        <v>69</v>
      </c>
      <c r="L1136" s="1" t="s">
        <v>70</v>
      </c>
      <c r="M1136" s="1" t="s">
        <v>38</v>
      </c>
      <c r="N1136" s="1" t="s">
        <v>965</v>
      </c>
      <c r="O1136" s="1" t="s">
        <v>2159</v>
      </c>
      <c r="P1136" s="1" t="s">
        <v>2089</v>
      </c>
      <c r="Q1136" s="1" t="n">
        <v>0</v>
      </c>
    </row>
    <row r="1137" customFormat="false" ht="14.25" hidden="false" customHeight="false" outlineLevel="0" collapsed="false">
      <c r="A1137" s="1" t="s">
        <v>2926</v>
      </c>
      <c r="B1137" s="1" t="s">
        <v>2927</v>
      </c>
      <c r="C1137" s="2" t="n">
        <v>147</v>
      </c>
      <c r="D1137" s="1" t="s">
        <v>390</v>
      </c>
      <c r="E1137" s="1" t="s">
        <v>2927</v>
      </c>
      <c r="F1137" s="2" t="n">
        <v>554588413388</v>
      </c>
      <c r="G1137" s="9" t="s">
        <v>519</v>
      </c>
      <c r="H1137" s="1" t="s">
        <v>94</v>
      </c>
      <c r="I1137" s="1" t="s">
        <v>34</v>
      </c>
      <c r="N1137" s="1" t="s">
        <v>965</v>
      </c>
      <c r="O1137" s="1" t="s">
        <v>2708</v>
      </c>
      <c r="P1137" s="1" t="s">
        <v>2089</v>
      </c>
      <c r="Q1137" s="1" t="n">
        <v>0</v>
      </c>
    </row>
    <row r="1138" customFormat="false" ht="14.25" hidden="false" customHeight="false" outlineLevel="0" collapsed="false">
      <c r="A1138" s="1" t="s">
        <v>2928</v>
      </c>
      <c r="B1138" s="1" t="s">
        <v>605</v>
      </c>
      <c r="C1138" s="2" t="n">
        <v>250</v>
      </c>
      <c r="D1138" s="1" t="s">
        <v>106</v>
      </c>
      <c r="E1138" s="1" t="s">
        <v>605</v>
      </c>
      <c r="F1138" s="2" t="n">
        <v>554396374743</v>
      </c>
      <c r="G1138" s="1" t="s">
        <v>43</v>
      </c>
      <c r="H1138" s="1" t="s">
        <v>94</v>
      </c>
      <c r="I1138" s="1" t="s">
        <v>50</v>
      </c>
      <c r="J1138" s="1" t="s">
        <v>60</v>
      </c>
      <c r="K1138" s="1" t="s">
        <v>27</v>
      </c>
      <c r="L1138" s="1" t="s">
        <v>606</v>
      </c>
      <c r="M1138" s="1" t="s">
        <v>62</v>
      </c>
      <c r="N1138" s="1" t="s">
        <v>965</v>
      </c>
    </row>
    <row r="1139" customFormat="false" ht="14.25" hidden="false" customHeight="false" outlineLevel="0" collapsed="false">
      <c r="A1139" s="1" t="s">
        <v>2929</v>
      </c>
      <c r="B1139" s="1" t="s">
        <v>2930</v>
      </c>
      <c r="C1139" s="2" t="n">
        <v>120</v>
      </c>
      <c r="D1139" s="1" t="s">
        <v>30</v>
      </c>
      <c r="E1139" s="1" t="s">
        <v>2930</v>
      </c>
      <c r="F1139" s="2" t="n">
        <v>5511926331610</v>
      </c>
      <c r="G1139" s="1" t="s">
        <v>2931</v>
      </c>
      <c r="H1139" s="1" t="s">
        <v>94</v>
      </c>
      <c r="I1139" s="1" t="s">
        <v>355</v>
      </c>
      <c r="J1139" s="1" t="s">
        <v>1176</v>
      </c>
      <c r="K1139" s="1" t="s">
        <v>1897</v>
      </c>
      <c r="L1139" s="1" t="s">
        <v>1898</v>
      </c>
      <c r="M1139" s="1" t="s">
        <v>1179</v>
      </c>
      <c r="N1139" s="1" t="s">
        <v>965</v>
      </c>
      <c r="O1139" s="1" t="s">
        <v>2107</v>
      </c>
      <c r="P1139" s="1" t="s">
        <v>2135</v>
      </c>
      <c r="Q1139" s="1" t="n">
        <v>5505550991</v>
      </c>
    </row>
    <row r="1140" customFormat="false" ht="14.25" hidden="false" customHeight="false" outlineLevel="0" collapsed="false">
      <c r="A1140" s="1" t="s">
        <v>2932</v>
      </c>
      <c r="B1140" s="1" t="s">
        <v>2933</v>
      </c>
      <c r="C1140" s="2" t="n">
        <v>150</v>
      </c>
      <c r="D1140" s="1" t="s">
        <v>21</v>
      </c>
      <c r="E1140" s="1" t="s">
        <v>2934</v>
      </c>
      <c r="F1140" s="2" t="n">
        <v>554892114578</v>
      </c>
      <c r="G1140" s="1" t="s">
        <v>2935</v>
      </c>
      <c r="H1140" s="1" t="s">
        <v>94</v>
      </c>
      <c r="I1140" s="1" t="s">
        <v>355</v>
      </c>
      <c r="J1140" s="1" t="s">
        <v>35</v>
      </c>
      <c r="K1140" s="1" t="s">
        <v>36</v>
      </c>
      <c r="L1140" s="1" t="s">
        <v>37</v>
      </c>
      <c r="M1140" s="1" t="s">
        <v>38</v>
      </c>
      <c r="N1140" s="1" t="s">
        <v>965</v>
      </c>
      <c r="O1140" s="1" t="s">
        <v>2128</v>
      </c>
      <c r="P1140" s="1" t="s">
        <v>2129</v>
      </c>
      <c r="Q1140" s="1" t="n">
        <v>11604335262</v>
      </c>
    </row>
    <row r="1141" customFormat="false" ht="14.25" hidden="false" customHeight="false" outlineLevel="0" collapsed="false">
      <c r="A1141" s="1" t="s">
        <v>2936</v>
      </c>
      <c r="B1141" s="1" t="s">
        <v>2937</v>
      </c>
      <c r="C1141" s="2" t="n">
        <v>197</v>
      </c>
      <c r="D1141" s="1" t="s">
        <v>390</v>
      </c>
      <c r="E1141" s="1" t="s">
        <v>2937</v>
      </c>
      <c r="F1141" s="2" t="n">
        <v>559584066875</v>
      </c>
      <c r="G1141" s="1" t="s">
        <v>2938</v>
      </c>
      <c r="H1141" s="1" t="s">
        <v>94</v>
      </c>
      <c r="I1141" s="1" t="s">
        <v>50</v>
      </c>
      <c r="N1141" s="1" t="s">
        <v>965</v>
      </c>
      <c r="O1141" s="1" t="s">
        <v>2939</v>
      </c>
      <c r="P1141" s="1" t="s">
        <v>2320</v>
      </c>
      <c r="Q1141" s="1" t="n">
        <v>-1</v>
      </c>
    </row>
    <row r="1142" customFormat="false" ht="14.25" hidden="false" customHeight="false" outlineLevel="0" collapsed="false">
      <c r="A1142" s="1" t="s">
        <v>2940</v>
      </c>
      <c r="B1142" s="1" t="s">
        <v>2941</v>
      </c>
      <c r="C1142" s="2" t="n">
        <v>120</v>
      </c>
      <c r="D1142" s="1" t="s">
        <v>23</v>
      </c>
      <c r="E1142" s="1" t="s">
        <v>2942</v>
      </c>
      <c r="F1142" s="2" t="n">
        <v>554991633193</v>
      </c>
      <c r="G1142" s="1" t="s">
        <v>2943</v>
      </c>
      <c r="H1142" s="1" t="s">
        <v>94</v>
      </c>
      <c r="I1142" s="1" t="s">
        <v>54</v>
      </c>
      <c r="J1142" s="1" t="s">
        <v>35</v>
      </c>
      <c r="K1142" s="1" t="s">
        <v>36</v>
      </c>
      <c r="L1142" s="1" t="s">
        <v>37</v>
      </c>
      <c r="M1142" s="1" t="s">
        <v>38</v>
      </c>
      <c r="N1142" s="1" t="s">
        <v>965</v>
      </c>
      <c r="O1142" s="1" t="s">
        <v>2107</v>
      </c>
      <c r="P1142" s="1" t="s">
        <v>862</v>
      </c>
      <c r="Q1142" s="1" t="n">
        <v>-1</v>
      </c>
    </row>
    <row r="1143" customFormat="false" ht="14.25" hidden="false" customHeight="false" outlineLevel="0" collapsed="false">
      <c r="A1143" s="1" t="s">
        <v>2944</v>
      </c>
      <c r="B1143" s="1" t="s">
        <v>2945</v>
      </c>
      <c r="C1143" s="2" t="n">
        <v>197</v>
      </c>
      <c r="D1143" s="1" t="s">
        <v>28</v>
      </c>
      <c r="E1143" s="1" t="s">
        <v>2946</v>
      </c>
      <c r="F1143" s="2" t="n">
        <v>554184534419</v>
      </c>
      <c r="G1143" s="1" t="s">
        <v>2947</v>
      </c>
      <c r="H1143" s="1" t="s">
        <v>94</v>
      </c>
      <c r="I1143" s="1" t="s">
        <v>355</v>
      </c>
      <c r="N1143" s="1" t="s">
        <v>965</v>
      </c>
      <c r="O1143" s="1" t="s">
        <v>2159</v>
      </c>
      <c r="P1143" s="1" t="s">
        <v>2089</v>
      </c>
      <c r="Q1143" s="1" t="n">
        <v>70776962</v>
      </c>
    </row>
    <row r="1144" customFormat="false" ht="14.25" hidden="false" customHeight="false" outlineLevel="0" collapsed="false">
      <c r="A1144" s="1" t="s">
        <v>2948</v>
      </c>
      <c r="B1144" s="1" t="s">
        <v>628</v>
      </c>
      <c r="C1144" s="2" t="n">
        <v>120</v>
      </c>
      <c r="D1144" s="1" t="s">
        <v>18</v>
      </c>
      <c r="E1144" s="1" t="s">
        <v>2949</v>
      </c>
      <c r="F1144" s="2" t="n">
        <v>555180212892</v>
      </c>
      <c r="G1144" s="1" t="s">
        <v>629</v>
      </c>
      <c r="H1144" s="1" t="s">
        <v>94</v>
      </c>
      <c r="I1144" s="1" t="s">
        <v>54</v>
      </c>
      <c r="N1144" s="1" t="s">
        <v>1022</v>
      </c>
      <c r="O1144" s="1" t="s">
        <v>2226</v>
      </c>
      <c r="P1144" s="1" t="s">
        <v>2121</v>
      </c>
      <c r="Q1144" s="1" t="n">
        <v>-1</v>
      </c>
    </row>
    <row r="1145" customFormat="false" ht="14.25" hidden="false" customHeight="false" outlineLevel="0" collapsed="false">
      <c r="A1145" s="1" t="s">
        <v>2948</v>
      </c>
      <c r="B1145" s="1" t="s">
        <v>2950</v>
      </c>
      <c r="C1145" s="2" t="n">
        <v>150</v>
      </c>
      <c r="D1145" s="1" t="s">
        <v>32</v>
      </c>
      <c r="E1145" s="1" t="s">
        <v>2951</v>
      </c>
      <c r="F1145" s="2" t="n">
        <v>555492173217</v>
      </c>
      <c r="G1145" s="1" t="s">
        <v>2952</v>
      </c>
      <c r="H1145" s="1" t="s">
        <v>94</v>
      </c>
      <c r="I1145" s="1" t="s">
        <v>355</v>
      </c>
      <c r="J1145" s="1" t="s">
        <v>1176</v>
      </c>
      <c r="K1145" s="1" t="s">
        <v>1177</v>
      </c>
      <c r="L1145" s="1" t="s">
        <v>1178</v>
      </c>
      <c r="M1145" s="1" t="s">
        <v>1179</v>
      </c>
      <c r="N1145" s="1" t="s">
        <v>965</v>
      </c>
      <c r="O1145" s="1" t="s">
        <v>2107</v>
      </c>
      <c r="P1145" s="1" t="s">
        <v>862</v>
      </c>
      <c r="Q1145" s="1" t="n">
        <v>0</v>
      </c>
    </row>
    <row r="1146" customFormat="false" ht="14.25" hidden="false" customHeight="false" outlineLevel="0" collapsed="false">
      <c r="A1146" s="1" t="s">
        <v>2953</v>
      </c>
      <c r="B1146" s="1" t="s">
        <v>628</v>
      </c>
      <c r="C1146" s="2" t="n">
        <v>120</v>
      </c>
      <c r="D1146" s="1" t="s">
        <v>30</v>
      </c>
      <c r="E1146" s="1" t="s">
        <v>628</v>
      </c>
      <c r="F1146" s="2" t="n">
        <v>555180212892</v>
      </c>
      <c r="G1146" s="1" t="s">
        <v>629</v>
      </c>
      <c r="H1146" s="1" t="s">
        <v>94</v>
      </c>
      <c r="I1146" s="1" t="s">
        <v>54</v>
      </c>
      <c r="N1146" s="1" t="s">
        <v>1022</v>
      </c>
      <c r="O1146" s="1" t="s">
        <v>2120</v>
      </c>
      <c r="P1146" s="1" t="s">
        <v>2121</v>
      </c>
      <c r="Q1146" s="1" t="n">
        <v>-1</v>
      </c>
    </row>
    <row r="1147" customFormat="false" ht="14.25" hidden="false" customHeight="false" outlineLevel="0" collapsed="false">
      <c r="A1147" s="1" t="s">
        <v>2954</v>
      </c>
      <c r="B1147" s="1" t="s">
        <v>2955</v>
      </c>
      <c r="C1147" s="2" t="n">
        <v>147</v>
      </c>
      <c r="D1147" s="1" t="s">
        <v>21</v>
      </c>
      <c r="E1147" s="1" t="s">
        <v>2956</v>
      </c>
      <c r="F1147" s="2" t="n">
        <v>559584077454</v>
      </c>
      <c r="G1147" s="1" t="s">
        <v>2957</v>
      </c>
      <c r="H1147" s="1" t="s">
        <v>94</v>
      </c>
      <c r="I1147" s="1" t="s">
        <v>34</v>
      </c>
      <c r="J1147" s="1" t="s">
        <v>35</v>
      </c>
      <c r="K1147" s="1" t="s">
        <v>36</v>
      </c>
      <c r="L1147" s="1" t="s">
        <v>37</v>
      </c>
      <c r="M1147" s="1" t="s">
        <v>38</v>
      </c>
      <c r="N1147" s="1" t="s">
        <v>965</v>
      </c>
      <c r="O1147" s="1" t="s">
        <v>2345</v>
      </c>
      <c r="P1147" s="1" t="s">
        <v>2129</v>
      </c>
      <c r="Q1147" s="1" t="n">
        <v>0</v>
      </c>
    </row>
    <row r="1148" customFormat="false" ht="14.25" hidden="false" customHeight="false" outlineLevel="0" collapsed="false">
      <c r="A1148" s="1" t="s">
        <v>2958</v>
      </c>
      <c r="B1148" s="1" t="s">
        <v>1577</v>
      </c>
      <c r="C1148" s="2" t="n">
        <v>60</v>
      </c>
      <c r="D1148" s="1" t="s">
        <v>25</v>
      </c>
      <c r="E1148" s="1" t="s">
        <v>1577</v>
      </c>
      <c r="F1148" s="2" t="n">
        <v>559591750294</v>
      </c>
      <c r="G1148" s="1" t="s">
        <v>1578</v>
      </c>
      <c r="H1148" s="1" t="s">
        <v>94</v>
      </c>
      <c r="I1148" s="1" t="s">
        <v>54</v>
      </c>
      <c r="N1148" s="1" t="s">
        <v>1022</v>
      </c>
      <c r="O1148" s="1" t="s">
        <v>2135</v>
      </c>
      <c r="P1148" s="1" t="s">
        <v>2135</v>
      </c>
      <c r="Q1148" s="1" t="n">
        <v>-1</v>
      </c>
    </row>
    <row r="1149" customFormat="false" ht="14.25" hidden="false" customHeight="false" outlineLevel="0" collapsed="false">
      <c r="A1149" s="1" t="s">
        <v>2959</v>
      </c>
      <c r="B1149" s="1" t="s">
        <v>2960</v>
      </c>
      <c r="C1149" s="2" t="n">
        <v>367</v>
      </c>
      <c r="D1149" s="1" t="s">
        <v>21</v>
      </c>
      <c r="E1149" s="1" t="s">
        <v>2960</v>
      </c>
      <c r="F1149" s="2" t="n">
        <v>556791940687</v>
      </c>
      <c r="G1149" s="1" t="s">
        <v>2960</v>
      </c>
      <c r="H1149" s="1" t="s">
        <v>94</v>
      </c>
      <c r="I1149" s="1" t="s">
        <v>34</v>
      </c>
      <c r="N1149" s="1" t="s">
        <v>965</v>
      </c>
      <c r="O1149" s="1" t="s">
        <v>2676</v>
      </c>
      <c r="P1149" s="1" t="s">
        <v>2129</v>
      </c>
      <c r="Q1149" s="1" t="n">
        <v>0</v>
      </c>
    </row>
    <row r="1150" customFormat="false" ht="14.25" hidden="false" customHeight="false" outlineLevel="0" collapsed="false">
      <c r="A1150" s="1" t="s">
        <v>2908</v>
      </c>
      <c r="B1150" s="1" t="s">
        <v>1652</v>
      </c>
      <c r="C1150" s="2" t="n">
        <v>74</v>
      </c>
      <c r="D1150" s="1" t="s">
        <v>18</v>
      </c>
      <c r="E1150" s="1" t="s">
        <v>2909</v>
      </c>
      <c r="F1150" s="2" t="n">
        <v>556281066019</v>
      </c>
      <c r="G1150" s="9" t="s">
        <v>1653</v>
      </c>
      <c r="H1150" s="1" t="s">
        <v>94</v>
      </c>
      <c r="I1150" s="1" t="s">
        <v>54</v>
      </c>
      <c r="N1150" s="1" t="s">
        <v>1022</v>
      </c>
      <c r="O1150" s="1" t="s">
        <v>2280</v>
      </c>
      <c r="P1150" s="1" t="s">
        <v>2281</v>
      </c>
      <c r="Q1150" s="1" t="n">
        <v>-1</v>
      </c>
    </row>
    <row r="1151" customFormat="false" ht="14.25" hidden="false" customHeight="false" outlineLevel="0" collapsed="false">
      <c r="A1151" s="1" t="s">
        <v>2908</v>
      </c>
      <c r="B1151" s="1" t="s">
        <v>219</v>
      </c>
      <c r="C1151" s="2" t="n">
        <v>600</v>
      </c>
      <c r="D1151" s="1" t="s">
        <v>27</v>
      </c>
      <c r="E1151" s="1" t="s">
        <v>219</v>
      </c>
      <c r="F1151" s="2" t="n">
        <v>556284270683</v>
      </c>
      <c r="G1151" s="1" t="s">
        <v>220</v>
      </c>
      <c r="H1151" s="1" t="s">
        <v>94</v>
      </c>
      <c r="I1151" s="1" t="s">
        <v>54</v>
      </c>
      <c r="N1151" s="1" t="s">
        <v>1022</v>
      </c>
    </row>
    <row r="1152" customFormat="false" ht="14.25" hidden="false" customHeight="false" outlineLevel="0" collapsed="false">
      <c r="A1152" s="1" t="s">
        <v>2908</v>
      </c>
      <c r="B1152" s="1" t="s">
        <v>364</v>
      </c>
      <c r="C1152" s="2" t="n">
        <v>250</v>
      </c>
      <c r="D1152" s="1" t="s">
        <v>27</v>
      </c>
      <c r="E1152" s="1" t="s">
        <v>364</v>
      </c>
      <c r="F1152" s="2" t="n">
        <v>554198700879</v>
      </c>
      <c r="G1152" s="1" t="s">
        <v>33</v>
      </c>
      <c r="H1152" s="1" t="s">
        <v>94</v>
      </c>
      <c r="I1152" s="1" t="s">
        <v>34</v>
      </c>
      <c r="J1152" s="1" t="s">
        <v>60</v>
      </c>
      <c r="K1152" s="1" t="s">
        <v>27</v>
      </c>
      <c r="L1152" s="1" t="s">
        <v>365</v>
      </c>
      <c r="M1152" s="1" t="s">
        <v>62</v>
      </c>
      <c r="N1152" s="1" t="s">
        <v>965</v>
      </c>
    </row>
    <row r="1153" customFormat="false" ht="16.4" hidden="false" customHeight="false" outlineLevel="0" collapsed="false">
      <c r="A1153" s="1" t="s">
        <v>2908</v>
      </c>
      <c r="B1153" s="1" t="s">
        <v>2961</v>
      </c>
      <c r="C1153" s="2" t="n">
        <v>150</v>
      </c>
      <c r="D1153" s="1" t="s">
        <v>32</v>
      </c>
      <c r="E1153" s="1" t="s">
        <v>2961</v>
      </c>
      <c r="F1153" s="2" t="n">
        <v>559584270895</v>
      </c>
      <c r="G1153" s="11" t="s">
        <v>2962</v>
      </c>
      <c r="H1153" s="1" t="s">
        <v>94</v>
      </c>
      <c r="I1153" s="1" t="s">
        <v>34</v>
      </c>
    </row>
    <row r="1154" customFormat="false" ht="14.25" hidden="false" customHeight="false" outlineLevel="0" collapsed="false">
      <c r="A1154" s="1" t="s">
        <v>2963</v>
      </c>
      <c r="B1154" s="1" t="s">
        <v>1306</v>
      </c>
      <c r="C1154" s="2" t="n">
        <v>150</v>
      </c>
      <c r="D1154" s="1" t="s">
        <v>29</v>
      </c>
      <c r="E1154" s="1" t="s">
        <v>1306</v>
      </c>
      <c r="F1154" s="2" t="n">
        <v>556599736852</v>
      </c>
      <c r="G1154" s="12" t="s">
        <v>2525</v>
      </c>
      <c r="H1154" s="1" t="s">
        <v>94</v>
      </c>
      <c r="I1154" s="1" t="s">
        <v>54</v>
      </c>
      <c r="N1154" s="1" t="s">
        <v>1022</v>
      </c>
      <c r="O1154" s="1" t="s">
        <v>2107</v>
      </c>
      <c r="P1154" s="1" t="s">
        <v>862</v>
      </c>
      <c r="Q1154" s="1" t="n">
        <v>-1</v>
      </c>
    </row>
    <row r="1155" customFormat="false" ht="14.25" hidden="false" customHeight="false" outlineLevel="0" collapsed="false">
      <c r="A1155" s="1" t="s">
        <v>2964</v>
      </c>
      <c r="B1155" s="1" t="s">
        <v>2622</v>
      </c>
      <c r="C1155" s="2" t="n">
        <v>394</v>
      </c>
      <c r="D1155" s="1" t="s">
        <v>390</v>
      </c>
      <c r="E1155" s="1" t="s">
        <v>2622</v>
      </c>
      <c r="F1155" s="2" t="n">
        <v>554892089032</v>
      </c>
      <c r="G1155" s="12" t="s">
        <v>2623</v>
      </c>
      <c r="H1155" s="1" t="s">
        <v>94</v>
      </c>
      <c r="I1155" s="1" t="s">
        <v>34</v>
      </c>
      <c r="N1155" s="1" t="s">
        <v>1022</v>
      </c>
      <c r="O1155" s="1" t="s">
        <v>2128</v>
      </c>
      <c r="P1155" s="1" t="s">
        <v>2129</v>
      </c>
      <c r="Q1155" s="1" t="n">
        <v>0</v>
      </c>
    </row>
    <row r="1156" customFormat="false" ht="14.25" hidden="false" customHeight="false" outlineLevel="0" collapsed="false">
      <c r="A1156" s="1" t="s">
        <v>2965</v>
      </c>
      <c r="B1156" s="1" t="s">
        <v>2966</v>
      </c>
      <c r="C1156" s="2" t="n">
        <v>360</v>
      </c>
      <c r="D1156" s="1" t="s">
        <v>21</v>
      </c>
      <c r="E1156" s="1" t="s">
        <v>2967</v>
      </c>
      <c r="F1156" s="2" t="n">
        <v>554797187024</v>
      </c>
      <c r="G1156" s="12" t="s">
        <v>2968</v>
      </c>
      <c r="H1156" s="1" t="s">
        <v>94</v>
      </c>
      <c r="I1156" s="1" t="s">
        <v>34</v>
      </c>
      <c r="N1156" s="1" t="s">
        <v>965</v>
      </c>
      <c r="O1156" s="1" t="s">
        <v>2345</v>
      </c>
      <c r="P1156" s="1" t="s">
        <v>2129</v>
      </c>
      <c r="Q1156" s="1" t="n">
        <v>0</v>
      </c>
    </row>
    <row r="1157" customFormat="false" ht="14.25" hidden="false" customHeight="false" outlineLevel="0" collapsed="false">
      <c r="A1157" s="1" t="s">
        <v>2969</v>
      </c>
      <c r="B1157" s="1" t="s">
        <v>2970</v>
      </c>
      <c r="C1157" s="2" t="n">
        <v>400</v>
      </c>
      <c r="D1157" s="1" t="s">
        <v>27</v>
      </c>
      <c r="E1157" s="1" t="s">
        <v>2971</v>
      </c>
      <c r="F1157" s="2" t="n">
        <v>554187487769</v>
      </c>
      <c r="G1157" s="12" t="s">
        <v>33</v>
      </c>
      <c r="H1157" s="1" t="s">
        <v>94</v>
      </c>
      <c r="I1157" s="1" t="s">
        <v>34</v>
      </c>
      <c r="J1157" s="1" t="s">
        <v>60</v>
      </c>
      <c r="K1157" s="1" t="s">
        <v>27</v>
      </c>
      <c r="L1157" s="1" t="s">
        <v>61</v>
      </c>
      <c r="M1157" s="1" t="s">
        <v>62</v>
      </c>
      <c r="N1157" s="1" t="s">
        <v>965</v>
      </c>
      <c r="O1157" s="1" t="s">
        <v>2107</v>
      </c>
      <c r="P1157" s="1" t="s">
        <v>862</v>
      </c>
      <c r="Q1157" s="1" t="n">
        <v>0</v>
      </c>
    </row>
    <row r="1158" customFormat="false" ht="14.25" hidden="false" customHeight="false" outlineLevel="0" collapsed="false">
      <c r="A1158" s="1" t="s">
        <v>2972</v>
      </c>
      <c r="B1158" s="1" t="s">
        <v>64</v>
      </c>
      <c r="C1158" s="2" t="n">
        <v>150</v>
      </c>
      <c r="D1158" s="1" t="s">
        <v>29</v>
      </c>
      <c r="E1158" s="1" t="s">
        <v>64</v>
      </c>
      <c r="F1158" s="2" t="n">
        <v>559584276647</v>
      </c>
      <c r="G1158" s="12" t="s">
        <v>65</v>
      </c>
      <c r="H1158" s="1" t="s">
        <v>94</v>
      </c>
      <c r="I1158" s="1" t="s">
        <v>54</v>
      </c>
      <c r="N1158" s="1" t="s">
        <v>1022</v>
      </c>
      <c r="O1158" s="1" t="s">
        <v>2107</v>
      </c>
      <c r="P1158" s="1" t="s">
        <v>862</v>
      </c>
      <c r="Q1158" s="1" t="n">
        <v>-1</v>
      </c>
    </row>
    <row r="1159" customFormat="false" ht="14.25" hidden="false" customHeight="false" outlineLevel="0" collapsed="false">
      <c r="A1159" s="1" t="s">
        <v>2973</v>
      </c>
      <c r="B1159" s="1" t="s">
        <v>2974</v>
      </c>
      <c r="C1159" s="2" t="n">
        <v>480</v>
      </c>
      <c r="D1159" s="1" t="s">
        <v>30</v>
      </c>
      <c r="E1159" s="1" t="s">
        <v>2974</v>
      </c>
      <c r="F1159" s="2" t="n">
        <v>559584280086</v>
      </c>
      <c r="G1159" s="12" t="s">
        <v>2975</v>
      </c>
      <c r="H1159" s="1" t="s">
        <v>94</v>
      </c>
      <c r="I1159" s="1" t="s">
        <v>355</v>
      </c>
      <c r="J1159" s="1" t="s">
        <v>1176</v>
      </c>
      <c r="K1159" s="1" t="s">
        <v>1897</v>
      </c>
      <c r="L1159" s="1" t="s">
        <v>2447</v>
      </c>
      <c r="M1159" s="1" t="s">
        <v>1179</v>
      </c>
      <c r="N1159" s="1" t="s">
        <v>965</v>
      </c>
      <c r="O1159" s="1" t="s">
        <v>2107</v>
      </c>
      <c r="P1159" s="1" t="s">
        <v>2135</v>
      </c>
      <c r="Q1159" s="1" t="n">
        <v>-1</v>
      </c>
    </row>
    <row r="1160" customFormat="false" ht="14.25" hidden="false" customHeight="false" outlineLevel="0" collapsed="false">
      <c r="A1160" s="1" t="s">
        <v>2976</v>
      </c>
      <c r="B1160" s="1" t="s">
        <v>2977</v>
      </c>
      <c r="C1160" s="2" t="n">
        <v>450</v>
      </c>
      <c r="D1160" s="1" t="s">
        <v>18</v>
      </c>
      <c r="E1160" s="1" t="s">
        <v>2977</v>
      </c>
      <c r="F1160" s="2" t="n">
        <v>554896993334</v>
      </c>
      <c r="G1160" s="12" t="s">
        <v>2978</v>
      </c>
      <c r="H1160" s="1" t="s">
        <v>94</v>
      </c>
      <c r="I1160" s="1" t="s">
        <v>355</v>
      </c>
      <c r="J1160" s="1" t="s">
        <v>1176</v>
      </c>
      <c r="K1160" s="1" t="s">
        <v>1861</v>
      </c>
      <c r="L1160" s="1" t="s">
        <v>1862</v>
      </c>
      <c r="M1160" s="1" t="s">
        <v>1179</v>
      </c>
      <c r="N1160" s="1" t="s">
        <v>965</v>
      </c>
      <c r="O1160" s="1" t="s">
        <v>2107</v>
      </c>
      <c r="P1160" s="1" t="s">
        <v>862</v>
      </c>
      <c r="Q1160" s="1" t="n">
        <v>-1</v>
      </c>
    </row>
    <row r="1161" customFormat="false" ht="14.25" hidden="false" customHeight="false" outlineLevel="0" collapsed="false">
      <c r="A1161" s="1" t="s">
        <v>2979</v>
      </c>
      <c r="B1161" s="1" t="s">
        <v>2980</v>
      </c>
      <c r="C1161" s="2" t="n">
        <v>150</v>
      </c>
      <c r="D1161" s="1" t="s">
        <v>32</v>
      </c>
      <c r="E1161" s="1" t="s">
        <v>2981</v>
      </c>
      <c r="F1161" s="2" t="n">
        <v>559591121594</v>
      </c>
      <c r="G1161" s="12" t="s">
        <v>2982</v>
      </c>
      <c r="H1161" s="1" t="s">
        <v>94</v>
      </c>
      <c r="I1161" s="1" t="s">
        <v>355</v>
      </c>
      <c r="N1161" s="1" t="s">
        <v>965</v>
      </c>
      <c r="O1161" s="1" t="s">
        <v>2107</v>
      </c>
      <c r="P1161" s="1" t="s">
        <v>862</v>
      </c>
      <c r="Q1161" s="1" t="n">
        <v>-1</v>
      </c>
    </row>
    <row r="1162" customFormat="false" ht="14.25" hidden="false" customHeight="false" outlineLevel="0" collapsed="false">
      <c r="A1162" s="1" t="s">
        <v>2983</v>
      </c>
      <c r="B1162" s="1" t="s">
        <v>2984</v>
      </c>
      <c r="C1162" s="2" t="n">
        <v>240</v>
      </c>
      <c r="D1162" s="1" t="s">
        <v>30</v>
      </c>
      <c r="E1162" s="1" t="s">
        <v>2984</v>
      </c>
      <c r="F1162" s="2" t="n">
        <v>5511961169983</v>
      </c>
      <c r="G1162" s="12" t="s">
        <v>2985</v>
      </c>
      <c r="H1162" s="1" t="s">
        <v>94</v>
      </c>
      <c r="I1162" s="1" t="s">
        <v>54</v>
      </c>
      <c r="N1162" s="1" t="s">
        <v>1022</v>
      </c>
      <c r="O1162" s="1" t="s">
        <v>2986</v>
      </c>
      <c r="P1162" s="1" t="s">
        <v>2135</v>
      </c>
      <c r="Q1162" s="1" t="n">
        <v>-1</v>
      </c>
    </row>
    <row r="1163" customFormat="false" ht="14.25" hidden="false" customHeight="false" outlineLevel="0" collapsed="false">
      <c r="A1163" s="1" t="s">
        <v>2987</v>
      </c>
      <c r="B1163" s="1" t="s">
        <v>2988</v>
      </c>
      <c r="C1163" s="2" t="n">
        <v>150</v>
      </c>
      <c r="D1163" s="1" t="s">
        <v>32</v>
      </c>
      <c r="E1163" s="1" t="s">
        <v>2988</v>
      </c>
      <c r="F1163" s="2" t="n">
        <v>5358358101</v>
      </c>
      <c r="G1163" s="12" t="s">
        <v>2989</v>
      </c>
      <c r="H1163" s="1" t="s">
        <v>94</v>
      </c>
      <c r="I1163" s="1" t="s">
        <v>355</v>
      </c>
      <c r="N1163" s="1" t="s">
        <v>965</v>
      </c>
      <c r="O1163" s="1" t="s">
        <v>2107</v>
      </c>
      <c r="P1163" s="1" t="s">
        <v>862</v>
      </c>
      <c r="Q1163" s="1" t="n">
        <v>-1</v>
      </c>
    </row>
    <row r="1164" customFormat="false" ht="14.25" hidden="false" customHeight="false" outlineLevel="0" collapsed="false">
      <c r="A1164" s="1" t="s">
        <v>2990</v>
      </c>
      <c r="B1164" s="1" t="s">
        <v>2991</v>
      </c>
      <c r="C1164" s="2" t="n">
        <v>147</v>
      </c>
      <c r="D1164" s="1" t="s">
        <v>21</v>
      </c>
      <c r="E1164" s="1" t="s">
        <v>2991</v>
      </c>
      <c r="F1164" s="2" t="n">
        <v>554899362867</v>
      </c>
      <c r="G1164" s="12" t="s">
        <v>2992</v>
      </c>
      <c r="H1164" s="1" t="s">
        <v>94</v>
      </c>
      <c r="I1164" s="1" t="s">
        <v>54</v>
      </c>
      <c r="N1164" s="1" t="s">
        <v>965</v>
      </c>
      <c r="O1164" s="1" t="s">
        <v>2261</v>
      </c>
      <c r="P1164" s="1" t="s">
        <v>2129</v>
      </c>
      <c r="Q1164" s="1" t="n">
        <v>-1</v>
      </c>
    </row>
    <row r="1165" customFormat="false" ht="14.25" hidden="false" customHeight="false" outlineLevel="0" collapsed="false">
      <c r="A1165" s="1" t="s">
        <v>2993</v>
      </c>
      <c r="B1165" s="1" t="s">
        <v>2994</v>
      </c>
      <c r="C1165" s="2" t="n">
        <v>150</v>
      </c>
      <c r="D1165" s="1" t="s">
        <v>32</v>
      </c>
      <c r="E1165" s="1" t="s">
        <v>2994</v>
      </c>
      <c r="F1165" s="2" t="n">
        <v>555591460601</v>
      </c>
      <c r="G1165" s="12" t="s">
        <v>2995</v>
      </c>
      <c r="H1165" s="1" t="s">
        <v>94</v>
      </c>
      <c r="I1165" s="1" t="s">
        <v>54</v>
      </c>
      <c r="J1165" s="1" t="s">
        <v>35</v>
      </c>
      <c r="K1165" s="1" t="s">
        <v>36</v>
      </c>
      <c r="L1165" s="1" t="s">
        <v>37</v>
      </c>
      <c r="M1165" s="1" t="s">
        <v>38</v>
      </c>
      <c r="N1165" s="1" t="s">
        <v>965</v>
      </c>
      <c r="O1165" s="1" t="s">
        <v>2107</v>
      </c>
      <c r="P1165" s="1" t="s">
        <v>862</v>
      </c>
      <c r="Q1165" s="1" t="n">
        <v>-1</v>
      </c>
    </row>
    <row r="1166" customFormat="false" ht="14.25" hidden="false" customHeight="false" outlineLevel="0" collapsed="false">
      <c r="A1166" s="1" t="s">
        <v>2996</v>
      </c>
      <c r="B1166" s="1" t="s">
        <v>2997</v>
      </c>
      <c r="C1166" s="2" t="n">
        <v>120</v>
      </c>
      <c r="D1166" s="1" t="s">
        <v>21</v>
      </c>
      <c r="E1166" s="1" t="s">
        <v>2997</v>
      </c>
      <c r="F1166" s="2" t="n">
        <v>554198217657</v>
      </c>
      <c r="G1166" s="12" t="s">
        <v>2998</v>
      </c>
      <c r="H1166" s="1" t="s">
        <v>94</v>
      </c>
      <c r="I1166" s="1" t="s">
        <v>355</v>
      </c>
      <c r="N1166" s="1" t="s">
        <v>965</v>
      </c>
      <c r="O1166" s="1" t="s">
        <v>2128</v>
      </c>
      <c r="P1166" s="1" t="s">
        <v>2129</v>
      </c>
      <c r="Q1166" s="1" t="n">
        <v>-1</v>
      </c>
    </row>
    <row r="1167" customFormat="false" ht="14.25" hidden="false" customHeight="false" outlineLevel="0" collapsed="false">
      <c r="A1167" s="1" t="s">
        <v>2999</v>
      </c>
      <c r="B1167" s="1" t="s">
        <v>470</v>
      </c>
      <c r="C1167" s="2" t="n">
        <v>800</v>
      </c>
      <c r="D1167" s="1" t="s">
        <v>106</v>
      </c>
      <c r="E1167" s="1" t="s">
        <v>470</v>
      </c>
      <c r="F1167" s="2" t="n">
        <v>5554999456197</v>
      </c>
      <c r="G1167" s="12" t="s">
        <v>33</v>
      </c>
      <c r="H1167" s="1" t="s">
        <v>94</v>
      </c>
      <c r="I1167" s="1" t="s">
        <v>355</v>
      </c>
      <c r="N1167" s="1" t="s">
        <v>965</v>
      </c>
      <c r="O1167" s="1" t="s">
        <v>2107</v>
      </c>
      <c r="P1167" s="1" t="s">
        <v>862</v>
      </c>
      <c r="Q1167" s="1" t="n">
        <v>-1</v>
      </c>
    </row>
    <row r="1168" customFormat="false" ht="14.25" hidden="false" customHeight="false" outlineLevel="0" collapsed="false">
      <c r="A1168" s="1" t="s">
        <v>3000</v>
      </c>
      <c r="B1168" s="1" t="s">
        <v>3001</v>
      </c>
      <c r="C1168" s="2" t="n">
        <v>147</v>
      </c>
      <c r="D1168" s="1" t="s">
        <v>390</v>
      </c>
      <c r="E1168" s="1" t="s">
        <v>3001</v>
      </c>
      <c r="F1168" s="2" t="n">
        <v>554184060700</v>
      </c>
      <c r="G1168" s="12" t="s">
        <v>43</v>
      </c>
      <c r="H1168" s="1" t="s">
        <v>94</v>
      </c>
      <c r="I1168" s="1" t="s">
        <v>54</v>
      </c>
      <c r="J1168" s="1" t="s">
        <v>35</v>
      </c>
      <c r="K1168" s="1" t="s">
        <v>69</v>
      </c>
      <c r="L1168" s="1" t="s">
        <v>70</v>
      </c>
      <c r="M1168" s="1" t="s">
        <v>38</v>
      </c>
      <c r="N1168" s="1" t="s">
        <v>965</v>
      </c>
      <c r="O1168" s="1" t="s">
        <v>2159</v>
      </c>
      <c r="P1168" s="1" t="s">
        <v>2089</v>
      </c>
      <c r="Q1168" s="1" t="n">
        <v>-1</v>
      </c>
    </row>
    <row r="1169" customFormat="false" ht="14.25" hidden="false" customHeight="false" outlineLevel="0" collapsed="false">
      <c r="A1169" s="1" t="s">
        <v>3002</v>
      </c>
      <c r="B1169" s="1" t="s">
        <v>509</v>
      </c>
      <c r="C1169" s="2" t="n">
        <v>290</v>
      </c>
      <c r="D1169" s="1" t="s">
        <v>21</v>
      </c>
      <c r="E1169" s="1" t="s">
        <v>509</v>
      </c>
      <c r="F1169" s="2" t="n">
        <v>558899155871</v>
      </c>
      <c r="G1169" s="12" t="s">
        <v>510</v>
      </c>
      <c r="H1169" s="1" t="s">
        <v>94</v>
      </c>
      <c r="I1169" s="1" t="s">
        <v>54</v>
      </c>
      <c r="N1169" s="1" t="s">
        <v>1022</v>
      </c>
      <c r="O1169" s="1" t="s">
        <v>2236</v>
      </c>
      <c r="P1169" s="1" t="s">
        <v>2129</v>
      </c>
      <c r="Q1169" s="1" t="n">
        <v>-1</v>
      </c>
    </row>
    <row r="1170" customFormat="false" ht="14.25" hidden="false" customHeight="false" outlineLevel="0" collapsed="false">
      <c r="A1170" s="1" t="s">
        <v>3003</v>
      </c>
      <c r="B1170" s="1" t="s">
        <v>1821</v>
      </c>
      <c r="C1170" s="2" t="n">
        <v>200</v>
      </c>
      <c r="D1170" s="1" t="s">
        <v>1699</v>
      </c>
      <c r="E1170" s="1" t="s">
        <v>1821</v>
      </c>
      <c r="F1170" s="2" t="n">
        <v>554888684882</v>
      </c>
      <c r="G1170" s="12" t="s">
        <v>1822</v>
      </c>
      <c r="H1170" s="1" t="s">
        <v>94</v>
      </c>
      <c r="I1170" s="1" t="s">
        <v>54</v>
      </c>
      <c r="N1170" s="1" t="s">
        <v>1022</v>
      </c>
      <c r="O1170" s="1" t="s">
        <v>2128</v>
      </c>
      <c r="P1170" s="1" t="s">
        <v>2129</v>
      </c>
      <c r="Q1170" s="1" t="n">
        <v>-1</v>
      </c>
    </row>
    <row r="1171" customFormat="false" ht="14.25" hidden="false" customHeight="false" outlineLevel="0" collapsed="false">
      <c r="A1171" s="1" t="s">
        <v>3004</v>
      </c>
      <c r="B1171" s="1" t="s">
        <v>3005</v>
      </c>
      <c r="C1171" s="2" t="n">
        <v>294</v>
      </c>
      <c r="D1171" s="1" t="s">
        <v>390</v>
      </c>
      <c r="E1171" s="1" t="s">
        <v>3005</v>
      </c>
      <c r="F1171" s="2" t="n">
        <v>555499158578</v>
      </c>
      <c r="G1171" s="12" t="s">
        <v>3006</v>
      </c>
      <c r="H1171" s="1" t="s">
        <v>94</v>
      </c>
      <c r="I1171" s="1" t="s">
        <v>54</v>
      </c>
      <c r="N1171" s="1" t="s">
        <v>1022</v>
      </c>
      <c r="O1171" s="1" t="s">
        <v>2107</v>
      </c>
      <c r="P1171" s="1" t="s">
        <v>862</v>
      </c>
      <c r="Q1171" s="1" t="n">
        <v>-1</v>
      </c>
    </row>
    <row r="1172" customFormat="false" ht="14.25" hidden="false" customHeight="false" outlineLevel="0" collapsed="false">
      <c r="A1172" s="1" t="s">
        <v>3007</v>
      </c>
      <c r="B1172" s="1" t="s">
        <v>3008</v>
      </c>
      <c r="C1172" s="2" t="n">
        <v>147</v>
      </c>
      <c r="D1172" s="1" t="s">
        <v>18</v>
      </c>
      <c r="E1172" s="1" t="s">
        <v>3008</v>
      </c>
      <c r="F1172" s="2" t="n">
        <v>559188237892</v>
      </c>
      <c r="G1172" s="12" t="s">
        <v>3009</v>
      </c>
      <c r="H1172" s="1" t="s">
        <v>94</v>
      </c>
      <c r="I1172" s="1" t="s">
        <v>54</v>
      </c>
      <c r="N1172" s="1" t="s">
        <v>1022</v>
      </c>
      <c r="O1172" s="1" t="s">
        <v>2107</v>
      </c>
      <c r="P1172" s="1" t="s">
        <v>2350</v>
      </c>
      <c r="Q1172" s="1" t="n">
        <v>-1</v>
      </c>
    </row>
    <row r="1173" customFormat="false" ht="14.25" hidden="false" customHeight="false" outlineLevel="0" collapsed="false">
      <c r="A1173" s="1" t="s">
        <v>3010</v>
      </c>
      <c r="B1173" s="1" t="s">
        <v>3011</v>
      </c>
      <c r="C1173" s="2" t="n">
        <v>400</v>
      </c>
      <c r="D1173" s="1" t="s">
        <v>1471</v>
      </c>
      <c r="E1173" s="1" t="s">
        <v>3011</v>
      </c>
      <c r="F1173" s="2" t="n">
        <v>554199243938</v>
      </c>
      <c r="G1173" s="12" t="s">
        <v>3012</v>
      </c>
      <c r="H1173" s="1" t="s">
        <v>94</v>
      </c>
      <c r="I1173" s="1" t="s">
        <v>54</v>
      </c>
      <c r="N1173" s="1" t="s">
        <v>965</v>
      </c>
      <c r="O1173" s="1" t="s">
        <v>2159</v>
      </c>
      <c r="P1173" s="1" t="s">
        <v>2089</v>
      </c>
      <c r="Q1173" s="1" t="n">
        <v>-1</v>
      </c>
    </row>
    <row r="1174" customFormat="false" ht="14.25" hidden="false" customHeight="false" outlineLevel="0" collapsed="false">
      <c r="A1174" s="1" t="s">
        <v>3013</v>
      </c>
      <c r="B1174" s="1" t="s">
        <v>3014</v>
      </c>
      <c r="C1174" s="2" t="n">
        <v>147</v>
      </c>
      <c r="D1174" s="1" t="s">
        <v>21</v>
      </c>
      <c r="E1174" s="1" t="s">
        <v>3015</v>
      </c>
      <c r="F1174" s="2" t="n">
        <v>554720039077</v>
      </c>
      <c r="G1174" s="9" t="s">
        <v>3016</v>
      </c>
      <c r="H1174" s="1" t="s">
        <v>94</v>
      </c>
      <c r="I1174" s="1" t="s">
        <v>355</v>
      </c>
      <c r="N1174" s="1" t="s">
        <v>965</v>
      </c>
      <c r="O1174" s="1" t="s">
        <v>3017</v>
      </c>
      <c r="P1174" s="1" t="s">
        <v>2129</v>
      </c>
      <c r="Q1174" s="1" t="n">
        <v>12013426275</v>
      </c>
    </row>
    <row r="1175" customFormat="false" ht="14.25" hidden="false" customHeight="false" outlineLevel="0" collapsed="false">
      <c r="A1175" s="1" t="s">
        <v>3018</v>
      </c>
      <c r="B1175" s="1" t="s">
        <v>3019</v>
      </c>
      <c r="C1175" s="2" t="n">
        <v>147</v>
      </c>
      <c r="D1175" s="1" t="s">
        <v>18</v>
      </c>
      <c r="E1175" s="1" t="s">
        <v>3019</v>
      </c>
      <c r="F1175" s="2" t="n">
        <v>5541999436517</v>
      </c>
      <c r="G1175" s="9" t="s">
        <v>3020</v>
      </c>
      <c r="H1175" s="1" t="s">
        <v>94</v>
      </c>
      <c r="I1175" s="1" t="s">
        <v>50</v>
      </c>
      <c r="J1175" s="1" t="s">
        <v>3021</v>
      </c>
      <c r="M1175" s="1" t="s">
        <v>303</v>
      </c>
      <c r="N1175" s="1" t="s">
        <v>965</v>
      </c>
      <c r="O1175" s="1" t="s">
        <v>2159</v>
      </c>
      <c r="P1175" s="1" t="s">
        <v>2089</v>
      </c>
      <c r="Q1175" s="1" t="n">
        <v>-1</v>
      </c>
    </row>
    <row r="1176" customFormat="false" ht="14.25" hidden="false" customHeight="false" outlineLevel="0" collapsed="false">
      <c r="A1176" s="1" t="s">
        <v>3022</v>
      </c>
      <c r="B1176" s="1" t="s">
        <v>3023</v>
      </c>
      <c r="C1176" s="2" t="n">
        <v>240</v>
      </c>
      <c r="D1176" s="1" t="s">
        <v>20</v>
      </c>
      <c r="E1176" s="1" t="s">
        <v>3024</v>
      </c>
      <c r="F1176" s="2" t="n">
        <v>5511922769090</v>
      </c>
      <c r="G1176" s="9" t="s">
        <v>43</v>
      </c>
      <c r="H1176" s="1" t="s">
        <v>94</v>
      </c>
      <c r="I1176" s="1" t="s">
        <v>54</v>
      </c>
      <c r="N1176" s="1" t="s">
        <v>965</v>
      </c>
      <c r="O1176" s="1" t="s">
        <v>2135</v>
      </c>
      <c r="P1176" s="1" t="s">
        <v>2135</v>
      </c>
      <c r="Q1176" s="1" t="n">
        <v>-1</v>
      </c>
    </row>
    <row r="1177" customFormat="false" ht="14.25" hidden="false" customHeight="false" outlineLevel="0" collapsed="false">
      <c r="A1177" s="1" t="s">
        <v>3025</v>
      </c>
      <c r="B1177" s="1" t="s">
        <v>3026</v>
      </c>
      <c r="C1177" s="2" t="n">
        <v>120</v>
      </c>
      <c r="D1177" s="1" t="s">
        <v>20</v>
      </c>
      <c r="E1177" s="1" t="s">
        <v>3026</v>
      </c>
      <c r="F1177" s="2" t="n">
        <v>559584145214</v>
      </c>
      <c r="G1177" s="9" t="s">
        <v>3027</v>
      </c>
      <c r="H1177" s="1" t="s">
        <v>94</v>
      </c>
      <c r="I1177" s="1" t="s">
        <v>34</v>
      </c>
      <c r="J1177" s="1" t="s">
        <v>35</v>
      </c>
      <c r="K1177" s="1" t="s">
        <v>36</v>
      </c>
      <c r="L1177" s="1" t="s">
        <v>37</v>
      </c>
      <c r="M1177" s="1" t="s">
        <v>38</v>
      </c>
      <c r="N1177" s="1" t="s">
        <v>965</v>
      </c>
      <c r="O1177" s="1" t="s">
        <v>2159</v>
      </c>
      <c r="P1177" s="1" t="s">
        <v>2089</v>
      </c>
      <c r="Q1177" s="1" t="n">
        <v>0</v>
      </c>
    </row>
    <row r="1178" customFormat="false" ht="14.25" hidden="false" customHeight="false" outlineLevel="0" collapsed="false">
      <c r="A1178" s="1" t="s">
        <v>3028</v>
      </c>
      <c r="B1178" s="1" t="s">
        <v>3029</v>
      </c>
      <c r="C1178" s="2" t="n">
        <v>147</v>
      </c>
      <c r="D1178" s="1" t="s">
        <v>22</v>
      </c>
      <c r="E1178" s="1" t="s">
        <v>3029</v>
      </c>
      <c r="F1178" s="2" t="n">
        <v>554796044414</v>
      </c>
      <c r="G1178" s="9" t="s">
        <v>3030</v>
      </c>
      <c r="H1178" s="1" t="s">
        <v>94</v>
      </c>
      <c r="I1178" s="1" t="s">
        <v>50</v>
      </c>
      <c r="N1178" s="1" t="s">
        <v>965</v>
      </c>
      <c r="O1178" s="1" t="s">
        <v>2236</v>
      </c>
      <c r="P1178" s="1" t="s">
        <v>2129</v>
      </c>
      <c r="Q1178" s="1" t="n">
        <v>-1</v>
      </c>
    </row>
    <row r="1179" customFormat="false" ht="14.25" hidden="false" customHeight="false" outlineLevel="0" collapsed="false">
      <c r="A1179" s="1" t="s">
        <v>3031</v>
      </c>
      <c r="B1179" s="1" t="s">
        <v>3032</v>
      </c>
      <c r="C1179" s="2" t="n">
        <v>294</v>
      </c>
      <c r="D1179" s="1" t="s">
        <v>390</v>
      </c>
      <c r="E1179" s="1" t="s">
        <v>3032</v>
      </c>
      <c r="F1179" s="2" t="n">
        <v>554198157513</v>
      </c>
      <c r="G1179" s="9" t="s">
        <v>3033</v>
      </c>
      <c r="H1179" s="1" t="s">
        <v>94</v>
      </c>
      <c r="I1179" s="1" t="s">
        <v>355</v>
      </c>
      <c r="J1179" s="1" t="s">
        <v>35</v>
      </c>
      <c r="K1179" s="1" t="s">
        <v>69</v>
      </c>
      <c r="L1179" s="1" t="s">
        <v>70</v>
      </c>
      <c r="M1179" s="1" t="s">
        <v>38</v>
      </c>
      <c r="N1179" s="1" t="s">
        <v>965</v>
      </c>
      <c r="O1179" s="1" t="s">
        <v>2159</v>
      </c>
      <c r="P1179" s="1" t="s">
        <v>2089</v>
      </c>
      <c r="Q1179" s="1" t="n">
        <v>0</v>
      </c>
    </row>
    <row r="1180" customFormat="false" ht="14.25" hidden="false" customHeight="false" outlineLevel="0" collapsed="false">
      <c r="A1180" s="1" t="s">
        <v>3034</v>
      </c>
      <c r="B1180" s="1" t="s">
        <v>3035</v>
      </c>
      <c r="C1180" s="2" t="n">
        <v>147</v>
      </c>
      <c r="D1180" s="1" t="s">
        <v>18</v>
      </c>
      <c r="E1180" s="1" t="s">
        <v>3036</v>
      </c>
      <c r="F1180" s="2" t="n">
        <v>556581378556</v>
      </c>
      <c r="G1180" s="9" t="s">
        <v>3037</v>
      </c>
      <c r="H1180" s="1" t="s">
        <v>94</v>
      </c>
      <c r="I1180" s="1" t="s">
        <v>50</v>
      </c>
      <c r="J1180" s="1" t="s">
        <v>35</v>
      </c>
      <c r="K1180" s="1" t="s">
        <v>69</v>
      </c>
      <c r="L1180" s="1" t="s">
        <v>70</v>
      </c>
      <c r="M1180" s="1" t="s">
        <v>38</v>
      </c>
      <c r="N1180" s="1" t="s">
        <v>965</v>
      </c>
      <c r="O1180" s="1" t="s">
        <v>3038</v>
      </c>
      <c r="P1180" s="1" t="s">
        <v>2320</v>
      </c>
      <c r="Q1180" s="1" t="n">
        <v>-1</v>
      </c>
    </row>
    <row r="1181" customFormat="false" ht="14.25" hidden="false" customHeight="false" outlineLevel="0" collapsed="false">
      <c r="A1181" s="1" t="s">
        <v>3039</v>
      </c>
      <c r="B1181" s="1" t="s">
        <v>3040</v>
      </c>
      <c r="C1181" s="2" t="n">
        <v>240</v>
      </c>
      <c r="D1181" s="1" t="s">
        <v>21</v>
      </c>
      <c r="E1181" s="1" t="s">
        <v>3040</v>
      </c>
      <c r="F1181" s="2" t="n">
        <v>559584176828</v>
      </c>
      <c r="G1181" s="9" t="s">
        <v>3041</v>
      </c>
      <c r="H1181" s="1" t="s">
        <v>94</v>
      </c>
      <c r="I1181" s="1" t="s">
        <v>355</v>
      </c>
      <c r="J1181" s="1" t="s">
        <v>35</v>
      </c>
      <c r="K1181" s="1" t="s">
        <v>272</v>
      </c>
      <c r="L1181" s="1" t="s">
        <v>273</v>
      </c>
      <c r="M1181" s="1" t="s">
        <v>38</v>
      </c>
      <c r="N1181" s="1" t="s">
        <v>965</v>
      </c>
      <c r="O1181" s="1" t="s">
        <v>2252</v>
      </c>
      <c r="P1181" s="1" t="s">
        <v>2129</v>
      </c>
      <c r="Q1181" s="1" t="n">
        <v>11683391209</v>
      </c>
    </row>
    <row r="1182" customFormat="false" ht="14.25" hidden="false" customHeight="false" outlineLevel="0" collapsed="false">
      <c r="A1182" s="1" t="s">
        <v>3042</v>
      </c>
      <c r="B1182" s="1" t="s">
        <v>3043</v>
      </c>
      <c r="C1182" s="2" t="n">
        <v>60</v>
      </c>
      <c r="D1182" s="1" t="s">
        <v>30</v>
      </c>
      <c r="E1182" s="1" t="s">
        <v>3044</v>
      </c>
      <c r="F1182" s="2" t="n">
        <v>5511914950427</v>
      </c>
      <c r="G1182" s="9" t="s">
        <v>3045</v>
      </c>
      <c r="H1182" s="1" t="s">
        <v>94</v>
      </c>
      <c r="I1182" s="1" t="s">
        <v>355</v>
      </c>
      <c r="N1182" s="1" t="s">
        <v>965</v>
      </c>
      <c r="O1182" s="1" t="s">
        <v>3046</v>
      </c>
      <c r="P1182" s="1" t="s">
        <v>2135</v>
      </c>
      <c r="Q1182" s="1" t="n">
        <v>0</v>
      </c>
    </row>
    <row r="1183" customFormat="false" ht="14.25" hidden="false" customHeight="false" outlineLevel="0" collapsed="false">
      <c r="A1183" s="1" t="s">
        <v>3047</v>
      </c>
      <c r="B1183" s="1" t="s">
        <v>3043</v>
      </c>
      <c r="C1183" s="2" t="n">
        <v>60</v>
      </c>
      <c r="D1183" s="1" t="s">
        <v>30</v>
      </c>
      <c r="E1183" s="1" t="s">
        <v>3048</v>
      </c>
      <c r="F1183" s="2" t="n">
        <v>5511914996906</v>
      </c>
      <c r="G1183" s="9" t="s">
        <v>3049</v>
      </c>
      <c r="H1183" s="1" t="s">
        <v>94</v>
      </c>
      <c r="I1183" s="1" t="s">
        <v>34</v>
      </c>
      <c r="N1183" s="1" t="s">
        <v>965</v>
      </c>
      <c r="O1183" s="1" t="s">
        <v>2135</v>
      </c>
      <c r="P1183" s="1" t="s">
        <v>2135</v>
      </c>
      <c r="Q1183" s="1" t="n">
        <v>0</v>
      </c>
    </row>
    <row r="1184" customFormat="false" ht="14.25" hidden="false" customHeight="false" outlineLevel="0" collapsed="false">
      <c r="A1184" s="1" t="s">
        <v>3050</v>
      </c>
      <c r="B1184" s="1" t="s">
        <v>3051</v>
      </c>
      <c r="C1184" s="2" t="n">
        <v>394</v>
      </c>
      <c r="D1184" s="1" t="s">
        <v>390</v>
      </c>
      <c r="E1184" s="1" t="s">
        <v>3052</v>
      </c>
      <c r="F1184" s="2" t="n">
        <v>554196222257</v>
      </c>
      <c r="G1184" s="9" t="s">
        <v>3053</v>
      </c>
      <c r="H1184" s="1" t="s">
        <v>94</v>
      </c>
      <c r="I1184" s="1" t="s">
        <v>50</v>
      </c>
      <c r="J1184" s="1" t="s">
        <v>1176</v>
      </c>
      <c r="K1184" s="1" t="s">
        <v>1897</v>
      </c>
      <c r="L1184" s="1" t="s">
        <v>1898</v>
      </c>
      <c r="M1184" s="1" t="s">
        <v>1179</v>
      </c>
      <c r="N1184" s="1" t="s">
        <v>965</v>
      </c>
      <c r="O1184" s="1" t="s">
        <v>2159</v>
      </c>
      <c r="P1184" s="1" t="s">
        <v>2089</v>
      </c>
      <c r="Q1184" s="1" t="n">
        <v>-1</v>
      </c>
    </row>
    <row r="1185" customFormat="false" ht="14.25" hidden="false" customHeight="false" outlineLevel="0" collapsed="false">
      <c r="A1185" s="1" t="s">
        <v>3054</v>
      </c>
      <c r="B1185" s="1" t="s">
        <v>3055</v>
      </c>
      <c r="C1185" s="2" t="n">
        <v>150</v>
      </c>
      <c r="D1185" s="1" t="s">
        <v>32</v>
      </c>
      <c r="E1185" s="1" t="s">
        <v>3055</v>
      </c>
      <c r="F1185" s="2" t="n">
        <v>559584270396</v>
      </c>
      <c r="G1185" s="9" t="s">
        <v>3056</v>
      </c>
      <c r="H1185" s="1" t="s">
        <v>94</v>
      </c>
      <c r="I1185" s="1" t="s">
        <v>54</v>
      </c>
      <c r="N1185" s="1" t="s">
        <v>1022</v>
      </c>
      <c r="O1185" s="1" t="s">
        <v>3057</v>
      </c>
      <c r="P1185" s="1" t="s">
        <v>2129</v>
      </c>
      <c r="Q1185" s="1" t="n">
        <v>-1</v>
      </c>
    </row>
    <row r="1186" customFormat="false" ht="14.25" hidden="false" customHeight="false" outlineLevel="0" collapsed="false">
      <c r="A1186" s="1" t="s">
        <v>3058</v>
      </c>
      <c r="B1186" s="1" t="s">
        <v>3059</v>
      </c>
      <c r="C1186" s="2" t="n">
        <v>150</v>
      </c>
      <c r="D1186" s="1" t="s">
        <v>32</v>
      </c>
      <c r="E1186" s="1" t="s">
        <v>3060</v>
      </c>
      <c r="F1186" s="2" t="n">
        <v>554196185150</v>
      </c>
      <c r="G1186" s="9" t="s">
        <v>3061</v>
      </c>
      <c r="H1186" s="1" t="s">
        <v>94</v>
      </c>
      <c r="I1186" s="1" t="s">
        <v>355</v>
      </c>
      <c r="J1186" s="1" t="s">
        <v>1176</v>
      </c>
      <c r="K1186" s="1" t="s">
        <v>1177</v>
      </c>
      <c r="L1186" s="1" t="s">
        <v>1324</v>
      </c>
      <c r="M1186" s="1" t="s">
        <v>1243</v>
      </c>
      <c r="N1186" s="1" t="s">
        <v>965</v>
      </c>
      <c r="O1186" s="1" t="s">
        <v>2159</v>
      </c>
      <c r="P1186" s="1" t="s">
        <v>2089</v>
      </c>
      <c r="Q1186" s="1" t="n">
        <v>0</v>
      </c>
    </row>
    <row r="1187" customFormat="false" ht="14.25" hidden="false" customHeight="false" outlineLevel="0" collapsed="false">
      <c r="A1187" s="1" t="s">
        <v>3062</v>
      </c>
      <c r="B1187" s="1" t="s">
        <v>3063</v>
      </c>
      <c r="C1187" s="2" t="n">
        <v>800</v>
      </c>
      <c r="D1187" s="1" t="s">
        <v>106</v>
      </c>
      <c r="E1187" s="1" t="s">
        <v>3063</v>
      </c>
      <c r="F1187" s="2" t="n">
        <v>5511972698113</v>
      </c>
      <c r="G1187" s="9" t="s">
        <v>3064</v>
      </c>
      <c r="H1187" s="1" t="s">
        <v>94</v>
      </c>
      <c r="I1187" s="1" t="s">
        <v>50</v>
      </c>
      <c r="J1187" s="1" t="s">
        <v>60</v>
      </c>
      <c r="K1187" s="1" t="s">
        <v>27</v>
      </c>
      <c r="L1187" s="1" t="s">
        <v>3065</v>
      </c>
      <c r="M1187" s="1" t="s">
        <v>62</v>
      </c>
      <c r="N1187" s="1" t="s">
        <v>965</v>
      </c>
      <c r="O1187" s="1" t="s">
        <v>2135</v>
      </c>
      <c r="P1187" s="1" t="s">
        <v>2135</v>
      </c>
      <c r="Q1187" s="1" t="n">
        <v>-1</v>
      </c>
    </row>
    <row r="1188" customFormat="false" ht="14.25" hidden="false" customHeight="false" outlineLevel="0" collapsed="false">
      <c r="A1188" s="1" t="s">
        <v>3066</v>
      </c>
      <c r="B1188" s="1" t="s">
        <v>3067</v>
      </c>
      <c r="C1188" s="2" t="n">
        <v>780</v>
      </c>
      <c r="D1188" s="1" t="s">
        <v>24</v>
      </c>
      <c r="E1188" s="1" t="s">
        <v>104</v>
      </c>
      <c r="F1188" s="2" t="n">
        <v>554888124202</v>
      </c>
      <c r="G1188" s="9" t="s">
        <v>1935</v>
      </c>
      <c r="H1188" s="1" t="s">
        <v>94</v>
      </c>
      <c r="I1188" s="1" t="s">
        <v>54</v>
      </c>
      <c r="N1188" s="1" t="s">
        <v>1022</v>
      </c>
      <c r="O1188" s="1" t="s">
        <v>2128</v>
      </c>
      <c r="P1188" s="1" t="s">
        <v>2129</v>
      </c>
      <c r="Q1188" s="1" t="n">
        <v>-1</v>
      </c>
    </row>
    <row r="1189" customFormat="false" ht="14.25" hidden="false" customHeight="false" outlineLevel="0" collapsed="false">
      <c r="A1189" s="1" t="s">
        <v>3068</v>
      </c>
      <c r="B1189" s="1" t="s">
        <v>3067</v>
      </c>
      <c r="C1189" s="2" t="n">
        <v>1000</v>
      </c>
      <c r="D1189" s="1" t="s">
        <v>27</v>
      </c>
      <c r="E1189" s="1" t="s">
        <v>104</v>
      </c>
      <c r="F1189" s="2" t="n">
        <v>554888124202</v>
      </c>
      <c r="G1189" s="9" t="s">
        <v>1935</v>
      </c>
      <c r="H1189" s="1" t="s">
        <v>94</v>
      </c>
      <c r="I1189" s="1" t="s">
        <v>54</v>
      </c>
      <c r="N1189" s="1" t="s">
        <v>1022</v>
      </c>
      <c r="O1189" s="1" t="s">
        <v>2128</v>
      </c>
      <c r="P1189" s="1" t="s">
        <v>2129</v>
      </c>
      <c r="Q1189" s="1" t="n">
        <v>-1</v>
      </c>
    </row>
    <row r="1190" customFormat="false" ht="14.25" hidden="false" customHeight="false" outlineLevel="0" collapsed="false">
      <c r="A1190" s="1" t="s">
        <v>3069</v>
      </c>
      <c r="B1190" s="1" t="s">
        <v>3070</v>
      </c>
      <c r="C1190" s="2" t="n">
        <v>150</v>
      </c>
      <c r="D1190" s="1" t="s">
        <v>390</v>
      </c>
      <c r="E1190" s="1" t="s">
        <v>3071</v>
      </c>
      <c r="F1190" s="2" t="n">
        <v>555496101264</v>
      </c>
      <c r="G1190" s="9" t="s">
        <v>3072</v>
      </c>
      <c r="H1190" s="1" t="s">
        <v>94</v>
      </c>
      <c r="I1190" s="1" t="s">
        <v>54</v>
      </c>
      <c r="N1190" s="1" t="s">
        <v>1022</v>
      </c>
      <c r="O1190" s="1" t="s">
        <v>2107</v>
      </c>
      <c r="P1190" s="1" t="s">
        <v>2121</v>
      </c>
      <c r="Q1190" s="1" t="n">
        <v>-1</v>
      </c>
    </row>
    <row r="1191" customFormat="false" ht="14.25" hidden="false" customHeight="false" outlineLevel="0" collapsed="false">
      <c r="A1191" s="1" t="s">
        <v>3073</v>
      </c>
      <c r="B1191" s="1" t="s">
        <v>3074</v>
      </c>
      <c r="C1191" s="2" t="n">
        <v>249</v>
      </c>
      <c r="D1191" s="1" t="s">
        <v>18</v>
      </c>
      <c r="E1191" s="1" t="s">
        <v>3074</v>
      </c>
      <c r="F1191" s="2" t="n">
        <v>555199071192</v>
      </c>
      <c r="G1191" s="9" t="s">
        <v>3075</v>
      </c>
      <c r="H1191" s="1" t="s">
        <v>94</v>
      </c>
      <c r="I1191" s="1" t="s">
        <v>355</v>
      </c>
      <c r="J1191" s="1" t="s">
        <v>1176</v>
      </c>
      <c r="K1191" s="1" t="s">
        <v>1955</v>
      </c>
      <c r="L1191" s="1" t="s">
        <v>1956</v>
      </c>
      <c r="M1191" s="1" t="s">
        <v>1179</v>
      </c>
      <c r="N1191" s="1" t="s">
        <v>965</v>
      </c>
      <c r="O1191" s="1" t="s">
        <v>2760</v>
      </c>
      <c r="P1191" s="1" t="s">
        <v>2121</v>
      </c>
      <c r="Q1191" s="1" t="n">
        <v>80266235921</v>
      </c>
    </row>
    <row r="1192" customFormat="false" ht="14.25" hidden="false" customHeight="false" outlineLevel="0" collapsed="false">
      <c r="A1192" s="1" t="s">
        <v>3076</v>
      </c>
      <c r="B1192" s="1" t="s">
        <v>3077</v>
      </c>
      <c r="C1192" s="2" t="n">
        <v>500</v>
      </c>
      <c r="D1192" s="1" t="s">
        <v>30</v>
      </c>
      <c r="E1192" s="1" t="s">
        <v>3078</v>
      </c>
      <c r="F1192" s="2" t="n">
        <v>5516993705903</v>
      </c>
      <c r="G1192" s="9" t="s">
        <v>3079</v>
      </c>
      <c r="H1192" s="1" t="s">
        <v>94</v>
      </c>
      <c r="I1192" s="1" t="s">
        <v>34</v>
      </c>
      <c r="J1192" s="1" t="s">
        <v>1176</v>
      </c>
      <c r="K1192" s="1" t="s">
        <v>1897</v>
      </c>
      <c r="L1192" s="1" t="s">
        <v>2828</v>
      </c>
      <c r="M1192" s="1" t="s">
        <v>1179</v>
      </c>
      <c r="N1192" s="1" t="s">
        <v>965</v>
      </c>
      <c r="O1192" s="1" t="s">
        <v>2107</v>
      </c>
      <c r="P1192" s="1" t="s">
        <v>2135</v>
      </c>
      <c r="Q1192" s="1" t="n">
        <v>0</v>
      </c>
    </row>
    <row r="1193" customFormat="false" ht="14.25" hidden="false" customHeight="false" outlineLevel="0" collapsed="false">
      <c r="A1193" s="1" t="s">
        <v>3080</v>
      </c>
      <c r="B1193" s="1" t="s">
        <v>3081</v>
      </c>
      <c r="C1193" s="2" t="n">
        <v>147</v>
      </c>
      <c r="D1193" s="1" t="s">
        <v>18</v>
      </c>
      <c r="E1193" s="1" t="s">
        <v>3081</v>
      </c>
      <c r="F1193" s="2" t="n">
        <v>555496712062</v>
      </c>
      <c r="G1193" s="9" t="s">
        <v>3082</v>
      </c>
      <c r="H1193" s="1" t="s">
        <v>94</v>
      </c>
      <c r="I1193" s="1" t="s">
        <v>34</v>
      </c>
      <c r="J1193" s="1" t="s">
        <v>35</v>
      </c>
      <c r="K1193" s="1" t="s">
        <v>69</v>
      </c>
      <c r="L1193" s="1" t="s">
        <v>70</v>
      </c>
      <c r="M1193" s="1" t="s">
        <v>38</v>
      </c>
      <c r="N1193" s="1" t="s">
        <v>965</v>
      </c>
      <c r="O1193" s="1" t="s">
        <v>2107</v>
      </c>
      <c r="P1193" s="1" t="s">
        <v>2121</v>
      </c>
      <c r="Q1193" s="1" t="n">
        <v>0</v>
      </c>
    </row>
    <row r="1194" customFormat="false" ht="14.25" hidden="false" customHeight="false" outlineLevel="0" collapsed="false">
      <c r="A1194" s="1" t="s">
        <v>3083</v>
      </c>
      <c r="B1194" s="1" t="s">
        <v>3084</v>
      </c>
      <c r="C1194" s="2" t="n">
        <v>120</v>
      </c>
      <c r="D1194" s="1" t="s">
        <v>20</v>
      </c>
      <c r="E1194" s="1" t="s">
        <v>3084</v>
      </c>
      <c r="F1194" s="2" t="n">
        <v>559584393882</v>
      </c>
      <c r="G1194" s="9" t="s">
        <v>3085</v>
      </c>
      <c r="H1194" s="1" t="s">
        <v>94</v>
      </c>
      <c r="I1194" s="1" t="s">
        <v>355</v>
      </c>
      <c r="N1194" s="1" t="s">
        <v>965</v>
      </c>
      <c r="O1194" s="1" t="s">
        <v>2280</v>
      </c>
      <c r="P1194" s="1" t="s">
        <v>2281</v>
      </c>
      <c r="Q1194" s="1" t="n">
        <v>11953040217</v>
      </c>
    </row>
    <row r="1195" customFormat="false" ht="14.25" hidden="false" customHeight="false" outlineLevel="0" collapsed="false">
      <c r="A1195" s="1" t="s">
        <v>3086</v>
      </c>
      <c r="B1195" s="1" t="s">
        <v>3087</v>
      </c>
      <c r="C1195" s="2" t="n">
        <v>120</v>
      </c>
      <c r="D1195" s="1" t="s">
        <v>21</v>
      </c>
      <c r="E1195" s="1" t="s">
        <v>3087</v>
      </c>
      <c r="F1195" s="2" t="n">
        <v>554899757333</v>
      </c>
      <c r="G1195" s="9" t="s">
        <v>3088</v>
      </c>
      <c r="H1195" s="1" t="s">
        <v>94</v>
      </c>
      <c r="I1195" s="1" t="s">
        <v>50</v>
      </c>
      <c r="J1195" s="1" t="s">
        <v>97</v>
      </c>
      <c r="K1195" s="1" t="s">
        <v>20</v>
      </c>
      <c r="L1195" s="1" t="s">
        <v>469</v>
      </c>
      <c r="M1195" s="1" t="s">
        <v>99</v>
      </c>
      <c r="N1195" s="1" t="s">
        <v>965</v>
      </c>
      <c r="O1195" s="1" t="s">
        <v>2128</v>
      </c>
      <c r="P1195" s="1" t="s">
        <v>2129</v>
      </c>
      <c r="Q1195" s="1" t="n">
        <v>-1</v>
      </c>
    </row>
    <row r="1196" customFormat="false" ht="14.25" hidden="false" customHeight="false" outlineLevel="0" collapsed="false">
      <c r="A1196" s="1" t="s">
        <v>3089</v>
      </c>
      <c r="B1196" s="1" t="s">
        <v>3090</v>
      </c>
      <c r="C1196" s="2" t="n">
        <v>240</v>
      </c>
      <c r="D1196" s="1" t="s">
        <v>30</v>
      </c>
      <c r="E1196" s="1" t="s">
        <v>3090</v>
      </c>
      <c r="F1196" s="2" t="n">
        <v>554892042767</v>
      </c>
      <c r="G1196" s="9" t="s">
        <v>3091</v>
      </c>
      <c r="H1196" s="1" t="s">
        <v>94</v>
      </c>
      <c r="I1196" s="1" t="s">
        <v>355</v>
      </c>
      <c r="J1196" s="1" t="s">
        <v>97</v>
      </c>
      <c r="K1196" s="1" t="s">
        <v>20</v>
      </c>
      <c r="L1196" s="1" t="s">
        <v>469</v>
      </c>
      <c r="M1196" s="1" t="s">
        <v>99</v>
      </c>
      <c r="N1196" s="1" t="s">
        <v>965</v>
      </c>
      <c r="O1196" s="1" t="s">
        <v>3092</v>
      </c>
      <c r="P1196" s="1" t="s">
        <v>2129</v>
      </c>
      <c r="Q1196" s="1" t="n">
        <v>11888879203</v>
      </c>
    </row>
    <row r="1197" customFormat="false" ht="14.25" hidden="false" customHeight="false" outlineLevel="0" collapsed="false">
      <c r="A1197" s="1" t="s">
        <v>3093</v>
      </c>
      <c r="B1197" s="1" t="s">
        <v>3094</v>
      </c>
      <c r="C1197" s="2" t="n">
        <v>120</v>
      </c>
      <c r="D1197" s="1" t="s">
        <v>20</v>
      </c>
      <c r="E1197" s="1" t="s">
        <v>3094</v>
      </c>
      <c r="F1197" s="2" t="n">
        <v>559584293648</v>
      </c>
      <c r="G1197" s="9" t="s">
        <v>3095</v>
      </c>
      <c r="H1197" s="1" t="s">
        <v>94</v>
      </c>
      <c r="I1197" s="1" t="s">
        <v>50</v>
      </c>
      <c r="J1197" s="1" t="s">
        <v>35</v>
      </c>
      <c r="K1197" s="1" t="s">
        <v>272</v>
      </c>
      <c r="L1197" s="1" t="s">
        <v>273</v>
      </c>
      <c r="M1197" s="1" t="s">
        <v>38</v>
      </c>
      <c r="N1197" s="1" t="s">
        <v>965</v>
      </c>
      <c r="O1197" s="1" t="s">
        <v>2107</v>
      </c>
      <c r="P1197" s="1" t="s">
        <v>2089</v>
      </c>
      <c r="Q1197" s="1" t="n">
        <v>-1</v>
      </c>
    </row>
    <row r="1198" customFormat="false" ht="14.25" hidden="false" customHeight="false" outlineLevel="0" collapsed="false">
      <c r="A1198" s="1" t="s">
        <v>3096</v>
      </c>
      <c r="B1198" s="1" t="s">
        <v>3097</v>
      </c>
      <c r="C1198" s="2" t="n">
        <v>180</v>
      </c>
      <c r="D1198" s="1" t="s">
        <v>30</v>
      </c>
      <c r="E1198" s="1" t="s">
        <v>2726</v>
      </c>
      <c r="F1198" s="2" t="n">
        <v>554899673194</v>
      </c>
      <c r="G1198" s="9" t="s">
        <v>2727</v>
      </c>
      <c r="H1198" s="1" t="s">
        <v>94</v>
      </c>
      <c r="I1198" s="1" t="s">
        <v>54</v>
      </c>
      <c r="N1198" s="1" t="s">
        <v>1022</v>
      </c>
      <c r="O1198" s="1" t="s">
        <v>3098</v>
      </c>
      <c r="P1198" s="1" t="s">
        <v>2129</v>
      </c>
      <c r="Q1198" s="1" t="n">
        <v>0</v>
      </c>
    </row>
    <row r="1199" customFormat="false" ht="14.25" hidden="false" customHeight="false" outlineLevel="0" collapsed="false">
      <c r="A1199" s="1" t="s">
        <v>3099</v>
      </c>
      <c r="B1199" s="1" t="s">
        <v>3100</v>
      </c>
      <c r="C1199" s="2" t="n">
        <v>120</v>
      </c>
      <c r="D1199" s="1" t="s">
        <v>23</v>
      </c>
      <c r="E1199" s="1" t="s">
        <v>3100</v>
      </c>
      <c r="F1199" s="2" t="n">
        <v>554196893842</v>
      </c>
      <c r="G1199" s="9" t="s">
        <v>43</v>
      </c>
      <c r="H1199" s="1" t="s">
        <v>94</v>
      </c>
      <c r="I1199" s="1" t="s">
        <v>50</v>
      </c>
      <c r="N1199" s="1" t="s">
        <v>965</v>
      </c>
      <c r="O1199" s="1" t="s">
        <v>2107</v>
      </c>
      <c r="P1199" s="1" t="s">
        <v>862</v>
      </c>
      <c r="Q1199" s="1" t="n">
        <v>-1</v>
      </c>
    </row>
    <row r="1200" customFormat="false" ht="14.25" hidden="false" customHeight="false" outlineLevel="0" collapsed="false">
      <c r="A1200" s="1" t="s">
        <v>3101</v>
      </c>
      <c r="B1200" s="1" t="s">
        <v>3102</v>
      </c>
      <c r="C1200" s="2" t="n">
        <v>120</v>
      </c>
      <c r="D1200" s="1" t="s">
        <v>2214</v>
      </c>
      <c r="E1200" s="1" t="s">
        <v>3102</v>
      </c>
      <c r="F1200" s="2" t="n">
        <v>554197121323</v>
      </c>
      <c r="G1200" s="9" t="s">
        <v>3103</v>
      </c>
      <c r="H1200" s="1" t="s">
        <v>94</v>
      </c>
      <c r="I1200" s="1" t="s">
        <v>34</v>
      </c>
      <c r="N1200" s="1" t="s">
        <v>965</v>
      </c>
      <c r="O1200" s="1" t="s">
        <v>2159</v>
      </c>
      <c r="P1200" s="1" t="s">
        <v>2089</v>
      </c>
      <c r="Q1200" s="1" t="n">
        <v>0</v>
      </c>
    </row>
    <row r="1201" customFormat="false" ht="14.25" hidden="false" customHeight="false" outlineLevel="0" collapsed="false">
      <c r="A1201" s="1" t="s">
        <v>3104</v>
      </c>
      <c r="B1201" s="1" t="s">
        <v>3105</v>
      </c>
      <c r="C1201" s="2" t="n">
        <v>300</v>
      </c>
      <c r="D1201" s="1" t="s">
        <v>106</v>
      </c>
      <c r="E1201" s="1" t="s">
        <v>3105</v>
      </c>
      <c r="F1201" s="2" t="n">
        <v>554499393941</v>
      </c>
      <c r="G1201" s="9" t="s">
        <v>3106</v>
      </c>
      <c r="H1201" s="1" t="s">
        <v>94</v>
      </c>
      <c r="I1201" s="1" t="s">
        <v>54</v>
      </c>
      <c r="N1201" s="1" t="s">
        <v>1022</v>
      </c>
      <c r="O1201" s="1" t="s">
        <v>2107</v>
      </c>
      <c r="P1201" s="1" t="s">
        <v>2089</v>
      </c>
      <c r="Q1201" s="1" t="n">
        <v>-1</v>
      </c>
    </row>
    <row r="1202" customFormat="false" ht="14.25" hidden="false" customHeight="false" outlineLevel="0" collapsed="false">
      <c r="A1202" s="1" t="s">
        <v>3107</v>
      </c>
      <c r="B1202" s="1" t="s">
        <v>3108</v>
      </c>
      <c r="C1202" s="2" t="n">
        <v>120</v>
      </c>
      <c r="D1202" s="1" t="s">
        <v>30</v>
      </c>
      <c r="E1202" s="1" t="s">
        <v>3108</v>
      </c>
      <c r="F1202" s="2" t="n">
        <v>559584290986</v>
      </c>
      <c r="G1202" s="9" t="s">
        <v>3109</v>
      </c>
      <c r="H1202" s="1" t="s">
        <v>94</v>
      </c>
      <c r="I1202" s="1" t="s">
        <v>34</v>
      </c>
      <c r="N1202" s="1" t="s">
        <v>965</v>
      </c>
      <c r="O1202" s="1" t="s">
        <v>2135</v>
      </c>
      <c r="P1202" s="1" t="s">
        <v>2135</v>
      </c>
      <c r="Q1202" s="1" t="n">
        <v>0</v>
      </c>
    </row>
    <row r="1203" customFormat="false" ht="14.25" hidden="false" customHeight="false" outlineLevel="0" collapsed="false">
      <c r="A1203" s="1" t="s">
        <v>3110</v>
      </c>
      <c r="B1203" s="1" t="s">
        <v>3111</v>
      </c>
      <c r="C1203" s="2" t="n">
        <v>150</v>
      </c>
      <c r="D1203" s="1" t="s">
        <v>24</v>
      </c>
      <c r="E1203" s="1" t="s">
        <v>3112</v>
      </c>
      <c r="F1203" s="2" t="n">
        <v>5511979682047</v>
      </c>
      <c r="G1203" s="9" t="s">
        <v>3113</v>
      </c>
      <c r="H1203" s="1" t="s">
        <v>94</v>
      </c>
      <c r="I1203" s="1" t="s">
        <v>355</v>
      </c>
      <c r="J1203" s="1" t="s">
        <v>35</v>
      </c>
      <c r="K1203" s="1" t="s">
        <v>36</v>
      </c>
      <c r="L1203" s="1" t="s">
        <v>37</v>
      </c>
      <c r="M1203" s="1" t="s">
        <v>38</v>
      </c>
      <c r="N1203" s="1" t="s">
        <v>965</v>
      </c>
      <c r="O1203" s="1" t="s">
        <v>2107</v>
      </c>
      <c r="P1203" s="1" t="s">
        <v>862</v>
      </c>
      <c r="Q1203" s="1" t="n">
        <v>0</v>
      </c>
    </row>
    <row r="1204" customFormat="false" ht="14.25" hidden="false" customHeight="false" outlineLevel="0" collapsed="false">
      <c r="A1204" s="1" t="s">
        <v>3114</v>
      </c>
      <c r="B1204" s="1" t="s">
        <v>2091</v>
      </c>
      <c r="C1204" s="2" t="n">
        <v>300</v>
      </c>
      <c r="D1204" s="1" t="s">
        <v>106</v>
      </c>
      <c r="E1204" s="1" t="s">
        <v>2091</v>
      </c>
      <c r="F1204" s="2" t="n">
        <v>554187657319</v>
      </c>
      <c r="G1204" s="9" t="s">
        <v>2092</v>
      </c>
      <c r="H1204" s="1" t="s">
        <v>94</v>
      </c>
      <c r="I1204" s="1" t="s">
        <v>50</v>
      </c>
      <c r="N1204" s="1" t="s">
        <v>965</v>
      </c>
      <c r="O1204" s="1" t="s">
        <v>2088</v>
      </c>
      <c r="P1204" s="1" t="s">
        <v>2089</v>
      </c>
    </row>
    <row r="1205" customFormat="false" ht="14.25" hidden="false" customHeight="false" outlineLevel="0" collapsed="false">
      <c r="A1205" s="1" t="s">
        <v>3115</v>
      </c>
      <c r="B1205" s="1" t="s">
        <v>3116</v>
      </c>
      <c r="C1205" s="2" t="n">
        <v>120</v>
      </c>
      <c r="D1205" s="1" t="s">
        <v>27</v>
      </c>
      <c r="E1205" s="1" t="s">
        <v>3117</v>
      </c>
      <c r="F1205" s="2" t="n">
        <v>554195225216</v>
      </c>
      <c r="G1205" s="9" t="s">
        <v>3118</v>
      </c>
      <c r="H1205" s="1" t="s">
        <v>94</v>
      </c>
      <c r="I1205" s="1" t="s">
        <v>355</v>
      </c>
      <c r="J1205" s="1" t="s">
        <v>35</v>
      </c>
      <c r="K1205" s="1" t="s">
        <v>69</v>
      </c>
      <c r="L1205" s="1" t="s">
        <v>70</v>
      </c>
      <c r="M1205" s="1" t="s">
        <v>38</v>
      </c>
      <c r="N1205" s="1" t="s">
        <v>965</v>
      </c>
      <c r="O1205" s="1" t="s">
        <v>2159</v>
      </c>
      <c r="P1205" s="1" t="s">
        <v>2089</v>
      </c>
      <c r="Q1205" s="1" t="n">
        <v>0</v>
      </c>
    </row>
    <row r="1206" customFormat="false" ht="14.25" hidden="false" customHeight="false" outlineLevel="0" collapsed="false">
      <c r="A1206" s="1" t="s">
        <v>3119</v>
      </c>
      <c r="B1206" s="1" t="s">
        <v>3120</v>
      </c>
      <c r="C1206" s="2" t="n">
        <v>180</v>
      </c>
      <c r="D1206" s="1" t="s">
        <v>26</v>
      </c>
      <c r="E1206" s="1" t="s">
        <v>3120</v>
      </c>
      <c r="F1206" s="2" t="n">
        <v>556799952165</v>
      </c>
      <c r="G1206" s="9" t="s">
        <v>33</v>
      </c>
      <c r="H1206" s="1" t="s">
        <v>94</v>
      </c>
      <c r="I1206" s="1" t="s">
        <v>54</v>
      </c>
      <c r="N1206" s="1" t="s">
        <v>1022</v>
      </c>
      <c r="O1206" s="1" t="s">
        <v>2107</v>
      </c>
      <c r="P1206" s="1" t="s">
        <v>862</v>
      </c>
      <c r="Q1206" s="1" t="n">
        <v>0</v>
      </c>
    </row>
    <row r="1207" customFormat="false" ht="14.25" hidden="false" customHeight="false" outlineLevel="0" collapsed="false">
      <c r="A1207" s="1" t="s">
        <v>3121</v>
      </c>
      <c r="B1207" s="1" t="s">
        <v>3122</v>
      </c>
      <c r="C1207" s="2" t="n">
        <v>240</v>
      </c>
      <c r="D1207" s="1" t="s">
        <v>20</v>
      </c>
      <c r="E1207" s="1" t="s">
        <v>3123</v>
      </c>
      <c r="F1207" s="2" t="n">
        <v>559584229250</v>
      </c>
      <c r="G1207" s="9" t="s">
        <v>3124</v>
      </c>
      <c r="H1207" s="1" t="s">
        <v>94</v>
      </c>
      <c r="I1207" s="1" t="s">
        <v>50</v>
      </c>
      <c r="N1207" s="1" t="s">
        <v>965</v>
      </c>
      <c r="O1207" s="1" t="s">
        <v>2128</v>
      </c>
      <c r="P1207" s="1" t="s">
        <v>2129</v>
      </c>
      <c r="Q1207" s="1" t="n">
        <v>-1</v>
      </c>
    </row>
    <row r="1208" customFormat="false" ht="14.25" hidden="false" customHeight="false" outlineLevel="0" collapsed="false">
      <c r="A1208" s="1" t="s">
        <v>3119</v>
      </c>
      <c r="B1208" s="1" t="s">
        <v>3125</v>
      </c>
      <c r="C1208" s="2" t="n">
        <v>197</v>
      </c>
      <c r="D1208" s="1" t="s">
        <v>390</v>
      </c>
      <c r="E1208" s="1" t="s">
        <v>3125</v>
      </c>
      <c r="F1208" s="2" t="n">
        <v>559591403308</v>
      </c>
      <c r="G1208" s="9" t="s">
        <v>3126</v>
      </c>
      <c r="H1208" s="1" t="s">
        <v>94</v>
      </c>
      <c r="I1208" s="1" t="s">
        <v>355</v>
      </c>
      <c r="J1208" s="1" t="s">
        <v>97</v>
      </c>
      <c r="K1208" s="1" t="s">
        <v>20</v>
      </c>
      <c r="L1208" s="1" t="s">
        <v>230</v>
      </c>
      <c r="M1208" s="1" t="s">
        <v>99</v>
      </c>
      <c r="N1208" s="1" t="s">
        <v>965</v>
      </c>
      <c r="O1208" s="1" t="s">
        <v>2159</v>
      </c>
      <c r="P1208" s="1" t="s">
        <v>2089</v>
      </c>
      <c r="Q1208" s="1" t="n">
        <v>11463353260</v>
      </c>
    </row>
    <row r="1209" customFormat="false" ht="14.25" hidden="false" customHeight="false" outlineLevel="0" collapsed="false">
      <c r="A1209" s="1" t="s">
        <v>3127</v>
      </c>
      <c r="B1209" s="1" t="s">
        <v>3128</v>
      </c>
      <c r="C1209" s="2" t="n">
        <v>300</v>
      </c>
      <c r="D1209" s="1" t="s">
        <v>30</v>
      </c>
      <c r="E1209" s="1" t="s">
        <v>3128</v>
      </c>
      <c r="F1209" s="2" t="n">
        <v>5511947875395</v>
      </c>
      <c r="G1209" s="9" t="s">
        <v>43</v>
      </c>
      <c r="H1209" s="1" t="s">
        <v>94</v>
      </c>
      <c r="I1209" s="1" t="s">
        <v>34</v>
      </c>
      <c r="J1209" s="1" t="s">
        <v>35</v>
      </c>
      <c r="K1209" s="1" t="s">
        <v>36</v>
      </c>
      <c r="L1209" s="1" t="s">
        <v>37</v>
      </c>
      <c r="M1209" s="1" t="s">
        <v>38</v>
      </c>
      <c r="N1209" s="1" t="s">
        <v>965</v>
      </c>
      <c r="O1209" s="1" t="s">
        <v>2898</v>
      </c>
      <c r="P1209" s="1" t="s">
        <v>2135</v>
      </c>
      <c r="Q1209" s="1" t="n">
        <v>-1</v>
      </c>
    </row>
    <row r="1210" customFormat="false" ht="14.25" hidden="false" customHeight="false" outlineLevel="0" collapsed="false">
      <c r="A1210" s="1" t="s">
        <v>3129</v>
      </c>
      <c r="B1210" s="1" t="s">
        <v>3130</v>
      </c>
      <c r="C1210" s="2" t="n">
        <v>500</v>
      </c>
      <c r="D1210" s="1" t="s">
        <v>27</v>
      </c>
      <c r="E1210" s="1" t="s">
        <v>3131</v>
      </c>
      <c r="F1210" s="2" t="n">
        <v>559584130470</v>
      </c>
      <c r="G1210" s="9" t="s">
        <v>3132</v>
      </c>
      <c r="H1210" s="1" t="s">
        <v>94</v>
      </c>
      <c r="I1210" s="1" t="s">
        <v>355</v>
      </c>
      <c r="J1210" s="1" t="s">
        <v>1176</v>
      </c>
      <c r="K1210" s="1" t="s">
        <v>1752</v>
      </c>
      <c r="L1210" s="1" t="s">
        <v>3133</v>
      </c>
      <c r="M1210" s="1" t="s">
        <v>1179</v>
      </c>
      <c r="N1210" s="1" t="s">
        <v>965</v>
      </c>
      <c r="O1210" s="1" t="s">
        <v>2159</v>
      </c>
      <c r="P1210" s="1" t="s">
        <v>2089</v>
      </c>
      <c r="Q1210" s="1" t="n">
        <v>11891946277</v>
      </c>
    </row>
    <row r="1211" customFormat="false" ht="14.25" hidden="false" customHeight="false" outlineLevel="0" collapsed="false">
      <c r="A1211" s="1" t="s">
        <v>3134</v>
      </c>
      <c r="B1211" s="1" t="s">
        <v>3135</v>
      </c>
      <c r="C1211" s="2" t="n">
        <v>147</v>
      </c>
      <c r="D1211" s="1" t="s">
        <v>21</v>
      </c>
      <c r="E1211" s="1" t="s">
        <v>3135</v>
      </c>
      <c r="F1211" s="2" t="n">
        <v>5519991928299</v>
      </c>
      <c r="G1211" s="9" t="s">
        <v>3136</v>
      </c>
      <c r="H1211" s="1" t="s">
        <v>94</v>
      </c>
      <c r="I1211" s="1" t="s">
        <v>355</v>
      </c>
      <c r="N1211" s="1" t="s">
        <v>965</v>
      </c>
      <c r="O1211" s="1" t="s">
        <v>2236</v>
      </c>
      <c r="P1211" s="1" t="s">
        <v>2129</v>
      </c>
      <c r="Q1211" s="1" t="n">
        <v>11606849280</v>
      </c>
    </row>
    <row r="1212" customFormat="false" ht="14.25" hidden="false" customHeight="false" outlineLevel="0" collapsed="false">
      <c r="A1212" s="1" t="s">
        <v>3137</v>
      </c>
      <c r="B1212" s="1" t="s">
        <v>2044</v>
      </c>
      <c r="C1212" s="2" t="n">
        <v>300</v>
      </c>
      <c r="D1212" s="1" t="s">
        <v>2889</v>
      </c>
      <c r="E1212" s="1" t="s">
        <v>2044</v>
      </c>
      <c r="F1212" s="2" t="n">
        <v>556581182225</v>
      </c>
      <c r="G1212" s="9" t="s">
        <v>2045</v>
      </c>
      <c r="H1212" s="1" t="s">
        <v>94</v>
      </c>
      <c r="I1212" s="1" t="s">
        <v>54</v>
      </c>
      <c r="N1212" s="1" t="s">
        <v>1022</v>
      </c>
      <c r="O1212" s="1" t="s">
        <v>2520</v>
      </c>
      <c r="P1212" s="1" t="s">
        <v>2320</v>
      </c>
      <c r="Q1212" s="1" t="n">
        <v>-1</v>
      </c>
    </row>
    <row r="1213" customFormat="false" ht="14.25" hidden="false" customHeight="false" outlineLevel="0" collapsed="false">
      <c r="A1213" s="1" t="s">
        <v>3138</v>
      </c>
      <c r="B1213" s="1" t="s">
        <v>1294</v>
      </c>
      <c r="C1213" s="2" t="n">
        <v>53</v>
      </c>
      <c r="D1213" s="1" t="s">
        <v>21</v>
      </c>
      <c r="E1213" s="1" t="s">
        <v>854</v>
      </c>
      <c r="F1213" s="2" t="n">
        <v>559584081146</v>
      </c>
      <c r="G1213" s="9" t="s">
        <v>1295</v>
      </c>
      <c r="H1213" s="1" t="s">
        <v>94</v>
      </c>
      <c r="I1213" s="1" t="s">
        <v>54</v>
      </c>
      <c r="N1213" s="1" t="s">
        <v>1022</v>
      </c>
      <c r="O1213" s="1" t="s">
        <v>2562</v>
      </c>
      <c r="P1213" s="1" t="s">
        <v>2129</v>
      </c>
      <c r="Q1213" s="1" t="n">
        <v>-1</v>
      </c>
    </row>
    <row r="1214" customFormat="false" ht="14.25" hidden="false" customHeight="false" outlineLevel="0" collapsed="false">
      <c r="A1214" s="1" t="s">
        <v>3139</v>
      </c>
      <c r="B1214" s="1" t="s">
        <v>3140</v>
      </c>
      <c r="C1214" s="2" t="n">
        <v>147</v>
      </c>
      <c r="D1214" s="1" t="s">
        <v>21</v>
      </c>
      <c r="E1214" s="1" t="s">
        <v>3141</v>
      </c>
      <c r="F1214" s="2" t="n">
        <v>559581020941</v>
      </c>
      <c r="G1214" s="9" t="s">
        <v>3142</v>
      </c>
      <c r="H1214" s="1" t="s">
        <v>94</v>
      </c>
      <c r="I1214" s="1" t="s">
        <v>50</v>
      </c>
      <c r="N1214" s="1" t="s">
        <v>965</v>
      </c>
      <c r="O1214" s="1" t="s">
        <v>3143</v>
      </c>
      <c r="P1214" s="1" t="s">
        <v>2129</v>
      </c>
      <c r="Q1214" s="1" t="n">
        <v>6648622687</v>
      </c>
    </row>
    <row r="1215" customFormat="false" ht="14.25" hidden="false" customHeight="false" outlineLevel="0" collapsed="false">
      <c r="A1215" s="1" t="s">
        <v>3144</v>
      </c>
      <c r="B1215" s="1" t="s">
        <v>3145</v>
      </c>
      <c r="C1215" s="2" t="n">
        <v>147</v>
      </c>
      <c r="D1215" s="1" t="s">
        <v>18</v>
      </c>
      <c r="E1215" s="1" t="s">
        <v>3145</v>
      </c>
      <c r="F1215" s="2" t="n">
        <v>553387028836</v>
      </c>
      <c r="G1215" s="9" t="s">
        <v>3146</v>
      </c>
      <c r="H1215" s="1" t="s">
        <v>94</v>
      </c>
      <c r="I1215" s="1" t="s">
        <v>355</v>
      </c>
      <c r="N1215" s="1" t="s">
        <v>965</v>
      </c>
      <c r="O1215" s="1" t="s">
        <v>2107</v>
      </c>
      <c r="P1215" s="1" t="s">
        <v>862</v>
      </c>
      <c r="Q1215" s="1" t="n">
        <v>1129537609</v>
      </c>
    </row>
    <row r="1216" customFormat="false" ht="14.25" hidden="false" customHeight="false" outlineLevel="0" collapsed="false">
      <c r="A1216" s="1" t="s">
        <v>3147</v>
      </c>
      <c r="B1216" s="1" t="s">
        <v>3148</v>
      </c>
      <c r="C1216" s="2" t="n">
        <v>60</v>
      </c>
      <c r="D1216" s="1" t="s">
        <v>30</v>
      </c>
      <c r="E1216" s="1" t="s">
        <v>3148</v>
      </c>
      <c r="F1216" s="2" t="n">
        <v>5511996897904</v>
      </c>
      <c r="G1216" s="9" t="s">
        <v>3149</v>
      </c>
      <c r="H1216" s="1" t="s">
        <v>94</v>
      </c>
      <c r="I1216" s="1" t="s">
        <v>355</v>
      </c>
      <c r="N1216" s="1" t="s">
        <v>965</v>
      </c>
      <c r="O1216" s="1" t="s">
        <v>2139</v>
      </c>
      <c r="P1216" s="1" t="s">
        <v>2135</v>
      </c>
      <c r="Q1216" s="1" t="n">
        <v>0</v>
      </c>
    </row>
    <row r="1217" customFormat="false" ht="14.25" hidden="false" customHeight="false" outlineLevel="0" collapsed="false">
      <c r="A1217" s="1" t="s">
        <v>3150</v>
      </c>
      <c r="B1217" s="1" t="s">
        <v>3151</v>
      </c>
      <c r="C1217" s="2" t="n">
        <v>150</v>
      </c>
      <c r="D1217" s="1" t="s">
        <v>29</v>
      </c>
      <c r="E1217" s="1" t="s">
        <v>3151</v>
      </c>
      <c r="F1217" s="2" t="n">
        <v>556293420458</v>
      </c>
      <c r="G1217" s="9" t="s">
        <v>3152</v>
      </c>
      <c r="H1217" s="1" t="s">
        <v>94</v>
      </c>
      <c r="I1217" s="1" t="s">
        <v>34</v>
      </c>
      <c r="N1217" s="1" t="s">
        <v>965</v>
      </c>
      <c r="O1217" s="1" t="s">
        <v>2107</v>
      </c>
      <c r="P1217" s="1" t="s">
        <v>862</v>
      </c>
      <c r="Q1217" s="1" t="n">
        <v>0</v>
      </c>
    </row>
    <row r="1218" customFormat="false" ht="14.25" hidden="false" customHeight="false" outlineLevel="0" collapsed="false">
      <c r="A1218" s="1" t="s">
        <v>3153</v>
      </c>
      <c r="B1218" s="1" t="s">
        <v>3154</v>
      </c>
      <c r="C1218" s="2" t="n">
        <v>120</v>
      </c>
      <c r="D1218" s="1" t="s">
        <v>20</v>
      </c>
      <c r="E1218" s="1" t="s">
        <v>3154</v>
      </c>
      <c r="F1218" s="2" t="n">
        <v>5595984107266</v>
      </c>
      <c r="G1218" s="9" t="s">
        <v>3155</v>
      </c>
      <c r="H1218" s="1" t="s">
        <v>94</v>
      </c>
      <c r="I1218" s="1" t="s">
        <v>34</v>
      </c>
      <c r="J1218" s="1" t="s">
        <v>3021</v>
      </c>
      <c r="M1218" s="1" t="s">
        <v>303</v>
      </c>
      <c r="N1218" s="1" t="s">
        <v>965</v>
      </c>
      <c r="O1218" s="1" t="s">
        <v>2107</v>
      </c>
      <c r="P1218" s="1" t="s">
        <v>862</v>
      </c>
      <c r="Q1218" s="1" t="n">
        <v>0</v>
      </c>
    </row>
    <row r="1219" customFormat="false" ht="14.25" hidden="false" customHeight="false" outlineLevel="0" collapsed="false">
      <c r="A1219" s="1" t="s">
        <v>3156</v>
      </c>
      <c r="B1219" s="1" t="s">
        <v>3157</v>
      </c>
      <c r="C1219" s="2" t="n">
        <v>120</v>
      </c>
      <c r="D1219" s="1" t="s">
        <v>20</v>
      </c>
      <c r="E1219" s="1" t="s">
        <v>3157</v>
      </c>
      <c r="F1219" s="2" t="n">
        <v>559584091065</v>
      </c>
      <c r="G1219" s="9" t="s">
        <v>3158</v>
      </c>
      <c r="H1219" s="1" t="s">
        <v>94</v>
      </c>
      <c r="I1219" s="1" t="s">
        <v>34</v>
      </c>
      <c r="J1219" s="1" t="s">
        <v>35</v>
      </c>
      <c r="K1219" s="1" t="s">
        <v>36</v>
      </c>
      <c r="L1219" s="1" t="s">
        <v>37</v>
      </c>
      <c r="M1219" s="1" t="s">
        <v>38</v>
      </c>
      <c r="N1219" s="1" t="s">
        <v>965</v>
      </c>
      <c r="O1219" s="1" t="s">
        <v>2659</v>
      </c>
      <c r="P1219" s="1" t="s">
        <v>2245</v>
      </c>
      <c r="Q1219" s="1" t="n">
        <v>0</v>
      </c>
    </row>
    <row r="1220" customFormat="false" ht="14.25" hidden="false" customHeight="false" outlineLevel="0" collapsed="false">
      <c r="A1220" s="1" t="s">
        <v>3159</v>
      </c>
      <c r="B1220" s="1" t="s">
        <v>3160</v>
      </c>
      <c r="C1220" s="2" t="n">
        <v>147</v>
      </c>
      <c r="D1220" s="1" t="s">
        <v>18</v>
      </c>
      <c r="E1220" s="1" t="s">
        <v>3160</v>
      </c>
      <c r="F1220" s="2" t="n">
        <v>554896027847</v>
      </c>
      <c r="G1220" s="9" t="s">
        <v>3161</v>
      </c>
      <c r="H1220" s="1" t="s">
        <v>94</v>
      </c>
      <c r="I1220" s="1" t="s">
        <v>355</v>
      </c>
      <c r="N1220" s="1" t="s">
        <v>965</v>
      </c>
      <c r="O1220" s="1" t="s">
        <v>3162</v>
      </c>
      <c r="P1220" s="1" t="s">
        <v>2129</v>
      </c>
      <c r="Q1220" s="1" t="n">
        <v>2058995953</v>
      </c>
    </row>
    <row r="1221" customFormat="false" ht="14.25" hidden="false" customHeight="false" outlineLevel="0" collapsed="false">
      <c r="A1221" s="1" t="s">
        <v>3127</v>
      </c>
      <c r="B1221" s="1" t="s">
        <v>421</v>
      </c>
      <c r="C1221" s="2" t="n">
        <v>500</v>
      </c>
      <c r="D1221" s="1" t="s">
        <v>27</v>
      </c>
      <c r="E1221" s="1" t="s">
        <v>422</v>
      </c>
      <c r="F1221" s="2" t="n">
        <v>554891612707</v>
      </c>
      <c r="G1221" s="1" t="s">
        <v>423</v>
      </c>
      <c r="H1221" s="1" t="s">
        <v>94</v>
      </c>
      <c r="I1221" s="1" t="s">
        <v>34</v>
      </c>
      <c r="N1221" s="1" t="s">
        <v>965</v>
      </c>
    </row>
    <row r="1222" customFormat="false" ht="14.25" hidden="false" customHeight="false" outlineLevel="0" collapsed="false">
      <c r="A1222" s="1" t="s">
        <v>3127</v>
      </c>
      <c r="B1222" s="13" t="s">
        <v>3163</v>
      </c>
      <c r="C1222" s="2" t="n">
        <v>97</v>
      </c>
      <c r="D1222" s="1" t="s">
        <v>20</v>
      </c>
      <c r="E1222" s="13" t="s">
        <v>3163</v>
      </c>
      <c r="F1222" s="14" t="n">
        <v>554188177502</v>
      </c>
      <c r="G1222" s="15" t="s">
        <v>3164</v>
      </c>
      <c r="H1222" s="1" t="s">
        <v>94</v>
      </c>
      <c r="I1222" s="1" t="s">
        <v>50</v>
      </c>
      <c r="N1222" s="1" t="s">
        <v>965</v>
      </c>
      <c r="O1222" s="1" t="s">
        <v>2159</v>
      </c>
      <c r="P1222" s="1" t="s">
        <v>2089</v>
      </c>
    </row>
    <row r="1223" customFormat="false" ht="14.25" hidden="false" customHeight="false" outlineLevel="0" collapsed="false">
      <c r="A1223" s="1" t="s">
        <v>3165</v>
      </c>
      <c r="B1223" s="1" t="s">
        <v>602</v>
      </c>
      <c r="C1223" s="2" t="n">
        <v>150</v>
      </c>
      <c r="D1223" s="1" t="s">
        <v>32</v>
      </c>
      <c r="E1223" s="1" t="s">
        <v>602</v>
      </c>
      <c r="F1223" s="2" t="s">
        <v>3166</v>
      </c>
      <c r="G1223" s="1" t="s">
        <v>603</v>
      </c>
      <c r="H1223" s="1" t="s">
        <v>94</v>
      </c>
      <c r="I1223" s="1" t="s">
        <v>54</v>
      </c>
      <c r="N1223" s="1" t="s">
        <v>1022</v>
      </c>
      <c r="O1223" s="1" t="s">
        <v>2159</v>
      </c>
      <c r="P1223" s="1" t="s">
        <v>2089</v>
      </c>
      <c r="Q1223" s="1" t="n">
        <v>-1</v>
      </c>
    </row>
    <row r="1224" customFormat="false" ht="14.25" hidden="false" customHeight="false" outlineLevel="0" collapsed="false">
      <c r="A1224" s="1" t="s">
        <v>3167</v>
      </c>
      <c r="B1224" s="1" t="s">
        <v>3168</v>
      </c>
      <c r="C1224" s="2" t="n">
        <v>147</v>
      </c>
      <c r="D1224" s="1" t="s">
        <v>21</v>
      </c>
      <c r="E1224" s="1" t="s">
        <v>3169</v>
      </c>
      <c r="F1224" s="2" t="n">
        <v>5978331307</v>
      </c>
      <c r="G1224" s="1" t="s">
        <v>3170</v>
      </c>
      <c r="H1224" s="1" t="s">
        <v>94</v>
      </c>
      <c r="I1224" s="1" t="s">
        <v>355</v>
      </c>
      <c r="N1224" s="1" t="s">
        <v>965</v>
      </c>
      <c r="O1224" s="1" t="s">
        <v>2236</v>
      </c>
      <c r="P1224" s="1" t="s">
        <v>2129</v>
      </c>
      <c r="Q1224" s="1" t="n">
        <v>12986585949</v>
      </c>
    </row>
    <row r="1225" customFormat="false" ht="14.25" hidden="false" customHeight="false" outlineLevel="0" collapsed="false">
      <c r="A1225" s="1" t="s">
        <v>3171</v>
      </c>
      <c r="B1225" s="1" t="s">
        <v>3172</v>
      </c>
      <c r="C1225" s="2" t="n">
        <v>294</v>
      </c>
      <c r="D1225" s="1" t="s">
        <v>22</v>
      </c>
      <c r="E1225" s="1" t="s">
        <v>3173</v>
      </c>
      <c r="F1225" s="2" t="n">
        <v>554192657040</v>
      </c>
      <c r="G1225" s="1" t="s">
        <v>3174</v>
      </c>
      <c r="H1225" s="1" t="s">
        <v>94</v>
      </c>
      <c r="I1225" s="1" t="s">
        <v>34</v>
      </c>
      <c r="J1225" s="1" t="s">
        <v>35</v>
      </c>
      <c r="K1225" s="1" t="s">
        <v>69</v>
      </c>
      <c r="L1225" s="1" t="s">
        <v>70</v>
      </c>
      <c r="M1225" s="1" t="s">
        <v>38</v>
      </c>
      <c r="N1225" s="1" t="s">
        <v>965</v>
      </c>
      <c r="O1225" s="1" t="s">
        <v>2159</v>
      </c>
      <c r="P1225" s="1" t="s">
        <v>2089</v>
      </c>
      <c r="Q1225" s="1" t="n">
        <v>0</v>
      </c>
    </row>
    <row r="1226" customFormat="false" ht="14.25" hidden="false" customHeight="false" outlineLevel="0" collapsed="false">
      <c r="A1226" s="1" t="s">
        <v>3175</v>
      </c>
      <c r="B1226" s="1" t="s">
        <v>3176</v>
      </c>
      <c r="C1226" s="2" t="n">
        <v>150</v>
      </c>
      <c r="D1226" s="1" t="s">
        <v>32</v>
      </c>
      <c r="E1226" s="1" t="s">
        <v>3176</v>
      </c>
      <c r="F1226" s="2" t="n">
        <v>554120006005</v>
      </c>
      <c r="G1226" s="1" t="s">
        <v>519</v>
      </c>
      <c r="H1226" s="1" t="s">
        <v>94</v>
      </c>
      <c r="I1226" s="1" t="s">
        <v>34</v>
      </c>
      <c r="N1226" s="1" t="s">
        <v>965</v>
      </c>
      <c r="O1226" s="1" t="s">
        <v>2107</v>
      </c>
      <c r="P1226" s="1" t="s">
        <v>862</v>
      </c>
      <c r="Q1226" s="1" t="n">
        <v>0</v>
      </c>
    </row>
    <row r="1227" customFormat="false" ht="14.25" hidden="false" customHeight="false" outlineLevel="0" collapsed="false">
      <c r="A1227" s="1" t="s">
        <v>3177</v>
      </c>
      <c r="B1227" s="1" t="s">
        <v>46</v>
      </c>
      <c r="C1227" s="2" t="n">
        <v>420</v>
      </c>
      <c r="D1227" s="1" t="s">
        <v>21</v>
      </c>
      <c r="E1227" s="1" t="s">
        <v>3178</v>
      </c>
      <c r="F1227" s="2" t="n">
        <v>553198470552</v>
      </c>
      <c r="G1227" s="1" t="s">
        <v>3179</v>
      </c>
      <c r="H1227" s="1" t="s">
        <v>94</v>
      </c>
      <c r="I1227" s="1" t="s">
        <v>34</v>
      </c>
      <c r="J1227" s="1" t="s">
        <v>1176</v>
      </c>
      <c r="K1227" s="1" t="s">
        <v>1897</v>
      </c>
      <c r="L1227" s="1" t="s">
        <v>2828</v>
      </c>
      <c r="M1227" s="1" t="s">
        <v>1179</v>
      </c>
      <c r="N1227" s="1" t="s">
        <v>965</v>
      </c>
      <c r="O1227" s="1" t="s">
        <v>2345</v>
      </c>
      <c r="P1227" s="1" t="s">
        <v>2129</v>
      </c>
      <c r="Q1227" s="1" t="n">
        <v>0</v>
      </c>
    </row>
    <row r="1228" customFormat="false" ht="14.25" hidden="false" customHeight="false" outlineLevel="0" collapsed="false">
      <c r="A1228" s="1" t="s">
        <v>3180</v>
      </c>
      <c r="B1228" s="1" t="s">
        <v>3181</v>
      </c>
      <c r="C1228" s="2" t="n">
        <v>200</v>
      </c>
      <c r="D1228" s="1" t="s">
        <v>23</v>
      </c>
      <c r="E1228" s="1" t="s">
        <v>3182</v>
      </c>
      <c r="F1228" s="2" t="n">
        <v>5977148130</v>
      </c>
      <c r="G1228" s="1" t="s">
        <v>43</v>
      </c>
      <c r="H1228" s="1" t="s">
        <v>94</v>
      </c>
      <c r="I1228" s="1" t="s">
        <v>54</v>
      </c>
      <c r="N1228" s="1" t="s">
        <v>965</v>
      </c>
      <c r="O1228" s="1" t="s">
        <v>2107</v>
      </c>
      <c r="P1228" s="1" t="s">
        <v>862</v>
      </c>
      <c r="Q1228" s="1" t="n">
        <v>-1</v>
      </c>
    </row>
    <row r="1229" customFormat="false" ht="14.25" hidden="false" customHeight="false" outlineLevel="0" collapsed="false">
      <c r="A1229" s="1" t="s">
        <v>3183</v>
      </c>
      <c r="B1229" s="1" t="s">
        <v>3184</v>
      </c>
      <c r="C1229" s="2" t="n">
        <v>150</v>
      </c>
      <c r="D1229" s="1" t="s">
        <v>32</v>
      </c>
      <c r="E1229" s="1" t="s">
        <v>3184</v>
      </c>
      <c r="F1229" s="2" t="n">
        <v>556793272381</v>
      </c>
      <c r="G1229" s="1" t="s">
        <v>3185</v>
      </c>
      <c r="H1229" s="1" t="s">
        <v>94</v>
      </c>
      <c r="I1229" s="1" t="s">
        <v>50</v>
      </c>
      <c r="J1229" s="1" t="s">
        <v>35</v>
      </c>
      <c r="K1229" s="1" t="s">
        <v>36</v>
      </c>
      <c r="L1229" s="1" t="s">
        <v>37</v>
      </c>
      <c r="M1229" s="1" t="s">
        <v>38</v>
      </c>
      <c r="N1229" s="1" t="s">
        <v>965</v>
      </c>
      <c r="O1229" s="1" t="s">
        <v>2107</v>
      </c>
      <c r="P1229" s="1" t="s">
        <v>862</v>
      </c>
      <c r="Q1229" s="1" t="n">
        <v>-1</v>
      </c>
    </row>
    <row r="1230" customFormat="false" ht="14.25" hidden="false" customHeight="false" outlineLevel="0" collapsed="false">
      <c r="A1230" s="1" t="s">
        <v>3186</v>
      </c>
      <c r="B1230" s="1" t="s">
        <v>3187</v>
      </c>
      <c r="C1230" s="2" t="n">
        <v>300</v>
      </c>
      <c r="D1230" s="1" t="s">
        <v>20</v>
      </c>
      <c r="E1230" s="1" t="s">
        <v>3188</v>
      </c>
      <c r="F1230" s="2" t="n">
        <v>5511915303477</v>
      </c>
      <c r="G1230" s="1" t="s">
        <v>3189</v>
      </c>
      <c r="H1230" s="1" t="s">
        <v>94</v>
      </c>
      <c r="I1230" s="1" t="s">
        <v>50</v>
      </c>
      <c r="J1230" s="1" t="s">
        <v>35</v>
      </c>
      <c r="K1230" s="1" t="s">
        <v>36</v>
      </c>
      <c r="L1230" s="1" t="s">
        <v>37</v>
      </c>
      <c r="M1230" s="1" t="s">
        <v>38</v>
      </c>
      <c r="N1230" s="1" t="s">
        <v>965</v>
      </c>
      <c r="O1230" s="1" t="s">
        <v>2107</v>
      </c>
      <c r="P1230" s="1" t="s">
        <v>2135</v>
      </c>
      <c r="Q1230" s="1" t="n">
        <v>-1</v>
      </c>
    </row>
    <row r="1231" customFormat="false" ht="14.25" hidden="false" customHeight="false" outlineLevel="0" collapsed="false">
      <c r="A1231" s="1" t="s">
        <v>3190</v>
      </c>
      <c r="B1231" s="1" t="s">
        <v>2636</v>
      </c>
      <c r="C1231" s="2" t="n">
        <v>300</v>
      </c>
      <c r="D1231" s="1" t="s">
        <v>24</v>
      </c>
      <c r="E1231" s="1" t="s">
        <v>2637</v>
      </c>
      <c r="F1231" s="2" t="n">
        <v>5511944895016</v>
      </c>
      <c r="G1231" s="1" t="s">
        <v>2638</v>
      </c>
      <c r="H1231" s="1" t="s">
        <v>94</v>
      </c>
      <c r="I1231" s="1" t="s">
        <v>54</v>
      </c>
      <c r="N1231" s="1" t="s">
        <v>1022</v>
      </c>
      <c r="O1231" s="1" t="s">
        <v>2135</v>
      </c>
      <c r="P1231" s="1" t="s">
        <v>2135</v>
      </c>
      <c r="Q1231" s="1" t="n">
        <v>-1</v>
      </c>
    </row>
    <row r="1232" customFormat="false" ht="14.25" hidden="false" customHeight="false" outlineLevel="0" collapsed="false">
      <c r="A1232" s="1" t="s">
        <v>3191</v>
      </c>
      <c r="B1232" s="1" t="s">
        <v>1681</v>
      </c>
      <c r="C1232" s="2" t="n">
        <v>150</v>
      </c>
      <c r="D1232" s="1" t="s">
        <v>30</v>
      </c>
      <c r="E1232" s="1" t="s">
        <v>3192</v>
      </c>
      <c r="F1232" s="2" t="n">
        <v>5512981378624</v>
      </c>
      <c r="G1232" s="1" t="s">
        <v>2315</v>
      </c>
      <c r="H1232" s="1" t="s">
        <v>94</v>
      </c>
      <c r="I1232" s="1" t="s">
        <v>54</v>
      </c>
      <c r="N1232" s="1" t="s">
        <v>1022</v>
      </c>
      <c r="O1232" s="1" t="s">
        <v>2280</v>
      </c>
      <c r="P1232" s="1" t="s">
        <v>2281</v>
      </c>
      <c r="Q1232" s="1" t="n">
        <v>-1</v>
      </c>
    </row>
    <row r="1233" customFormat="false" ht="14.25" hidden="false" customHeight="false" outlineLevel="0" collapsed="false">
      <c r="A1233" s="1" t="s">
        <v>3193</v>
      </c>
      <c r="B1233" s="1" t="s">
        <v>3194</v>
      </c>
      <c r="C1233" s="2" t="n">
        <v>120</v>
      </c>
      <c r="D1233" s="1" t="s">
        <v>30</v>
      </c>
      <c r="E1233" s="1" t="s">
        <v>3194</v>
      </c>
      <c r="F1233" s="2" t="n">
        <v>554196630785</v>
      </c>
      <c r="G1233" s="1" t="s">
        <v>3195</v>
      </c>
      <c r="H1233" s="1" t="s">
        <v>94</v>
      </c>
      <c r="I1233" s="1" t="s">
        <v>50</v>
      </c>
      <c r="N1233" s="1" t="s">
        <v>965</v>
      </c>
      <c r="O1233" s="1" t="s">
        <v>2135</v>
      </c>
      <c r="P1233" s="1" t="s">
        <v>2135</v>
      </c>
      <c r="Q1233" s="1" t="n">
        <v>-1</v>
      </c>
    </row>
    <row r="1234" customFormat="false" ht="14.25" hidden="false" customHeight="false" outlineLevel="0" collapsed="false">
      <c r="A1234" s="1" t="s">
        <v>3196</v>
      </c>
      <c r="B1234" s="1" t="s">
        <v>3197</v>
      </c>
      <c r="C1234" s="2" t="n">
        <v>120</v>
      </c>
      <c r="D1234" s="1" t="s">
        <v>23</v>
      </c>
      <c r="E1234" s="1" t="s">
        <v>3198</v>
      </c>
      <c r="F1234" s="2" t="n">
        <v>554192449900</v>
      </c>
      <c r="G1234" s="1" t="s">
        <v>3199</v>
      </c>
      <c r="H1234" s="1" t="s">
        <v>94</v>
      </c>
      <c r="I1234" s="1" t="s">
        <v>50</v>
      </c>
      <c r="J1234" s="1" t="s">
        <v>1176</v>
      </c>
      <c r="K1234" s="1" t="s">
        <v>1752</v>
      </c>
      <c r="L1234" s="1" t="s">
        <v>3200</v>
      </c>
      <c r="M1234" s="1" t="s">
        <v>1179</v>
      </c>
      <c r="N1234" s="1" t="s">
        <v>965</v>
      </c>
      <c r="O1234" s="1" t="s">
        <v>2107</v>
      </c>
      <c r="P1234" s="1" t="s">
        <v>862</v>
      </c>
      <c r="Q1234" s="1" t="n">
        <v>-1</v>
      </c>
    </row>
    <row r="1235" customFormat="false" ht="14.25" hidden="false" customHeight="false" outlineLevel="0" collapsed="false">
      <c r="A1235" s="1" t="s">
        <v>3201</v>
      </c>
      <c r="B1235" s="1" t="s">
        <v>3202</v>
      </c>
      <c r="C1235" s="2" t="n">
        <v>240</v>
      </c>
      <c r="D1235" s="1" t="s">
        <v>20</v>
      </c>
      <c r="E1235" s="1" t="s">
        <v>3203</v>
      </c>
      <c r="F1235" s="2" t="n">
        <v>554184391627</v>
      </c>
      <c r="G1235" s="1" t="s">
        <v>3204</v>
      </c>
      <c r="H1235" s="1" t="s">
        <v>94</v>
      </c>
      <c r="I1235" s="1" t="s">
        <v>355</v>
      </c>
      <c r="J1235" s="1" t="s">
        <v>35</v>
      </c>
      <c r="K1235" s="1" t="s">
        <v>272</v>
      </c>
      <c r="L1235" s="1" t="s">
        <v>273</v>
      </c>
      <c r="M1235" s="1" t="s">
        <v>38</v>
      </c>
      <c r="N1235" s="1" t="s">
        <v>965</v>
      </c>
      <c r="O1235" s="1" t="s">
        <v>2236</v>
      </c>
      <c r="P1235" s="1" t="s">
        <v>2129</v>
      </c>
      <c r="Q1235" s="1" t="n">
        <v>11908589248</v>
      </c>
    </row>
    <row r="1236" customFormat="false" ht="14.25" hidden="false" customHeight="false" outlineLevel="0" collapsed="false">
      <c r="A1236" s="1" t="s">
        <v>3205</v>
      </c>
      <c r="B1236" s="1" t="s">
        <v>3206</v>
      </c>
      <c r="C1236" s="2" t="n">
        <v>300</v>
      </c>
      <c r="D1236" s="1" t="s">
        <v>30</v>
      </c>
      <c r="E1236" s="1" t="s">
        <v>3207</v>
      </c>
      <c r="F1236" s="2" t="n">
        <v>5515997945687</v>
      </c>
      <c r="G1236" s="1" t="s">
        <v>3208</v>
      </c>
      <c r="H1236" s="1" t="s">
        <v>94</v>
      </c>
      <c r="I1236" s="1" t="s">
        <v>34</v>
      </c>
      <c r="N1236" s="1" t="s">
        <v>965</v>
      </c>
      <c r="O1236" s="1" t="s">
        <v>2183</v>
      </c>
      <c r="P1236" s="1" t="s">
        <v>2135</v>
      </c>
      <c r="Q1236" s="1" t="n">
        <v>0</v>
      </c>
    </row>
    <row r="1237" customFormat="false" ht="14.25" hidden="false" customHeight="false" outlineLevel="0" collapsed="false">
      <c r="A1237" s="1" t="s">
        <v>3209</v>
      </c>
      <c r="B1237" s="1" t="s">
        <v>2507</v>
      </c>
      <c r="C1237" s="2" t="n">
        <v>150</v>
      </c>
      <c r="D1237" s="1" t="s">
        <v>24</v>
      </c>
      <c r="E1237" s="1" t="s">
        <v>2507</v>
      </c>
      <c r="F1237" s="2" t="s">
        <v>3210</v>
      </c>
      <c r="G1237" s="1" t="s">
        <v>2508</v>
      </c>
      <c r="H1237" s="1" t="s">
        <v>94</v>
      </c>
      <c r="I1237" s="1" t="s">
        <v>54</v>
      </c>
      <c r="N1237" s="1" t="s">
        <v>1022</v>
      </c>
      <c r="O1237" s="1" t="s">
        <v>2159</v>
      </c>
      <c r="P1237" s="1" t="s">
        <v>2089</v>
      </c>
    </row>
    <row r="1238" customFormat="false" ht="14.25" hidden="false" customHeight="false" outlineLevel="0" collapsed="false">
      <c r="A1238" s="1" t="s">
        <v>3211</v>
      </c>
      <c r="B1238" s="1" t="s">
        <v>43</v>
      </c>
      <c r="C1238" s="2" t="n">
        <v>-1</v>
      </c>
      <c r="D1238" s="1" t="s">
        <v>30</v>
      </c>
      <c r="E1238" s="1" t="s">
        <v>2564</v>
      </c>
      <c r="F1238" s="2" t="n">
        <v>5511981288679</v>
      </c>
      <c r="G1238" s="1" t="s">
        <v>2565</v>
      </c>
      <c r="H1238" s="1" t="s">
        <v>94</v>
      </c>
      <c r="I1238" s="1" t="s">
        <v>54</v>
      </c>
      <c r="N1238" s="1" t="s">
        <v>1022</v>
      </c>
      <c r="O1238" s="1" t="s">
        <v>2142</v>
      </c>
      <c r="P1238" s="1" t="s">
        <v>2129</v>
      </c>
    </row>
    <row r="1239" customFormat="false" ht="14.25" hidden="false" customHeight="false" outlineLevel="0" collapsed="false">
      <c r="A1239" s="1" t="s">
        <v>3212</v>
      </c>
      <c r="B1239" s="1" t="s">
        <v>3213</v>
      </c>
      <c r="C1239" s="2" t="n">
        <v>120</v>
      </c>
      <c r="D1239" s="1" t="s">
        <v>30</v>
      </c>
      <c r="E1239" s="1" t="s">
        <v>3214</v>
      </c>
      <c r="F1239" s="2" t="n">
        <v>554896405461</v>
      </c>
      <c r="G1239" s="1" t="s">
        <v>3215</v>
      </c>
      <c r="H1239" s="1" t="s">
        <v>94</v>
      </c>
      <c r="I1239" s="1" t="s">
        <v>50</v>
      </c>
      <c r="J1239" s="1" t="s">
        <v>35</v>
      </c>
      <c r="K1239" s="1" t="s">
        <v>69</v>
      </c>
      <c r="L1239" s="1" t="s">
        <v>70</v>
      </c>
      <c r="M1239" s="1" t="s">
        <v>38</v>
      </c>
      <c r="N1239" s="1" t="s">
        <v>965</v>
      </c>
      <c r="O1239" s="1" t="s">
        <v>2128</v>
      </c>
      <c r="P1239" s="1" t="s">
        <v>2129</v>
      </c>
    </row>
    <row r="1240" customFormat="false" ht="14.25" hidden="false" customHeight="false" outlineLevel="0" collapsed="false">
      <c r="A1240" s="1" t="s">
        <v>3216</v>
      </c>
      <c r="B1240" s="1" t="s">
        <v>1652</v>
      </c>
      <c r="C1240" s="2" t="n">
        <v>100</v>
      </c>
      <c r="D1240" s="1" t="s">
        <v>22</v>
      </c>
      <c r="E1240" s="1" t="s">
        <v>1652</v>
      </c>
      <c r="F1240" s="2" t="n">
        <v>556281066019</v>
      </c>
      <c r="G1240" s="1" t="s">
        <v>1653</v>
      </c>
      <c r="H1240" s="1" t="s">
        <v>94</v>
      </c>
      <c r="I1240" s="1" t="s">
        <v>54</v>
      </c>
      <c r="N1240" s="1" t="s">
        <v>1022</v>
      </c>
      <c r="O1240" s="1" t="s">
        <v>2280</v>
      </c>
      <c r="P1240" s="1" t="s">
        <v>2281</v>
      </c>
    </row>
    <row r="1241" customFormat="false" ht="14.25" hidden="false" customHeight="false" outlineLevel="0" collapsed="false">
      <c r="A1241" s="1" t="s">
        <v>3216</v>
      </c>
      <c r="B1241" s="1" t="s">
        <v>3217</v>
      </c>
      <c r="C1241" s="2" t="n">
        <v>360</v>
      </c>
      <c r="D1241" s="1" t="s">
        <v>30</v>
      </c>
      <c r="E1241" s="1" t="s">
        <v>3218</v>
      </c>
      <c r="F1241" s="2" t="n">
        <v>5511975322786</v>
      </c>
      <c r="G1241" s="1" t="s">
        <v>3219</v>
      </c>
      <c r="H1241" s="1" t="s">
        <v>94</v>
      </c>
      <c r="I1241" s="1" t="s">
        <v>355</v>
      </c>
      <c r="N1241" s="1" t="s">
        <v>965</v>
      </c>
      <c r="O1241" s="1" t="s">
        <v>2135</v>
      </c>
      <c r="P1241" s="1" t="s">
        <v>2135</v>
      </c>
    </row>
    <row r="1242" customFormat="false" ht="14.25" hidden="false" customHeight="false" outlineLevel="0" collapsed="false">
      <c r="A1242" s="1" t="s">
        <v>3220</v>
      </c>
      <c r="B1242" s="1" t="s">
        <v>3221</v>
      </c>
      <c r="C1242" s="2" t="n">
        <v>1650</v>
      </c>
      <c r="D1242" s="1" t="s">
        <v>24</v>
      </c>
      <c r="E1242" s="1" t="s">
        <v>3222</v>
      </c>
      <c r="F1242" s="2" t="n">
        <v>554198317851</v>
      </c>
      <c r="G1242" s="1" t="s">
        <v>33</v>
      </c>
      <c r="H1242" s="1" t="s">
        <v>94</v>
      </c>
      <c r="I1242" s="1" t="s">
        <v>54</v>
      </c>
      <c r="N1242" s="1" t="s">
        <v>1022</v>
      </c>
      <c r="O1242" s="1" t="s">
        <v>2159</v>
      </c>
      <c r="P1242" s="1" t="s">
        <v>2089</v>
      </c>
    </row>
    <row r="1243" customFormat="false" ht="14.25" hidden="false" customHeight="false" outlineLevel="0" collapsed="false">
      <c r="A1243" s="1" t="s">
        <v>3223</v>
      </c>
      <c r="B1243" s="1" t="s">
        <v>3224</v>
      </c>
      <c r="C1243" s="2" t="n">
        <v>147</v>
      </c>
      <c r="D1243" s="1" t="s">
        <v>30</v>
      </c>
      <c r="E1243" s="1" t="s">
        <v>3225</v>
      </c>
      <c r="F1243" s="2" t="n">
        <v>5511914978143</v>
      </c>
      <c r="G1243" s="1" t="s">
        <v>3226</v>
      </c>
      <c r="H1243" s="1" t="s">
        <v>94</v>
      </c>
      <c r="I1243" s="1" t="s">
        <v>34</v>
      </c>
      <c r="N1243" s="1" t="s">
        <v>965</v>
      </c>
      <c r="O1243" s="1" t="s">
        <v>2135</v>
      </c>
      <c r="P1243" s="1" t="s">
        <v>2135</v>
      </c>
    </row>
    <row r="1244" customFormat="false" ht="14.25" hidden="false" customHeight="false" outlineLevel="0" collapsed="false">
      <c r="A1244" s="1" t="s">
        <v>3227</v>
      </c>
      <c r="B1244" s="1" t="s">
        <v>3228</v>
      </c>
      <c r="C1244" s="2" t="n">
        <v>1200</v>
      </c>
      <c r="D1244" s="1" t="s">
        <v>27</v>
      </c>
      <c r="E1244" s="1" t="s">
        <v>3228</v>
      </c>
      <c r="F1244" s="2" t="n">
        <v>554196177288</v>
      </c>
      <c r="G1244" s="1" t="s">
        <v>3229</v>
      </c>
      <c r="H1244" s="1" t="s">
        <v>94</v>
      </c>
      <c r="I1244" s="1" t="s">
        <v>34</v>
      </c>
      <c r="N1244" s="1" t="s">
        <v>965</v>
      </c>
      <c r="O1244" s="1" t="s">
        <v>2159</v>
      </c>
      <c r="P1244" s="1" t="s">
        <v>2089</v>
      </c>
    </row>
    <row r="1245" customFormat="false" ht="14.25" hidden="false" customHeight="false" outlineLevel="0" collapsed="false">
      <c r="A1245" s="1" t="s">
        <v>3230</v>
      </c>
      <c r="B1245" s="1" t="s">
        <v>3231</v>
      </c>
      <c r="C1245" s="2" t="n">
        <v>150</v>
      </c>
      <c r="D1245" s="1" t="s">
        <v>1471</v>
      </c>
      <c r="E1245" s="1" t="s">
        <v>3231</v>
      </c>
      <c r="F1245" s="2" t="n">
        <v>555195167967</v>
      </c>
      <c r="G1245" s="1" t="s">
        <v>3232</v>
      </c>
      <c r="H1245" s="1" t="s">
        <v>94</v>
      </c>
      <c r="I1245" s="1" t="s">
        <v>50</v>
      </c>
      <c r="N1245" s="1" t="s">
        <v>965</v>
      </c>
      <c r="O1245" s="1" t="s">
        <v>2107</v>
      </c>
      <c r="P1245" s="1" t="s">
        <v>2121</v>
      </c>
    </row>
    <row r="1246" customFormat="false" ht="14.25" hidden="false" customHeight="false" outlineLevel="0" collapsed="false">
      <c r="A1246" s="1" t="s">
        <v>3233</v>
      </c>
      <c r="B1246" s="1" t="s">
        <v>3234</v>
      </c>
      <c r="C1246" s="2" t="n">
        <v>197</v>
      </c>
      <c r="D1246" s="1" t="s">
        <v>390</v>
      </c>
      <c r="E1246" s="1" t="s">
        <v>3234</v>
      </c>
      <c r="F1246" s="2" t="n">
        <v>5599984004588</v>
      </c>
      <c r="G1246" s="1" t="s">
        <v>3235</v>
      </c>
      <c r="H1246" s="1" t="s">
        <v>94</v>
      </c>
      <c r="I1246" s="1" t="s">
        <v>34</v>
      </c>
      <c r="N1246" s="1" t="s">
        <v>965</v>
      </c>
      <c r="O1246" s="1" t="s">
        <v>2107</v>
      </c>
      <c r="P1246" s="1" t="s">
        <v>3236</v>
      </c>
    </row>
    <row r="1247" customFormat="false" ht="14.25" hidden="false" customHeight="false" outlineLevel="0" collapsed="false">
      <c r="A1247" s="1" t="s">
        <v>3237</v>
      </c>
      <c r="B1247" s="1" t="s">
        <v>3238</v>
      </c>
      <c r="C1247" s="2" t="n">
        <v>400</v>
      </c>
      <c r="D1247" s="1" t="s">
        <v>106</v>
      </c>
      <c r="E1247" s="1" t="s">
        <v>3238</v>
      </c>
      <c r="F1247" s="2" t="n">
        <v>554396351109</v>
      </c>
      <c r="G1247" s="1" t="s">
        <v>3239</v>
      </c>
      <c r="H1247" s="1" t="s">
        <v>94</v>
      </c>
      <c r="I1247" s="1" t="s">
        <v>50</v>
      </c>
      <c r="N1247" s="1" t="s">
        <v>965</v>
      </c>
      <c r="O1247" s="1" t="s">
        <v>2107</v>
      </c>
      <c r="P1247" s="1" t="s">
        <v>2089</v>
      </c>
    </row>
    <row r="1248" customFormat="false" ht="14.25" hidden="false" customHeight="false" outlineLevel="0" collapsed="false">
      <c r="A1248" s="1" t="s">
        <v>3240</v>
      </c>
      <c r="B1248" s="1" t="s">
        <v>3241</v>
      </c>
      <c r="C1248" s="2" t="n">
        <v>300</v>
      </c>
      <c r="D1248" s="1" t="s">
        <v>32</v>
      </c>
      <c r="E1248" s="1" t="s">
        <v>2426</v>
      </c>
      <c r="F1248" s="2" t="n">
        <v>559584038633</v>
      </c>
      <c r="G1248" s="1" t="s">
        <v>43</v>
      </c>
      <c r="H1248" s="1" t="s">
        <v>1304</v>
      </c>
      <c r="I1248" s="1" t="s">
        <v>54</v>
      </c>
      <c r="N1248" s="1" t="s">
        <v>1022</v>
      </c>
      <c r="O1248" s="1" t="s">
        <v>2427</v>
      </c>
      <c r="P1248" s="1" t="s">
        <v>2734</v>
      </c>
    </row>
    <row r="1249" customFormat="false" ht="14.25" hidden="false" customHeight="false" outlineLevel="0" collapsed="false">
      <c r="A1249" s="1" t="s">
        <v>3242</v>
      </c>
      <c r="B1249" s="1" t="s">
        <v>2317</v>
      </c>
      <c r="C1249" s="2" t="n">
        <v>150</v>
      </c>
      <c r="D1249" s="1" t="s">
        <v>24</v>
      </c>
      <c r="E1249" s="1" t="s">
        <v>2318</v>
      </c>
      <c r="F1249" s="2" t="n">
        <v>5515998541153</v>
      </c>
      <c r="G1249" s="1" t="s">
        <v>485</v>
      </c>
      <c r="H1249" s="1" t="s">
        <v>94</v>
      </c>
      <c r="I1249" s="1" t="s">
        <v>54</v>
      </c>
      <c r="N1249" s="1" t="s">
        <v>1022</v>
      </c>
      <c r="O1249" s="1" t="s">
        <v>2183</v>
      </c>
      <c r="P1249" s="1" t="s">
        <v>2135</v>
      </c>
    </row>
    <row r="1250" customFormat="false" ht="14.25" hidden="false" customHeight="false" outlineLevel="0" collapsed="false">
      <c r="A1250" s="1" t="s">
        <v>3243</v>
      </c>
      <c r="B1250" s="1" t="s">
        <v>3244</v>
      </c>
      <c r="C1250" s="2" t="n">
        <v>194</v>
      </c>
      <c r="D1250" s="1" t="s">
        <v>20</v>
      </c>
      <c r="E1250" s="1" t="s">
        <v>3245</v>
      </c>
      <c r="F1250" s="2" t="n">
        <v>559584108420</v>
      </c>
      <c r="G1250" s="1" t="s">
        <v>3246</v>
      </c>
      <c r="H1250" s="1" t="s">
        <v>94</v>
      </c>
      <c r="I1250" s="1" t="s">
        <v>34</v>
      </c>
      <c r="J1250" s="1" t="s">
        <v>35</v>
      </c>
      <c r="K1250" s="1" t="s">
        <v>69</v>
      </c>
      <c r="L1250" s="1" t="s">
        <v>70</v>
      </c>
      <c r="M1250" s="1" t="s">
        <v>38</v>
      </c>
      <c r="N1250" s="1" t="s">
        <v>965</v>
      </c>
      <c r="O1250" s="1" t="s">
        <v>2749</v>
      </c>
      <c r="P1250" s="1" t="s">
        <v>2320</v>
      </c>
    </row>
    <row r="1251" customFormat="false" ht="14.25" hidden="false" customHeight="false" outlineLevel="0" collapsed="false">
      <c r="A1251" s="1" t="s">
        <v>3247</v>
      </c>
      <c r="B1251" s="1" t="s">
        <v>3248</v>
      </c>
      <c r="C1251" s="2" t="n">
        <v>120</v>
      </c>
      <c r="D1251" s="1" t="s">
        <v>30</v>
      </c>
      <c r="E1251" s="1" t="s">
        <v>3248</v>
      </c>
      <c r="F1251" s="2" t="n">
        <v>559591572378</v>
      </c>
      <c r="G1251" s="1" t="s">
        <v>3249</v>
      </c>
      <c r="H1251" s="1" t="s">
        <v>94</v>
      </c>
      <c r="I1251" s="1" t="s">
        <v>355</v>
      </c>
      <c r="J1251" s="1" t="s">
        <v>35</v>
      </c>
      <c r="K1251" s="1" t="s">
        <v>36</v>
      </c>
      <c r="L1251" s="1" t="s">
        <v>37</v>
      </c>
      <c r="M1251" s="1" t="s">
        <v>38</v>
      </c>
      <c r="N1251" s="1" t="s">
        <v>965</v>
      </c>
      <c r="O1251" s="1" t="s">
        <v>2107</v>
      </c>
      <c r="P1251" s="1" t="s">
        <v>2135</v>
      </c>
    </row>
    <row r="1252" customFormat="false" ht="14.25" hidden="false" customHeight="false" outlineLevel="0" collapsed="false">
      <c r="A1252" s="1" t="s">
        <v>3250</v>
      </c>
      <c r="B1252" s="1" t="s">
        <v>3251</v>
      </c>
      <c r="C1252" s="2" t="n">
        <v>240</v>
      </c>
      <c r="D1252" s="1" t="s">
        <v>20</v>
      </c>
      <c r="E1252" s="1" t="s">
        <v>3251</v>
      </c>
      <c r="F1252" s="2" t="n">
        <v>554733863796</v>
      </c>
      <c r="G1252" s="1" t="s">
        <v>3252</v>
      </c>
      <c r="H1252" s="1" t="s">
        <v>94</v>
      </c>
      <c r="I1252" s="1" t="s">
        <v>50</v>
      </c>
      <c r="N1252" s="1" t="s">
        <v>965</v>
      </c>
      <c r="O1252" s="1" t="s">
        <v>2760</v>
      </c>
      <c r="P1252" s="1" t="s">
        <v>2121</v>
      </c>
    </row>
    <row r="1253" customFormat="false" ht="14.25" hidden="false" customHeight="false" outlineLevel="0" collapsed="false">
      <c r="A1253" s="1" t="s">
        <v>3253</v>
      </c>
      <c r="B1253" s="1" t="s">
        <v>3254</v>
      </c>
      <c r="C1253" s="2" t="n">
        <v>294</v>
      </c>
      <c r="D1253" s="1" t="s">
        <v>21</v>
      </c>
      <c r="E1253" s="1" t="s">
        <v>3254</v>
      </c>
      <c r="F1253" s="2" t="n">
        <v>559584394421</v>
      </c>
      <c r="G1253" s="1" t="s">
        <v>3255</v>
      </c>
      <c r="H1253" s="1" t="s">
        <v>94</v>
      </c>
      <c r="I1253" s="1" t="s">
        <v>50</v>
      </c>
      <c r="J1253" s="1" t="s">
        <v>35</v>
      </c>
      <c r="K1253" s="1" t="s">
        <v>36</v>
      </c>
      <c r="L1253" s="1" t="s">
        <v>37</v>
      </c>
      <c r="M1253" s="1" t="s">
        <v>38</v>
      </c>
      <c r="N1253" s="1" t="s">
        <v>965</v>
      </c>
      <c r="O1253" s="1" t="s">
        <v>2261</v>
      </c>
      <c r="P1253" s="1" t="s">
        <v>2129</v>
      </c>
    </row>
    <row r="1254" customFormat="false" ht="14.25" hidden="false" customHeight="false" outlineLevel="0" collapsed="false">
      <c r="A1254" s="1" t="s">
        <v>3256</v>
      </c>
      <c r="B1254" s="1" t="s">
        <v>3257</v>
      </c>
      <c r="C1254" s="2" t="n">
        <v>394</v>
      </c>
      <c r="D1254" s="1" t="s">
        <v>390</v>
      </c>
      <c r="E1254" s="1" t="s">
        <v>3257</v>
      </c>
      <c r="F1254" s="2" t="n">
        <v>559584027060</v>
      </c>
      <c r="G1254" s="1" t="s">
        <v>3258</v>
      </c>
      <c r="H1254" s="1" t="s">
        <v>94</v>
      </c>
      <c r="I1254" s="1" t="s">
        <v>54</v>
      </c>
      <c r="N1254" s="1" t="s">
        <v>1022</v>
      </c>
      <c r="O1254" s="1" t="s">
        <v>2107</v>
      </c>
      <c r="P1254" s="1" t="s">
        <v>862</v>
      </c>
    </row>
    <row r="1255" customFormat="false" ht="14.25" hidden="false" customHeight="false" outlineLevel="0" collapsed="false">
      <c r="A1255" s="1" t="s">
        <v>3259</v>
      </c>
      <c r="B1255" s="1" t="s">
        <v>2706</v>
      </c>
      <c r="C1255" s="2" t="n">
        <v>240</v>
      </c>
      <c r="D1255" s="1" t="s">
        <v>30</v>
      </c>
      <c r="E1255" s="1" t="s">
        <v>2706</v>
      </c>
      <c r="F1255" s="2" t="n">
        <v>559584407526</v>
      </c>
      <c r="G1255" s="1" t="s">
        <v>2707</v>
      </c>
      <c r="H1255" s="1" t="s">
        <v>94</v>
      </c>
      <c r="I1255" s="1" t="s">
        <v>54</v>
      </c>
      <c r="N1255" s="1" t="s">
        <v>1022</v>
      </c>
      <c r="O1255" s="1" t="s">
        <v>2708</v>
      </c>
      <c r="P1255" s="1" t="s">
        <v>2089</v>
      </c>
    </row>
    <row r="1256" customFormat="false" ht="14.25" hidden="false" customHeight="false" outlineLevel="0" collapsed="false">
      <c r="A1256" s="1" t="s">
        <v>3260</v>
      </c>
      <c r="B1256" s="1" t="s">
        <v>3261</v>
      </c>
      <c r="C1256" s="2" t="n">
        <v>120</v>
      </c>
      <c r="D1256" s="1" t="s">
        <v>22</v>
      </c>
      <c r="E1256" s="1" t="s">
        <v>3262</v>
      </c>
      <c r="F1256" s="2" t="n">
        <v>555191771677</v>
      </c>
      <c r="G1256" s="1" t="s">
        <v>3263</v>
      </c>
      <c r="H1256" s="1" t="s">
        <v>94</v>
      </c>
      <c r="I1256" s="1" t="s">
        <v>355</v>
      </c>
      <c r="J1256" s="1" t="s">
        <v>35</v>
      </c>
      <c r="K1256" s="1" t="s">
        <v>36</v>
      </c>
      <c r="L1256" s="1" t="s">
        <v>37</v>
      </c>
      <c r="M1256" s="1" t="s">
        <v>38</v>
      </c>
      <c r="N1256" s="1" t="s">
        <v>965</v>
      </c>
      <c r="O1256" s="1" t="s">
        <v>2107</v>
      </c>
      <c r="P1256" s="1" t="s">
        <v>2121</v>
      </c>
    </row>
    <row r="1257" customFormat="false" ht="14.25" hidden="false" customHeight="false" outlineLevel="0" collapsed="false">
      <c r="A1257" s="1" t="s">
        <v>3264</v>
      </c>
      <c r="B1257" s="1" t="s">
        <v>2752</v>
      </c>
      <c r="C1257" s="2" t="n">
        <v>145</v>
      </c>
      <c r="D1257" s="1" t="s">
        <v>390</v>
      </c>
      <c r="E1257" s="1" t="s">
        <v>2752</v>
      </c>
      <c r="F1257" s="2" t="n">
        <v>554198735582</v>
      </c>
      <c r="G1257" s="1" t="s">
        <v>2753</v>
      </c>
      <c r="H1257" s="1" t="s">
        <v>94</v>
      </c>
      <c r="I1257" s="1" t="s">
        <v>54</v>
      </c>
      <c r="N1257" s="1" t="s">
        <v>1022</v>
      </c>
      <c r="O1257" s="1" t="s">
        <v>2159</v>
      </c>
      <c r="P1257" s="1" t="s">
        <v>2089</v>
      </c>
    </row>
    <row r="1258" customFormat="false" ht="14.25" hidden="false" customHeight="false" outlineLevel="0" collapsed="false">
      <c r="A1258" s="1" t="s">
        <v>3265</v>
      </c>
      <c r="B1258" s="1" t="s">
        <v>3266</v>
      </c>
      <c r="C1258" s="2" t="n">
        <v>150</v>
      </c>
      <c r="D1258" s="1" t="s">
        <v>30</v>
      </c>
      <c r="E1258" s="1" t="s">
        <v>3266</v>
      </c>
      <c r="F1258" s="2" t="n">
        <v>554896115041</v>
      </c>
      <c r="G1258" s="1" t="s">
        <v>3267</v>
      </c>
      <c r="H1258" s="1" t="s">
        <v>94</v>
      </c>
      <c r="I1258" s="1" t="s">
        <v>50</v>
      </c>
      <c r="N1258" s="1" t="s">
        <v>965</v>
      </c>
      <c r="O1258" s="1" t="s">
        <v>2128</v>
      </c>
      <c r="P1258" s="1" t="s">
        <v>2129</v>
      </c>
    </row>
    <row r="1259" customFormat="false" ht="14.25" hidden="false" customHeight="false" outlineLevel="0" collapsed="false">
      <c r="A1259" s="1" t="s">
        <v>3268</v>
      </c>
      <c r="B1259" s="1" t="s">
        <v>3269</v>
      </c>
      <c r="C1259" s="2" t="n">
        <v>300</v>
      </c>
      <c r="D1259" s="1" t="s">
        <v>2889</v>
      </c>
      <c r="E1259" s="1" t="s">
        <v>3269</v>
      </c>
      <c r="F1259" s="2" t="n">
        <v>554896708679</v>
      </c>
      <c r="G1259" s="1" t="s">
        <v>3270</v>
      </c>
      <c r="H1259" s="1" t="s">
        <v>94</v>
      </c>
      <c r="I1259" s="1" t="s">
        <v>50</v>
      </c>
      <c r="J1259" s="1" t="s">
        <v>35</v>
      </c>
      <c r="K1259" s="1" t="s">
        <v>36</v>
      </c>
      <c r="L1259" s="1" t="s">
        <v>37</v>
      </c>
      <c r="M1259" s="1" t="s">
        <v>38</v>
      </c>
      <c r="N1259" s="1" t="s">
        <v>965</v>
      </c>
      <c r="O1259" s="1" t="s">
        <v>3143</v>
      </c>
      <c r="P1259" s="1" t="s">
        <v>2129</v>
      </c>
    </row>
    <row r="1260" customFormat="false" ht="14.25" hidden="false" customHeight="false" outlineLevel="0" collapsed="false">
      <c r="A1260" s="1" t="s">
        <v>3271</v>
      </c>
      <c r="B1260" s="1" t="s">
        <v>3272</v>
      </c>
      <c r="C1260" s="2" t="n">
        <v>394</v>
      </c>
      <c r="D1260" s="1" t="s">
        <v>390</v>
      </c>
      <c r="E1260" s="1" t="s">
        <v>3272</v>
      </c>
      <c r="F1260" s="2" t="n">
        <v>559684065516</v>
      </c>
      <c r="G1260" s="1" t="s">
        <v>3273</v>
      </c>
      <c r="H1260" s="1" t="s">
        <v>94</v>
      </c>
      <c r="I1260" s="1" t="s">
        <v>34</v>
      </c>
      <c r="J1260" s="1" t="s">
        <v>35</v>
      </c>
      <c r="K1260" s="1" t="s">
        <v>69</v>
      </c>
      <c r="L1260" s="1" t="s">
        <v>70</v>
      </c>
      <c r="M1260" s="1" t="s">
        <v>38</v>
      </c>
      <c r="N1260" s="1" t="s">
        <v>965</v>
      </c>
      <c r="O1260" s="1" t="s">
        <v>2159</v>
      </c>
      <c r="P1260" s="1" t="s">
        <v>2089</v>
      </c>
    </row>
    <row r="1261" customFormat="false" ht="14.25" hidden="false" customHeight="false" outlineLevel="0" collapsed="false">
      <c r="A1261" s="1" t="s">
        <v>3274</v>
      </c>
      <c r="B1261" s="1" t="s">
        <v>3275</v>
      </c>
      <c r="C1261" s="2" t="n">
        <v>150</v>
      </c>
      <c r="D1261" s="1" t="s">
        <v>30</v>
      </c>
      <c r="E1261" s="1" t="s">
        <v>3275</v>
      </c>
      <c r="F1261" s="2" t="n">
        <v>554197327053</v>
      </c>
      <c r="G1261" s="1" t="s">
        <v>3276</v>
      </c>
      <c r="H1261" s="1" t="s">
        <v>94</v>
      </c>
      <c r="I1261" s="1" t="s">
        <v>54</v>
      </c>
      <c r="N1261" s="1" t="s">
        <v>965</v>
      </c>
      <c r="O1261" s="1" t="s">
        <v>2159</v>
      </c>
      <c r="P1261" s="1" t="s">
        <v>2089</v>
      </c>
    </row>
    <row r="1262" customFormat="false" ht="14.25" hidden="false" customHeight="false" outlineLevel="0" collapsed="false">
      <c r="A1262" s="1" t="s">
        <v>3277</v>
      </c>
      <c r="B1262" s="1" t="s">
        <v>3278</v>
      </c>
      <c r="C1262" s="2" t="n">
        <v>150</v>
      </c>
      <c r="D1262" s="1" t="s">
        <v>32</v>
      </c>
      <c r="E1262" s="1" t="s">
        <v>3279</v>
      </c>
      <c r="F1262" s="2" t="n">
        <v>554374005439</v>
      </c>
      <c r="G1262" s="1" t="s">
        <v>43</v>
      </c>
      <c r="H1262" s="1" t="s">
        <v>94</v>
      </c>
      <c r="I1262" s="1" t="s">
        <v>34</v>
      </c>
      <c r="J1262" s="1" t="s">
        <v>1176</v>
      </c>
      <c r="K1262" s="1" t="s">
        <v>1177</v>
      </c>
      <c r="L1262" s="1" t="s">
        <v>1324</v>
      </c>
      <c r="M1262" s="1" t="s">
        <v>1243</v>
      </c>
      <c r="N1262" s="1" t="s">
        <v>965</v>
      </c>
      <c r="O1262" s="1" t="s">
        <v>3280</v>
      </c>
      <c r="P1262" s="1" t="s">
        <v>2089</v>
      </c>
    </row>
    <row r="1263" customFormat="false" ht="14.25" hidden="false" customHeight="false" outlineLevel="0" collapsed="false">
      <c r="A1263" s="1" t="s">
        <v>3281</v>
      </c>
      <c r="B1263" s="1" t="s">
        <v>3282</v>
      </c>
      <c r="C1263" s="2" t="n">
        <v>197</v>
      </c>
      <c r="D1263" s="1" t="s">
        <v>390</v>
      </c>
      <c r="E1263" s="1" t="s">
        <v>3282</v>
      </c>
      <c r="F1263" s="2" t="n">
        <v>5517920006718</v>
      </c>
      <c r="G1263" s="1" t="s">
        <v>3283</v>
      </c>
      <c r="H1263" s="1" t="s">
        <v>94</v>
      </c>
      <c r="I1263" s="1" t="s">
        <v>50</v>
      </c>
      <c r="J1263" s="1" t="s">
        <v>1176</v>
      </c>
      <c r="K1263" s="1" t="s">
        <v>1897</v>
      </c>
      <c r="L1263" s="1" t="s">
        <v>2447</v>
      </c>
      <c r="M1263" s="1" t="s">
        <v>1179</v>
      </c>
      <c r="N1263" s="1" t="s">
        <v>965</v>
      </c>
      <c r="O1263" s="1" t="s">
        <v>3284</v>
      </c>
      <c r="P1263" s="1" t="s">
        <v>2135</v>
      </c>
    </row>
    <row r="1264" customFormat="false" ht="14.25" hidden="false" customHeight="false" outlineLevel="0" collapsed="false">
      <c r="A1264" s="1" t="s">
        <v>3285</v>
      </c>
      <c r="B1264" s="1" t="s">
        <v>3286</v>
      </c>
      <c r="C1264" s="2" t="n">
        <v>800</v>
      </c>
      <c r="D1264" s="1" t="s">
        <v>106</v>
      </c>
      <c r="E1264" s="1" t="s">
        <v>3287</v>
      </c>
      <c r="F1264" s="2" t="n">
        <v>554299407537</v>
      </c>
      <c r="G1264" s="1" t="s">
        <v>3288</v>
      </c>
      <c r="H1264" s="1" t="s">
        <v>94</v>
      </c>
      <c r="I1264" s="1" t="s">
        <v>355</v>
      </c>
      <c r="N1264" s="1" t="s">
        <v>965</v>
      </c>
      <c r="O1264" s="1" t="s">
        <v>2107</v>
      </c>
      <c r="P1264" s="1" t="s">
        <v>862</v>
      </c>
    </row>
    <row r="1265" customFormat="false" ht="14.25" hidden="false" customHeight="false" outlineLevel="0" collapsed="false">
      <c r="A1265" s="1" t="s">
        <v>3289</v>
      </c>
      <c r="B1265" s="1" t="s">
        <v>3290</v>
      </c>
      <c r="C1265" s="2" t="n">
        <v>400</v>
      </c>
      <c r="D1265" s="1" t="s">
        <v>106</v>
      </c>
      <c r="E1265" s="1" t="s">
        <v>3291</v>
      </c>
      <c r="F1265" s="2" t="n">
        <v>554784251030</v>
      </c>
      <c r="G1265" s="1" t="s">
        <v>3292</v>
      </c>
      <c r="H1265" s="1" t="s">
        <v>94</v>
      </c>
      <c r="I1265" s="1" t="s">
        <v>355</v>
      </c>
      <c r="N1265" s="1" t="s">
        <v>965</v>
      </c>
      <c r="O1265" s="1" t="s">
        <v>2107</v>
      </c>
      <c r="P1265" s="1" t="s">
        <v>862</v>
      </c>
    </row>
    <row r="1266" customFormat="false" ht="14.25" hidden="false" customHeight="false" outlineLevel="0" collapsed="false">
      <c r="A1266" s="1" t="s">
        <v>3293</v>
      </c>
      <c r="B1266" s="1" t="s">
        <v>3294</v>
      </c>
      <c r="C1266" s="2" t="n">
        <v>120</v>
      </c>
      <c r="D1266" s="1" t="s">
        <v>30</v>
      </c>
      <c r="E1266" s="1" t="s">
        <v>3294</v>
      </c>
      <c r="F1266" s="2" t="n">
        <v>5511974300728</v>
      </c>
      <c r="G1266" s="1" t="s">
        <v>43</v>
      </c>
      <c r="H1266" s="1" t="s">
        <v>94</v>
      </c>
      <c r="I1266" s="1" t="s">
        <v>34</v>
      </c>
      <c r="J1266" s="1" t="s">
        <v>1176</v>
      </c>
      <c r="K1266" s="1" t="s">
        <v>1897</v>
      </c>
      <c r="L1266" s="1" t="s">
        <v>2828</v>
      </c>
      <c r="M1266" s="1" t="s">
        <v>1179</v>
      </c>
      <c r="N1266" s="1" t="s">
        <v>965</v>
      </c>
      <c r="O1266" s="1" t="s">
        <v>2276</v>
      </c>
      <c r="P1266" s="1" t="s">
        <v>2135</v>
      </c>
    </row>
    <row r="1267" customFormat="false" ht="14.25" hidden="false" customHeight="false" outlineLevel="0" collapsed="false">
      <c r="A1267" s="1" t="s">
        <v>3295</v>
      </c>
      <c r="B1267" s="1" t="s">
        <v>3296</v>
      </c>
      <c r="C1267" s="2" t="n">
        <v>147</v>
      </c>
      <c r="D1267" s="1" t="s">
        <v>22</v>
      </c>
      <c r="E1267" s="1" t="s">
        <v>3296</v>
      </c>
      <c r="F1267" s="2" t="n">
        <v>554192524215</v>
      </c>
      <c r="G1267" s="1" t="s">
        <v>3297</v>
      </c>
      <c r="H1267" s="1" t="s">
        <v>94</v>
      </c>
      <c r="I1267" s="1" t="s">
        <v>54</v>
      </c>
      <c r="N1267" s="1" t="s">
        <v>1022</v>
      </c>
      <c r="O1267" s="1" t="s">
        <v>2159</v>
      </c>
      <c r="P1267" s="1" t="s">
        <v>2089</v>
      </c>
    </row>
    <row r="1268" customFormat="false" ht="14.25" hidden="false" customHeight="false" outlineLevel="0" collapsed="false">
      <c r="A1268" s="1" t="s">
        <v>3298</v>
      </c>
      <c r="B1268" s="1" t="s">
        <v>3296</v>
      </c>
      <c r="C1268" s="2" t="n">
        <v>53</v>
      </c>
      <c r="D1268" s="1" t="s">
        <v>862</v>
      </c>
      <c r="E1268" s="1" t="s">
        <v>3296</v>
      </c>
      <c r="F1268" s="2" t="n">
        <v>554192524215</v>
      </c>
      <c r="G1268" s="1" t="s">
        <v>3297</v>
      </c>
      <c r="H1268" s="1" t="s">
        <v>94</v>
      </c>
      <c r="I1268" s="1" t="s">
        <v>54</v>
      </c>
      <c r="N1268" s="1" t="s">
        <v>1022</v>
      </c>
      <c r="O1268" s="1" t="s">
        <v>2159</v>
      </c>
      <c r="P1268" s="1" t="s">
        <v>2089</v>
      </c>
    </row>
    <row r="1269" customFormat="false" ht="14.25" hidden="false" customHeight="false" outlineLevel="0" collapsed="false">
      <c r="A1269" s="1" t="s">
        <v>3299</v>
      </c>
      <c r="B1269" s="1" t="s">
        <v>3300</v>
      </c>
      <c r="C1269" s="2" t="n">
        <v>150</v>
      </c>
      <c r="D1269" s="1" t="s">
        <v>32</v>
      </c>
      <c r="E1269" s="1" t="s">
        <v>3301</v>
      </c>
      <c r="F1269" s="2" t="n">
        <v>558398148019</v>
      </c>
      <c r="G1269" s="1" t="s">
        <v>3302</v>
      </c>
      <c r="H1269" s="1" t="s">
        <v>94</v>
      </c>
      <c r="I1269" s="1" t="s">
        <v>50</v>
      </c>
      <c r="N1269" s="1" t="s">
        <v>965</v>
      </c>
      <c r="O1269" s="1" t="s">
        <v>2107</v>
      </c>
      <c r="P1269" s="1" t="s">
        <v>862</v>
      </c>
    </row>
    <row r="1270" customFormat="false" ht="14.25" hidden="false" customHeight="false" outlineLevel="0" collapsed="false">
      <c r="A1270" s="1" t="s">
        <v>3303</v>
      </c>
      <c r="B1270" s="1" t="s">
        <v>3304</v>
      </c>
      <c r="C1270" s="2" t="n">
        <v>437</v>
      </c>
      <c r="D1270" s="1" t="s">
        <v>390</v>
      </c>
      <c r="E1270" s="1" t="s">
        <v>3305</v>
      </c>
      <c r="F1270" s="2" t="n">
        <v>559584037292</v>
      </c>
      <c r="G1270" s="1" t="s">
        <v>3306</v>
      </c>
      <c r="H1270" s="1" t="s">
        <v>94</v>
      </c>
      <c r="I1270" s="1" t="s">
        <v>50</v>
      </c>
      <c r="J1270" s="1" t="s">
        <v>97</v>
      </c>
      <c r="K1270" s="1" t="s">
        <v>20</v>
      </c>
      <c r="L1270" s="1" t="s">
        <v>230</v>
      </c>
      <c r="M1270" s="1" t="s">
        <v>99</v>
      </c>
      <c r="N1270" s="1" t="s">
        <v>965</v>
      </c>
      <c r="O1270" s="1" t="s">
        <v>2107</v>
      </c>
      <c r="P1270" s="1" t="s">
        <v>2135</v>
      </c>
    </row>
    <row r="1271" customFormat="false" ht="14.25" hidden="false" customHeight="false" outlineLevel="0" collapsed="false">
      <c r="A1271" s="1" t="s">
        <v>3307</v>
      </c>
      <c r="B1271" s="1" t="s">
        <v>3308</v>
      </c>
      <c r="C1271" s="2" t="n">
        <v>150</v>
      </c>
      <c r="D1271" s="1" t="s">
        <v>32</v>
      </c>
      <c r="E1271" s="1" t="s">
        <v>3308</v>
      </c>
      <c r="F1271" s="2" t="n">
        <v>559584133906</v>
      </c>
      <c r="G1271" s="1" t="s">
        <v>3309</v>
      </c>
      <c r="H1271" s="1" t="s">
        <v>94</v>
      </c>
      <c r="I1271" s="1" t="s">
        <v>54</v>
      </c>
      <c r="N1271" s="1" t="s">
        <v>965</v>
      </c>
      <c r="O1271" s="1" t="s">
        <v>2107</v>
      </c>
      <c r="P1271" s="1" t="s">
        <v>862</v>
      </c>
    </row>
    <row r="1272" customFormat="false" ht="14.25" hidden="false" customHeight="false" outlineLevel="0" collapsed="false">
      <c r="A1272" s="1" t="s">
        <v>3310</v>
      </c>
      <c r="B1272" s="1" t="s">
        <v>3311</v>
      </c>
      <c r="C1272" s="2" t="n">
        <v>200</v>
      </c>
      <c r="D1272" s="1" t="s">
        <v>21</v>
      </c>
      <c r="E1272" s="1" t="s">
        <v>3312</v>
      </c>
      <c r="F1272" s="2" t="n">
        <v>559584381108</v>
      </c>
      <c r="G1272" s="1" t="s">
        <v>3313</v>
      </c>
      <c r="H1272" s="1" t="s">
        <v>94</v>
      </c>
      <c r="I1272" s="1" t="s">
        <v>50</v>
      </c>
      <c r="J1272" s="1" t="s">
        <v>1176</v>
      </c>
      <c r="K1272" s="1" t="s">
        <v>1752</v>
      </c>
      <c r="L1272" s="1" t="s">
        <v>3200</v>
      </c>
      <c r="M1272" s="1" t="s">
        <v>1179</v>
      </c>
      <c r="N1272" s="1" t="s">
        <v>965</v>
      </c>
      <c r="O1272" s="1" t="s">
        <v>2288</v>
      </c>
      <c r="P1272" s="1" t="s">
        <v>2129</v>
      </c>
    </row>
    <row r="1273" customFormat="false" ht="14.25" hidden="false" customHeight="false" outlineLevel="0" collapsed="false">
      <c r="A1273" s="1" t="s">
        <v>3314</v>
      </c>
      <c r="B1273" s="1" t="s">
        <v>3315</v>
      </c>
      <c r="C1273" s="2" t="n">
        <v>394</v>
      </c>
      <c r="D1273" s="1" t="s">
        <v>390</v>
      </c>
      <c r="E1273" s="1" t="s">
        <v>3315</v>
      </c>
      <c r="F1273" s="2" t="n">
        <v>554196698636</v>
      </c>
      <c r="G1273" s="1" t="s">
        <v>3316</v>
      </c>
      <c r="H1273" s="1" t="s">
        <v>94</v>
      </c>
      <c r="I1273" s="1" t="s">
        <v>355</v>
      </c>
      <c r="N1273" s="1" t="s">
        <v>965</v>
      </c>
      <c r="O1273" s="1" t="s">
        <v>2159</v>
      </c>
      <c r="P1273" s="1" t="s">
        <v>2089</v>
      </c>
    </row>
    <row r="1274" customFormat="false" ht="14.25" hidden="false" customHeight="false" outlineLevel="0" collapsed="false">
      <c r="A1274" s="1" t="s">
        <v>3317</v>
      </c>
      <c r="B1274" s="1" t="s">
        <v>3318</v>
      </c>
      <c r="C1274" s="2" t="n">
        <v>150</v>
      </c>
      <c r="D1274" s="1" t="s">
        <v>24</v>
      </c>
      <c r="E1274" s="1" t="s">
        <v>3318</v>
      </c>
      <c r="F1274" s="2" t="n">
        <v>554796953769</v>
      </c>
      <c r="G1274" s="1" t="s">
        <v>3319</v>
      </c>
      <c r="H1274" s="1" t="s">
        <v>1304</v>
      </c>
      <c r="I1274" s="1" t="s">
        <v>34</v>
      </c>
      <c r="N1274" s="1" t="s">
        <v>965</v>
      </c>
      <c r="O1274" s="1" t="s">
        <v>2128</v>
      </c>
      <c r="P1274" s="1" t="s">
        <v>2129</v>
      </c>
    </row>
    <row r="1275" customFormat="false" ht="14.25" hidden="false" customHeight="false" outlineLevel="0" collapsed="false">
      <c r="A1275" s="1" t="s">
        <v>3320</v>
      </c>
      <c r="B1275" s="1" t="s">
        <v>3321</v>
      </c>
      <c r="C1275" s="2" t="n">
        <v>120</v>
      </c>
      <c r="D1275" s="1" t="s">
        <v>30</v>
      </c>
      <c r="E1275" s="1" t="s">
        <v>3321</v>
      </c>
      <c r="F1275" s="2" t="n">
        <v>555197095550</v>
      </c>
      <c r="G1275" s="1" t="s">
        <v>3322</v>
      </c>
      <c r="H1275" s="1" t="s">
        <v>94</v>
      </c>
      <c r="I1275" s="1" t="s">
        <v>50</v>
      </c>
      <c r="N1275" s="1" t="s">
        <v>965</v>
      </c>
      <c r="O1275" s="1" t="s">
        <v>2107</v>
      </c>
      <c r="P1275" s="1" t="s">
        <v>2121</v>
      </c>
    </row>
    <row r="1276" customFormat="false" ht="14.25" hidden="false" customHeight="false" outlineLevel="0" collapsed="false">
      <c r="A1276" s="1" t="s">
        <v>3323</v>
      </c>
      <c r="B1276" s="1" t="s">
        <v>3324</v>
      </c>
      <c r="C1276" s="2" t="n">
        <v>600</v>
      </c>
      <c r="D1276" s="1" t="s">
        <v>106</v>
      </c>
      <c r="E1276" s="1" t="s">
        <v>3324</v>
      </c>
      <c r="F1276" s="2" t="n">
        <v>554991718851</v>
      </c>
      <c r="G1276" s="1" t="s">
        <v>3325</v>
      </c>
      <c r="H1276" s="1" t="s">
        <v>94</v>
      </c>
      <c r="I1276" s="1" t="s">
        <v>355</v>
      </c>
      <c r="J1276" s="1" t="s">
        <v>908</v>
      </c>
      <c r="N1276" s="1" t="s">
        <v>965</v>
      </c>
      <c r="O1276" s="1" t="s">
        <v>2107</v>
      </c>
      <c r="P1276" s="1" t="s">
        <v>862</v>
      </c>
    </row>
    <row r="1277" customFormat="false" ht="14.25" hidden="false" customHeight="false" outlineLevel="0" collapsed="false">
      <c r="A1277" s="1" t="s">
        <v>3326</v>
      </c>
      <c r="B1277" s="1" t="s">
        <v>43</v>
      </c>
      <c r="C1277" s="2" t="n">
        <v>-1</v>
      </c>
      <c r="D1277" s="1" t="s">
        <v>390</v>
      </c>
      <c r="E1277" s="1" t="s">
        <v>3327</v>
      </c>
      <c r="F1277" s="2" t="n">
        <v>559584202265</v>
      </c>
      <c r="G1277" s="1" t="s">
        <v>3328</v>
      </c>
      <c r="H1277" s="1" t="s">
        <v>94</v>
      </c>
      <c r="I1277" s="1" t="s">
        <v>54</v>
      </c>
      <c r="N1277" s="1" t="s">
        <v>1022</v>
      </c>
      <c r="O1277" s="1" t="s">
        <v>2159</v>
      </c>
      <c r="P1277" s="1" t="s">
        <v>2089</v>
      </c>
    </row>
    <row r="1278" customFormat="false" ht="14.25" hidden="false" customHeight="false" outlineLevel="0" collapsed="false">
      <c r="A1278" s="1" t="s">
        <v>3329</v>
      </c>
      <c r="B1278" s="1" t="s">
        <v>3330</v>
      </c>
      <c r="C1278" s="2" t="n">
        <v>500</v>
      </c>
      <c r="D1278" s="1" t="s">
        <v>27</v>
      </c>
      <c r="E1278" s="1" t="s">
        <v>3330</v>
      </c>
      <c r="F1278" s="2" t="n">
        <v>559591384506</v>
      </c>
      <c r="G1278" s="1" t="s">
        <v>3331</v>
      </c>
      <c r="H1278" s="1" t="s">
        <v>94</v>
      </c>
      <c r="I1278" s="1" t="s">
        <v>34</v>
      </c>
      <c r="N1278" s="1" t="s">
        <v>965</v>
      </c>
      <c r="O1278" s="1" t="s">
        <v>2867</v>
      </c>
      <c r="P1278" s="1" t="s">
        <v>2129</v>
      </c>
    </row>
    <row r="1279" customFormat="false" ht="14.25" hidden="false" customHeight="false" outlineLevel="0" collapsed="false">
      <c r="A1279" s="1" t="s">
        <v>3332</v>
      </c>
      <c r="B1279" s="1" t="s">
        <v>3330</v>
      </c>
      <c r="C1279" s="2" t="n">
        <v>750</v>
      </c>
      <c r="D1279" s="1" t="s">
        <v>24</v>
      </c>
      <c r="E1279" s="1" t="s">
        <v>3330</v>
      </c>
      <c r="F1279" s="2" t="n">
        <v>559591384506</v>
      </c>
      <c r="G1279" s="1" t="s">
        <v>3331</v>
      </c>
      <c r="H1279" s="1" t="s">
        <v>94</v>
      </c>
      <c r="I1279" s="1" t="s">
        <v>34</v>
      </c>
      <c r="N1279" s="1" t="s">
        <v>965</v>
      </c>
      <c r="O1279" s="1" t="s">
        <v>2867</v>
      </c>
      <c r="P1279" s="1" t="s">
        <v>2129</v>
      </c>
    </row>
    <row r="1280" customFormat="false" ht="14.25" hidden="false" customHeight="false" outlineLevel="0" collapsed="false">
      <c r="A1280" s="1" t="s">
        <v>3333</v>
      </c>
      <c r="B1280" s="1" t="s">
        <v>3334</v>
      </c>
      <c r="C1280" s="2" t="n">
        <v>147</v>
      </c>
      <c r="D1280" s="1" t="s">
        <v>21</v>
      </c>
      <c r="E1280" s="1" t="s">
        <v>3335</v>
      </c>
      <c r="F1280" s="2" t="n">
        <v>554796725733</v>
      </c>
      <c r="G1280" s="1" t="s">
        <v>3336</v>
      </c>
      <c r="H1280" s="1" t="s">
        <v>94</v>
      </c>
      <c r="I1280" s="1" t="s">
        <v>54</v>
      </c>
      <c r="N1280" s="1" t="s">
        <v>1022</v>
      </c>
      <c r="O1280" s="1" t="s">
        <v>2288</v>
      </c>
      <c r="P1280" s="1" t="s">
        <v>2129</v>
      </c>
    </row>
    <row r="1281" customFormat="false" ht="14.25" hidden="false" customHeight="false" outlineLevel="0" collapsed="false">
      <c r="A1281" s="1" t="s">
        <v>3337</v>
      </c>
      <c r="B1281" s="1" t="s">
        <v>3334</v>
      </c>
      <c r="C1281" s="2" t="n">
        <v>97</v>
      </c>
      <c r="D1281" s="1" t="s">
        <v>16</v>
      </c>
      <c r="E1281" s="1" t="s">
        <v>3335</v>
      </c>
      <c r="F1281" s="2" t="n">
        <v>554796725733</v>
      </c>
      <c r="G1281" s="1" t="s">
        <v>3336</v>
      </c>
      <c r="H1281" s="1" t="s">
        <v>94</v>
      </c>
      <c r="I1281" s="1" t="s">
        <v>54</v>
      </c>
      <c r="N1281" s="1" t="s">
        <v>1022</v>
      </c>
      <c r="O1281" s="1" t="s">
        <v>2288</v>
      </c>
      <c r="P1281" s="1" t="s">
        <v>2129</v>
      </c>
    </row>
    <row r="1282" customFormat="false" ht="14.25" hidden="false" customHeight="false" outlineLevel="0" collapsed="false">
      <c r="A1282" s="1" t="s">
        <v>3338</v>
      </c>
      <c r="B1282" s="1" t="s">
        <v>328</v>
      </c>
      <c r="C1282" s="2" t="n">
        <v>90</v>
      </c>
      <c r="D1282" s="1" t="s">
        <v>16</v>
      </c>
      <c r="E1282" s="1" t="s">
        <v>3339</v>
      </c>
      <c r="F1282" s="2" t="n">
        <v>559599773288</v>
      </c>
      <c r="G1282" s="1" t="s">
        <v>329</v>
      </c>
      <c r="H1282" s="1" t="s">
        <v>94</v>
      </c>
      <c r="I1282" s="1" t="s">
        <v>54</v>
      </c>
      <c r="N1282" s="1" t="s">
        <v>1022</v>
      </c>
      <c r="O1282" s="1" t="s">
        <v>2159</v>
      </c>
      <c r="P1282" s="1" t="s">
        <v>2089</v>
      </c>
    </row>
    <row r="1283" customFormat="false" ht="14.25" hidden="false" customHeight="false" outlineLevel="0" collapsed="false">
      <c r="A1283" s="1" t="s">
        <v>3340</v>
      </c>
      <c r="B1283" s="1" t="s">
        <v>3341</v>
      </c>
      <c r="C1283" s="2" t="n">
        <v>147</v>
      </c>
      <c r="D1283" s="1" t="s">
        <v>22</v>
      </c>
      <c r="E1283" s="1" t="s">
        <v>3342</v>
      </c>
      <c r="F1283" s="2" t="n">
        <v>59172330170</v>
      </c>
      <c r="G1283" s="1" t="s">
        <v>3343</v>
      </c>
      <c r="H1283" s="1" t="s">
        <v>94</v>
      </c>
      <c r="I1283" s="1" t="s">
        <v>34</v>
      </c>
      <c r="N1283" s="1" t="s">
        <v>965</v>
      </c>
      <c r="O1283" s="1" t="s">
        <v>2159</v>
      </c>
      <c r="P1283" s="1" t="s">
        <v>2089</v>
      </c>
    </row>
    <row r="1284" customFormat="false" ht="14.25" hidden="false" customHeight="false" outlineLevel="0" collapsed="false">
      <c r="A1284" s="1" t="s">
        <v>3344</v>
      </c>
      <c r="B1284" s="1" t="s">
        <v>3345</v>
      </c>
      <c r="C1284" s="2" t="n">
        <v>950</v>
      </c>
      <c r="D1284" s="1" t="s">
        <v>30</v>
      </c>
      <c r="E1284" s="1" t="s">
        <v>3345</v>
      </c>
      <c r="F1284" s="2" t="n">
        <v>5511925345059</v>
      </c>
      <c r="G1284" s="1" t="s">
        <v>3346</v>
      </c>
      <c r="H1284" s="1" t="s">
        <v>94</v>
      </c>
      <c r="I1284" s="1" t="s">
        <v>34</v>
      </c>
      <c r="N1284" s="1" t="s">
        <v>965</v>
      </c>
      <c r="O1284" s="1" t="s">
        <v>2276</v>
      </c>
      <c r="P1284" s="1" t="s">
        <v>2135</v>
      </c>
    </row>
    <row r="1285" customFormat="false" ht="14.25" hidden="false" customHeight="false" outlineLevel="0" collapsed="false">
      <c r="A1285" s="1" t="s">
        <v>3347</v>
      </c>
      <c r="B1285" s="1" t="s">
        <v>3348</v>
      </c>
      <c r="C1285" s="2" t="n">
        <v>150</v>
      </c>
      <c r="D1285" s="1" t="s">
        <v>32</v>
      </c>
      <c r="E1285" s="1" t="s">
        <v>3348</v>
      </c>
      <c r="F1285" s="2" t="n">
        <v>5519981160412</v>
      </c>
      <c r="G1285" s="1" t="s">
        <v>3349</v>
      </c>
      <c r="H1285" s="1" t="s">
        <v>94</v>
      </c>
      <c r="I1285" s="1" t="s">
        <v>34</v>
      </c>
      <c r="N1285" s="1" t="s">
        <v>965</v>
      </c>
      <c r="O1285" s="1" t="s">
        <v>2107</v>
      </c>
      <c r="P1285" s="1" t="s">
        <v>2135</v>
      </c>
    </row>
    <row r="1286" customFormat="false" ht="14.25" hidden="false" customHeight="false" outlineLevel="0" collapsed="false">
      <c r="A1286" s="1" t="s">
        <v>3350</v>
      </c>
      <c r="B1286" s="1" t="s">
        <v>2462</v>
      </c>
      <c r="C1286" s="2" t="n">
        <v>150</v>
      </c>
      <c r="D1286" s="1" t="s">
        <v>32</v>
      </c>
      <c r="E1286" s="1" t="s">
        <v>2462</v>
      </c>
      <c r="F1286" s="2" t="n">
        <v>556599813011</v>
      </c>
      <c r="G1286" s="1" t="s">
        <v>2463</v>
      </c>
      <c r="H1286" s="1" t="s">
        <v>94</v>
      </c>
      <c r="I1286" s="1" t="s">
        <v>54</v>
      </c>
      <c r="N1286" s="1" t="s">
        <v>1022</v>
      </c>
      <c r="O1286" s="1" t="s">
        <v>2107</v>
      </c>
      <c r="P1286" s="1" t="s">
        <v>2320</v>
      </c>
    </row>
    <row r="1287" customFormat="false" ht="14.25" hidden="false" customHeight="false" outlineLevel="0" collapsed="false">
      <c r="A1287" s="1" t="s">
        <v>3351</v>
      </c>
      <c r="B1287" s="1" t="s">
        <v>3352</v>
      </c>
      <c r="C1287" s="2" t="n">
        <v>150</v>
      </c>
      <c r="D1287" s="1" t="s">
        <v>32</v>
      </c>
      <c r="E1287" s="1" t="s">
        <v>3352</v>
      </c>
      <c r="F1287" s="2" t="n">
        <v>554196250915</v>
      </c>
      <c r="G1287" s="1" t="s">
        <v>43</v>
      </c>
      <c r="H1287" s="1" t="s">
        <v>94</v>
      </c>
      <c r="I1287" s="1" t="s">
        <v>50</v>
      </c>
      <c r="N1287" s="1" t="s">
        <v>965</v>
      </c>
      <c r="O1287" s="1" t="s">
        <v>2088</v>
      </c>
      <c r="P1287" s="1" t="s">
        <v>2089</v>
      </c>
    </row>
    <row r="1288" customFormat="false" ht="14.25" hidden="false" customHeight="false" outlineLevel="0" collapsed="false">
      <c r="A1288" s="1" t="s">
        <v>3353</v>
      </c>
      <c r="B1288" s="1" t="s">
        <v>3354</v>
      </c>
      <c r="C1288" s="2" t="n">
        <v>110</v>
      </c>
      <c r="D1288" s="1" t="s">
        <v>21</v>
      </c>
      <c r="E1288" s="1" t="s">
        <v>3354</v>
      </c>
      <c r="F1288" s="2" t="n">
        <v>554899027196</v>
      </c>
      <c r="G1288" s="1" t="s">
        <v>3355</v>
      </c>
      <c r="H1288" s="1" t="s">
        <v>94</v>
      </c>
      <c r="I1288" s="1" t="s">
        <v>50</v>
      </c>
      <c r="N1288" s="1" t="s">
        <v>965</v>
      </c>
      <c r="O1288" s="1" t="s">
        <v>2261</v>
      </c>
      <c r="P1288" s="1" t="s">
        <v>2129</v>
      </c>
    </row>
    <row r="1289" customFormat="false" ht="14.25" hidden="false" customHeight="false" outlineLevel="0" collapsed="false">
      <c r="A1289" s="1" t="s">
        <v>3356</v>
      </c>
      <c r="B1289" s="1" t="s">
        <v>43</v>
      </c>
      <c r="C1289" s="2" t="n">
        <v>-1</v>
      </c>
      <c r="D1289" s="1" t="s">
        <v>16</v>
      </c>
      <c r="E1289" s="1" t="s">
        <v>2870</v>
      </c>
      <c r="F1289" s="2" t="n">
        <v>554792542707</v>
      </c>
      <c r="G1289" s="1" t="s">
        <v>2871</v>
      </c>
      <c r="H1289" s="1" t="s">
        <v>94</v>
      </c>
      <c r="I1289" s="1" t="s">
        <v>54</v>
      </c>
      <c r="N1289" s="1" t="s">
        <v>1022</v>
      </c>
      <c r="O1289" s="1" t="s">
        <v>2236</v>
      </c>
      <c r="P1289" s="1" t="s">
        <v>2129</v>
      </c>
    </row>
    <row r="1290" customFormat="false" ht="14.25" hidden="false" customHeight="false" outlineLevel="0" collapsed="false">
      <c r="A1290" s="1" t="s">
        <v>3357</v>
      </c>
      <c r="B1290" s="1" t="s">
        <v>3358</v>
      </c>
      <c r="C1290" s="2" t="n">
        <v>120</v>
      </c>
      <c r="D1290" s="1" t="s">
        <v>30</v>
      </c>
      <c r="E1290" s="1" t="s">
        <v>3359</v>
      </c>
      <c r="F1290" s="2" t="n">
        <v>559285842268</v>
      </c>
      <c r="G1290" s="1" t="s">
        <v>3360</v>
      </c>
      <c r="H1290" s="1" t="s">
        <v>94</v>
      </c>
      <c r="I1290" s="1" t="s">
        <v>50</v>
      </c>
      <c r="N1290" s="1" t="s">
        <v>965</v>
      </c>
      <c r="O1290" s="1" t="s">
        <v>3361</v>
      </c>
      <c r="P1290" s="1" t="s">
        <v>2428</v>
      </c>
    </row>
    <row r="1291" customFormat="false" ht="14.25" hidden="false" customHeight="false" outlineLevel="0" collapsed="false">
      <c r="A1291" s="1" t="s">
        <v>3362</v>
      </c>
      <c r="B1291" s="1" t="s">
        <v>3363</v>
      </c>
      <c r="C1291" s="2" t="n">
        <v>400</v>
      </c>
      <c r="D1291" s="1" t="s">
        <v>24</v>
      </c>
      <c r="E1291" s="1" t="s">
        <v>495</v>
      </c>
      <c r="F1291" s="2" t="n">
        <v>553799589574</v>
      </c>
      <c r="G1291" s="1" t="s">
        <v>496</v>
      </c>
      <c r="H1291" s="1" t="s">
        <v>94</v>
      </c>
      <c r="I1291" s="1" t="s">
        <v>54</v>
      </c>
      <c r="N1291" s="1" t="s">
        <v>1022</v>
      </c>
      <c r="O1291" s="1" t="s">
        <v>2763</v>
      </c>
      <c r="P1291" s="1" t="s">
        <v>2245</v>
      </c>
    </row>
    <row r="1292" customFormat="false" ht="14.25" hidden="false" customHeight="false" outlineLevel="0" collapsed="false">
      <c r="A1292" s="1" t="s">
        <v>3364</v>
      </c>
      <c r="B1292" s="1" t="s">
        <v>3365</v>
      </c>
      <c r="C1292" s="2" t="n">
        <v>150</v>
      </c>
      <c r="D1292" s="1" t="s">
        <v>32</v>
      </c>
      <c r="E1292" s="1" t="s">
        <v>3365</v>
      </c>
      <c r="F1292" s="2" t="n">
        <v>555496939511</v>
      </c>
      <c r="G1292" s="1" t="s">
        <v>3366</v>
      </c>
      <c r="H1292" s="1" t="s">
        <v>94</v>
      </c>
      <c r="I1292" s="1" t="s">
        <v>355</v>
      </c>
      <c r="J1292" s="1" t="s">
        <v>1176</v>
      </c>
      <c r="K1292" s="1" t="s">
        <v>1177</v>
      </c>
      <c r="L1292" s="1" t="s">
        <v>1324</v>
      </c>
      <c r="M1292" s="1" t="s">
        <v>1243</v>
      </c>
      <c r="N1292" s="1" t="s">
        <v>965</v>
      </c>
      <c r="O1292" s="1" t="s">
        <v>2107</v>
      </c>
      <c r="P1292" s="1" t="s">
        <v>862</v>
      </c>
    </row>
    <row r="1293" customFormat="false" ht="14.25" hidden="false" customHeight="false" outlineLevel="0" collapsed="false">
      <c r="A1293" s="1" t="s">
        <v>3367</v>
      </c>
      <c r="B1293" s="1" t="s">
        <v>1184</v>
      </c>
      <c r="C1293" s="2" t="n">
        <v>300</v>
      </c>
      <c r="D1293" s="1" t="s">
        <v>24</v>
      </c>
      <c r="E1293" s="1" t="s">
        <v>1184</v>
      </c>
      <c r="F1293" s="2" t="n">
        <v>554184014887</v>
      </c>
      <c r="G1293" s="1" t="s">
        <v>1185</v>
      </c>
      <c r="H1293" s="1" t="s">
        <v>94</v>
      </c>
      <c r="I1293" s="1" t="s">
        <v>54</v>
      </c>
      <c r="N1293" s="1" t="s">
        <v>1022</v>
      </c>
      <c r="O1293" s="1" t="s">
        <v>2159</v>
      </c>
      <c r="P1293" s="1" t="s">
        <v>2089</v>
      </c>
    </row>
    <row r="1294" customFormat="false" ht="14.25" hidden="false" customHeight="false" outlineLevel="0" collapsed="false">
      <c r="A1294" s="1" t="s">
        <v>3368</v>
      </c>
      <c r="B1294" s="1" t="s">
        <v>3369</v>
      </c>
      <c r="C1294" s="2" t="n">
        <v>120</v>
      </c>
      <c r="D1294" s="1" t="s">
        <v>23</v>
      </c>
      <c r="E1294" s="1" t="s">
        <v>3369</v>
      </c>
      <c r="F1294" s="2" t="n">
        <v>554197344383</v>
      </c>
      <c r="G1294" s="1" t="s">
        <v>3370</v>
      </c>
      <c r="H1294" s="1" t="s">
        <v>94</v>
      </c>
      <c r="I1294" s="1" t="s">
        <v>355</v>
      </c>
      <c r="N1294" s="1" t="s">
        <v>965</v>
      </c>
      <c r="O1294" s="1" t="s">
        <v>2088</v>
      </c>
      <c r="P1294" s="1" t="s">
        <v>2089</v>
      </c>
    </row>
    <row r="1295" customFormat="false" ht="14.25" hidden="false" customHeight="false" outlineLevel="0" collapsed="false">
      <c r="A1295" s="1" t="s">
        <v>3371</v>
      </c>
      <c r="B1295" s="1" t="s">
        <v>3372</v>
      </c>
      <c r="C1295" s="2" t="n">
        <v>294</v>
      </c>
      <c r="D1295" s="1" t="s">
        <v>22</v>
      </c>
      <c r="E1295" s="1" t="s">
        <v>3373</v>
      </c>
      <c r="F1295" s="2" t="n">
        <v>559584408113</v>
      </c>
      <c r="G1295" s="1" t="s">
        <v>3374</v>
      </c>
      <c r="H1295" s="1" t="s">
        <v>94</v>
      </c>
      <c r="I1295" s="1" t="s">
        <v>355</v>
      </c>
      <c r="J1295" s="1" t="s">
        <v>97</v>
      </c>
      <c r="K1295" s="1" t="s">
        <v>20</v>
      </c>
      <c r="L1295" s="1" t="s">
        <v>469</v>
      </c>
      <c r="M1295" s="1" t="s">
        <v>99</v>
      </c>
      <c r="N1295" s="1" t="s">
        <v>965</v>
      </c>
      <c r="O1295" s="1" t="s">
        <v>2128</v>
      </c>
      <c r="P1295" s="1" t="s">
        <v>2129</v>
      </c>
    </row>
    <row r="1296" customFormat="false" ht="14.25" hidden="false" customHeight="false" outlineLevel="0" collapsed="false">
      <c r="A1296" s="1" t="s">
        <v>3375</v>
      </c>
      <c r="B1296" s="1" t="s">
        <v>3372</v>
      </c>
      <c r="C1296" s="2" t="n">
        <v>240</v>
      </c>
      <c r="D1296" s="1" t="s">
        <v>30</v>
      </c>
      <c r="E1296" s="1" t="s">
        <v>3373</v>
      </c>
      <c r="F1296" s="2" t="n">
        <v>559584408113</v>
      </c>
      <c r="G1296" s="1" t="s">
        <v>3374</v>
      </c>
      <c r="H1296" s="1" t="s">
        <v>94</v>
      </c>
      <c r="I1296" s="1" t="s">
        <v>355</v>
      </c>
      <c r="N1296" s="1" t="s">
        <v>965</v>
      </c>
      <c r="O1296" s="1" t="s">
        <v>2128</v>
      </c>
      <c r="P1296" s="1" t="s">
        <v>2129</v>
      </c>
    </row>
    <row r="1297" customFormat="false" ht="14.25" hidden="false" customHeight="false" outlineLevel="0" collapsed="false">
      <c r="A1297" s="1" t="s">
        <v>3376</v>
      </c>
      <c r="B1297" s="1" t="s">
        <v>3377</v>
      </c>
      <c r="C1297" s="2" t="n">
        <v>394</v>
      </c>
      <c r="D1297" s="1" t="s">
        <v>390</v>
      </c>
      <c r="E1297" s="1" t="s">
        <v>3377</v>
      </c>
      <c r="F1297" s="2" t="n">
        <v>559985281722</v>
      </c>
      <c r="G1297" s="1" t="s">
        <v>3378</v>
      </c>
      <c r="H1297" s="1" t="s">
        <v>94</v>
      </c>
      <c r="I1297" s="1" t="s">
        <v>355</v>
      </c>
      <c r="N1297" s="1" t="s">
        <v>965</v>
      </c>
      <c r="O1297" s="1" t="s">
        <v>3379</v>
      </c>
      <c r="P1297" s="1" t="s">
        <v>3236</v>
      </c>
    </row>
    <row r="1298" customFormat="false" ht="14.25" hidden="false" customHeight="false" outlineLevel="0" collapsed="false">
      <c r="A1298" s="1" t="s">
        <v>3380</v>
      </c>
      <c r="B1298" s="1" t="s">
        <v>3381</v>
      </c>
      <c r="C1298" s="2" t="n">
        <v>150</v>
      </c>
      <c r="D1298" s="1" t="s">
        <v>32</v>
      </c>
      <c r="E1298" s="1" t="s">
        <v>3382</v>
      </c>
      <c r="F1298" s="2" t="n">
        <v>5547997462797</v>
      </c>
      <c r="G1298" s="1" t="s">
        <v>3383</v>
      </c>
      <c r="H1298" s="1" t="s">
        <v>94</v>
      </c>
      <c r="I1298" s="1" t="s">
        <v>34</v>
      </c>
      <c r="N1298" s="1" t="s">
        <v>965</v>
      </c>
      <c r="O1298" s="1" t="s">
        <v>3384</v>
      </c>
      <c r="P1298" s="1" t="s">
        <v>2129</v>
      </c>
    </row>
    <row r="1299" customFormat="false" ht="14.25" hidden="false" customHeight="false" outlineLevel="0" collapsed="false">
      <c r="A1299" s="1" t="s">
        <v>3385</v>
      </c>
      <c r="B1299" s="1" t="s">
        <v>3386</v>
      </c>
      <c r="C1299" s="2" t="n">
        <v>147</v>
      </c>
      <c r="D1299" s="1" t="s">
        <v>21</v>
      </c>
      <c r="E1299" s="1" t="s">
        <v>3386</v>
      </c>
      <c r="F1299" s="2" t="n">
        <v>554796179219</v>
      </c>
      <c r="G1299" s="1" t="s">
        <v>3387</v>
      </c>
      <c r="H1299" s="1" t="s">
        <v>94</v>
      </c>
      <c r="I1299" s="1" t="s">
        <v>34</v>
      </c>
      <c r="N1299" s="1" t="s">
        <v>965</v>
      </c>
      <c r="O1299" s="1" t="s">
        <v>2236</v>
      </c>
      <c r="P1299" s="1" t="s">
        <v>2129</v>
      </c>
    </row>
    <row r="1300" customFormat="false" ht="14.25" hidden="false" customHeight="false" outlineLevel="0" collapsed="false">
      <c r="A1300" s="1" t="s">
        <v>3388</v>
      </c>
      <c r="B1300" s="1" t="s">
        <v>3389</v>
      </c>
      <c r="C1300" s="2" t="n">
        <v>150</v>
      </c>
      <c r="D1300" s="1" t="s">
        <v>32</v>
      </c>
      <c r="E1300" s="1" t="s">
        <v>3389</v>
      </c>
      <c r="F1300" s="2" t="n">
        <v>554184767483</v>
      </c>
      <c r="G1300" s="1" t="s">
        <v>43</v>
      </c>
      <c r="H1300" s="1" t="s">
        <v>94</v>
      </c>
      <c r="I1300" s="1" t="s">
        <v>50</v>
      </c>
      <c r="N1300" s="1" t="s">
        <v>965</v>
      </c>
      <c r="O1300" s="1" t="s">
        <v>2107</v>
      </c>
      <c r="P1300" s="1" t="s">
        <v>862</v>
      </c>
    </row>
    <row r="1301" customFormat="false" ht="14.25" hidden="false" customHeight="false" outlineLevel="0" collapsed="false">
      <c r="A1301" s="1" t="s">
        <v>3390</v>
      </c>
      <c r="B1301" s="1" t="s">
        <v>3391</v>
      </c>
      <c r="C1301" s="2" t="n">
        <v>240</v>
      </c>
      <c r="D1301" s="1" t="s">
        <v>30</v>
      </c>
      <c r="E1301" s="1" t="s">
        <v>3391</v>
      </c>
      <c r="F1301" s="2" t="n">
        <v>5511939074534</v>
      </c>
      <c r="G1301" s="1" t="s">
        <v>3392</v>
      </c>
      <c r="H1301" s="1" t="s">
        <v>94</v>
      </c>
      <c r="I1301" s="1" t="s">
        <v>355</v>
      </c>
      <c r="J1301" s="1" t="s">
        <v>1176</v>
      </c>
      <c r="K1301" s="1" t="s">
        <v>1897</v>
      </c>
      <c r="L1301" s="1" t="s">
        <v>2447</v>
      </c>
      <c r="M1301" s="1" t="s">
        <v>1179</v>
      </c>
      <c r="N1301" s="1" t="s">
        <v>965</v>
      </c>
      <c r="O1301" s="1" t="s">
        <v>2135</v>
      </c>
      <c r="P1301" s="1" t="s">
        <v>2135</v>
      </c>
    </row>
    <row r="1302" customFormat="false" ht="14.25" hidden="false" customHeight="false" outlineLevel="0" collapsed="false">
      <c r="A1302" s="1" t="s">
        <v>3393</v>
      </c>
      <c r="B1302" s="1" t="s">
        <v>3394</v>
      </c>
      <c r="C1302" s="2" t="n">
        <v>120</v>
      </c>
      <c r="D1302" s="1" t="s">
        <v>30</v>
      </c>
      <c r="E1302" s="1" t="s">
        <v>3394</v>
      </c>
      <c r="F1302" s="2" t="n">
        <v>5511978322734</v>
      </c>
      <c r="G1302" s="1" t="s">
        <v>43</v>
      </c>
      <c r="H1302" s="1" t="s">
        <v>94</v>
      </c>
      <c r="I1302" s="1" t="s">
        <v>50</v>
      </c>
      <c r="J1302" s="1" t="s">
        <v>35</v>
      </c>
      <c r="K1302" s="1" t="s">
        <v>36</v>
      </c>
      <c r="L1302" s="1" t="s">
        <v>37</v>
      </c>
      <c r="M1302" s="1" t="s">
        <v>38</v>
      </c>
      <c r="N1302" s="1" t="s">
        <v>965</v>
      </c>
      <c r="O1302" s="1" t="s">
        <v>2135</v>
      </c>
      <c r="P1302" s="1" t="s">
        <v>2135</v>
      </c>
    </row>
    <row r="1303" customFormat="false" ht="14.25" hidden="false" customHeight="false" outlineLevel="0" collapsed="false">
      <c r="A1303" s="1" t="s">
        <v>3395</v>
      </c>
      <c r="B1303" s="1" t="s">
        <v>1821</v>
      </c>
      <c r="C1303" s="2" t="n">
        <v>150</v>
      </c>
      <c r="D1303" s="1" t="s">
        <v>32</v>
      </c>
      <c r="E1303" s="1" t="s">
        <v>1821</v>
      </c>
      <c r="F1303" s="2" t="n">
        <v>554888684882</v>
      </c>
      <c r="G1303" s="1" t="s">
        <v>1822</v>
      </c>
      <c r="H1303" s="1" t="s">
        <v>94</v>
      </c>
      <c r="I1303" s="1" t="s">
        <v>54</v>
      </c>
      <c r="N1303" s="1" t="s">
        <v>1022</v>
      </c>
      <c r="O1303" s="1" t="s">
        <v>2128</v>
      </c>
      <c r="P1303" s="1" t="s">
        <v>2129</v>
      </c>
    </row>
    <row r="1304" customFormat="false" ht="14.25" hidden="false" customHeight="false" outlineLevel="0" collapsed="false">
      <c r="A1304" s="1" t="s">
        <v>3396</v>
      </c>
      <c r="B1304" s="1" t="s">
        <v>1821</v>
      </c>
      <c r="C1304" s="2" t="n">
        <v>200</v>
      </c>
      <c r="D1304" s="1" t="s">
        <v>1699</v>
      </c>
      <c r="E1304" s="1" t="s">
        <v>3397</v>
      </c>
      <c r="F1304" s="2" t="n">
        <v>554888684882</v>
      </c>
      <c r="G1304" s="1" t="s">
        <v>1822</v>
      </c>
      <c r="H1304" s="1" t="s">
        <v>94</v>
      </c>
      <c r="I1304" s="1" t="s">
        <v>54</v>
      </c>
      <c r="N1304" s="1" t="s">
        <v>1022</v>
      </c>
      <c r="O1304" s="1" t="s">
        <v>2128</v>
      </c>
      <c r="P1304" s="1" t="s">
        <v>2129</v>
      </c>
    </row>
    <row r="1305" customFormat="false" ht="14.25" hidden="false" customHeight="false" outlineLevel="0" collapsed="false">
      <c r="A1305" s="1" t="s">
        <v>3398</v>
      </c>
      <c r="B1305" s="1" t="s">
        <v>647</v>
      </c>
      <c r="C1305" s="2" t="n">
        <v>30</v>
      </c>
      <c r="D1305" s="1" t="s">
        <v>862</v>
      </c>
      <c r="E1305" s="1" t="s">
        <v>647</v>
      </c>
      <c r="F1305" s="2" t="n">
        <v>5511973514388</v>
      </c>
      <c r="G1305" s="1" t="s">
        <v>648</v>
      </c>
      <c r="H1305" s="1" t="s">
        <v>94</v>
      </c>
      <c r="I1305" s="1" t="s">
        <v>54</v>
      </c>
      <c r="N1305" s="1" t="s">
        <v>1022</v>
      </c>
    </row>
    <row r="1306" customFormat="false" ht="14.25" hidden="false" customHeight="false" outlineLevel="0" collapsed="false">
      <c r="A1306" s="1" t="s">
        <v>3399</v>
      </c>
      <c r="B1306" s="1" t="s">
        <v>3400</v>
      </c>
      <c r="C1306" s="2" t="n">
        <v>120</v>
      </c>
      <c r="D1306" s="1" t="s">
        <v>30</v>
      </c>
      <c r="E1306" s="1" t="s">
        <v>3400</v>
      </c>
      <c r="F1306" s="2" t="n">
        <v>554198466712</v>
      </c>
      <c r="G1306" s="1" t="s">
        <v>3401</v>
      </c>
      <c r="H1306" s="1" t="s">
        <v>94</v>
      </c>
      <c r="I1306" s="1" t="s">
        <v>50</v>
      </c>
      <c r="N1306" s="1" t="s">
        <v>965</v>
      </c>
      <c r="O1306" s="1" t="s">
        <v>2135</v>
      </c>
      <c r="P1306" s="1" t="s">
        <v>2135</v>
      </c>
    </row>
    <row r="1307" customFormat="false" ht="14.25" hidden="false" customHeight="false" outlineLevel="0" collapsed="false">
      <c r="A1307" s="1" t="s">
        <v>3402</v>
      </c>
      <c r="B1307" s="1" t="s">
        <v>3403</v>
      </c>
      <c r="C1307" s="2" t="n">
        <v>400</v>
      </c>
      <c r="D1307" s="1" t="s">
        <v>27</v>
      </c>
      <c r="E1307" s="1" t="s">
        <v>3404</v>
      </c>
      <c r="F1307" s="2" t="n">
        <v>554195228608</v>
      </c>
      <c r="G1307" s="1" t="s">
        <v>33</v>
      </c>
      <c r="H1307" s="1" t="s">
        <v>94</v>
      </c>
      <c r="I1307" s="1" t="s">
        <v>34</v>
      </c>
      <c r="N1307" s="1" t="s">
        <v>965</v>
      </c>
      <c r="O1307" s="1" t="s">
        <v>2159</v>
      </c>
      <c r="P1307" s="1" t="s">
        <v>2089</v>
      </c>
    </row>
    <row r="1308" customFormat="false" ht="14.25" hidden="false" customHeight="false" outlineLevel="0" collapsed="false">
      <c r="A1308" s="1" t="s">
        <v>3405</v>
      </c>
      <c r="B1308" s="1" t="s">
        <v>3406</v>
      </c>
      <c r="C1308" s="2" t="n">
        <v>800</v>
      </c>
      <c r="D1308" s="1" t="s">
        <v>27</v>
      </c>
      <c r="E1308" s="1" t="s">
        <v>3407</v>
      </c>
      <c r="F1308" s="2" t="n">
        <v>554796694284</v>
      </c>
      <c r="G1308" s="1" t="s">
        <v>3408</v>
      </c>
      <c r="H1308" s="1" t="s">
        <v>94</v>
      </c>
      <c r="I1308" s="1" t="s">
        <v>34</v>
      </c>
      <c r="N1308" s="1" t="s">
        <v>965</v>
      </c>
      <c r="O1308" s="1" t="s">
        <v>2159</v>
      </c>
      <c r="P1308" s="1" t="s">
        <v>2089</v>
      </c>
    </row>
    <row r="1309" customFormat="false" ht="14.25" hidden="false" customHeight="false" outlineLevel="0" collapsed="false">
      <c r="A1309" s="1" t="s">
        <v>3409</v>
      </c>
      <c r="B1309" s="1" t="s">
        <v>130</v>
      </c>
      <c r="C1309" s="2" t="n">
        <v>150</v>
      </c>
      <c r="D1309" s="1" t="s">
        <v>32</v>
      </c>
      <c r="E1309" s="1" t="s">
        <v>130</v>
      </c>
      <c r="F1309" s="2" t="n">
        <v>5519998932978</v>
      </c>
      <c r="G1309" s="1" t="s">
        <v>131</v>
      </c>
      <c r="H1309" s="1" t="s">
        <v>94</v>
      </c>
      <c r="I1309" s="1" t="s">
        <v>54</v>
      </c>
      <c r="N1309" s="1" t="s">
        <v>1022</v>
      </c>
      <c r="O1309" s="1" t="s">
        <v>2276</v>
      </c>
      <c r="P1309" s="1" t="s">
        <v>2135</v>
      </c>
    </row>
    <row r="1310" customFormat="false" ht="14.25" hidden="false" customHeight="false" outlineLevel="0" collapsed="false">
      <c r="A1310" s="1" t="s">
        <v>3410</v>
      </c>
      <c r="B1310" s="1" t="s">
        <v>3411</v>
      </c>
      <c r="C1310" s="2" t="n">
        <v>150</v>
      </c>
      <c r="D1310" s="1" t="s">
        <v>32</v>
      </c>
      <c r="E1310" s="1" t="s">
        <v>3412</v>
      </c>
      <c r="F1310" s="2" t="n">
        <v>554888759979</v>
      </c>
      <c r="G1310" s="1" t="s">
        <v>43</v>
      </c>
      <c r="H1310" s="1" t="s">
        <v>94</v>
      </c>
      <c r="I1310" s="1" t="s">
        <v>54</v>
      </c>
      <c r="N1310" s="1" t="s">
        <v>965</v>
      </c>
      <c r="O1310" s="1" t="s">
        <v>2128</v>
      </c>
      <c r="P1310" s="1" t="s">
        <v>2129</v>
      </c>
    </row>
    <row r="1311" customFormat="false" ht="14.25" hidden="false" customHeight="false" outlineLevel="0" collapsed="false">
      <c r="A1311" s="1" t="s">
        <v>3413</v>
      </c>
      <c r="B1311" s="1" t="s">
        <v>3414</v>
      </c>
      <c r="C1311" s="2" t="n">
        <v>120</v>
      </c>
      <c r="D1311" s="1" t="s">
        <v>30</v>
      </c>
      <c r="E1311" s="1" t="s">
        <v>3414</v>
      </c>
      <c r="F1311" s="2" t="n">
        <v>5511913367912</v>
      </c>
      <c r="G1311" s="1" t="s">
        <v>3415</v>
      </c>
      <c r="H1311" s="1" t="s">
        <v>94</v>
      </c>
      <c r="I1311" s="1" t="s">
        <v>54</v>
      </c>
      <c r="J1311" s="1" t="s">
        <v>35</v>
      </c>
      <c r="K1311" s="1" t="s">
        <v>69</v>
      </c>
      <c r="L1311" s="1" t="s">
        <v>70</v>
      </c>
      <c r="M1311" s="1" t="s">
        <v>38</v>
      </c>
      <c r="N1311" s="1" t="s">
        <v>965</v>
      </c>
      <c r="O1311" s="1" t="s">
        <v>3416</v>
      </c>
      <c r="P1311" s="1" t="s">
        <v>3417</v>
      </c>
    </row>
    <row r="1312" customFormat="false" ht="14.25" hidden="false" customHeight="false" outlineLevel="0" collapsed="false">
      <c r="A1312" s="1" t="s">
        <v>3418</v>
      </c>
      <c r="B1312" s="1" t="s">
        <v>1774</v>
      </c>
      <c r="C1312" s="2" t="n">
        <v>120</v>
      </c>
      <c r="D1312" s="1" t="s">
        <v>30</v>
      </c>
      <c r="E1312" s="1" t="s">
        <v>1774</v>
      </c>
      <c r="F1312" s="2" t="n">
        <v>5515997985942</v>
      </c>
      <c r="G1312" s="1" t="s">
        <v>3419</v>
      </c>
      <c r="H1312" s="1" t="s">
        <v>94</v>
      </c>
      <c r="I1312" s="1" t="s">
        <v>54</v>
      </c>
      <c r="N1312" s="1" t="s">
        <v>1022</v>
      </c>
      <c r="O1312" s="1" t="s">
        <v>2183</v>
      </c>
      <c r="P1312" s="1" t="s">
        <v>2135</v>
      </c>
    </row>
    <row r="1313" customFormat="false" ht="14.25" hidden="false" customHeight="false" outlineLevel="0" collapsed="false">
      <c r="A1313" s="1" t="s">
        <v>3420</v>
      </c>
      <c r="B1313" s="1" t="s">
        <v>175</v>
      </c>
      <c r="C1313" s="2" t="n">
        <v>440</v>
      </c>
      <c r="D1313" s="1" t="s">
        <v>22</v>
      </c>
      <c r="E1313" s="1" t="s">
        <v>175</v>
      </c>
      <c r="F1313" s="2" t="n">
        <v>5527999533616</v>
      </c>
      <c r="G1313" s="1" t="s">
        <v>3421</v>
      </c>
      <c r="H1313" s="1" t="s">
        <v>94</v>
      </c>
      <c r="I1313" s="1" t="s">
        <v>54</v>
      </c>
      <c r="N1313" s="1" t="s">
        <v>1022</v>
      </c>
      <c r="O1313" s="1" t="s">
        <v>3422</v>
      </c>
      <c r="P1313" s="1" t="s">
        <v>3423</v>
      </c>
    </row>
    <row r="1314" customFormat="false" ht="14.25" hidden="false" customHeight="false" outlineLevel="0" collapsed="false">
      <c r="A1314" s="1" t="s">
        <v>3424</v>
      </c>
      <c r="B1314" s="1" t="s">
        <v>175</v>
      </c>
      <c r="C1314" s="2" t="n">
        <v>360</v>
      </c>
      <c r="D1314" s="1" t="s">
        <v>30</v>
      </c>
      <c r="E1314" s="1" t="s">
        <v>175</v>
      </c>
      <c r="F1314" s="2" t="n">
        <v>5527999533616</v>
      </c>
      <c r="G1314" s="1" t="s">
        <v>3421</v>
      </c>
      <c r="H1314" s="1" t="s">
        <v>94</v>
      </c>
      <c r="I1314" s="1" t="s">
        <v>54</v>
      </c>
      <c r="N1314" s="1" t="s">
        <v>1022</v>
      </c>
      <c r="O1314" s="1" t="s">
        <v>3422</v>
      </c>
      <c r="P1314" s="1" t="s">
        <v>3423</v>
      </c>
    </row>
    <row r="1315" customFormat="false" ht="14.25" hidden="false" customHeight="false" outlineLevel="0" collapsed="false">
      <c r="A1315" s="1" t="s">
        <v>3425</v>
      </c>
      <c r="B1315" s="1" t="s">
        <v>3426</v>
      </c>
      <c r="C1315" s="2" t="n">
        <v>240</v>
      </c>
      <c r="D1315" s="1" t="s">
        <v>30</v>
      </c>
      <c r="E1315" s="1" t="s">
        <v>3426</v>
      </c>
      <c r="F1315" s="2" t="n">
        <v>556281696528</v>
      </c>
      <c r="G1315" s="1" t="s">
        <v>3427</v>
      </c>
      <c r="H1315" s="1" t="s">
        <v>94</v>
      </c>
      <c r="I1315" s="1" t="s">
        <v>355</v>
      </c>
      <c r="N1315" s="1" t="s">
        <v>965</v>
      </c>
      <c r="O1315" s="1" t="s">
        <v>2280</v>
      </c>
      <c r="P1315" s="1" t="s">
        <v>2281</v>
      </c>
    </row>
    <row r="1316" customFormat="false" ht="14.25" hidden="false" customHeight="false" outlineLevel="0" collapsed="false">
      <c r="A1316" s="1" t="s">
        <v>3428</v>
      </c>
      <c r="B1316" s="1" t="s">
        <v>3429</v>
      </c>
      <c r="C1316" s="2" t="n">
        <v>197</v>
      </c>
      <c r="D1316" s="1" t="s">
        <v>390</v>
      </c>
      <c r="E1316" s="1" t="s">
        <v>3429</v>
      </c>
      <c r="F1316" s="2" t="n">
        <v>553497063853</v>
      </c>
      <c r="G1316" s="1" t="s">
        <v>3430</v>
      </c>
      <c r="H1316" s="1" t="s">
        <v>94</v>
      </c>
      <c r="I1316" s="1" t="s">
        <v>355</v>
      </c>
      <c r="J1316" s="1" t="s">
        <v>1176</v>
      </c>
      <c r="K1316" s="1" t="s">
        <v>1897</v>
      </c>
      <c r="L1316" s="1" t="s">
        <v>2447</v>
      </c>
      <c r="M1316" s="1" t="s">
        <v>1179</v>
      </c>
      <c r="N1316" s="1" t="s">
        <v>965</v>
      </c>
      <c r="O1316" s="1" t="s">
        <v>3431</v>
      </c>
      <c r="P1316" s="1" t="s">
        <v>2245</v>
      </c>
    </row>
    <row r="1317" customFormat="false" ht="14.25" hidden="false" customHeight="false" outlineLevel="0" collapsed="false">
      <c r="A1317" s="1" t="s">
        <v>3432</v>
      </c>
      <c r="B1317" s="1" t="s">
        <v>3433</v>
      </c>
      <c r="C1317" s="2" t="n">
        <v>147</v>
      </c>
      <c r="D1317" s="1" t="s">
        <v>22</v>
      </c>
      <c r="E1317" s="1" t="s">
        <v>3434</v>
      </c>
      <c r="F1317" s="2" t="n">
        <v>554892190656</v>
      </c>
      <c r="G1317" s="1" t="s">
        <v>3435</v>
      </c>
      <c r="H1317" s="1" t="s">
        <v>94</v>
      </c>
      <c r="I1317" s="1" t="s">
        <v>34</v>
      </c>
      <c r="N1317" s="1" t="s">
        <v>965</v>
      </c>
      <c r="O1317" s="1" t="s">
        <v>2128</v>
      </c>
      <c r="P1317" s="1" t="s">
        <v>2129</v>
      </c>
    </row>
    <row r="1318" customFormat="false" ht="14.25" hidden="false" customHeight="false" outlineLevel="0" collapsed="false">
      <c r="A1318" s="1" t="s">
        <v>3436</v>
      </c>
      <c r="B1318" s="1" t="s">
        <v>3437</v>
      </c>
      <c r="C1318" s="2" t="n">
        <v>400</v>
      </c>
      <c r="D1318" s="1" t="s">
        <v>106</v>
      </c>
      <c r="E1318" s="1" t="s">
        <v>3437</v>
      </c>
      <c r="F1318" s="2" t="n">
        <v>559581263433</v>
      </c>
      <c r="G1318" s="1" t="s">
        <v>33</v>
      </c>
      <c r="H1318" s="1" t="s">
        <v>94</v>
      </c>
      <c r="I1318" s="1" t="s">
        <v>34</v>
      </c>
      <c r="J1318" s="1" t="s">
        <v>35</v>
      </c>
      <c r="K1318" s="1" t="s">
        <v>36</v>
      </c>
      <c r="L1318" s="1" t="s">
        <v>37</v>
      </c>
      <c r="M1318" s="1" t="s">
        <v>38</v>
      </c>
      <c r="N1318" s="1" t="s">
        <v>965</v>
      </c>
      <c r="O1318" s="1" t="s">
        <v>2159</v>
      </c>
      <c r="P1318" s="1" t="s">
        <v>2089</v>
      </c>
    </row>
    <row r="1319" customFormat="false" ht="14.25" hidden="false" customHeight="false" outlineLevel="0" collapsed="false">
      <c r="A1319" s="1" t="s">
        <v>3438</v>
      </c>
      <c r="B1319" s="1" t="s">
        <v>3433</v>
      </c>
      <c r="C1319" s="2" t="n">
        <v>147</v>
      </c>
      <c r="D1319" s="1" t="s">
        <v>21</v>
      </c>
      <c r="E1319" s="1" t="s">
        <v>3434</v>
      </c>
      <c r="F1319" s="2" t="n">
        <v>554892190656</v>
      </c>
      <c r="G1319" s="1" t="s">
        <v>3435</v>
      </c>
      <c r="H1319" s="1" t="s">
        <v>94</v>
      </c>
      <c r="I1319" s="1" t="s">
        <v>34</v>
      </c>
      <c r="N1319" s="1" t="s">
        <v>965</v>
      </c>
      <c r="O1319" s="1" t="s">
        <v>2107</v>
      </c>
      <c r="P1319" s="1" t="s">
        <v>2129</v>
      </c>
    </row>
    <row r="1320" customFormat="false" ht="14.25" hidden="false" customHeight="false" outlineLevel="0" collapsed="false">
      <c r="A1320" s="1" t="s">
        <v>3439</v>
      </c>
      <c r="B1320" s="1" t="s">
        <v>3437</v>
      </c>
      <c r="C1320" s="2" t="n">
        <v>147</v>
      </c>
      <c r="D1320" s="1" t="s">
        <v>390</v>
      </c>
      <c r="E1320" s="1" t="s">
        <v>3437</v>
      </c>
      <c r="F1320" s="2" t="n">
        <v>559581263433</v>
      </c>
      <c r="G1320" s="1" t="s">
        <v>33</v>
      </c>
      <c r="H1320" s="1" t="s">
        <v>94</v>
      </c>
      <c r="I1320" s="1" t="s">
        <v>34</v>
      </c>
      <c r="N1320" s="1" t="s">
        <v>965</v>
      </c>
      <c r="O1320" s="1" t="s">
        <v>2159</v>
      </c>
      <c r="P1320" s="1" t="s">
        <v>2089</v>
      </c>
    </row>
    <row r="1321" customFormat="false" ht="14.25" hidden="false" customHeight="false" outlineLevel="0" collapsed="false">
      <c r="A1321" s="1" t="s">
        <v>3440</v>
      </c>
      <c r="B1321" s="1" t="s">
        <v>3441</v>
      </c>
      <c r="C1321" s="2" t="n">
        <v>120</v>
      </c>
      <c r="D1321" s="1" t="s">
        <v>20</v>
      </c>
      <c r="E1321" s="1" t="s">
        <v>3442</v>
      </c>
      <c r="F1321" s="2" t="n">
        <v>554196371137</v>
      </c>
      <c r="G1321" s="1" t="s">
        <v>3443</v>
      </c>
      <c r="H1321" s="1" t="s">
        <v>94</v>
      </c>
      <c r="I1321" s="1" t="s">
        <v>50</v>
      </c>
      <c r="J1321" s="1" t="s">
        <v>97</v>
      </c>
      <c r="K1321" s="1" t="s">
        <v>20</v>
      </c>
      <c r="L1321" s="1" t="s">
        <v>230</v>
      </c>
      <c r="M1321" s="1" t="s">
        <v>99</v>
      </c>
      <c r="N1321" s="1" t="s">
        <v>965</v>
      </c>
      <c r="O1321" s="1" t="s">
        <v>2159</v>
      </c>
      <c r="P1321" s="1" t="s">
        <v>2089</v>
      </c>
    </row>
    <row r="1322" customFormat="false" ht="14.25" hidden="false" customHeight="false" outlineLevel="0" collapsed="false">
      <c r="A1322" s="1" t="s">
        <v>3444</v>
      </c>
      <c r="B1322" s="1" t="s">
        <v>2873</v>
      </c>
      <c r="C1322" s="2" t="n">
        <v>400</v>
      </c>
      <c r="D1322" s="1" t="s">
        <v>27</v>
      </c>
      <c r="E1322" s="1" t="s">
        <v>2873</v>
      </c>
      <c r="F1322" s="2" t="n">
        <v>559584379233</v>
      </c>
      <c r="G1322" s="1" t="s">
        <v>2874</v>
      </c>
      <c r="H1322" s="1" t="s">
        <v>94</v>
      </c>
      <c r="I1322" s="1" t="s">
        <v>54</v>
      </c>
      <c r="N1322" s="1" t="s">
        <v>1022</v>
      </c>
      <c r="O1322" s="1" t="s">
        <v>2107</v>
      </c>
      <c r="P1322" s="1" t="s">
        <v>3417</v>
      </c>
    </row>
    <row r="1323" customFormat="false" ht="14.25" hidden="false" customHeight="false" outlineLevel="0" collapsed="false">
      <c r="A1323" s="1" t="s">
        <v>3445</v>
      </c>
      <c r="B1323" s="1" t="s">
        <v>2294</v>
      </c>
      <c r="C1323" s="2" t="n">
        <v>120</v>
      </c>
      <c r="D1323" s="1" t="s">
        <v>20</v>
      </c>
      <c r="E1323" s="1" t="s">
        <v>2294</v>
      </c>
      <c r="F1323" s="2" t="n">
        <v>554197159485</v>
      </c>
      <c r="G1323" s="1" t="s">
        <v>2295</v>
      </c>
      <c r="H1323" s="1" t="s">
        <v>94</v>
      </c>
      <c r="I1323" s="1" t="s">
        <v>54</v>
      </c>
      <c r="N1323" s="1" t="s">
        <v>1022</v>
      </c>
      <c r="O1323" s="1" t="s">
        <v>2159</v>
      </c>
      <c r="P1323" s="1" t="s">
        <v>2089</v>
      </c>
    </row>
    <row r="1324" customFormat="false" ht="14.25" hidden="false" customHeight="false" outlineLevel="0" collapsed="false">
      <c r="A1324" s="1" t="s">
        <v>3446</v>
      </c>
      <c r="B1324" s="1" t="s">
        <v>1864</v>
      </c>
      <c r="C1324" s="2" t="n">
        <v>147</v>
      </c>
      <c r="D1324" s="1" t="s">
        <v>21</v>
      </c>
      <c r="E1324" s="1" t="s">
        <v>3447</v>
      </c>
      <c r="F1324" s="2" t="n">
        <v>554791177858</v>
      </c>
      <c r="G1324" s="1" t="s">
        <v>1865</v>
      </c>
      <c r="H1324" s="1" t="s">
        <v>94</v>
      </c>
      <c r="I1324" s="1" t="s">
        <v>54</v>
      </c>
      <c r="N1324" s="1" t="s">
        <v>1022</v>
      </c>
      <c r="O1324" s="1" t="s">
        <v>2236</v>
      </c>
      <c r="P1324" s="1" t="s">
        <v>2129</v>
      </c>
    </row>
    <row r="1325" customFormat="false" ht="14.25" hidden="false" customHeight="false" outlineLevel="0" collapsed="false">
      <c r="A1325" s="1" t="s">
        <v>3446</v>
      </c>
      <c r="B1325" s="1" t="s">
        <v>3448</v>
      </c>
      <c r="C1325" s="2" t="n">
        <v>150</v>
      </c>
      <c r="D1325" s="1" t="s">
        <v>32</v>
      </c>
      <c r="E1325" s="1" t="s">
        <v>3449</v>
      </c>
      <c r="F1325" s="2" t="n">
        <v>554799483157</v>
      </c>
      <c r="G1325" s="1" t="s">
        <v>3450</v>
      </c>
      <c r="H1325" s="1" t="s">
        <v>94</v>
      </c>
      <c r="I1325" s="1" t="s">
        <v>355</v>
      </c>
      <c r="J1325" s="1" t="s">
        <v>1176</v>
      </c>
      <c r="K1325" s="1" t="s">
        <v>1177</v>
      </c>
      <c r="L1325" s="1" t="s">
        <v>1324</v>
      </c>
      <c r="M1325" s="1" t="s">
        <v>1243</v>
      </c>
      <c r="N1325" s="1" t="s">
        <v>965</v>
      </c>
      <c r="O1325" s="1" t="s">
        <v>2107</v>
      </c>
      <c r="P1325" s="1" t="s">
        <v>2129</v>
      </c>
    </row>
    <row r="1326" customFormat="false" ht="14.25" hidden="false" customHeight="false" outlineLevel="0" collapsed="false">
      <c r="A1326" s="1" t="s">
        <v>3451</v>
      </c>
      <c r="B1326" s="1" t="s">
        <v>3452</v>
      </c>
      <c r="C1326" s="2" t="n">
        <v>120</v>
      </c>
      <c r="D1326" s="1" t="s">
        <v>2214</v>
      </c>
      <c r="E1326" s="1" t="s">
        <v>2641</v>
      </c>
      <c r="F1326" s="2" t="n">
        <v>5519988335383</v>
      </c>
      <c r="G1326" s="1" t="s">
        <v>2642</v>
      </c>
      <c r="H1326" s="1" t="s">
        <v>94</v>
      </c>
      <c r="I1326" s="1" t="s">
        <v>54</v>
      </c>
      <c r="N1326" s="1" t="s">
        <v>1022</v>
      </c>
      <c r="O1326" s="1" t="s">
        <v>2643</v>
      </c>
      <c r="P1326" s="1" t="s">
        <v>2135</v>
      </c>
    </row>
    <row r="1327" customFormat="false" ht="14.25" hidden="false" customHeight="false" outlineLevel="0" collapsed="false">
      <c r="A1327" s="1" t="s">
        <v>3451</v>
      </c>
      <c r="B1327" s="1" t="s">
        <v>3453</v>
      </c>
      <c r="C1327" s="2" t="n">
        <v>147</v>
      </c>
      <c r="D1327" s="1" t="s">
        <v>22</v>
      </c>
      <c r="E1327" s="1" t="s">
        <v>3453</v>
      </c>
      <c r="F1327" s="2" t="n">
        <v>554891620095</v>
      </c>
      <c r="G1327" s="1" t="s">
        <v>3454</v>
      </c>
      <c r="H1327" s="1" t="s">
        <v>94</v>
      </c>
      <c r="I1327" s="1" t="s">
        <v>355</v>
      </c>
      <c r="N1327" s="1" t="s">
        <v>965</v>
      </c>
      <c r="O1327" s="1" t="s">
        <v>2261</v>
      </c>
      <c r="P1327" s="1" t="s">
        <v>2129</v>
      </c>
    </row>
    <row r="1328" customFormat="false" ht="14.25" hidden="false" customHeight="false" outlineLevel="0" collapsed="false">
      <c r="A1328" s="1" t="s">
        <v>3451</v>
      </c>
      <c r="B1328" s="1" t="s">
        <v>3453</v>
      </c>
      <c r="C1328" s="2" t="n">
        <v>147</v>
      </c>
      <c r="D1328" s="1" t="s">
        <v>21</v>
      </c>
      <c r="E1328" s="1" t="s">
        <v>3453</v>
      </c>
      <c r="F1328" s="2" t="n">
        <v>554891620095</v>
      </c>
      <c r="G1328" s="1" t="s">
        <v>3454</v>
      </c>
      <c r="H1328" s="1" t="s">
        <v>94</v>
      </c>
      <c r="I1328" s="1" t="s">
        <v>355</v>
      </c>
      <c r="N1328" s="1" t="s">
        <v>965</v>
      </c>
      <c r="O1328" s="1" t="s">
        <v>2128</v>
      </c>
      <c r="P1328" s="1" t="s">
        <v>2129</v>
      </c>
    </row>
    <row r="1329" customFormat="false" ht="14.25" hidden="false" customHeight="false" outlineLevel="0" collapsed="false">
      <c r="A1329" s="1" t="s">
        <v>3455</v>
      </c>
      <c r="B1329" s="1" t="s">
        <v>3456</v>
      </c>
      <c r="C1329" s="2" t="n">
        <v>240</v>
      </c>
      <c r="D1329" s="1" t="s">
        <v>30</v>
      </c>
      <c r="E1329" s="1" t="s">
        <v>3457</v>
      </c>
      <c r="F1329" s="2" t="n">
        <v>5511970838150</v>
      </c>
      <c r="G1329" s="1" t="s">
        <v>3458</v>
      </c>
      <c r="H1329" s="1" t="s">
        <v>94</v>
      </c>
      <c r="I1329" s="1" t="s">
        <v>34</v>
      </c>
      <c r="J1329" s="1" t="s">
        <v>1176</v>
      </c>
      <c r="K1329" s="1" t="s">
        <v>1897</v>
      </c>
      <c r="L1329" s="1" t="s">
        <v>2447</v>
      </c>
      <c r="M1329" s="1" t="s">
        <v>1179</v>
      </c>
      <c r="N1329" s="1" t="s">
        <v>965</v>
      </c>
      <c r="O1329" s="1" t="s">
        <v>3459</v>
      </c>
      <c r="P1329" s="1" t="s">
        <v>2135</v>
      </c>
    </row>
    <row r="1330" customFormat="false" ht="14.25" hidden="false" customHeight="false" outlineLevel="0" collapsed="false">
      <c r="A1330" s="1" t="s">
        <v>3460</v>
      </c>
      <c r="B1330" s="1" t="s">
        <v>3461</v>
      </c>
      <c r="C1330" s="2" t="n">
        <v>150</v>
      </c>
      <c r="D1330" s="1" t="s">
        <v>29</v>
      </c>
      <c r="E1330" s="1" t="s">
        <v>3462</v>
      </c>
      <c r="F1330" s="2" t="n">
        <v>554196044273</v>
      </c>
      <c r="G1330" s="1" t="s">
        <v>3463</v>
      </c>
      <c r="H1330" s="1" t="s">
        <v>94</v>
      </c>
      <c r="I1330" s="1" t="s">
        <v>34</v>
      </c>
      <c r="N1330" s="1" t="s">
        <v>965</v>
      </c>
      <c r="O1330" s="1" t="s">
        <v>2107</v>
      </c>
      <c r="P1330" s="1" t="s">
        <v>862</v>
      </c>
    </row>
    <row r="1331" customFormat="false" ht="14.25" hidden="false" customHeight="false" outlineLevel="0" collapsed="false">
      <c r="A1331" s="1" t="s">
        <v>3464</v>
      </c>
      <c r="B1331" s="1" t="s">
        <v>3465</v>
      </c>
      <c r="C1331" s="2" t="n">
        <v>120</v>
      </c>
      <c r="D1331" s="1" t="s">
        <v>30</v>
      </c>
      <c r="E1331" s="1" t="s">
        <v>3466</v>
      </c>
      <c r="F1331" s="2" t="n">
        <v>5511969750717</v>
      </c>
      <c r="G1331" s="1" t="s">
        <v>3467</v>
      </c>
      <c r="H1331" s="1" t="s">
        <v>94</v>
      </c>
      <c r="I1331" s="1" t="s">
        <v>355</v>
      </c>
      <c r="J1331" s="1" t="s">
        <v>35</v>
      </c>
      <c r="K1331" s="1" t="s">
        <v>69</v>
      </c>
      <c r="L1331" s="1" t="s">
        <v>70</v>
      </c>
      <c r="M1331" s="1" t="s">
        <v>38</v>
      </c>
      <c r="N1331" s="1" t="s">
        <v>965</v>
      </c>
      <c r="O1331" s="1" t="s">
        <v>2107</v>
      </c>
      <c r="P1331" s="1" t="s">
        <v>2135</v>
      </c>
    </row>
    <row r="1332" customFormat="false" ht="14.25" hidden="false" customHeight="false" outlineLevel="0" collapsed="false">
      <c r="A1332" s="1" t="s">
        <v>3468</v>
      </c>
      <c r="B1332" s="1" t="s">
        <v>3469</v>
      </c>
      <c r="C1332" s="2" t="n">
        <v>120</v>
      </c>
      <c r="D1332" s="1" t="s">
        <v>30</v>
      </c>
      <c r="E1332" s="1" t="s">
        <v>3470</v>
      </c>
      <c r="F1332" s="2" t="n">
        <v>55984390336</v>
      </c>
      <c r="G1332" s="1" t="s">
        <v>3471</v>
      </c>
      <c r="H1332" s="1" t="s">
        <v>94</v>
      </c>
      <c r="I1332" s="1" t="s">
        <v>355</v>
      </c>
      <c r="N1332" s="1" t="s">
        <v>965</v>
      </c>
      <c r="O1332" s="1" t="s">
        <v>3472</v>
      </c>
      <c r="P1332" s="1" t="s">
        <v>2089</v>
      </c>
    </row>
    <row r="1333" customFormat="false" ht="14.25" hidden="false" customHeight="false" outlineLevel="0" collapsed="false">
      <c r="A1333" s="1" t="s">
        <v>3473</v>
      </c>
      <c r="B1333" s="1" t="s">
        <v>3469</v>
      </c>
      <c r="C1333" s="2" t="n">
        <v>147</v>
      </c>
      <c r="D1333" s="1" t="s">
        <v>22</v>
      </c>
      <c r="E1333" s="1" t="s">
        <v>3474</v>
      </c>
      <c r="F1333" s="2" t="n">
        <v>55984390336</v>
      </c>
      <c r="G1333" s="1" t="s">
        <v>3471</v>
      </c>
      <c r="H1333" s="1" t="s">
        <v>94</v>
      </c>
      <c r="I1333" s="1" t="s">
        <v>355</v>
      </c>
      <c r="J1333" s="1" t="s">
        <v>35</v>
      </c>
      <c r="K1333" s="1" t="s">
        <v>69</v>
      </c>
      <c r="L1333" s="1" t="s">
        <v>70</v>
      </c>
      <c r="M1333" s="1" t="s">
        <v>38</v>
      </c>
      <c r="N1333" s="1" t="s">
        <v>965</v>
      </c>
      <c r="O1333" s="1" t="s">
        <v>3472</v>
      </c>
      <c r="P1333" s="1" t="s">
        <v>2089</v>
      </c>
    </row>
    <row r="1334" customFormat="false" ht="14.25" hidden="false" customHeight="false" outlineLevel="0" collapsed="false">
      <c r="A1334" s="1" t="s">
        <v>3475</v>
      </c>
      <c r="B1334" s="1" t="s">
        <v>3476</v>
      </c>
      <c r="C1334" s="2" t="n">
        <v>294</v>
      </c>
      <c r="D1334" s="1" t="s">
        <v>22</v>
      </c>
      <c r="E1334" s="1" t="s">
        <v>3477</v>
      </c>
      <c r="F1334" s="2" t="n">
        <v>59893876880</v>
      </c>
      <c r="G1334" s="1" t="s">
        <v>3478</v>
      </c>
      <c r="H1334" s="1" t="s">
        <v>94</v>
      </c>
      <c r="I1334" s="1" t="s">
        <v>355</v>
      </c>
      <c r="N1334" s="1" t="s">
        <v>965</v>
      </c>
      <c r="O1334" s="1" t="s">
        <v>2760</v>
      </c>
      <c r="P1334" s="1" t="s">
        <v>2121</v>
      </c>
    </row>
    <row r="1335" customFormat="false" ht="14.25" hidden="false" customHeight="false" outlineLevel="0" collapsed="false">
      <c r="A1335" s="1" t="s">
        <v>3479</v>
      </c>
      <c r="B1335" s="1" t="s">
        <v>3476</v>
      </c>
      <c r="C1335" s="2" t="n">
        <v>294</v>
      </c>
      <c r="D1335" s="1" t="s">
        <v>30</v>
      </c>
      <c r="E1335" s="1" t="s">
        <v>3477</v>
      </c>
      <c r="F1335" s="2" t="n">
        <v>59893876880</v>
      </c>
      <c r="G1335" s="1" t="s">
        <v>3478</v>
      </c>
      <c r="H1335" s="1" t="s">
        <v>94</v>
      </c>
      <c r="I1335" s="1" t="s">
        <v>355</v>
      </c>
      <c r="N1335" s="1" t="s">
        <v>965</v>
      </c>
      <c r="O1335" s="1" t="s">
        <v>2760</v>
      </c>
      <c r="P1335" s="1" t="s">
        <v>2121</v>
      </c>
    </row>
    <row r="1336" customFormat="false" ht="14.25" hidden="false" customHeight="false" outlineLevel="0" collapsed="false">
      <c r="A1336" s="1" t="s">
        <v>3480</v>
      </c>
      <c r="B1336" s="1" t="s">
        <v>3481</v>
      </c>
      <c r="C1336" s="2" t="n">
        <v>147</v>
      </c>
      <c r="D1336" s="1" t="s">
        <v>18</v>
      </c>
      <c r="E1336" s="1" t="s">
        <v>3481</v>
      </c>
      <c r="F1336" s="2" t="n">
        <v>557998794174</v>
      </c>
      <c r="G1336" s="1" t="s">
        <v>3482</v>
      </c>
      <c r="H1336" s="1" t="s">
        <v>94</v>
      </c>
      <c r="I1336" s="1" t="s">
        <v>355</v>
      </c>
      <c r="N1336" s="1" t="s">
        <v>965</v>
      </c>
      <c r="O1336" s="1" t="s">
        <v>2107</v>
      </c>
      <c r="P1336" s="1" t="s">
        <v>862</v>
      </c>
    </row>
    <row r="1337" customFormat="false" ht="14.25" hidden="false" customHeight="false" outlineLevel="0" collapsed="false">
      <c r="A1337" s="1" t="s">
        <v>3483</v>
      </c>
      <c r="B1337" s="1" t="s">
        <v>3484</v>
      </c>
      <c r="C1337" s="2" t="n">
        <v>440</v>
      </c>
      <c r="D1337" s="1" t="s">
        <v>390</v>
      </c>
      <c r="E1337" s="1" t="s">
        <v>3485</v>
      </c>
      <c r="F1337" s="2" t="n">
        <v>556296184787</v>
      </c>
      <c r="G1337" s="1" t="s">
        <v>3486</v>
      </c>
      <c r="H1337" s="1" t="s">
        <v>94</v>
      </c>
      <c r="I1337" s="1" t="s">
        <v>54</v>
      </c>
      <c r="N1337" s="1" t="s">
        <v>1022</v>
      </c>
      <c r="O1337" s="1" t="s">
        <v>2280</v>
      </c>
      <c r="P1337" s="1" t="s">
        <v>2281</v>
      </c>
    </row>
    <row r="1338" customFormat="false" ht="14.25" hidden="false" customHeight="false" outlineLevel="0" collapsed="false">
      <c r="A1338" s="1" t="s">
        <v>3487</v>
      </c>
      <c r="B1338" s="1" t="s">
        <v>3488</v>
      </c>
      <c r="C1338" s="2" t="n">
        <v>360</v>
      </c>
      <c r="D1338" s="1" t="s">
        <v>20</v>
      </c>
      <c r="E1338" s="1" t="s">
        <v>3489</v>
      </c>
      <c r="F1338" s="2" t="n">
        <v>559584223667</v>
      </c>
      <c r="G1338" s="1" t="s">
        <v>3490</v>
      </c>
      <c r="H1338" s="1" t="s">
        <v>94</v>
      </c>
      <c r="I1338" s="1" t="s">
        <v>34</v>
      </c>
      <c r="J1338" s="1" t="s">
        <v>35</v>
      </c>
      <c r="K1338" s="1" t="s">
        <v>36</v>
      </c>
      <c r="L1338" s="1" t="s">
        <v>37</v>
      </c>
      <c r="M1338" s="1" t="s">
        <v>38</v>
      </c>
      <c r="N1338" s="1" t="s">
        <v>965</v>
      </c>
      <c r="O1338" s="1" t="s">
        <v>2708</v>
      </c>
      <c r="P1338" s="1" t="s">
        <v>2089</v>
      </c>
      <c r="Q1338" s="16"/>
    </row>
    <row r="1339" customFormat="false" ht="15" hidden="false" customHeight="false" outlineLevel="0" collapsed="false"/>
    <row r="1340" customFormat="false" ht="15" hidden="false" customHeight="false" outlineLevel="0" collapsed="false"/>
  </sheetData>
  <dataValidations count="1">
    <dataValidation allowBlank="true" errorStyle="stop" operator="between" showDropDown="false" showErrorMessage="true" showInputMessage="true" sqref="D2:D2338" type="list">
      <formula1>DRE!$B$9:$B$31</formula1>
      <formula2>0</formula2>
    </dataValidation>
  </dataValidations>
  <hyperlinks>
    <hyperlink ref="G161" r:id="rId1" display="thaliavivas2005@gmail.com"/>
    <hyperlink ref="G817" r:id="rId2" display="vismayjesus@gmail.com"/>
    <hyperlink ref="G874" r:id="rId3" display="dreidy.avila27@gmail.com"/>
    <hyperlink ref="G891" r:id="rId4" display="vlataton2015@gmail.com"/>
    <hyperlink ref="G920" r:id="rId5" display="NEURIS1998@GMAIL.COM"/>
    <hyperlink ref="G940" r:id="rId6" display="angelacausilla81@gmail.com"/>
    <hyperlink ref="G948" r:id="rId7" display="mairacabrera618@gmail.com"/>
    <hyperlink ref="G952" r:id="rId8" display="lisvaldes92@gmail.com"/>
    <hyperlink ref="G957" r:id="rId9" display="saylilopez4736@gmail.com"/>
    <hyperlink ref="G1001" r:id="rId10" display="javierleesma1357@gmail.com"/>
    <hyperlink ref="G1013" r:id="rId11" display="yoan.liki@gmail.com"/>
    <hyperlink ref="G1014" r:id="rId12" display="luisangelpaneque1992@gmail.com"/>
    <hyperlink ref="G1042" r:id="rId13" display="bourricaudyselianis@gmail.com"/>
    <hyperlink ref="G1153" r:id="rId14" display="lazaroalexe052@gmail.com"/>
  </hyperlink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3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107" activeCellId="0" sqref="B1107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7" width="12.86"/>
    <col collapsed="false" customWidth="true" hidden="false" outlineLevel="0" max="2" min="2" style="0" width="45.29"/>
    <col collapsed="false" customWidth="true" hidden="false" outlineLevel="0" max="3" min="3" style="18" width="10.86"/>
    <col collapsed="false" customWidth="true" hidden="false" outlineLevel="0" max="4" min="4" style="0" width="21.14"/>
    <col collapsed="false" customWidth="true" hidden="false" outlineLevel="0" max="5" min="5" style="0" width="48.86"/>
    <col collapsed="false" customWidth="true" hidden="false" outlineLevel="0" max="6" min="6" style="19" width="31"/>
    <col collapsed="false" customWidth="true" hidden="false" outlineLevel="0" max="7" min="7" style="0" width="105.86"/>
    <col collapsed="false" customWidth="true" hidden="false" outlineLevel="0" max="8" min="8" style="0" width="11.43"/>
    <col collapsed="false" customWidth="true" hidden="false" outlineLevel="0" max="9" min="9" style="0" width="14"/>
    <col collapsed="false" customWidth="true" hidden="false" outlineLevel="0" max="10" min="10" style="0" width="15.86"/>
    <col collapsed="false" customWidth="true" hidden="false" outlineLevel="0" max="11" min="11" style="0" width="66"/>
    <col collapsed="false" customWidth="true" hidden="false" outlineLevel="0" max="12" min="12" style="0" width="43.15"/>
    <col collapsed="false" customWidth="true" hidden="false" outlineLevel="0" max="13" min="13" style="0" width="22.29"/>
    <col collapsed="false" customWidth="true" hidden="false" outlineLevel="0" max="14" min="14" style="0" width="16.72"/>
    <col collapsed="false" customWidth="true" hidden="false" outlineLevel="0" max="15" min="15" style="0" width="22.57"/>
    <col collapsed="false" customWidth="true" hidden="false" outlineLevel="0" max="16" min="16" style="0" width="22"/>
    <col collapsed="false" customWidth="true" hidden="false" outlineLevel="0" max="17" min="17" style="0" width="12.14"/>
    <col collapsed="false" customWidth="true" hidden="false" outlineLevel="0" max="18" min="18" style="0" width="7.28"/>
    <col collapsed="false" customWidth="true" hidden="false" outlineLevel="0" max="20" min="19" style="0" width="7.43"/>
    <col collapsed="false" customWidth="true" hidden="false" outlineLevel="0" max="21" min="21" style="0" width="4.29"/>
  </cols>
  <sheetData>
    <row r="1" customFormat="false" ht="14.25" hidden="false" customHeight="false" outlineLevel="0" collapsed="false">
      <c r="A1" s="20" t="s">
        <v>0</v>
      </c>
      <c r="B1" s="21" t="s">
        <v>1</v>
      </c>
      <c r="C1" s="22" t="s">
        <v>2</v>
      </c>
      <c r="D1" s="21" t="s">
        <v>3</v>
      </c>
      <c r="E1" s="21" t="s">
        <v>4</v>
      </c>
      <c r="F1" s="23" t="s">
        <v>5</v>
      </c>
      <c r="G1" s="21" t="s">
        <v>6</v>
      </c>
      <c r="H1" s="21" t="s">
        <v>7</v>
      </c>
      <c r="I1" s="21" t="s">
        <v>8</v>
      </c>
      <c r="J1" s="21" t="s">
        <v>9</v>
      </c>
      <c r="K1" s="21" t="s">
        <v>10</v>
      </c>
      <c r="L1" s="21" t="s">
        <v>11</v>
      </c>
      <c r="M1" s="21" t="s">
        <v>12</v>
      </c>
      <c r="N1" s="21" t="s">
        <v>13</v>
      </c>
      <c r="O1" s="21" t="s">
        <v>14</v>
      </c>
      <c r="P1" s="21" t="s">
        <v>15</v>
      </c>
      <c r="Q1" s="21" t="s">
        <v>16</v>
      </c>
      <c r="R1" s="21" t="s">
        <v>3491</v>
      </c>
      <c r="S1" s="21" t="s">
        <v>3492</v>
      </c>
    </row>
    <row r="2" customFormat="false" ht="15" hidden="false" customHeight="false" outlineLevel="0" collapsed="false">
      <c r="A2" s="24" t="n">
        <v>46023</v>
      </c>
      <c r="B2" s="25"/>
      <c r="C2" s="26" t="n">
        <v>3816</v>
      </c>
      <c r="D2" s="27" t="s">
        <v>18</v>
      </c>
      <c r="E2" s="25" t="s">
        <v>19</v>
      </c>
      <c r="F2" s="28"/>
      <c r="G2" s="27"/>
      <c r="H2" s="25"/>
      <c r="I2" s="27"/>
      <c r="J2" s="25"/>
      <c r="K2" s="25"/>
      <c r="L2" s="25"/>
      <c r="M2" s="25"/>
      <c r="R2" s="0" t="n">
        <v>1</v>
      </c>
      <c r="S2" s="0" t="n">
        <v>2026</v>
      </c>
    </row>
    <row r="3" customFormat="false" ht="14.25" hidden="false" customHeight="false" outlineLevel="0" collapsed="false">
      <c r="A3" s="17" t="n">
        <v>46023</v>
      </c>
      <c r="C3" s="29" t="n">
        <v>3905</v>
      </c>
      <c r="D3" s="30" t="s">
        <v>20</v>
      </c>
      <c r="E3" s="21" t="s">
        <v>19</v>
      </c>
      <c r="G3" s="31"/>
      <c r="I3" s="31"/>
      <c r="R3" s="0" t="n">
        <v>1</v>
      </c>
      <c r="S3" s="0" t="n">
        <v>2026</v>
      </c>
    </row>
    <row r="4" customFormat="false" ht="14.25" hidden="false" customHeight="false" outlineLevel="0" collapsed="false">
      <c r="A4" s="17" t="n">
        <v>46023</v>
      </c>
      <c r="C4" s="29" t="n">
        <v>3840</v>
      </c>
      <c r="D4" s="30" t="s">
        <v>16</v>
      </c>
      <c r="E4" s="21" t="s">
        <v>19</v>
      </c>
      <c r="G4" s="31"/>
      <c r="I4" s="31"/>
      <c r="R4" s="0" t="n">
        <v>1</v>
      </c>
      <c r="S4" s="0" t="n">
        <v>2026</v>
      </c>
    </row>
    <row r="5" customFormat="false" ht="14.25" hidden="false" customHeight="false" outlineLevel="0" collapsed="false">
      <c r="A5" s="17" t="n">
        <v>46023</v>
      </c>
      <c r="C5" s="29" t="n">
        <v>840</v>
      </c>
      <c r="D5" s="30" t="s">
        <v>21</v>
      </c>
      <c r="E5" s="21" t="s">
        <v>19</v>
      </c>
      <c r="G5" s="31"/>
      <c r="I5" s="31"/>
      <c r="R5" s="0" t="n">
        <v>1</v>
      </c>
      <c r="S5" s="0" t="n">
        <v>2026</v>
      </c>
    </row>
    <row r="6" customFormat="false" ht="14.25" hidden="false" customHeight="false" outlineLevel="0" collapsed="false">
      <c r="A6" s="17" t="n">
        <v>46023</v>
      </c>
      <c r="C6" s="29" t="n">
        <v>3830</v>
      </c>
      <c r="D6" s="30" t="s">
        <v>22</v>
      </c>
      <c r="E6" s="21" t="s">
        <v>19</v>
      </c>
      <c r="G6" s="31"/>
      <c r="I6" s="31"/>
      <c r="R6" s="0" t="n">
        <v>1</v>
      </c>
      <c r="S6" s="0" t="n">
        <v>2026</v>
      </c>
    </row>
    <row r="7" customFormat="false" ht="14.25" hidden="false" customHeight="false" outlineLevel="0" collapsed="false">
      <c r="A7" s="17" t="n">
        <v>46023</v>
      </c>
      <c r="C7" s="29" t="n">
        <v>1540</v>
      </c>
      <c r="D7" s="30" t="s">
        <v>23</v>
      </c>
      <c r="E7" s="21" t="s">
        <v>19</v>
      </c>
      <c r="G7" s="31"/>
      <c r="I7" s="31"/>
      <c r="R7" s="0" t="n">
        <v>1</v>
      </c>
      <c r="S7" s="0" t="n">
        <v>2026</v>
      </c>
    </row>
    <row r="8" customFormat="false" ht="14.25" hidden="false" customHeight="false" outlineLevel="0" collapsed="false">
      <c r="A8" s="17" t="n">
        <v>46023</v>
      </c>
      <c r="C8" s="29" t="n">
        <v>7270</v>
      </c>
      <c r="D8" s="30" t="s">
        <v>24</v>
      </c>
      <c r="E8" s="21" t="s">
        <v>19</v>
      </c>
      <c r="G8" s="31"/>
      <c r="I8" s="31"/>
      <c r="R8" s="0" t="n">
        <v>1</v>
      </c>
      <c r="S8" s="0" t="n">
        <v>2026</v>
      </c>
    </row>
    <row r="9" customFormat="false" ht="14.25" hidden="false" customHeight="false" outlineLevel="0" collapsed="false">
      <c r="A9" s="17" t="n">
        <v>46023</v>
      </c>
      <c r="C9" s="29" t="n">
        <v>420</v>
      </c>
      <c r="D9" s="30" t="s">
        <v>25</v>
      </c>
      <c r="E9" s="21" t="s">
        <v>19</v>
      </c>
      <c r="G9" s="31"/>
      <c r="I9" s="31"/>
      <c r="R9" s="0" t="n">
        <v>1</v>
      </c>
      <c r="S9" s="0" t="n">
        <v>2026</v>
      </c>
    </row>
    <row r="10" customFormat="false" ht="14.25" hidden="false" customHeight="false" outlineLevel="0" collapsed="false">
      <c r="A10" s="17" t="n">
        <v>46023</v>
      </c>
      <c r="C10" s="29" t="n">
        <v>225</v>
      </c>
      <c r="D10" s="30" t="s">
        <v>26</v>
      </c>
      <c r="E10" s="21" t="s">
        <v>19</v>
      </c>
      <c r="G10" s="31"/>
      <c r="I10" s="31"/>
      <c r="R10" s="0" t="n">
        <v>1</v>
      </c>
      <c r="S10" s="0" t="n">
        <v>2026</v>
      </c>
    </row>
    <row r="11" customFormat="false" ht="14.25" hidden="false" customHeight="false" outlineLevel="0" collapsed="false">
      <c r="A11" s="17" t="n">
        <v>46023</v>
      </c>
      <c r="C11" s="29" t="n">
        <v>4550</v>
      </c>
      <c r="D11" s="30" t="s">
        <v>27</v>
      </c>
      <c r="E11" s="21" t="s">
        <v>19</v>
      </c>
      <c r="G11" s="31"/>
      <c r="I11" s="31"/>
      <c r="R11" s="0" t="n">
        <v>1</v>
      </c>
      <c r="S11" s="0" t="n">
        <v>2026</v>
      </c>
    </row>
    <row r="12" customFormat="false" ht="14.25" hidden="false" customHeight="false" outlineLevel="0" collapsed="false">
      <c r="A12" s="17" t="n">
        <v>46023</v>
      </c>
      <c r="C12" s="29" t="n">
        <v>197</v>
      </c>
      <c r="D12" s="30" t="s">
        <v>28</v>
      </c>
      <c r="E12" s="21" t="s">
        <v>19</v>
      </c>
      <c r="G12" s="31"/>
      <c r="I12" s="31"/>
      <c r="R12" s="0" t="n">
        <v>1</v>
      </c>
      <c r="S12" s="0" t="n">
        <v>2026</v>
      </c>
    </row>
    <row r="13" customFormat="false" ht="14.25" hidden="false" customHeight="false" outlineLevel="0" collapsed="false">
      <c r="A13" s="17" t="n">
        <v>46023</v>
      </c>
      <c r="C13" s="29" t="n">
        <v>450</v>
      </c>
      <c r="D13" s="30" t="s">
        <v>29</v>
      </c>
      <c r="E13" s="21" t="s">
        <v>19</v>
      </c>
      <c r="G13" s="31"/>
      <c r="I13" s="31"/>
      <c r="R13" s="0" t="n">
        <v>1</v>
      </c>
      <c r="S13" s="0" t="n">
        <v>2026</v>
      </c>
    </row>
    <row r="14" customFormat="false" ht="14.25" hidden="false" customHeight="false" outlineLevel="0" collapsed="false">
      <c r="A14" s="17" t="n">
        <v>46023</v>
      </c>
      <c r="C14" s="29" t="n">
        <v>917</v>
      </c>
      <c r="D14" s="30" t="s">
        <v>30</v>
      </c>
      <c r="E14" s="21" t="s">
        <v>19</v>
      </c>
      <c r="G14" s="31"/>
      <c r="I14" s="31"/>
      <c r="R14" s="0" t="n">
        <v>1</v>
      </c>
      <c r="S14" s="0" t="n">
        <v>2026</v>
      </c>
    </row>
    <row r="15" customFormat="false" ht="14.25" hidden="false" customHeight="false" outlineLevel="0" collapsed="false">
      <c r="A15" s="32" t="n">
        <v>46023</v>
      </c>
      <c r="B15" s="33" t="s">
        <v>31</v>
      </c>
      <c r="C15" s="34" t="n">
        <v>140</v>
      </c>
      <c r="D15" s="35" t="s">
        <v>32</v>
      </c>
      <c r="E15" s="33" t="s">
        <v>31</v>
      </c>
      <c r="F15" s="36" t="n">
        <v>5519953304682</v>
      </c>
      <c r="G15" s="37" t="s">
        <v>33</v>
      </c>
      <c r="I15" s="31" t="s">
        <v>34</v>
      </c>
      <c r="J15" s="21" t="s">
        <v>35</v>
      </c>
      <c r="K15" s="21" t="s">
        <v>36</v>
      </c>
      <c r="L15" s="21" t="s">
        <v>37</v>
      </c>
      <c r="M15" s="21" t="s">
        <v>38</v>
      </c>
      <c r="R15" s="0" t="n">
        <v>1</v>
      </c>
      <c r="S15" s="0" t="n">
        <v>2026</v>
      </c>
    </row>
    <row r="16" customFormat="false" ht="14.25" hidden="false" customHeight="false" outlineLevel="0" collapsed="false">
      <c r="A16" s="17" t="n">
        <v>46023</v>
      </c>
      <c r="B16" s="21" t="s">
        <v>33</v>
      </c>
      <c r="C16" s="29" t="n">
        <v>90</v>
      </c>
      <c r="D16" s="30" t="s">
        <v>30</v>
      </c>
      <c r="E16" s="21" t="s">
        <v>39</v>
      </c>
      <c r="F16" s="19" t="n">
        <v>556892547445</v>
      </c>
      <c r="G16" s="31" t="s">
        <v>40</v>
      </c>
      <c r="I16" s="31" t="s">
        <v>34</v>
      </c>
      <c r="R16" s="0" t="n">
        <v>1</v>
      </c>
      <c r="S16" s="0" t="n">
        <v>2026</v>
      </c>
    </row>
    <row r="17" customFormat="false" ht="14.25" hidden="false" customHeight="false" outlineLevel="0" collapsed="false">
      <c r="A17" s="17" t="n">
        <v>46023</v>
      </c>
      <c r="B17" s="21" t="s">
        <v>33</v>
      </c>
      <c r="C17" s="29" t="n">
        <v>80</v>
      </c>
      <c r="D17" s="30" t="s">
        <v>16</v>
      </c>
      <c r="E17" s="21" t="s">
        <v>41</v>
      </c>
      <c r="F17" s="19" t="n">
        <v>554195404109</v>
      </c>
      <c r="G17" s="31" t="s">
        <v>42</v>
      </c>
      <c r="I17" s="31" t="s">
        <v>34</v>
      </c>
      <c r="R17" s="0" t="n">
        <v>1</v>
      </c>
      <c r="S17" s="0" t="n">
        <v>2026</v>
      </c>
    </row>
    <row r="18" customFormat="false" ht="14.25" hidden="false" customHeight="false" outlineLevel="0" collapsed="false">
      <c r="A18" s="17" t="n">
        <v>46023</v>
      </c>
      <c r="B18" s="21" t="s">
        <v>43</v>
      </c>
      <c r="C18" s="29" t="n">
        <v>90</v>
      </c>
      <c r="D18" s="30" t="s">
        <v>20</v>
      </c>
      <c r="E18" s="21" t="s">
        <v>44</v>
      </c>
      <c r="F18" s="19" t="n">
        <v>5513996062412</v>
      </c>
      <c r="G18" s="31" t="s">
        <v>45</v>
      </c>
      <c r="I18" s="31" t="s">
        <v>34</v>
      </c>
      <c r="R18" s="0" t="n">
        <v>1</v>
      </c>
      <c r="S18" s="0" t="n">
        <v>2026</v>
      </c>
    </row>
    <row r="19" customFormat="false" ht="14.25" hidden="false" customHeight="false" outlineLevel="0" collapsed="false">
      <c r="A19" s="17" t="n">
        <v>46023</v>
      </c>
      <c r="B19" s="21" t="s">
        <v>46</v>
      </c>
      <c r="C19" s="29" t="n">
        <v>280</v>
      </c>
      <c r="D19" s="30" t="s">
        <v>24</v>
      </c>
      <c r="E19" s="21" t="s">
        <v>46</v>
      </c>
      <c r="F19" s="19" t="n">
        <v>553198470552</v>
      </c>
      <c r="G19" s="31" t="s">
        <v>47</v>
      </c>
      <c r="I19" s="31" t="s">
        <v>34</v>
      </c>
      <c r="R19" s="0" t="n">
        <v>1</v>
      </c>
      <c r="S19" s="0" t="n">
        <v>2026</v>
      </c>
    </row>
    <row r="20" customFormat="false" ht="14.25" hidden="false" customHeight="false" outlineLevel="0" collapsed="false">
      <c r="A20" s="17" t="n">
        <v>46023</v>
      </c>
      <c r="B20" s="21" t="s">
        <v>48</v>
      </c>
      <c r="C20" s="22" t="n">
        <v>150</v>
      </c>
      <c r="D20" s="31" t="s">
        <v>32</v>
      </c>
      <c r="E20" s="21" t="s">
        <v>48</v>
      </c>
      <c r="F20" s="19" t="n">
        <v>555399912728</v>
      </c>
      <c r="G20" s="31" t="s">
        <v>49</v>
      </c>
      <c r="I20" s="31" t="s">
        <v>50</v>
      </c>
      <c r="R20" s="0" t="n">
        <v>1</v>
      </c>
      <c r="S20" s="0" t="n">
        <v>2026</v>
      </c>
    </row>
    <row r="21" customFormat="false" ht="14.25" hidden="false" customHeight="false" outlineLevel="0" collapsed="false">
      <c r="A21" s="17" t="n">
        <v>46023</v>
      </c>
      <c r="B21" s="21" t="s">
        <v>51</v>
      </c>
      <c r="C21" s="22" t="n">
        <v>360</v>
      </c>
      <c r="D21" s="31" t="s">
        <v>16</v>
      </c>
      <c r="E21" s="21" t="s">
        <v>51</v>
      </c>
      <c r="F21" s="19" t="n">
        <v>559684050662</v>
      </c>
      <c r="G21" s="31" t="s">
        <v>52</v>
      </c>
      <c r="I21" s="31" t="s">
        <v>34</v>
      </c>
      <c r="R21" s="0" t="n">
        <v>1</v>
      </c>
      <c r="S21" s="0" t="n">
        <v>2026</v>
      </c>
    </row>
    <row r="22" customFormat="false" ht="14.25" hidden="false" customHeight="false" outlineLevel="0" collapsed="false">
      <c r="A22" s="17" t="n">
        <v>46023</v>
      </c>
      <c r="B22" s="21" t="s">
        <v>53</v>
      </c>
      <c r="C22" s="22" t="n">
        <v>80</v>
      </c>
      <c r="D22" s="31" t="s">
        <v>16</v>
      </c>
      <c r="E22" s="21" t="s">
        <v>53</v>
      </c>
      <c r="F22" s="19" t="n">
        <v>553798577114</v>
      </c>
      <c r="G22" s="31" t="n">
        <v>0</v>
      </c>
      <c r="I22" s="31" t="s">
        <v>54</v>
      </c>
      <c r="R22" s="0" t="n">
        <v>1</v>
      </c>
      <c r="S22" s="0" t="n">
        <v>2026</v>
      </c>
    </row>
    <row r="23" customFormat="false" ht="14.25" hidden="false" customHeight="false" outlineLevel="0" collapsed="false">
      <c r="A23" s="17" t="n">
        <v>46023</v>
      </c>
      <c r="B23" s="21" t="s">
        <v>55</v>
      </c>
      <c r="C23" s="22" t="n">
        <v>420</v>
      </c>
      <c r="D23" s="31" t="s">
        <v>21</v>
      </c>
      <c r="E23" s="21" t="s">
        <v>56</v>
      </c>
      <c r="F23" s="19" t="n">
        <v>5548933813308</v>
      </c>
      <c r="G23" s="31" t="s">
        <v>57</v>
      </c>
      <c r="I23" s="31" t="s">
        <v>50</v>
      </c>
      <c r="R23" s="0" t="n">
        <v>1</v>
      </c>
      <c r="S23" s="0" t="n">
        <v>2026</v>
      </c>
    </row>
    <row r="24" customFormat="false" ht="14.25" hidden="false" customHeight="false" outlineLevel="0" collapsed="false">
      <c r="A24" s="17" t="n">
        <v>46023</v>
      </c>
      <c r="B24" s="21" t="s">
        <v>58</v>
      </c>
      <c r="C24" s="22" t="n">
        <v>97</v>
      </c>
      <c r="D24" s="31" t="s">
        <v>21</v>
      </c>
      <c r="E24" s="21" t="s">
        <v>58</v>
      </c>
      <c r="F24" s="19" t="n">
        <v>554896170510</v>
      </c>
      <c r="G24" s="31" t="s">
        <v>59</v>
      </c>
      <c r="I24" s="31" t="s">
        <v>50</v>
      </c>
      <c r="J24" s="21" t="s">
        <v>60</v>
      </c>
      <c r="K24" s="21" t="s">
        <v>27</v>
      </c>
      <c r="L24" s="21" t="s">
        <v>61</v>
      </c>
      <c r="M24" s="21" t="s">
        <v>62</v>
      </c>
      <c r="R24" s="0" t="n">
        <v>1</v>
      </c>
      <c r="S24" s="0" t="n">
        <v>2026</v>
      </c>
    </row>
    <row r="25" customFormat="false" ht="14.25" hidden="false" customHeight="false" outlineLevel="0" collapsed="false">
      <c r="A25" s="17" t="n">
        <v>46023</v>
      </c>
      <c r="B25" s="21" t="s">
        <v>63</v>
      </c>
      <c r="C25" s="22" t="n">
        <v>150</v>
      </c>
      <c r="D25" s="31" t="s">
        <v>32</v>
      </c>
      <c r="E25" s="21" t="s">
        <v>64</v>
      </c>
      <c r="F25" s="19" t="n">
        <v>559584276647</v>
      </c>
      <c r="G25" s="31" t="s">
        <v>65</v>
      </c>
      <c r="I25" s="31" t="s">
        <v>34</v>
      </c>
      <c r="R25" s="0" t="n">
        <v>1</v>
      </c>
      <c r="S25" s="0" t="n">
        <v>2026</v>
      </c>
    </row>
    <row r="26" customFormat="false" ht="14.25" hidden="false" customHeight="false" outlineLevel="0" collapsed="false">
      <c r="A26" s="17" t="n">
        <v>46023</v>
      </c>
      <c r="B26" s="21" t="s">
        <v>66</v>
      </c>
      <c r="C26" s="22" t="n">
        <v>360</v>
      </c>
      <c r="D26" s="31" t="s">
        <v>21</v>
      </c>
      <c r="E26" s="21" t="s">
        <v>66</v>
      </c>
      <c r="F26" s="19" t="n">
        <v>559591418110</v>
      </c>
      <c r="G26" s="31" t="s">
        <v>67</v>
      </c>
      <c r="I26" s="31" t="s">
        <v>34</v>
      </c>
      <c r="R26" s="0" t="n">
        <v>1</v>
      </c>
      <c r="S26" s="0" t="n">
        <v>2026</v>
      </c>
    </row>
    <row r="27" customFormat="false" ht="14.25" hidden="false" customHeight="false" outlineLevel="0" collapsed="false">
      <c r="A27" s="17" t="n">
        <v>46023</v>
      </c>
      <c r="B27" s="21" t="s">
        <v>43</v>
      </c>
      <c r="C27" s="22" t="n">
        <v>147</v>
      </c>
      <c r="D27" s="31" t="s">
        <v>18</v>
      </c>
      <c r="E27" s="21" t="s">
        <v>68</v>
      </c>
      <c r="F27" s="19" t="n">
        <v>559684194434</v>
      </c>
      <c r="G27" s="31" t="s">
        <v>43</v>
      </c>
      <c r="I27" s="31" t="s">
        <v>50</v>
      </c>
      <c r="J27" s="21" t="s">
        <v>35</v>
      </c>
      <c r="K27" s="21" t="s">
        <v>69</v>
      </c>
      <c r="L27" s="21" t="s">
        <v>70</v>
      </c>
      <c r="M27" s="21" t="s">
        <v>38</v>
      </c>
      <c r="R27" s="0" t="n">
        <v>1</v>
      </c>
      <c r="S27" s="0" t="n">
        <v>2026</v>
      </c>
    </row>
    <row r="28" customFormat="false" ht="14.25" hidden="false" customHeight="false" outlineLevel="0" collapsed="false">
      <c r="A28" s="17" t="n">
        <v>46023</v>
      </c>
      <c r="B28" s="21" t="s">
        <v>71</v>
      </c>
      <c r="C28" s="22" t="n">
        <v>90</v>
      </c>
      <c r="D28" s="31" t="s">
        <v>20</v>
      </c>
      <c r="E28" s="21" t="s">
        <v>72</v>
      </c>
      <c r="F28" s="19" t="n">
        <v>559584286486</v>
      </c>
      <c r="G28" s="31" t="s">
        <v>33</v>
      </c>
      <c r="I28" s="31" t="s">
        <v>34</v>
      </c>
      <c r="R28" s="0" t="n">
        <v>1</v>
      </c>
      <c r="S28" s="0" t="n">
        <v>2026</v>
      </c>
    </row>
    <row r="29" customFormat="false" ht="14.25" hidden="false" customHeight="false" outlineLevel="0" collapsed="false">
      <c r="A29" s="17" t="n">
        <v>46023</v>
      </c>
      <c r="B29" s="21" t="s">
        <v>73</v>
      </c>
      <c r="C29" s="22" t="n">
        <v>80</v>
      </c>
      <c r="D29" s="31" t="s">
        <v>16</v>
      </c>
      <c r="E29" s="21" t="s">
        <v>73</v>
      </c>
      <c r="F29" s="19" t="n">
        <v>5548991237049</v>
      </c>
      <c r="G29" s="31" t="s">
        <v>74</v>
      </c>
      <c r="I29" s="31" t="s">
        <v>34</v>
      </c>
      <c r="J29" s="21" t="s">
        <v>75</v>
      </c>
      <c r="K29" s="21" t="s">
        <v>76</v>
      </c>
      <c r="M29" s="21" t="s">
        <v>77</v>
      </c>
      <c r="R29" s="0" t="n">
        <v>1</v>
      </c>
      <c r="S29" s="0" t="n">
        <v>2026</v>
      </c>
    </row>
    <row r="30" customFormat="false" ht="14.25" hidden="false" customHeight="false" outlineLevel="0" collapsed="false">
      <c r="A30" s="17" t="n">
        <v>46023</v>
      </c>
      <c r="B30" s="21" t="s">
        <v>78</v>
      </c>
      <c r="C30" s="22" t="n">
        <v>600</v>
      </c>
      <c r="D30" s="31" t="s">
        <v>24</v>
      </c>
      <c r="E30" s="21" t="s">
        <v>79</v>
      </c>
      <c r="F30" s="19" t="n">
        <v>554197035604</v>
      </c>
      <c r="G30" s="31" t="s">
        <v>80</v>
      </c>
      <c r="I30" s="31" t="s">
        <v>54</v>
      </c>
      <c r="R30" s="0" t="n">
        <v>1</v>
      </c>
      <c r="S30" s="0" t="n">
        <v>2026</v>
      </c>
    </row>
    <row r="31" customFormat="false" ht="14.25" hidden="false" customHeight="false" outlineLevel="0" collapsed="false">
      <c r="A31" s="17" t="n">
        <v>46023</v>
      </c>
      <c r="B31" s="21" t="s">
        <v>43</v>
      </c>
      <c r="C31" s="22" t="n">
        <v>150</v>
      </c>
      <c r="D31" s="31" t="s">
        <v>32</v>
      </c>
      <c r="E31" s="21" t="s">
        <v>81</v>
      </c>
      <c r="F31" s="19" t="n">
        <v>554195022066</v>
      </c>
      <c r="G31" s="31" t="s">
        <v>43</v>
      </c>
      <c r="I31" s="31" t="s">
        <v>50</v>
      </c>
      <c r="R31" s="0" t="n">
        <v>1</v>
      </c>
      <c r="S31" s="0" t="n">
        <v>2026</v>
      </c>
    </row>
    <row r="32" customFormat="false" ht="14.25" hidden="false" customHeight="false" outlineLevel="0" collapsed="false">
      <c r="A32" s="17" t="n">
        <v>46023</v>
      </c>
      <c r="B32" s="21" t="s">
        <v>43</v>
      </c>
      <c r="C32" s="22" t="n">
        <v>150</v>
      </c>
      <c r="D32" s="31" t="s">
        <v>32</v>
      </c>
      <c r="E32" s="21" t="s">
        <v>82</v>
      </c>
      <c r="F32" s="19" t="n">
        <v>554591148411</v>
      </c>
      <c r="G32" s="31" t="s">
        <v>43</v>
      </c>
      <c r="I32" s="31" t="s">
        <v>50</v>
      </c>
      <c r="R32" s="0" t="n">
        <v>1</v>
      </c>
      <c r="S32" s="0" t="n">
        <v>2026</v>
      </c>
    </row>
    <row r="33" customFormat="false" ht="14.25" hidden="false" customHeight="false" outlineLevel="0" collapsed="false">
      <c r="A33" s="17" t="n">
        <v>46023</v>
      </c>
      <c r="B33" s="21" t="s">
        <v>83</v>
      </c>
      <c r="C33" s="22" t="n">
        <v>150</v>
      </c>
      <c r="D33" s="31" t="s">
        <v>29</v>
      </c>
      <c r="E33" s="21" t="s">
        <v>83</v>
      </c>
      <c r="F33" s="19" t="n">
        <v>554591090864</v>
      </c>
      <c r="G33" s="31" t="s">
        <v>84</v>
      </c>
      <c r="I33" s="31" t="s">
        <v>54</v>
      </c>
      <c r="R33" s="0" t="n">
        <v>1</v>
      </c>
      <c r="S33" s="0" t="n">
        <v>2026</v>
      </c>
    </row>
    <row r="34" customFormat="false" ht="14.25" hidden="false" customHeight="false" outlineLevel="0" collapsed="false">
      <c r="A34" s="17" t="n">
        <v>46023</v>
      </c>
      <c r="B34" s="21" t="s">
        <v>85</v>
      </c>
      <c r="C34" s="22" t="n">
        <v>80</v>
      </c>
      <c r="D34" s="31" t="s">
        <v>16</v>
      </c>
      <c r="E34" s="21" t="s">
        <v>86</v>
      </c>
      <c r="F34" s="19" t="n">
        <v>5353274916</v>
      </c>
      <c r="G34" s="31" t="s">
        <v>87</v>
      </c>
      <c r="I34" s="31" t="s">
        <v>50</v>
      </c>
      <c r="R34" s="0" t="n">
        <v>1</v>
      </c>
      <c r="S34" s="0" t="n">
        <v>2026</v>
      </c>
    </row>
    <row r="35" customFormat="false" ht="14.25" hidden="false" customHeight="false" outlineLevel="0" collapsed="false">
      <c r="A35" s="17" t="n">
        <v>46023</v>
      </c>
      <c r="B35" s="21" t="s">
        <v>88</v>
      </c>
      <c r="C35" s="22" t="n">
        <v>140</v>
      </c>
      <c r="D35" s="31" t="s">
        <v>32</v>
      </c>
      <c r="E35" s="21" t="s">
        <v>88</v>
      </c>
      <c r="F35" s="19" t="n">
        <v>5511920484500</v>
      </c>
      <c r="G35" s="31" t="s">
        <v>43</v>
      </c>
      <c r="I35" s="31" t="s">
        <v>50</v>
      </c>
      <c r="R35" s="0" t="n">
        <v>1</v>
      </c>
      <c r="S35" s="0" t="n">
        <v>2026</v>
      </c>
    </row>
    <row r="36" customFormat="false" ht="14.25" hidden="false" customHeight="false" outlineLevel="0" collapsed="false">
      <c r="A36" s="17" t="n">
        <v>46023</v>
      </c>
      <c r="B36" s="21" t="s">
        <v>89</v>
      </c>
      <c r="C36" s="22" t="n">
        <v>300</v>
      </c>
      <c r="D36" s="31" t="s">
        <v>21</v>
      </c>
      <c r="E36" s="21" t="s">
        <v>90</v>
      </c>
      <c r="F36" s="19" t="n">
        <v>554891410061</v>
      </c>
      <c r="G36" s="31" t="s">
        <v>91</v>
      </c>
      <c r="I36" s="31" t="s">
        <v>34</v>
      </c>
      <c r="R36" s="0" t="n">
        <v>1</v>
      </c>
      <c r="S36" s="0" t="n">
        <v>2026</v>
      </c>
    </row>
    <row r="37" customFormat="false" ht="14.25" hidden="false" customHeight="false" outlineLevel="0" collapsed="false">
      <c r="A37" s="17" t="n">
        <v>46023</v>
      </c>
      <c r="B37" s="21" t="s">
        <v>92</v>
      </c>
      <c r="C37" s="22" t="n">
        <v>294</v>
      </c>
      <c r="D37" s="31" t="s">
        <v>18</v>
      </c>
      <c r="E37" s="21" t="s">
        <v>92</v>
      </c>
      <c r="F37" s="19" t="n">
        <v>559581218465</v>
      </c>
      <c r="G37" s="31" t="s">
        <v>93</v>
      </c>
      <c r="H37" s="21" t="s">
        <v>94</v>
      </c>
      <c r="I37" s="31" t="s">
        <v>54</v>
      </c>
      <c r="R37" s="0" t="n">
        <v>1</v>
      </c>
      <c r="S37" s="0" t="n">
        <v>2026</v>
      </c>
    </row>
    <row r="38" customFormat="false" ht="14.25" hidden="false" customHeight="false" outlineLevel="0" collapsed="false">
      <c r="A38" s="17" t="n">
        <v>46023</v>
      </c>
      <c r="B38" s="21" t="s">
        <v>95</v>
      </c>
      <c r="C38" s="22" t="n">
        <v>180</v>
      </c>
      <c r="D38" s="31" t="s">
        <v>20</v>
      </c>
      <c r="E38" s="21" t="s">
        <v>95</v>
      </c>
      <c r="F38" s="19" t="n">
        <v>554797595855</v>
      </c>
      <c r="G38" s="31" t="s">
        <v>96</v>
      </c>
      <c r="I38" s="31" t="s">
        <v>50</v>
      </c>
      <c r="J38" s="21" t="s">
        <v>97</v>
      </c>
      <c r="K38" s="21" t="s">
        <v>20</v>
      </c>
      <c r="L38" s="21" t="s">
        <v>98</v>
      </c>
      <c r="M38" s="21" t="s">
        <v>99</v>
      </c>
      <c r="R38" s="0" t="n">
        <v>1</v>
      </c>
      <c r="S38" s="0" t="n">
        <v>2026</v>
      </c>
    </row>
    <row r="39" customFormat="false" ht="14.25" hidden="false" customHeight="false" outlineLevel="0" collapsed="false">
      <c r="A39" s="17" t="n">
        <v>46023</v>
      </c>
      <c r="B39" s="21" t="s">
        <v>100</v>
      </c>
      <c r="C39" s="22" t="n">
        <v>491</v>
      </c>
      <c r="D39" s="31" t="s">
        <v>22</v>
      </c>
      <c r="E39" s="21" t="s">
        <v>100</v>
      </c>
      <c r="F39" s="19" t="n">
        <v>554184654238</v>
      </c>
      <c r="G39" s="31" t="s">
        <v>101</v>
      </c>
      <c r="I39" s="31" t="s">
        <v>50</v>
      </c>
      <c r="R39" s="0" t="n">
        <v>1</v>
      </c>
      <c r="S39" s="0" t="n">
        <v>2026</v>
      </c>
    </row>
    <row r="40" customFormat="false" ht="14.25" hidden="false" customHeight="false" outlineLevel="0" collapsed="false">
      <c r="A40" s="17" t="n">
        <v>46023</v>
      </c>
      <c r="B40" s="21" t="s">
        <v>43</v>
      </c>
      <c r="C40" s="22" t="n">
        <v>180</v>
      </c>
      <c r="D40" s="31" t="s">
        <v>26</v>
      </c>
      <c r="E40" s="21" t="s">
        <v>102</v>
      </c>
      <c r="F40" s="19" t="n">
        <v>5511962142161</v>
      </c>
      <c r="G40" s="31" t="s">
        <v>103</v>
      </c>
      <c r="I40" s="31" t="s">
        <v>54</v>
      </c>
      <c r="R40" s="0" t="n">
        <v>1</v>
      </c>
      <c r="S40" s="0" t="n">
        <v>2026</v>
      </c>
    </row>
    <row r="41" customFormat="false" ht="14.25" hidden="false" customHeight="false" outlineLevel="0" collapsed="false">
      <c r="A41" s="17" t="n">
        <v>46023</v>
      </c>
      <c r="B41" s="21" t="s">
        <v>43</v>
      </c>
      <c r="C41" s="22"/>
      <c r="D41" s="31" t="s">
        <v>27</v>
      </c>
      <c r="E41" s="21" t="s">
        <v>104</v>
      </c>
      <c r="F41" s="19" t="n">
        <v>554888124202</v>
      </c>
      <c r="G41" s="31" t="s">
        <v>43</v>
      </c>
      <c r="I41" s="31" t="s">
        <v>50</v>
      </c>
      <c r="J41" s="21" t="s">
        <v>35</v>
      </c>
      <c r="K41" s="21" t="s">
        <v>36</v>
      </c>
      <c r="L41" s="21" t="s">
        <v>37</v>
      </c>
      <c r="M41" s="21" t="s">
        <v>38</v>
      </c>
      <c r="R41" s="0" t="n">
        <v>1</v>
      </c>
      <c r="S41" s="0" t="n">
        <v>2026</v>
      </c>
    </row>
    <row r="42" customFormat="false" ht="14.25" hidden="false" customHeight="false" outlineLevel="0" collapsed="false">
      <c r="A42" s="17" t="n">
        <v>46023</v>
      </c>
      <c r="B42" s="21" t="s">
        <v>105</v>
      </c>
      <c r="C42" s="22" t="n">
        <v>500</v>
      </c>
      <c r="D42" s="31" t="s">
        <v>106</v>
      </c>
      <c r="E42" s="21" t="s">
        <v>105</v>
      </c>
      <c r="F42" s="19" t="n">
        <v>5358746935</v>
      </c>
      <c r="G42" s="31" t="s">
        <v>43</v>
      </c>
      <c r="I42" s="31" t="s">
        <v>54</v>
      </c>
      <c r="J42" s="21" t="s">
        <v>107</v>
      </c>
      <c r="M42" s="21" t="s">
        <v>108</v>
      </c>
      <c r="R42" s="0" t="n">
        <v>1</v>
      </c>
      <c r="S42" s="0" t="n">
        <v>2026</v>
      </c>
    </row>
    <row r="43" customFormat="false" ht="14.25" hidden="false" customHeight="false" outlineLevel="0" collapsed="false">
      <c r="A43" s="17" t="n">
        <v>46023</v>
      </c>
      <c r="B43" s="21" t="s">
        <v>109</v>
      </c>
      <c r="C43" s="22" t="n">
        <v>90</v>
      </c>
      <c r="D43" s="31" t="s">
        <v>20</v>
      </c>
      <c r="E43" s="21" t="s">
        <v>109</v>
      </c>
      <c r="F43" s="19" t="n">
        <v>559584374439</v>
      </c>
      <c r="G43" s="31" t="s">
        <v>110</v>
      </c>
      <c r="I43" s="31" t="s">
        <v>34</v>
      </c>
      <c r="R43" s="0" t="n">
        <v>1</v>
      </c>
      <c r="S43" s="0" t="n">
        <v>2026</v>
      </c>
    </row>
    <row r="44" customFormat="false" ht="14.25" hidden="false" customHeight="false" outlineLevel="0" collapsed="false">
      <c r="A44" s="17" t="n">
        <v>46023</v>
      </c>
      <c r="B44" s="21" t="s">
        <v>111</v>
      </c>
      <c r="C44" s="22" t="n">
        <v>80</v>
      </c>
      <c r="D44" s="31" t="s">
        <v>20</v>
      </c>
      <c r="E44" s="21" t="s">
        <v>111</v>
      </c>
      <c r="F44" s="19" t="n">
        <v>554199701770</v>
      </c>
      <c r="G44" s="31" t="s">
        <v>112</v>
      </c>
      <c r="I44" s="31" t="s">
        <v>50</v>
      </c>
      <c r="R44" s="0" t="n">
        <v>1</v>
      </c>
      <c r="S44" s="0" t="n">
        <v>2026</v>
      </c>
    </row>
    <row r="45" customFormat="false" ht="14.25" hidden="false" customHeight="false" outlineLevel="0" collapsed="false">
      <c r="A45" s="17" t="n">
        <v>46023</v>
      </c>
      <c r="B45" s="21" t="s">
        <v>43</v>
      </c>
      <c r="C45" s="22" t="n">
        <v>120</v>
      </c>
      <c r="D45" s="31" t="s">
        <v>21</v>
      </c>
      <c r="E45" s="21" t="s">
        <v>113</v>
      </c>
      <c r="F45" s="19" t="n">
        <v>554999696825</v>
      </c>
      <c r="G45" s="31" t="s">
        <v>43</v>
      </c>
      <c r="I45" s="31" t="s">
        <v>50</v>
      </c>
      <c r="R45" s="0" t="n">
        <v>1</v>
      </c>
      <c r="S45" s="0" t="n">
        <v>2026</v>
      </c>
    </row>
    <row r="46" customFormat="false" ht="14.25" hidden="false" customHeight="false" outlineLevel="0" collapsed="false">
      <c r="A46" s="17" t="n">
        <v>46023</v>
      </c>
      <c r="B46" s="21" t="s">
        <v>33</v>
      </c>
      <c r="C46" s="22" t="n">
        <v>180</v>
      </c>
      <c r="D46" s="31" t="s">
        <v>30</v>
      </c>
      <c r="E46" s="21" t="s">
        <v>114</v>
      </c>
      <c r="F46" s="19" t="n">
        <v>559584280929</v>
      </c>
      <c r="G46" s="31" t="s">
        <v>115</v>
      </c>
      <c r="I46" s="31" t="s">
        <v>34</v>
      </c>
      <c r="R46" s="0" t="n">
        <v>1</v>
      </c>
      <c r="S46" s="0" t="n">
        <v>2026</v>
      </c>
    </row>
    <row r="47" customFormat="false" ht="14.25" hidden="false" customHeight="false" outlineLevel="0" collapsed="false">
      <c r="A47" s="17" t="n">
        <v>46023</v>
      </c>
      <c r="B47" s="21" t="s">
        <v>116</v>
      </c>
      <c r="C47" s="22" t="n">
        <v>485</v>
      </c>
      <c r="D47" s="31" t="s">
        <v>30</v>
      </c>
      <c r="E47" s="21" t="s">
        <v>117</v>
      </c>
      <c r="F47" s="19" t="n">
        <v>5511945187117</v>
      </c>
      <c r="G47" s="31" t="s">
        <v>118</v>
      </c>
      <c r="I47" s="31" t="s">
        <v>34</v>
      </c>
      <c r="R47" s="0" t="n">
        <v>1</v>
      </c>
      <c r="S47" s="0" t="n">
        <v>2026</v>
      </c>
    </row>
    <row r="48" customFormat="false" ht="14.25" hidden="false" customHeight="false" outlineLevel="0" collapsed="false">
      <c r="A48" s="17" t="n">
        <v>46023</v>
      </c>
      <c r="B48" s="21" t="s">
        <v>119</v>
      </c>
      <c r="C48" s="22" t="n">
        <v>90</v>
      </c>
      <c r="D48" s="31" t="s">
        <v>16</v>
      </c>
      <c r="E48" s="21" t="s">
        <v>119</v>
      </c>
      <c r="F48" s="19" t="n">
        <v>5595984143873</v>
      </c>
      <c r="G48" s="31" t="s">
        <v>120</v>
      </c>
      <c r="I48" s="31" t="s">
        <v>34</v>
      </c>
      <c r="R48" s="0" t="n">
        <v>1</v>
      </c>
      <c r="S48" s="0" t="n">
        <v>2026</v>
      </c>
    </row>
    <row r="49" customFormat="false" ht="14.25" hidden="false" customHeight="false" outlineLevel="0" collapsed="false">
      <c r="A49" s="17" t="n">
        <v>46023</v>
      </c>
      <c r="B49" s="21" t="s">
        <v>121</v>
      </c>
      <c r="C49" s="22" t="n">
        <v>90</v>
      </c>
      <c r="D49" s="31" t="s">
        <v>30</v>
      </c>
      <c r="E49" s="21" t="s">
        <v>121</v>
      </c>
      <c r="F49" s="19" t="n">
        <v>5511920569001</v>
      </c>
      <c r="G49" s="31" t="s">
        <v>122</v>
      </c>
      <c r="I49" s="31" t="s">
        <v>54</v>
      </c>
      <c r="R49" s="0" t="n">
        <v>1</v>
      </c>
      <c r="S49" s="0" t="n">
        <v>2026</v>
      </c>
    </row>
    <row r="50" customFormat="false" ht="14.25" hidden="false" customHeight="false" outlineLevel="0" collapsed="false">
      <c r="A50" s="17" t="n">
        <v>46023</v>
      </c>
      <c r="B50" s="21" t="s">
        <v>123</v>
      </c>
      <c r="C50" s="22" t="n">
        <v>300</v>
      </c>
      <c r="D50" s="31" t="s">
        <v>24</v>
      </c>
      <c r="E50" s="21" t="s">
        <v>123</v>
      </c>
      <c r="F50" s="19" t="n">
        <v>5511915444004</v>
      </c>
      <c r="G50" s="31" t="s">
        <v>124</v>
      </c>
      <c r="I50" s="31" t="s">
        <v>50</v>
      </c>
      <c r="R50" s="0" t="n">
        <v>1</v>
      </c>
      <c r="S50" s="0" t="n">
        <v>2026</v>
      </c>
    </row>
    <row r="51" customFormat="false" ht="14.25" hidden="false" customHeight="false" outlineLevel="0" collapsed="false">
      <c r="A51" s="17" t="n">
        <v>46023</v>
      </c>
      <c r="B51" s="21" t="s">
        <v>125</v>
      </c>
      <c r="C51" s="22" t="n">
        <v>180</v>
      </c>
      <c r="D51" s="31" t="s">
        <v>16</v>
      </c>
      <c r="E51" s="21" t="s">
        <v>125</v>
      </c>
      <c r="F51" s="19" t="n">
        <v>558699496132</v>
      </c>
      <c r="G51" s="31" t="s">
        <v>126</v>
      </c>
      <c r="I51" s="31" t="s">
        <v>34</v>
      </c>
      <c r="R51" s="0" t="n">
        <v>1</v>
      </c>
      <c r="S51" s="0" t="n">
        <v>2026</v>
      </c>
    </row>
    <row r="52" customFormat="false" ht="14.25" hidden="false" customHeight="false" outlineLevel="0" collapsed="false">
      <c r="A52" s="17" t="n">
        <v>46023</v>
      </c>
      <c r="B52" s="21" t="s">
        <v>127</v>
      </c>
      <c r="C52" s="22" t="n">
        <v>90</v>
      </c>
      <c r="D52" s="31" t="s">
        <v>20</v>
      </c>
      <c r="E52" s="21" t="s">
        <v>127</v>
      </c>
      <c r="F52" s="19" t="n">
        <v>557499429575</v>
      </c>
      <c r="G52" s="31" t="s">
        <v>128</v>
      </c>
      <c r="I52" s="31" t="s">
        <v>50</v>
      </c>
      <c r="R52" s="0" t="n">
        <v>1</v>
      </c>
      <c r="S52" s="0" t="n">
        <v>2026</v>
      </c>
    </row>
    <row r="53" customFormat="false" ht="14.25" hidden="false" customHeight="false" outlineLevel="0" collapsed="false">
      <c r="A53" s="17" t="n">
        <v>46023</v>
      </c>
      <c r="B53" s="21" t="s">
        <v>129</v>
      </c>
      <c r="C53" s="22" t="n">
        <v>150</v>
      </c>
      <c r="D53" s="31" t="s">
        <v>32</v>
      </c>
      <c r="E53" s="21" t="s">
        <v>129</v>
      </c>
      <c r="F53" s="19" t="n">
        <v>554199713028</v>
      </c>
      <c r="G53" s="31" t="s">
        <v>43</v>
      </c>
      <c r="I53" s="31" t="s">
        <v>50</v>
      </c>
      <c r="R53" s="0" t="n">
        <v>1</v>
      </c>
      <c r="S53" s="0" t="n">
        <v>2026</v>
      </c>
    </row>
    <row r="54" customFormat="false" ht="14.25" hidden="false" customHeight="false" outlineLevel="0" collapsed="false">
      <c r="A54" s="17" t="n">
        <v>46023</v>
      </c>
      <c r="B54" s="21" t="s">
        <v>130</v>
      </c>
      <c r="C54" s="22" t="n">
        <v>147</v>
      </c>
      <c r="D54" s="31" t="s">
        <v>22</v>
      </c>
      <c r="E54" s="21" t="s">
        <v>130</v>
      </c>
      <c r="F54" s="19" t="n">
        <v>5519998932978</v>
      </c>
      <c r="G54" s="31" t="s">
        <v>131</v>
      </c>
      <c r="I54" s="31" t="s">
        <v>50</v>
      </c>
      <c r="R54" s="0" t="n">
        <v>1</v>
      </c>
      <c r="S54" s="0" t="n">
        <v>2026</v>
      </c>
    </row>
    <row r="55" customFormat="false" ht="14.25" hidden="false" customHeight="false" outlineLevel="0" collapsed="false">
      <c r="A55" s="17" t="n">
        <v>46023</v>
      </c>
      <c r="C55" s="22" t="n">
        <v>80</v>
      </c>
      <c r="D55" s="31" t="s">
        <v>20</v>
      </c>
      <c r="E55" s="21" t="s">
        <v>132</v>
      </c>
      <c r="F55" s="19" t="n">
        <v>559591119749</v>
      </c>
      <c r="G55" s="31" t="s">
        <v>133</v>
      </c>
      <c r="I55" s="31" t="s">
        <v>34</v>
      </c>
      <c r="R55" s="0" t="n">
        <v>1</v>
      </c>
      <c r="S55" s="0" t="n">
        <v>2026</v>
      </c>
    </row>
    <row r="56" customFormat="false" ht="14.25" hidden="false" customHeight="false" outlineLevel="0" collapsed="false">
      <c r="A56" s="17" t="n">
        <v>46023</v>
      </c>
      <c r="B56" s="21" t="s">
        <v>134</v>
      </c>
      <c r="C56" s="22" t="n">
        <v>150</v>
      </c>
      <c r="D56" s="31" t="s">
        <v>30</v>
      </c>
      <c r="E56" s="21" t="s">
        <v>135</v>
      </c>
      <c r="F56" s="19" t="n">
        <v>554184708349</v>
      </c>
      <c r="G56" s="31" t="s">
        <v>136</v>
      </c>
      <c r="H56" s="21" t="s">
        <v>94</v>
      </c>
      <c r="I56" s="31" t="s">
        <v>50</v>
      </c>
      <c r="R56" s="0" t="n">
        <v>1</v>
      </c>
      <c r="S56" s="0" t="n">
        <v>2026</v>
      </c>
    </row>
    <row r="57" customFormat="false" ht="14.25" hidden="false" customHeight="false" outlineLevel="0" collapsed="false">
      <c r="A57" s="17" t="n">
        <v>46023</v>
      </c>
      <c r="B57" s="21" t="s">
        <v>137</v>
      </c>
      <c r="C57" s="22" t="n">
        <v>194</v>
      </c>
      <c r="D57" s="31" t="s">
        <v>30</v>
      </c>
      <c r="E57" s="21" t="s">
        <v>137</v>
      </c>
      <c r="F57" s="19" t="n">
        <v>555499481372</v>
      </c>
      <c r="G57" s="31" t="s">
        <v>138</v>
      </c>
      <c r="I57" s="31" t="s">
        <v>34</v>
      </c>
      <c r="R57" s="0" t="n">
        <v>1</v>
      </c>
      <c r="S57" s="0" t="n">
        <v>2026</v>
      </c>
    </row>
    <row r="58" customFormat="false" ht="14.25" hidden="false" customHeight="false" outlineLevel="0" collapsed="false">
      <c r="A58" s="17" t="n">
        <v>46023</v>
      </c>
      <c r="B58" s="21" t="s">
        <v>43</v>
      </c>
      <c r="C58" s="22" t="n">
        <v>60</v>
      </c>
      <c r="D58" s="31" t="s">
        <v>25</v>
      </c>
      <c r="E58" s="21" t="s">
        <v>139</v>
      </c>
      <c r="F58" s="19" t="n">
        <v>557996814334</v>
      </c>
      <c r="G58" s="31" t="s">
        <v>43</v>
      </c>
      <c r="I58" s="31" t="s">
        <v>50</v>
      </c>
      <c r="R58" s="0" t="n">
        <v>1</v>
      </c>
      <c r="S58" s="0" t="n">
        <v>2026</v>
      </c>
    </row>
    <row r="59" customFormat="false" ht="14.25" hidden="false" customHeight="false" outlineLevel="0" collapsed="false">
      <c r="A59" s="17" t="n">
        <v>46023</v>
      </c>
      <c r="B59" s="21" t="s">
        <v>140</v>
      </c>
      <c r="C59" s="22" t="n">
        <v>150</v>
      </c>
      <c r="D59" s="31" t="s">
        <v>32</v>
      </c>
      <c r="E59" s="21" t="s">
        <v>141</v>
      </c>
      <c r="F59" s="19" t="n">
        <v>5512997624936</v>
      </c>
      <c r="G59" s="31" t="s">
        <v>142</v>
      </c>
      <c r="I59" s="31" t="s">
        <v>54</v>
      </c>
      <c r="R59" s="0" t="n">
        <v>1</v>
      </c>
      <c r="S59" s="0" t="n">
        <v>2026</v>
      </c>
    </row>
    <row r="60" customFormat="false" ht="14.25" hidden="false" customHeight="false" outlineLevel="0" collapsed="false">
      <c r="A60" s="17" t="n">
        <v>46023</v>
      </c>
      <c r="B60" s="21" t="s">
        <v>143</v>
      </c>
      <c r="C60" s="22" t="n">
        <v>250</v>
      </c>
      <c r="D60" s="31" t="s">
        <v>106</v>
      </c>
      <c r="E60" s="21" t="s">
        <v>143</v>
      </c>
      <c r="F60" s="19" t="n">
        <v>5519989668621</v>
      </c>
      <c r="G60" s="31" t="s">
        <v>144</v>
      </c>
      <c r="I60" s="31" t="s">
        <v>50</v>
      </c>
      <c r="R60" s="0" t="n">
        <v>1</v>
      </c>
      <c r="S60" s="0" t="n">
        <v>2026</v>
      </c>
    </row>
    <row r="61" customFormat="false" ht="14.25" hidden="false" customHeight="false" outlineLevel="0" collapsed="false">
      <c r="A61" s="17" t="n">
        <v>46023</v>
      </c>
      <c r="B61" s="21" t="s">
        <v>145</v>
      </c>
      <c r="C61" s="22" t="n">
        <v>80</v>
      </c>
      <c r="D61" s="31" t="s">
        <v>20</v>
      </c>
      <c r="E61" s="21" t="s">
        <v>145</v>
      </c>
      <c r="F61" s="19" t="n">
        <v>559591119749</v>
      </c>
      <c r="G61" s="31" t="s">
        <v>133</v>
      </c>
      <c r="I61" s="31" t="s">
        <v>34</v>
      </c>
      <c r="R61" s="0" t="n">
        <v>1</v>
      </c>
      <c r="S61" s="0" t="n">
        <v>2026</v>
      </c>
    </row>
    <row r="62" customFormat="false" ht="14.25" hidden="false" customHeight="false" outlineLevel="0" collapsed="false">
      <c r="A62" s="17" t="n">
        <v>46023</v>
      </c>
      <c r="B62" s="21" t="s">
        <v>146</v>
      </c>
      <c r="C62" s="22" t="n">
        <v>80</v>
      </c>
      <c r="D62" s="31" t="s">
        <v>16</v>
      </c>
      <c r="E62" s="21" t="s">
        <v>147</v>
      </c>
      <c r="F62" s="19" t="n">
        <v>5511958059266</v>
      </c>
      <c r="G62" s="31" t="s">
        <v>148</v>
      </c>
      <c r="I62" s="31" t="s">
        <v>149</v>
      </c>
      <c r="R62" s="0" t="n">
        <v>1</v>
      </c>
      <c r="S62" s="0" t="n">
        <v>2026</v>
      </c>
    </row>
    <row r="63" customFormat="false" ht="14.25" hidden="false" customHeight="false" outlineLevel="0" collapsed="false">
      <c r="A63" s="17" t="n">
        <v>46023</v>
      </c>
      <c r="B63" s="21" t="s">
        <v>150</v>
      </c>
      <c r="C63" s="22" t="n">
        <v>80</v>
      </c>
      <c r="D63" s="31" t="s">
        <v>20</v>
      </c>
      <c r="E63" s="21" t="s">
        <v>150</v>
      </c>
      <c r="F63" s="19" t="n">
        <v>5513996062412</v>
      </c>
      <c r="G63" s="31" t="s">
        <v>45</v>
      </c>
      <c r="I63" s="31" t="s">
        <v>34</v>
      </c>
      <c r="R63" s="0" t="n">
        <v>1</v>
      </c>
      <c r="S63" s="0" t="n">
        <v>2026</v>
      </c>
    </row>
    <row r="64" customFormat="false" ht="14.25" hidden="false" customHeight="false" outlineLevel="0" collapsed="false">
      <c r="A64" s="17" t="n">
        <v>46023</v>
      </c>
      <c r="B64" s="21" t="s">
        <v>151</v>
      </c>
      <c r="C64" s="22" t="n">
        <v>320</v>
      </c>
      <c r="D64" s="31" t="s">
        <v>16</v>
      </c>
      <c r="E64" s="21" t="s">
        <v>152</v>
      </c>
      <c r="F64" s="19" t="n">
        <v>5358849134</v>
      </c>
      <c r="G64" s="31" t="s">
        <v>33</v>
      </c>
      <c r="I64" s="31" t="s">
        <v>34</v>
      </c>
      <c r="R64" s="0" t="n">
        <v>1</v>
      </c>
      <c r="S64" s="0" t="n">
        <v>2026</v>
      </c>
    </row>
    <row r="65" customFormat="false" ht="14.25" hidden="false" customHeight="false" outlineLevel="0" collapsed="false">
      <c r="A65" s="17" t="n">
        <v>46023</v>
      </c>
      <c r="C65" s="22" t="n">
        <v>1000</v>
      </c>
      <c r="D65" s="31" t="s">
        <v>106</v>
      </c>
      <c r="E65" s="21" t="s">
        <v>105</v>
      </c>
      <c r="F65" s="19" t="n">
        <v>5358746935</v>
      </c>
      <c r="G65" s="31" t="s">
        <v>153</v>
      </c>
      <c r="I65" s="31"/>
      <c r="R65" s="0" t="n">
        <v>1</v>
      </c>
      <c r="S65" s="0" t="n">
        <v>2026</v>
      </c>
    </row>
    <row r="66" customFormat="false" ht="14.25" hidden="false" customHeight="false" outlineLevel="0" collapsed="false">
      <c r="A66" s="17" t="n">
        <v>46023</v>
      </c>
      <c r="B66" s="21" t="s">
        <v>43</v>
      </c>
      <c r="C66" s="22" t="n">
        <v>180</v>
      </c>
      <c r="D66" s="31" t="s">
        <v>26</v>
      </c>
      <c r="E66" s="21" t="s">
        <v>102</v>
      </c>
      <c r="F66" s="19" t="n">
        <v>5511962142161</v>
      </c>
      <c r="G66" s="31" t="s">
        <v>103</v>
      </c>
      <c r="I66" s="31" t="s">
        <v>54</v>
      </c>
      <c r="R66" s="0" t="n">
        <v>1</v>
      </c>
      <c r="S66" s="0" t="n">
        <v>2026</v>
      </c>
    </row>
    <row r="67" customFormat="false" ht="14.25" hidden="false" customHeight="false" outlineLevel="0" collapsed="false">
      <c r="A67" s="17" t="n">
        <v>46023</v>
      </c>
      <c r="C67" s="22" t="n">
        <v>284.51</v>
      </c>
      <c r="D67" s="31" t="s">
        <v>20</v>
      </c>
      <c r="E67" s="21" t="s">
        <v>154</v>
      </c>
      <c r="F67" s="19" t="n">
        <v>5548991753053</v>
      </c>
      <c r="G67" s="31" t="s">
        <v>155</v>
      </c>
      <c r="I67" s="31"/>
      <c r="R67" s="0" t="n">
        <v>1</v>
      </c>
      <c r="S67" s="0" t="n">
        <v>2026</v>
      </c>
    </row>
    <row r="68" customFormat="false" ht="14.25" hidden="false" customHeight="false" outlineLevel="0" collapsed="false">
      <c r="A68" s="17" t="n">
        <v>46023</v>
      </c>
      <c r="B68" s="21" t="s">
        <v>156</v>
      </c>
      <c r="C68" s="22" t="n">
        <v>180</v>
      </c>
      <c r="D68" s="31" t="s">
        <v>16</v>
      </c>
      <c r="E68" s="21" t="s">
        <v>156</v>
      </c>
      <c r="F68" s="19" t="n">
        <v>5352428007</v>
      </c>
      <c r="G68" s="31" t="s">
        <v>157</v>
      </c>
      <c r="I68" s="31" t="s">
        <v>54</v>
      </c>
      <c r="R68" s="0" t="n">
        <v>1</v>
      </c>
      <c r="S68" s="0" t="n">
        <v>2026</v>
      </c>
    </row>
    <row r="69" customFormat="false" ht="14.25" hidden="false" customHeight="false" outlineLevel="0" collapsed="false">
      <c r="A69" s="17" t="n">
        <v>46023</v>
      </c>
      <c r="B69" s="21" t="s">
        <v>158</v>
      </c>
      <c r="C69" s="22" t="n">
        <v>100</v>
      </c>
      <c r="D69" s="31" t="s">
        <v>28</v>
      </c>
      <c r="E69" s="21" t="s">
        <v>158</v>
      </c>
      <c r="F69" s="19" t="n">
        <v>5354386217</v>
      </c>
      <c r="G69" s="31" t="s">
        <v>159</v>
      </c>
      <c r="I69" s="31" t="s">
        <v>34</v>
      </c>
      <c r="R69" s="0" t="n">
        <v>1</v>
      </c>
      <c r="S69" s="0" t="n">
        <v>2026</v>
      </c>
    </row>
    <row r="70" customFormat="false" ht="14.25" hidden="false" customHeight="false" outlineLevel="0" collapsed="false">
      <c r="A70" s="17" t="n">
        <v>46023</v>
      </c>
      <c r="C70" s="22" t="n">
        <v>1000</v>
      </c>
      <c r="D70" s="31" t="s">
        <v>27</v>
      </c>
      <c r="E70" s="21" t="s">
        <v>160</v>
      </c>
      <c r="F70" s="19" t="n">
        <v>555496188529</v>
      </c>
      <c r="G70" s="31" t="s">
        <v>161</v>
      </c>
      <c r="I70" s="31" t="s">
        <v>149</v>
      </c>
      <c r="R70" s="0" t="n">
        <v>1</v>
      </c>
      <c r="S70" s="0" t="n">
        <v>2026</v>
      </c>
    </row>
    <row r="71" customFormat="false" ht="14.25" hidden="false" customHeight="false" outlineLevel="0" collapsed="false">
      <c r="A71" s="17" t="n">
        <v>46023</v>
      </c>
      <c r="B71" s="21" t="s">
        <v>162</v>
      </c>
      <c r="C71" s="22" t="n">
        <v>140</v>
      </c>
      <c r="D71" s="31" t="s">
        <v>32</v>
      </c>
      <c r="E71" s="21" t="s">
        <v>162</v>
      </c>
      <c r="F71" s="19" t="n">
        <v>559584153038</v>
      </c>
      <c r="G71" s="31"/>
      <c r="I71" s="31" t="s">
        <v>149</v>
      </c>
      <c r="R71" s="0" t="n">
        <v>1</v>
      </c>
      <c r="S71" s="0" t="n">
        <v>2026</v>
      </c>
    </row>
    <row r="72" customFormat="false" ht="14.25" hidden="false" customHeight="false" outlineLevel="0" collapsed="false">
      <c r="A72" s="17" t="n">
        <v>46023</v>
      </c>
      <c r="C72" s="22" t="n">
        <v>150</v>
      </c>
      <c r="D72" s="31" t="s">
        <v>30</v>
      </c>
      <c r="E72" s="21" t="s">
        <v>163</v>
      </c>
      <c r="F72" s="19" t="n">
        <v>555499593428</v>
      </c>
      <c r="G72" s="31"/>
      <c r="I72" s="31" t="s">
        <v>34</v>
      </c>
      <c r="R72" s="0" t="n">
        <v>1</v>
      </c>
      <c r="S72" s="0" t="n">
        <v>2026</v>
      </c>
    </row>
    <row r="73" customFormat="false" ht="14.25" hidden="false" customHeight="false" outlineLevel="0" collapsed="false">
      <c r="A73" s="17" t="n">
        <v>46023</v>
      </c>
      <c r="B73" s="21" t="s">
        <v>164</v>
      </c>
      <c r="C73" s="22" t="n">
        <v>150</v>
      </c>
      <c r="D73" s="31" t="s">
        <v>30</v>
      </c>
      <c r="E73" s="21" t="s">
        <v>164</v>
      </c>
      <c r="F73" s="19" t="n">
        <v>555192219023</v>
      </c>
      <c r="G73" s="31" t="s">
        <v>165</v>
      </c>
      <c r="I73" s="31" t="s">
        <v>50</v>
      </c>
      <c r="R73" s="0" t="n">
        <v>1</v>
      </c>
      <c r="S73" s="0" t="n">
        <v>2026</v>
      </c>
    </row>
    <row r="74" customFormat="false" ht="14.25" hidden="false" customHeight="false" outlineLevel="0" collapsed="false">
      <c r="A74" s="17" t="n">
        <v>46023</v>
      </c>
      <c r="B74" s="21" t="s">
        <v>166</v>
      </c>
      <c r="C74" s="22" t="n">
        <v>450</v>
      </c>
      <c r="D74" s="31" t="s">
        <v>21</v>
      </c>
      <c r="E74" s="21" t="s">
        <v>167</v>
      </c>
      <c r="F74" s="19" t="n">
        <v>5595920007750</v>
      </c>
      <c r="G74" s="31" t="s">
        <v>168</v>
      </c>
      <c r="I74" s="31" t="s">
        <v>34</v>
      </c>
      <c r="R74" s="0" t="n">
        <v>1</v>
      </c>
      <c r="S74" s="0" t="n">
        <v>2026</v>
      </c>
    </row>
    <row r="75" customFormat="false" ht="14.25" hidden="false" customHeight="false" outlineLevel="0" collapsed="false">
      <c r="A75" s="17" t="n">
        <v>46023</v>
      </c>
      <c r="C75" s="22" t="n">
        <v>150</v>
      </c>
      <c r="D75" s="31" t="s">
        <v>32</v>
      </c>
      <c r="E75" s="21" t="s">
        <v>169</v>
      </c>
      <c r="F75" s="19" t="n">
        <v>554899523485</v>
      </c>
      <c r="G75" s="31" t="s">
        <v>170</v>
      </c>
      <c r="I75" s="31" t="s">
        <v>34</v>
      </c>
      <c r="R75" s="0" t="n">
        <v>1</v>
      </c>
      <c r="S75" s="0" t="n">
        <v>2026</v>
      </c>
    </row>
    <row r="76" customFormat="false" ht="14.25" hidden="false" customHeight="false" outlineLevel="0" collapsed="false">
      <c r="A76" s="17" t="n">
        <v>46023</v>
      </c>
      <c r="C76" s="22" t="n">
        <v>1000</v>
      </c>
      <c r="D76" s="31" t="s">
        <v>27</v>
      </c>
      <c r="E76" s="21" t="s">
        <v>171</v>
      </c>
      <c r="F76" s="19" t="n">
        <v>556593121934</v>
      </c>
      <c r="G76" s="31" t="s">
        <v>172</v>
      </c>
      <c r="I76" s="31" t="s">
        <v>34</v>
      </c>
      <c r="R76" s="0" t="n">
        <v>1</v>
      </c>
      <c r="S76" s="0" t="n">
        <v>2026</v>
      </c>
    </row>
    <row r="77" customFormat="false" ht="14.25" hidden="false" customHeight="false" outlineLevel="0" collapsed="false">
      <c r="A77" s="17" t="n">
        <v>46023</v>
      </c>
      <c r="C77" s="22" t="n">
        <v>60</v>
      </c>
      <c r="D77" s="31" t="s">
        <v>25</v>
      </c>
      <c r="E77" s="21" t="s">
        <v>173</v>
      </c>
      <c r="F77" s="19" t="n">
        <v>554884760990</v>
      </c>
      <c r="G77" s="31" t="s">
        <v>174</v>
      </c>
      <c r="I77" s="31" t="s">
        <v>34</v>
      </c>
      <c r="R77" s="0" t="n">
        <v>1</v>
      </c>
      <c r="S77" s="0" t="n">
        <v>2026</v>
      </c>
    </row>
    <row r="78" customFormat="false" ht="14.25" hidden="false" customHeight="false" outlineLevel="0" collapsed="false">
      <c r="A78" s="17" t="n">
        <v>46023</v>
      </c>
      <c r="B78" s="21" t="s">
        <v>175</v>
      </c>
      <c r="C78" s="22" t="n">
        <v>513</v>
      </c>
      <c r="D78" s="31" t="s">
        <v>18</v>
      </c>
      <c r="E78" s="21" t="s">
        <v>175</v>
      </c>
      <c r="F78" s="19" t="n">
        <v>5527999533616</v>
      </c>
      <c r="G78" s="31" t="s">
        <v>176</v>
      </c>
      <c r="I78" s="31" t="s">
        <v>34</v>
      </c>
      <c r="R78" s="0" t="n">
        <v>1</v>
      </c>
      <c r="S78" s="0" t="n">
        <v>2026</v>
      </c>
    </row>
    <row r="79" customFormat="false" ht="14.25" hidden="false" customHeight="false" outlineLevel="0" collapsed="false">
      <c r="A79" s="17" t="n">
        <v>46023</v>
      </c>
      <c r="C79" s="22" t="n">
        <v>150</v>
      </c>
      <c r="D79" s="31" t="s">
        <v>32</v>
      </c>
      <c r="E79" s="21" t="s">
        <v>177</v>
      </c>
      <c r="F79" s="19" t="n">
        <v>554197020243</v>
      </c>
      <c r="G79" s="31" t="s">
        <v>178</v>
      </c>
      <c r="I79" s="31" t="s">
        <v>34</v>
      </c>
      <c r="R79" s="0" t="n">
        <v>1</v>
      </c>
      <c r="S79" s="0" t="n">
        <v>2026</v>
      </c>
    </row>
    <row r="80" customFormat="false" ht="14.25" hidden="false" customHeight="false" outlineLevel="0" collapsed="false">
      <c r="A80" s="17" t="n">
        <v>46023</v>
      </c>
      <c r="C80" s="22" t="n">
        <v>485</v>
      </c>
      <c r="D80" s="31" t="s">
        <v>30</v>
      </c>
      <c r="E80" s="21" t="s">
        <v>179</v>
      </c>
      <c r="F80" s="19" t="n">
        <v>555496404223</v>
      </c>
      <c r="G80" s="31" t="s">
        <v>180</v>
      </c>
      <c r="I80" s="31" t="s">
        <v>50</v>
      </c>
      <c r="R80" s="0" t="n">
        <v>1</v>
      </c>
      <c r="S80" s="0" t="n">
        <v>2026</v>
      </c>
    </row>
    <row r="81" customFormat="false" ht="14.25" hidden="false" customHeight="false" outlineLevel="0" collapsed="false">
      <c r="A81" s="17" t="n">
        <v>46023</v>
      </c>
      <c r="B81" s="21" t="s">
        <v>181</v>
      </c>
      <c r="C81" s="22" t="n">
        <v>140</v>
      </c>
      <c r="D81" s="31" t="s">
        <v>32</v>
      </c>
      <c r="E81" s="21" t="s">
        <v>181</v>
      </c>
      <c r="F81" s="19" t="n">
        <v>556499427827</v>
      </c>
      <c r="G81" s="31" t="s">
        <v>182</v>
      </c>
      <c r="I81" s="31" t="s">
        <v>50</v>
      </c>
      <c r="R81" s="0" t="n">
        <v>1</v>
      </c>
      <c r="S81" s="0" t="n">
        <v>2026</v>
      </c>
    </row>
    <row r="82" customFormat="false" ht="14.25" hidden="false" customHeight="false" outlineLevel="0" collapsed="false">
      <c r="A82" s="17" t="n">
        <v>46023</v>
      </c>
      <c r="B82" s="21" t="s">
        <v>183</v>
      </c>
      <c r="C82" s="22" t="n">
        <v>60</v>
      </c>
      <c r="D82" s="31" t="s">
        <v>25</v>
      </c>
      <c r="E82" s="21" t="s">
        <v>183</v>
      </c>
      <c r="F82" s="19" t="n">
        <v>554991814968</v>
      </c>
      <c r="G82" s="31" t="s">
        <v>184</v>
      </c>
      <c r="I82" s="31" t="s">
        <v>50</v>
      </c>
      <c r="R82" s="0" t="n">
        <v>1</v>
      </c>
      <c r="S82" s="0" t="n">
        <v>2026</v>
      </c>
    </row>
    <row r="83" customFormat="false" ht="14.25" hidden="false" customHeight="false" outlineLevel="0" collapsed="false">
      <c r="A83" s="17" t="n">
        <v>46023</v>
      </c>
      <c r="B83" s="21" t="s">
        <v>185</v>
      </c>
      <c r="C83" s="22" t="n">
        <v>150</v>
      </c>
      <c r="D83" s="31" t="s">
        <v>32</v>
      </c>
      <c r="E83" s="21" t="s">
        <v>185</v>
      </c>
      <c r="F83" s="19" t="n">
        <v>556293190449</v>
      </c>
      <c r="G83" s="31" t="s">
        <v>186</v>
      </c>
      <c r="I83" s="31" t="s">
        <v>34</v>
      </c>
      <c r="R83" s="0" t="n">
        <v>1</v>
      </c>
      <c r="S83" s="0" t="n">
        <v>2026</v>
      </c>
    </row>
    <row r="84" customFormat="false" ht="14.25" hidden="false" customHeight="false" outlineLevel="0" collapsed="false">
      <c r="A84" s="17" t="n">
        <v>46023</v>
      </c>
      <c r="B84" s="21" t="s">
        <v>187</v>
      </c>
      <c r="C84" s="22" t="n">
        <v>140</v>
      </c>
      <c r="D84" s="31" t="s">
        <v>32</v>
      </c>
      <c r="E84" s="21" t="s">
        <v>187</v>
      </c>
      <c r="F84" s="19" t="n">
        <v>559292295665</v>
      </c>
      <c r="G84" s="31" t="s">
        <v>188</v>
      </c>
      <c r="I84" s="31" t="s">
        <v>34</v>
      </c>
      <c r="R84" s="0" t="n">
        <v>1</v>
      </c>
      <c r="S84" s="0" t="n">
        <v>2026</v>
      </c>
    </row>
    <row r="85" customFormat="false" ht="14.25" hidden="false" customHeight="false" outlineLevel="0" collapsed="false">
      <c r="A85" s="17" t="n">
        <v>46023</v>
      </c>
      <c r="B85" s="21" t="s">
        <v>189</v>
      </c>
      <c r="C85" s="22" t="n">
        <v>128</v>
      </c>
      <c r="D85" s="31" t="s">
        <v>21</v>
      </c>
      <c r="E85" s="21" t="s">
        <v>189</v>
      </c>
      <c r="F85" s="19" t="n">
        <v>559584028602</v>
      </c>
      <c r="G85" s="31" t="s">
        <v>190</v>
      </c>
      <c r="I85" s="31" t="s">
        <v>34</v>
      </c>
      <c r="R85" s="0" t="n">
        <v>1</v>
      </c>
      <c r="S85" s="0" t="n">
        <v>2026</v>
      </c>
    </row>
    <row r="86" customFormat="false" ht="14.25" hidden="false" customHeight="false" outlineLevel="0" collapsed="false">
      <c r="A86" s="17" t="n">
        <v>46023</v>
      </c>
      <c r="B86" s="21" t="s">
        <v>191</v>
      </c>
      <c r="C86" s="22" t="n">
        <v>150</v>
      </c>
      <c r="D86" s="31" t="s">
        <v>32</v>
      </c>
      <c r="E86" s="21" t="s">
        <v>191</v>
      </c>
      <c r="F86" s="19" t="n">
        <v>5519981147822</v>
      </c>
      <c r="G86" s="31" t="s">
        <v>192</v>
      </c>
      <c r="I86" s="31" t="s">
        <v>34</v>
      </c>
      <c r="R86" s="0" t="n">
        <v>1</v>
      </c>
      <c r="S86" s="0" t="n">
        <v>2026</v>
      </c>
    </row>
    <row r="87" customFormat="false" ht="14.25" hidden="false" customHeight="false" outlineLevel="0" collapsed="false">
      <c r="A87" s="17" t="n">
        <v>46023</v>
      </c>
      <c r="B87" s="21" t="s">
        <v>193</v>
      </c>
      <c r="C87" s="22" t="n">
        <v>450</v>
      </c>
      <c r="D87" s="31" t="s">
        <v>30</v>
      </c>
      <c r="E87" s="21" t="s">
        <v>194</v>
      </c>
      <c r="F87" s="19" t="n">
        <v>559584033434</v>
      </c>
      <c r="G87" s="31" t="s">
        <v>195</v>
      </c>
      <c r="I87" s="31" t="s">
        <v>34</v>
      </c>
      <c r="R87" s="0" t="n">
        <v>1</v>
      </c>
      <c r="S87" s="0" t="n">
        <v>2026</v>
      </c>
    </row>
    <row r="88" customFormat="false" ht="14.25" hidden="false" customHeight="false" outlineLevel="0" collapsed="false">
      <c r="A88" s="17" t="n">
        <v>46023</v>
      </c>
      <c r="B88" s="21" t="s">
        <v>196</v>
      </c>
      <c r="C88" s="22" t="n">
        <v>200</v>
      </c>
      <c r="D88" s="31" t="s">
        <v>20</v>
      </c>
      <c r="E88" s="21" t="s">
        <v>196</v>
      </c>
      <c r="F88" s="19" t="n">
        <v>556291727502</v>
      </c>
      <c r="G88" s="31" t="s">
        <v>197</v>
      </c>
      <c r="I88" s="31" t="s">
        <v>50</v>
      </c>
      <c r="R88" s="0" t="n">
        <v>1</v>
      </c>
      <c r="S88" s="0" t="n">
        <v>2026</v>
      </c>
    </row>
    <row r="89" customFormat="false" ht="14.25" hidden="false" customHeight="false" outlineLevel="0" collapsed="false">
      <c r="A89" s="17" t="n">
        <v>46023</v>
      </c>
      <c r="B89" s="21" t="s">
        <v>198</v>
      </c>
      <c r="C89" s="22" t="n">
        <v>90</v>
      </c>
      <c r="D89" s="31" t="s">
        <v>20</v>
      </c>
      <c r="E89" s="21" t="s">
        <v>198</v>
      </c>
      <c r="F89" s="19" t="n">
        <v>554399109161</v>
      </c>
      <c r="G89" s="31" t="s">
        <v>199</v>
      </c>
      <c r="I89" s="31" t="s">
        <v>54</v>
      </c>
      <c r="R89" s="0" t="n">
        <v>1</v>
      </c>
      <c r="S89" s="0" t="n">
        <v>2026</v>
      </c>
    </row>
    <row r="90" customFormat="false" ht="14.25" hidden="false" customHeight="false" outlineLevel="0" collapsed="false">
      <c r="A90" s="17" t="n">
        <v>46023</v>
      </c>
      <c r="B90" s="21" t="s">
        <v>200</v>
      </c>
      <c r="C90" s="22" t="n">
        <v>200</v>
      </c>
      <c r="D90" s="31" t="s">
        <v>23</v>
      </c>
      <c r="E90" s="21" t="s">
        <v>200</v>
      </c>
      <c r="F90" s="19" t="n">
        <v>554891043169</v>
      </c>
      <c r="G90" s="31" t="s">
        <v>201</v>
      </c>
      <c r="I90" s="31" t="s">
        <v>50</v>
      </c>
      <c r="R90" s="0" t="n">
        <v>1</v>
      </c>
      <c r="S90" s="0" t="n">
        <v>2026</v>
      </c>
    </row>
    <row r="91" customFormat="false" ht="14.25" hidden="false" customHeight="false" outlineLevel="0" collapsed="false">
      <c r="A91" s="17" t="n">
        <v>46023</v>
      </c>
      <c r="B91" s="21" t="s">
        <v>202</v>
      </c>
      <c r="C91" s="22" t="n">
        <v>450</v>
      </c>
      <c r="D91" s="31" t="s">
        <v>30</v>
      </c>
      <c r="E91" s="21" t="s">
        <v>203</v>
      </c>
      <c r="F91" s="19" t="n">
        <v>559584033434</v>
      </c>
      <c r="G91" s="31" t="s">
        <v>195</v>
      </c>
      <c r="I91" s="31" t="s">
        <v>34</v>
      </c>
      <c r="R91" s="0" t="n">
        <v>1</v>
      </c>
      <c r="S91" s="0" t="n">
        <v>2026</v>
      </c>
    </row>
    <row r="92" customFormat="false" ht="14.25" hidden="false" customHeight="false" outlineLevel="0" collapsed="false">
      <c r="A92" s="17" t="n">
        <v>46023</v>
      </c>
      <c r="B92" s="21" t="s">
        <v>204</v>
      </c>
      <c r="C92" s="22" t="n">
        <v>200</v>
      </c>
      <c r="D92" s="31" t="s">
        <v>20</v>
      </c>
      <c r="E92" s="21" t="s">
        <v>196</v>
      </c>
      <c r="F92" s="19" t="n">
        <v>556291727502</v>
      </c>
      <c r="G92" s="31" t="s">
        <v>197</v>
      </c>
      <c r="I92" s="31" t="s">
        <v>50</v>
      </c>
      <c r="R92" s="0" t="n">
        <v>1</v>
      </c>
      <c r="S92" s="0" t="n">
        <v>2026</v>
      </c>
    </row>
    <row r="93" customFormat="false" ht="14.25" hidden="false" customHeight="false" outlineLevel="0" collapsed="false">
      <c r="A93" s="17" t="n">
        <v>46023</v>
      </c>
      <c r="B93" s="21" t="s">
        <v>205</v>
      </c>
      <c r="C93" s="22" t="n">
        <v>150</v>
      </c>
      <c r="D93" s="31" t="s">
        <v>32</v>
      </c>
      <c r="E93" s="21" t="s">
        <v>205</v>
      </c>
      <c r="F93" s="19" t="n">
        <v>5511972143364</v>
      </c>
      <c r="G93" s="31" t="s">
        <v>206</v>
      </c>
      <c r="I93" s="31" t="s">
        <v>34</v>
      </c>
      <c r="R93" s="0" t="n">
        <v>1</v>
      </c>
      <c r="S93" s="0" t="n">
        <v>2026</v>
      </c>
    </row>
    <row r="94" customFormat="false" ht="14.25" hidden="false" customHeight="false" outlineLevel="0" collapsed="false">
      <c r="A94" s="17" t="n">
        <v>46023</v>
      </c>
      <c r="B94" s="21" t="s">
        <v>207</v>
      </c>
      <c r="C94" s="22" t="n">
        <v>150</v>
      </c>
      <c r="D94" s="31" t="s">
        <v>32</v>
      </c>
      <c r="E94" s="21" t="s">
        <v>207</v>
      </c>
      <c r="F94" s="19" t="n">
        <v>559684226988</v>
      </c>
      <c r="G94" s="31" t="s">
        <v>208</v>
      </c>
      <c r="I94" s="31" t="s">
        <v>34</v>
      </c>
      <c r="R94" s="0" t="n">
        <v>1</v>
      </c>
      <c r="S94" s="0" t="n">
        <v>2026</v>
      </c>
    </row>
    <row r="95" customFormat="false" ht="14.25" hidden="false" customHeight="false" outlineLevel="0" collapsed="false">
      <c r="A95" s="17" t="n">
        <v>46023</v>
      </c>
      <c r="B95" s="21" t="s">
        <v>207</v>
      </c>
      <c r="C95" s="22" t="n">
        <v>150</v>
      </c>
      <c r="D95" s="31" t="s">
        <v>29</v>
      </c>
      <c r="E95" s="21" t="s">
        <v>207</v>
      </c>
      <c r="F95" s="19" t="n">
        <v>559684226988</v>
      </c>
      <c r="G95" s="31" t="s">
        <v>208</v>
      </c>
      <c r="I95" s="31" t="s">
        <v>34</v>
      </c>
      <c r="R95" s="0" t="n">
        <v>1</v>
      </c>
      <c r="S95" s="0" t="n">
        <v>2026</v>
      </c>
    </row>
    <row r="96" customFormat="false" ht="14.25" hidden="false" customHeight="false" outlineLevel="0" collapsed="false">
      <c r="A96" s="17" t="n">
        <v>46023</v>
      </c>
      <c r="B96" s="21" t="s">
        <v>209</v>
      </c>
      <c r="C96" s="22" t="n">
        <v>360</v>
      </c>
      <c r="D96" s="31" t="s">
        <v>30</v>
      </c>
      <c r="E96" s="21" t="s">
        <v>210</v>
      </c>
      <c r="F96" s="19" t="n">
        <v>559584098028</v>
      </c>
      <c r="G96" s="31" t="s">
        <v>211</v>
      </c>
      <c r="I96" s="31" t="s">
        <v>34</v>
      </c>
      <c r="J96" s="21" t="s">
        <v>35</v>
      </c>
      <c r="K96" s="21" t="s">
        <v>69</v>
      </c>
      <c r="L96" s="21" t="s">
        <v>70</v>
      </c>
      <c r="M96" s="21" t="s">
        <v>38</v>
      </c>
      <c r="R96" s="0" t="n">
        <v>1</v>
      </c>
      <c r="S96" s="0" t="n">
        <v>2026</v>
      </c>
    </row>
    <row r="97" customFormat="false" ht="14.25" hidden="false" customHeight="false" outlineLevel="0" collapsed="false">
      <c r="A97" s="17" t="n">
        <v>46023</v>
      </c>
      <c r="B97" s="21" t="s">
        <v>212</v>
      </c>
      <c r="C97" s="22" t="n">
        <v>150</v>
      </c>
      <c r="D97" s="31" t="s">
        <v>32</v>
      </c>
      <c r="E97" s="21" t="s">
        <v>212</v>
      </c>
      <c r="F97" s="19" t="n">
        <v>554884400484</v>
      </c>
      <c r="G97" s="31" t="s">
        <v>213</v>
      </c>
      <c r="I97" s="31" t="s">
        <v>50</v>
      </c>
      <c r="R97" s="0" t="n">
        <v>1</v>
      </c>
      <c r="S97" s="0" t="n">
        <v>2026</v>
      </c>
    </row>
    <row r="98" customFormat="false" ht="14.25" hidden="false" customHeight="false" outlineLevel="0" collapsed="false">
      <c r="A98" s="17" t="n">
        <v>46023</v>
      </c>
      <c r="B98" s="21" t="s">
        <v>214</v>
      </c>
      <c r="C98" s="22" t="n">
        <v>160</v>
      </c>
      <c r="D98" s="31" t="s">
        <v>20</v>
      </c>
      <c r="E98" s="21" t="s">
        <v>214</v>
      </c>
      <c r="F98" s="19" t="n">
        <v>5595920012313</v>
      </c>
      <c r="G98" s="31" t="s">
        <v>215</v>
      </c>
      <c r="I98" s="31" t="s">
        <v>34</v>
      </c>
      <c r="J98" s="21" t="s">
        <v>97</v>
      </c>
      <c r="K98" s="21" t="s">
        <v>20</v>
      </c>
      <c r="L98" s="21" t="s">
        <v>216</v>
      </c>
      <c r="M98" s="21" t="s">
        <v>99</v>
      </c>
      <c r="R98" s="0" t="n">
        <v>1</v>
      </c>
      <c r="S98" s="0" t="n">
        <v>2026</v>
      </c>
    </row>
    <row r="99" customFormat="false" ht="14.25" hidden="false" customHeight="false" outlineLevel="0" collapsed="false">
      <c r="A99" s="17" t="n">
        <v>46023</v>
      </c>
      <c r="B99" s="21" t="s">
        <v>217</v>
      </c>
      <c r="C99" s="22" t="n">
        <v>150</v>
      </c>
      <c r="D99" s="31" t="s">
        <v>32</v>
      </c>
      <c r="E99" s="21" t="s">
        <v>217</v>
      </c>
      <c r="F99" s="19" t="n">
        <v>559584217378</v>
      </c>
      <c r="G99" s="31" t="s">
        <v>218</v>
      </c>
      <c r="I99" s="31" t="s">
        <v>54</v>
      </c>
      <c r="R99" s="0" t="n">
        <v>1</v>
      </c>
      <c r="S99" s="0" t="n">
        <v>2026</v>
      </c>
    </row>
    <row r="100" customFormat="false" ht="14.25" hidden="false" customHeight="false" outlineLevel="0" collapsed="false">
      <c r="A100" s="17" t="n">
        <v>46023</v>
      </c>
      <c r="B100" s="21" t="s">
        <v>219</v>
      </c>
      <c r="C100" s="22" t="n">
        <v>90</v>
      </c>
      <c r="D100" s="31" t="s">
        <v>20</v>
      </c>
      <c r="E100" s="21" t="s">
        <v>219</v>
      </c>
      <c r="F100" s="19" t="n">
        <v>556291953437</v>
      </c>
      <c r="G100" s="31" t="s">
        <v>220</v>
      </c>
      <c r="I100" s="31" t="s">
        <v>54</v>
      </c>
      <c r="J100" s="21" t="s">
        <v>60</v>
      </c>
      <c r="K100" s="21" t="s">
        <v>27</v>
      </c>
      <c r="L100" s="21" t="s">
        <v>221</v>
      </c>
      <c r="M100" s="21" t="s">
        <v>62</v>
      </c>
      <c r="R100" s="0" t="n">
        <v>1</v>
      </c>
      <c r="S100" s="0" t="n">
        <v>2026</v>
      </c>
    </row>
    <row r="101" customFormat="false" ht="14.25" hidden="false" customHeight="false" outlineLevel="0" collapsed="false">
      <c r="A101" s="17" t="n">
        <v>46023</v>
      </c>
      <c r="B101" s="21" t="s">
        <v>222</v>
      </c>
      <c r="C101" s="22" t="n">
        <v>97</v>
      </c>
      <c r="D101" s="31" t="s">
        <v>30</v>
      </c>
      <c r="E101" s="21" t="s">
        <v>223</v>
      </c>
      <c r="F101" s="19" t="n">
        <v>555491573911</v>
      </c>
      <c r="G101" s="31" t="s">
        <v>224</v>
      </c>
      <c r="I101" s="31" t="s">
        <v>34</v>
      </c>
      <c r="R101" s="0" t="n">
        <v>1</v>
      </c>
      <c r="S101" s="0" t="n">
        <v>2026</v>
      </c>
    </row>
    <row r="102" customFormat="false" ht="14.25" hidden="false" customHeight="false" outlineLevel="0" collapsed="false">
      <c r="A102" s="17" t="n">
        <v>46023</v>
      </c>
      <c r="B102" s="21" t="s">
        <v>225</v>
      </c>
      <c r="C102" s="22" t="n">
        <v>150</v>
      </c>
      <c r="D102" s="31" t="s">
        <v>32</v>
      </c>
      <c r="E102" s="21" t="s">
        <v>225</v>
      </c>
      <c r="F102" s="19" t="n">
        <v>5511981103520</v>
      </c>
      <c r="G102" s="31" t="s">
        <v>226</v>
      </c>
      <c r="I102" s="31" t="s">
        <v>34</v>
      </c>
      <c r="R102" s="0" t="n">
        <v>1</v>
      </c>
      <c r="S102" s="0" t="n">
        <v>2026</v>
      </c>
    </row>
    <row r="103" customFormat="false" ht="14.25" hidden="false" customHeight="false" outlineLevel="0" collapsed="false">
      <c r="A103" s="17" t="n">
        <v>46023</v>
      </c>
      <c r="B103" s="21" t="s">
        <v>227</v>
      </c>
      <c r="C103" s="22" t="n">
        <v>90</v>
      </c>
      <c r="D103" s="31" t="s">
        <v>20</v>
      </c>
      <c r="E103" s="21" t="s">
        <v>228</v>
      </c>
      <c r="F103" s="19" t="n">
        <v>559584224624</v>
      </c>
      <c r="G103" s="31" t="s">
        <v>229</v>
      </c>
      <c r="I103" s="31" t="s">
        <v>34</v>
      </c>
      <c r="J103" s="21" t="s">
        <v>97</v>
      </c>
      <c r="K103" s="21" t="s">
        <v>20</v>
      </c>
      <c r="L103" s="21" t="s">
        <v>230</v>
      </c>
      <c r="M103" s="21" t="s">
        <v>99</v>
      </c>
      <c r="R103" s="0" t="n">
        <v>1</v>
      </c>
      <c r="S103" s="0" t="n">
        <v>2026</v>
      </c>
    </row>
    <row r="104" customFormat="false" ht="14.25" hidden="false" customHeight="false" outlineLevel="0" collapsed="false">
      <c r="A104" s="17" t="n">
        <v>46023</v>
      </c>
      <c r="B104" s="21" t="s">
        <v>92</v>
      </c>
      <c r="C104" s="22" t="n">
        <v>150</v>
      </c>
      <c r="D104" s="31" t="s">
        <v>32</v>
      </c>
      <c r="E104" s="21" t="s">
        <v>231</v>
      </c>
      <c r="F104" s="19" t="n">
        <v>559581218465</v>
      </c>
      <c r="G104" s="31" t="s">
        <v>93</v>
      </c>
      <c r="H104" s="21" t="s">
        <v>94</v>
      </c>
      <c r="I104" s="31" t="s">
        <v>34</v>
      </c>
      <c r="R104" s="0" t="n">
        <v>1</v>
      </c>
      <c r="S104" s="0" t="n">
        <v>2026</v>
      </c>
    </row>
    <row r="105" customFormat="false" ht="14.25" hidden="false" customHeight="false" outlineLevel="0" collapsed="false">
      <c r="A105" s="17" t="n">
        <v>46023</v>
      </c>
      <c r="B105" s="21" t="s">
        <v>232</v>
      </c>
      <c r="C105" s="22" t="n">
        <v>150</v>
      </c>
      <c r="D105" s="31" t="s">
        <v>32</v>
      </c>
      <c r="E105" s="21" t="s">
        <v>233</v>
      </c>
      <c r="F105" s="19" t="n">
        <v>554888710492</v>
      </c>
      <c r="G105" s="31" t="s">
        <v>234</v>
      </c>
      <c r="I105" s="31" t="s">
        <v>50</v>
      </c>
      <c r="J105" s="21" t="s">
        <v>35</v>
      </c>
      <c r="K105" s="21" t="s">
        <v>36</v>
      </c>
      <c r="L105" s="21" t="s">
        <v>37</v>
      </c>
      <c r="M105" s="21" t="s">
        <v>38</v>
      </c>
      <c r="R105" s="0" t="n">
        <v>1</v>
      </c>
      <c r="S105" s="0" t="n">
        <v>2026</v>
      </c>
    </row>
    <row r="106" customFormat="false" ht="14.25" hidden="false" customHeight="false" outlineLevel="0" collapsed="false">
      <c r="A106" s="17" t="n">
        <v>46023</v>
      </c>
      <c r="B106" s="21" t="s">
        <v>235</v>
      </c>
      <c r="C106" s="22" t="n">
        <v>150</v>
      </c>
      <c r="D106" s="31" t="s">
        <v>32</v>
      </c>
      <c r="E106" s="21" t="s">
        <v>235</v>
      </c>
      <c r="F106" s="19" t="n">
        <v>559584069889</v>
      </c>
      <c r="G106" s="31" t="s">
        <v>236</v>
      </c>
      <c r="I106" s="31" t="s">
        <v>34</v>
      </c>
      <c r="R106" s="0" t="n">
        <v>1</v>
      </c>
      <c r="S106" s="0" t="n">
        <v>2026</v>
      </c>
    </row>
    <row r="107" customFormat="false" ht="14.25" hidden="false" customHeight="false" outlineLevel="0" collapsed="false">
      <c r="A107" s="17" t="n">
        <v>46023</v>
      </c>
      <c r="B107" s="21" t="s">
        <v>237</v>
      </c>
      <c r="C107" s="22" t="n">
        <v>80</v>
      </c>
      <c r="D107" s="31" t="s">
        <v>20</v>
      </c>
      <c r="E107" s="21" t="s">
        <v>238</v>
      </c>
      <c r="F107" s="19" t="n">
        <v>554892223404</v>
      </c>
      <c r="G107" s="31" t="s">
        <v>239</v>
      </c>
      <c r="I107" s="31" t="s">
        <v>34</v>
      </c>
      <c r="R107" s="0" t="n">
        <v>1</v>
      </c>
      <c r="S107" s="0" t="n">
        <v>2026</v>
      </c>
    </row>
    <row r="108" customFormat="false" ht="14.25" hidden="false" customHeight="false" outlineLevel="0" collapsed="false">
      <c r="A108" s="17" t="n">
        <v>46023</v>
      </c>
      <c r="B108" s="21" t="s">
        <v>240</v>
      </c>
      <c r="C108" s="22" t="n">
        <v>150</v>
      </c>
      <c r="D108" s="31" t="s">
        <v>32</v>
      </c>
      <c r="E108" s="21" t="s">
        <v>241</v>
      </c>
      <c r="F108" s="19" t="n">
        <v>559591699534</v>
      </c>
      <c r="G108" s="31" t="s">
        <v>242</v>
      </c>
      <c r="I108" s="31" t="s">
        <v>34</v>
      </c>
      <c r="R108" s="0" t="n">
        <v>1</v>
      </c>
      <c r="S108" s="0" t="n">
        <v>2026</v>
      </c>
    </row>
    <row r="109" customFormat="false" ht="14.25" hidden="false" customHeight="false" outlineLevel="0" collapsed="false">
      <c r="A109" s="17" t="n">
        <v>46023</v>
      </c>
      <c r="B109" s="21" t="s">
        <v>243</v>
      </c>
      <c r="C109" s="22" t="n">
        <v>150</v>
      </c>
      <c r="D109" s="31" t="s">
        <v>29</v>
      </c>
      <c r="E109" s="21" t="s">
        <v>243</v>
      </c>
      <c r="F109" s="19" t="n">
        <v>553591616260</v>
      </c>
      <c r="G109" s="31" t="s">
        <v>244</v>
      </c>
      <c r="I109" s="31" t="s">
        <v>54</v>
      </c>
      <c r="R109" s="0" t="n">
        <v>1</v>
      </c>
      <c r="S109" s="0" t="n">
        <v>2026</v>
      </c>
    </row>
    <row r="110" customFormat="false" ht="14.25" hidden="false" customHeight="false" outlineLevel="0" collapsed="false">
      <c r="A110" s="17" t="n">
        <v>46023</v>
      </c>
      <c r="B110" s="21" t="s">
        <v>245</v>
      </c>
      <c r="C110" s="22" t="n">
        <v>150</v>
      </c>
      <c r="D110" s="31" t="s">
        <v>32</v>
      </c>
      <c r="E110" s="21" t="s">
        <v>245</v>
      </c>
      <c r="F110" s="19" t="n">
        <v>554892221060</v>
      </c>
      <c r="G110" s="31" t="s">
        <v>246</v>
      </c>
      <c r="I110" s="31" t="s">
        <v>34</v>
      </c>
      <c r="R110" s="0" t="n">
        <v>1</v>
      </c>
      <c r="S110" s="0" t="n">
        <v>2026</v>
      </c>
    </row>
    <row r="111" customFormat="false" ht="14.25" hidden="false" customHeight="false" outlineLevel="0" collapsed="false">
      <c r="A111" s="17" t="n">
        <v>46023</v>
      </c>
      <c r="B111" s="21" t="s">
        <v>247</v>
      </c>
      <c r="C111" s="22" t="n">
        <v>150</v>
      </c>
      <c r="D111" s="31" t="s">
        <v>32</v>
      </c>
      <c r="E111" s="21" t="s">
        <v>247</v>
      </c>
      <c r="F111" s="19" t="n">
        <v>554195677826</v>
      </c>
      <c r="G111" s="31" t="s">
        <v>242</v>
      </c>
      <c r="I111" s="31" t="s">
        <v>34</v>
      </c>
      <c r="R111" s="0" t="n">
        <v>1</v>
      </c>
      <c r="S111" s="0" t="n">
        <v>2026</v>
      </c>
    </row>
    <row r="112" customFormat="false" ht="14.25" hidden="false" customHeight="false" outlineLevel="0" collapsed="false">
      <c r="A112" s="17" t="n">
        <v>46023</v>
      </c>
      <c r="B112" s="21" t="s">
        <v>248</v>
      </c>
      <c r="C112" s="22" t="n">
        <v>147</v>
      </c>
      <c r="D112" s="31" t="s">
        <v>18</v>
      </c>
      <c r="E112" s="21" t="s">
        <v>248</v>
      </c>
      <c r="F112" s="19" t="n">
        <v>5511976465945</v>
      </c>
      <c r="G112" s="31" t="s">
        <v>249</v>
      </c>
      <c r="I112" s="31" t="s">
        <v>50</v>
      </c>
      <c r="R112" s="0" t="n">
        <v>1</v>
      </c>
      <c r="S112" s="0" t="n">
        <v>2026</v>
      </c>
    </row>
    <row r="113" customFormat="false" ht="14.25" hidden="false" customHeight="false" outlineLevel="0" collapsed="false">
      <c r="A113" s="17" t="n">
        <v>46023</v>
      </c>
      <c r="B113" s="21" t="s">
        <v>250</v>
      </c>
      <c r="C113" s="22" t="n">
        <v>150</v>
      </c>
      <c r="D113" s="31" t="s">
        <v>32</v>
      </c>
      <c r="E113" s="21" t="s">
        <v>250</v>
      </c>
      <c r="F113" s="19" t="n">
        <v>559684076463</v>
      </c>
      <c r="G113" s="31" t="s">
        <v>43</v>
      </c>
      <c r="I113" s="31" t="s">
        <v>50</v>
      </c>
      <c r="R113" s="0" t="n">
        <v>1</v>
      </c>
      <c r="S113" s="0" t="n">
        <v>2026</v>
      </c>
    </row>
    <row r="114" customFormat="false" ht="14.25" hidden="false" customHeight="false" outlineLevel="0" collapsed="false">
      <c r="A114" s="17" t="n">
        <v>46023</v>
      </c>
      <c r="B114" s="21" t="s">
        <v>251</v>
      </c>
      <c r="C114" s="22" t="n">
        <v>150</v>
      </c>
      <c r="D114" s="31" t="s">
        <v>32</v>
      </c>
      <c r="E114" s="21" t="s">
        <v>251</v>
      </c>
      <c r="F114" s="19" t="n">
        <v>5358232839</v>
      </c>
      <c r="G114" s="31" t="s">
        <v>43</v>
      </c>
      <c r="I114" s="31" t="s">
        <v>50</v>
      </c>
      <c r="R114" s="0" t="n">
        <v>1</v>
      </c>
      <c r="S114" s="0" t="n">
        <v>2026</v>
      </c>
    </row>
    <row r="115" customFormat="false" ht="14.25" hidden="false" customHeight="false" outlineLevel="0" collapsed="false">
      <c r="A115" s="17" t="n">
        <v>46023</v>
      </c>
      <c r="B115" s="21" t="s">
        <v>252</v>
      </c>
      <c r="C115" s="22" t="n">
        <v>242</v>
      </c>
      <c r="D115" s="31" t="s">
        <v>30</v>
      </c>
      <c r="E115" s="21" t="s">
        <v>252</v>
      </c>
      <c r="F115" s="19" t="n">
        <v>5511938011568</v>
      </c>
      <c r="G115" s="31" t="s">
        <v>253</v>
      </c>
      <c r="I115" s="31" t="s">
        <v>34</v>
      </c>
      <c r="J115" s="21" t="s">
        <v>35</v>
      </c>
      <c r="K115" s="21" t="s">
        <v>69</v>
      </c>
      <c r="L115" s="21" t="s">
        <v>70</v>
      </c>
      <c r="M115" s="21" t="s">
        <v>38</v>
      </c>
      <c r="R115" s="0" t="n">
        <v>1</v>
      </c>
      <c r="S115" s="0" t="n">
        <v>2026</v>
      </c>
    </row>
    <row r="116" customFormat="false" ht="14.25" hidden="false" customHeight="false" outlineLevel="0" collapsed="false">
      <c r="A116" s="17" t="n">
        <v>46023</v>
      </c>
      <c r="B116" s="21" t="s">
        <v>254</v>
      </c>
      <c r="C116" s="22" t="n">
        <v>147</v>
      </c>
      <c r="D116" s="31" t="s">
        <v>18</v>
      </c>
      <c r="E116" s="21" t="s">
        <v>254</v>
      </c>
      <c r="F116" s="19" t="n">
        <v>553898460938</v>
      </c>
      <c r="G116" s="31" t="s">
        <v>255</v>
      </c>
      <c r="I116" s="31" t="s">
        <v>34</v>
      </c>
      <c r="R116" s="0" t="n">
        <v>1</v>
      </c>
      <c r="S116" s="0" t="n">
        <v>2026</v>
      </c>
    </row>
    <row r="117" customFormat="false" ht="14.25" hidden="false" customHeight="false" outlineLevel="0" collapsed="false">
      <c r="A117" s="17" t="n">
        <v>46023</v>
      </c>
      <c r="B117" s="21" t="s">
        <v>256</v>
      </c>
      <c r="C117" s="22" t="n">
        <v>180</v>
      </c>
      <c r="D117" s="31" t="s">
        <v>24</v>
      </c>
      <c r="E117" s="21" t="s">
        <v>256</v>
      </c>
      <c r="F117" s="19" t="n">
        <v>559581022640</v>
      </c>
      <c r="G117" s="31" t="s">
        <v>43</v>
      </c>
      <c r="I117" s="31" t="s">
        <v>50</v>
      </c>
      <c r="R117" s="0" t="n">
        <v>1</v>
      </c>
      <c r="S117" s="0" t="n">
        <v>2026</v>
      </c>
    </row>
    <row r="118" customFormat="false" ht="14.25" hidden="false" customHeight="false" outlineLevel="0" collapsed="false">
      <c r="A118" s="17" t="n">
        <v>46023</v>
      </c>
      <c r="B118" s="21" t="s">
        <v>257</v>
      </c>
      <c r="C118" s="22" t="n">
        <v>150</v>
      </c>
      <c r="D118" s="31" t="s">
        <v>32</v>
      </c>
      <c r="E118" s="21" t="s">
        <v>258</v>
      </c>
      <c r="F118" s="19" t="n">
        <v>5548988254427</v>
      </c>
      <c r="G118" s="31" t="s">
        <v>43</v>
      </c>
      <c r="I118" s="31" t="s">
        <v>54</v>
      </c>
      <c r="R118" s="0" t="n">
        <v>1</v>
      </c>
      <c r="S118" s="0" t="n">
        <v>2026</v>
      </c>
    </row>
    <row r="119" customFormat="false" ht="14.25" hidden="false" customHeight="false" outlineLevel="0" collapsed="false">
      <c r="A119" s="17" t="n">
        <v>46023</v>
      </c>
      <c r="B119" s="21" t="s">
        <v>259</v>
      </c>
      <c r="C119" s="22" t="n">
        <v>90</v>
      </c>
      <c r="D119" s="31" t="s">
        <v>20</v>
      </c>
      <c r="E119" s="21" t="s">
        <v>260</v>
      </c>
      <c r="F119" s="19" t="n">
        <v>554791370820</v>
      </c>
      <c r="G119" s="31" t="s">
        <v>261</v>
      </c>
      <c r="I119" s="31" t="s">
        <v>50</v>
      </c>
      <c r="R119" s="0" t="n">
        <v>1</v>
      </c>
      <c r="S119" s="0" t="n">
        <v>2026</v>
      </c>
    </row>
    <row r="120" customFormat="false" ht="14.25" hidden="false" customHeight="false" outlineLevel="0" collapsed="false">
      <c r="A120" s="17" t="n">
        <v>46023</v>
      </c>
      <c r="B120" s="21" t="s">
        <v>262</v>
      </c>
      <c r="C120" s="22" t="n">
        <v>1000</v>
      </c>
      <c r="D120" s="31" t="s">
        <v>27</v>
      </c>
      <c r="E120" s="21" t="s">
        <v>262</v>
      </c>
      <c r="F120" s="19" t="n">
        <v>559584297991</v>
      </c>
      <c r="G120" s="31" t="s">
        <v>263</v>
      </c>
      <c r="I120" s="31" t="s">
        <v>54</v>
      </c>
      <c r="R120" s="0" t="n">
        <v>1</v>
      </c>
      <c r="S120" s="0" t="n">
        <v>2026</v>
      </c>
    </row>
    <row r="121" customFormat="false" ht="14.25" hidden="false" customHeight="false" outlineLevel="0" collapsed="false">
      <c r="A121" s="17" t="n">
        <v>46023</v>
      </c>
      <c r="B121" s="21" t="s">
        <v>264</v>
      </c>
      <c r="C121" s="22" t="n">
        <v>100</v>
      </c>
      <c r="D121" s="31" t="s">
        <v>30</v>
      </c>
      <c r="E121" s="21" t="s">
        <v>265</v>
      </c>
      <c r="F121" s="19" t="n">
        <v>5219986579643</v>
      </c>
      <c r="G121" s="31" t="s">
        <v>266</v>
      </c>
      <c r="I121" s="31" t="s">
        <v>50</v>
      </c>
      <c r="J121" s="21" t="s">
        <v>35</v>
      </c>
      <c r="K121" s="21" t="s">
        <v>36</v>
      </c>
      <c r="L121" s="21" t="s">
        <v>37</v>
      </c>
      <c r="M121" s="21" t="s">
        <v>38</v>
      </c>
      <c r="R121" s="0" t="n">
        <v>1</v>
      </c>
      <c r="S121" s="0" t="n">
        <v>2026</v>
      </c>
    </row>
    <row r="122" customFormat="false" ht="14.25" hidden="false" customHeight="false" outlineLevel="0" collapsed="false">
      <c r="A122" s="17" t="n">
        <v>46023</v>
      </c>
      <c r="B122" s="21" t="s">
        <v>267</v>
      </c>
      <c r="C122" s="22" t="n">
        <v>200</v>
      </c>
      <c r="D122" s="31" t="s">
        <v>20</v>
      </c>
      <c r="E122" s="21" t="s">
        <v>268</v>
      </c>
      <c r="F122" s="19" t="n">
        <v>554195149904</v>
      </c>
      <c r="G122" s="31" t="s">
        <v>269</v>
      </c>
      <c r="I122" s="31" t="s">
        <v>50</v>
      </c>
      <c r="R122" s="0" t="n">
        <v>1</v>
      </c>
      <c r="S122" s="0" t="n">
        <v>2026</v>
      </c>
    </row>
    <row r="123" customFormat="false" ht="14.25" hidden="false" customHeight="false" outlineLevel="0" collapsed="false">
      <c r="A123" s="17" t="n">
        <v>46023</v>
      </c>
      <c r="B123" s="21" t="s">
        <v>270</v>
      </c>
      <c r="C123" s="22" t="n">
        <v>90</v>
      </c>
      <c r="D123" s="31" t="s">
        <v>20</v>
      </c>
      <c r="E123" s="21" t="s">
        <v>270</v>
      </c>
      <c r="F123" s="19" t="n">
        <v>554185082889</v>
      </c>
      <c r="G123" s="31" t="s">
        <v>271</v>
      </c>
      <c r="I123" s="31" t="s">
        <v>50</v>
      </c>
      <c r="J123" s="21" t="s">
        <v>35</v>
      </c>
      <c r="K123" s="21" t="s">
        <v>272</v>
      </c>
      <c r="L123" s="21" t="s">
        <v>273</v>
      </c>
      <c r="M123" s="21" t="s">
        <v>38</v>
      </c>
      <c r="R123" s="0" t="n">
        <v>1</v>
      </c>
      <c r="S123" s="0" t="n">
        <v>2026</v>
      </c>
    </row>
    <row r="124" customFormat="false" ht="14.25" hidden="false" customHeight="false" outlineLevel="0" collapsed="false">
      <c r="A124" s="17" t="n">
        <v>46023</v>
      </c>
      <c r="B124" s="21" t="s">
        <v>274</v>
      </c>
      <c r="C124" s="22" t="n">
        <v>90</v>
      </c>
      <c r="D124" s="31" t="s">
        <v>26</v>
      </c>
      <c r="E124" s="21" t="s">
        <v>274</v>
      </c>
      <c r="F124" s="19" t="n">
        <v>559584142619</v>
      </c>
      <c r="G124" s="31" t="s">
        <v>275</v>
      </c>
      <c r="I124" s="31" t="s">
        <v>34</v>
      </c>
      <c r="R124" s="0" t="n">
        <v>1</v>
      </c>
      <c r="S124" s="0" t="n">
        <v>2026</v>
      </c>
    </row>
    <row r="125" customFormat="false" ht="14.25" hidden="false" customHeight="false" outlineLevel="0" collapsed="false">
      <c r="A125" s="17" t="n">
        <v>46023</v>
      </c>
      <c r="B125" s="21" t="s">
        <v>130</v>
      </c>
      <c r="C125" s="22" t="n">
        <v>180</v>
      </c>
      <c r="D125" s="31" t="s">
        <v>30</v>
      </c>
      <c r="E125" s="21" t="s">
        <v>130</v>
      </c>
      <c r="F125" s="19" t="n">
        <v>5519998932978</v>
      </c>
      <c r="G125" s="31" t="s">
        <v>131</v>
      </c>
      <c r="I125" s="31" t="s">
        <v>50</v>
      </c>
      <c r="R125" s="0" t="n">
        <v>1</v>
      </c>
      <c r="S125" s="0" t="n">
        <v>2026</v>
      </c>
    </row>
    <row r="126" customFormat="false" ht="14.25" hidden="false" customHeight="false" outlineLevel="0" collapsed="false">
      <c r="A126" s="17" t="n">
        <v>46023</v>
      </c>
      <c r="B126" s="21" t="s">
        <v>276</v>
      </c>
      <c r="C126" s="22" t="n">
        <v>225</v>
      </c>
      <c r="D126" s="31" t="s">
        <v>20</v>
      </c>
      <c r="E126" s="21" t="s">
        <v>277</v>
      </c>
      <c r="F126" s="19" t="n">
        <v>559584218547</v>
      </c>
      <c r="G126" s="31" t="s">
        <v>278</v>
      </c>
      <c r="I126" s="31" t="s">
        <v>34</v>
      </c>
      <c r="R126" s="0" t="n">
        <v>1</v>
      </c>
      <c r="S126" s="0" t="n">
        <v>2026</v>
      </c>
    </row>
    <row r="127" customFormat="false" ht="14.25" hidden="false" customHeight="false" outlineLevel="0" collapsed="false">
      <c r="A127" s="17" t="n">
        <v>46023</v>
      </c>
      <c r="B127" s="21" t="s">
        <v>279</v>
      </c>
      <c r="C127" s="22" t="n">
        <v>150</v>
      </c>
      <c r="D127" s="31" t="s">
        <v>32</v>
      </c>
      <c r="E127" s="21" t="s">
        <v>279</v>
      </c>
      <c r="F127" s="19" t="n">
        <v>554197358577</v>
      </c>
      <c r="G127" s="31" t="s">
        <v>280</v>
      </c>
      <c r="I127" s="31" t="s">
        <v>54</v>
      </c>
      <c r="R127" s="0" t="n">
        <v>1</v>
      </c>
      <c r="S127" s="0" t="n">
        <v>2026</v>
      </c>
    </row>
    <row r="128" customFormat="false" ht="14.25" hidden="false" customHeight="false" outlineLevel="0" collapsed="false">
      <c r="A128" s="17" t="n">
        <v>46023</v>
      </c>
      <c r="B128" s="21" t="s">
        <v>281</v>
      </c>
      <c r="C128" s="22" t="n">
        <v>147</v>
      </c>
      <c r="D128" s="31" t="s">
        <v>18</v>
      </c>
      <c r="E128" s="21" t="s">
        <v>281</v>
      </c>
      <c r="F128" s="19" t="n">
        <v>559584239520</v>
      </c>
      <c r="G128" s="31" t="s">
        <v>282</v>
      </c>
      <c r="I128" s="31" t="s">
        <v>50</v>
      </c>
      <c r="R128" s="0" t="n">
        <v>1</v>
      </c>
      <c r="S128" s="0" t="n">
        <v>2026</v>
      </c>
    </row>
    <row r="129" customFormat="false" ht="14.25" hidden="false" customHeight="false" outlineLevel="0" collapsed="false">
      <c r="A129" s="17" t="n">
        <v>46023</v>
      </c>
      <c r="B129" s="21" t="s">
        <v>283</v>
      </c>
      <c r="C129" s="22" t="n">
        <v>230</v>
      </c>
      <c r="D129" s="31" t="s">
        <v>30</v>
      </c>
      <c r="E129" s="21" t="s">
        <v>283</v>
      </c>
      <c r="F129" s="19" t="n">
        <v>5511919505742</v>
      </c>
      <c r="G129" s="31" t="n">
        <v>0</v>
      </c>
      <c r="I129" s="31" t="s">
        <v>50</v>
      </c>
      <c r="R129" s="0" t="n">
        <v>1</v>
      </c>
      <c r="S129" s="0" t="n">
        <v>2026</v>
      </c>
    </row>
    <row r="130" customFormat="false" ht="14.25" hidden="false" customHeight="false" outlineLevel="0" collapsed="false">
      <c r="A130" s="17" t="n">
        <v>46023</v>
      </c>
      <c r="B130" s="21" t="s">
        <v>284</v>
      </c>
      <c r="C130" s="22" t="n">
        <v>147</v>
      </c>
      <c r="D130" s="31" t="s">
        <v>18</v>
      </c>
      <c r="E130" s="21" t="s">
        <v>284</v>
      </c>
      <c r="F130" s="19" t="n">
        <v>5545984032301</v>
      </c>
      <c r="G130" s="31" t="s">
        <v>285</v>
      </c>
      <c r="I130" s="31" t="s">
        <v>34</v>
      </c>
      <c r="R130" s="0" t="n">
        <v>1</v>
      </c>
      <c r="S130" s="0" t="n">
        <v>2026</v>
      </c>
    </row>
    <row r="131" customFormat="false" ht="14.25" hidden="false" customHeight="false" outlineLevel="0" collapsed="false">
      <c r="A131" s="17" t="n">
        <v>46023</v>
      </c>
      <c r="B131" s="21" t="s">
        <v>286</v>
      </c>
      <c r="C131" s="22" t="n">
        <v>150</v>
      </c>
      <c r="D131" s="31" t="s">
        <v>32</v>
      </c>
      <c r="E131" s="21" t="s">
        <v>287</v>
      </c>
      <c r="F131" s="19" t="n">
        <v>554988035815</v>
      </c>
      <c r="G131" s="31" t="s">
        <v>43</v>
      </c>
      <c r="I131" s="31" t="s">
        <v>50</v>
      </c>
      <c r="R131" s="0" t="n">
        <v>1</v>
      </c>
      <c r="S131" s="0" t="n">
        <v>2026</v>
      </c>
    </row>
    <row r="132" customFormat="false" ht="14.25" hidden="false" customHeight="false" outlineLevel="0" collapsed="false">
      <c r="A132" s="17" t="n">
        <v>46023</v>
      </c>
      <c r="B132" s="21" t="s">
        <v>288</v>
      </c>
      <c r="C132" s="22" t="n">
        <v>300</v>
      </c>
      <c r="D132" s="31" t="s">
        <v>29</v>
      </c>
      <c r="E132" s="21" t="s">
        <v>288</v>
      </c>
      <c r="F132" s="19" t="n">
        <v>554891592085</v>
      </c>
      <c r="G132" s="31" t="s">
        <v>289</v>
      </c>
      <c r="I132" s="31" t="s">
        <v>50</v>
      </c>
      <c r="R132" s="0" t="n">
        <v>1</v>
      </c>
      <c r="S132" s="0" t="n">
        <v>2026</v>
      </c>
    </row>
    <row r="133" customFormat="false" ht="14.25" hidden="false" customHeight="false" outlineLevel="0" collapsed="false">
      <c r="A133" s="17" t="n">
        <v>46023</v>
      </c>
      <c r="B133" s="21" t="s">
        <v>290</v>
      </c>
      <c r="C133" s="22" t="n">
        <v>147</v>
      </c>
      <c r="D133" s="31" t="s">
        <v>18</v>
      </c>
      <c r="E133" s="21" t="s">
        <v>290</v>
      </c>
      <c r="F133" s="19" t="n">
        <v>556592781023</v>
      </c>
      <c r="G133" s="31" t="s">
        <v>291</v>
      </c>
      <c r="I133" s="31" t="s">
        <v>34</v>
      </c>
      <c r="R133" s="0" t="n">
        <v>1</v>
      </c>
      <c r="S133" s="0" t="n">
        <v>2026</v>
      </c>
    </row>
    <row r="134" customFormat="false" ht="14.25" hidden="false" customHeight="false" outlineLevel="0" collapsed="false">
      <c r="A134" s="17" t="n">
        <v>46023</v>
      </c>
      <c r="B134" s="21" t="s">
        <v>292</v>
      </c>
      <c r="C134" s="22" t="n">
        <v>147</v>
      </c>
      <c r="D134" s="31" t="s">
        <v>18</v>
      </c>
      <c r="E134" s="21" t="s">
        <v>292</v>
      </c>
      <c r="F134" s="19" t="n">
        <v>5515997610656</v>
      </c>
      <c r="G134" s="31" t="s">
        <v>293</v>
      </c>
      <c r="I134" s="31" t="s">
        <v>54</v>
      </c>
      <c r="R134" s="0" t="n">
        <v>1</v>
      </c>
      <c r="S134" s="0" t="n">
        <v>2026</v>
      </c>
    </row>
    <row r="135" customFormat="false" ht="14.25" hidden="false" customHeight="false" outlineLevel="0" collapsed="false">
      <c r="A135" s="17" t="n">
        <v>46023</v>
      </c>
      <c r="B135" s="21" t="s">
        <v>294</v>
      </c>
      <c r="C135" s="22" t="n">
        <v>250</v>
      </c>
      <c r="D135" s="31" t="s">
        <v>106</v>
      </c>
      <c r="E135" s="21" t="s">
        <v>294</v>
      </c>
      <c r="F135" s="19" t="n">
        <v>5511918514374</v>
      </c>
      <c r="G135" s="31" t="s">
        <v>295</v>
      </c>
      <c r="I135" s="31" t="s">
        <v>34</v>
      </c>
      <c r="R135" s="0" t="n">
        <v>1</v>
      </c>
      <c r="S135" s="0" t="n">
        <v>2026</v>
      </c>
    </row>
    <row r="136" customFormat="false" ht="14.25" hidden="false" customHeight="false" outlineLevel="0" collapsed="false">
      <c r="A136" s="17" t="n">
        <v>46023</v>
      </c>
      <c r="B136" s="21" t="s">
        <v>296</v>
      </c>
      <c r="C136" s="22" t="n">
        <v>90</v>
      </c>
      <c r="D136" s="31" t="s">
        <v>20</v>
      </c>
      <c r="E136" s="21" t="s">
        <v>296</v>
      </c>
      <c r="F136" s="19" t="n">
        <v>559584273585</v>
      </c>
      <c r="G136" s="31" t="s">
        <v>297</v>
      </c>
      <c r="I136" s="31" t="s">
        <v>34</v>
      </c>
      <c r="J136" s="21" t="s">
        <v>97</v>
      </c>
      <c r="K136" s="21" t="s">
        <v>20</v>
      </c>
      <c r="L136" s="21" t="s">
        <v>230</v>
      </c>
      <c r="M136" s="21" t="s">
        <v>99</v>
      </c>
      <c r="R136" s="0" t="n">
        <v>1</v>
      </c>
      <c r="S136" s="0" t="n">
        <v>2026</v>
      </c>
    </row>
    <row r="137" customFormat="false" ht="14.25" hidden="false" customHeight="false" outlineLevel="0" collapsed="false">
      <c r="A137" s="17" t="n">
        <v>46023</v>
      </c>
      <c r="B137" s="21" t="s">
        <v>298</v>
      </c>
      <c r="C137" s="22" t="n">
        <v>90</v>
      </c>
      <c r="D137" s="31" t="s">
        <v>26</v>
      </c>
      <c r="E137" s="21" t="s">
        <v>298</v>
      </c>
      <c r="F137" s="19" t="n">
        <v>554195358551</v>
      </c>
      <c r="G137" s="31" t="s">
        <v>299</v>
      </c>
      <c r="I137" s="31" t="s">
        <v>34</v>
      </c>
      <c r="R137" s="0" t="n">
        <v>1</v>
      </c>
      <c r="S137" s="0" t="n">
        <v>2026</v>
      </c>
    </row>
    <row r="138" customFormat="false" ht="14.25" hidden="false" customHeight="false" outlineLevel="0" collapsed="false">
      <c r="A138" s="17" t="n">
        <v>46023</v>
      </c>
      <c r="B138" s="21" t="s">
        <v>300</v>
      </c>
      <c r="C138" s="22" t="n">
        <v>291</v>
      </c>
      <c r="D138" s="31" t="s">
        <v>30</v>
      </c>
      <c r="E138" s="21" t="s">
        <v>300</v>
      </c>
      <c r="F138" s="19" t="n">
        <v>5519998985969</v>
      </c>
      <c r="G138" s="31" t="s">
        <v>301</v>
      </c>
      <c r="I138" s="31" t="s">
        <v>34</v>
      </c>
      <c r="J138" s="21" t="s">
        <v>302</v>
      </c>
      <c r="K138" s="21" t="s">
        <v>303</v>
      </c>
      <c r="M138" s="21" t="s">
        <v>304</v>
      </c>
      <c r="R138" s="0" t="n">
        <v>1</v>
      </c>
      <c r="S138" s="0" t="n">
        <v>2026</v>
      </c>
    </row>
    <row r="139" customFormat="false" ht="14.25" hidden="false" customHeight="false" outlineLevel="0" collapsed="false">
      <c r="A139" s="17" t="n">
        <v>46023</v>
      </c>
      <c r="B139" s="21" t="s">
        <v>305</v>
      </c>
      <c r="C139" s="22" t="n">
        <v>97</v>
      </c>
      <c r="D139" s="31" t="s">
        <v>30</v>
      </c>
      <c r="E139" s="21" t="s">
        <v>305</v>
      </c>
      <c r="F139" s="19" t="n">
        <v>559176014001</v>
      </c>
      <c r="G139" s="31" t="s">
        <v>306</v>
      </c>
      <c r="I139" s="31" t="s">
        <v>34</v>
      </c>
      <c r="R139" s="0" t="n">
        <v>1</v>
      </c>
      <c r="S139" s="0" t="n">
        <v>2026</v>
      </c>
    </row>
    <row r="140" customFormat="false" ht="14.25" hidden="false" customHeight="false" outlineLevel="0" collapsed="false">
      <c r="A140" s="17" t="n">
        <v>46023</v>
      </c>
      <c r="B140" s="21" t="s">
        <v>307</v>
      </c>
      <c r="C140" s="22" t="n">
        <v>225</v>
      </c>
      <c r="D140" s="31" t="s">
        <v>20</v>
      </c>
      <c r="E140" s="21" t="s">
        <v>307</v>
      </c>
      <c r="F140" s="19" t="n">
        <v>557183600311</v>
      </c>
      <c r="G140" s="31" t="s">
        <v>308</v>
      </c>
      <c r="I140" s="31" t="s">
        <v>34</v>
      </c>
      <c r="R140" s="0" t="n">
        <v>1</v>
      </c>
      <c r="S140" s="0" t="n">
        <v>2026</v>
      </c>
    </row>
    <row r="141" customFormat="false" ht="14.25" hidden="false" customHeight="false" outlineLevel="0" collapsed="false">
      <c r="A141" s="17" t="n">
        <v>46023</v>
      </c>
      <c r="B141" s="21" t="s">
        <v>309</v>
      </c>
      <c r="C141" s="22" t="n">
        <v>167</v>
      </c>
      <c r="D141" s="31" t="s">
        <v>18</v>
      </c>
      <c r="E141" s="21" t="s">
        <v>309</v>
      </c>
      <c r="G141" s="31"/>
      <c r="I141" s="31"/>
      <c r="R141" s="0" t="n">
        <v>1</v>
      </c>
      <c r="S141" s="0" t="n">
        <v>2026</v>
      </c>
    </row>
    <row r="142" customFormat="false" ht="14.25" hidden="false" customHeight="false" outlineLevel="0" collapsed="false">
      <c r="A142" s="17" t="n">
        <v>46023</v>
      </c>
      <c r="B142" s="21" t="s">
        <v>310</v>
      </c>
      <c r="C142" s="22" t="n">
        <v>300</v>
      </c>
      <c r="D142" s="31" t="s">
        <v>24</v>
      </c>
      <c r="E142" s="21" t="s">
        <v>310</v>
      </c>
      <c r="F142" s="19" t="n">
        <v>556282267165</v>
      </c>
      <c r="G142" s="31" t="s">
        <v>311</v>
      </c>
      <c r="I142" s="31" t="s">
        <v>50</v>
      </c>
      <c r="R142" s="0" t="n">
        <v>1</v>
      </c>
      <c r="S142" s="0" t="n">
        <v>2026</v>
      </c>
    </row>
    <row r="143" customFormat="false" ht="14.25" hidden="false" customHeight="false" outlineLevel="0" collapsed="false">
      <c r="A143" s="17" t="n">
        <v>46023</v>
      </c>
      <c r="B143" s="21" t="s">
        <v>312</v>
      </c>
      <c r="C143" s="22" t="n">
        <v>150</v>
      </c>
      <c r="D143" s="31" t="s">
        <v>32</v>
      </c>
      <c r="E143" s="21" t="s">
        <v>312</v>
      </c>
      <c r="F143" s="19" t="n">
        <v>5511930845594</v>
      </c>
      <c r="G143" s="31" t="s">
        <v>33</v>
      </c>
      <c r="I143" s="31" t="s">
        <v>34</v>
      </c>
      <c r="R143" s="0" t="n">
        <v>1</v>
      </c>
      <c r="S143" s="0" t="n">
        <v>2026</v>
      </c>
    </row>
    <row r="144" customFormat="false" ht="14.25" hidden="false" customHeight="false" outlineLevel="0" collapsed="false">
      <c r="A144" s="17" t="n">
        <v>46023</v>
      </c>
      <c r="B144" s="21" t="s">
        <v>313</v>
      </c>
      <c r="C144" s="22" t="n">
        <v>120</v>
      </c>
      <c r="D144" s="31" t="s">
        <v>21</v>
      </c>
      <c r="E144" s="21" t="s">
        <v>313</v>
      </c>
      <c r="F144" s="19" t="n">
        <v>554991857313</v>
      </c>
      <c r="G144" s="31" t="s">
        <v>314</v>
      </c>
      <c r="I144" s="31" t="s">
        <v>34</v>
      </c>
      <c r="R144" s="0" t="n">
        <v>1</v>
      </c>
      <c r="S144" s="0" t="n">
        <v>2026</v>
      </c>
    </row>
    <row r="145" customFormat="false" ht="14.25" hidden="false" customHeight="false" outlineLevel="0" collapsed="false">
      <c r="A145" s="17" t="n">
        <v>46023</v>
      </c>
      <c r="B145" s="21" t="s">
        <v>315</v>
      </c>
      <c r="C145" s="22" t="n">
        <v>140</v>
      </c>
      <c r="D145" s="31" t="s">
        <v>32</v>
      </c>
      <c r="E145" s="21" t="s">
        <v>315</v>
      </c>
      <c r="F145" s="19" t="n">
        <v>559591212862</v>
      </c>
      <c r="G145" s="31" t="s">
        <v>316</v>
      </c>
      <c r="I145" s="31" t="s">
        <v>34</v>
      </c>
      <c r="R145" s="0" t="n">
        <v>1</v>
      </c>
      <c r="S145" s="0" t="n">
        <v>2026</v>
      </c>
    </row>
    <row r="146" customFormat="false" ht="14.25" hidden="false" customHeight="false" outlineLevel="0" collapsed="false">
      <c r="A146" s="17" t="n">
        <v>46023</v>
      </c>
      <c r="B146" s="21" t="s">
        <v>317</v>
      </c>
      <c r="C146" s="22" t="n">
        <v>60</v>
      </c>
      <c r="D146" s="31" t="s">
        <v>25</v>
      </c>
      <c r="E146" s="21" t="s">
        <v>317</v>
      </c>
      <c r="F146" s="19" t="n">
        <v>5511940545012</v>
      </c>
      <c r="G146" s="31" t="s">
        <v>318</v>
      </c>
      <c r="I146" s="31" t="s">
        <v>34</v>
      </c>
      <c r="R146" s="0" t="n">
        <v>1</v>
      </c>
      <c r="S146" s="0" t="n">
        <v>2026</v>
      </c>
    </row>
    <row r="147" customFormat="false" ht="14.25" hidden="false" customHeight="false" outlineLevel="0" collapsed="false">
      <c r="A147" s="17" t="n">
        <v>46023</v>
      </c>
      <c r="B147" s="21" t="s">
        <v>319</v>
      </c>
      <c r="C147" s="22" t="n">
        <v>240</v>
      </c>
      <c r="D147" s="31" t="s">
        <v>21</v>
      </c>
      <c r="E147" s="21" t="s">
        <v>320</v>
      </c>
      <c r="F147" s="19" t="n">
        <v>559574004024</v>
      </c>
      <c r="G147" s="31" t="s">
        <v>321</v>
      </c>
      <c r="I147" s="31" t="s">
        <v>34</v>
      </c>
      <c r="R147" s="0" t="n">
        <v>1</v>
      </c>
      <c r="S147" s="0" t="n">
        <v>2026</v>
      </c>
    </row>
    <row r="148" customFormat="false" ht="14.25" hidden="false" customHeight="false" outlineLevel="0" collapsed="false">
      <c r="A148" s="17" t="n">
        <v>46023</v>
      </c>
      <c r="B148" s="21" t="s">
        <v>322</v>
      </c>
      <c r="C148" s="22" t="n">
        <v>150</v>
      </c>
      <c r="D148" s="31" t="s">
        <v>32</v>
      </c>
      <c r="E148" s="21" t="s">
        <v>322</v>
      </c>
      <c r="F148" s="19" t="n">
        <v>554591410925</v>
      </c>
      <c r="G148" s="31" t="s">
        <v>323</v>
      </c>
      <c r="I148" s="31" t="s">
        <v>34</v>
      </c>
      <c r="J148" s="21" t="s">
        <v>35</v>
      </c>
      <c r="K148" s="21" t="s">
        <v>36</v>
      </c>
      <c r="L148" s="21" t="s">
        <v>37</v>
      </c>
      <c r="M148" s="21" t="s">
        <v>38</v>
      </c>
      <c r="R148" s="0" t="n">
        <v>1</v>
      </c>
      <c r="S148" s="0" t="n">
        <v>2026</v>
      </c>
    </row>
    <row r="149" customFormat="false" ht="14.25" hidden="false" customHeight="false" outlineLevel="0" collapsed="false">
      <c r="A149" s="17" t="n">
        <v>46023</v>
      </c>
      <c r="B149" s="21" t="s">
        <v>324</v>
      </c>
      <c r="C149" s="22" t="n">
        <v>90</v>
      </c>
      <c r="D149" s="31" t="s">
        <v>20</v>
      </c>
      <c r="E149" s="21" t="s">
        <v>325</v>
      </c>
      <c r="F149" s="19" t="n">
        <v>5541995438489</v>
      </c>
      <c r="G149" s="31" t="s">
        <v>326</v>
      </c>
      <c r="I149" s="31" t="s">
        <v>50</v>
      </c>
      <c r="J149" s="21" t="s">
        <v>35</v>
      </c>
      <c r="K149" s="21" t="s">
        <v>36</v>
      </c>
      <c r="L149" s="21" t="s">
        <v>37</v>
      </c>
      <c r="M149" s="21" t="s">
        <v>38</v>
      </c>
      <c r="R149" s="0" t="n">
        <v>1</v>
      </c>
      <c r="S149" s="0" t="n">
        <v>2026</v>
      </c>
    </row>
    <row r="150" customFormat="false" ht="14.25" hidden="false" customHeight="false" outlineLevel="0" collapsed="false">
      <c r="A150" s="17" t="n">
        <v>46023</v>
      </c>
      <c r="B150" s="21" t="s">
        <v>327</v>
      </c>
      <c r="C150" s="22" t="n">
        <v>500</v>
      </c>
      <c r="D150" s="31" t="s">
        <v>106</v>
      </c>
      <c r="E150" s="21" t="s">
        <v>328</v>
      </c>
      <c r="F150" s="19" t="n">
        <v>559599773288</v>
      </c>
      <c r="G150" s="31" t="s">
        <v>329</v>
      </c>
      <c r="I150" s="31" t="s">
        <v>54</v>
      </c>
      <c r="R150" s="0" t="n">
        <v>1</v>
      </c>
      <c r="S150" s="0" t="n">
        <v>2026</v>
      </c>
    </row>
    <row r="151" customFormat="false" ht="14.25" hidden="false" customHeight="false" outlineLevel="0" collapsed="false">
      <c r="A151" s="17" t="n">
        <v>46023</v>
      </c>
      <c r="B151" s="21" t="s">
        <v>330</v>
      </c>
      <c r="C151" s="22" t="n">
        <v>315</v>
      </c>
      <c r="D151" s="31" t="s">
        <v>30</v>
      </c>
      <c r="E151" s="21" t="s">
        <v>330</v>
      </c>
      <c r="F151" s="19" t="n">
        <v>5511994901726</v>
      </c>
      <c r="G151" s="31" t="s">
        <v>331</v>
      </c>
      <c r="I151" s="31" t="s">
        <v>34</v>
      </c>
      <c r="R151" s="0" t="n">
        <v>1</v>
      </c>
      <c r="S151" s="0" t="n">
        <v>2026</v>
      </c>
    </row>
    <row r="152" customFormat="false" ht="14.25" hidden="false" customHeight="false" outlineLevel="0" collapsed="false">
      <c r="A152" s="17" t="n">
        <v>46055</v>
      </c>
      <c r="B152" s="21" t="s">
        <v>333</v>
      </c>
      <c r="C152" s="22" t="n">
        <v>135</v>
      </c>
      <c r="D152" s="31" t="s">
        <v>20</v>
      </c>
      <c r="E152" s="21" t="s">
        <v>333</v>
      </c>
      <c r="F152" s="19" t="n">
        <v>5541995345890</v>
      </c>
      <c r="G152" s="31" t="s">
        <v>334</v>
      </c>
      <c r="I152" s="31" t="s">
        <v>34</v>
      </c>
      <c r="J152" s="21" t="s">
        <v>75</v>
      </c>
      <c r="K152" s="21" t="s">
        <v>76</v>
      </c>
      <c r="M152" s="21" t="s">
        <v>335</v>
      </c>
      <c r="R152" s="0" t="n">
        <v>2</v>
      </c>
      <c r="S152" s="0" t="n">
        <v>2026</v>
      </c>
    </row>
    <row r="153" customFormat="false" ht="14.25" hidden="false" customHeight="false" outlineLevel="0" collapsed="false">
      <c r="A153" s="17" t="n">
        <v>46055</v>
      </c>
      <c r="B153" s="21" t="s">
        <v>336</v>
      </c>
      <c r="C153" s="22" t="n">
        <v>150</v>
      </c>
      <c r="D153" s="31" t="s">
        <v>32</v>
      </c>
      <c r="E153" s="21" t="s">
        <v>336</v>
      </c>
      <c r="F153" s="19" t="n">
        <v>5511991061427</v>
      </c>
      <c r="G153" s="31" t="s">
        <v>337</v>
      </c>
      <c r="I153" s="31" t="s">
        <v>50</v>
      </c>
      <c r="R153" s="0" t="n">
        <v>2</v>
      </c>
      <c r="S153" s="0" t="n">
        <v>2026</v>
      </c>
    </row>
    <row r="154" customFormat="false" ht="14.25" hidden="false" customHeight="false" outlineLevel="0" collapsed="false">
      <c r="A154" s="17" t="n">
        <v>46055</v>
      </c>
      <c r="B154" s="21" t="s">
        <v>338</v>
      </c>
      <c r="C154" s="22" t="n">
        <v>150</v>
      </c>
      <c r="D154" s="31" t="s">
        <v>32</v>
      </c>
      <c r="E154" s="21" t="s">
        <v>339</v>
      </c>
      <c r="F154" s="19" t="n">
        <v>559584409492</v>
      </c>
      <c r="G154" s="31" t="s">
        <v>340</v>
      </c>
      <c r="I154" s="31" t="s">
        <v>34</v>
      </c>
      <c r="R154" s="0" t="n">
        <v>2</v>
      </c>
      <c r="S154" s="0" t="n">
        <v>2026</v>
      </c>
    </row>
    <row r="155" customFormat="false" ht="14.25" hidden="false" customHeight="false" outlineLevel="0" collapsed="false">
      <c r="A155" s="17" t="n">
        <v>46055</v>
      </c>
      <c r="B155" s="21" t="s">
        <v>341</v>
      </c>
      <c r="C155" s="22" t="n">
        <v>147</v>
      </c>
      <c r="D155" s="31" t="s">
        <v>18</v>
      </c>
      <c r="E155" s="21" t="s">
        <v>341</v>
      </c>
      <c r="F155" s="19" t="n">
        <v>5521969875829</v>
      </c>
      <c r="G155" s="31" t="s">
        <v>342</v>
      </c>
      <c r="I155" s="31" t="s">
        <v>50</v>
      </c>
      <c r="R155" s="0" t="n">
        <v>2</v>
      </c>
      <c r="S155" s="0" t="n">
        <v>2026</v>
      </c>
    </row>
    <row r="156" customFormat="false" ht="14.25" hidden="false" customHeight="false" outlineLevel="0" collapsed="false">
      <c r="A156" s="17" t="n">
        <v>46055</v>
      </c>
      <c r="B156" s="21" t="s">
        <v>343</v>
      </c>
      <c r="C156" s="22" t="n">
        <v>194</v>
      </c>
      <c r="D156" s="31" t="s">
        <v>20</v>
      </c>
      <c r="E156" s="21" t="s">
        <v>343</v>
      </c>
      <c r="F156" s="19" t="n">
        <v>559584157754</v>
      </c>
      <c r="G156" s="31" t="s">
        <v>344</v>
      </c>
      <c r="I156" s="31" t="s">
        <v>50</v>
      </c>
      <c r="J156" s="21" t="s">
        <v>97</v>
      </c>
      <c r="K156" s="21" t="s">
        <v>20</v>
      </c>
      <c r="L156" s="21" t="s">
        <v>98</v>
      </c>
      <c r="M156" s="21" t="s">
        <v>99</v>
      </c>
      <c r="R156" s="0" t="n">
        <v>2</v>
      </c>
      <c r="S156" s="0" t="n">
        <v>2026</v>
      </c>
    </row>
    <row r="157" customFormat="false" ht="14.25" hidden="false" customHeight="false" outlineLevel="0" collapsed="false">
      <c r="A157" s="17" t="n">
        <v>46055</v>
      </c>
      <c r="B157" s="21" t="s">
        <v>345</v>
      </c>
      <c r="C157" s="22" t="n">
        <v>150</v>
      </c>
      <c r="D157" s="31" t="s">
        <v>32</v>
      </c>
      <c r="E157" s="21" t="s">
        <v>346</v>
      </c>
      <c r="F157" s="19" t="n">
        <v>559591552964</v>
      </c>
      <c r="G157" s="31" t="s">
        <v>347</v>
      </c>
      <c r="I157" s="31" t="s">
        <v>50</v>
      </c>
      <c r="R157" s="0" t="n">
        <v>2</v>
      </c>
      <c r="S157" s="0" t="n">
        <v>2026</v>
      </c>
    </row>
    <row r="158" customFormat="false" ht="14.25" hidden="false" customHeight="false" outlineLevel="0" collapsed="false">
      <c r="A158" s="17" t="n">
        <v>46055</v>
      </c>
      <c r="B158" s="21" t="s">
        <v>348</v>
      </c>
      <c r="C158" s="22" t="n">
        <v>240</v>
      </c>
      <c r="D158" s="31" t="s">
        <v>20</v>
      </c>
      <c r="E158" s="21" t="s">
        <v>348</v>
      </c>
      <c r="F158" s="19" t="n">
        <v>559584193767</v>
      </c>
      <c r="G158" s="31" t="s">
        <v>349</v>
      </c>
      <c r="I158" s="31" t="s">
        <v>34</v>
      </c>
      <c r="R158" s="0" t="n">
        <v>2</v>
      </c>
      <c r="S158" s="0" t="n">
        <v>2026</v>
      </c>
    </row>
    <row r="159" customFormat="false" ht="14.25" hidden="false" customHeight="false" outlineLevel="0" collapsed="false">
      <c r="A159" s="17" t="n">
        <v>46055</v>
      </c>
      <c r="B159" s="21" t="s">
        <v>348</v>
      </c>
      <c r="C159" s="22" t="n">
        <v>240</v>
      </c>
      <c r="D159" s="31" t="s">
        <v>30</v>
      </c>
      <c r="E159" s="21" t="s">
        <v>348</v>
      </c>
      <c r="F159" s="19" t="n">
        <v>559584193767</v>
      </c>
      <c r="G159" s="31" t="s">
        <v>349</v>
      </c>
      <c r="I159" s="31" t="s">
        <v>34</v>
      </c>
      <c r="R159" s="0" t="n">
        <v>2</v>
      </c>
      <c r="S159" s="0" t="n">
        <v>2026</v>
      </c>
    </row>
    <row r="160" customFormat="false" ht="14.25" hidden="false" customHeight="false" outlineLevel="0" collapsed="false">
      <c r="A160" s="17" t="n">
        <v>46055</v>
      </c>
      <c r="B160" s="21" t="s">
        <v>350</v>
      </c>
      <c r="C160" s="22" t="n">
        <v>97</v>
      </c>
      <c r="D160" s="31" t="s">
        <v>20</v>
      </c>
      <c r="E160" s="21" t="s">
        <v>350</v>
      </c>
      <c r="F160" s="19" t="n">
        <v>559591631140</v>
      </c>
      <c r="G160" s="31" t="s">
        <v>351</v>
      </c>
      <c r="I160" s="31" t="s">
        <v>50</v>
      </c>
      <c r="R160" s="0" t="n">
        <v>2</v>
      </c>
      <c r="S160" s="0" t="n">
        <v>2026</v>
      </c>
    </row>
    <row r="161" customFormat="false" ht="14.25" hidden="false" customHeight="false" outlineLevel="0" collapsed="false">
      <c r="A161" s="17" t="n">
        <v>46055</v>
      </c>
      <c r="B161" s="21" t="s">
        <v>352</v>
      </c>
      <c r="C161" s="22" t="n">
        <v>194</v>
      </c>
      <c r="D161" s="31" t="s">
        <v>20</v>
      </c>
      <c r="E161" s="21" t="s">
        <v>353</v>
      </c>
      <c r="F161" s="19" t="n">
        <v>554196335415</v>
      </c>
      <c r="G161" s="31" t="s">
        <v>354</v>
      </c>
      <c r="I161" s="31" t="s">
        <v>355</v>
      </c>
      <c r="R161" s="0" t="n">
        <v>2</v>
      </c>
      <c r="S161" s="0" t="n">
        <v>2026</v>
      </c>
    </row>
    <row r="162" customFormat="false" ht="14.25" hidden="false" customHeight="false" outlineLevel="0" collapsed="false">
      <c r="A162" s="17" t="n">
        <v>46055</v>
      </c>
      <c r="B162" s="21" t="s">
        <v>260</v>
      </c>
      <c r="C162" s="22" t="n">
        <v>150</v>
      </c>
      <c r="D162" s="31" t="s">
        <v>32</v>
      </c>
      <c r="E162" s="21" t="s">
        <v>356</v>
      </c>
      <c r="F162" s="19" t="n">
        <v>554791370820</v>
      </c>
      <c r="G162" s="31" t="s">
        <v>261</v>
      </c>
      <c r="I162" s="31" t="s">
        <v>50</v>
      </c>
      <c r="R162" s="0" t="n">
        <v>2</v>
      </c>
      <c r="S162" s="0" t="n">
        <v>2026</v>
      </c>
    </row>
    <row r="163" customFormat="false" ht="14.25" hidden="false" customHeight="false" outlineLevel="0" collapsed="false">
      <c r="A163" s="17" t="n">
        <v>46054</v>
      </c>
      <c r="B163" s="21" t="s">
        <v>358</v>
      </c>
      <c r="C163" s="22" t="n">
        <v>147</v>
      </c>
      <c r="D163" s="31" t="s">
        <v>18</v>
      </c>
      <c r="E163" s="21" t="s">
        <v>358</v>
      </c>
      <c r="F163" s="19" t="n">
        <v>556295305022</v>
      </c>
      <c r="G163" s="31" t="s">
        <v>359</v>
      </c>
      <c r="I163" s="31" t="s">
        <v>54</v>
      </c>
      <c r="R163" s="0" t="n">
        <v>2</v>
      </c>
      <c r="S163" s="0" t="n">
        <v>2026</v>
      </c>
    </row>
    <row r="164" customFormat="false" ht="14.25" hidden="false" customHeight="false" outlineLevel="0" collapsed="false">
      <c r="A164" s="17" t="n">
        <v>46054</v>
      </c>
      <c r="B164" s="21" t="s">
        <v>360</v>
      </c>
      <c r="C164" s="22" t="n">
        <v>90</v>
      </c>
      <c r="D164" s="31" t="s">
        <v>30</v>
      </c>
      <c r="E164" s="21" t="s">
        <v>361</v>
      </c>
      <c r="F164" s="19" t="n">
        <v>559584285608</v>
      </c>
      <c r="G164" s="31" t="s">
        <v>362</v>
      </c>
      <c r="I164" s="31" t="s">
        <v>50</v>
      </c>
      <c r="R164" s="0" t="n">
        <v>2</v>
      </c>
      <c r="S164" s="0" t="n">
        <v>2026</v>
      </c>
    </row>
    <row r="165" customFormat="false" ht="14.25" hidden="false" customHeight="false" outlineLevel="0" collapsed="false">
      <c r="A165" s="17" t="n">
        <v>46054</v>
      </c>
      <c r="B165" s="21" t="s">
        <v>294</v>
      </c>
      <c r="C165" s="22" t="n">
        <v>500</v>
      </c>
      <c r="D165" s="31" t="s">
        <v>106</v>
      </c>
      <c r="E165" s="21" t="s">
        <v>294</v>
      </c>
      <c r="F165" s="19" t="n">
        <v>5511918514374</v>
      </c>
      <c r="G165" s="31" t="s">
        <v>295</v>
      </c>
      <c r="I165" s="31" t="s">
        <v>34</v>
      </c>
      <c r="R165" s="0" t="n">
        <v>2</v>
      </c>
      <c r="S165" s="0" t="n">
        <v>2026</v>
      </c>
    </row>
    <row r="166" customFormat="false" ht="14.25" hidden="false" customHeight="false" outlineLevel="0" collapsed="false">
      <c r="A166" s="17" t="n">
        <v>46055</v>
      </c>
      <c r="B166" s="21" t="s">
        <v>363</v>
      </c>
      <c r="C166" s="22" t="n">
        <v>250</v>
      </c>
      <c r="D166" s="31" t="s">
        <v>27</v>
      </c>
      <c r="E166" s="21" t="s">
        <v>364</v>
      </c>
      <c r="F166" s="19" t="n">
        <v>554198700879</v>
      </c>
      <c r="G166" s="31" t="s">
        <v>33</v>
      </c>
      <c r="I166" s="31" t="s">
        <v>34</v>
      </c>
      <c r="J166" s="21" t="s">
        <v>60</v>
      </c>
      <c r="K166" s="21" t="s">
        <v>27</v>
      </c>
      <c r="L166" s="21" t="s">
        <v>365</v>
      </c>
      <c r="M166" s="21" t="s">
        <v>62</v>
      </c>
      <c r="R166" s="0" t="n">
        <v>2</v>
      </c>
      <c r="S166" s="0" t="n">
        <v>2026</v>
      </c>
    </row>
    <row r="167" customFormat="false" ht="14.25" hidden="false" customHeight="false" outlineLevel="0" collapsed="false">
      <c r="A167" s="17" t="n">
        <v>46055</v>
      </c>
      <c r="B167" s="21" t="s">
        <v>366</v>
      </c>
      <c r="C167" s="22" t="n">
        <v>250</v>
      </c>
      <c r="D167" s="31" t="s">
        <v>106</v>
      </c>
      <c r="E167" s="21" t="s">
        <v>367</v>
      </c>
      <c r="F167" s="19" t="n">
        <v>556992121074</v>
      </c>
      <c r="G167" s="31" t="s">
        <v>33</v>
      </c>
      <c r="I167" s="31" t="s">
        <v>34</v>
      </c>
      <c r="R167" s="0" t="n">
        <v>2</v>
      </c>
      <c r="S167" s="0" t="n">
        <v>2026</v>
      </c>
    </row>
    <row r="168" customFormat="false" ht="14.25" hidden="false" customHeight="false" outlineLevel="0" collapsed="false">
      <c r="A168" s="17" t="n">
        <v>46056</v>
      </c>
      <c r="B168" s="21" t="s">
        <v>369</v>
      </c>
      <c r="C168" s="22" t="n">
        <v>147</v>
      </c>
      <c r="D168" s="31" t="s">
        <v>18</v>
      </c>
      <c r="E168" s="21" t="s">
        <v>370</v>
      </c>
      <c r="F168" s="19" t="n">
        <v>559591206341</v>
      </c>
      <c r="G168" s="31" t="s">
        <v>371</v>
      </c>
      <c r="I168" s="31" t="s">
        <v>34</v>
      </c>
      <c r="R168" s="0" t="n">
        <v>2</v>
      </c>
      <c r="S168" s="0" t="n">
        <v>2026</v>
      </c>
    </row>
    <row r="169" customFormat="false" ht="14.25" hidden="false" customHeight="false" outlineLevel="0" collapsed="false">
      <c r="A169" s="17" t="n">
        <v>46056</v>
      </c>
      <c r="B169" s="21" t="s">
        <v>372</v>
      </c>
      <c r="C169" s="22" t="n">
        <v>150</v>
      </c>
      <c r="D169" s="31" t="s">
        <v>21</v>
      </c>
      <c r="E169" s="21" t="s">
        <v>373</v>
      </c>
      <c r="F169" s="19" t="n">
        <v>554888249508</v>
      </c>
      <c r="G169" s="31" t="s">
        <v>374</v>
      </c>
      <c r="I169" s="31" t="s">
        <v>34</v>
      </c>
      <c r="R169" s="0" t="n">
        <v>2</v>
      </c>
      <c r="S169" s="0" t="n">
        <v>2026</v>
      </c>
    </row>
    <row r="170" customFormat="false" ht="14.25" hidden="false" customHeight="false" outlineLevel="0" collapsed="false">
      <c r="A170" s="17" t="n">
        <v>46056</v>
      </c>
      <c r="B170" s="21" t="s">
        <v>375</v>
      </c>
      <c r="C170" s="22" t="n">
        <v>120</v>
      </c>
      <c r="D170" s="31" t="s">
        <v>21</v>
      </c>
      <c r="E170" s="21" t="s">
        <v>375</v>
      </c>
      <c r="F170" s="19" t="n">
        <v>554891876579</v>
      </c>
      <c r="G170" s="31" t="s">
        <v>376</v>
      </c>
      <c r="I170" s="31" t="s">
        <v>34</v>
      </c>
      <c r="R170" s="0" t="n">
        <v>2</v>
      </c>
      <c r="S170" s="0" t="n">
        <v>2026</v>
      </c>
    </row>
    <row r="171" customFormat="false" ht="14.25" hidden="false" customHeight="false" outlineLevel="0" collapsed="false">
      <c r="A171" s="17" t="n">
        <v>46056</v>
      </c>
      <c r="B171" s="21" t="s">
        <v>377</v>
      </c>
      <c r="C171" s="22" t="n">
        <v>147</v>
      </c>
      <c r="D171" s="31" t="s">
        <v>22</v>
      </c>
      <c r="E171" s="21" t="s">
        <v>377</v>
      </c>
      <c r="F171" s="19" t="n">
        <v>5511950286989</v>
      </c>
      <c r="G171" s="31" t="s">
        <v>378</v>
      </c>
      <c r="I171" s="31" t="s">
        <v>34</v>
      </c>
      <c r="R171" s="0" t="n">
        <v>2</v>
      </c>
      <c r="S171" s="0" t="n">
        <v>2026</v>
      </c>
    </row>
    <row r="172" customFormat="false" ht="14.25" hidden="false" customHeight="false" outlineLevel="0" collapsed="false">
      <c r="A172" s="17" t="n">
        <v>46056</v>
      </c>
      <c r="B172" s="21" t="s">
        <v>379</v>
      </c>
      <c r="C172" s="22" t="n">
        <v>120</v>
      </c>
      <c r="D172" s="31" t="s">
        <v>21</v>
      </c>
      <c r="E172" s="21" t="s">
        <v>380</v>
      </c>
      <c r="F172" s="19" t="n">
        <v>559584389502</v>
      </c>
      <c r="G172" s="31" t="s">
        <v>381</v>
      </c>
      <c r="I172" s="31" t="s">
        <v>34</v>
      </c>
      <c r="R172" s="0" t="n">
        <v>2</v>
      </c>
      <c r="S172" s="0" t="n">
        <v>2026</v>
      </c>
    </row>
    <row r="173" customFormat="false" ht="14.25" hidden="false" customHeight="false" outlineLevel="0" collapsed="false">
      <c r="A173" s="17" t="n">
        <v>46056</v>
      </c>
      <c r="B173" s="21" t="s">
        <v>382</v>
      </c>
      <c r="C173" s="22" t="n">
        <v>500</v>
      </c>
      <c r="D173" s="31" t="s">
        <v>27</v>
      </c>
      <c r="E173" s="21" t="s">
        <v>383</v>
      </c>
      <c r="F173" s="19" t="n">
        <v>559584103861</v>
      </c>
      <c r="G173" s="31" t="s">
        <v>384</v>
      </c>
      <c r="I173" s="31" t="s">
        <v>34</v>
      </c>
      <c r="R173" s="0" t="n">
        <v>2</v>
      </c>
      <c r="S173" s="0" t="n">
        <v>2026</v>
      </c>
    </row>
    <row r="174" customFormat="false" ht="14.25" hidden="false" customHeight="false" outlineLevel="0" collapsed="false">
      <c r="A174" s="17" t="n">
        <v>46056</v>
      </c>
      <c r="B174" s="21" t="s">
        <v>385</v>
      </c>
      <c r="C174" s="22" t="n">
        <v>120</v>
      </c>
      <c r="D174" s="31" t="s">
        <v>21</v>
      </c>
      <c r="E174" s="21" t="s">
        <v>386</v>
      </c>
      <c r="F174" s="19" t="n">
        <v>554796822290</v>
      </c>
      <c r="G174" s="31" t="s">
        <v>387</v>
      </c>
      <c r="I174" s="31" t="s">
        <v>34</v>
      </c>
      <c r="R174" s="0" t="n">
        <v>2</v>
      </c>
      <c r="S174" s="0" t="n">
        <v>2026</v>
      </c>
    </row>
    <row r="175" customFormat="false" ht="14.25" hidden="false" customHeight="false" outlineLevel="0" collapsed="false">
      <c r="A175" s="17" t="n">
        <v>46059</v>
      </c>
      <c r="B175" s="21" t="s">
        <v>389</v>
      </c>
      <c r="C175" s="22" t="n">
        <v>350</v>
      </c>
      <c r="D175" s="31" t="s">
        <v>390</v>
      </c>
      <c r="E175" s="21" t="s">
        <v>391</v>
      </c>
      <c r="F175" s="19" t="n">
        <v>556592775212</v>
      </c>
      <c r="G175" s="31" t="s">
        <v>392</v>
      </c>
      <c r="I175" s="31" t="s">
        <v>34</v>
      </c>
      <c r="R175" s="0" t="n">
        <v>2</v>
      </c>
      <c r="S175" s="0" t="n">
        <v>2026</v>
      </c>
    </row>
    <row r="176" customFormat="false" ht="14.25" hidden="false" customHeight="false" outlineLevel="0" collapsed="false">
      <c r="A176" s="17" t="n">
        <v>46055</v>
      </c>
      <c r="B176" s="21" t="s">
        <v>393</v>
      </c>
      <c r="C176" s="22" t="n">
        <v>300</v>
      </c>
      <c r="D176" s="31" t="s">
        <v>21</v>
      </c>
      <c r="E176" s="21" t="s">
        <v>393</v>
      </c>
      <c r="F176" s="19" t="n">
        <v>554891393292</v>
      </c>
      <c r="G176" s="31" t="s">
        <v>394</v>
      </c>
      <c r="I176" s="31" t="s">
        <v>50</v>
      </c>
      <c r="R176" s="0" t="n">
        <v>2</v>
      </c>
      <c r="S176" s="0" t="n">
        <v>2026</v>
      </c>
    </row>
    <row r="177" customFormat="false" ht="14.25" hidden="false" customHeight="false" outlineLevel="0" collapsed="false">
      <c r="A177" s="17" t="n">
        <v>46055</v>
      </c>
      <c r="B177" s="21" t="s">
        <v>395</v>
      </c>
      <c r="C177" s="22" t="n">
        <v>120</v>
      </c>
      <c r="D177" s="31" t="s">
        <v>21</v>
      </c>
      <c r="E177" s="21" t="s">
        <v>396</v>
      </c>
      <c r="F177" s="19" t="n">
        <v>559295035429</v>
      </c>
      <c r="G177" s="31" t="s">
        <v>397</v>
      </c>
      <c r="I177" s="31" t="s">
        <v>34</v>
      </c>
      <c r="R177" s="0" t="n">
        <v>2</v>
      </c>
      <c r="S177" s="0" t="n">
        <v>2026</v>
      </c>
    </row>
    <row r="178" customFormat="false" ht="14.25" hidden="false" customHeight="false" outlineLevel="0" collapsed="false">
      <c r="A178" s="17" t="n">
        <v>46055</v>
      </c>
      <c r="B178" s="21" t="s">
        <v>398</v>
      </c>
      <c r="C178" s="22" t="n">
        <v>97</v>
      </c>
      <c r="D178" s="31" t="s">
        <v>18</v>
      </c>
      <c r="E178" s="21" t="s">
        <v>398</v>
      </c>
      <c r="F178" s="19" t="n">
        <v>554199529757</v>
      </c>
      <c r="G178" s="31" t="s">
        <v>399</v>
      </c>
      <c r="I178" s="31" t="s">
        <v>50</v>
      </c>
      <c r="R178" s="0" t="n">
        <v>2</v>
      </c>
      <c r="S178" s="0" t="n">
        <v>2026</v>
      </c>
    </row>
    <row r="179" customFormat="false" ht="14.25" hidden="false" customHeight="false" outlineLevel="0" collapsed="false">
      <c r="A179" s="17" t="n">
        <v>46056</v>
      </c>
      <c r="B179" s="21" t="s">
        <v>400</v>
      </c>
      <c r="C179" s="22" t="n">
        <v>200</v>
      </c>
      <c r="D179" s="31" t="s">
        <v>23</v>
      </c>
      <c r="E179" s="21" t="s">
        <v>400</v>
      </c>
      <c r="F179" s="19" t="n">
        <v>554198065234</v>
      </c>
      <c r="G179" s="31" t="n">
        <v>0</v>
      </c>
      <c r="I179" s="31" t="s">
        <v>34</v>
      </c>
      <c r="R179" s="0" t="n">
        <v>2</v>
      </c>
      <c r="S179" s="0" t="n">
        <v>2026</v>
      </c>
    </row>
    <row r="180" customFormat="false" ht="14.25" hidden="false" customHeight="false" outlineLevel="0" collapsed="false">
      <c r="A180" s="17" t="n">
        <v>46056</v>
      </c>
      <c r="B180" s="21" t="s">
        <v>401</v>
      </c>
      <c r="C180" s="22" t="n">
        <v>120</v>
      </c>
      <c r="D180" s="31" t="s">
        <v>30</v>
      </c>
      <c r="E180" s="21" t="s">
        <v>401</v>
      </c>
      <c r="F180" s="19" t="n">
        <v>559584270638</v>
      </c>
      <c r="G180" s="31" t="s">
        <v>402</v>
      </c>
      <c r="I180" s="31" t="s">
        <v>50</v>
      </c>
      <c r="R180" s="0" t="n">
        <v>2</v>
      </c>
      <c r="S180" s="0" t="n">
        <v>2026</v>
      </c>
    </row>
    <row r="181" customFormat="false" ht="14.25" hidden="false" customHeight="false" outlineLevel="0" collapsed="false">
      <c r="A181" s="17" t="n">
        <v>46057</v>
      </c>
      <c r="B181" s="21" t="s">
        <v>404</v>
      </c>
      <c r="C181" s="22" t="n">
        <v>150</v>
      </c>
      <c r="D181" s="31" t="s">
        <v>32</v>
      </c>
      <c r="E181" s="21" t="s">
        <v>404</v>
      </c>
      <c r="F181" s="19" t="n">
        <v>5562982116925</v>
      </c>
      <c r="G181" s="31" t="s">
        <v>43</v>
      </c>
      <c r="I181" s="31" t="s">
        <v>50</v>
      </c>
      <c r="R181" s="0" t="n">
        <v>2</v>
      </c>
      <c r="S181" s="0" t="n">
        <v>2026</v>
      </c>
    </row>
    <row r="182" customFormat="false" ht="14.25" hidden="false" customHeight="false" outlineLevel="0" collapsed="false">
      <c r="A182" s="17" t="n">
        <v>46056</v>
      </c>
      <c r="B182" s="21" t="s">
        <v>393</v>
      </c>
      <c r="C182" s="22" t="n">
        <v>180</v>
      </c>
      <c r="D182" s="31" t="s">
        <v>26</v>
      </c>
      <c r="E182" s="21" t="s">
        <v>393</v>
      </c>
      <c r="F182" s="19" t="n">
        <v>554891393292</v>
      </c>
      <c r="G182" s="31" t="s">
        <v>394</v>
      </c>
      <c r="I182" s="31" t="s">
        <v>50</v>
      </c>
      <c r="R182" s="0" t="n">
        <v>2</v>
      </c>
      <c r="S182" s="0" t="n">
        <v>2026</v>
      </c>
    </row>
    <row r="183" customFormat="false" ht="14.25" hidden="false" customHeight="false" outlineLevel="0" collapsed="false">
      <c r="A183" s="17" t="n">
        <v>46057</v>
      </c>
      <c r="B183" s="21" t="s">
        <v>405</v>
      </c>
      <c r="C183" s="22" t="n">
        <v>140</v>
      </c>
      <c r="D183" s="31" t="s">
        <v>32</v>
      </c>
      <c r="E183" s="21" t="s">
        <v>405</v>
      </c>
      <c r="F183" s="19" t="n">
        <v>555493624207</v>
      </c>
      <c r="G183" s="31" t="s">
        <v>43</v>
      </c>
      <c r="I183" s="31" t="s">
        <v>50</v>
      </c>
      <c r="R183" s="0" t="n">
        <v>2</v>
      </c>
      <c r="S183" s="0" t="n">
        <v>2026</v>
      </c>
    </row>
    <row r="184" customFormat="false" ht="14.25" hidden="false" customHeight="false" outlineLevel="0" collapsed="false">
      <c r="A184" s="17" t="n">
        <v>46057</v>
      </c>
      <c r="B184" s="21" t="s">
        <v>406</v>
      </c>
      <c r="C184" s="22" t="n">
        <v>180</v>
      </c>
      <c r="D184" s="31" t="s">
        <v>30</v>
      </c>
      <c r="E184" s="21" t="s">
        <v>407</v>
      </c>
      <c r="F184" s="19" t="n">
        <v>5352578161</v>
      </c>
      <c r="G184" s="31" t="s">
        <v>408</v>
      </c>
      <c r="I184" s="31" t="s">
        <v>34</v>
      </c>
      <c r="R184" s="0" t="n">
        <v>2</v>
      </c>
      <c r="S184" s="0" t="n">
        <v>2026</v>
      </c>
    </row>
    <row r="185" customFormat="false" ht="14.25" hidden="false" customHeight="false" outlineLevel="0" collapsed="false">
      <c r="A185" s="17" t="n">
        <v>46057</v>
      </c>
      <c r="B185" s="21" t="s">
        <v>409</v>
      </c>
      <c r="C185" s="22" t="n">
        <v>97</v>
      </c>
      <c r="D185" s="31" t="s">
        <v>30</v>
      </c>
      <c r="E185" s="21" t="s">
        <v>410</v>
      </c>
      <c r="F185" s="19" t="n">
        <v>556182203911</v>
      </c>
      <c r="G185" s="31" t="s">
        <v>411</v>
      </c>
      <c r="I185" s="31" t="s">
        <v>50</v>
      </c>
      <c r="R185" s="0" t="n">
        <v>2</v>
      </c>
      <c r="S185" s="0" t="n">
        <v>2026</v>
      </c>
    </row>
    <row r="186" customFormat="false" ht="14.25" hidden="false" customHeight="false" outlineLevel="0" collapsed="false">
      <c r="A186" s="17" t="n">
        <v>46057</v>
      </c>
      <c r="B186" s="21" t="s">
        <v>412</v>
      </c>
      <c r="C186" s="22" t="n">
        <v>360</v>
      </c>
      <c r="D186" s="31" t="s">
        <v>30</v>
      </c>
      <c r="E186" s="21" t="s">
        <v>413</v>
      </c>
      <c r="F186" s="19" t="n">
        <v>555496030412</v>
      </c>
      <c r="G186" s="31" t="s">
        <v>414</v>
      </c>
      <c r="I186" s="31" t="s">
        <v>34</v>
      </c>
      <c r="R186" s="0" t="n">
        <v>2</v>
      </c>
      <c r="S186" s="0" t="n">
        <v>2026</v>
      </c>
    </row>
    <row r="187" customFormat="false" ht="14.25" hidden="false" customHeight="false" outlineLevel="0" collapsed="false">
      <c r="A187" s="17" t="n">
        <v>46057</v>
      </c>
      <c r="B187" s="21" t="s">
        <v>415</v>
      </c>
      <c r="C187" s="22" t="n">
        <v>147</v>
      </c>
      <c r="D187" s="31" t="s">
        <v>30</v>
      </c>
      <c r="E187" s="21" t="s">
        <v>415</v>
      </c>
      <c r="F187" s="19" t="n">
        <v>555497130115</v>
      </c>
      <c r="G187" s="31" t="s">
        <v>33</v>
      </c>
      <c r="I187" s="31" t="s">
        <v>34</v>
      </c>
      <c r="R187" s="0" t="n">
        <v>2</v>
      </c>
      <c r="S187" s="0" t="n">
        <v>2026</v>
      </c>
    </row>
    <row r="188" customFormat="false" ht="14.25" hidden="false" customHeight="false" outlineLevel="0" collapsed="false">
      <c r="A188" s="17" t="n">
        <v>46057</v>
      </c>
      <c r="B188" s="21" t="s">
        <v>416</v>
      </c>
      <c r="C188" s="22" t="n">
        <v>250</v>
      </c>
      <c r="D188" s="31" t="s">
        <v>30</v>
      </c>
      <c r="E188" s="21" t="s">
        <v>416</v>
      </c>
      <c r="F188" s="19" t="n">
        <v>555492623688</v>
      </c>
      <c r="G188" s="31" t="s">
        <v>417</v>
      </c>
      <c r="I188" s="31" t="s">
        <v>54</v>
      </c>
      <c r="R188" s="0" t="n">
        <v>2</v>
      </c>
      <c r="S188" s="0" t="n">
        <v>2026</v>
      </c>
    </row>
    <row r="189" customFormat="false" ht="14.25" hidden="false" customHeight="false" outlineLevel="0" collapsed="false">
      <c r="A189" s="17" t="n">
        <v>46057</v>
      </c>
      <c r="B189" s="21" t="s">
        <v>418</v>
      </c>
      <c r="C189" s="22" t="n">
        <v>500</v>
      </c>
      <c r="D189" s="31" t="s">
        <v>27</v>
      </c>
      <c r="E189" s="21" t="s">
        <v>419</v>
      </c>
      <c r="F189" s="19" t="n">
        <v>554791936352</v>
      </c>
      <c r="G189" s="31" t="s">
        <v>420</v>
      </c>
      <c r="I189" s="31" t="s">
        <v>34</v>
      </c>
      <c r="R189" s="0" t="n">
        <v>2</v>
      </c>
      <c r="S189" s="0" t="n">
        <v>2026</v>
      </c>
    </row>
    <row r="190" customFormat="false" ht="14.25" hidden="false" customHeight="false" outlineLevel="0" collapsed="false">
      <c r="A190" s="17" t="n">
        <v>46056</v>
      </c>
      <c r="B190" s="21" t="s">
        <v>400</v>
      </c>
      <c r="C190" s="22" t="n">
        <v>750</v>
      </c>
      <c r="D190" s="31" t="s">
        <v>106</v>
      </c>
      <c r="E190" s="21" t="s">
        <v>400</v>
      </c>
      <c r="F190" s="19" t="n">
        <v>554198065234</v>
      </c>
      <c r="G190" s="31" t="n">
        <v>0</v>
      </c>
      <c r="I190" s="31" t="s">
        <v>34</v>
      </c>
      <c r="R190" s="0" t="n">
        <v>2</v>
      </c>
      <c r="S190" s="0" t="n">
        <v>2026</v>
      </c>
    </row>
    <row r="191" customFormat="false" ht="14.25" hidden="false" customHeight="false" outlineLevel="0" collapsed="false">
      <c r="A191" s="17" t="n">
        <v>46057</v>
      </c>
      <c r="B191" s="21" t="s">
        <v>421</v>
      </c>
      <c r="C191" s="22" t="n">
        <v>500</v>
      </c>
      <c r="D191" s="31" t="s">
        <v>27</v>
      </c>
      <c r="E191" s="21" t="s">
        <v>422</v>
      </c>
      <c r="F191" s="19" t="n">
        <v>554891612707</v>
      </c>
      <c r="G191" s="31" t="s">
        <v>423</v>
      </c>
      <c r="I191" s="31" t="s">
        <v>34</v>
      </c>
      <c r="R191" s="0" t="n">
        <v>2</v>
      </c>
      <c r="S191" s="0" t="n">
        <v>2026</v>
      </c>
    </row>
    <row r="192" customFormat="false" ht="14.25" hidden="false" customHeight="false" outlineLevel="0" collapsed="false">
      <c r="A192" s="17" t="n">
        <v>46057</v>
      </c>
      <c r="B192" s="21" t="s">
        <v>424</v>
      </c>
      <c r="C192" s="22" t="n">
        <v>120</v>
      </c>
      <c r="D192" s="31" t="s">
        <v>21</v>
      </c>
      <c r="E192" s="21" t="s">
        <v>424</v>
      </c>
      <c r="F192" s="19" t="n">
        <v>559684379823</v>
      </c>
      <c r="G192" s="31" t="s">
        <v>43</v>
      </c>
      <c r="I192" s="31" t="s">
        <v>50</v>
      </c>
      <c r="R192" s="0" t="n">
        <v>2</v>
      </c>
      <c r="S192" s="0" t="n">
        <v>2026</v>
      </c>
    </row>
    <row r="193" customFormat="false" ht="14.25" hidden="false" customHeight="false" outlineLevel="0" collapsed="false">
      <c r="A193" s="17" t="n">
        <v>46057</v>
      </c>
      <c r="B193" s="21" t="s">
        <v>425</v>
      </c>
      <c r="C193" s="22" t="n">
        <v>150</v>
      </c>
      <c r="D193" s="31" t="s">
        <v>32</v>
      </c>
      <c r="E193" s="21" t="s">
        <v>425</v>
      </c>
      <c r="F193" s="19" t="n">
        <v>559185551838</v>
      </c>
      <c r="G193" s="31" t="s">
        <v>426</v>
      </c>
      <c r="I193" s="31" t="s">
        <v>50</v>
      </c>
      <c r="R193" s="0" t="n">
        <v>2</v>
      </c>
      <c r="S193" s="0" t="n">
        <v>2026</v>
      </c>
    </row>
    <row r="194" customFormat="false" ht="14.25" hidden="false" customHeight="false" outlineLevel="0" collapsed="false">
      <c r="A194" s="17" t="n">
        <v>46056</v>
      </c>
      <c r="B194" s="21" t="s">
        <v>427</v>
      </c>
      <c r="C194" s="22" t="n">
        <v>147</v>
      </c>
      <c r="D194" s="31" t="s">
        <v>390</v>
      </c>
      <c r="E194" s="21" t="s">
        <v>427</v>
      </c>
      <c r="F194" s="19" t="n">
        <v>554198341904</v>
      </c>
      <c r="G194" s="31" t="s">
        <v>428</v>
      </c>
      <c r="I194" s="31" t="s">
        <v>54</v>
      </c>
      <c r="R194" s="0" t="n">
        <v>2</v>
      </c>
      <c r="S194" s="0" t="n">
        <v>2026</v>
      </c>
    </row>
    <row r="195" customFormat="false" ht="14.25" hidden="false" customHeight="false" outlineLevel="0" collapsed="false">
      <c r="A195" s="17" t="n">
        <v>46057</v>
      </c>
      <c r="B195" s="21" t="s">
        <v>429</v>
      </c>
      <c r="C195" s="22" t="n">
        <v>97</v>
      </c>
      <c r="D195" s="31" t="s">
        <v>20</v>
      </c>
      <c r="E195" s="21" t="s">
        <v>430</v>
      </c>
      <c r="F195" s="19" t="n">
        <v>554195465524</v>
      </c>
      <c r="G195" s="31" t="s">
        <v>431</v>
      </c>
      <c r="I195" s="31" t="s">
        <v>355</v>
      </c>
      <c r="J195" s="21" t="s">
        <v>35</v>
      </c>
      <c r="K195" s="21" t="s">
        <v>36</v>
      </c>
      <c r="L195" s="21" t="s">
        <v>37</v>
      </c>
      <c r="M195" s="21" t="s">
        <v>38</v>
      </c>
      <c r="R195" s="0" t="n">
        <v>2</v>
      </c>
      <c r="S195" s="0" t="n">
        <v>2026</v>
      </c>
    </row>
    <row r="196" customFormat="false" ht="14.25" hidden="false" customHeight="false" outlineLevel="0" collapsed="false">
      <c r="A196" s="17" t="n">
        <v>46057</v>
      </c>
      <c r="B196" s="21" t="s">
        <v>432</v>
      </c>
      <c r="C196" s="22" t="n">
        <v>147</v>
      </c>
      <c r="D196" s="31" t="s">
        <v>390</v>
      </c>
      <c r="E196" s="21" t="s">
        <v>432</v>
      </c>
      <c r="F196" s="19" t="n">
        <v>554789227501</v>
      </c>
      <c r="G196" s="31" t="s">
        <v>433</v>
      </c>
      <c r="I196" s="31" t="s">
        <v>50</v>
      </c>
      <c r="R196" s="0" t="n">
        <v>2</v>
      </c>
      <c r="S196" s="0" t="n">
        <v>2026</v>
      </c>
    </row>
    <row r="197" customFormat="false" ht="14.25" hidden="false" customHeight="false" outlineLevel="0" collapsed="false">
      <c r="A197" s="17" t="n">
        <v>46057</v>
      </c>
      <c r="B197" s="21" t="s">
        <v>313</v>
      </c>
      <c r="C197" s="22" t="n">
        <v>147</v>
      </c>
      <c r="D197" s="31" t="s">
        <v>18</v>
      </c>
      <c r="E197" s="21" t="s">
        <v>313</v>
      </c>
      <c r="F197" s="19" t="n">
        <v>554991857313</v>
      </c>
      <c r="G197" s="31" t="s">
        <v>314</v>
      </c>
      <c r="I197" s="31" t="s">
        <v>34</v>
      </c>
      <c r="R197" s="0" t="n">
        <v>2</v>
      </c>
      <c r="S197" s="0" t="n">
        <v>2026</v>
      </c>
    </row>
    <row r="198" customFormat="false" ht="14.25" hidden="false" customHeight="false" outlineLevel="0" collapsed="false">
      <c r="A198" s="17" t="n">
        <v>46058</v>
      </c>
      <c r="B198" s="21" t="s">
        <v>435</v>
      </c>
      <c r="C198" s="22" t="n">
        <v>147</v>
      </c>
      <c r="D198" s="31" t="s">
        <v>22</v>
      </c>
      <c r="E198" s="21" t="s">
        <v>436</v>
      </c>
      <c r="F198" s="19" t="n">
        <v>554796394436</v>
      </c>
      <c r="G198" s="31" t="s">
        <v>437</v>
      </c>
      <c r="I198" s="31" t="s">
        <v>34</v>
      </c>
      <c r="R198" s="0" t="n">
        <v>2</v>
      </c>
      <c r="S198" s="0" t="n">
        <v>2026</v>
      </c>
    </row>
    <row r="199" customFormat="false" ht="14.25" hidden="false" customHeight="false" outlineLevel="0" collapsed="false">
      <c r="A199" s="17" t="n">
        <v>46058</v>
      </c>
      <c r="B199" s="21" t="s">
        <v>438</v>
      </c>
      <c r="C199" s="22" t="n">
        <v>150</v>
      </c>
      <c r="D199" s="31" t="s">
        <v>32</v>
      </c>
      <c r="E199" s="21" t="s">
        <v>438</v>
      </c>
      <c r="F199" s="19" t="n">
        <v>556182281409</v>
      </c>
      <c r="G199" s="31" t="s">
        <v>33</v>
      </c>
      <c r="I199" s="31" t="s">
        <v>34</v>
      </c>
      <c r="R199" s="0" t="n">
        <v>2</v>
      </c>
      <c r="S199" s="0" t="n">
        <v>2026</v>
      </c>
    </row>
    <row r="200" customFormat="false" ht="14.25" hidden="false" customHeight="false" outlineLevel="0" collapsed="false">
      <c r="A200" s="17" t="n">
        <v>46058</v>
      </c>
      <c r="B200" s="21" t="s">
        <v>439</v>
      </c>
      <c r="C200" s="22" t="n">
        <v>150</v>
      </c>
      <c r="D200" s="31" t="s">
        <v>32</v>
      </c>
      <c r="E200" s="21" t="s">
        <v>440</v>
      </c>
      <c r="F200" s="19" t="n">
        <v>556191246670</v>
      </c>
      <c r="G200" s="31" t="s">
        <v>441</v>
      </c>
      <c r="I200" s="31" t="s">
        <v>355</v>
      </c>
      <c r="R200" s="0" t="n">
        <v>2</v>
      </c>
      <c r="S200" s="0" t="n">
        <v>2026</v>
      </c>
    </row>
    <row r="201" customFormat="false" ht="14.25" hidden="false" customHeight="false" outlineLevel="0" collapsed="false">
      <c r="A201" s="17" t="n">
        <v>46058</v>
      </c>
      <c r="B201" s="21" t="s">
        <v>442</v>
      </c>
      <c r="C201" s="22" t="n">
        <v>140</v>
      </c>
      <c r="D201" s="31" t="s">
        <v>32</v>
      </c>
      <c r="E201" s="21" t="s">
        <v>442</v>
      </c>
      <c r="F201" s="19" t="n">
        <v>5519981574706</v>
      </c>
      <c r="G201" s="31" t="s">
        <v>443</v>
      </c>
      <c r="I201" s="31" t="s">
        <v>34</v>
      </c>
      <c r="J201" s="21" t="s">
        <v>35</v>
      </c>
      <c r="K201" s="21" t="s">
        <v>36</v>
      </c>
      <c r="L201" s="21" t="s">
        <v>37</v>
      </c>
      <c r="M201" s="21" t="s">
        <v>38</v>
      </c>
      <c r="R201" s="0" t="n">
        <v>2</v>
      </c>
      <c r="S201" s="0" t="n">
        <v>2026</v>
      </c>
    </row>
    <row r="202" customFormat="false" ht="14.25" hidden="false" customHeight="false" outlineLevel="0" collapsed="false">
      <c r="A202" s="17" t="n">
        <v>46058</v>
      </c>
      <c r="C202" s="22" t="n">
        <v>150</v>
      </c>
      <c r="D202" s="31" t="s">
        <v>32</v>
      </c>
      <c r="E202" s="21" t="s">
        <v>444</v>
      </c>
      <c r="F202" s="19" t="n">
        <v>559584301375</v>
      </c>
      <c r="G202" s="31" t="s">
        <v>43</v>
      </c>
      <c r="I202" s="31" t="s">
        <v>50</v>
      </c>
      <c r="R202" s="0" t="n">
        <v>2</v>
      </c>
      <c r="S202" s="0" t="n">
        <v>2026</v>
      </c>
    </row>
    <row r="203" customFormat="false" ht="14.25" hidden="false" customHeight="false" outlineLevel="0" collapsed="false">
      <c r="A203" s="17" t="n">
        <v>46058</v>
      </c>
      <c r="B203" s="21" t="s">
        <v>445</v>
      </c>
      <c r="C203" s="22" t="n">
        <v>150</v>
      </c>
      <c r="D203" s="31" t="s">
        <v>32</v>
      </c>
      <c r="E203" s="21" t="s">
        <v>445</v>
      </c>
      <c r="F203" s="19" t="n">
        <v>5978206983</v>
      </c>
      <c r="G203" s="31" t="s">
        <v>446</v>
      </c>
      <c r="I203" s="31" t="s">
        <v>34</v>
      </c>
      <c r="R203" s="0" t="n">
        <v>2</v>
      </c>
      <c r="S203" s="0" t="n">
        <v>2026</v>
      </c>
    </row>
    <row r="204" customFormat="false" ht="14.25" hidden="false" customHeight="false" outlineLevel="0" collapsed="false">
      <c r="A204" s="17" t="n">
        <v>46058</v>
      </c>
      <c r="B204" s="21" t="s">
        <v>447</v>
      </c>
      <c r="C204" s="22" t="n">
        <v>90</v>
      </c>
      <c r="D204" s="31" t="s">
        <v>20</v>
      </c>
      <c r="E204" s="21" t="s">
        <v>448</v>
      </c>
      <c r="F204" s="19" t="n">
        <v>555180467608</v>
      </c>
      <c r="G204" s="31" t="s">
        <v>449</v>
      </c>
      <c r="I204" s="31" t="s">
        <v>34</v>
      </c>
      <c r="R204" s="0" t="n">
        <v>2</v>
      </c>
      <c r="S204" s="0" t="n">
        <v>2026</v>
      </c>
    </row>
    <row r="205" customFormat="false" ht="14.25" hidden="false" customHeight="false" outlineLevel="0" collapsed="false">
      <c r="A205" s="17" t="n">
        <v>46058</v>
      </c>
      <c r="B205" s="21" t="s">
        <v>450</v>
      </c>
      <c r="C205" s="22" t="n">
        <v>150</v>
      </c>
      <c r="D205" s="31" t="s">
        <v>29</v>
      </c>
      <c r="E205" s="21" t="s">
        <v>450</v>
      </c>
      <c r="F205" s="19" t="n">
        <v>556796990362</v>
      </c>
      <c r="G205" s="31" t="s">
        <v>451</v>
      </c>
      <c r="I205" s="31" t="s">
        <v>50</v>
      </c>
      <c r="R205" s="0" t="n">
        <v>2</v>
      </c>
      <c r="S205" s="0" t="n">
        <v>2026</v>
      </c>
    </row>
    <row r="206" customFormat="false" ht="14.25" hidden="false" customHeight="false" outlineLevel="0" collapsed="false">
      <c r="A206" s="17" t="n">
        <v>46058</v>
      </c>
      <c r="B206" s="21" t="s">
        <v>452</v>
      </c>
      <c r="C206" s="22" t="n">
        <v>147</v>
      </c>
      <c r="D206" s="31" t="s">
        <v>18</v>
      </c>
      <c r="E206" s="21" t="s">
        <v>452</v>
      </c>
      <c r="F206" s="19" t="n">
        <v>554188940578</v>
      </c>
      <c r="G206" s="31" t="s">
        <v>453</v>
      </c>
      <c r="I206" s="31" t="s">
        <v>355</v>
      </c>
      <c r="R206" s="0" t="n">
        <v>2</v>
      </c>
      <c r="S206" s="0" t="n">
        <v>2026</v>
      </c>
    </row>
    <row r="207" customFormat="false" ht="14.25" hidden="false" customHeight="false" outlineLevel="0" collapsed="false">
      <c r="A207" s="17" t="n">
        <v>46058</v>
      </c>
      <c r="B207" s="21" t="s">
        <v>454</v>
      </c>
      <c r="C207" s="22" t="n">
        <v>150</v>
      </c>
      <c r="D207" s="31" t="s">
        <v>32</v>
      </c>
      <c r="E207" s="21" t="s">
        <v>454</v>
      </c>
      <c r="F207" s="19" t="n">
        <v>559584150760</v>
      </c>
      <c r="G207" s="31" t="s">
        <v>455</v>
      </c>
      <c r="I207" s="31" t="s">
        <v>355</v>
      </c>
      <c r="R207" s="0" t="n">
        <v>2</v>
      </c>
      <c r="S207" s="0" t="n">
        <v>2026</v>
      </c>
    </row>
    <row r="208" customFormat="false" ht="14.25" hidden="false" customHeight="false" outlineLevel="0" collapsed="false">
      <c r="A208" s="17" t="n">
        <v>46058</v>
      </c>
      <c r="B208" s="21" t="s">
        <v>456</v>
      </c>
      <c r="C208" s="22" t="n">
        <v>480</v>
      </c>
      <c r="D208" s="31" t="s">
        <v>21</v>
      </c>
      <c r="E208" s="21" t="s">
        <v>456</v>
      </c>
      <c r="F208" s="19" t="n">
        <v>554899373488</v>
      </c>
      <c r="G208" s="31" t="s">
        <v>457</v>
      </c>
      <c r="I208" s="31" t="s">
        <v>50</v>
      </c>
      <c r="R208" s="0" t="n">
        <v>2</v>
      </c>
      <c r="S208" s="0" t="n">
        <v>2026</v>
      </c>
    </row>
    <row r="209" customFormat="false" ht="14.25" hidden="false" customHeight="false" outlineLevel="0" collapsed="false">
      <c r="A209" s="17" t="n">
        <v>46057</v>
      </c>
      <c r="B209" s="21" t="s">
        <v>336</v>
      </c>
      <c r="C209" s="22" t="n">
        <v>150</v>
      </c>
      <c r="D209" s="31" t="s">
        <v>32</v>
      </c>
      <c r="E209" s="21" t="s">
        <v>336</v>
      </c>
      <c r="F209" s="19" t="n">
        <v>5511991061427</v>
      </c>
      <c r="G209" s="31" t="s">
        <v>337</v>
      </c>
      <c r="I209" s="31" t="s">
        <v>50</v>
      </c>
      <c r="R209" s="0" t="n">
        <v>2</v>
      </c>
      <c r="S209" s="0" t="n">
        <v>2026</v>
      </c>
    </row>
    <row r="210" customFormat="false" ht="14.25" hidden="false" customHeight="false" outlineLevel="0" collapsed="false">
      <c r="A210" s="17" t="n">
        <v>46058</v>
      </c>
      <c r="B210" s="21" t="s">
        <v>458</v>
      </c>
      <c r="C210" s="22" t="n">
        <v>200</v>
      </c>
      <c r="D210" s="31" t="s">
        <v>23</v>
      </c>
      <c r="E210" s="21" t="s">
        <v>458</v>
      </c>
      <c r="F210" s="19" t="n">
        <v>558481672392</v>
      </c>
      <c r="G210" s="31" t="s">
        <v>43</v>
      </c>
      <c r="I210" s="31" t="s">
        <v>50</v>
      </c>
      <c r="R210" s="0" t="n">
        <v>2</v>
      </c>
      <c r="S210" s="0" t="n">
        <v>2026</v>
      </c>
    </row>
    <row r="211" customFormat="false" ht="14.25" hidden="false" customHeight="false" outlineLevel="0" collapsed="false">
      <c r="A211" s="17" t="n">
        <v>46058</v>
      </c>
      <c r="B211" s="21" t="s">
        <v>171</v>
      </c>
      <c r="C211" s="22" t="n">
        <v>500</v>
      </c>
      <c r="D211" s="31" t="s">
        <v>106</v>
      </c>
      <c r="E211" s="21" t="s">
        <v>171</v>
      </c>
      <c r="F211" s="19" t="n">
        <v>556593121934</v>
      </c>
      <c r="G211" s="31" t="s">
        <v>172</v>
      </c>
      <c r="I211" s="31" t="s">
        <v>34</v>
      </c>
      <c r="R211" s="0" t="n">
        <v>2</v>
      </c>
      <c r="S211" s="0" t="n">
        <v>2026</v>
      </c>
    </row>
    <row r="212" customFormat="false" ht="14.25" hidden="false" customHeight="false" outlineLevel="0" collapsed="false">
      <c r="A212" s="17" t="n">
        <v>46058</v>
      </c>
      <c r="B212" s="21" t="s">
        <v>459</v>
      </c>
      <c r="C212" s="22" t="n">
        <v>60</v>
      </c>
      <c r="D212" s="31" t="s">
        <v>25</v>
      </c>
      <c r="E212" s="21" t="s">
        <v>459</v>
      </c>
      <c r="F212" s="19" t="n">
        <v>554184546223</v>
      </c>
      <c r="G212" s="31" t="s">
        <v>460</v>
      </c>
      <c r="I212" s="31" t="s">
        <v>50</v>
      </c>
      <c r="J212" s="21" t="s">
        <v>35</v>
      </c>
      <c r="K212" s="21" t="s">
        <v>36</v>
      </c>
      <c r="L212" s="21" t="s">
        <v>37</v>
      </c>
      <c r="M212" s="21" t="s">
        <v>38</v>
      </c>
      <c r="R212" s="0" t="n">
        <v>2</v>
      </c>
      <c r="S212" s="0" t="n">
        <v>2026</v>
      </c>
    </row>
    <row r="213" customFormat="false" ht="14.25" hidden="false" customHeight="false" outlineLevel="0" collapsed="false">
      <c r="A213" s="17" t="n">
        <v>46059</v>
      </c>
      <c r="B213" s="21" t="s">
        <v>461</v>
      </c>
      <c r="C213" s="22" t="n">
        <v>120</v>
      </c>
      <c r="D213" s="31" t="s">
        <v>30</v>
      </c>
      <c r="E213" s="21" t="s">
        <v>462</v>
      </c>
      <c r="F213" s="19" t="n">
        <v>554891355259</v>
      </c>
      <c r="G213" s="31" t="s">
        <v>463</v>
      </c>
      <c r="I213" s="31" t="s">
        <v>50</v>
      </c>
      <c r="R213" s="0" t="n">
        <v>2</v>
      </c>
      <c r="S213" s="0" t="n">
        <v>2026</v>
      </c>
    </row>
    <row r="214" customFormat="false" ht="14.25" hidden="false" customHeight="false" outlineLevel="0" collapsed="false">
      <c r="A214" s="17" t="n">
        <v>46059</v>
      </c>
      <c r="B214" s="21" t="s">
        <v>464</v>
      </c>
      <c r="C214" s="22" t="n">
        <v>97</v>
      </c>
      <c r="D214" s="31" t="s">
        <v>20</v>
      </c>
      <c r="E214" s="21" t="s">
        <v>464</v>
      </c>
      <c r="F214" s="19" t="n">
        <v>554199077538</v>
      </c>
      <c r="G214" s="31" t="s">
        <v>465</v>
      </c>
      <c r="I214" s="31" t="s">
        <v>50</v>
      </c>
      <c r="R214" s="0" t="n">
        <v>2</v>
      </c>
      <c r="S214" s="0" t="n">
        <v>2026</v>
      </c>
    </row>
    <row r="215" customFormat="false" ht="14.25" hidden="false" customHeight="false" outlineLevel="0" collapsed="false">
      <c r="A215" s="17" t="n">
        <v>46058</v>
      </c>
      <c r="B215" s="21" t="s">
        <v>466</v>
      </c>
      <c r="C215" s="22" t="n">
        <v>97</v>
      </c>
      <c r="D215" s="31" t="s">
        <v>30</v>
      </c>
      <c r="E215" s="21" t="s">
        <v>466</v>
      </c>
      <c r="F215" s="19" t="n">
        <v>5519981715481</v>
      </c>
      <c r="G215" s="31" t="s">
        <v>467</v>
      </c>
      <c r="I215" s="31" t="s">
        <v>50</v>
      </c>
      <c r="R215" s="0" t="n">
        <v>2</v>
      </c>
      <c r="S215" s="0" t="n">
        <v>2026</v>
      </c>
    </row>
    <row r="216" customFormat="false" ht="14.25" hidden="false" customHeight="false" outlineLevel="0" collapsed="false">
      <c r="A216" s="17" t="n">
        <v>46059</v>
      </c>
      <c r="B216" s="21" t="s">
        <v>468</v>
      </c>
      <c r="C216" s="22" t="n">
        <v>97</v>
      </c>
      <c r="D216" s="31" t="s">
        <v>20</v>
      </c>
      <c r="E216" s="21" t="s">
        <v>468</v>
      </c>
      <c r="F216" s="19" t="n">
        <v>559574000950</v>
      </c>
      <c r="G216" s="31" t="s">
        <v>43</v>
      </c>
      <c r="I216" s="31" t="s">
        <v>50</v>
      </c>
      <c r="J216" s="21" t="s">
        <v>97</v>
      </c>
      <c r="K216" s="21" t="s">
        <v>20</v>
      </c>
      <c r="L216" s="21" t="s">
        <v>469</v>
      </c>
      <c r="M216" s="21" t="s">
        <v>99</v>
      </c>
      <c r="R216" s="0" t="n">
        <v>2</v>
      </c>
      <c r="S216" s="0" t="n">
        <v>2026</v>
      </c>
    </row>
    <row r="217" customFormat="false" ht="14.25" hidden="false" customHeight="false" outlineLevel="0" collapsed="false">
      <c r="A217" s="17" t="n">
        <v>46059</v>
      </c>
      <c r="B217" s="21" t="s">
        <v>470</v>
      </c>
      <c r="C217" s="22" t="n">
        <v>50</v>
      </c>
      <c r="D217" s="31" t="s">
        <v>25</v>
      </c>
      <c r="E217" s="21" t="s">
        <v>470</v>
      </c>
      <c r="F217" s="19" t="n">
        <v>5554999456197</v>
      </c>
      <c r="G217" s="31" t="s">
        <v>33</v>
      </c>
      <c r="I217" s="31" t="s">
        <v>355</v>
      </c>
      <c r="R217" s="0" t="n">
        <v>2</v>
      </c>
      <c r="S217" s="0" t="n">
        <v>2026</v>
      </c>
    </row>
    <row r="218" customFormat="false" ht="14.25" hidden="false" customHeight="false" outlineLevel="0" collapsed="false">
      <c r="A218" s="17" t="n">
        <v>46059</v>
      </c>
      <c r="B218" s="21" t="s">
        <v>471</v>
      </c>
      <c r="C218" s="22" t="n">
        <v>120</v>
      </c>
      <c r="D218" s="31" t="s">
        <v>30</v>
      </c>
      <c r="E218" s="21" t="s">
        <v>471</v>
      </c>
      <c r="F218" s="19" t="n">
        <v>5511981656902</v>
      </c>
      <c r="G218" s="31" t="s">
        <v>472</v>
      </c>
      <c r="I218" s="31" t="s">
        <v>50</v>
      </c>
      <c r="J218" s="21" t="s">
        <v>35</v>
      </c>
      <c r="K218" s="21" t="s">
        <v>36</v>
      </c>
      <c r="L218" s="21" t="s">
        <v>37</v>
      </c>
      <c r="M218" s="21" t="s">
        <v>38</v>
      </c>
      <c r="R218" s="0" t="n">
        <v>2</v>
      </c>
      <c r="S218" s="0" t="n">
        <v>2026</v>
      </c>
    </row>
    <row r="219" customFormat="false" ht="14.25" hidden="false" customHeight="false" outlineLevel="0" collapsed="false">
      <c r="A219" s="17" t="n">
        <v>46059</v>
      </c>
      <c r="B219" s="21" t="s">
        <v>473</v>
      </c>
      <c r="C219" s="22" t="n">
        <v>150</v>
      </c>
      <c r="D219" s="31" t="s">
        <v>474</v>
      </c>
      <c r="E219" s="21" t="s">
        <v>473</v>
      </c>
      <c r="F219" s="19" t="n">
        <v>559691115942</v>
      </c>
      <c r="G219" s="31" t="s">
        <v>475</v>
      </c>
      <c r="I219" s="31" t="s">
        <v>50</v>
      </c>
      <c r="R219" s="0" t="n">
        <v>2</v>
      </c>
      <c r="S219" s="0" t="n">
        <v>2026</v>
      </c>
    </row>
    <row r="220" customFormat="false" ht="14.25" hidden="false" customHeight="false" outlineLevel="0" collapsed="false">
      <c r="A220" s="17" t="n">
        <v>46059</v>
      </c>
      <c r="B220" s="21" t="s">
        <v>476</v>
      </c>
      <c r="C220" s="22" t="n">
        <v>150</v>
      </c>
      <c r="D220" s="31" t="s">
        <v>32</v>
      </c>
      <c r="E220" s="21" t="s">
        <v>476</v>
      </c>
      <c r="F220" s="19" t="n">
        <v>5515988353024</v>
      </c>
      <c r="G220" s="31" t="s">
        <v>477</v>
      </c>
      <c r="I220" s="31" t="s">
        <v>34</v>
      </c>
      <c r="R220" s="0" t="n">
        <v>2</v>
      </c>
      <c r="S220" s="0" t="n">
        <v>2026</v>
      </c>
    </row>
    <row r="221" customFormat="false" ht="14.25" hidden="false" customHeight="false" outlineLevel="0" collapsed="false">
      <c r="A221" s="17" t="n">
        <v>46059</v>
      </c>
      <c r="B221" s="21" t="s">
        <v>478</v>
      </c>
      <c r="C221" s="22" t="n">
        <v>147</v>
      </c>
      <c r="D221" s="31" t="s">
        <v>18</v>
      </c>
      <c r="E221" s="21" t="s">
        <v>479</v>
      </c>
      <c r="F221" s="19" t="n">
        <v>556892494439</v>
      </c>
      <c r="G221" s="31" t="s">
        <v>480</v>
      </c>
      <c r="I221" s="31" t="s">
        <v>34</v>
      </c>
      <c r="J221" s="21" t="s">
        <v>35</v>
      </c>
      <c r="K221" s="21" t="s">
        <v>36</v>
      </c>
      <c r="L221" s="21" t="s">
        <v>37</v>
      </c>
      <c r="M221" s="21" t="s">
        <v>38</v>
      </c>
      <c r="R221" s="0" t="n">
        <v>2</v>
      </c>
      <c r="S221" s="0" t="n">
        <v>2026</v>
      </c>
    </row>
    <row r="222" customFormat="false" ht="14.25" hidden="false" customHeight="false" outlineLevel="0" collapsed="false">
      <c r="A222" s="17" t="n">
        <v>46059</v>
      </c>
      <c r="B222" s="21" t="s">
        <v>481</v>
      </c>
      <c r="C222" s="22" t="n">
        <v>194</v>
      </c>
      <c r="D222" s="31" t="s">
        <v>20</v>
      </c>
      <c r="E222" s="21" t="s">
        <v>481</v>
      </c>
      <c r="F222" s="19" t="n">
        <v>554799469458</v>
      </c>
      <c r="G222" s="31" t="s">
        <v>482</v>
      </c>
      <c r="I222" s="31" t="s">
        <v>355</v>
      </c>
      <c r="R222" s="0" t="n">
        <v>2</v>
      </c>
      <c r="S222" s="0" t="n">
        <v>2026</v>
      </c>
    </row>
    <row r="223" customFormat="false" ht="14.25" hidden="false" customHeight="false" outlineLevel="0" collapsed="false">
      <c r="A223" s="17" t="n">
        <v>46059</v>
      </c>
      <c r="B223" s="21" t="s">
        <v>483</v>
      </c>
      <c r="C223" s="22" t="n">
        <v>450</v>
      </c>
      <c r="D223" s="31" t="s">
        <v>29</v>
      </c>
      <c r="E223" s="21" t="s">
        <v>484</v>
      </c>
      <c r="F223" s="19" t="n">
        <v>5515998719885</v>
      </c>
      <c r="G223" s="31" t="s">
        <v>485</v>
      </c>
      <c r="I223" s="31" t="s">
        <v>355</v>
      </c>
      <c r="R223" s="0" t="n">
        <v>2</v>
      </c>
      <c r="S223" s="0" t="n">
        <v>2026</v>
      </c>
    </row>
    <row r="224" customFormat="false" ht="14.25" hidden="false" customHeight="false" outlineLevel="0" collapsed="false">
      <c r="A224" s="17" t="n">
        <v>46059</v>
      </c>
      <c r="B224" s="21" t="s">
        <v>486</v>
      </c>
      <c r="C224" s="22" t="n">
        <v>150</v>
      </c>
      <c r="D224" s="31" t="s">
        <v>32</v>
      </c>
      <c r="E224" s="21" t="s">
        <v>486</v>
      </c>
      <c r="F224" s="19" t="n">
        <v>555491051058</v>
      </c>
      <c r="G224" s="31" t="s">
        <v>487</v>
      </c>
      <c r="I224" s="31" t="s">
        <v>355</v>
      </c>
      <c r="R224" s="0" t="n">
        <v>2</v>
      </c>
      <c r="S224" s="0" t="n">
        <v>2026</v>
      </c>
    </row>
    <row r="225" customFormat="false" ht="14.25" hidden="false" customHeight="false" outlineLevel="0" collapsed="false">
      <c r="A225" s="17" t="n">
        <v>46059</v>
      </c>
      <c r="B225" s="21" t="s">
        <v>488</v>
      </c>
      <c r="C225" s="22" t="n">
        <v>120</v>
      </c>
      <c r="D225" s="31" t="s">
        <v>25</v>
      </c>
      <c r="E225" s="21" t="s">
        <v>488</v>
      </c>
      <c r="F225" s="19" t="n">
        <v>554888148413</v>
      </c>
      <c r="G225" s="31" t="s">
        <v>489</v>
      </c>
      <c r="I225" s="31" t="s">
        <v>355</v>
      </c>
      <c r="R225" s="0" t="n">
        <v>2</v>
      </c>
      <c r="S225" s="0" t="n">
        <v>2026</v>
      </c>
    </row>
    <row r="226" customFormat="false" ht="14.25" hidden="false" customHeight="false" outlineLevel="0" collapsed="false">
      <c r="A226" s="17" t="n">
        <v>46059</v>
      </c>
      <c r="B226" s="21" t="s">
        <v>490</v>
      </c>
      <c r="C226" s="22" t="n">
        <v>97</v>
      </c>
      <c r="D226" s="31" t="s">
        <v>21</v>
      </c>
      <c r="E226" s="21" t="s">
        <v>490</v>
      </c>
      <c r="F226" s="19" t="n">
        <v>554899546712</v>
      </c>
      <c r="G226" s="31" t="s">
        <v>491</v>
      </c>
      <c r="I226" s="31" t="s">
        <v>355</v>
      </c>
      <c r="R226" s="0" t="n">
        <v>2</v>
      </c>
      <c r="S226" s="0" t="n">
        <v>2026</v>
      </c>
    </row>
    <row r="227" customFormat="false" ht="14.25" hidden="false" customHeight="false" outlineLevel="0" collapsed="false">
      <c r="A227" s="17" t="n">
        <v>46059</v>
      </c>
      <c r="B227" s="21" t="s">
        <v>492</v>
      </c>
      <c r="C227" s="22" t="n">
        <v>150</v>
      </c>
      <c r="D227" s="31" t="s">
        <v>32</v>
      </c>
      <c r="E227" s="21" t="s">
        <v>493</v>
      </c>
      <c r="F227" s="19" t="n">
        <v>559591515615</v>
      </c>
      <c r="G227" s="31" t="s">
        <v>33</v>
      </c>
      <c r="I227" s="31" t="s">
        <v>34</v>
      </c>
      <c r="J227" s="21" t="s">
        <v>35</v>
      </c>
      <c r="K227" s="21" t="s">
        <v>36</v>
      </c>
      <c r="L227" s="21" t="s">
        <v>37</v>
      </c>
      <c r="M227" s="21" t="s">
        <v>38</v>
      </c>
      <c r="R227" s="0" t="n">
        <v>2</v>
      </c>
      <c r="S227" s="0" t="n">
        <v>2026</v>
      </c>
    </row>
    <row r="228" customFormat="false" ht="14.25" hidden="false" customHeight="false" outlineLevel="0" collapsed="false">
      <c r="A228" s="17" t="n">
        <v>46059</v>
      </c>
      <c r="B228" s="21" t="s">
        <v>494</v>
      </c>
      <c r="C228" s="22" t="n">
        <v>294</v>
      </c>
      <c r="D228" s="31" t="s">
        <v>18</v>
      </c>
      <c r="E228" s="21" t="s">
        <v>495</v>
      </c>
      <c r="F228" s="19" t="n">
        <v>553799589574</v>
      </c>
      <c r="G228" s="31" t="s">
        <v>496</v>
      </c>
      <c r="I228" s="31" t="s">
        <v>34</v>
      </c>
      <c r="J228" s="21" t="s">
        <v>35</v>
      </c>
      <c r="K228" s="21" t="s">
        <v>69</v>
      </c>
      <c r="L228" s="21" t="s">
        <v>70</v>
      </c>
      <c r="M228" s="21" t="s">
        <v>38</v>
      </c>
      <c r="R228" s="0" t="n">
        <v>2</v>
      </c>
      <c r="S228" s="0" t="n">
        <v>2026</v>
      </c>
    </row>
    <row r="229" customFormat="false" ht="14.25" hidden="false" customHeight="false" outlineLevel="0" collapsed="false">
      <c r="A229" s="17" t="n">
        <v>46059</v>
      </c>
      <c r="B229" s="21" t="s">
        <v>497</v>
      </c>
      <c r="C229" s="22" t="n">
        <v>90</v>
      </c>
      <c r="D229" s="31" t="s">
        <v>20</v>
      </c>
      <c r="E229" s="21" t="s">
        <v>498</v>
      </c>
      <c r="F229" s="19" t="n">
        <v>559574003780</v>
      </c>
      <c r="G229" s="31" t="s">
        <v>499</v>
      </c>
      <c r="I229" s="31" t="s">
        <v>355</v>
      </c>
      <c r="J229" s="21" t="s">
        <v>35</v>
      </c>
      <c r="K229" s="21" t="s">
        <v>36</v>
      </c>
      <c r="L229" s="21" t="s">
        <v>37</v>
      </c>
      <c r="M229" s="21" t="s">
        <v>38</v>
      </c>
      <c r="R229" s="0" t="n">
        <v>2</v>
      </c>
      <c r="S229" s="0" t="n">
        <v>2026</v>
      </c>
    </row>
    <row r="230" customFormat="false" ht="14.25" hidden="false" customHeight="false" outlineLevel="0" collapsed="false">
      <c r="A230" s="17" t="n">
        <v>46059</v>
      </c>
      <c r="B230" s="21" t="s">
        <v>500</v>
      </c>
      <c r="C230" s="22" t="n">
        <v>160</v>
      </c>
      <c r="D230" s="31" t="s">
        <v>20</v>
      </c>
      <c r="E230" s="21" t="s">
        <v>150</v>
      </c>
      <c r="F230" s="19" t="n">
        <v>5513996062412</v>
      </c>
      <c r="G230" s="31" t="s">
        <v>45</v>
      </c>
      <c r="I230" s="31" t="s">
        <v>34</v>
      </c>
      <c r="R230" s="0" t="n">
        <v>2</v>
      </c>
      <c r="S230" s="0" t="n">
        <v>2026</v>
      </c>
    </row>
    <row r="231" customFormat="false" ht="14.25" hidden="false" customHeight="false" outlineLevel="0" collapsed="false">
      <c r="A231" s="17" t="n">
        <v>46059</v>
      </c>
      <c r="B231" s="21" t="s">
        <v>501</v>
      </c>
      <c r="C231" s="22" t="n">
        <v>300</v>
      </c>
      <c r="D231" s="31" t="s">
        <v>106</v>
      </c>
      <c r="E231" s="21" t="s">
        <v>502</v>
      </c>
      <c r="F231" s="19" t="n">
        <v>556184883893</v>
      </c>
      <c r="G231" s="31" t="s">
        <v>33</v>
      </c>
      <c r="I231" s="31" t="s">
        <v>34</v>
      </c>
      <c r="R231" s="0" t="n">
        <v>2</v>
      </c>
      <c r="S231" s="0" t="n">
        <v>2026</v>
      </c>
    </row>
    <row r="232" customFormat="false" ht="14.25" hidden="false" customHeight="false" outlineLevel="0" collapsed="false">
      <c r="A232" s="17" t="n">
        <v>46059</v>
      </c>
      <c r="B232" s="21" t="s">
        <v>503</v>
      </c>
      <c r="C232" s="22" t="n">
        <v>300</v>
      </c>
      <c r="D232" s="31" t="s">
        <v>24</v>
      </c>
      <c r="E232" s="21" t="s">
        <v>504</v>
      </c>
      <c r="F232" s="19" t="n">
        <v>559584275807</v>
      </c>
      <c r="G232" s="31" t="s">
        <v>505</v>
      </c>
      <c r="I232" s="31" t="s">
        <v>50</v>
      </c>
      <c r="R232" s="0" t="n">
        <v>2</v>
      </c>
      <c r="S232" s="0" t="n">
        <v>2026</v>
      </c>
    </row>
    <row r="233" customFormat="false" ht="14.25" hidden="false" customHeight="false" outlineLevel="0" collapsed="false">
      <c r="A233" s="17" t="n">
        <v>46059</v>
      </c>
      <c r="B233" s="21" t="s">
        <v>506</v>
      </c>
      <c r="C233" s="22" t="n">
        <v>150</v>
      </c>
      <c r="D233" s="31" t="s">
        <v>32</v>
      </c>
      <c r="E233" s="21" t="s">
        <v>507</v>
      </c>
      <c r="F233" s="19" t="n">
        <v>559591582924</v>
      </c>
      <c r="G233" s="31" t="s">
        <v>508</v>
      </c>
      <c r="I233" s="31" t="s">
        <v>34</v>
      </c>
      <c r="R233" s="0" t="n">
        <v>2</v>
      </c>
      <c r="S233" s="0" t="n">
        <v>2026</v>
      </c>
    </row>
    <row r="234" customFormat="false" ht="14.25" hidden="false" customHeight="false" outlineLevel="0" collapsed="false">
      <c r="A234" s="17" t="n">
        <v>46059</v>
      </c>
      <c r="B234" s="21" t="s">
        <v>509</v>
      </c>
      <c r="C234" s="22" t="n">
        <v>240</v>
      </c>
      <c r="D234" s="31" t="s">
        <v>21</v>
      </c>
      <c r="E234" s="21" t="s">
        <v>509</v>
      </c>
      <c r="F234" s="19" t="n">
        <v>558899155871</v>
      </c>
      <c r="G234" s="31" t="s">
        <v>510</v>
      </c>
      <c r="I234" s="31" t="s">
        <v>34</v>
      </c>
      <c r="R234" s="0" t="n">
        <v>2</v>
      </c>
      <c r="S234" s="0" t="n">
        <v>2026</v>
      </c>
    </row>
    <row r="235" customFormat="false" ht="14.25" hidden="false" customHeight="false" outlineLevel="0" collapsed="false">
      <c r="A235" s="17" t="n">
        <v>46059</v>
      </c>
      <c r="B235" s="21" t="s">
        <v>511</v>
      </c>
      <c r="C235" s="22" t="n">
        <v>580</v>
      </c>
      <c r="D235" s="31" t="s">
        <v>30</v>
      </c>
      <c r="E235" s="21" t="s">
        <v>511</v>
      </c>
      <c r="F235" s="19" t="n">
        <v>555491661267</v>
      </c>
      <c r="G235" s="31" t="s">
        <v>512</v>
      </c>
      <c r="I235" s="31" t="s">
        <v>50</v>
      </c>
      <c r="R235" s="0" t="n">
        <v>2</v>
      </c>
      <c r="S235" s="0" t="n">
        <v>2026</v>
      </c>
    </row>
    <row r="236" customFormat="false" ht="14.25" hidden="false" customHeight="false" outlineLevel="0" collapsed="false">
      <c r="A236" s="17" t="n">
        <v>46059</v>
      </c>
      <c r="B236" s="21" t="s">
        <v>513</v>
      </c>
      <c r="C236" s="22" t="n">
        <v>500</v>
      </c>
      <c r="D236" s="31" t="s">
        <v>27</v>
      </c>
      <c r="E236" s="21" t="s">
        <v>514</v>
      </c>
      <c r="F236" s="19" t="n">
        <v>559584032367</v>
      </c>
      <c r="G236" s="31" t="s">
        <v>515</v>
      </c>
      <c r="I236" s="31" t="s">
        <v>54</v>
      </c>
      <c r="R236" s="0" t="n">
        <v>2</v>
      </c>
      <c r="S236" s="0" t="n">
        <v>2026</v>
      </c>
    </row>
    <row r="237" customFormat="false" ht="14.25" hidden="false" customHeight="false" outlineLevel="0" collapsed="false">
      <c r="A237" s="17" t="n">
        <v>46062</v>
      </c>
      <c r="B237" s="21" t="s">
        <v>517</v>
      </c>
      <c r="C237" s="22" t="n">
        <v>150</v>
      </c>
      <c r="D237" s="31" t="s">
        <v>32</v>
      </c>
      <c r="E237" s="21" t="s">
        <v>518</v>
      </c>
      <c r="F237" s="19" t="n">
        <v>5511914109545</v>
      </c>
      <c r="G237" s="31" t="s">
        <v>519</v>
      </c>
      <c r="I237" s="31" t="s">
        <v>34</v>
      </c>
      <c r="R237" s="0" t="n">
        <v>2</v>
      </c>
      <c r="S237" s="0" t="n">
        <v>2026</v>
      </c>
    </row>
    <row r="238" customFormat="false" ht="14.25" hidden="false" customHeight="false" outlineLevel="0" collapsed="false">
      <c r="A238" s="17" t="n">
        <v>46062</v>
      </c>
      <c r="B238" s="21" t="s">
        <v>520</v>
      </c>
      <c r="C238" s="22" t="n">
        <v>147</v>
      </c>
      <c r="D238" s="31" t="s">
        <v>18</v>
      </c>
      <c r="E238" s="21" t="s">
        <v>520</v>
      </c>
      <c r="F238" s="19" t="n">
        <v>5548988118678</v>
      </c>
      <c r="G238" s="31" t="s">
        <v>521</v>
      </c>
      <c r="I238" s="31" t="s">
        <v>50</v>
      </c>
      <c r="J238" s="21" t="s">
        <v>35</v>
      </c>
      <c r="K238" s="21" t="s">
        <v>36</v>
      </c>
      <c r="L238" s="21" t="s">
        <v>37</v>
      </c>
      <c r="M238" s="21" t="s">
        <v>38</v>
      </c>
      <c r="R238" s="0" t="n">
        <v>2</v>
      </c>
      <c r="S238" s="0" t="n">
        <v>2026</v>
      </c>
    </row>
    <row r="239" customFormat="false" ht="14.25" hidden="false" customHeight="false" outlineLevel="0" collapsed="false">
      <c r="A239" s="17" t="n">
        <v>46060</v>
      </c>
      <c r="B239" s="21" t="s">
        <v>523</v>
      </c>
      <c r="C239" s="22" t="n">
        <v>80</v>
      </c>
      <c r="D239" s="31" t="s">
        <v>20</v>
      </c>
      <c r="E239" s="21" t="s">
        <v>523</v>
      </c>
      <c r="F239" s="19" t="n">
        <v>554796585089</v>
      </c>
      <c r="G239" s="31" t="s">
        <v>524</v>
      </c>
      <c r="I239" s="31" t="s">
        <v>50</v>
      </c>
      <c r="R239" s="0" t="n">
        <v>2</v>
      </c>
      <c r="S239" s="0" t="n">
        <v>2026</v>
      </c>
    </row>
    <row r="240" customFormat="false" ht="14.25" hidden="false" customHeight="false" outlineLevel="0" collapsed="false">
      <c r="A240" s="17" t="n">
        <v>46061</v>
      </c>
      <c r="B240" s="21" t="s">
        <v>526</v>
      </c>
      <c r="C240" s="22" t="n">
        <v>120</v>
      </c>
      <c r="D240" s="31" t="s">
        <v>30</v>
      </c>
      <c r="E240" s="21" t="s">
        <v>526</v>
      </c>
      <c r="F240" s="19" t="n">
        <v>5355278360</v>
      </c>
      <c r="G240" s="31" t="s">
        <v>527</v>
      </c>
      <c r="I240" s="31" t="s">
        <v>355</v>
      </c>
      <c r="J240" s="21" t="s">
        <v>35</v>
      </c>
      <c r="K240" s="21" t="s">
        <v>69</v>
      </c>
      <c r="L240" s="21" t="s">
        <v>528</v>
      </c>
      <c r="M240" s="21" t="s">
        <v>38</v>
      </c>
      <c r="R240" s="0" t="n">
        <v>2</v>
      </c>
      <c r="S240" s="0" t="n">
        <v>2026</v>
      </c>
    </row>
    <row r="241" customFormat="false" ht="14.25" hidden="false" customHeight="false" outlineLevel="0" collapsed="false">
      <c r="A241" s="17" t="n">
        <v>46061</v>
      </c>
      <c r="B241" s="21" t="s">
        <v>529</v>
      </c>
      <c r="C241" s="22" t="n">
        <v>294</v>
      </c>
      <c r="D241" s="31" t="s">
        <v>18</v>
      </c>
      <c r="E241" s="21" t="s">
        <v>529</v>
      </c>
      <c r="F241" s="19" t="n">
        <v>554197069532</v>
      </c>
      <c r="G241" s="31" t="s">
        <v>530</v>
      </c>
      <c r="I241" s="31" t="s">
        <v>34</v>
      </c>
      <c r="R241" s="0" t="n">
        <v>2</v>
      </c>
      <c r="S241" s="0" t="n">
        <v>2026</v>
      </c>
    </row>
    <row r="242" customFormat="false" ht="14.25" hidden="false" customHeight="false" outlineLevel="0" collapsed="false">
      <c r="A242" s="17" t="n">
        <v>46060</v>
      </c>
      <c r="B242" s="21" t="s">
        <v>531</v>
      </c>
      <c r="C242" s="22" t="n">
        <v>97</v>
      </c>
      <c r="D242" s="31" t="s">
        <v>20</v>
      </c>
      <c r="E242" s="21" t="s">
        <v>532</v>
      </c>
      <c r="F242" s="19" t="n">
        <v>554195731097</v>
      </c>
      <c r="G242" s="31" t="s">
        <v>533</v>
      </c>
      <c r="I242" s="31" t="s">
        <v>355</v>
      </c>
      <c r="R242" s="0" t="n">
        <v>2</v>
      </c>
      <c r="S242" s="0" t="n">
        <v>2026</v>
      </c>
    </row>
    <row r="243" customFormat="false" ht="14.25" hidden="false" customHeight="false" outlineLevel="0" collapsed="false">
      <c r="A243" s="17" t="n">
        <v>46062</v>
      </c>
      <c r="B243" s="21" t="s">
        <v>377</v>
      </c>
      <c r="C243" s="22" t="n">
        <v>120</v>
      </c>
      <c r="D243" s="31" t="s">
        <v>30</v>
      </c>
      <c r="E243" s="21" t="s">
        <v>377</v>
      </c>
      <c r="F243" s="19" t="n">
        <v>5511950286989</v>
      </c>
      <c r="G243" s="31" t="s">
        <v>378</v>
      </c>
      <c r="I243" s="31" t="s">
        <v>34</v>
      </c>
      <c r="R243" s="0" t="n">
        <v>2</v>
      </c>
      <c r="S243" s="0" t="n">
        <v>2026</v>
      </c>
    </row>
    <row r="244" customFormat="false" ht="14.25" hidden="false" customHeight="false" outlineLevel="0" collapsed="false">
      <c r="A244" s="17" t="n">
        <v>46062</v>
      </c>
      <c r="B244" s="21" t="s">
        <v>534</v>
      </c>
      <c r="C244" s="22" t="n">
        <v>147</v>
      </c>
      <c r="D244" s="31" t="s">
        <v>18</v>
      </c>
      <c r="E244" s="21" t="s">
        <v>535</v>
      </c>
      <c r="F244" s="19" t="n">
        <v>554184341753</v>
      </c>
      <c r="G244" s="31" t="s">
        <v>536</v>
      </c>
      <c r="I244" s="31" t="s">
        <v>50</v>
      </c>
      <c r="R244" s="0" t="n">
        <v>2</v>
      </c>
      <c r="S244" s="0" t="n">
        <v>2026</v>
      </c>
    </row>
    <row r="245" customFormat="false" ht="14.25" hidden="false" customHeight="false" outlineLevel="0" collapsed="false">
      <c r="A245" s="17" t="n">
        <v>46062</v>
      </c>
      <c r="B245" s="21" t="s">
        <v>537</v>
      </c>
      <c r="C245" s="22" t="n">
        <v>120</v>
      </c>
      <c r="D245" s="31" t="s">
        <v>21</v>
      </c>
      <c r="E245" s="21" t="s">
        <v>538</v>
      </c>
      <c r="F245" s="19" t="n">
        <v>559591413889</v>
      </c>
      <c r="G245" s="31" t="s">
        <v>533</v>
      </c>
      <c r="I245" s="31" t="s">
        <v>355</v>
      </c>
      <c r="R245" s="0" t="n">
        <v>2</v>
      </c>
      <c r="S245" s="0" t="n">
        <v>2026</v>
      </c>
    </row>
    <row r="246" customFormat="false" ht="14.25" hidden="false" customHeight="false" outlineLevel="0" collapsed="false">
      <c r="A246" s="17" t="n">
        <v>46062</v>
      </c>
      <c r="B246" s="21" t="s">
        <v>539</v>
      </c>
      <c r="C246" s="22" t="n">
        <v>300</v>
      </c>
      <c r="D246" s="31" t="s">
        <v>24</v>
      </c>
      <c r="E246" s="21" t="s">
        <v>540</v>
      </c>
      <c r="F246" s="19" t="n">
        <v>559581257313</v>
      </c>
      <c r="G246" s="31" t="s">
        <v>43</v>
      </c>
      <c r="I246" s="31" t="s">
        <v>34</v>
      </c>
      <c r="J246" s="21" t="s">
        <v>35</v>
      </c>
      <c r="K246" s="21" t="s">
        <v>69</v>
      </c>
      <c r="L246" s="21" t="s">
        <v>70</v>
      </c>
      <c r="M246" s="21" t="s">
        <v>38</v>
      </c>
      <c r="R246" s="0" t="n">
        <v>2</v>
      </c>
      <c r="S246" s="0" t="n">
        <v>2026</v>
      </c>
    </row>
    <row r="247" customFormat="false" ht="14.25" hidden="false" customHeight="false" outlineLevel="0" collapsed="false">
      <c r="A247" s="17" t="n">
        <v>46062</v>
      </c>
      <c r="B247" s="21" t="s">
        <v>541</v>
      </c>
      <c r="C247" s="22" t="n">
        <v>440</v>
      </c>
      <c r="D247" s="31" t="s">
        <v>18</v>
      </c>
      <c r="E247" s="21" t="s">
        <v>541</v>
      </c>
      <c r="F247" s="19" t="n">
        <v>559584259372</v>
      </c>
      <c r="G247" s="31" t="s">
        <v>542</v>
      </c>
      <c r="I247" s="31" t="s">
        <v>355</v>
      </c>
      <c r="R247" s="0" t="n">
        <v>2</v>
      </c>
      <c r="S247" s="0" t="n">
        <v>2026</v>
      </c>
    </row>
    <row r="248" customFormat="false" ht="14.25" hidden="false" customHeight="false" outlineLevel="0" collapsed="false">
      <c r="A248" s="17" t="n">
        <v>46062</v>
      </c>
      <c r="B248" s="21" t="s">
        <v>543</v>
      </c>
      <c r="C248" s="22" t="n">
        <v>60</v>
      </c>
      <c r="D248" s="31" t="s">
        <v>25</v>
      </c>
      <c r="E248" s="21" t="s">
        <v>544</v>
      </c>
      <c r="F248" s="19" t="n">
        <v>555496221711</v>
      </c>
      <c r="G248" s="31" t="s">
        <v>545</v>
      </c>
      <c r="I248" s="31" t="s">
        <v>50</v>
      </c>
      <c r="R248" s="0" t="n">
        <v>2</v>
      </c>
      <c r="S248" s="0" t="n">
        <v>2026</v>
      </c>
    </row>
    <row r="249" customFormat="false" ht="14.25" hidden="false" customHeight="false" outlineLevel="0" collapsed="false">
      <c r="A249" s="17" t="n">
        <v>46062</v>
      </c>
      <c r="B249" s="21" t="s">
        <v>546</v>
      </c>
      <c r="C249" s="22" t="n">
        <v>97</v>
      </c>
      <c r="D249" s="31" t="s">
        <v>20</v>
      </c>
      <c r="E249" s="21" t="s">
        <v>546</v>
      </c>
      <c r="F249" s="19" t="n">
        <v>556296100124</v>
      </c>
      <c r="G249" s="31" t="s">
        <v>547</v>
      </c>
      <c r="I249" s="31" t="s">
        <v>149</v>
      </c>
      <c r="J249" s="21" t="s">
        <v>97</v>
      </c>
      <c r="K249" s="21" t="s">
        <v>20</v>
      </c>
      <c r="L249" s="21" t="s">
        <v>216</v>
      </c>
      <c r="M249" s="21" t="s">
        <v>99</v>
      </c>
      <c r="R249" s="0" t="n">
        <v>2</v>
      </c>
      <c r="S249" s="0" t="n">
        <v>2026</v>
      </c>
    </row>
    <row r="250" customFormat="false" ht="14.25" hidden="false" customHeight="false" outlineLevel="0" collapsed="false">
      <c r="A250" s="17" t="n">
        <v>46060</v>
      </c>
      <c r="B250" s="21" t="s">
        <v>548</v>
      </c>
      <c r="C250" s="22" t="n">
        <v>100</v>
      </c>
      <c r="D250" s="31" t="s">
        <v>30</v>
      </c>
      <c r="E250" s="21" t="s">
        <v>549</v>
      </c>
      <c r="F250" s="19" t="n">
        <v>5511996128658</v>
      </c>
      <c r="G250" s="31" t="s">
        <v>550</v>
      </c>
      <c r="I250" s="31" t="s">
        <v>34</v>
      </c>
      <c r="R250" s="0" t="n">
        <v>2</v>
      </c>
      <c r="S250" s="0" t="n">
        <v>2026</v>
      </c>
    </row>
    <row r="251" customFormat="false" ht="14.25" hidden="false" customHeight="false" outlineLevel="0" collapsed="false">
      <c r="A251" s="17" t="n">
        <v>46062</v>
      </c>
      <c r="B251" s="21" t="s">
        <v>551</v>
      </c>
      <c r="C251" s="22" t="n">
        <v>150</v>
      </c>
      <c r="D251" s="31" t="s">
        <v>32</v>
      </c>
      <c r="E251" s="21" t="s">
        <v>552</v>
      </c>
      <c r="F251" s="19" t="n">
        <v>5512997171486</v>
      </c>
      <c r="G251" s="31" t="s">
        <v>43</v>
      </c>
      <c r="I251" s="31" t="s">
        <v>50</v>
      </c>
      <c r="R251" s="0" t="n">
        <v>2</v>
      </c>
      <c r="S251" s="0" t="n">
        <v>2026</v>
      </c>
    </row>
    <row r="252" customFormat="false" ht="14.25" hidden="false" customHeight="false" outlineLevel="0" collapsed="false">
      <c r="A252" s="17" t="n">
        <v>46062</v>
      </c>
      <c r="B252" s="21" t="s">
        <v>553</v>
      </c>
      <c r="C252" s="22" t="n">
        <v>150</v>
      </c>
      <c r="D252" s="31" t="s">
        <v>32</v>
      </c>
      <c r="E252" s="21" t="s">
        <v>553</v>
      </c>
      <c r="F252" s="19" t="n">
        <v>559684137851</v>
      </c>
      <c r="G252" s="31" t="s">
        <v>554</v>
      </c>
      <c r="I252" s="31" t="s">
        <v>34</v>
      </c>
      <c r="R252" s="0" t="n">
        <v>2</v>
      </c>
      <c r="S252" s="0" t="n">
        <v>2026</v>
      </c>
    </row>
    <row r="253" customFormat="false" ht="14.25" hidden="false" customHeight="false" outlineLevel="0" collapsed="false">
      <c r="A253" s="17" t="n">
        <v>46062</v>
      </c>
      <c r="B253" s="21" t="s">
        <v>555</v>
      </c>
      <c r="C253" s="22" t="n">
        <v>242</v>
      </c>
      <c r="D253" s="31" t="s">
        <v>20</v>
      </c>
      <c r="E253" s="21" t="s">
        <v>555</v>
      </c>
      <c r="F253" s="19" t="n">
        <v>554195245057</v>
      </c>
      <c r="G253" s="31" t="s">
        <v>556</v>
      </c>
      <c r="I253" s="31" t="s">
        <v>50</v>
      </c>
      <c r="J253" s="21" t="s">
        <v>97</v>
      </c>
      <c r="K253" s="21" t="s">
        <v>20</v>
      </c>
      <c r="L253" s="21" t="s">
        <v>216</v>
      </c>
      <c r="R253" s="0" t="n">
        <v>2</v>
      </c>
      <c r="S253" s="0" t="n">
        <v>2026</v>
      </c>
    </row>
    <row r="254" customFormat="false" ht="14.25" hidden="false" customHeight="false" outlineLevel="0" collapsed="false">
      <c r="A254" s="17" t="n">
        <v>46062</v>
      </c>
      <c r="B254" s="21" t="s">
        <v>557</v>
      </c>
      <c r="C254" s="22" t="n">
        <v>197</v>
      </c>
      <c r="D254" s="31" t="s">
        <v>28</v>
      </c>
      <c r="E254" s="21" t="s">
        <v>558</v>
      </c>
      <c r="F254" s="19" t="n">
        <v>559584374405</v>
      </c>
      <c r="G254" s="31" t="s">
        <v>559</v>
      </c>
      <c r="I254" s="31" t="s">
        <v>355</v>
      </c>
      <c r="J254" s="21" t="s">
        <v>35</v>
      </c>
      <c r="K254" s="21" t="s">
        <v>36</v>
      </c>
      <c r="L254" s="21" t="s">
        <v>37</v>
      </c>
      <c r="M254" s="21" t="s">
        <v>38</v>
      </c>
      <c r="R254" s="0" t="n">
        <v>2</v>
      </c>
      <c r="S254" s="0" t="n">
        <v>2026</v>
      </c>
    </row>
    <row r="255" customFormat="false" ht="14.25" hidden="false" customHeight="false" outlineLevel="0" collapsed="false">
      <c r="A255" s="17" t="n">
        <v>46062</v>
      </c>
      <c r="B255" s="21" t="s">
        <v>560</v>
      </c>
      <c r="C255" s="22" t="n">
        <v>150</v>
      </c>
      <c r="D255" s="31" t="s">
        <v>32</v>
      </c>
      <c r="E255" s="21" t="s">
        <v>560</v>
      </c>
      <c r="F255" s="19" t="n">
        <v>5511989492611</v>
      </c>
      <c r="G255" s="31" t="s">
        <v>561</v>
      </c>
      <c r="I255" s="31" t="s">
        <v>355</v>
      </c>
      <c r="R255" s="0" t="n">
        <v>2</v>
      </c>
      <c r="S255" s="0" t="n">
        <v>2026</v>
      </c>
    </row>
    <row r="256" customFormat="false" ht="14.25" hidden="false" customHeight="false" outlineLevel="0" collapsed="false">
      <c r="A256" s="17" t="n">
        <v>46059</v>
      </c>
      <c r="B256" s="21" t="s">
        <v>562</v>
      </c>
      <c r="C256" s="22" t="n">
        <v>140</v>
      </c>
      <c r="D256" s="31" t="s">
        <v>32</v>
      </c>
      <c r="E256" s="21" t="s">
        <v>562</v>
      </c>
      <c r="F256" s="19" t="n">
        <v>554797276206</v>
      </c>
      <c r="G256" s="31" t="s">
        <v>563</v>
      </c>
      <c r="I256" s="31" t="s">
        <v>34</v>
      </c>
      <c r="R256" s="0" t="n">
        <v>2</v>
      </c>
      <c r="S256" s="0" t="n">
        <v>2026</v>
      </c>
    </row>
    <row r="257" customFormat="false" ht="14.25" hidden="false" customHeight="false" outlineLevel="0" collapsed="false">
      <c r="A257" s="17" t="n">
        <v>46059</v>
      </c>
      <c r="B257" s="21" t="s">
        <v>564</v>
      </c>
      <c r="C257" s="22" t="n">
        <v>100</v>
      </c>
      <c r="D257" s="31" t="s">
        <v>28</v>
      </c>
      <c r="E257" s="21" t="s">
        <v>564</v>
      </c>
      <c r="F257" s="19" t="n">
        <v>554184536785</v>
      </c>
      <c r="G257" s="31" t="s">
        <v>565</v>
      </c>
      <c r="I257" s="31" t="s">
        <v>50</v>
      </c>
      <c r="R257" s="0" t="n">
        <v>2</v>
      </c>
      <c r="S257" s="0" t="n">
        <v>2026</v>
      </c>
    </row>
    <row r="258" customFormat="false" ht="14.25" hidden="false" customHeight="false" outlineLevel="0" collapsed="false">
      <c r="A258" s="17" t="n">
        <v>46059</v>
      </c>
      <c r="B258" s="21" t="s">
        <v>566</v>
      </c>
      <c r="C258" s="22" t="n">
        <v>147</v>
      </c>
      <c r="D258" s="31" t="s">
        <v>18</v>
      </c>
      <c r="E258" s="21" t="s">
        <v>566</v>
      </c>
      <c r="F258" s="19" t="n">
        <v>554792283713</v>
      </c>
      <c r="G258" s="31" t="s">
        <v>567</v>
      </c>
      <c r="I258" s="31" t="s">
        <v>34</v>
      </c>
      <c r="R258" s="0" t="n">
        <v>2</v>
      </c>
      <c r="S258" s="0" t="n">
        <v>2026</v>
      </c>
    </row>
    <row r="259" customFormat="false" ht="14.25" hidden="false" customHeight="false" outlineLevel="0" collapsed="false">
      <c r="A259" s="17" t="n">
        <v>46059</v>
      </c>
      <c r="B259" s="21" t="s">
        <v>568</v>
      </c>
      <c r="C259" s="22" t="n">
        <v>60</v>
      </c>
      <c r="D259" s="31" t="s">
        <v>21</v>
      </c>
      <c r="E259" s="21" t="s">
        <v>569</v>
      </c>
      <c r="F259" s="19" t="n">
        <v>554888323036</v>
      </c>
      <c r="G259" s="31" t="s">
        <v>570</v>
      </c>
      <c r="I259" s="31"/>
      <c r="R259" s="0" t="n">
        <v>2</v>
      </c>
      <c r="S259" s="0" t="n">
        <v>2026</v>
      </c>
    </row>
    <row r="260" customFormat="false" ht="14.25" hidden="false" customHeight="false" outlineLevel="0" collapsed="false">
      <c r="A260" s="17" t="n">
        <v>46062</v>
      </c>
      <c r="B260" s="21" t="s">
        <v>571</v>
      </c>
      <c r="C260" s="22" t="n">
        <v>147</v>
      </c>
      <c r="D260" s="31" t="s">
        <v>18</v>
      </c>
      <c r="E260" s="21" t="s">
        <v>571</v>
      </c>
      <c r="F260" s="19" t="n">
        <v>553796633849</v>
      </c>
      <c r="G260" s="31" t="s">
        <v>572</v>
      </c>
      <c r="I260" s="31" t="s">
        <v>355</v>
      </c>
      <c r="J260" s="21" t="s">
        <v>35</v>
      </c>
      <c r="K260" s="21" t="s">
        <v>69</v>
      </c>
      <c r="L260" s="21" t="s">
        <v>70</v>
      </c>
      <c r="M260" s="21" t="s">
        <v>38</v>
      </c>
      <c r="R260" s="0" t="n">
        <v>2</v>
      </c>
      <c r="S260" s="0" t="n">
        <v>2026</v>
      </c>
    </row>
    <row r="261" customFormat="false" ht="14.25" hidden="false" customHeight="false" outlineLevel="0" collapsed="false">
      <c r="A261" s="17" t="n">
        <v>46063</v>
      </c>
      <c r="B261" s="21" t="s">
        <v>574</v>
      </c>
      <c r="C261" s="22" t="n">
        <v>147</v>
      </c>
      <c r="D261" s="31" t="s">
        <v>22</v>
      </c>
      <c r="E261" s="21" t="s">
        <v>575</v>
      </c>
      <c r="F261" s="19" t="n">
        <v>5511992304927</v>
      </c>
      <c r="G261" s="31" t="s">
        <v>576</v>
      </c>
      <c r="I261" s="31" t="s">
        <v>34</v>
      </c>
      <c r="J261" s="21" t="s">
        <v>35</v>
      </c>
      <c r="K261" s="21" t="s">
        <v>69</v>
      </c>
      <c r="L261" s="21" t="s">
        <v>70</v>
      </c>
      <c r="M261" s="21" t="s">
        <v>38</v>
      </c>
      <c r="R261" s="0" t="n">
        <v>2</v>
      </c>
      <c r="S261" s="0" t="n">
        <v>2026</v>
      </c>
    </row>
    <row r="262" customFormat="false" ht="14.25" hidden="false" customHeight="false" outlineLevel="0" collapsed="false">
      <c r="A262" s="17" t="n">
        <v>46063</v>
      </c>
      <c r="B262" s="21" t="s">
        <v>577</v>
      </c>
      <c r="C262" s="22" t="n">
        <v>140</v>
      </c>
      <c r="D262" s="31" t="s">
        <v>32</v>
      </c>
      <c r="E262" s="21" t="s">
        <v>577</v>
      </c>
      <c r="F262" s="19" t="n">
        <v>559584288985</v>
      </c>
      <c r="G262" s="31" t="s">
        <v>578</v>
      </c>
      <c r="I262" s="31" t="s">
        <v>34</v>
      </c>
      <c r="R262" s="0" t="n">
        <v>2</v>
      </c>
      <c r="S262" s="0" t="n">
        <v>2026</v>
      </c>
    </row>
    <row r="263" customFormat="false" ht="14.25" hidden="false" customHeight="false" outlineLevel="0" collapsed="false">
      <c r="A263" s="17" t="n">
        <v>46062</v>
      </c>
      <c r="B263" s="21" t="s">
        <v>579</v>
      </c>
      <c r="C263" s="22" t="n">
        <v>150</v>
      </c>
      <c r="D263" s="31" t="s">
        <v>32</v>
      </c>
      <c r="E263" s="21" t="s">
        <v>580</v>
      </c>
      <c r="F263" s="19" t="n">
        <v>554891604682</v>
      </c>
      <c r="G263" s="31" t="s">
        <v>519</v>
      </c>
      <c r="I263" s="31" t="s">
        <v>34</v>
      </c>
      <c r="J263" s="21" t="s">
        <v>35</v>
      </c>
      <c r="K263" s="21" t="s">
        <v>69</v>
      </c>
      <c r="L263" s="21" t="s">
        <v>70</v>
      </c>
      <c r="M263" s="21" t="s">
        <v>38</v>
      </c>
      <c r="R263" s="0" t="n">
        <v>2</v>
      </c>
      <c r="S263" s="0" t="n">
        <v>2026</v>
      </c>
    </row>
    <row r="264" customFormat="false" ht="14.25" hidden="false" customHeight="false" outlineLevel="0" collapsed="false">
      <c r="A264" s="17" t="n">
        <v>46063</v>
      </c>
      <c r="B264" s="21" t="s">
        <v>581</v>
      </c>
      <c r="C264" s="22" t="n">
        <v>750</v>
      </c>
      <c r="D264" s="31" t="s">
        <v>27</v>
      </c>
      <c r="E264" s="21" t="s">
        <v>582</v>
      </c>
      <c r="F264" s="19" t="n">
        <v>554198227019</v>
      </c>
      <c r="G264" s="31" t="s">
        <v>33</v>
      </c>
      <c r="I264" s="31" t="s">
        <v>34</v>
      </c>
      <c r="R264" s="0" t="n">
        <v>2</v>
      </c>
      <c r="S264" s="0" t="n">
        <v>2026</v>
      </c>
    </row>
    <row r="265" customFormat="false" ht="14.25" hidden="false" customHeight="false" outlineLevel="0" collapsed="false">
      <c r="A265" s="17" t="n">
        <v>46062</v>
      </c>
      <c r="B265" s="21" t="s">
        <v>583</v>
      </c>
      <c r="C265" s="22" t="n">
        <v>150</v>
      </c>
      <c r="D265" s="31" t="s">
        <v>32</v>
      </c>
      <c r="E265" s="21" t="s">
        <v>584</v>
      </c>
      <c r="F265" s="19" t="n">
        <v>554888273081</v>
      </c>
      <c r="G265" s="31" t="s">
        <v>585</v>
      </c>
      <c r="I265" s="31" t="s">
        <v>50</v>
      </c>
      <c r="J265" s="21" t="s">
        <v>35</v>
      </c>
      <c r="K265" s="21" t="s">
        <v>36</v>
      </c>
      <c r="L265" s="21" t="s">
        <v>37</v>
      </c>
      <c r="M265" s="21" t="s">
        <v>38</v>
      </c>
      <c r="R265" s="0" t="n">
        <v>2</v>
      </c>
      <c r="S265" s="0" t="n">
        <v>2026</v>
      </c>
    </row>
    <row r="266" customFormat="false" ht="14.25" hidden="false" customHeight="false" outlineLevel="0" collapsed="false">
      <c r="A266" s="17" t="n">
        <v>46063</v>
      </c>
      <c r="B266" s="21" t="s">
        <v>586</v>
      </c>
      <c r="C266" s="22" t="n">
        <v>140</v>
      </c>
      <c r="D266" s="31" t="s">
        <v>32</v>
      </c>
      <c r="E266" s="21" t="s">
        <v>586</v>
      </c>
      <c r="F266" s="19" t="n">
        <v>5519981183492</v>
      </c>
      <c r="G266" s="31" t="s">
        <v>33</v>
      </c>
      <c r="I266" s="31" t="s">
        <v>34</v>
      </c>
      <c r="R266" s="0" t="n">
        <v>2</v>
      </c>
      <c r="S266" s="0" t="n">
        <v>2026</v>
      </c>
    </row>
    <row r="267" customFormat="false" ht="14.25" hidden="false" customHeight="false" outlineLevel="0" collapsed="false">
      <c r="A267" s="17" t="n">
        <v>46063</v>
      </c>
      <c r="B267" s="21" t="s">
        <v>587</v>
      </c>
      <c r="C267" s="22" t="n">
        <v>97</v>
      </c>
      <c r="D267" s="31" t="s">
        <v>30</v>
      </c>
      <c r="E267" s="21" t="s">
        <v>587</v>
      </c>
      <c r="F267" s="19" t="n">
        <v>5511947417866</v>
      </c>
      <c r="G267" s="31" t="s">
        <v>588</v>
      </c>
      <c r="I267" s="31" t="s">
        <v>355</v>
      </c>
      <c r="R267" s="0" t="n">
        <v>2</v>
      </c>
      <c r="S267" s="0" t="n">
        <v>2026</v>
      </c>
    </row>
    <row r="268" customFormat="false" ht="14.25" hidden="false" customHeight="false" outlineLevel="0" collapsed="false">
      <c r="A268" s="17" t="n">
        <v>46062</v>
      </c>
      <c r="B268" s="21" t="s">
        <v>589</v>
      </c>
      <c r="C268" s="22" t="n">
        <v>120</v>
      </c>
      <c r="D268" s="31" t="s">
        <v>21</v>
      </c>
      <c r="E268" s="21" t="s">
        <v>589</v>
      </c>
      <c r="F268" s="19" t="n">
        <v>559584303596</v>
      </c>
      <c r="G268" s="31" t="s">
        <v>590</v>
      </c>
      <c r="I268" s="31" t="s">
        <v>34</v>
      </c>
      <c r="R268" s="0" t="n">
        <v>2</v>
      </c>
      <c r="S268" s="0" t="n">
        <v>2026</v>
      </c>
    </row>
    <row r="269" customFormat="false" ht="14.25" hidden="false" customHeight="false" outlineLevel="0" collapsed="false">
      <c r="A269" s="17" t="n">
        <v>46063</v>
      </c>
      <c r="B269" s="21" t="s">
        <v>591</v>
      </c>
      <c r="C269" s="22" t="n">
        <v>300</v>
      </c>
      <c r="D269" s="31" t="s">
        <v>24</v>
      </c>
      <c r="E269" s="21" t="s">
        <v>592</v>
      </c>
      <c r="F269" s="19" t="n">
        <v>559584159812</v>
      </c>
      <c r="G269" s="31" t="s">
        <v>33</v>
      </c>
      <c r="I269" s="31" t="s">
        <v>34</v>
      </c>
      <c r="R269" s="0" t="n">
        <v>2</v>
      </c>
      <c r="S269" s="0" t="n">
        <v>2026</v>
      </c>
    </row>
    <row r="270" customFormat="false" ht="14.25" hidden="false" customHeight="false" outlineLevel="0" collapsed="false">
      <c r="A270" s="17" t="n">
        <v>46063</v>
      </c>
      <c r="B270" s="21" t="s">
        <v>593</v>
      </c>
      <c r="C270" s="22" t="n">
        <v>147</v>
      </c>
      <c r="D270" s="31" t="s">
        <v>18</v>
      </c>
      <c r="E270" s="21" t="s">
        <v>593</v>
      </c>
      <c r="F270" s="19" t="n">
        <v>559681212077</v>
      </c>
      <c r="G270" s="31" t="s">
        <v>594</v>
      </c>
      <c r="I270" s="31" t="s">
        <v>34</v>
      </c>
      <c r="J270" s="21" t="s">
        <v>35</v>
      </c>
      <c r="K270" s="21" t="s">
        <v>69</v>
      </c>
      <c r="L270" s="21" t="s">
        <v>70</v>
      </c>
      <c r="M270" s="21" t="s">
        <v>38</v>
      </c>
      <c r="R270" s="0" t="n">
        <v>2</v>
      </c>
      <c r="S270" s="0" t="n">
        <v>2026</v>
      </c>
    </row>
    <row r="271" customFormat="false" ht="14.25" hidden="false" customHeight="false" outlineLevel="0" collapsed="false">
      <c r="A271" s="17" t="n">
        <v>46063</v>
      </c>
      <c r="B271" s="21" t="s">
        <v>595</v>
      </c>
      <c r="C271" s="22" t="n">
        <v>140</v>
      </c>
      <c r="D271" s="31" t="s">
        <v>32</v>
      </c>
      <c r="E271" s="21" t="s">
        <v>596</v>
      </c>
      <c r="F271" s="19" t="n">
        <v>559584049437</v>
      </c>
      <c r="G271" s="31" t="s">
        <v>43</v>
      </c>
      <c r="I271" s="31" t="s">
        <v>50</v>
      </c>
      <c r="R271" s="0" t="n">
        <v>2</v>
      </c>
      <c r="S271" s="0" t="n">
        <v>2026</v>
      </c>
    </row>
    <row r="272" customFormat="false" ht="14.25" hidden="false" customHeight="false" outlineLevel="0" collapsed="false">
      <c r="A272" s="17" t="n">
        <v>46063</v>
      </c>
      <c r="B272" s="21" t="s">
        <v>597</v>
      </c>
      <c r="C272" s="22" t="n">
        <v>300</v>
      </c>
      <c r="D272" s="31" t="s">
        <v>24</v>
      </c>
      <c r="E272" s="21" t="s">
        <v>598</v>
      </c>
      <c r="F272" s="19" t="n">
        <v>554888678530</v>
      </c>
      <c r="G272" s="31" t="s">
        <v>599</v>
      </c>
      <c r="I272" s="31" t="s">
        <v>50</v>
      </c>
      <c r="R272" s="0" t="n">
        <v>2</v>
      </c>
      <c r="S272" s="0" t="n">
        <v>2026</v>
      </c>
    </row>
    <row r="273" customFormat="false" ht="14.25" hidden="false" customHeight="false" outlineLevel="0" collapsed="false">
      <c r="A273" s="17" t="n">
        <v>46063</v>
      </c>
      <c r="B273" s="21" t="s">
        <v>600</v>
      </c>
      <c r="C273" s="22" t="n">
        <v>147</v>
      </c>
      <c r="D273" s="31" t="s">
        <v>18</v>
      </c>
      <c r="E273" s="21" t="s">
        <v>254</v>
      </c>
      <c r="F273" s="19" t="n">
        <v>553898460938</v>
      </c>
      <c r="G273" s="31" t="s">
        <v>255</v>
      </c>
      <c r="I273" s="31" t="s">
        <v>34</v>
      </c>
      <c r="R273" s="0" t="n">
        <v>2</v>
      </c>
      <c r="S273" s="0" t="n">
        <v>2026</v>
      </c>
    </row>
    <row r="274" customFormat="false" ht="14.25" hidden="false" customHeight="false" outlineLevel="0" collapsed="false">
      <c r="A274" s="17" t="n">
        <v>46062</v>
      </c>
      <c r="B274" s="21" t="s">
        <v>601</v>
      </c>
      <c r="C274" s="22" t="n">
        <v>150</v>
      </c>
      <c r="D274" s="31" t="s">
        <v>32</v>
      </c>
      <c r="E274" s="21" t="s">
        <v>602</v>
      </c>
      <c r="F274" s="19" t="n">
        <v>5354714239</v>
      </c>
      <c r="G274" s="31" t="s">
        <v>603</v>
      </c>
      <c r="I274" s="31" t="s">
        <v>50</v>
      </c>
      <c r="R274" s="0" t="n">
        <v>2</v>
      </c>
      <c r="S274" s="0" t="n">
        <v>2026</v>
      </c>
    </row>
    <row r="275" customFormat="false" ht="14.25" hidden="false" customHeight="false" outlineLevel="0" collapsed="false">
      <c r="A275" s="17" t="n">
        <v>46063</v>
      </c>
      <c r="B275" s="21" t="s">
        <v>604</v>
      </c>
      <c r="C275" s="22" t="n">
        <v>130</v>
      </c>
      <c r="D275" s="31" t="s">
        <v>32</v>
      </c>
      <c r="E275" s="21" t="s">
        <v>604</v>
      </c>
      <c r="F275" s="19" t="n">
        <v>553591616260</v>
      </c>
      <c r="G275" s="31" t="s">
        <v>244</v>
      </c>
      <c r="I275" s="31" t="s">
        <v>54</v>
      </c>
      <c r="R275" s="0" t="n">
        <v>2</v>
      </c>
      <c r="S275" s="0" t="n">
        <v>2026</v>
      </c>
    </row>
    <row r="276" customFormat="false" ht="14.25" hidden="false" customHeight="false" outlineLevel="0" collapsed="false">
      <c r="A276" s="17" t="n">
        <v>46063</v>
      </c>
      <c r="B276" s="21" t="s">
        <v>605</v>
      </c>
      <c r="C276" s="22" t="n">
        <v>250</v>
      </c>
      <c r="D276" s="31" t="s">
        <v>106</v>
      </c>
      <c r="E276" s="21" t="s">
        <v>605</v>
      </c>
      <c r="F276" s="19" t="n">
        <v>554396374743</v>
      </c>
      <c r="G276" s="31" t="s">
        <v>43</v>
      </c>
      <c r="I276" s="31" t="s">
        <v>50</v>
      </c>
      <c r="J276" s="21" t="s">
        <v>60</v>
      </c>
      <c r="K276" s="21" t="s">
        <v>27</v>
      </c>
      <c r="L276" s="21" t="s">
        <v>606</v>
      </c>
      <c r="M276" s="21" t="s">
        <v>62</v>
      </c>
      <c r="R276" s="0" t="n">
        <v>2</v>
      </c>
      <c r="S276" s="0" t="n">
        <v>2026</v>
      </c>
    </row>
    <row r="277" customFormat="false" ht="14.25" hidden="false" customHeight="false" outlineLevel="0" collapsed="false">
      <c r="A277" s="17" t="n">
        <v>46063</v>
      </c>
      <c r="B277" s="21" t="s">
        <v>607</v>
      </c>
      <c r="C277" s="22" t="n">
        <v>300</v>
      </c>
      <c r="D277" s="31" t="s">
        <v>24</v>
      </c>
      <c r="E277" s="21" t="s">
        <v>607</v>
      </c>
      <c r="F277" s="19" t="n">
        <v>554191664435</v>
      </c>
      <c r="G277" s="31" t="s">
        <v>608</v>
      </c>
      <c r="I277" s="31" t="s">
        <v>50</v>
      </c>
      <c r="R277" s="0" t="n">
        <v>2</v>
      </c>
      <c r="S277" s="0" t="n">
        <v>2026</v>
      </c>
    </row>
    <row r="278" customFormat="false" ht="14.25" hidden="false" customHeight="false" outlineLevel="0" collapsed="false">
      <c r="A278" s="17" t="n">
        <v>46063</v>
      </c>
      <c r="B278" s="21" t="s">
        <v>609</v>
      </c>
      <c r="C278" s="22" t="n">
        <v>120</v>
      </c>
      <c r="D278" s="31" t="s">
        <v>21</v>
      </c>
      <c r="E278" s="21" t="s">
        <v>609</v>
      </c>
      <c r="F278" s="19" t="n">
        <v>554896730405</v>
      </c>
      <c r="G278" s="31" t="s">
        <v>610</v>
      </c>
      <c r="I278" s="31" t="s">
        <v>34</v>
      </c>
      <c r="R278" s="0" t="n">
        <v>2</v>
      </c>
      <c r="S278" s="0" t="n">
        <v>2026</v>
      </c>
    </row>
    <row r="279" customFormat="false" ht="14.25" hidden="false" customHeight="false" outlineLevel="0" collapsed="false">
      <c r="A279" s="17" t="n">
        <v>46063</v>
      </c>
      <c r="B279" s="21" t="s">
        <v>611</v>
      </c>
      <c r="C279" s="22" t="n">
        <v>150</v>
      </c>
      <c r="D279" s="31" t="s">
        <v>22</v>
      </c>
      <c r="E279" s="21" t="s">
        <v>611</v>
      </c>
      <c r="F279" s="19" t="n">
        <v>554598428190</v>
      </c>
      <c r="G279" s="31" t="s">
        <v>612</v>
      </c>
      <c r="I279" s="31" t="s">
        <v>355</v>
      </c>
      <c r="R279" s="0" t="n">
        <v>2</v>
      </c>
      <c r="S279" s="0" t="n">
        <v>2026</v>
      </c>
    </row>
    <row r="280" customFormat="false" ht="14.25" hidden="false" customHeight="false" outlineLevel="0" collapsed="false">
      <c r="A280" s="17" t="n">
        <v>46062</v>
      </c>
      <c r="B280" s="21" t="s">
        <v>613</v>
      </c>
      <c r="C280" s="22" t="n">
        <v>220</v>
      </c>
      <c r="D280" s="31" t="s">
        <v>22</v>
      </c>
      <c r="E280" s="21" t="s">
        <v>613</v>
      </c>
      <c r="F280" s="19" t="n">
        <v>554891328250</v>
      </c>
      <c r="G280" s="31" t="n">
        <v>0</v>
      </c>
      <c r="I280" s="31" t="s">
        <v>34</v>
      </c>
      <c r="R280" s="0" t="n">
        <v>2</v>
      </c>
      <c r="S280" s="0" t="n">
        <v>2026</v>
      </c>
    </row>
    <row r="281" customFormat="false" ht="14.25" hidden="false" customHeight="false" outlineLevel="0" collapsed="false">
      <c r="A281" s="17" t="n">
        <v>46063</v>
      </c>
      <c r="B281" s="21" t="s">
        <v>614</v>
      </c>
      <c r="C281" s="22" t="n">
        <v>90</v>
      </c>
      <c r="D281" s="31" t="s">
        <v>20</v>
      </c>
      <c r="E281" s="21" t="s">
        <v>615</v>
      </c>
      <c r="F281" s="19" t="n">
        <v>559584242837</v>
      </c>
      <c r="G281" s="31" t="s">
        <v>616</v>
      </c>
      <c r="I281" s="31" t="s">
        <v>50</v>
      </c>
      <c r="R281" s="0" t="n">
        <v>2</v>
      </c>
      <c r="S281" s="0" t="n">
        <v>2026</v>
      </c>
    </row>
    <row r="282" customFormat="false" ht="14.25" hidden="false" customHeight="false" outlineLevel="0" collapsed="false">
      <c r="A282" s="17" t="n">
        <v>46063</v>
      </c>
      <c r="B282" s="21" t="s">
        <v>617</v>
      </c>
      <c r="C282" s="22" t="n">
        <v>147</v>
      </c>
      <c r="D282" s="31" t="s">
        <v>18</v>
      </c>
      <c r="E282" s="21" t="s">
        <v>617</v>
      </c>
      <c r="F282" s="19" t="n">
        <v>554999284093</v>
      </c>
      <c r="G282" s="31" t="s">
        <v>618</v>
      </c>
      <c r="I282" s="31" t="s">
        <v>355</v>
      </c>
      <c r="J282" s="21" t="s">
        <v>619</v>
      </c>
      <c r="K282" s="21" t="s">
        <v>303</v>
      </c>
      <c r="M282" s="21" t="s">
        <v>304</v>
      </c>
      <c r="R282" s="0" t="n">
        <v>2</v>
      </c>
      <c r="S282" s="0" t="n">
        <v>2026</v>
      </c>
    </row>
    <row r="283" customFormat="false" ht="14.25" hidden="false" customHeight="false" outlineLevel="0" collapsed="false">
      <c r="A283" s="17" t="n">
        <v>46063</v>
      </c>
      <c r="B283" s="21" t="s">
        <v>620</v>
      </c>
      <c r="C283" s="22" t="n">
        <v>200</v>
      </c>
      <c r="D283" s="31" t="s">
        <v>24</v>
      </c>
      <c r="E283" s="21" t="s">
        <v>620</v>
      </c>
      <c r="F283" s="19" t="n">
        <v>559584294614</v>
      </c>
      <c r="G283" s="31" t="s">
        <v>621</v>
      </c>
      <c r="I283" s="31" t="s">
        <v>34</v>
      </c>
      <c r="R283" s="0" t="n">
        <v>2</v>
      </c>
      <c r="S283" s="0" t="n">
        <v>2026</v>
      </c>
    </row>
    <row r="284" customFormat="false" ht="14.25" hidden="false" customHeight="false" outlineLevel="0" collapsed="false">
      <c r="A284" s="17" t="n">
        <v>46064</v>
      </c>
      <c r="B284" s="21" t="s">
        <v>623</v>
      </c>
      <c r="C284" s="22" t="n">
        <v>150</v>
      </c>
      <c r="D284" s="31" t="s">
        <v>32</v>
      </c>
      <c r="E284" s="21" t="s">
        <v>623</v>
      </c>
      <c r="F284" s="19" t="n">
        <v>559584377249</v>
      </c>
      <c r="G284" s="31" t="s">
        <v>624</v>
      </c>
      <c r="I284" s="31" t="s">
        <v>149</v>
      </c>
      <c r="R284" s="0" t="n">
        <v>2</v>
      </c>
      <c r="S284" s="0" t="n">
        <v>2026</v>
      </c>
    </row>
    <row r="285" customFormat="false" ht="14.25" hidden="false" customHeight="false" outlineLevel="0" collapsed="false">
      <c r="A285" s="17" t="n">
        <v>46063</v>
      </c>
      <c r="B285" s="21" t="s">
        <v>625</v>
      </c>
      <c r="C285" s="22" t="n">
        <v>150</v>
      </c>
      <c r="D285" s="31" t="s">
        <v>32</v>
      </c>
      <c r="E285" s="21" t="s">
        <v>626</v>
      </c>
      <c r="F285" s="19" t="n">
        <v>554192270407</v>
      </c>
      <c r="G285" s="31" t="s">
        <v>627</v>
      </c>
      <c r="I285" s="31" t="s">
        <v>149</v>
      </c>
      <c r="R285" s="0" t="n">
        <v>2</v>
      </c>
      <c r="S285" s="0" t="n">
        <v>2026</v>
      </c>
    </row>
    <row r="286" customFormat="false" ht="14.25" hidden="false" customHeight="false" outlineLevel="0" collapsed="false">
      <c r="A286" s="17" t="n">
        <v>46062</v>
      </c>
      <c r="B286" s="21" t="s">
        <v>628</v>
      </c>
      <c r="C286" s="22" t="n">
        <v>270</v>
      </c>
      <c r="D286" s="31" t="s">
        <v>30</v>
      </c>
      <c r="E286" s="21" t="s">
        <v>628</v>
      </c>
      <c r="F286" s="19" t="n">
        <v>555180212892</v>
      </c>
      <c r="G286" s="31" t="s">
        <v>629</v>
      </c>
      <c r="I286" s="31" t="s">
        <v>54</v>
      </c>
      <c r="R286" s="0" t="n">
        <v>2</v>
      </c>
      <c r="S286" s="0" t="n">
        <v>2026</v>
      </c>
    </row>
    <row r="287" customFormat="false" ht="14.25" hidden="false" customHeight="false" outlineLevel="0" collapsed="false">
      <c r="A287" s="17" t="n">
        <v>46063</v>
      </c>
      <c r="B287" s="21" t="s">
        <v>630</v>
      </c>
      <c r="C287" s="22" t="n">
        <v>97</v>
      </c>
      <c r="D287" s="31" t="s">
        <v>20</v>
      </c>
      <c r="E287" s="21" t="s">
        <v>630</v>
      </c>
      <c r="F287" s="19" t="n">
        <v>5518996452405</v>
      </c>
      <c r="G287" s="31" t="s">
        <v>631</v>
      </c>
      <c r="I287" s="31" t="s">
        <v>34</v>
      </c>
      <c r="R287" s="0" t="n">
        <v>2</v>
      </c>
      <c r="S287" s="0" t="n">
        <v>2026</v>
      </c>
    </row>
    <row r="288" customFormat="false" ht="14.25" hidden="false" customHeight="false" outlineLevel="0" collapsed="false">
      <c r="A288" s="17" t="n">
        <v>46060</v>
      </c>
      <c r="B288" s="21" t="s">
        <v>632</v>
      </c>
      <c r="C288" s="22" t="n">
        <v>47</v>
      </c>
      <c r="D288" s="31" t="s">
        <v>18</v>
      </c>
      <c r="E288" s="21" t="s">
        <v>633</v>
      </c>
      <c r="F288" s="19" t="n">
        <v>554896396962</v>
      </c>
      <c r="G288" s="31" t="s">
        <v>634</v>
      </c>
      <c r="I288" s="31" t="s">
        <v>50</v>
      </c>
      <c r="R288" s="0" t="n">
        <v>2</v>
      </c>
      <c r="S288" s="0" t="n">
        <v>2026</v>
      </c>
    </row>
    <row r="289" customFormat="false" ht="14.25" hidden="false" customHeight="false" outlineLevel="0" collapsed="false">
      <c r="A289" s="17" t="n">
        <v>46060</v>
      </c>
      <c r="B289" s="21" t="s">
        <v>635</v>
      </c>
      <c r="C289" s="22" t="n">
        <v>300</v>
      </c>
      <c r="D289" s="31" t="s">
        <v>30</v>
      </c>
      <c r="E289" s="21" t="s">
        <v>635</v>
      </c>
      <c r="F289" s="19" t="n">
        <v>5511992965364</v>
      </c>
      <c r="G289" s="31" t="s">
        <v>636</v>
      </c>
      <c r="I289" s="31" t="s">
        <v>34</v>
      </c>
      <c r="R289" s="0" t="n">
        <v>2</v>
      </c>
      <c r="S289" s="0" t="n">
        <v>2026</v>
      </c>
    </row>
    <row r="290" customFormat="false" ht="14.25" hidden="false" customHeight="false" outlineLevel="0" collapsed="false">
      <c r="A290" s="17" t="n">
        <v>46061</v>
      </c>
      <c r="B290" s="21" t="s">
        <v>637</v>
      </c>
      <c r="C290" s="22" t="n">
        <v>150</v>
      </c>
      <c r="D290" s="31" t="s">
        <v>32</v>
      </c>
      <c r="E290" s="21" t="s">
        <v>637</v>
      </c>
      <c r="F290" s="19" t="n">
        <v>559584230858</v>
      </c>
      <c r="G290" s="31" t="s">
        <v>638</v>
      </c>
      <c r="I290" s="31" t="s">
        <v>355</v>
      </c>
      <c r="R290" s="0" t="n">
        <v>2</v>
      </c>
      <c r="S290" s="0" t="n">
        <v>2026</v>
      </c>
    </row>
    <row r="291" customFormat="false" ht="14.25" hidden="false" customHeight="false" outlineLevel="0" collapsed="false">
      <c r="A291" s="17" t="n">
        <v>46059</v>
      </c>
      <c r="B291" s="21" t="s">
        <v>137</v>
      </c>
      <c r="C291" s="22" t="n">
        <v>100</v>
      </c>
      <c r="D291" s="31" t="s">
        <v>390</v>
      </c>
      <c r="E291" s="21" t="s">
        <v>137</v>
      </c>
      <c r="F291" s="19" t="n">
        <v>555499481372</v>
      </c>
      <c r="G291" s="31" t="s">
        <v>639</v>
      </c>
      <c r="I291" s="31" t="s">
        <v>34</v>
      </c>
      <c r="R291" s="0" t="n">
        <v>2</v>
      </c>
      <c r="S291" s="0" t="n">
        <v>2026</v>
      </c>
    </row>
    <row r="292" customFormat="false" ht="14.25" hidden="false" customHeight="false" outlineLevel="0" collapsed="false">
      <c r="A292" s="17" t="n">
        <v>46063</v>
      </c>
      <c r="B292" s="21" t="s">
        <v>640</v>
      </c>
      <c r="C292" s="22" t="n">
        <v>120</v>
      </c>
      <c r="D292" s="31" t="s">
        <v>21</v>
      </c>
      <c r="E292" s="21" t="s">
        <v>640</v>
      </c>
      <c r="F292" s="19" t="n">
        <v>554896760203</v>
      </c>
      <c r="G292" s="31" t="s">
        <v>641</v>
      </c>
      <c r="I292" s="31" t="s">
        <v>34</v>
      </c>
      <c r="R292" s="0" t="n">
        <v>2</v>
      </c>
      <c r="S292" s="0" t="n">
        <v>2026</v>
      </c>
    </row>
    <row r="293" customFormat="false" ht="14.25" hidden="false" customHeight="false" outlineLevel="0" collapsed="false">
      <c r="A293" s="17" t="n">
        <v>46063</v>
      </c>
      <c r="B293" s="21" t="s">
        <v>642</v>
      </c>
      <c r="C293" s="22" t="n">
        <v>150</v>
      </c>
      <c r="D293" s="31" t="s">
        <v>32</v>
      </c>
      <c r="E293" s="21" t="s">
        <v>642</v>
      </c>
      <c r="F293" s="19" t="n">
        <v>554791577539</v>
      </c>
      <c r="G293" s="31" t="s">
        <v>643</v>
      </c>
      <c r="I293" s="31" t="s">
        <v>50</v>
      </c>
      <c r="R293" s="0" t="n">
        <v>2</v>
      </c>
      <c r="S293" s="0" t="n">
        <v>2026</v>
      </c>
    </row>
    <row r="294" customFormat="false" ht="14.25" hidden="false" customHeight="false" outlineLevel="0" collapsed="false">
      <c r="A294" s="17" t="n">
        <v>46063</v>
      </c>
      <c r="B294" s="21" t="s">
        <v>644</v>
      </c>
      <c r="C294" s="22" t="n">
        <v>500</v>
      </c>
      <c r="D294" s="31" t="s">
        <v>27</v>
      </c>
      <c r="E294" s="21" t="s">
        <v>644</v>
      </c>
      <c r="F294" s="19" t="n">
        <v>554184753747</v>
      </c>
      <c r="G294" s="31" t="s">
        <v>645</v>
      </c>
      <c r="I294" s="31" t="s">
        <v>149</v>
      </c>
      <c r="R294" s="0" t="n">
        <v>2</v>
      </c>
      <c r="S294" s="0" t="n">
        <v>2026</v>
      </c>
    </row>
    <row r="295" customFormat="false" ht="14.25" hidden="false" customHeight="false" outlineLevel="0" collapsed="false">
      <c r="A295" s="17" t="n">
        <v>46063</v>
      </c>
      <c r="B295" s="21" t="s">
        <v>509</v>
      </c>
      <c r="C295" s="22" t="n">
        <v>150</v>
      </c>
      <c r="D295" s="31" t="s">
        <v>32</v>
      </c>
      <c r="E295" s="21" t="s">
        <v>509</v>
      </c>
      <c r="F295" s="19" t="n">
        <v>558899155871</v>
      </c>
      <c r="G295" s="31" t="s">
        <v>510</v>
      </c>
      <c r="I295" s="31" t="s">
        <v>149</v>
      </c>
      <c r="R295" s="0" t="n">
        <v>2</v>
      </c>
      <c r="S295" s="0" t="n">
        <v>2026</v>
      </c>
    </row>
    <row r="296" customFormat="false" ht="14.25" hidden="false" customHeight="false" outlineLevel="0" collapsed="false">
      <c r="A296" s="17" t="n">
        <v>46063</v>
      </c>
      <c r="B296" s="21" t="s">
        <v>646</v>
      </c>
      <c r="C296" s="22" t="n">
        <v>150</v>
      </c>
      <c r="D296" s="31" t="s">
        <v>32</v>
      </c>
      <c r="E296" s="21" t="s">
        <v>647</v>
      </c>
      <c r="F296" s="19" t="n">
        <v>5511973514388</v>
      </c>
      <c r="G296" s="31" t="s">
        <v>648</v>
      </c>
      <c r="I296" s="31" t="s">
        <v>34</v>
      </c>
      <c r="R296" s="0" t="n">
        <v>2</v>
      </c>
      <c r="S296" s="0" t="n">
        <v>2026</v>
      </c>
    </row>
    <row r="297" customFormat="false" ht="14.25" hidden="false" customHeight="false" outlineLevel="0" collapsed="false">
      <c r="A297" s="17" t="n">
        <v>46063</v>
      </c>
      <c r="B297" s="21" t="s">
        <v>649</v>
      </c>
      <c r="C297" s="22" t="n">
        <v>300</v>
      </c>
      <c r="D297" s="31" t="s">
        <v>27</v>
      </c>
      <c r="E297" s="21" t="s">
        <v>649</v>
      </c>
      <c r="F297" s="19" t="n">
        <v>559581257313</v>
      </c>
      <c r="G297" s="31" t="s">
        <v>650</v>
      </c>
      <c r="I297" s="31" t="s">
        <v>34</v>
      </c>
      <c r="R297" s="0" t="n">
        <v>2</v>
      </c>
      <c r="S297" s="0" t="n">
        <v>2026</v>
      </c>
    </row>
    <row r="298" customFormat="false" ht="14.25" hidden="false" customHeight="false" outlineLevel="0" collapsed="false">
      <c r="A298" s="17" t="n">
        <v>46064</v>
      </c>
      <c r="B298" s="21" t="s">
        <v>651</v>
      </c>
      <c r="C298" s="22" t="n">
        <v>150</v>
      </c>
      <c r="D298" s="31" t="s">
        <v>32</v>
      </c>
      <c r="E298" s="21" t="s">
        <v>651</v>
      </c>
      <c r="F298" s="19" t="n">
        <v>556181448094</v>
      </c>
      <c r="G298" s="31" t="s">
        <v>652</v>
      </c>
      <c r="I298" s="31" t="s">
        <v>50</v>
      </c>
      <c r="R298" s="0" t="n">
        <v>2</v>
      </c>
      <c r="S298" s="0" t="n">
        <v>2026</v>
      </c>
    </row>
    <row r="299" customFormat="false" ht="14.25" hidden="false" customHeight="false" outlineLevel="0" collapsed="false">
      <c r="A299" s="17" t="n">
        <v>46064</v>
      </c>
      <c r="B299" s="21" t="s">
        <v>653</v>
      </c>
      <c r="C299" s="22" t="n">
        <v>120</v>
      </c>
      <c r="D299" s="31" t="s">
        <v>30</v>
      </c>
      <c r="E299" s="21" t="s">
        <v>653</v>
      </c>
      <c r="F299" s="19" t="n">
        <v>5519998862857</v>
      </c>
      <c r="G299" s="31" t="s">
        <v>654</v>
      </c>
      <c r="I299" s="31" t="s">
        <v>50</v>
      </c>
      <c r="R299" s="0" t="n">
        <v>2</v>
      </c>
      <c r="S299" s="0" t="n">
        <v>2026</v>
      </c>
    </row>
    <row r="300" customFormat="false" ht="14.25" hidden="false" customHeight="false" outlineLevel="0" collapsed="false">
      <c r="A300" s="17" t="n">
        <v>46064</v>
      </c>
      <c r="B300" s="21" t="s">
        <v>328</v>
      </c>
      <c r="C300" s="22" t="n">
        <v>250</v>
      </c>
      <c r="D300" s="31" t="s">
        <v>106</v>
      </c>
      <c r="E300" s="21" t="s">
        <v>328</v>
      </c>
      <c r="F300" s="19" t="n">
        <v>559599773288</v>
      </c>
      <c r="G300" s="31" t="s">
        <v>329</v>
      </c>
      <c r="I300" s="31" t="s">
        <v>54</v>
      </c>
      <c r="R300" s="0" t="n">
        <v>2</v>
      </c>
      <c r="S300" s="0" t="n">
        <v>2026</v>
      </c>
    </row>
    <row r="301" customFormat="false" ht="14.25" hidden="false" customHeight="false" outlineLevel="0" collapsed="false">
      <c r="A301" s="17" t="n">
        <v>46064</v>
      </c>
      <c r="B301" s="21" t="s">
        <v>309</v>
      </c>
      <c r="C301" s="22" t="n">
        <v>60</v>
      </c>
      <c r="D301" s="31" t="s">
        <v>25</v>
      </c>
      <c r="E301" s="21" t="s">
        <v>309</v>
      </c>
      <c r="F301" s="19" t="n">
        <v>554195652015</v>
      </c>
      <c r="G301" s="31" t="s">
        <v>655</v>
      </c>
      <c r="I301" s="31" t="s">
        <v>50</v>
      </c>
      <c r="R301" s="0" t="n">
        <v>2</v>
      </c>
      <c r="S301" s="0" t="n">
        <v>2026</v>
      </c>
    </row>
    <row r="302" customFormat="false" ht="14.25" hidden="false" customHeight="false" outlineLevel="0" collapsed="false">
      <c r="A302" s="17" t="n">
        <v>46064</v>
      </c>
      <c r="B302" s="21" t="s">
        <v>656</v>
      </c>
      <c r="C302" s="22" t="n">
        <v>120</v>
      </c>
      <c r="D302" s="31" t="s">
        <v>21</v>
      </c>
      <c r="E302" s="21" t="s">
        <v>657</v>
      </c>
      <c r="F302" s="19" t="n">
        <v>5548988805800</v>
      </c>
      <c r="G302" s="31" t="s">
        <v>658</v>
      </c>
      <c r="I302" s="31" t="s">
        <v>50</v>
      </c>
      <c r="R302" s="0" t="n">
        <v>2</v>
      </c>
      <c r="S302" s="0" t="n">
        <v>2026</v>
      </c>
    </row>
    <row r="303" customFormat="false" ht="14.25" hidden="false" customHeight="false" outlineLevel="0" collapsed="false">
      <c r="A303" s="17" t="n">
        <v>46064</v>
      </c>
      <c r="B303" s="21" t="s">
        <v>656</v>
      </c>
      <c r="C303" s="22" t="n">
        <v>97</v>
      </c>
      <c r="D303" s="31" t="s">
        <v>20</v>
      </c>
      <c r="E303" s="21" t="s">
        <v>657</v>
      </c>
      <c r="F303" s="19" t="n">
        <v>5548988805800</v>
      </c>
      <c r="G303" s="31" t="s">
        <v>658</v>
      </c>
      <c r="I303" s="31" t="s">
        <v>50</v>
      </c>
      <c r="R303" s="0" t="n">
        <v>2</v>
      </c>
      <c r="S303" s="0" t="n">
        <v>2026</v>
      </c>
    </row>
    <row r="304" customFormat="false" ht="14.25" hidden="false" customHeight="false" outlineLevel="0" collapsed="false">
      <c r="A304" s="17" t="n">
        <v>46064</v>
      </c>
      <c r="B304" s="21" t="s">
        <v>659</v>
      </c>
      <c r="C304" s="22" t="n">
        <v>120</v>
      </c>
      <c r="D304" s="31" t="s">
        <v>21</v>
      </c>
      <c r="E304" s="21" t="s">
        <v>659</v>
      </c>
      <c r="F304" s="19" t="n">
        <v>559591133364</v>
      </c>
      <c r="G304" s="31" t="s">
        <v>660</v>
      </c>
      <c r="I304" s="31" t="s">
        <v>50</v>
      </c>
      <c r="R304" s="0" t="n">
        <v>2</v>
      </c>
      <c r="S304" s="0" t="n">
        <v>2026</v>
      </c>
    </row>
    <row r="305" customFormat="false" ht="14.25" hidden="false" customHeight="false" outlineLevel="0" collapsed="false">
      <c r="A305" s="17" t="n">
        <v>46064</v>
      </c>
      <c r="B305" s="21" t="s">
        <v>661</v>
      </c>
      <c r="C305" s="22" t="n">
        <v>120</v>
      </c>
      <c r="D305" s="31" t="s">
        <v>32</v>
      </c>
      <c r="E305" s="21" t="s">
        <v>661</v>
      </c>
      <c r="F305" s="19" t="n">
        <v>554174031174</v>
      </c>
      <c r="G305" s="31" t="s">
        <v>662</v>
      </c>
      <c r="I305" s="31" t="s">
        <v>355</v>
      </c>
      <c r="R305" s="0" t="n">
        <v>2</v>
      </c>
      <c r="S305" s="0" t="n">
        <v>2026</v>
      </c>
    </row>
    <row r="306" customFormat="false" ht="14.25" hidden="false" customHeight="false" outlineLevel="0" collapsed="false">
      <c r="A306" s="17" t="n">
        <v>46064</v>
      </c>
      <c r="B306" s="21" t="s">
        <v>663</v>
      </c>
      <c r="C306" s="22" t="n">
        <v>97</v>
      </c>
      <c r="D306" s="31" t="s">
        <v>30</v>
      </c>
      <c r="E306" s="21" t="s">
        <v>663</v>
      </c>
      <c r="F306" s="19" t="n">
        <v>5511914977254</v>
      </c>
      <c r="G306" s="31" t="s">
        <v>664</v>
      </c>
      <c r="I306" s="31" t="s">
        <v>149</v>
      </c>
      <c r="R306" s="0" t="n">
        <v>2</v>
      </c>
      <c r="S306" s="0" t="n">
        <v>2026</v>
      </c>
    </row>
    <row r="307" customFormat="false" ht="14.25" hidden="false" customHeight="false" outlineLevel="0" collapsed="false">
      <c r="A307" s="17" t="n">
        <v>46064</v>
      </c>
      <c r="B307" s="21" t="s">
        <v>665</v>
      </c>
      <c r="C307" s="22" t="n">
        <v>117</v>
      </c>
      <c r="D307" s="31" t="s">
        <v>30</v>
      </c>
      <c r="E307" s="21" t="s">
        <v>665</v>
      </c>
      <c r="F307" s="19" t="n">
        <v>554598428190</v>
      </c>
      <c r="G307" s="31" t="s">
        <v>612</v>
      </c>
      <c r="I307" s="31" t="s">
        <v>355</v>
      </c>
      <c r="R307" s="0" t="n">
        <v>2</v>
      </c>
      <c r="S307" s="0" t="n">
        <v>2026</v>
      </c>
    </row>
    <row r="308" customFormat="false" ht="14.25" hidden="false" customHeight="false" outlineLevel="0" collapsed="false">
      <c r="A308" s="17" t="n">
        <v>46064</v>
      </c>
      <c r="B308" s="21" t="s">
        <v>666</v>
      </c>
      <c r="C308" s="22" t="n">
        <v>150</v>
      </c>
      <c r="D308" s="31" t="s">
        <v>32</v>
      </c>
      <c r="E308" s="21" t="s">
        <v>667</v>
      </c>
      <c r="F308" s="19" t="n">
        <v>5355398812</v>
      </c>
      <c r="G308" s="31" t="s">
        <v>668</v>
      </c>
      <c r="I308" s="31" t="s">
        <v>355</v>
      </c>
      <c r="R308" s="0" t="n">
        <v>2</v>
      </c>
      <c r="S308" s="0" t="n">
        <v>2026</v>
      </c>
    </row>
    <row r="309" customFormat="false" ht="14.25" hidden="false" customHeight="false" outlineLevel="0" collapsed="false">
      <c r="A309" s="17" t="n">
        <v>46064</v>
      </c>
      <c r="B309" s="21" t="s">
        <v>669</v>
      </c>
      <c r="C309" s="22" t="n">
        <v>120</v>
      </c>
      <c r="D309" s="31" t="s">
        <v>32</v>
      </c>
      <c r="E309" s="21" t="s">
        <v>669</v>
      </c>
      <c r="F309" s="19" t="n">
        <v>554187122977</v>
      </c>
      <c r="G309" s="31" t="s">
        <v>670</v>
      </c>
      <c r="I309" s="31" t="s">
        <v>50</v>
      </c>
      <c r="R309" s="0" t="n">
        <v>2</v>
      </c>
      <c r="S309" s="0" t="n">
        <v>2026</v>
      </c>
    </row>
    <row r="310" customFormat="false" ht="14.25" hidden="false" customHeight="false" outlineLevel="0" collapsed="false">
      <c r="A310" s="17" t="n">
        <v>46064</v>
      </c>
      <c r="B310" s="21" t="s">
        <v>671</v>
      </c>
      <c r="C310" s="22" t="n">
        <v>75</v>
      </c>
      <c r="D310" s="31" t="s">
        <v>390</v>
      </c>
      <c r="E310" s="21" t="s">
        <v>671</v>
      </c>
      <c r="F310" s="19" t="n">
        <v>554199038220</v>
      </c>
      <c r="G310" s="31" t="s">
        <v>672</v>
      </c>
      <c r="I310" s="31" t="s">
        <v>50</v>
      </c>
      <c r="R310" s="0" t="n">
        <v>2</v>
      </c>
      <c r="S310" s="0" t="n">
        <v>2026</v>
      </c>
    </row>
    <row r="311" customFormat="false" ht="14.25" hidden="false" customHeight="false" outlineLevel="0" collapsed="false">
      <c r="A311" s="17" t="n">
        <v>46064</v>
      </c>
      <c r="B311" s="21" t="s">
        <v>673</v>
      </c>
      <c r="C311" s="22" t="n">
        <v>150</v>
      </c>
      <c r="D311" s="31" t="s">
        <v>32</v>
      </c>
      <c r="E311" s="21" t="s">
        <v>673</v>
      </c>
      <c r="F311" s="19" t="n">
        <v>554195612956</v>
      </c>
      <c r="G311" s="31" t="s">
        <v>674</v>
      </c>
      <c r="I311" s="31" t="s">
        <v>355</v>
      </c>
      <c r="R311" s="0" t="n">
        <v>2</v>
      </c>
      <c r="S311" s="0" t="n">
        <v>2026</v>
      </c>
    </row>
    <row r="312" customFormat="false" ht="14.25" hidden="false" customHeight="false" outlineLevel="0" collapsed="false">
      <c r="A312" s="17" t="n">
        <v>46064</v>
      </c>
      <c r="B312" s="21" t="s">
        <v>675</v>
      </c>
      <c r="C312" s="22" t="n">
        <v>194</v>
      </c>
      <c r="D312" s="31" t="s">
        <v>20</v>
      </c>
      <c r="E312" s="21" t="s">
        <v>675</v>
      </c>
      <c r="F312" s="19" t="n">
        <v>556793206551</v>
      </c>
      <c r="G312" s="31" t="s">
        <v>676</v>
      </c>
      <c r="I312" s="31" t="s">
        <v>50</v>
      </c>
      <c r="R312" s="0" t="n">
        <v>2</v>
      </c>
      <c r="S312" s="0" t="n">
        <v>2026</v>
      </c>
    </row>
    <row r="313" customFormat="false" ht="14.25" hidden="false" customHeight="false" outlineLevel="0" collapsed="false">
      <c r="A313" s="17" t="n">
        <v>46064</v>
      </c>
      <c r="B313" s="21" t="s">
        <v>677</v>
      </c>
      <c r="C313" s="22" t="n">
        <v>300</v>
      </c>
      <c r="D313" s="31" t="s">
        <v>24</v>
      </c>
      <c r="E313" s="21" t="s">
        <v>678</v>
      </c>
      <c r="F313" s="19" t="n">
        <v>557591514132</v>
      </c>
      <c r="G313" s="31" t="s">
        <v>679</v>
      </c>
      <c r="I313" s="31" t="s">
        <v>355</v>
      </c>
      <c r="R313" s="0" t="n">
        <v>2</v>
      </c>
      <c r="S313" s="0" t="n">
        <v>2026</v>
      </c>
    </row>
    <row r="314" customFormat="false" ht="14.25" hidden="false" customHeight="false" outlineLevel="0" collapsed="false">
      <c r="A314" s="17" t="n">
        <v>46064</v>
      </c>
      <c r="B314" s="21" t="s">
        <v>680</v>
      </c>
      <c r="C314" s="22" t="n">
        <v>480</v>
      </c>
      <c r="D314" s="31" t="s">
        <v>21</v>
      </c>
      <c r="E314" s="21" t="s">
        <v>680</v>
      </c>
      <c r="F314" s="19" t="n">
        <v>554891899926</v>
      </c>
      <c r="G314" s="31" t="s">
        <v>33</v>
      </c>
      <c r="I314" s="31" t="s">
        <v>34</v>
      </c>
      <c r="R314" s="0" t="n">
        <v>2</v>
      </c>
      <c r="S314" s="0" t="n">
        <v>2026</v>
      </c>
    </row>
    <row r="315" customFormat="false" ht="14.25" hidden="false" customHeight="false" outlineLevel="0" collapsed="false">
      <c r="A315" s="17" t="n">
        <v>46065</v>
      </c>
      <c r="B315" s="21" t="s">
        <v>682</v>
      </c>
      <c r="C315" s="22" t="n">
        <v>150</v>
      </c>
      <c r="D315" s="31" t="s">
        <v>32</v>
      </c>
      <c r="E315" s="21" t="s">
        <v>682</v>
      </c>
      <c r="F315" s="19" t="n">
        <v>5561933008118</v>
      </c>
      <c r="G315" s="31" t="s">
        <v>683</v>
      </c>
      <c r="I315" s="31" t="s">
        <v>50</v>
      </c>
      <c r="R315" s="0" t="n">
        <v>2</v>
      </c>
      <c r="S315" s="0" t="n">
        <v>2026</v>
      </c>
    </row>
    <row r="316" customFormat="false" ht="14.25" hidden="false" customHeight="false" outlineLevel="0" collapsed="false">
      <c r="A316" s="17" t="n">
        <v>46064</v>
      </c>
      <c r="B316" s="21" t="s">
        <v>684</v>
      </c>
      <c r="C316" s="22" t="n">
        <v>120</v>
      </c>
      <c r="D316" s="31" t="s">
        <v>21</v>
      </c>
      <c r="E316" s="21" t="s">
        <v>685</v>
      </c>
      <c r="F316" s="19" t="n">
        <v>5926440647</v>
      </c>
      <c r="G316" s="31" t="s">
        <v>686</v>
      </c>
      <c r="I316" s="31" t="s">
        <v>34</v>
      </c>
      <c r="R316" s="0" t="n">
        <v>2</v>
      </c>
      <c r="S316" s="0" t="n">
        <v>2026</v>
      </c>
    </row>
    <row r="317" customFormat="false" ht="14.25" hidden="false" customHeight="false" outlineLevel="0" collapsed="false">
      <c r="A317" s="17" t="n">
        <v>46064</v>
      </c>
      <c r="B317" s="21" t="s">
        <v>677</v>
      </c>
      <c r="C317" s="22" t="n">
        <v>150</v>
      </c>
      <c r="D317" s="31" t="s">
        <v>30</v>
      </c>
      <c r="E317" s="21" t="s">
        <v>678</v>
      </c>
      <c r="F317" s="19" t="n">
        <v>557591514132</v>
      </c>
      <c r="G317" s="31" t="s">
        <v>679</v>
      </c>
      <c r="I317" s="31" t="s">
        <v>50</v>
      </c>
      <c r="R317" s="0" t="n">
        <v>2</v>
      </c>
      <c r="S317" s="0" t="n">
        <v>2026</v>
      </c>
    </row>
    <row r="318" customFormat="false" ht="14.25" hidden="false" customHeight="false" outlineLevel="0" collapsed="false">
      <c r="A318" s="17" t="n">
        <v>46065</v>
      </c>
      <c r="B318" s="21" t="s">
        <v>687</v>
      </c>
      <c r="C318" s="22" t="n">
        <v>240</v>
      </c>
      <c r="D318" s="31" t="s">
        <v>21</v>
      </c>
      <c r="E318" s="21" t="s">
        <v>687</v>
      </c>
      <c r="F318" s="19" t="n">
        <v>5549999696825</v>
      </c>
      <c r="G318" s="31" t="s">
        <v>688</v>
      </c>
      <c r="I318" s="31" t="s">
        <v>149</v>
      </c>
      <c r="R318" s="0" t="n">
        <v>2</v>
      </c>
      <c r="S318" s="0" t="n">
        <v>2026</v>
      </c>
    </row>
    <row r="319" customFormat="false" ht="14.25" hidden="false" customHeight="false" outlineLevel="0" collapsed="false">
      <c r="A319" s="17" t="n">
        <v>46063</v>
      </c>
      <c r="B319" s="21" t="s">
        <v>689</v>
      </c>
      <c r="C319" s="22" t="n">
        <v>240</v>
      </c>
      <c r="D319" s="31" t="s">
        <v>21</v>
      </c>
      <c r="E319" s="21" t="s">
        <v>689</v>
      </c>
      <c r="F319" s="19" t="n">
        <v>559591197182</v>
      </c>
      <c r="G319" s="31" t="s">
        <v>690</v>
      </c>
      <c r="I319" s="31" t="s">
        <v>50</v>
      </c>
      <c r="R319" s="0" t="n">
        <v>2</v>
      </c>
      <c r="S319" s="0" t="n">
        <v>2026</v>
      </c>
    </row>
    <row r="320" customFormat="false" ht="14.25" hidden="false" customHeight="false" outlineLevel="0" collapsed="false">
      <c r="A320" s="17" t="n">
        <v>46066</v>
      </c>
      <c r="B320" s="21" t="s">
        <v>692</v>
      </c>
      <c r="C320" s="22" t="n">
        <v>120</v>
      </c>
      <c r="D320" s="31" t="s">
        <v>21</v>
      </c>
      <c r="E320" s="21" t="s">
        <v>692</v>
      </c>
      <c r="F320" s="19" t="n">
        <v>554792283713</v>
      </c>
      <c r="G320" s="31" t="s">
        <v>693</v>
      </c>
      <c r="I320" s="31" t="s">
        <v>34</v>
      </c>
      <c r="R320" s="0" t="n">
        <v>2</v>
      </c>
      <c r="S320" s="0" t="n">
        <v>2026</v>
      </c>
    </row>
    <row r="321" customFormat="false" ht="14.25" hidden="false" customHeight="false" outlineLevel="0" collapsed="false">
      <c r="A321" s="17" t="n">
        <v>46066</v>
      </c>
      <c r="B321" s="21" t="s">
        <v>694</v>
      </c>
      <c r="C321" s="22" t="n">
        <v>150</v>
      </c>
      <c r="D321" s="31" t="s">
        <v>32</v>
      </c>
      <c r="E321" s="21" t="s">
        <v>694</v>
      </c>
      <c r="F321" s="19" t="n">
        <v>5511948466849</v>
      </c>
      <c r="G321" s="31" t="s">
        <v>695</v>
      </c>
      <c r="I321" s="31" t="s">
        <v>50</v>
      </c>
      <c r="R321" s="0" t="n">
        <v>2</v>
      </c>
      <c r="S321" s="0" t="n">
        <v>2026</v>
      </c>
    </row>
    <row r="322" customFormat="false" ht="14.25" hidden="false" customHeight="false" outlineLevel="0" collapsed="false">
      <c r="A322" s="17" t="n">
        <v>46065</v>
      </c>
      <c r="B322" s="21" t="s">
        <v>488</v>
      </c>
      <c r="C322" s="22" t="n">
        <v>60</v>
      </c>
      <c r="D322" s="31" t="s">
        <v>25</v>
      </c>
      <c r="E322" s="21" t="s">
        <v>488</v>
      </c>
      <c r="F322" s="19" t="n">
        <v>554888148413</v>
      </c>
      <c r="G322" s="31" t="s">
        <v>489</v>
      </c>
      <c r="I322" s="31" t="s">
        <v>355</v>
      </c>
      <c r="R322" s="0" t="n">
        <v>2</v>
      </c>
      <c r="S322" s="0" t="n">
        <v>2026</v>
      </c>
    </row>
    <row r="323" customFormat="false" ht="14.25" hidden="false" customHeight="false" outlineLevel="0" collapsed="false">
      <c r="A323" s="17" t="n">
        <v>46065</v>
      </c>
      <c r="B323" s="21" t="s">
        <v>696</v>
      </c>
      <c r="C323" s="22" t="n">
        <v>147</v>
      </c>
      <c r="D323" s="31" t="s">
        <v>22</v>
      </c>
      <c r="E323" s="21" t="s">
        <v>696</v>
      </c>
      <c r="F323" s="19" t="n">
        <v>5511992304927</v>
      </c>
      <c r="G323" s="31" t="s">
        <v>576</v>
      </c>
      <c r="I323" s="31" t="s">
        <v>34</v>
      </c>
      <c r="R323" s="0" t="n">
        <v>2</v>
      </c>
      <c r="S323" s="0" t="n">
        <v>2026</v>
      </c>
    </row>
    <row r="324" customFormat="false" ht="14.25" hidden="false" customHeight="false" outlineLevel="0" collapsed="false">
      <c r="A324" s="17" t="n">
        <v>46065</v>
      </c>
      <c r="B324" s="21" t="s">
        <v>471</v>
      </c>
      <c r="C324" s="22" t="n">
        <v>360</v>
      </c>
      <c r="D324" s="31" t="s">
        <v>30</v>
      </c>
      <c r="E324" s="21" t="s">
        <v>471</v>
      </c>
      <c r="F324" s="19" t="n">
        <v>5511981656902</v>
      </c>
      <c r="G324" s="31" t="s">
        <v>697</v>
      </c>
      <c r="I324" s="31" t="s">
        <v>34</v>
      </c>
      <c r="R324" s="0" t="n">
        <v>2</v>
      </c>
      <c r="S324" s="0" t="n">
        <v>2026</v>
      </c>
    </row>
    <row r="325" customFormat="false" ht="14.25" hidden="false" customHeight="false" outlineLevel="0" collapsed="false">
      <c r="A325" s="17" t="n">
        <v>46065</v>
      </c>
      <c r="B325" s="21" t="s">
        <v>698</v>
      </c>
      <c r="C325" s="22" t="n">
        <v>300</v>
      </c>
      <c r="D325" s="31" t="s">
        <v>21</v>
      </c>
      <c r="E325" s="21" t="s">
        <v>699</v>
      </c>
      <c r="F325" s="19" t="n">
        <v>554899744413</v>
      </c>
      <c r="G325" s="31" t="s">
        <v>700</v>
      </c>
      <c r="I325" s="31" t="s">
        <v>50</v>
      </c>
      <c r="R325" s="0" t="n">
        <v>2</v>
      </c>
      <c r="S325" s="0" t="n">
        <v>2026</v>
      </c>
    </row>
    <row r="326" customFormat="false" ht="14.25" hidden="false" customHeight="false" outlineLevel="0" collapsed="false">
      <c r="A326" s="17" t="n">
        <v>46065</v>
      </c>
      <c r="B326" s="21" t="s">
        <v>701</v>
      </c>
      <c r="C326" s="22" t="n">
        <v>145</v>
      </c>
      <c r="D326" s="31" t="s">
        <v>20</v>
      </c>
      <c r="E326" s="21" t="s">
        <v>701</v>
      </c>
      <c r="F326" s="19" t="n">
        <v>554896872910</v>
      </c>
      <c r="G326" s="31" t="s">
        <v>702</v>
      </c>
      <c r="I326" s="31" t="s">
        <v>50</v>
      </c>
      <c r="R326" s="0" t="n">
        <v>2</v>
      </c>
      <c r="S326" s="0" t="n">
        <v>2026</v>
      </c>
    </row>
    <row r="327" customFormat="false" ht="14.25" hidden="false" customHeight="false" outlineLevel="0" collapsed="false">
      <c r="A327" s="17" t="n">
        <v>46065</v>
      </c>
      <c r="B327" s="21" t="s">
        <v>703</v>
      </c>
      <c r="C327" s="22" t="n">
        <v>150</v>
      </c>
      <c r="D327" s="31" t="s">
        <v>32</v>
      </c>
      <c r="E327" s="21" t="s">
        <v>703</v>
      </c>
      <c r="F327" s="19" t="n">
        <v>5548920008175</v>
      </c>
      <c r="G327" s="31" t="s">
        <v>704</v>
      </c>
      <c r="I327" s="31" t="s">
        <v>50</v>
      </c>
      <c r="R327" s="0" t="n">
        <v>2</v>
      </c>
      <c r="S327" s="0" t="n">
        <v>2026</v>
      </c>
    </row>
    <row r="328" customFormat="false" ht="14.25" hidden="false" customHeight="false" outlineLevel="0" collapsed="false">
      <c r="A328" s="17" t="n">
        <v>46065</v>
      </c>
      <c r="B328" s="21" t="s">
        <v>705</v>
      </c>
      <c r="C328" s="22" t="n">
        <v>60</v>
      </c>
      <c r="D328" s="31" t="s">
        <v>706</v>
      </c>
      <c r="E328" s="21" t="s">
        <v>705</v>
      </c>
      <c r="F328" s="19" t="n">
        <v>554184740618</v>
      </c>
      <c r="G328" s="31" t="s">
        <v>707</v>
      </c>
      <c r="I328" s="31" t="s">
        <v>149</v>
      </c>
      <c r="R328" s="0" t="n">
        <v>2</v>
      </c>
      <c r="S328" s="0" t="n">
        <v>2026</v>
      </c>
    </row>
    <row r="329" customFormat="false" ht="14.25" hidden="false" customHeight="false" outlineLevel="0" collapsed="false">
      <c r="A329" s="17" t="n">
        <v>46065</v>
      </c>
      <c r="B329" s="21" t="s">
        <v>708</v>
      </c>
      <c r="C329" s="22" t="n">
        <v>120</v>
      </c>
      <c r="D329" s="31" t="s">
        <v>32</v>
      </c>
      <c r="E329" s="21" t="s">
        <v>708</v>
      </c>
      <c r="F329" s="19" t="n">
        <v>554288290435</v>
      </c>
      <c r="G329" s="31" t="s">
        <v>709</v>
      </c>
      <c r="I329" s="31" t="s">
        <v>50</v>
      </c>
      <c r="R329" s="0" t="n">
        <v>2</v>
      </c>
      <c r="S329" s="0" t="n">
        <v>2026</v>
      </c>
    </row>
    <row r="330" customFormat="false" ht="14.25" hidden="false" customHeight="false" outlineLevel="0" collapsed="false">
      <c r="A330" s="17" t="n">
        <v>46065</v>
      </c>
      <c r="B330" s="21" t="s">
        <v>564</v>
      </c>
      <c r="C330" s="22" t="n">
        <v>200</v>
      </c>
      <c r="D330" s="31" t="s">
        <v>28</v>
      </c>
      <c r="E330" s="21" t="s">
        <v>564</v>
      </c>
      <c r="F330" s="19" t="n">
        <v>554184536785</v>
      </c>
      <c r="G330" s="31" t="s">
        <v>565</v>
      </c>
      <c r="I330" s="31" t="s">
        <v>50</v>
      </c>
      <c r="R330" s="0" t="n">
        <v>2</v>
      </c>
      <c r="S330" s="0" t="n">
        <v>2026</v>
      </c>
    </row>
    <row r="331" customFormat="false" ht="14.25" hidden="false" customHeight="false" outlineLevel="0" collapsed="false">
      <c r="A331" s="17" t="n">
        <v>46066</v>
      </c>
      <c r="B331" s="21" t="s">
        <v>710</v>
      </c>
      <c r="C331" s="22" t="n">
        <v>150</v>
      </c>
      <c r="D331" s="31" t="s">
        <v>32</v>
      </c>
      <c r="E331" s="21" t="s">
        <v>710</v>
      </c>
      <c r="F331" s="19" t="n">
        <v>556593533998</v>
      </c>
      <c r="G331" s="31" t="s">
        <v>711</v>
      </c>
      <c r="I331" s="31" t="s">
        <v>34</v>
      </c>
      <c r="R331" s="0" t="n">
        <v>2</v>
      </c>
      <c r="S331" s="0" t="n">
        <v>2026</v>
      </c>
    </row>
    <row r="332" customFormat="false" ht="14.25" hidden="false" customHeight="false" outlineLevel="0" collapsed="false">
      <c r="A332" s="17" t="n">
        <v>46066</v>
      </c>
      <c r="B332" s="21" t="s">
        <v>712</v>
      </c>
      <c r="C332" s="22" t="n">
        <v>600</v>
      </c>
      <c r="D332" s="31" t="s">
        <v>27</v>
      </c>
      <c r="E332" s="21" t="s">
        <v>713</v>
      </c>
      <c r="F332" s="19" t="n">
        <v>554892191781</v>
      </c>
      <c r="G332" s="31" t="s">
        <v>714</v>
      </c>
      <c r="I332" s="31" t="s">
        <v>50</v>
      </c>
      <c r="R332" s="0" t="n">
        <v>2</v>
      </c>
      <c r="S332" s="0" t="n">
        <v>2026</v>
      </c>
    </row>
    <row r="333" customFormat="false" ht="14.25" hidden="false" customHeight="false" outlineLevel="0" collapsed="false">
      <c r="A333" s="17" t="n">
        <v>46066</v>
      </c>
      <c r="B333" s="21" t="s">
        <v>715</v>
      </c>
      <c r="C333" s="22" t="n">
        <v>150</v>
      </c>
      <c r="D333" s="31" t="s">
        <v>32</v>
      </c>
      <c r="E333" s="21" t="s">
        <v>715</v>
      </c>
      <c r="F333" s="19" t="n">
        <v>554195570306</v>
      </c>
      <c r="G333" s="31" t="s">
        <v>716</v>
      </c>
      <c r="I333" s="31" t="s">
        <v>355</v>
      </c>
      <c r="R333" s="0" t="n">
        <v>2</v>
      </c>
      <c r="S333" s="0" t="n">
        <v>2026</v>
      </c>
    </row>
    <row r="334" customFormat="false" ht="14.25" hidden="false" customHeight="false" outlineLevel="0" collapsed="false">
      <c r="A334" s="17" t="n">
        <v>46067</v>
      </c>
      <c r="B334" s="21" t="s">
        <v>718</v>
      </c>
      <c r="C334" s="22" t="n">
        <v>60</v>
      </c>
      <c r="D334" s="31" t="s">
        <v>25</v>
      </c>
      <c r="E334" s="21" t="s">
        <v>718</v>
      </c>
      <c r="F334" s="19" t="n">
        <v>5511915678356</v>
      </c>
      <c r="G334" s="31"/>
      <c r="I334" s="31" t="s">
        <v>34</v>
      </c>
      <c r="R334" s="0" t="n">
        <v>2</v>
      </c>
      <c r="S334" s="0" t="n">
        <v>2026</v>
      </c>
    </row>
    <row r="335" customFormat="false" ht="14.25" hidden="false" customHeight="false" outlineLevel="0" collapsed="false">
      <c r="A335" s="17" t="n">
        <v>46066</v>
      </c>
      <c r="B335" s="21" t="s">
        <v>719</v>
      </c>
      <c r="C335" s="22" t="n">
        <v>187</v>
      </c>
      <c r="D335" s="31" t="s">
        <v>21</v>
      </c>
      <c r="E335" s="21" t="s">
        <v>719</v>
      </c>
      <c r="F335" s="19" t="n">
        <v>554792923533</v>
      </c>
      <c r="G335" s="31"/>
      <c r="I335" s="31" t="s">
        <v>355</v>
      </c>
      <c r="R335" s="0" t="n">
        <v>2</v>
      </c>
      <c r="S335" s="0" t="n">
        <v>2026</v>
      </c>
    </row>
    <row r="336" customFormat="false" ht="14.25" hidden="false" customHeight="false" outlineLevel="0" collapsed="false">
      <c r="A336" s="17" t="n">
        <v>46067</v>
      </c>
      <c r="B336" s="21" t="s">
        <v>720</v>
      </c>
      <c r="C336" s="22" t="n">
        <v>240</v>
      </c>
      <c r="D336" s="31" t="s">
        <v>21</v>
      </c>
      <c r="E336" s="21" t="s">
        <v>721</v>
      </c>
      <c r="F336" s="19" t="n">
        <v>559584129734</v>
      </c>
      <c r="G336" s="31" t="s">
        <v>722</v>
      </c>
      <c r="I336" s="31" t="s">
        <v>34</v>
      </c>
      <c r="R336" s="0" t="n">
        <v>2</v>
      </c>
      <c r="S336" s="0" t="n">
        <v>2026</v>
      </c>
    </row>
    <row r="337" customFormat="false" ht="14.25" hidden="false" customHeight="false" outlineLevel="0" collapsed="false">
      <c r="A337" s="17" t="n">
        <v>46067</v>
      </c>
      <c r="B337" s="21" t="s">
        <v>723</v>
      </c>
      <c r="C337" s="22" t="n">
        <v>150</v>
      </c>
      <c r="D337" s="31" t="s">
        <v>32</v>
      </c>
      <c r="E337" s="21" t="s">
        <v>723</v>
      </c>
      <c r="F337" s="19" t="n">
        <v>559584274508</v>
      </c>
      <c r="G337" s="31" t="s">
        <v>724</v>
      </c>
      <c r="I337" s="31" t="s">
        <v>34</v>
      </c>
      <c r="R337" s="0" t="n">
        <v>2</v>
      </c>
      <c r="S337" s="0" t="n">
        <v>2026</v>
      </c>
    </row>
    <row r="338" customFormat="false" ht="14.25" hidden="false" customHeight="false" outlineLevel="0" collapsed="false">
      <c r="A338" s="17" t="n">
        <v>46067</v>
      </c>
      <c r="B338" s="21" t="s">
        <v>725</v>
      </c>
      <c r="C338" s="22" t="n">
        <v>150</v>
      </c>
      <c r="D338" s="31" t="s">
        <v>18</v>
      </c>
      <c r="E338" s="21" t="s">
        <v>725</v>
      </c>
      <c r="F338" s="19" t="n">
        <v>5511996490310</v>
      </c>
      <c r="G338" s="31"/>
      <c r="I338" s="31" t="s">
        <v>34</v>
      </c>
      <c r="R338" s="0" t="n">
        <v>2</v>
      </c>
      <c r="S338" s="0" t="n">
        <v>2026</v>
      </c>
    </row>
    <row r="339" customFormat="false" ht="14.25" hidden="false" customHeight="false" outlineLevel="0" collapsed="false">
      <c r="A339" s="17" t="n">
        <v>46067</v>
      </c>
      <c r="B339" s="21" t="s">
        <v>726</v>
      </c>
      <c r="C339" s="22" t="n">
        <v>150</v>
      </c>
      <c r="D339" s="31" t="s">
        <v>18</v>
      </c>
      <c r="E339" s="21" t="s">
        <v>726</v>
      </c>
      <c r="F339" s="19" t="n">
        <v>554799607160</v>
      </c>
      <c r="G339" s="31" t="s">
        <v>727</v>
      </c>
      <c r="I339" s="31" t="s">
        <v>355</v>
      </c>
      <c r="J339" s="21" t="s">
        <v>60</v>
      </c>
      <c r="K339" s="21" t="s">
        <v>27</v>
      </c>
      <c r="L339" s="21" t="s">
        <v>728</v>
      </c>
      <c r="M339" s="21" t="s">
        <v>62</v>
      </c>
      <c r="R339" s="0" t="n">
        <v>2</v>
      </c>
      <c r="S339" s="0" t="n">
        <v>2026</v>
      </c>
    </row>
    <row r="340" customFormat="false" ht="14.25" hidden="false" customHeight="false" outlineLevel="0" collapsed="false">
      <c r="A340" s="17" t="n">
        <v>46069</v>
      </c>
      <c r="B340" s="21" t="s">
        <v>730</v>
      </c>
      <c r="C340" s="22" t="n">
        <v>120</v>
      </c>
      <c r="D340" s="31" t="s">
        <v>30</v>
      </c>
      <c r="E340" s="21" t="s">
        <v>730</v>
      </c>
      <c r="F340" s="19" t="n">
        <v>554196158416</v>
      </c>
      <c r="G340" s="31" t="s">
        <v>731</v>
      </c>
      <c r="I340" s="31" t="s">
        <v>355</v>
      </c>
      <c r="R340" s="0" t="n">
        <v>2</v>
      </c>
      <c r="S340" s="0" t="n">
        <v>2026</v>
      </c>
    </row>
    <row r="341" customFormat="false" ht="14.25" hidden="false" customHeight="false" outlineLevel="0" collapsed="false">
      <c r="A341" s="17" t="n">
        <v>46069</v>
      </c>
      <c r="B341" s="21" t="s">
        <v>732</v>
      </c>
      <c r="C341" s="22" t="n">
        <v>120</v>
      </c>
      <c r="D341" s="31" t="s">
        <v>23</v>
      </c>
      <c r="E341" s="21" t="s">
        <v>732</v>
      </c>
      <c r="F341" s="19" t="n">
        <v>5354075225</v>
      </c>
      <c r="G341" s="31"/>
      <c r="I341" s="31" t="s">
        <v>34</v>
      </c>
      <c r="R341" s="0" t="n">
        <v>2</v>
      </c>
      <c r="S341" s="0" t="n">
        <v>2026</v>
      </c>
    </row>
    <row r="342" customFormat="false" ht="14.25" hidden="false" customHeight="false" outlineLevel="0" collapsed="false">
      <c r="A342" s="17" t="n">
        <v>46069</v>
      </c>
      <c r="B342" s="21" t="s">
        <v>733</v>
      </c>
      <c r="C342" s="22" t="n">
        <v>150</v>
      </c>
      <c r="D342" s="31" t="s">
        <v>32</v>
      </c>
      <c r="E342" s="21" t="s">
        <v>733</v>
      </c>
      <c r="F342" s="19" t="n">
        <v>559584122441</v>
      </c>
      <c r="G342" s="31"/>
      <c r="I342" s="31" t="s">
        <v>34</v>
      </c>
      <c r="R342" s="0" t="n">
        <v>2</v>
      </c>
      <c r="S342" s="0" t="n">
        <v>2026</v>
      </c>
    </row>
    <row r="343" customFormat="false" ht="14.25" hidden="false" customHeight="false" outlineLevel="0" collapsed="false">
      <c r="A343" s="17" t="n">
        <v>46067</v>
      </c>
      <c r="B343" s="21" t="s">
        <v>734</v>
      </c>
      <c r="C343" s="22" t="n">
        <v>130</v>
      </c>
      <c r="D343" s="31" t="s">
        <v>20</v>
      </c>
      <c r="E343" s="21" t="s">
        <v>734</v>
      </c>
      <c r="F343" s="19" t="n">
        <v>556292588139</v>
      </c>
      <c r="G343" s="31" t="s">
        <v>735</v>
      </c>
      <c r="I343" s="31" t="s">
        <v>54</v>
      </c>
      <c r="R343" s="0" t="n">
        <v>2</v>
      </c>
      <c r="S343" s="0" t="n">
        <v>2026</v>
      </c>
    </row>
    <row r="344" customFormat="false" ht="14.25" hidden="false" customHeight="false" outlineLevel="0" collapsed="false">
      <c r="A344" s="17" t="n">
        <v>46067</v>
      </c>
      <c r="B344" s="21" t="s">
        <v>736</v>
      </c>
      <c r="C344" s="22" t="n">
        <v>40</v>
      </c>
      <c r="D344" s="31" t="s">
        <v>21</v>
      </c>
      <c r="E344" s="21" t="s">
        <v>736</v>
      </c>
      <c r="F344" s="19" t="n">
        <v>554899263876</v>
      </c>
      <c r="G344" s="31" t="s">
        <v>737</v>
      </c>
      <c r="I344" s="31" t="s">
        <v>50</v>
      </c>
      <c r="R344" s="0" t="n">
        <v>2</v>
      </c>
      <c r="S344" s="0" t="n">
        <v>2026</v>
      </c>
    </row>
    <row r="345" customFormat="false" ht="14.25" hidden="false" customHeight="false" outlineLevel="0" collapsed="false">
      <c r="A345" s="17" t="n">
        <v>46070</v>
      </c>
      <c r="B345" s="21" t="s">
        <v>739</v>
      </c>
      <c r="C345" s="22" t="n">
        <v>140</v>
      </c>
      <c r="D345" s="31" t="s">
        <v>32</v>
      </c>
      <c r="E345" s="21" t="s">
        <v>740</v>
      </c>
      <c r="F345" s="19" t="n">
        <v>5519981183492</v>
      </c>
      <c r="G345" s="31" t="s">
        <v>33</v>
      </c>
      <c r="I345" s="31" t="s">
        <v>34</v>
      </c>
      <c r="R345" s="0" t="n">
        <v>2</v>
      </c>
      <c r="S345" s="0" t="n">
        <v>2026</v>
      </c>
    </row>
    <row r="346" customFormat="false" ht="14.25" hidden="false" customHeight="false" outlineLevel="0" collapsed="false">
      <c r="A346" s="17" t="n">
        <v>46069</v>
      </c>
      <c r="B346" s="21" t="s">
        <v>741</v>
      </c>
      <c r="C346" s="22" t="n">
        <v>90</v>
      </c>
      <c r="D346" s="31" t="s">
        <v>21</v>
      </c>
      <c r="E346" s="21" t="s">
        <v>741</v>
      </c>
      <c r="F346" s="19" t="n">
        <v>559584397891</v>
      </c>
      <c r="G346" s="31" t="s">
        <v>742</v>
      </c>
      <c r="I346" s="31" t="s">
        <v>34</v>
      </c>
      <c r="R346" s="0" t="n">
        <v>2</v>
      </c>
      <c r="S346" s="0" t="n">
        <v>2026</v>
      </c>
    </row>
    <row r="347" customFormat="false" ht="14.25" hidden="false" customHeight="false" outlineLevel="0" collapsed="false">
      <c r="A347" s="17" t="n">
        <v>46070</v>
      </c>
      <c r="B347" s="21" t="s">
        <v>743</v>
      </c>
      <c r="C347" s="22" t="n">
        <v>120</v>
      </c>
      <c r="D347" s="31" t="s">
        <v>30</v>
      </c>
      <c r="E347" s="21" t="s">
        <v>744</v>
      </c>
      <c r="F347" s="19" t="n">
        <v>554896112864</v>
      </c>
      <c r="G347" s="31" t="s">
        <v>745</v>
      </c>
      <c r="I347" s="31" t="s">
        <v>50</v>
      </c>
      <c r="R347" s="0" t="n">
        <v>2</v>
      </c>
      <c r="S347" s="0" t="n">
        <v>2026</v>
      </c>
    </row>
    <row r="348" customFormat="false" ht="14.25" hidden="false" customHeight="false" outlineLevel="0" collapsed="false">
      <c r="A348" s="17" t="n">
        <v>46070</v>
      </c>
      <c r="B348" s="21" t="s">
        <v>746</v>
      </c>
      <c r="C348" s="22" t="n">
        <v>140</v>
      </c>
      <c r="D348" s="31" t="s">
        <v>32</v>
      </c>
      <c r="E348" s="21" t="s">
        <v>747</v>
      </c>
      <c r="F348" s="19" t="n">
        <v>559574004938</v>
      </c>
      <c r="G348" s="31" t="s">
        <v>43</v>
      </c>
      <c r="I348" s="31" t="s">
        <v>50</v>
      </c>
      <c r="R348" s="0" t="n">
        <v>2</v>
      </c>
      <c r="S348" s="0" t="n">
        <v>2026</v>
      </c>
    </row>
    <row r="349" customFormat="false" ht="14.25" hidden="false" customHeight="false" outlineLevel="0" collapsed="false">
      <c r="A349" s="17" t="n">
        <v>46070</v>
      </c>
      <c r="B349" s="21" t="s">
        <v>212</v>
      </c>
      <c r="C349" s="22" t="n">
        <v>60</v>
      </c>
      <c r="D349" s="31" t="s">
        <v>25</v>
      </c>
      <c r="E349" s="21" t="s">
        <v>748</v>
      </c>
      <c r="F349" s="19" t="n">
        <v>5352772934</v>
      </c>
      <c r="G349" s="31" t="s">
        <v>749</v>
      </c>
      <c r="I349" s="31" t="s">
        <v>50</v>
      </c>
      <c r="R349" s="0" t="n">
        <v>2</v>
      </c>
      <c r="S349" s="0" t="n">
        <v>2026</v>
      </c>
    </row>
    <row r="350" customFormat="false" ht="14.25" hidden="false" customHeight="false" outlineLevel="0" collapsed="false">
      <c r="A350" s="17" t="n">
        <v>46070</v>
      </c>
      <c r="B350" s="21" t="s">
        <v>750</v>
      </c>
      <c r="C350" s="22" t="n">
        <v>180</v>
      </c>
      <c r="D350" s="31" t="s">
        <v>25</v>
      </c>
      <c r="E350" s="21" t="s">
        <v>348</v>
      </c>
      <c r="F350" s="19" t="n">
        <v>559584193767</v>
      </c>
      <c r="G350" s="31" t="s">
        <v>349</v>
      </c>
      <c r="I350" s="31" t="s">
        <v>34</v>
      </c>
      <c r="R350" s="0" t="n">
        <v>2</v>
      </c>
      <c r="S350" s="0" t="n">
        <v>2026</v>
      </c>
    </row>
    <row r="351" customFormat="false" ht="14.25" hidden="false" customHeight="false" outlineLevel="0" collapsed="false">
      <c r="A351" s="17" t="n">
        <v>46070</v>
      </c>
      <c r="B351" s="21" t="s">
        <v>751</v>
      </c>
      <c r="C351" s="22" t="n">
        <v>300</v>
      </c>
      <c r="D351" s="31" t="s">
        <v>21</v>
      </c>
      <c r="E351" s="21" t="s">
        <v>751</v>
      </c>
      <c r="F351" s="19" t="n">
        <v>554989075796</v>
      </c>
      <c r="G351" s="31" t="s">
        <v>752</v>
      </c>
      <c r="I351" s="31" t="s">
        <v>355</v>
      </c>
      <c r="R351" s="0" t="n">
        <v>2</v>
      </c>
      <c r="S351" s="0" t="n">
        <v>2026</v>
      </c>
    </row>
    <row r="352" customFormat="false" ht="14.25" hidden="false" customHeight="false" outlineLevel="0" collapsed="false">
      <c r="A352" s="17" t="n">
        <v>46070</v>
      </c>
      <c r="B352" s="21" t="s">
        <v>753</v>
      </c>
      <c r="C352" s="22" t="n">
        <v>240</v>
      </c>
      <c r="D352" s="31" t="s">
        <v>30</v>
      </c>
      <c r="E352" s="21" t="s">
        <v>753</v>
      </c>
      <c r="F352" s="19" t="n">
        <v>554185030431</v>
      </c>
      <c r="G352" s="31" t="s">
        <v>754</v>
      </c>
      <c r="I352" s="31" t="s">
        <v>355</v>
      </c>
      <c r="R352" s="0" t="n">
        <v>2</v>
      </c>
      <c r="S352" s="0" t="n">
        <v>2026</v>
      </c>
    </row>
    <row r="353" customFormat="false" ht="14.25" hidden="false" customHeight="false" outlineLevel="0" collapsed="false">
      <c r="A353" s="17" t="n">
        <v>46070</v>
      </c>
      <c r="B353" s="21" t="s">
        <v>755</v>
      </c>
      <c r="C353" s="22" t="n">
        <v>150</v>
      </c>
      <c r="D353" s="31" t="s">
        <v>32</v>
      </c>
      <c r="E353" s="21" t="s">
        <v>755</v>
      </c>
      <c r="F353" s="19" t="n">
        <v>559674008127</v>
      </c>
      <c r="G353" s="31" t="s">
        <v>756</v>
      </c>
      <c r="I353" s="31" t="s">
        <v>34</v>
      </c>
      <c r="J353" s="21" t="s">
        <v>35</v>
      </c>
      <c r="K353" s="21" t="s">
        <v>36</v>
      </c>
      <c r="L353" s="21" t="s">
        <v>37</v>
      </c>
      <c r="M353" s="21" t="s">
        <v>38</v>
      </c>
      <c r="R353" s="0" t="n">
        <v>2</v>
      </c>
      <c r="S353" s="0" t="n">
        <v>2026</v>
      </c>
    </row>
    <row r="354" customFormat="false" ht="14.25" hidden="false" customHeight="false" outlineLevel="0" collapsed="false">
      <c r="A354" s="17" t="n">
        <v>46070</v>
      </c>
      <c r="B354" s="21" t="s">
        <v>757</v>
      </c>
      <c r="C354" s="22" t="n">
        <v>480</v>
      </c>
      <c r="D354" s="31" t="s">
        <v>21</v>
      </c>
      <c r="E354" s="21" t="s">
        <v>758</v>
      </c>
      <c r="F354" s="19" t="n">
        <v>559584126524</v>
      </c>
      <c r="G354" s="31" t="s">
        <v>519</v>
      </c>
      <c r="I354" s="31" t="s">
        <v>34</v>
      </c>
      <c r="R354" s="0" t="n">
        <v>2</v>
      </c>
      <c r="S354" s="0" t="n">
        <v>2026</v>
      </c>
    </row>
    <row r="355" customFormat="false" ht="14.25" hidden="false" customHeight="false" outlineLevel="0" collapsed="false">
      <c r="A355" s="17" t="n">
        <v>46070</v>
      </c>
      <c r="B355" s="21" t="s">
        <v>759</v>
      </c>
      <c r="C355" s="22" t="n">
        <v>97</v>
      </c>
      <c r="D355" s="31" t="s">
        <v>20</v>
      </c>
      <c r="E355" s="21" t="s">
        <v>760</v>
      </c>
      <c r="F355" s="19" t="n">
        <v>5521998053023</v>
      </c>
      <c r="G355" s="31" t="s">
        <v>761</v>
      </c>
      <c r="I355" s="31" t="s">
        <v>50</v>
      </c>
      <c r="R355" s="0" t="n">
        <v>2</v>
      </c>
      <c r="S355" s="0" t="n">
        <v>2026</v>
      </c>
    </row>
    <row r="356" customFormat="false" ht="14.25" hidden="false" customHeight="false" outlineLevel="0" collapsed="false">
      <c r="A356" s="17" t="n">
        <v>46070</v>
      </c>
      <c r="B356" s="21" t="s">
        <v>762</v>
      </c>
      <c r="C356" s="22" t="n">
        <v>367</v>
      </c>
      <c r="D356" s="31" t="s">
        <v>22</v>
      </c>
      <c r="E356" s="21" t="s">
        <v>762</v>
      </c>
      <c r="F356" s="19" t="n">
        <v>554899679695</v>
      </c>
      <c r="G356" s="31" t="s">
        <v>763</v>
      </c>
      <c r="I356" s="31" t="s">
        <v>355</v>
      </c>
      <c r="R356" s="0" t="n">
        <v>2</v>
      </c>
      <c r="S356" s="0" t="n">
        <v>2026</v>
      </c>
    </row>
    <row r="357" customFormat="false" ht="14.25" hidden="false" customHeight="false" outlineLevel="0" collapsed="false">
      <c r="A357" s="17" t="n">
        <v>46071</v>
      </c>
      <c r="B357" s="21" t="s">
        <v>765</v>
      </c>
      <c r="C357" s="22" t="n">
        <v>120</v>
      </c>
      <c r="D357" s="31" t="s">
        <v>23</v>
      </c>
      <c r="E357" s="21" t="s">
        <v>765</v>
      </c>
      <c r="F357" s="19" t="n">
        <v>559684243786</v>
      </c>
      <c r="G357" s="31" t="s">
        <v>766</v>
      </c>
      <c r="I357" s="31" t="s">
        <v>355</v>
      </c>
      <c r="R357" s="0" t="n">
        <v>2</v>
      </c>
      <c r="S357" s="0" t="n">
        <v>2026</v>
      </c>
    </row>
    <row r="358" customFormat="false" ht="14.25" hidden="false" customHeight="false" outlineLevel="0" collapsed="false">
      <c r="A358" s="17" t="n">
        <v>46070</v>
      </c>
      <c r="B358" s="21" t="s">
        <v>762</v>
      </c>
      <c r="C358" s="22" t="n">
        <v>298</v>
      </c>
      <c r="D358" s="31" t="s">
        <v>21</v>
      </c>
      <c r="E358" s="21" t="s">
        <v>762</v>
      </c>
      <c r="F358" s="19" t="n">
        <v>554899679695</v>
      </c>
      <c r="G358" s="31" t="s">
        <v>763</v>
      </c>
      <c r="I358" s="31" t="s">
        <v>355</v>
      </c>
      <c r="R358" s="0" t="n">
        <v>2</v>
      </c>
      <c r="S358" s="0" t="n">
        <v>2026</v>
      </c>
    </row>
    <row r="359" customFormat="false" ht="14.25" hidden="false" customHeight="false" outlineLevel="0" collapsed="false">
      <c r="A359" s="17" t="n">
        <v>46071</v>
      </c>
      <c r="B359" s="21" t="s">
        <v>767</v>
      </c>
      <c r="C359" s="22" t="n">
        <v>75</v>
      </c>
      <c r="D359" s="31" t="s">
        <v>390</v>
      </c>
      <c r="E359" s="21" t="s">
        <v>767</v>
      </c>
      <c r="F359" s="19" t="n">
        <v>558596624436</v>
      </c>
      <c r="G359" s="31" t="s">
        <v>768</v>
      </c>
      <c r="I359" s="31" t="s">
        <v>50</v>
      </c>
      <c r="R359" s="0" t="n">
        <v>2</v>
      </c>
      <c r="S359" s="0" t="n">
        <v>2026</v>
      </c>
    </row>
    <row r="360" customFormat="false" ht="14.25" hidden="false" customHeight="false" outlineLevel="0" collapsed="false">
      <c r="A360" s="17" t="n">
        <v>46071</v>
      </c>
      <c r="B360" s="21" t="s">
        <v>248</v>
      </c>
      <c r="C360" s="22" t="n">
        <v>120</v>
      </c>
      <c r="D360" s="31" t="s">
        <v>390</v>
      </c>
      <c r="E360" s="21" t="s">
        <v>248</v>
      </c>
      <c r="F360" s="19" t="n">
        <v>5511976465945</v>
      </c>
      <c r="G360" s="31" t="s">
        <v>249</v>
      </c>
      <c r="I360" s="31" t="s">
        <v>34</v>
      </c>
      <c r="R360" s="0" t="n">
        <v>2</v>
      </c>
      <c r="S360" s="0" t="n">
        <v>2026</v>
      </c>
    </row>
    <row r="361" customFormat="false" ht="14.25" hidden="false" customHeight="false" outlineLevel="0" collapsed="false">
      <c r="A361" s="17" t="n">
        <v>46071</v>
      </c>
      <c r="B361" s="21" t="s">
        <v>769</v>
      </c>
      <c r="C361" s="22" t="n">
        <v>290</v>
      </c>
      <c r="D361" s="31" t="s">
        <v>18</v>
      </c>
      <c r="E361" s="21" t="s">
        <v>769</v>
      </c>
      <c r="F361" s="19" t="n">
        <v>5565992235073</v>
      </c>
      <c r="G361" s="31" t="s">
        <v>770</v>
      </c>
      <c r="I361" s="31" t="s">
        <v>355</v>
      </c>
      <c r="R361" s="0" t="n">
        <v>2</v>
      </c>
      <c r="S361" s="0" t="n">
        <v>2026</v>
      </c>
    </row>
    <row r="362" customFormat="false" ht="14.25" hidden="false" customHeight="false" outlineLevel="0" collapsed="false">
      <c r="A362" s="17" t="n">
        <v>46071</v>
      </c>
      <c r="B362" s="21" t="s">
        <v>771</v>
      </c>
      <c r="C362" s="22" t="n">
        <v>95</v>
      </c>
      <c r="D362" s="31" t="s">
        <v>20</v>
      </c>
      <c r="E362" s="21" t="s">
        <v>771</v>
      </c>
      <c r="F362" s="19" t="n">
        <v>5594920005243</v>
      </c>
      <c r="G362" s="31" t="s">
        <v>772</v>
      </c>
      <c r="I362" s="31" t="s">
        <v>50</v>
      </c>
      <c r="R362" s="0" t="n">
        <v>2</v>
      </c>
      <c r="S362" s="0" t="n">
        <v>2026</v>
      </c>
    </row>
    <row r="363" customFormat="false" ht="14.25" hidden="false" customHeight="false" outlineLevel="0" collapsed="false">
      <c r="A363" s="17" t="n">
        <v>46071</v>
      </c>
      <c r="B363" s="21" t="s">
        <v>773</v>
      </c>
      <c r="C363" s="22" t="n">
        <v>147</v>
      </c>
      <c r="D363" s="31" t="s">
        <v>18</v>
      </c>
      <c r="E363" s="21" t="s">
        <v>773</v>
      </c>
      <c r="F363" s="19" t="n">
        <v>5595984061138</v>
      </c>
      <c r="G363" s="31" t="s">
        <v>774</v>
      </c>
      <c r="I363" s="31" t="s">
        <v>50</v>
      </c>
      <c r="J363" s="21" t="s">
        <v>35</v>
      </c>
      <c r="K363" s="21" t="s">
        <v>36</v>
      </c>
      <c r="L363" s="21" t="s">
        <v>37</v>
      </c>
      <c r="M363" s="21" t="s">
        <v>38</v>
      </c>
      <c r="R363" s="0" t="n">
        <v>2</v>
      </c>
      <c r="S363" s="0" t="n">
        <v>2026</v>
      </c>
    </row>
    <row r="364" customFormat="false" ht="14.25" hidden="false" customHeight="false" outlineLevel="0" collapsed="false">
      <c r="A364" s="17" t="n">
        <v>46071</v>
      </c>
      <c r="B364" s="21" t="s">
        <v>775</v>
      </c>
      <c r="C364" s="22" t="n">
        <v>436</v>
      </c>
      <c r="D364" s="31" t="s">
        <v>20</v>
      </c>
      <c r="E364" s="21" t="s">
        <v>775</v>
      </c>
      <c r="F364" s="19" t="n">
        <v>5511995352903</v>
      </c>
      <c r="G364" s="31" t="s">
        <v>776</v>
      </c>
      <c r="I364" s="31" t="s">
        <v>355</v>
      </c>
      <c r="R364" s="0" t="n">
        <v>2</v>
      </c>
      <c r="S364" s="0" t="n">
        <v>2026</v>
      </c>
    </row>
    <row r="365" customFormat="false" ht="14.25" hidden="false" customHeight="false" outlineLevel="0" collapsed="false">
      <c r="A365" s="17" t="n">
        <v>46071</v>
      </c>
      <c r="B365" s="21" t="s">
        <v>777</v>
      </c>
      <c r="C365" s="22" t="n">
        <v>147</v>
      </c>
      <c r="D365" s="31" t="s">
        <v>18</v>
      </c>
      <c r="E365" s="21" t="s">
        <v>777</v>
      </c>
      <c r="F365" s="19" t="n">
        <v>5541998997071</v>
      </c>
      <c r="G365" s="31" t="s">
        <v>778</v>
      </c>
      <c r="I365" s="31" t="s">
        <v>50</v>
      </c>
      <c r="R365" s="0" t="n">
        <v>2</v>
      </c>
      <c r="S365" s="0" t="n">
        <v>2026</v>
      </c>
    </row>
    <row r="366" customFormat="false" ht="14.25" hidden="false" customHeight="false" outlineLevel="0" collapsed="false">
      <c r="A366" s="17" t="n">
        <v>46071</v>
      </c>
      <c r="B366" s="21" t="s">
        <v>779</v>
      </c>
      <c r="C366" s="22" t="n">
        <v>100</v>
      </c>
      <c r="D366" s="31" t="s">
        <v>20</v>
      </c>
      <c r="E366" s="21" t="s">
        <v>779</v>
      </c>
      <c r="F366" s="19" t="n">
        <v>554196224290</v>
      </c>
      <c r="G366" s="31" t="s">
        <v>780</v>
      </c>
      <c r="I366" s="31" t="s">
        <v>50</v>
      </c>
      <c r="J366" s="21" t="s">
        <v>35</v>
      </c>
      <c r="K366" s="21" t="s">
        <v>36</v>
      </c>
      <c r="L366" s="21" t="s">
        <v>37</v>
      </c>
      <c r="M366" s="21" t="s">
        <v>38</v>
      </c>
      <c r="R366" s="0" t="n">
        <v>2</v>
      </c>
      <c r="S366" s="0" t="n">
        <v>2026</v>
      </c>
    </row>
    <row r="367" customFormat="false" ht="14.25" hidden="false" customHeight="false" outlineLevel="0" collapsed="false">
      <c r="A367" s="17" t="n">
        <v>46071</v>
      </c>
      <c r="B367" s="21" t="s">
        <v>781</v>
      </c>
      <c r="C367" s="22" t="n">
        <v>150</v>
      </c>
      <c r="D367" s="31" t="s">
        <v>32</v>
      </c>
      <c r="E367" s="21" t="s">
        <v>781</v>
      </c>
      <c r="F367" s="19" t="n">
        <v>554588318080</v>
      </c>
      <c r="G367" s="31" t="s">
        <v>782</v>
      </c>
      <c r="I367" s="31" t="s">
        <v>355</v>
      </c>
      <c r="J367" s="21" t="s">
        <v>35</v>
      </c>
      <c r="K367" s="21" t="s">
        <v>69</v>
      </c>
      <c r="L367" s="21" t="s">
        <v>70</v>
      </c>
      <c r="M367" s="21" t="s">
        <v>38</v>
      </c>
      <c r="R367" s="0" t="n">
        <v>2</v>
      </c>
      <c r="S367" s="0" t="n">
        <v>2026</v>
      </c>
    </row>
    <row r="368" customFormat="false" ht="14.25" hidden="false" customHeight="false" outlineLevel="0" collapsed="false">
      <c r="A368" s="17" t="n">
        <v>46070</v>
      </c>
      <c r="B368" s="21" t="s">
        <v>783</v>
      </c>
      <c r="C368" s="22" t="n">
        <v>250</v>
      </c>
      <c r="D368" s="31" t="s">
        <v>27</v>
      </c>
      <c r="E368" s="21" t="s">
        <v>783</v>
      </c>
      <c r="F368" s="19" t="n">
        <v>554399341820</v>
      </c>
      <c r="G368" s="31" t="s">
        <v>784</v>
      </c>
      <c r="I368" s="31" t="s">
        <v>34</v>
      </c>
      <c r="R368" s="0" t="n">
        <v>2</v>
      </c>
      <c r="S368" s="0" t="n">
        <v>2026</v>
      </c>
    </row>
    <row r="369" customFormat="false" ht="14.25" hidden="false" customHeight="false" outlineLevel="0" collapsed="false">
      <c r="A369" s="17" t="n">
        <v>46070</v>
      </c>
      <c r="B369" s="21" t="s">
        <v>649</v>
      </c>
      <c r="C369" s="22" t="n">
        <v>300</v>
      </c>
      <c r="D369" s="31" t="s">
        <v>24</v>
      </c>
      <c r="E369" s="21" t="s">
        <v>649</v>
      </c>
      <c r="F369" s="19" t="n">
        <v>5595981257313</v>
      </c>
      <c r="G369" s="31" t="s">
        <v>785</v>
      </c>
      <c r="I369" s="31" t="s">
        <v>34</v>
      </c>
      <c r="R369" s="0" t="n">
        <v>2</v>
      </c>
      <c r="S369" s="0" t="n">
        <v>2026</v>
      </c>
    </row>
    <row r="370" customFormat="false" ht="14.25" hidden="false" customHeight="false" outlineLevel="0" collapsed="false">
      <c r="A370" s="17" t="n">
        <v>46071</v>
      </c>
      <c r="B370" s="21" t="s">
        <v>786</v>
      </c>
      <c r="C370" s="22" t="n">
        <v>120</v>
      </c>
      <c r="D370" s="31" t="s">
        <v>21</v>
      </c>
      <c r="E370" s="21" t="s">
        <v>786</v>
      </c>
      <c r="F370" s="19" t="n">
        <v>5548988189377</v>
      </c>
      <c r="G370" s="31" t="s">
        <v>787</v>
      </c>
      <c r="I370" s="31" t="s">
        <v>355</v>
      </c>
      <c r="R370" s="0" t="n">
        <v>2</v>
      </c>
      <c r="S370" s="0" t="n">
        <v>2026</v>
      </c>
    </row>
    <row r="371" customFormat="false" ht="14.25" hidden="false" customHeight="false" outlineLevel="0" collapsed="false">
      <c r="A371" s="17" t="n">
        <v>46072</v>
      </c>
      <c r="B371" s="21" t="s">
        <v>789</v>
      </c>
      <c r="C371" s="22" t="n">
        <v>97</v>
      </c>
      <c r="D371" s="31" t="s">
        <v>20</v>
      </c>
      <c r="E371" s="21" t="s">
        <v>790</v>
      </c>
      <c r="F371" s="19" t="n">
        <v>554199753797</v>
      </c>
      <c r="G371" s="31" t="s">
        <v>791</v>
      </c>
      <c r="I371" s="31" t="s">
        <v>355</v>
      </c>
      <c r="R371" s="0" t="n">
        <v>2</v>
      </c>
      <c r="S371" s="0" t="n">
        <v>2026</v>
      </c>
    </row>
    <row r="372" customFormat="false" ht="14.25" hidden="false" customHeight="false" outlineLevel="0" collapsed="false">
      <c r="A372" s="17" t="n">
        <v>46071</v>
      </c>
      <c r="B372" s="21" t="s">
        <v>792</v>
      </c>
      <c r="C372" s="22" t="n">
        <v>250</v>
      </c>
      <c r="D372" s="31" t="s">
        <v>106</v>
      </c>
      <c r="E372" s="21" t="s">
        <v>514</v>
      </c>
      <c r="F372" s="19" t="n">
        <v>559584032367</v>
      </c>
      <c r="G372" s="31" t="s">
        <v>515</v>
      </c>
      <c r="I372" s="31" t="s">
        <v>50</v>
      </c>
      <c r="R372" s="0" t="n">
        <v>2</v>
      </c>
      <c r="S372" s="0" t="n">
        <v>2026</v>
      </c>
    </row>
    <row r="373" customFormat="false" ht="14.25" hidden="false" customHeight="false" outlineLevel="0" collapsed="false">
      <c r="A373" s="17" t="n">
        <v>46072</v>
      </c>
      <c r="B373" s="21" t="s">
        <v>793</v>
      </c>
      <c r="C373" s="22" t="n">
        <v>354</v>
      </c>
      <c r="D373" s="31" t="s">
        <v>390</v>
      </c>
      <c r="E373" s="21" t="s">
        <v>793</v>
      </c>
      <c r="F373" s="19" t="n">
        <v>555496612650</v>
      </c>
      <c r="G373" s="31" t="s">
        <v>43</v>
      </c>
      <c r="I373" s="31" t="s">
        <v>50</v>
      </c>
      <c r="R373" s="0" t="n">
        <v>2</v>
      </c>
      <c r="S373" s="0" t="n">
        <v>2026</v>
      </c>
    </row>
    <row r="374" customFormat="false" ht="14.25" hidden="false" customHeight="false" outlineLevel="0" collapsed="false">
      <c r="A374" s="17" t="n">
        <v>46071</v>
      </c>
      <c r="B374" s="21" t="s">
        <v>794</v>
      </c>
      <c r="C374" s="22" t="n">
        <v>1200</v>
      </c>
      <c r="D374" s="31" t="s">
        <v>27</v>
      </c>
      <c r="E374" s="21" t="s">
        <v>794</v>
      </c>
      <c r="F374" s="19" t="n">
        <v>554198738275</v>
      </c>
      <c r="G374" s="31" t="s">
        <v>794</v>
      </c>
      <c r="I374" s="31" t="s">
        <v>34</v>
      </c>
      <c r="J374" s="21" t="s">
        <v>60</v>
      </c>
      <c r="K374" s="21" t="s">
        <v>27</v>
      </c>
      <c r="L374" s="21" t="s">
        <v>606</v>
      </c>
      <c r="M374" s="21" t="s">
        <v>62</v>
      </c>
      <c r="R374" s="0" t="n">
        <v>2</v>
      </c>
      <c r="S374" s="0" t="n">
        <v>2026</v>
      </c>
    </row>
    <row r="375" customFormat="false" ht="14.25" hidden="false" customHeight="false" outlineLevel="0" collapsed="false">
      <c r="A375" s="17" t="n">
        <v>46072</v>
      </c>
      <c r="B375" s="21" t="s">
        <v>795</v>
      </c>
      <c r="C375" s="22" t="n">
        <v>294</v>
      </c>
      <c r="D375" s="31" t="s">
        <v>390</v>
      </c>
      <c r="E375" s="21" t="s">
        <v>796</v>
      </c>
      <c r="F375" s="19" t="n">
        <v>5547996027323</v>
      </c>
      <c r="G375" s="31" t="s">
        <v>797</v>
      </c>
      <c r="I375" s="31" t="s">
        <v>355</v>
      </c>
      <c r="R375" s="0" t="n">
        <v>2</v>
      </c>
      <c r="S375" s="0" t="n">
        <v>2026</v>
      </c>
    </row>
    <row r="376" customFormat="false" ht="14.25" hidden="false" customHeight="false" outlineLevel="0" collapsed="false">
      <c r="A376" s="17" t="n">
        <v>46072</v>
      </c>
      <c r="B376" s="21" t="s">
        <v>798</v>
      </c>
      <c r="C376" s="22" t="n">
        <v>200</v>
      </c>
      <c r="D376" s="31" t="s">
        <v>23</v>
      </c>
      <c r="E376" s="21" t="s">
        <v>799</v>
      </c>
      <c r="F376" s="19" t="n">
        <v>559584121787</v>
      </c>
      <c r="G376" s="31" t="s">
        <v>800</v>
      </c>
      <c r="I376" s="31" t="s">
        <v>34</v>
      </c>
      <c r="R376" s="0" t="n">
        <v>2</v>
      </c>
      <c r="S376" s="0" t="n">
        <v>2026</v>
      </c>
    </row>
    <row r="377" customFormat="false" ht="14.25" hidden="false" customHeight="false" outlineLevel="0" collapsed="false">
      <c r="A377" s="17" t="n">
        <v>46073</v>
      </c>
      <c r="B377" s="21" t="s">
        <v>802</v>
      </c>
      <c r="C377" s="22" t="n">
        <v>240</v>
      </c>
      <c r="D377" s="31" t="s">
        <v>21</v>
      </c>
      <c r="E377" s="21" t="s">
        <v>803</v>
      </c>
      <c r="F377" s="19" t="n">
        <v>559684165897</v>
      </c>
      <c r="G377" s="31" t="s">
        <v>804</v>
      </c>
      <c r="I377" s="31" t="s">
        <v>355</v>
      </c>
      <c r="R377" s="0" t="n">
        <v>2</v>
      </c>
      <c r="S377" s="0" t="n">
        <v>2026</v>
      </c>
    </row>
    <row r="378" customFormat="false" ht="14.25" hidden="false" customHeight="false" outlineLevel="0" collapsed="false">
      <c r="A378" s="17" t="n">
        <v>46073</v>
      </c>
      <c r="B378" s="21" t="s">
        <v>805</v>
      </c>
      <c r="C378" s="22" t="n">
        <v>150</v>
      </c>
      <c r="D378" s="31" t="s">
        <v>32</v>
      </c>
      <c r="E378" s="21" t="s">
        <v>806</v>
      </c>
      <c r="F378" s="19" t="n">
        <v>559584033004</v>
      </c>
      <c r="G378" s="31"/>
      <c r="I378" s="31" t="s">
        <v>50</v>
      </c>
      <c r="R378" s="0" t="n">
        <v>2</v>
      </c>
      <c r="S378" s="0" t="n">
        <v>2026</v>
      </c>
    </row>
    <row r="379" customFormat="false" ht="14.25" hidden="false" customHeight="false" outlineLevel="0" collapsed="false">
      <c r="A379" s="17" t="n">
        <v>46073</v>
      </c>
      <c r="B379" s="21" t="s">
        <v>807</v>
      </c>
      <c r="C379" s="22" t="n">
        <v>60</v>
      </c>
      <c r="D379" s="31" t="s">
        <v>25</v>
      </c>
      <c r="E379" s="21" t="s">
        <v>807</v>
      </c>
      <c r="F379" s="19" t="n">
        <v>554888031224</v>
      </c>
      <c r="G379" s="31" t="s">
        <v>808</v>
      </c>
      <c r="I379" s="31" t="s">
        <v>34</v>
      </c>
      <c r="R379" s="0" t="n">
        <v>2</v>
      </c>
      <c r="S379" s="0" t="n">
        <v>2026</v>
      </c>
    </row>
    <row r="380" customFormat="false" ht="14.25" hidden="false" customHeight="false" outlineLevel="0" collapsed="false">
      <c r="A380" s="17" t="n">
        <v>46073</v>
      </c>
      <c r="B380" s="21" t="s">
        <v>809</v>
      </c>
      <c r="C380" s="22" t="n">
        <v>150</v>
      </c>
      <c r="D380" s="31" t="s">
        <v>32</v>
      </c>
      <c r="E380" s="21" t="s">
        <v>809</v>
      </c>
      <c r="F380" s="19" t="n">
        <v>554199625900</v>
      </c>
      <c r="G380" s="31" t="s">
        <v>810</v>
      </c>
      <c r="I380" s="31" t="s">
        <v>54</v>
      </c>
      <c r="R380" s="0" t="n">
        <v>2</v>
      </c>
      <c r="S380" s="0" t="n">
        <v>2026</v>
      </c>
    </row>
    <row r="381" customFormat="false" ht="14.25" hidden="false" customHeight="false" outlineLevel="0" collapsed="false">
      <c r="A381" s="17" t="n">
        <v>46073</v>
      </c>
      <c r="B381" s="21" t="s">
        <v>811</v>
      </c>
      <c r="C381" s="22" t="n">
        <v>150</v>
      </c>
      <c r="D381" s="31" t="s">
        <v>32</v>
      </c>
      <c r="E381" s="21" t="s">
        <v>811</v>
      </c>
      <c r="F381" s="19" t="n">
        <v>556592781869</v>
      </c>
      <c r="G381" s="31" t="s">
        <v>812</v>
      </c>
      <c r="I381" s="31" t="s">
        <v>50</v>
      </c>
      <c r="R381" s="0" t="n">
        <v>2</v>
      </c>
      <c r="S381" s="0" t="n">
        <v>2026</v>
      </c>
    </row>
    <row r="382" customFormat="false" ht="14.25" hidden="false" customHeight="false" outlineLevel="0" collapsed="false">
      <c r="A382" s="17" t="n">
        <v>46073</v>
      </c>
      <c r="B382" s="21" t="s">
        <v>813</v>
      </c>
      <c r="C382" s="22" t="n">
        <v>240</v>
      </c>
      <c r="D382" s="31" t="s">
        <v>30</v>
      </c>
      <c r="E382" s="21" t="s">
        <v>813</v>
      </c>
      <c r="F382" s="19" t="n">
        <v>559584398079</v>
      </c>
      <c r="G382" s="31" t="s">
        <v>814</v>
      </c>
      <c r="I382" s="31" t="s">
        <v>355</v>
      </c>
      <c r="R382" s="0" t="n">
        <v>2</v>
      </c>
      <c r="S382" s="0" t="n">
        <v>2026</v>
      </c>
    </row>
    <row r="383" customFormat="false" ht="14.25" hidden="false" customHeight="false" outlineLevel="0" collapsed="false">
      <c r="A383" s="17" t="n">
        <v>46073</v>
      </c>
      <c r="B383" s="21" t="s">
        <v>815</v>
      </c>
      <c r="C383" s="22" t="n">
        <v>140</v>
      </c>
      <c r="D383" s="31" t="s">
        <v>32</v>
      </c>
      <c r="E383" s="21" t="s">
        <v>815</v>
      </c>
      <c r="F383" s="19" t="n">
        <v>559584296837</v>
      </c>
      <c r="G383" s="31" t="s">
        <v>816</v>
      </c>
      <c r="I383" s="31" t="s">
        <v>34</v>
      </c>
      <c r="R383" s="0" t="n">
        <v>2</v>
      </c>
      <c r="S383" s="0" t="n">
        <v>2026</v>
      </c>
    </row>
    <row r="384" customFormat="false" ht="14.25" hidden="false" customHeight="false" outlineLevel="0" collapsed="false">
      <c r="A384" s="17" t="n">
        <v>46073</v>
      </c>
      <c r="B384" s="21" t="s">
        <v>817</v>
      </c>
      <c r="C384" s="22" t="n">
        <v>150</v>
      </c>
      <c r="D384" s="31" t="s">
        <v>32</v>
      </c>
      <c r="E384" s="21" t="s">
        <v>818</v>
      </c>
      <c r="F384" s="19" t="n">
        <v>554598459653</v>
      </c>
      <c r="G384" s="31" t="s">
        <v>33</v>
      </c>
      <c r="I384" s="31" t="s">
        <v>355</v>
      </c>
      <c r="R384" s="0" t="n">
        <v>2</v>
      </c>
      <c r="S384" s="0" t="n">
        <v>2026</v>
      </c>
    </row>
    <row r="385" customFormat="false" ht="14.25" hidden="false" customHeight="false" outlineLevel="0" collapsed="false">
      <c r="A385" s="17" t="n">
        <v>46073</v>
      </c>
      <c r="B385" s="21" t="s">
        <v>819</v>
      </c>
      <c r="C385" s="22" t="n">
        <v>150</v>
      </c>
      <c r="D385" s="31" t="s">
        <v>32</v>
      </c>
      <c r="E385" s="21" t="s">
        <v>820</v>
      </c>
      <c r="F385" s="19" t="n">
        <v>555599169585</v>
      </c>
      <c r="G385" s="31" t="s">
        <v>821</v>
      </c>
      <c r="I385" s="31" t="s">
        <v>34</v>
      </c>
      <c r="R385" s="0" t="n">
        <v>2</v>
      </c>
      <c r="S385" s="0" t="n">
        <v>2026</v>
      </c>
    </row>
    <row r="386" customFormat="false" ht="14.25" hidden="false" customHeight="false" outlineLevel="0" collapsed="false">
      <c r="A386" s="17" t="n">
        <v>46074</v>
      </c>
      <c r="B386" s="21" t="s">
        <v>823</v>
      </c>
      <c r="C386" s="22" t="n">
        <v>225</v>
      </c>
      <c r="D386" s="31" t="s">
        <v>20</v>
      </c>
      <c r="E386" s="21" t="s">
        <v>823</v>
      </c>
      <c r="F386" s="19" t="n">
        <v>554899686782</v>
      </c>
      <c r="G386" s="31" t="s">
        <v>824</v>
      </c>
      <c r="I386" s="31" t="s">
        <v>50</v>
      </c>
      <c r="R386" s="0" t="n">
        <v>2</v>
      </c>
      <c r="S386" s="0" t="n">
        <v>2026</v>
      </c>
    </row>
    <row r="387" customFormat="false" ht="14.25" hidden="false" customHeight="false" outlineLevel="0" collapsed="false">
      <c r="A387" s="17" t="n">
        <v>46074</v>
      </c>
      <c r="B387" s="21" t="s">
        <v>825</v>
      </c>
      <c r="C387" s="22" t="n">
        <v>120</v>
      </c>
      <c r="D387" s="31" t="s">
        <v>30</v>
      </c>
      <c r="E387" s="21" t="s">
        <v>826</v>
      </c>
      <c r="F387" s="19" t="n">
        <v>5511965208670</v>
      </c>
      <c r="G387" s="31" t="s">
        <v>827</v>
      </c>
      <c r="I387" s="31" t="s">
        <v>355</v>
      </c>
      <c r="R387" s="0" t="n">
        <v>2</v>
      </c>
      <c r="S387" s="0" t="n">
        <v>2026</v>
      </c>
    </row>
    <row r="388" customFormat="false" ht="14.25" hidden="false" customHeight="false" outlineLevel="0" collapsed="false">
      <c r="A388" s="17" t="n">
        <v>46074</v>
      </c>
      <c r="B388" s="21" t="s">
        <v>828</v>
      </c>
      <c r="C388" s="22" t="n">
        <v>120</v>
      </c>
      <c r="D388" s="31" t="s">
        <v>30</v>
      </c>
      <c r="E388" s="21" t="s">
        <v>828</v>
      </c>
      <c r="F388" s="19" t="n">
        <v>5511970780168</v>
      </c>
      <c r="G388" s="31" t="s">
        <v>829</v>
      </c>
      <c r="I388" s="31" t="s">
        <v>34</v>
      </c>
      <c r="R388" s="0" t="n">
        <v>2</v>
      </c>
      <c r="S388" s="0" t="n">
        <v>2026</v>
      </c>
    </row>
    <row r="389" customFormat="false" ht="14.25" hidden="false" customHeight="false" outlineLevel="0" collapsed="false">
      <c r="A389" s="17" t="n">
        <v>46074</v>
      </c>
      <c r="B389" s="21" t="s">
        <v>830</v>
      </c>
      <c r="C389" s="22" t="n">
        <v>147</v>
      </c>
      <c r="D389" s="31" t="s">
        <v>18</v>
      </c>
      <c r="E389" s="21" t="s">
        <v>830</v>
      </c>
      <c r="F389" s="19" t="n">
        <v>554792263213</v>
      </c>
      <c r="G389" s="31" t="s">
        <v>831</v>
      </c>
      <c r="I389" s="31" t="s">
        <v>50</v>
      </c>
      <c r="J389" s="21" t="s">
        <v>35</v>
      </c>
      <c r="K389" s="21" t="s">
        <v>69</v>
      </c>
      <c r="L389" s="21" t="s">
        <v>70</v>
      </c>
      <c r="M389" s="21" t="s">
        <v>38</v>
      </c>
      <c r="R389" s="0" t="n">
        <v>2</v>
      </c>
      <c r="S389" s="0" t="n">
        <v>2026</v>
      </c>
    </row>
    <row r="390" customFormat="false" ht="14.25" hidden="false" customHeight="false" outlineLevel="0" collapsed="false">
      <c r="A390" s="17" t="n">
        <v>46074</v>
      </c>
      <c r="B390" s="21" t="s">
        <v>832</v>
      </c>
      <c r="C390" s="22" t="n">
        <v>600</v>
      </c>
      <c r="D390" s="31" t="s">
        <v>24</v>
      </c>
      <c r="E390" s="21" t="s">
        <v>832</v>
      </c>
      <c r="F390" s="19" t="n">
        <v>554896467877</v>
      </c>
      <c r="G390" s="31" t="s">
        <v>833</v>
      </c>
      <c r="I390" s="31" t="s">
        <v>50</v>
      </c>
      <c r="R390" s="0" t="n">
        <v>2</v>
      </c>
      <c r="S390" s="0" t="n">
        <v>2026</v>
      </c>
    </row>
    <row r="391" customFormat="false" ht="14.25" hidden="false" customHeight="false" outlineLevel="0" collapsed="false">
      <c r="A391" s="17" t="n">
        <v>46074</v>
      </c>
      <c r="B391" s="21" t="s">
        <v>834</v>
      </c>
      <c r="C391" s="22" t="n">
        <v>1500</v>
      </c>
      <c r="D391" s="31" t="s">
        <v>27</v>
      </c>
      <c r="E391" s="21" t="s">
        <v>92</v>
      </c>
      <c r="F391" s="19" t="s">
        <v>835</v>
      </c>
      <c r="G391" s="31" t="s">
        <v>93</v>
      </c>
      <c r="H391" s="21" t="s">
        <v>94</v>
      </c>
      <c r="I391" s="31" t="s">
        <v>54</v>
      </c>
      <c r="R391" s="0" t="n">
        <v>2</v>
      </c>
      <c r="S391" s="0" t="n">
        <v>2026</v>
      </c>
    </row>
    <row r="392" customFormat="false" ht="14.25" hidden="false" customHeight="false" outlineLevel="0" collapsed="false">
      <c r="A392" s="17" t="n">
        <v>46076</v>
      </c>
      <c r="B392" s="21" t="s">
        <v>837</v>
      </c>
      <c r="C392" s="22" t="n">
        <v>97</v>
      </c>
      <c r="D392" s="31" t="s">
        <v>20</v>
      </c>
      <c r="E392" s="21" t="s">
        <v>837</v>
      </c>
      <c r="F392" s="19" t="n">
        <v>554185257686</v>
      </c>
      <c r="G392" s="31" t="s">
        <v>838</v>
      </c>
      <c r="I392" s="31" t="s">
        <v>34</v>
      </c>
      <c r="R392" s="0" t="n">
        <v>2</v>
      </c>
      <c r="S392" s="0" t="n">
        <v>2026</v>
      </c>
    </row>
    <row r="393" customFormat="false" ht="14.25" hidden="false" customHeight="false" outlineLevel="0" collapsed="false">
      <c r="A393" s="17" t="n">
        <v>46075</v>
      </c>
      <c r="B393" s="21" t="s">
        <v>840</v>
      </c>
      <c r="C393" s="22" t="n">
        <v>97</v>
      </c>
      <c r="D393" s="31" t="s">
        <v>20</v>
      </c>
      <c r="E393" s="21" t="s">
        <v>840</v>
      </c>
      <c r="F393" s="19" t="n">
        <v>554291120985</v>
      </c>
      <c r="G393" s="31" t="s">
        <v>841</v>
      </c>
      <c r="I393" s="31" t="s">
        <v>50</v>
      </c>
      <c r="R393" s="0" t="n">
        <v>2</v>
      </c>
      <c r="S393" s="0" t="n">
        <v>2026</v>
      </c>
    </row>
    <row r="394" customFormat="false" ht="14.25" hidden="false" customHeight="false" outlineLevel="0" collapsed="false">
      <c r="A394" s="17" t="n">
        <v>46076</v>
      </c>
      <c r="B394" s="21" t="s">
        <v>842</v>
      </c>
      <c r="C394" s="22" t="n">
        <v>500</v>
      </c>
      <c r="D394" s="31" t="s">
        <v>27</v>
      </c>
      <c r="E394" s="21" t="s">
        <v>842</v>
      </c>
      <c r="F394" s="19" t="n">
        <v>5511916718221</v>
      </c>
      <c r="G394" s="31" t="s">
        <v>843</v>
      </c>
      <c r="I394" s="31" t="s">
        <v>34</v>
      </c>
      <c r="R394" s="0" t="n">
        <v>2</v>
      </c>
      <c r="S394" s="0" t="n">
        <v>2026</v>
      </c>
    </row>
    <row r="395" customFormat="false" ht="14.25" hidden="false" customHeight="false" outlineLevel="0" collapsed="false">
      <c r="A395" s="17" t="n">
        <v>46076</v>
      </c>
      <c r="B395" s="21" t="s">
        <v>844</v>
      </c>
      <c r="C395" s="22" t="n">
        <v>150</v>
      </c>
      <c r="D395" s="31" t="s">
        <v>30</v>
      </c>
      <c r="E395" s="21" t="s">
        <v>845</v>
      </c>
      <c r="F395" s="19" t="n">
        <v>5511916892827</v>
      </c>
      <c r="G395" s="31" t="s">
        <v>846</v>
      </c>
      <c r="I395" s="31" t="s">
        <v>50</v>
      </c>
      <c r="R395" s="0" t="n">
        <v>2</v>
      </c>
      <c r="S395" s="0" t="n">
        <v>2026</v>
      </c>
    </row>
    <row r="396" customFormat="false" ht="14.25" hidden="false" customHeight="false" outlineLevel="0" collapsed="false">
      <c r="A396" s="17" t="n">
        <v>46076</v>
      </c>
      <c r="B396" s="21" t="s">
        <v>847</v>
      </c>
      <c r="C396" s="22" t="n">
        <v>147</v>
      </c>
      <c r="D396" s="31" t="s">
        <v>18</v>
      </c>
      <c r="E396" s="21" t="s">
        <v>847</v>
      </c>
      <c r="F396" s="19" t="n">
        <v>5356796940</v>
      </c>
      <c r="G396" s="31" t="s">
        <v>848</v>
      </c>
      <c r="I396" s="31" t="s">
        <v>50</v>
      </c>
      <c r="R396" s="0" t="n">
        <v>2</v>
      </c>
      <c r="S396" s="0" t="n">
        <v>2026</v>
      </c>
    </row>
    <row r="397" customFormat="false" ht="14.25" hidden="false" customHeight="false" outlineLevel="0" collapsed="false">
      <c r="A397" s="17" t="n">
        <v>46076</v>
      </c>
      <c r="B397" s="21" t="s">
        <v>849</v>
      </c>
      <c r="C397" s="22" t="n">
        <v>140</v>
      </c>
      <c r="D397" s="31" t="s">
        <v>32</v>
      </c>
      <c r="E397" s="21" t="s">
        <v>850</v>
      </c>
      <c r="F397" s="19" t="n">
        <v>559584121964</v>
      </c>
      <c r="G397" s="31" t="s">
        <v>851</v>
      </c>
      <c r="I397" s="31" t="s">
        <v>50</v>
      </c>
      <c r="J397" s="21" t="s">
        <v>35</v>
      </c>
      <c r="K397" s="21" t="s">
        <v>36</v>
      </c>
      <c r="L397" s="21" t="s">
        <v>37</v>
      </c>
      <c r="M397" s="21" t="s">
        <v>38</v>
      </c>
      <c r="R397" s="0" t="n">
        <v>2</v>
      </c>
      <c r="S397" s="0" t="n">
        <v>2026</v>
      </c>
    </row>
    <row r="398" customFormat="false" ht="14.25" hidden="false" customHeight="false" outlineLevel="0" collapsed="false">
      <c r="A398" s="17" t="n">
        <v>46076</v>
      </c>
      <c r="B398" s="21" t="s">
        <v>852</v>
      </c>
      <c r="C398" s="22" t="n">
        <v>240</v>
      </c>
      <c r="D398" s="31" t="s">
        <v>21</v>
      </c>
      <c r="E398" s="21" t="s">
        <v>852</v>
      </c>
      <c r="F398" s="19" t="n">
        <v>554891103355</v>
      </c>
      <c r="G398" s="31" t="s">
        <v>853</v>
      </c>
      <c r="I398" s="31" t="s">
        <v>34</v>
      </c>
      <c r="R398" s="0" t="n">
        <v>2</v>
      </c>
      <c r="S398" s="0" t="n">
        <v>2026</v>
      </c>
    </row>
    <row r="399" customFormat="false" ht="14.25" hidden="false" customHeight="false" outlineLevel="0" collapsed="false">
      <c r="A399" s="17" t="n">
        <v>46076</v>
      </c>
      <c r="B399" s="21" t="s">
        <v>854</v>
      </c>
      <c r="C399" s="22" t="n">
        <v>120</v>
      </c>
      <c r="D399" s="31" t="s">
        <v>21</v>
      </c>
      <c r="E399" s="21" t="s">
        <v>854</v>
      </c>
      <c r="F399" s="19" t="n">
        <v>559584081146</v>
      </c>
      <c r="G399" s="31" t="s">
        <v>855</v>
      </c>
      <c r="I399" s="31" t="s">
        <v>34</v>
      </c>
      <c r="R399" s="0" t="n">
        <v>2</v>
      </c>
      <c r="S399" s="0" t="n">
        <v>2026</v>
      </c>
    </row>
    <row r="400" customFormat="false" ht="14.25" hidden="false" customHeight="false" outlineLevel="0" collapsed="false">
      <c r="A400" s="17" t="n">
        <v>46076</v>
      </c>
      <c r="B400" s="21" t="s">
        <v>284</v>
      </c>
      <c r="C400" s="22" t="n">
        <v>120</v>
      </c>
      <c r="D400" s="31" t="s">
        <v>30</v>
      </c>
      <c r="E400" s="21" t="s">
        <v>284</v>
      </c>
      <c r="F400" s="19" t="n">
        <v>5545984032301</v>
      </c>
      <c r="G400" s="31" t="s">
        <v>285</v>
      </c>
      <c r="I400" s="31" t="s">
        <v>34</v>
      </c>
      <c r="R400" s="0" t="n">
        <v>2</v>
      </c>
      <c r="S400" s="0" t="n">
        <v>2026</v>
      </c>
    </row>
    <row r="401" customFormat="false" ht="14.25" hidden="false" customHeight="false" outlineLevel="0" collapsed="false">
      <c r="A401" s="17" t="n">
        <v>46076</v>
      </c>
      <c r="B401" s="21" t="s">
        <v>856</v>
      </c>
      <c r="C401" s="22" t="n">
        <v>194</v>
      </c>
      <c r="D401" s="31" t="s">
        <v>20</v>
      </c>
      <c r="E401" s="21" t="s">
        <v>857</v>
      </c>
      <c r="F401" s="19" t="n">
        <v>12394467745</v>
      </c>
      <c r="G401" s="31" t="s">
        <v>43</v>
      </c>
      <c r="I401" s="31" t="s">
        <v>355</v>
      </c>
      <c r="R401" s="0" t="n">
        <v>2</v>
      </c>
      <c r="S401" s="0" t="n">
        <v>2026</v>
      </c>
    </row>
    <row r="402" customFormat="false" ht="14.25" hidden="false" customHeight="false" outlineLevel="0" collapsed="false">
      <c r="A402" s="17" t="n">
        <v>46076</v>
      </c>
      <c r="B402" s="21" t="s">
        <v>858</v>
      </c>
      <c r="C402" s="22" t="n">
        <v>250</v>
      </c>
      <c r="D402" s="31" t="s">
        <v>27</v>
      </c>
      <c r="E402" s="21" t="s">
        <v>858</v>
      </c>
      <c r="F402" s="19" t="n">
        <v>15123166403</v>
      </c>
      <c r="G402" s="31" t="s">
        <v>43</v>
      </c>
      <c r="I402" s="31" t="s">
        <v>50</v>
      </c>
      <c r="R402" s="0" t="n">
        <v>2</v>
      </c>
      <c r="S402" s="0" t="n">
        <v>2026</v>
      </c>
    </row>
    <row r="403" customFormat="false" ht="14.25" hidden="false" customHeight="false" outlineLevel="0" collapsed="false">
      <c r="A403" s="17" t="n">
        <v>46076</v>
      </c>
      <c r="B403" s="21" t="s">
        <v>859</v>
      </c>
      <c r="C403" s="22" t="n">
        <v>1200</v>
      </c>
      <c r="D403" s="31" t="s">
        <v>27</v>
      </c>
      <c r="E403" s="21" t="s">
        <v>859</v>
      </c>
      <c r="F403" s="19" t="n">
        <v>559381173597</v>
      </c>
      <c r="G403" s="31" t="s">
        <v>860</v>
      </c>
      <c r="I403" s="31" t="s">
        <v>54</v>
      </c>
      <c r="R403" s="0" t="n">
        <v>2</v>
      </c>
      <c r="S403" s="0" t="n">
        <v>2026</v>
      </c>
    </row>
    <row r="404" customFormat="false" ht="14.25" hidden="false" customHeight="false" outlineLevel="0" collapsed="false">
      <c r="A404" s="17" t="n">
        <v>46076</v>
      </c>
      <c r="B404" s="21" t="s">
        <v>861</v>
      </c>
      <c r="C404" s="22" t="n">
        <v>60</v>
      </c>
      <c r="D404" s="31" t="s">
        <v>862</v>
      </c>
      <c r="E404" s="21" t="s">
        <v>861</v>
      </c>
      <c r="F404" s="19" t="n">
        <v>554991149314</v>
      </c>
      <c r="G404" s="31" t="s">
        <v>863</v>
      </c>
      <c r="I404" s="31" t="s">
        <v>54</v>
      </c>
      <c r="R404" s="0" t="n">
        <v>2</v>
      </c>
      <c r="S404" s="0" t="n">
        <v>2026</v>
      </c>
    </row>
    <row r="405" customFormat="false" ht="14.25" hidden="false" customHeight="false" outlineLevel="0" collapsed="false">
      <c r="A405" s="17" t="n">
        <v>46076</v>
      </c>
      <c r="B405" s="21" t="s">
        <v>637</v>
      </c>
      <c r="C405" s="22" t="n">
        <v>120</v>
      </c>
      <c r="D405" s="31" t="s">
        <v>21</v>
      </c>
      <c r="E405" s="21" t="s">
        <v>637</v>
      </c>
      <c r="F405" s="19" t="n">
        <v>559584230858</v>
      </c>
      <c r="G405" s="31" t="s">
        <v>638</v>
      </c>
      <c r="I405" s="31" t="s">
        <v>355</v>
      </c>
      <c r="R405" s="0" t="n">
        <v>2</v>
      </c>
      <c r="S405" s="0" t="n">
        <v>2026</v>
      </c>
    </row>
    <row r="406" customFormat="false" ht="14.25" hidden="false" customHeight="false" outlineLevel="0" collapsed="false">
      <c r="A406" s="17" t="n">
        <v>46076</v>
      </c>
      <c r="B406" s="21" t="s">
        <v>865</v>
      </c>
      <c r="C406" s="22" t="n">
        <v>120</v>
      </c>
      <c r="D406" s="31" t="s">
        <v>21</v>
      </c>
      <c r="E406" s="21" t="s">
        <v>865</v>
      </c>
      <c r="F406" s="19" t="n">
        <v>554791920955</v>
      </c>
      <c r="G406" s="31" t="s">
        <v>866</v>
      </c>
      <c r="I406" s="31" t="s">
        <v>50</v>
      </c>
      <c r="R406" s="0" t="n">
        <v>2</v>
      </c>
      <c r="S406" s="0" t="n">
        <v>2026</v>
      </c>
    </row>
    <row r="407" customFormat="false" ht="14.25" hidden="false" customHeight="false" outlineLevel="0" collapsed="false">
      <c r="A407" s="17" t="n">
        <v>46076</v>
      </c>
      <c r="B407" s="21" t="s">
        <v>867</v>
      </c>
      <c r="C407" s="22" t="n">
        <v>294</v>
      </c>
      <c r="D407" s="31" t="s">
        <v>390</v>
      </c>
      <c r="E407" s="21" t="s">
        <v>867</v>
      </c>
      <c r="F407" s="19" t="n">
        <v>556796027284</v>
      </c>
      <c r="G407" s="31" t="s">
        <v>868</v>
      </c>
      <c r="I407" s="31" t="s">
        <v>50</v>
      </c>
      <c r="J407" s="21" t="s">
        <v>35</v>
      </c>
      <c r="K407" s="21" t="s">
        <v>36</v>
      </c>
      <c r="L407" s="21" t="s">
        <v>37</v>
      </c>
      <c r="M407" s="21" t="s">
        <v>38</v>
      </c>
      <c r="R407" s="0" t="n">
        <v>2</v>
      </c>
      <c r="S407" s="0" t="n">
        <v>2026</v>
      </c>
    </row>
    <row r="408" customFormat="false" ht="14.25" hidden="false" customHeight="false" outlineLevel="0" collapsed="false">
      <c r="A408" s="17" t="n">
        <v>46076</v>
      </c>
      <c r="B408" s="21" t="s">
        <v>869</v>
      </c>
      <c r="C408" s="22" t="n">
        <v>150</v>
      </c>
      <c r="D408" s="31" t="s">
        <v>32</v>
      </c>
      <c r="E408" s="21" t="s">
        <v>869</v>
      </c>
      <c r="F408" s="19" t="n">
        <v>559293407788</v>
      </c>
      <c r="G408" s="31" t="s">
        <v>870</v>
      </c>
      <c r="I408" s="31" t="s">
        <v>50</v>
      </c>
      <c r="R408" s="0" t="n">
        <v>2</v>
      </c>
      <c r="S408" s="0" t="n">
        <v>2026</v>
      </c>
    </row>
    <row r="409" customFormat="false" ht="14.25" hidden="false" customHeight="false" outlineLevel="0" collapsed="false">
      <c r="A409" s="17" t="n">
        <v>46076</v>
      </c>
      <c r="B409" s="21" t="s">
        <v>637</v>
      </c>
      <c r="C409" s="22" t="n">
        <v>120</v>
      </c>
      <c r="D409" s="31" t="s">
        <v>21</v>
      </c>
      <c r="E409" s="21" t="s">
        <v>637</v>
      </c>
      <c r="F409" s="19" t="n">
        <v>559584230858</v>
      </c>
      <c r="G409" s="31" t="s">
        <v>638</v>
      </c>
      <c r="I409" s="31" t="s">
        <v>355</v>
      </c>
      <c r="R409" s="0" t="n">
        <v>2</v>
      </c>
      <c r="S409" s="0" t="n">
        <v>2026</v>
      </c>
    </row>
    <row r="410" customFormat="false" ht="14.25" hidden="false" customHeight="false" outlineLevel="0" collapsed="false">
      <c r="A410" s="17" t="n">
        <v>46074</v>
      </c>
      <c r="B410" s="21" t="s">
        <v>871</v>
      </c>
      <c r="C410" s="22" t="n">
        <v>120</v>
      </c>
      <c r="D410" s="31" t="s">
        <v>30</v>
      </c>
      <c r="E410" s="21" t="s">
        <v>871</v>
      </c>
      <c r="F410" s="19" t="n">
        <v>554598357193</v>
      </c>
      <c r="G410" s="31" t="s">
        <v>872</v>
      </c>
      <c r="I410" s="31" t="s">
        <v>54</v>
      </c>
      <c r="R410" s="0" t="n">
        <v>2</v>
      </c>
      <c r="S410" s="0" t="n">
        <v>2026</v>
      </c>
    </row>
    <row r="411" customFormat="false" ht="14.25" hidden="false" customHeight="false" outlineLevel="0" collapsed="false">
      <c r="A411" s="17" t="n">
        <v>46076</v>
      </c>
      <c r="B411" s="21" t="s">
        <v>873</v>
      </c>
      <c r="C411" s="22" t="n">
        <v>90</v>
      </c>
      <c r="D411" s="31" t="s">
        <v>20</v>
      </c>
      <c r="E411" s="21" t="s">
        <v>873</v>
      </c>
      <c r="F411" s="19" t="n">
        <v>559584137039</v>
      </c>
      <c r="G411" s="31" t="s">
        <v>874</v>
      </c>
      <c r="I411" s="31" t="s">
        <v>34</v>
      </c>
      <c r="J411" s="21" t="s">
        <v>60</v>
      </c>
      <c r="K411" s="21" t="s">
        <v>27</v>
      </c>
      <c r="L411" s="21" t="s">
        <v>221</v>
      </c>
      <c r="M411" s="21" t="s">
        <v>62</v>
      </c>
      <c r="R411" s="0" t="n">
        <v>2</v>
      </c>
      <c r="S411" s="0" t="n">
        <v>2026</v>
      </c>
    </row>
    <row r="412" customFormat="false" ht="14.25" hidden="false" customHeight="false" outlineLevel="0" collapsed="false">
      <c r="A412" s="17" t="n">
        <v>46076</v>
      </c>
      <c r="B412" s="21" t="s">
        <v>873</v>
      </c>
      <c r="C412" s="22" t="n">
        <v>147</v>
      </c>
      <c r="D412" s="31" t="s">
        <v>22</v>
      </c>
      <c r="E412" s="21" t="s">
        <v>873</v>
      </c>
      <c r="F412" s="19" t="n">
        <v>559584137039</v>
      </c>
      <c r="G412" s="31" t="s">
        <v>874</v>
      </c>
      <c r="I412" s="31" t="s">
        <v>34</v>
      </c>
      <c r="R412" s="0" t="n">
        <v>2</v>
      </c>
      <c r="S412" s="0" t="n">
        <v>2026</v>
      </c>
    </row>
    <row r="413" customFormat="false" ht="14.25" hidden="false" customHeight="false" outlineLevel="0" collapsed="false">
      <c r="A413" s="17" t="n">
        <v>46076</v>
      </c>
      <c r="B413" s="21" t="s">
        <v>873</v>
      </c>
      <c r="C413" s="22" t="n">
        <v>120</v>
      </c>
      <c r="D413" s="31" t="s">
        <v>30</v>
      </c>
      <c r="E413" s="21" t="s">
        <v>873</v>
      </c>
      <c r="F413" s="19" t="n">
        <v>559584137039</v>
      </c>
      <c r="G413" s="31" t="s">
        <v>874</v>
      </c>
      <c r="I413" s="31" t="s">
        <v>34</v>
      </c>
      <c r="R413" s="0" t="n">
        <v>2</v>
      </c>
      <c r="S413" s="0" t="n">
        <v>2026</v>
      </c>
    </row>
    <row r="414" customFormat="false" ht="14.25" hidden="false" customHeight="false" outlineLevel="0" collapsed="false">
      <c r="A414" s="17" t="n">
        <v>46077</v>
      </c>
      <c r="B414" s="21" t="s">
        <v>494</v>
      </c>
      <c r="C414" s="22" t="n">
        <v>147</v>
      </c>
      <c r="D414" s="31" t="s">
        <v>18</v>
      </c>
      <c r="E414" s="21" t="s">
        <v>495</v>
      </c>
      <c r="F414" s="19" t="n">
        <v>553799589574</v>
      </c>
      <c r="G414" s="31" t="s">
        <v>496</v>
      </c>
      <c r="I414" s="31" t="s">
        <v>34</v>
      </c>
      <c r="R414" s="0" t="n">
        <v>2</v>
      </c>
      <c r="S414" s="0" t="n">
        <v>2026</v>
      </c>
    </row>
    <row r="415" customFormat="false" ht="14.25" hidden="false" customHeight="false" outlineLevel="0" collapsed="false">
      <c r="A415" s="17" t="n">
        <v>46077</v>
      </c>
      <c r="B415" s="21" t="s">
        <v>876</v>
      </c>
      <c r="C415" s="22" t="n">
        <v>150</v>
      </c>
      <c r="D415" s="31" t="s">
        <v>32</v>
      </c>
      <c r="E415" s="21" t="s">
        <v>876</v>
      </c>
      <c r="F415" s="19" t="n">
        <v>559584297065</v>
      </c>
      <c r="G415" s="31" t="s">
        <v>877</v>
      </c>
      <c r="I415" s="31" t="s">
        <v>54</v>
      </c>
      <c r="R415" s="0" t="n">
        <v>2</v>
      </c>
      <c r="S415" s="0" t="n">
        <v>2026</v>
      </c>
    </row>
    <row r="416" customFormat="false" ht="14.25" hidden="false" customHeight="false" outlineLevel="0" collapsed="false">
      <c r="A416" s="17" t="n">
        <v>46077</v>
      </c>
      <c r="B416" s="21" t="s">
        <v>878</v>
      </c>
      <c r="C416" s="22" t="n">
        <v>60</v>
      </c>
      <c r="D416" s="31" t="s">
        <v>25</v>
      </c>
      <c r="E416" s="21" t="s">
        <v>878</v>
      </c>
      <c r="F416" s="19" t="n">
        <v>554195341173</v>
      </c>
      <c r="G416" s="31" t="s">
        <v>43</v>
      </c>
      <c r="I416" s="31" t="s">
        <v>50</v>
      </c>
      <c r="R416" s="0" t="n">
        <v>2</v>
      </c>
      <c r="S416" s="0" t="n">
        <v>2026</v>
      </c>
    </row>
    <row r="417" customFormat="false" ht="14.25" hidden="false" customHeight="false" outlineLevel="0" collapsed="false">
      <c r="A417" s="17" t="n">
        <v>46077</v>
      </c>
      <c r="B417" s="21" t="s">
        <v>879</v>
      </c>
      <c r="C417" s="22" t="n">
        <v>75</v>
      </c>
      <c r="D417" s="31" t="s">
        <v>30</v>
      </c>
      <c r="E417" s="21" t="s">
        <v>879</v>
      </c>
      <c r="F417" s="19" t="n">
        <v>556199807330</v>
      </c>
      <c r="G417" s="31" t="s">
        <v>880</v>
      </c>
      <c r="I417" s="31" t="s">
        <v>50</v>
      </c>
      <c r="R417" s="0" t="n">
        <v>2</v>
      </c>
      <c r="S417" s="0" t="n">
        <v>2026</v>
      </c>
    </row>
    <row r="418" customFormat="false" ht="14.25" hidden="false" customHeight="false" outlineLevel="0" collapsed="false">
      <c r="A418" s="17" t="n">
        <v>46077</v>
      </c>
      <c r="B418" s="21" t="s">
        <v>881</v>
      </c>
      <c r="C418" s="22" t="n">
        <v>120</v>
      </c>
      <c r="D418" s="31" t="s">
        <v>21</v>
      </c>
      <c r="E418" s="21" t="s">
        <v>881</v>
      </c>
      <c r="F418" s="19" t="n">
        <v>559584303664</v>
      </c>
      <c r="G418" s="31" t="s">
        <v>882</v>
      </c>
      <c r="I418" s="31" t="s">
        <v>50</v>
      </c>
      <c r="R418" s="0" t="n">
        <v>2</v>
      </c>
      <c r="S418" s="0" t="n">
        <v>2026</v>
      </c>
    </row>
    <row r="419" customFormat="false" ht="14.25" hidden="false" customHeight="false" outlineLevel="0" collapsed="false">
      <c r="A419" s="17" t="n">
        <v>46078</v>
      </c>
      <c r="B419" s="21" t="s">
        <v>884</v>
      </c>
      <c r="C419" s="22" t="n">
        <v>220</v>
      </c>
      <c r="D419" s="31" t="s">
        <v>23</v>
      </c>
      <c r="E419" s="21" t="s">
        <v>884</v>
      </c>
      <c r="F419" s="19" t="n">
        <v>554192184353</v>
      </c>
      <c r="G419" s="31" t="s">
        <v>885</v>
      </c>
      <c r="H419" s="21" t="s">
        <v>94</v>
      </c>
      <c r="I419" s="31" t="s">
        <v>50</v>
      </c>
      <c r="R419" s="0" t="n">
        <v>2</v>
      </c>
      <c r="S419" s="0" t="n">
        <v>2026</v>
      </c>
    </row>
    <row r="420" customFormat="false" ht="14.25" hidden="false" customHeight="false" outlineLevel="0" collapsed="false">
      <c r="A420" s="17" t="n">
        <v>46077</v>
      </c>
      <c r="B420" s="21" t="s">
        <v>886</v>
      </c>
      <c r="C420" s="22" t="n">
        <v>150</v>
      </c>
      <c r="D420" s="31" t="s">
        <v>32</v>
      </c>
      <c r="E420" s="21" t="s">
        <v>886</v>
      </c>
      <c r="F420" s="19" t="n">
        <v>95984026581</v>
      </c>
      <c r="G420" s="31" t="s">
        <v>887</v>
      </c>
      <c r="H420" s="21" t="s">
        <v>94</v>
      </c>
      <c r="I420" s="31" t="s">
        <v>355</v>
      </c>
      <c r="R420" s="0" t="n">
        <v>2</v>
      </c>
      <c r="S420" s="0" t="n">
        <v>2026</v>
      </c>
    </row>
    <row r="421" customFormat="false" ht="14.25" hidden="false" customHeight="false" outlineLevel="0" collapsed="false">
      <c r="A421" s="17" t="n">
        <v>46077</v>
      </c>
      <c r="B421" s="21" t="s">
        <v>888</v>
      </c>
      <c r="C421" s="22" t="n">
        <v>97</v>
      </c>
      <c r="D421" s="31" t="s">
        <v>30</v>
      </c>
      <c r="E421" s="21" t="s">
        <v>888</v>
      </c>
      <c r="F421" s="19" t="n">
        <v>5511947689597</v>
      </c>
      <c r="G421" s="31" t="s">
        <v>889</v>
      </c>
      <c r="H421" s="21" t="s">
        <v>94</v>
      </c>
      <c r="I421" s="31" t="s">
        <v>54</v>
      </c>
      <c r="R421" s="0" t="n">
        <v>2</v>
      </c>
      <c r="S421" s="0" t="n">
        <v>2026</v>
      </c>
    </row>
    <row r="422" customFormat="false" ht="14.25" hidden="false" customHeight="false" outlineLevel="0" collapsed="false">
      <c r="A422" s="17" t="n">
        <v>46078</v>
      </c>
      <c r="B422" s="21" t="s">
        <v>891</v>
      </c>
      <c r="C422" s="22" t="n">
        <v>360</v>
      </c>
      <c r="D422" s="31" t="s">
        <v>30</v>
      </c>
      <c r="E422" s="21" t="s">
        <v>857</v>
      </c>
      <c r="F422" s="19" t="n">
        <v>5512394467745</v>
      </c>
      <c r="G422" s="31" t="s">
        <v>892</v>
      </c>
      <c r="H422" s="21" t="s">
        <v>94</v>
      </c>
      <c r="I422" s="31" t="s">
        <v>355</v>
      </c>
      <c r="R422" s="0" t="n">
        <v>2</v>
      </c>
      <c r="S422" s="0" t="n">
        <v>2026</v>
      </c>
    </row>
    <row r="423" customFormat="false" ht="14.25" hidden="false" customHeight="false" outlineLevel="0" collapsed="false">
      <c r="A423" s="17" t="n">
        <v>46078</v>
      </c>
      <c r="B423" s="21" t="s">
        <v>894</v>
      </c>
      <c r="C423" s="22" t="n">
        <v>120</v>
      </c>
      <c r="D423" s="31" t="s">
        <v>21</v>
      </c>
      <c r="E423" s="21" t="s">
        <v>894</v>
      </c>
      <c r="F423" s="19" t="n">
        <v>554988315310</v>
      </c>
      <c r="G423" s="31" t="s">
        <v>895</v>
      </c>
      <c r="H423" s="21" t="s">
        <v>94</v>
      </c>
      <c r="I423" s="31" t="s">
        <v>50</v>
      </c>
      <c r="R423" s="0" t="n">
        <v>2</v>
      </c>
      <c r="S423" s="0" t="n">
        <v>2026</v>
      </c>
    </row>
    <row r="424" customFormat="false" ht="14.25" hidden="false" customHeight="false" outlineLevel="0" collapsed="false">
      <c r="A424" s="17" t="n">
        <v>46078</v>
      </c>
      <c r="B424" s="21" t="s">
        <v>897</v>
      </c>
      <c r="C424" s="22" t="n">
        <v>120</v>
      </c>
      <c r="D424" s="31" t="s">
        <v>23</v>
      </c>
      <c r="E424" s="21" t="s">
        <v>897</v>
      </c>
      <c r="F424" s="19" t="n">
        <v>556298148841</v>
      </c>
      <c r="G424" s="31" t="s">
        <v>898</v>
      </c>
      <c r="H424" s="21" t="s">
        <v>94</v>
      </c>
      <c r="I424" s="31" t="s">
        <v>34</v>
      </c>
      <c r="R424" s="0" t="n">
        <v>2</v>
      </c>
      <c r="S424" s="0" t="n">
        <v>2026</v>
      </c>
    </row>
    <row r="425" customFormat="false" ht="14.25" hidden="false" customHeight="false" outlineLevel="0" collapsed="false">
      <c r="A425" s="17" t="n">
        <v>46078</v>
      </c>
      <c r="B425" s="21" t="s">
        <v>725</v>
      </c>
      <c r="C425" s="22" t="n">
        <v>120</v>
      </c>
      <c r="D425" s="31" t="s">
        <v>30</v>
      </c>
      <c r="E425" s="21" t="s">
        <v>725</v>
      </c>
      <c r="F425" s="19" t="n">
        <v>5511996490310</v>
      </c>
      <c r="G425" s="31" t="s">
        <v>900</v>
      </c>
      <c r="H425" s="21" t="s">
        <v>94</v>
      </c>
      <c r="I425" s="31" t="s">
        <v>34</v>
      </c>
      <c r="R425" s="0" t="n">
        <v>2</v>
      </c>
      <c r="S425" s="0" t="n">
        <v>2026</v>
      </c>
    </row>
    <row r="426" customFormat="false" ht="14.25" hidden="false" customHeight="false" outlineLevel="0" collapsed="false">
      <c r="A426" s="17" t="n">
        <v>46078</v>
      </c>
      <c r="B426" s="21" t="s">
        <v>902</v>
      </c>
      <c r="C426" s="22" t="n">
        <v>294</v>
      </c>
      <c r="D426" s="31" t="s">
        <v>22</v>
      </c>
      <c r="E426" s="21" t="s">
        <v>902</v>
      </c>
      <c r="F426" s="19" t="n">
        <v>554196988319</v>
      </c>
      <c r="G426" s="31" t="s">
        <v>903</v>
      </c>
      <c r="H426" s="21" t="s">
        <v>94</v>
      </c>
      <c r="I426" s="31" t="s">
        <v>34</v>
      </c>
      <c r="R426" s="0" t="n">
        <v>2</v>
      </c>
      <c r="S426" s="0" t="n">
        <v>2026</v>
      </c>
    </row>
    <row r="427" customFormat="false" ht="14.25" hidden="false" customHeight="false" outlineLevel="0" collapsed="false">
      <c r="A427" s="17" t="n">
        <v>46078</v>
      </c>
      <c r="B427" s="21" t="s">
        <v>905</v>
      </c>
      <c r="C427" s="22" t="n">
        <v>300</v>
      </c>
      <c r="D427" s="31" t="s">
        <v>30</v>
      </c>
      <c r="E427" s="21" t="s">
        <v>906</v>
      </c>
      <c r="F427" s="19" t="n">
        <v>559584227041</v>
      </c>
      <c r="G427" s="31" t="s">
        <v>907</v>
      </c>
      <c r="H427" s="21" t="s">
        <v>94</v>
      </c>
      <c r="I427" s="31" t="s">
        <v>34</v>
      </c>
      <c r="J427" s="21" t="s">
        <v>908</v>
      </c>
      <c r="R427" s="0" t="n">
        <v>2</v>
      </c>
      <c r="S427" s="0" t="n">
        <v>2026</v>
      </c>
    </row>
    <row r="428" customFormat="false" ht="14.25" hidden="false" customHeight="false" outlineLevel="0" collapsed="false">
      <c r="A428" s="17" t="n">
        <v>46078</v>
      </c>
      <c r="B428" s="21" t="s">
        <v>905</v>
      </c>
      <c r="C428" s="22" t="n">
        <v>150</v>
      </c>
      <c r="D428" s="31" t="s">
        <v>23</v>
      </c>
      <c r="E428" s="21" t="s">
        <v>906</v>
      </c>
      <c r="F428" s="19" t="n">
        <v>559584227041</v>
      </c>
      <c r="G428" s="31" t="s">
        <v>907</v>
      </c>
      <c r="H428" s="21" t="s">
        <v>94</v>
      </c>
      <c r="I428" s="31" t="s">
        <v>34</v>
      </c>
      <c r="R428" s="0" t="n">
        <v>2</v>
      </c>
      <c r="S428" s="0" t="n">
        <v>2026</v>
      </c>
    </row>
    <row r="429" customFormat="false" ht="14.25" hidden="false" customHeight="false" outlineLevel="0" collapsed="false">
      <c r="A429" s="17" t="n">
        <v>46078</v>
      </c>
      <c r="B429" s="21" t="s">
        <v>911</v>
      </c>
      <c r="C429" s="22" t="n">
        <v>300</v>
      </c>
      <c r="D429" s="31" t="s">
        <v>30</v>
      </c>
      <c r="E429" s="21" t="s">
        <v>912</v>
      </c>
      <c r="F429" s="19" t="n">
        <v>5353552585</v>
      </c>
      <c r="G429" s="31" t="s">
        <v>913</v>
      </c>
      <c r="H429" s="21" t="s">
        <v>94</v>
      </c>
      <c r="I429" s="31" t="s">
        <v>50</v>
      </c>
      <c r="R429" s="0" t="n">
        <v>2</v>
      </c>
      <c r="S429" s="0" t="n">
        <v>2026</v>
      </c>
    </row>
    <row r="430" customFormat="false" ht="14.25" hidden="false" customHeight="false" outlineLevel="0" collapsed="false">
      <c r="A430" s="17" t="n">
        <v>46078</v>
      </c>
      <c r="B430" s="21" t="s">
        <v>915</v>
      </c>
      <c r="C430" s="22" t="n">
        <v>120</v>
      </c>
      <c r="D430" s="31" t="s">
        <v>862</v>
      </c>
      <c r="E430" s="21" t="s">
        <v>915</v>
      </c>
      <c r="F430" s="19" t="n">
        <v>553897538058</v>
      </c>
      <c r="G430" s="31" t="s">
        <v>916</v>
      </c>
      <c r="H430" s="21" t="s">
        <v>94</v>
      </c>
      <c r="I430" s="31" t="s">
        <v>50</v>
      </c>
      <c r="R430" s="0" t="n">
        <v>2</v>
      </c>
      <c r="S430" s="0" t="n">
        <v>2026</v>
      </c>
    </row>
    <row r="431" customFormat="false" ht="14.25" hidden="false" customHeight="false" outlineLevel="0" collapsed="false">
      <c r="A431" s="17" t="n">
        <v>46078</v>
      </c>
      <c r="B431" s="21" t="s">
        <v>769</v>
      </c>
      <c r="C431" s="22" t="n">
        <v>240</v>
      </c>
      <c r="D431" s="31" t="s">
        <v>390</v>
      </c>
      <c r="E431" s="21" t="s">
        <v>769</v>
      </c>
      <c r="F431" s="19" t="n">
        <v>556592235073</v>
      </c>
      <c r="G431" s="31" t="s">
        <v>770</v>
      </c>
      <c r="H431" s="21" t="s">
        <v>94</v>
      </c>
      <c r="I431" s="31" t="s">
        <v>355</v>
      </c>
      <c r="R431" s="0" t="n">
        <v>2</v>
      </c>
      <c r="S431" s="0" t="n">
        <v>2026</v>
      </c>
    </row>
    <row r="432" customFormat="false" ht="14.25" hidden="false" customHeight="false" outlineLevel="0" collapsed="false">
      <c r="A432" s="17" t="n">
        <v>46078</v>
      </c>
      <c r="B432" s="21" t="s">
        <v>919</v>
      </c>
      <c r="C432" s="22" t="n">
        <v>200</v>
      </c>
      <c r="D432" s="31" t="s">
        <v>30</v>
      </c>
      <c r="E432" s="21" t="s">
        <v>919</v>
      </c>
      <c r="F432" s="19" t="n">
        <v>5358105752</v>
      </c>
      <c r="G432" s="31" t="s">
        <v>920</v>
      </c>
      <c r="H432" s="21" t="s">
        <v>94</v>
      </c>
      <c r="I432" s="31" t="s">
        <v>355</v>
      </c>
      <c r="R432" s="0" t="n">
        <v>2</v>
      </c>
      <c r="S432" s="0" t="n">
        <v>2026</v>
      </c>
    </row>
    <row r="433" customFormat="false" ht="14.25" hidden="false" customHeight="false" outlineLevel="0" collapsed="false">
      <c r="A433" s="17" t="n">
        <v>46078</v>
      </c>
      <c r="B433" s="21" t="s">
        <v>922</v>
      </c>
      <c r="C433" s="22" t="n">
        <v>150</v>
      </c>
      <c r="D433" s="31" t="s">
        <v>32</v>
      </c>
      <c r="E433" s="21" t="s">
        <v>922</v>
      </c>
      <c r="F433" s="19" t="n">
        <v>554599904385</v>
      </c>
      <c r="G433" s="31" t="s">
        <v>923</v>
      </c>
      <c r="H433" s="21" t="s">
        <v>94</v>
      </c>
      <c r="I433" s="31" t="s">
        <v>355</v>
      </c>
      <c r="R433" s="0" t="n">
        <v>2</v>
      </c>
      <c r="S433" s="0" t="n">
        <v>2026</v>
      </c>
    </row>
    <row r="434" customFormat="false" ht="14.25" hidden="false" customHeight="false" outlineLevel="0" collapsed="false">
      <c r="A434" s="17" t="n">
        <v>46078</v>
      </c>
      <c r="B434" s="21" t="s">
        <v>925</v>
      </c>
      <c r="C434" s="22" t="n">
        <v>600</v>
      </c>
      <c r="D434" s="31" t="s">
        <v>106</v>
      </c>
      <c r="E434" s="21" t="s">
        <v>925</v>
      </c>
      <c r="F434" s="19" t="n">
        <v>554191733801</v>
      </c>
      <c r="G434" s="31" t="s">
        <v>926</v>
      </c>
      <c r="H434" s="21" t="s">
        <v>94</v>
      </c>
      <c r="I434" s="31" t="s">
        <v>54</v>
      </c>
      <c r="R434" s="0" t="n">
        <v>2</v>
      </c>
      <c r="S434" s="0" t="n">
        <v>2026</v>
      </c>
    </row>
    <row r="435" customFormat="false" ht="14.25" hidden="false" customHeight="false" outlineLevel="0" collapsed="false">
      <c r="A435" s="17" t="n">
        <v>46076</v>
      </c>
      <c r="B435" s="21" t="s">
        <v>927</v>
      </c>
      <c r="C435" s="22" t="n">
        <v>80</v>
      </c>
      <c r="D435" s="31" t="s">
        <v>16</v>
      </c>
      <c r="E435" s="21" t="s">
        <v>927</v>
      </c>
      <c r="F435" s="19" t="n">
        <v>5551981880231</v>
      </c>
      <c r="G435" s="31" t="s">
        <v>928</v>
      </c>
      <c r="H435" s="21" t="s">
        <v>94</v>
      </c>
      <c r="I435" s="31" t="s">
        <v>34</v>
      </c>
      <c r="R435" s="0" t="n">
        <v>2</v>
      </c>
      <c r="S435" s="0" t="n">
        <v>2026</v>
      </c>
    </row>
    <row r="436" customFormat="false" ht="14.25" hidden="false" customHeight="false" outlineLevel="0" collapsed="false">
      <c r="A436" s="17" t="n">
        <v>46077</v>
      </c>
      <c r="B436" s="21" t="s">
        <v>873</v>
      </c>
      <c r="C436" s="22" t="n">
        <v>90</v>
      </c>
      <c r="D436" s="31" t="s">
        <v>30</v>
      </c>
      <c r="E436" s="21" t="s">
        <v>873</v>
      </c>
      <c r="F436" s="19" t="n">
        <v>559584137039</v>
      </c>
      <c r="G436" s="31" t="s">
        <v>874</v>
      </c>
      <c r="H436" s="21" t="s">
        <v>94</v>
      </c>
      <c r="I436" s="31" t="s">
        <v>34</v>
      </c>
      <c r="R436" s="0" t="n">
        <v>2</v>
      </c>
      <c r="S436" s="0" t="n">
        <v>2026</v>
      </c>
    </row>
    <row r="437" customFormat="false" ht="14.25" hidden="false" customHeight="false" outlineLevel="0" collapsed="false">
      <c r="A437" s="17" t="n">
        <v>46077</v>
      </c>
      <c r="B437" s="21" t="s">
        <v>929</v>
      </c>
      <c r="C437" s="22" t="n">
        <v>240</v>
      </c>
      <c r="D437" s="31" t="s">
        <v>30</v>
      </c>
      <c r="E437" s="21" t="s">
        <v>930</v>
      </c>
      <c r="F437" s="19" t="n">
        <v>555494826336</v>
      </c>
      <c r="G437" s="31" t="s">
        <v>931</v>
      </c>
      <c r="H437" s="21" t="s">
        <v>94</v>
      </c>
      <c r="I437" s="31" t="s">
        <v>50</v>
      </c>
      <c r="R437" s="0" t="n">
        <v>2</v>
      </c>
      <c r="S437" s="0" t="n">
        <v>2026</v>
      </c>
    </row>
    <row r="438" customFormat="false" ht="14.25" hidden="false" customHeight="false" outlineLevel="0" collapsed="false">
      <c r="A438" s="17" t="n">
        <v>46078</v>
      </c>
      <c r="B438" s="21" t="s">
        <v>933</v>
      </c>
      <c r="C438" s="22" t="n">
        <v>110</v>
      </c>
      <c r="D438" s="31" t="s">
        <v>24</v>
      </c>
      <c r="E438" s="21" t="s">
        <v>933</v>
      </c>
      <c r="F438" s="19" t="n">
        <v>554998113765</v>
      </c>
      <c r="G438" s="31" t="s">
        <v>934</v>
      </c>
      <c r="H438" s="21" t="s">
        <v>94</v>
      </c>
      <c r="I438" s="31" t="s">
        <v>54</v>
      </c>
      <c r="R438" s="0" t="n">
        <v>2</v>
      </c>
      <c r="S438" s="0" t="n">
        <v>2026</v>
      </c>
    </row>
    <row r="439" customFormat="false" ht="14.25" hidden="false" customHeight="false" outlineLevel="0" collapsed="false">
      <c r="A439" s="17" t="n">
        <v>46078</v>
      </c>
      <c r="B439" s="21" t="s">
        <v>936</v>
      </c>
      <c r="C439" s="22" t="n">
        <v>100</v>
      </c>
      <c r="D439" s="31" t="s">
        <v>20</v>
      </c>
      <c r="E439" s="21" t="s">
        <v>937</v>
      </c>
      <c r="F439" s="19" t="n">
        <v>554192565332</v>
      </c>
      <c r="G439" s="31" t="s">
        <v>938</v>
      </c>
      <c r="H439" s="21" t="s">
        <v>94</v>
      </c>
      <c r="I439" s="31" t="s">
        <v>50</v>
      </c>
      <c r="R439" s="0" t="n">
        <v>2</v>
      </c>
      <c r="S439" s="0" t="n">
        <v>2026</v>
      </c>
    </row>
    <row r="440" customFormat="false" ht="14.25" hidden="false" customHeight="false" outlineLevel="0" collapsed="false">
      <c r="A440" s="17" t="n">
        <v>46078</v>
      </c>
      <c r="B440" s="21" t="s">
        <v>940</v>
      </c>
      <c r="C440" s="22" t="n">
        <v>140</v>
      </c>
      <c r="D440" s="31" t="s">
        <v>32</v>
      </c>
      <c r="E440" s="21" t="s">
        <v>941</v>
      </c>
      <c r="F440" s="19" t="n">
        <v>5352483372</v>
      </c>
      <c r="G440" s="31" t="s">
        <v>942</v>
      </c>
      <c r="H440" s="21" t="s">
        <v>94</v>
      </c>
      <c r="I440" s="31" t="s">
        <v>50</v>
      </c>
      <c r="R440" s="0" t="n">
        <v>2</v>
      </c>
      <c r="S440" s="0" t="n">
        <v>2026</v>
      </c>
    </row>
    <row r="441" customFormat="false" ht="14.25" hidden="false" customHeight="false" outlineLevel="0" collapsed="false">
      <c r="A441" s="17" t="n">
        <v>46078</v>
      </c>
      <c r="B441" s="21" t="s">
        <v>944</v>
      </c>
      <c r="C441" s="22" t="n">
        <v>30</v>
      </c>
      <c r="D441" s="31" t="s">
        <v>862</v>
      </c>
      <c r="E441" s="21" t="s">
        <v>945</v>
      </c>
      <c r="F441" s="19" t="n">
        <v>554197483195</v>
      </c>
      <c r="G441" s="31" t="s">
        <v>43</v>
      </c>
      <c r="H441" s="21" t="s">
        <v>94</v>
      </c>
      <c r="I441" s="31" t="s">
        <v>50</v>
      </c>
      <c r="R441" s="0" t="n">
        <v>2</v>
      </c>
      <c r="S441" s="0" t="n">
        <v>2026</v>
      </c>
    </row>
    <row r="442" customFormat="false" ht="14.25" hidden="false" customHeight="false" outlineLevel="0" collapsed="false">
      <c r="A442" s="17" t="n">
        <v>46078</v>
      </c>
      <c r="B442" s="21" t="s">
        <v>947</v>
      </c>
      <c r="C442" s="22" t="n">
        <v>97</v>
      </c>
      <c r="D442" s="31" t="s">
        <v>20</v>
      </c>
      <c r="E442" s="21" t="s">
        <v>72</v>
      </c>
      <c r="F442" s="19" t="n">
        <v>559584286486</v>
      </c>
      <c r="G442" s="31" t="s">
        <v>948</v>
      </c>
      <c r="H442" s="21" t="s">
        <v>94</v>
      </c>
      <c r="I442" s="31" t="s">
        <v>34</v>
      </c>
      <c r="R442" s="0" t="n">
        <v>2</v>
      </c>
      <c r="S442" s="0" t="n">
        <v>2026</v>
      </c>
    </row>
    <row r="443" customFormat="false" ht="14.25" hidden="false" customHeight="false" outlineLevel="0" collapsed="false">
      <c r="A443" s="17" t="n">
        <v>46078</v>
      </c>
      <c r="B443" s="21" t="s">
        <v>950</v>
      </c>
      <c r="C443" s="22" t="n">
        <v>80</v>
      </c>
      <c r="D443" s="31" t="s">
        <v>21</v>
      </c>
      <c r="E443" s="21" t="s">
        <v>950</v>
      </c>
      <c r="F443" s="19" t="n">
        <v>559684329227</v>
      </c>
      <c r="G443" s="31" t="s">
        <v>951</v>
      </c>
      <c r="H443" s="21" t="s">
        <v>94</v>
      </c>
      <c r="I443" s="31" t="s">
        <v>355</v>
      </c>
      <c r="J443" s="21" t="s">
        <v>35</v>
      </c>
      <c r="K443" s="21" t="s">
        <v>36</v>
      </c>
      <c r="L443" s="21" t="s">
        <v>37</v>
      </c>
      <c r="M443" s="21" t="s">
        <v>38</v>
      </c>
      <c r="R443" s="0" t="n">
        <v>2</v>
      </c>
      <c r="S443" s="0" t="n">
        <v>2026</v>
      </c>
    </row>
    <row r="444" customFormat="false" ht="14.25" hidden="false" customHeight="false" outlineLevel="0" collapsed="false">
      <c r="A444" s="17" t="n">
        <v>46079</v>
      </c>
      <c r="B444" s="21" t="s">
        <v>953</v>
      </c>
      <c r="C444" s="22" t="n">
        <v>400</v>
      </c>
      <c r="D444" s="31" t="s">
        <v>24</v>
      </c>
      <c r="E444" s="21" t="s">
        <v>954</v>
      </c>
      <c r="F444" s="19" t="n">
        <v>5511912250930</v>
      </c>
      <c r="G444" s="31" t="s">
        <v>519</v>
      </c>
      <c r="H444" s="21" t="s">
        <v>94</v>
      </c>
      <c r="I444" s="31" t="s">
        <v>355</v>
      </c>
      <c r="R444" s="0" t="n">
        <v>2</v>
      </c>
      <c r="S444" s="0" t="n">
        <v>2026</v>
      </c>
    </row>
    <row r="445" customFormat="false" ht="14.25" hidden="false" customHeight="false" outlineLevel="0" collapsed="false">
      <c r="A445" s="17" t="n">
        <v>46079</v>
      </c>
      <c r="B445" s="21" t="s">
        <v>956</v>
      </c>
      <c r="C445" s="22" t="n">
        <v>420</v>
      </c>
      <c r="D445" s="31" t="s">
        <v>24</v>
      </c>
      <c r="E445" s="21" t="s">
        <v>956</v>
      </c>
      <c r="F445" s="19" t="n">
        <v>554888762765</v>
      </c>
      <c r="G445" s="31" t="s">
        <v>957</v>
      </c>
      <c r="H445" s="21" t="s">
        <v>94</v>
      </c>
      <c r="I445" s="31" t="s">
        <v>355</v>
      </c>
      <c r="R445" s="0" t="n">
        <v>2</v>
      </c>
      <c r="S445" s="0" t="n">
        <v>2026</v>
      </c>
    </row>
    <row r="446" customFormat="false" ht="14.25" hidden="false" customHeight="false" outlineLevel="0" collapsed="false">
      <c r="A446" s="17" t="n">
        <v>46078</v>
      </c>
      <c r="B446" s="21" t="s">
        <v>959</v>
      </c>
      <c r="C446" s="22" t="n">
        <v>120</v>
      </c>
      <c r="D446" s="31" t="s">
        <v>30</v>
      </c>
      <c r="E446" s="21" t="s">
        <v>960</v>
      </c>
      <c r="F446" s="19" t="n">
        <v>553491516413</v>
      </c>
      <c r="G446" s="31" t="s">
        <v>961</v>
      </c>
      <c r="H446" s="21" t="s">
        <v>94</v>
      </c>
      <c r="I446" s="31" t="s">
        <v>355</v>
      </c>
      <c r="J446" s="21" t="s">
        <v>35</v>
      </c>
      <c r="K446" s="21" t="s">
        <v>69</v>
      </c>
      <c r="L446" s="21" t="s">
        <v>70</v>
      </c>
      <c r="M446" s="21" t="s">
        <v>38</v>
      </c>
      <c r="R446" s="0" t="n">
        <v>2</v>
      </c>
      <c r="S446" s="0" t="n">
        <v>2026</v>
      </c>
    </row>
    <row r="447" customFormat="false" ht="14.25" hidden="false" customHeight="false" outlineLevel="0" collapsed="false">
      <c r="A447" s="17" t="n">
        <v>46079</v>
      </c>
      <c r="B447" s="21" t="s">
        <v>963</v>
      </c>
      <c r="C447" s="22" t="n">
        <v>147</v>
      </c>
      <c r="D447" s="31" t="s">
        <v>390</v>
      </c>
      <c r="E447" s="21" t="s">
        <v>963</v>
      </c>
      <c r="F447" s="19" t="n">
        <v>5521982245006</v>
      </c>
      <c r="G447" s="31" t="s">
        <v>964</v>
      </c>
      <c r="H447" s="21" t="s">
        <v>94</v>
      </c>
      <c r="I447" s="31" t="s">
        <v>50</v>
      </c>
      <c r="N447" s="21" t="s">
        <v>965</v>
      </c>
      <c r="R447" s="0" t="n">
        <v>2</v>
      </c>
      <c r="S447" s="0" t="n">
        <v>2026</v>
      </c>
    </row>
    <row r="448" customFormat="false" ht="14.25" hidden="false" customHeight="false" outlineLevel="0" collapsed="false">
      <c r="A448" s="17" t="n">
        <v>46079</v>
      </c>
      <c r="B448" s="21" t="s">
        <v>865</v>
      </c>
      <c r="C448" s="22" t="n">
        <v>147</v>
      </c>
      <c r="D448" s="31" t="s">
        <v>18</v>
      </c>
      <c r="E448" s="21" t="s">
        <v>865</v>
      </c>
      <c r="F448" s="19" t="n">
        <v>554791920955</v>
      </c>
      <c r="G448" s="31" t="s">
        <v>866</v>
      </c>
      <c r="H448" s="21" t="s">
        <v>94</v>
      </c>
      <c r="I448" s="31" t="s">
        <v>50</v>
      </c>
      <c r="R448" s="0" t="n">
        <v>2</v>
      </c>
      <c r="S448" s="0" t="n">
        <v>2026</v>
      </c>
    </row>
    <row r="449" customFormat="false" ht="14.25" hidden="false" customHeight="false" outlineLevel="0" collapsed="false">
      <c r="A449" s="17" t="n">
        <v>46080</v>
      </c>
      <c r="B449" s="21" t="s">
        <v>968</v>
      </c>
      <c r="C449" s="22" t="n">
        <v>294</v>
      </c>
      <c r="D449" s="31" t="s">
        <v>21</v>
      </c>
      <c r="E449" s="21" t="s">
        <v>969</v>
      </c>
      <c r="F449" s="19" t="n">
        <v>5547933835549</v>
      </c>
      <c r="G449" s="31" t="s">
        <v>970</v>
      </c>
      <c r="H449" s="21" t="s">
        <v>94</v>
      </c>
      <c r="I449" s="31" t="s">
        <v>34</v>
      </c>
      <c r="R449" s="0" t="n">
        <v>2</v>
      </c>
      <c r="S449" s="0" t="n">
        <v>2026</v>
      </c>
    </row>
    <row r="450" customFormat="false" ht="14.25" hidden="false" customHeight="false" outlineLevel="0" collapsed="false">
      <c r="A450" s="17" t="n">
        <v>46080</v>
      </c>
      <c r="B450" s="21" t="s">
        <v>972</v>
      </c>
      <c r="C450" s="22" t="n">
        <v>240</v>
      </c>
      <c r="D450" s="31" t="s">
        <v>21</v>
      </c>
      <c r="E450" s="21" t="s">
        <v>972</v>
      </c>
      <c r="F450" s="19" t="n">
        <v>554788892712</v>
      </c>
      <c r="G450" s="31" t="s">
        <v>973</v>
      </c>
      <c r="H450" s="21" t="s">
        <v>94</v>
      </c>
      <c r="I450" s="31" t="s">
        <v>34</v>
      </c>
      <c r="R450" s="0" t="n">
        <v>2</v>
      </c>
      <c r="S450" s="0" t="n">
        <v>2026</v>
      </c>
    </row>
    <row r="451" customFormat="false" ht="14.25" hidden="false" customHeight="false" outlineLevel="0" collapsed="false">
      <c r="A451" s="17" t="n">
        <v>46080</v>
      </c>
      <c r="B451" s="21" t="s">
        <v>975</v>
      </c>
      <c r="C451" s="22" t="n">
        <v>147</v>
      </c>
      <c r="D451" s="31" t="s">
        <v>18</v>
      </c>
      <c r="E451" s="21" t="s">
        <v>975</v>
      </c>
      <c r="F451" s="19" t="n">
        <v>554198670387</v>
      </c>
      <c r="G451" s="31" t="s">
        <v>976</v>
      </c>
      <c r="H451" s="21" t="s">
        <v>94</v>
      </c>
      <c r="I451" s="31" t="s">
        <v>34</v>
      </c>
      <c r="R451" s="0" t="n">
        <v>2</v>
      </c>
      <c r="S451" s="0" t="n">
        <v>2026</v>
      </c>
    </row>
    <row r="452" customFormat="false" ht="14.25" hidden="false" customHeight="false" outlineLevel="0" collapsed="false">
      <c r="A452" s="17" t="n">
        <v>46080</v>
      </c>
      <c r="B452" s="21" t="s">
        <v>978</v>
      </c>
      <c r="C452" s="22" t="n">
        <v>150</v>
      </c>
      <c r="D452" s="31" t="s">
        <v>32</v>
      </c>
      <c r="E452" s="21" t="s">
        <v>978</v>
      </c>
      <c r="F452" s="19" t="n">
        <v>556881028303</v>
      </c>
      <c r="G452" s="31" t="s">
        <v>979</v>
      </c>
      <c r="H452" s="21" t="s">
        <v>94</v>
      </c>
      <c r="I452" s="31" t="s">
        <v>50</v>
      </c>
      <c r="R452" s="0" t="n">
        <v>2</v>
      </c>
      <c r="S452" s="0" t="n">
        <v>2026</v>
      </c>
    </row>
    <row r="453" customFormat="false" ht="14.25" hidden="false" customHeight="false" outlineLevel="0" collapsed="false">
      <c r="A453" s="17" t="n">
        <v>46081</v>
      </c>
      <c r="B453" s="21" t="s">
        <v>981</v>
      </c>
      <c r="C453" s="22" t="n">
        <v>240</v>
      </c>
      <c r="D453" s="31" t="s">
        <v>30</v>
      </c>
      <c r="E453" s="21" t="s">
        <v>981</v>
      </c>
      <c r="F453" s="19" t="n">
        <v>556294514130</v>
      </c>
      <c r="G453" s="31" t="s">
        <v>982</v>
      </c>
      <c r="H453" s="21" t="s">
        <v>94</v>
      </c>
      <c r="I453" s="31" t="s">
        <v>355</v>
      </c>
      <c r="R453" s="0" t="n">
        <v>2</v>
      </c>
      <c r="S453" s="0" t="n">
        <v>2026</v>
      </c>
    </row>
    <row r="454" customFormat="false" ht="14.25" hidden="false" customHeight="false" outlineLevel="0" collapsed="false">
      <c r="A454" s="17" t="n">
        <v>46081</v>
      </c>
      <c r="B454" s="21" t="s">
        <v>984</v>
      </c>
      <c r="C454" s="22" t="n">
        <v>240</v>
      </c>
      <c r="D454" s="31" t="s">
        <v>30</v>
      </c>
      <c r="E454" s="21" t="s">
        <v>985</v>
      </c>
      <c r="F454" s="19" t="n">
        <v>554888212591</v>
      </c>
      <c r="G454" s="31" t="s">
        <v>986</v>
      </c>
      <c r="H454" s="21" t="s">
        <v>94</v>
      </c>
      <c r="I454" s="31" t="s">
        <v>355</v>
      </c>
      <c r="J454" s="21" t="s">
        <v>35</v>
      </c>
      <c r="K454" s="21" t="s">
        <v>69</v>
      </c>
      <c r="L454" s="21" t="s">
        <v>70</v>
      </c>
      <c r="M454" s="21" t="s">
        <v>38</v>
      </c>
      <c r="R454" s="0" t="n">
        <v>2</v>
      </c>
      <c r="S454" s="0" t="n">
        <v>2026</v>
      </c>
    </row>
    <row r="455" customFormat="false" ht="14.25" hidden="false" customHeight="false" outlineLevel="0" collapsed="false">
      <c r="A455" s="17" t="n">
        <v>46080</v>
      </c>
      <c r="B455" s="21" t="s">
        <v>988</v>
      </c>
      <c r="C455" s="22" t="n">
        <v>30</v>
      </c>
      <c r="D455" s="31" t="s">
        <v>862</v>
      </c>
      <c r="E455" s="21" t="s">
        <v>989</v>
      </c>
      <c r="F455" s="19" t="n">
        <v>5352935154</v>
      </c>
      <c r="G455" s="31" t="s">
        <v>990</v>
      </c>
      <c r="H455" s="21" t="s">
        <v>94</v>
      </c>
      <c r="I455" s="31" t="s">
        <v>355</v>
      </c>
      <c r="R455" s="0" t="n">
        <v>2</v>
      </c>
      <c r="S455" s="0" t="n">
        <v>2026</v>
      </c>
    </row>
    <row r="456" customFormat="false" ht="14.25" hidden="false" customHeight="false" outlineLevel="0" collapsed="false">
      <c r="A456" s="17" t="n">
        <v>46079</v>
      </c>
      <c r="B456" s="21" t="s">
        <v>992</v>
      </c>
      <c r="C456" s="22" t="n">
        <v>20</v>
      </c>
      <c r="D456" s="31" t="s">
        <v>862</v>
      </c>
      <c r="E456" s="21" t="s">
        <v>992</v>
      </c>
      <c r="F456" s="19" t="n">
        <v>559584374965</v>
      </c>
      <c r="G456" s="31" t="s">
        <v>993</v>
      </c>
      <c r="H456" s="21" t="s">
        <v>94</v>
      </c>
      <c r="I456" s="31" t="s">
        <v>54</v>
      </c>
      <c r="R456" s="0" t="n">
        <v>2</v>
      </c>
      <c r="S456" s="0" t="n">
        <v>2026</v>
      </c>
    </row>
    <row r="457" customFormat="false" ht="14.25" hidden="false" customHeight="false" outlineLevel="0" collapsed="false">
      <c r="A457" s="17" t="n">
        <v>46080</v>
      </c>
      <c r="B457" s="21" t="s">
        <v>219</v>
      </c>
      <c r="C457" s="22" t="n">
        <v>600</v>
      </c>
      <c r="D457" s="31" t="s">
        <v>24</v>
      </c>
      <c r="E457" s="21" t="s">
        <v>219</v>
      </c>
      <c r="F457" s="19" t="n">
        <v>556284270683</v>
      </c>
      <c r="G457" s="31" t="s">
        <v>220</v>
      </c>
      <c r="H457" s="21" t="s">
        <v>94</v>
      </c>
      <c r="I457" s="31" t="s">
        <v>50</v>
      </c>
      <c r="R457" s="0" t="n">
        <v>2</v>
      </c>
      <c r="S457" s="0" t="n">
        <v>2026</v>
      </c>
    </row>
    <row r="458" customFormat="false" ht="14.25" hidden="false" customHeight="false" outlineLevel="0" collapsed="false">
      <c r="A458" s="17" t="n">
        <v>46081</v>
      </c>
      <c r="B458" s="21" t="s">
        <v>996</v>
      </c>
      <c r="C458" s="22" t="n">
        <v>140</v>
      </c>
      <c r="D458" s="31" t="s">
        <v>32</v>
      </c>
      <c r="E458" s="21" t="s">
        <v>996</v>
      </c>
      <c r="F458" s="19" t="n">
        <v>554896062328</v>
      </c>
      <c r="G458" s="31" t="s">
        <v>997</v>
      </c>
      <c r="H458" s="21" t="s">
        <v>94</v>
      </c>
      <c r="I458" s="31" t="s">
        <v>34</v>
      </c>
      <c r="R458" s="0" t="n">
        <v>2</v>
      </c>
      <c r="S458" s="0" t="n">
        <v>2026</v>
      </c>
    </row>
    <row r="459" customFormat="false" ht="14.25" hidden="false" customHeight="false" outlineLevel="0" collapsed="false">
      <c r="A459" s="17" t="n">
        <v>46081</v>
      </c>
      <c r="B459" s="21" t="s">
        <v>999</v>
      </c>
      <c r="C459" s="22" t="n">
        <v>45</v>
      </c>
      <c r="D459" s="31" t="s">
        <v>390</v>
      </c>
      <c r="E459" s="21" t="s">
        <v>999</v>
      </c>
      <c r="F459" s="19" t="n">
        <v>554891097084</v>
      </c>
      <c r="G459" s="31" t="s">
        <v>1000</v>
      </c>
      <c r="H459" s="21" t="s">
        <v>94</v>
      </c>
      <c r="I459" s="31" t="s">
        <v>149</v>
      </c>
      <c r="R459" s="0" t="n">
        <v>2</v>
      </c>
      <c r="S459" s="0" t="n">
        <v>2026</v>
      </c>
    </row>
    <row r="460" customFormat="false" ht="14.25" hidden="false" customHeight="false" outlineLevel="0" collapsed="false">
      <c r="A460" s="17" t="n">
        <v>46081</v>
      </c>
      <c r="B460" s="21" t="s">
        <v>1002</v>
      </c>
      <c r="C460" s="22" t="n">
        <v>150</v>
      </c>
      <c r="D460" s="31" t="s">
        <v>32</v>
      </c>
      <c r="E460" s="21" t="s">
        <v>1002</v>
      </c>
      <c r="F460" s="19" t="n">
        <v>559584281951</v>
      </c>
      <c r="G460" s="31" t="s">
        <v>1003</v>
      </c>
      <c r="H460" s="21" t="s">
        <v>94</v>
      </c>
      <c r="I460" s="31" t="s">
        <v>355</v>
      </c>
      <c r="R460" s="0" t="n">
        <v>2</v>
      </c>
      <c r="S460" s="0" t="n">
        <v>2026</v>
      </c>
    </row>
    <row r="461" customFormat="false" ht="14.25" hidden="false" customHeight="false" outlineLevel="0" collapsed="false">
      <c r="A461" s="17" t="n">
        <v>46081</v>
      </c>
      <c r="B461" s="21" t="s">
        <v>1005</v>
      </c>
      <c r="C461" s="22" t="n">
        <v>150</v>
      </c>
      <c r="D461" s="31" t="s">
        <v>32</v>
      </c>
      <c r="E461" s="21" t="s">
        <v>1006</v>
      </c>
      <c r="F461" s="19" t="n">
        <v>554195393903</v>
      </c>
      <c r="G461" s="31" t="s">
        <v>43</v>
      </c>
      <c r="H461" s="21" t="s">
        <v>94</v>
      </c>
      <c r="I461" s="31" t="s">
        <v>34</v>
      </c>
      <c r="R461" s="0" t="n">
        <v>2</v>
      </c>
      <c r="S461" s="0" t="n">
        <v>2026</v>
      </c>
    </row>
    <row r="462" customFormat="false" ht="14.25" hidden="false" customHeight="false" outlineLevel="0" collapsed="false">
      <c r="A462" s="17" t="n">
        <v>46083</v>
      </c>
      <c r="B462" s="21" t="s">
        <v>1008</v>
      </c>
      <c r="C462" s="22" t="n">
        <v>140</v>
      </c>
      <c r="D462" s="31" t="s">
        <v>32</v>
      </c>
      <c r="E462" s="21" t="s">
        <v>1008</v>
      </c>
      <c r="F462" s="19" t="n">
        <v>554899107133</v>
      </c>
      <c r="G462" s="31" t="s">
        <v>1009</v>
      </c>
      <c r="H462" s="21" t="s">
        <v>94</v>
      </c>
      <c r="I462" s="31" t="s">
        <v>34</v>
      </c>
      <c r="R462" s="0" t="n">
        <v>3</v>
      </c>
      <c r="S462" s="0" t="n">
        <v>2026</v>
      </c>
    </row>
    <row r="463" customFormat="false" ht="14.25" hidden="false" customHeight="false" outlineLevel="0" collapsed="false">
      <c r="A463" s="17" t="n">
        <v>46082</v>
      </c>
      <c r="B463" s="21" t="s">
        <v>1011</v>
      </c>
      <c r="C463" s="22" t="n">
        <v>294</v>
      </c>
      <c r="D463" s="31" t="s">
        <v>390</v>
      </c>
      <c r="E463" s="21" t="s">
        <v>1011</v>
      </c>
      <c r="F463" s="19" t="n">
        <v>558896038771</v>
      </c>
      <c r="G463" s="31" t="s">
        <v>1012</v>
      </c>
      <c r="H463" s="21" t="s">
        <v>94</v>
      </c>
      <c r="I463" s="31" t="s">
        <v>50</v>
      </c>
      <c r="R463" s="0" t="n">
        <v>3</v>
      </c>
      <c r="S463" s="0" t="n">
        <v>2026</v>
      </c>
    </row>
    <row r="464" customFormat="false" ht="14.25" hidden="false" customHeight="false" outlineLevel="0" collapsed="false">
      <c r="A464" s="17" t="n">
        <v>46083</v>
      </c>
      <c r="B464" s="21" t="s">
        <v>1014</v>
      </c>
      <c r="C464" s="22" t="n">
        <v>120</v>
      </c>
      <c r="D464" s="31" t="s">
        <v>862</v>
      </c>
      <c r="E464" s="21" t="s">
        <v>1014</v>
      </c>
      <c r="F464" s="19" t="n">
        <v>5548996335616</v>
      </c>
      <c r="G464" s="31" t="s">
        <v>1015</v>
      </c>
      <c r="H464" s="21" t="s">
        <v>94</v>
      </c>
      <c r="I464" s="31" t="s">
        <v>355</v>
      </c>
      <c r="N464" s="21" t="s">
        <v>965</v>
      </c>
      <c r="R464" s="0" t="n">
        <v>3</v>
      </c>
      <c r="S464" s="0" t="n">
        <v>2026</v>
      </c>
    </row>
    <row r="465" customFormat="false" ht="14.25" hidden="false" customHeight="false" outlineLevel="0" collapsed="false">
      <c r="A465" s="17" t="n">
        <v>46083</v>
      </c>
      <c r="B465" s="21" t="s">
        <v>1017</v>
      </c>
      <c r="C465" s="22" t="n">
        <v>97</v>
      </c>
      <c r="D465" s="31" t="s">
        <v>20</v>
      </c>
      <c r="E465" s="21" t="s">
        <v>1018</v>
      </c>
      <c r="F465" s="19" t="n">
        <v>555193667337</v>
      </c>
      <c r="G465" s="31" t="s">
        <v>1019</v>
      </c>
      <c r="H465" s="21" t="s">
        <v>94</v>
      </c>
      <c r="I465" s="31" t="s">
        <v>355</v>
      </c>
      <c r="N465" s="21" t="s">
        <v>965</v>
      </c>
      <c r="R465" s="0" t="n">
        <v>3</v>
      </c>
      <c r="S465" s="0" t="n">
        <v>2026</v>
      </c>
    </row>
    <row r="466" customFormat="false" ht="14.25" hidden="false" customHeight="false" outlineLevel="0" collapsed="false">
      <c r="A466" s="17" t="n">
        <v>46083</v>
      </c>
      <c r="B466" s="21" t="s">
        <v>418</v>
      </c>
      <c r="C466" s="22" t="n">
        <v>197</v>
      </c>
      <c r="D466" s="31" t="s">
        <v>1021</v>
      </c>
      <c r="E466" s="21" t="s">
        <v>419</v>
      </c>
      <c r="F466" s="19" t="n">
        <v>554791936352</v>
      </c>
      <c r="G466" s="31" t="s">
        <v>420</v>
      </c>
      <c r="H466" s="21" t="s">
        <v>94</v>
      </c>
      <c r="I466" s="31" t="s">
        <v>54</v>
      </c>
      <c r="N466" s="21" t="s">
        <v>1022</v>
      </c>
      <c r="R466" s="0" t="n">
        <v>3</v>
      </c>
      <c r="S466" s="0" t="n">
        <v>2026</v>
      </c>
    </row>
    <row r="467" customFormat="false" ht="14.25" hidden="false" customHeight="false" outlineLevel="0" collapsed="false">
      <c r="A467" s="17" t="n">
        <v>46083</v>
      </c>
      <c r="B467" s="21" t="s">
        <v>1024</v>
      </c>
      <c r="C467" s="22" t="n">
        <v>73.5</v>
      </c>
      <c r="D467" s="31" t="s">
        <v>390</v>
      </c>
      <c r="E467" s="21" t="s">
        <v>1024</v>
      </c>
      <c r="F467" s="19" t="n">
        <v>555499271067</v>
      </c>
      <c r="G467" s="31" t="s">
        <v>1025</v>
      </c>
      <c r="H467" s="21" t="s">
        <v>94</v>
      </c>
      <c r="I467" s="31" t="s">
        <v>355</v>
      </c>
      <c r="N467" s="21" t="s">
        <v>965</v>
      </c>
      <c r="R467" s="0" t="n">
        <v>3</v>
      </c>
      <c r="S467" s="0" t="n">
        <v>2026</v>
      </c>
    </row>
    <row r="468" customFormat="false" ht="14.25" hidden="false" customHeight="false" outlineLevel="0" collapsed="false">
      <c r="A468" s="17" t="n">
        <v>46084</v>
      </c>
      <c r="B468" s="21" t="s">
        <v>1027</v>
      </c>
      <c r="C468" s="22" t="n">
        <v>194</v>
      </c>
      <c r="D468" s="31" t="s">
        <v>20</v>
      </c>
      <c r="E468" s="21" t="s">
        <v>1027</v>
      </c>
      <c r="F468" s="19" t="n">
        <v>554195482482</v>
      </c>
      <c r="G468" s="31" t="s">
        <v>1028</v>
      </c>
      <c r="H468" s="21" t="s">
        <v>94</v>
      </c>
      <c r="I468" s="31" t="s">
        <v>50</v>
      </c>
      <c r="N468" s="21" t="s">
        <v>965</v>
      </c>
      <c r="R468" s="0" t="n">
        <v>3</v>
      </c>
      <c r="S468" s="0" t="n">
        <v>2026</v>
      </c>
    </row>
    <row r="469" customFormat="false" ht="14.25" hidden="false" customHeight="false" outlineLevel="0" collapsed="false">
      <c r="A469" s="17" t="n">
        <v>46083</v>
      </c>
      <c r="B469" s="21" t="s">
        <v>1030</v>
      </c>
      <c r="C469" s="22" t="n">
        <v>197</v>
      </c>
      <c r="D469" s="31" t="s">
        <v>28</v>
      </c>
      <c r="E469" s="21" t="s">
        <v>1030</v>
      </c>
      <c r="F469" s="19" t="n">
        <v>5519971704468</v>
      </c>
      <c r="G469" s="31" t="s">
        <v>1031</v>
      </c>
      <c r="H469" s="21" t="s">
        <v>94</v>
      </c>
      <c r="I469" s="31" t="s">
        <v>355</v>
      </c>
      <c r="N469" s="21" t="s">
        <v>965</v>
      </c>
      <c r="R469" s="0" t="n">
        <v>3</v>
      </c>
      <c r="S469" s="0" t="n">
        <v>2026</v>
      </c>
    </row>
    <row r="470" customFormat="false" ht="14.25" hidden="false" customHeight="false" outlineLevel="0" collapsed="false">
      <c r="A470" s="17" t="n">
        <v>46084</v>
      </c>
      <c r="B470" s="21" t="s">
        <v>740</v>
      </c>
      <c r="C470" s="22" t="n">
        <v>147</v>
      </c>
      <c r="D470" s="31" t="s">
        <v>22</v>
      </c>
      <c r="E470" s="21" t="s">
        <v>1033</v>
      </c>
      <c r="F470" s="19" t="n">
        <v>5519981183492</v>
      </c>
      <c r="G470" s="31" t="s">
        <v>33</v>
      </c>
      <c r="H470" s="21" t="s">
        <v>94</v>
      </c>
      <c r="I470" s="31" t="s">
        <v>54</v>
      </c>
      <c r="N470" s="21" t="s">
        <v>1022</v>
      </c>
      <c r="R470" s="0" t="n">
        <v>3</v>
      </c>
      <c r="S470" s="0" t="n">
        <v>2026</v>
      </c>
    </row>
    <row r="471" customFormat="false" ht="14.25" hidden="false" customHeight="false" outlineLevel="0" collapsed="false">
      <c r="A471" s="17" t="n">
        <v>46084</v>
      </c>
      <c r="B471" s="21" t="s">
        <v>1035</v>
      </c>
      <c r="C471" s="22" t="n">
        <v>147</v>
      </c>
      <c r="D471" s="31" t="s">
        <v>18</v>
      </c>
      <c r="E471" s="21" t="s">
        <v>1035</v>
      </c>
      <c r="F471" s="19" t="n">
        <v>5511966578758</v>
      </c>
      <c r="G471" s="31" t="s">
        <v>1036</v>
      </c>
      <c r="H471" s="21" t="s">
        <v>94</v>
      </c>
      <c r="I471" s="31" t="s">
        <v>355</v>
      </c>
      <c r="N471" s="21" t="s">
        <v>965</v>
      </c>
      <c r="R471" s="0" t="n">
        <v>3</v>
      </c>
      <c r="S471" s="0" t="n">
        <v>2026</v>
      </c>
    </row>
    <row r="472" customFormat="false" ht="14.25" hidden="false" customHeight="false" outlineLevel="0" collapsed="false">
      <c r="A472" s="17" t="n">
        <v>46084</v>
      </c>
      <c r="B472" s="21" t="s">
        <v>740</v>
      </c>
      <c r="C472" s="22" t="n">
        <v>120</v>
      </c>
      <c r="D472" s="31" t="s">
        <v>30</v>
      </c>
      <c r="E472" s="21" t="s">
        <v>1033</v>
      </c>
      <c r="F472" s="19" t="n">
        <v>5519981183492</v>
      </c>
      <c r="G472" s="31" t="s">
        <v>33</v>
      </c>
      <c r="H472" s="21" t="s">
        <v>94</v>
      </c>
      <c r="I472" s="31" t="s">
        <v>54</v>
      </c>
      <c r="N472" s="21" t="s">
        <v>1022</v>
      </c>
      <c r="R472" s="0" t="n">
        <v>3</v>
      </c>
      <c r="S472" s="0" t="n">
        <v>2026</v>
      </c>
    </row>
    <row r="473" customFormat="false" ht="14.25" hidden="false" customHeight="false" outlineLevel="0" collapsed="false">
      <c r="A473" s="17" t="n">
        <v>46084</v>
      </c>
      <c r="B473" s="21" t="s">
        <v>1038</v>
      </c>
      <c r="C473" s="22" t="n">
        <v>120</v>
      </c>
      <c r="D473" s="31" t="s">
        <v>30</v>
      </c>
      <c r="E473" s="21" t="s">
        <v>1039</v>
      </c>
      <c r="F473" s="19" t="n">
        <v>559286190187</v>
      </c>
      <c r="G473" s="31" t="s">
        <v>1040</v>
      </c>
      <c r="H473" s="21" t="s">
        <v>94</v>
      </c>
      <c r="I473" s="31" t="s">
        <v>355</v>
      </c>
      <c r="N473" s="21" t="s">
        <v>965</v>
      </c>
      <c r="R473" s="0" t="n">
        <v>3</v>
      </c>
      <c r="S473" s="0" t="n">
        <v>2026</v>
      </c>
    </row>
    <row r="474" customFormat="false" ht="14.25" hidden="false" customHeight="false" outlineLevel="0" collapsed="false">
      <c r="A474" s="17" t="n">
        <v>46084</v>
      </c>
      <c r="B474" s="21" t="s">
        <v>1042</v>
      </c>
      <c r="C474" s="22" t="n">
        <v>150</v>
      </c>
      <c r="D474" s="31" t="s">
        <v>32</v>
      </c>
      <c r="E474" s="21" t="s">
        <v>1042</v>
      </c>
      <c r="F474" s="19" t="n">
        <v>559584395827</v>
      </c>
      <c r="G474" s="31" t="s">
        <v>1043</v>
      </c>
      <c r="H474" s="21" t="s">
        <v>94</v>
      </c>
      <c r="I474" s="31" t="s">
        <v>355</v>
      </c>
      <c r="J474" s="21" t="s">
        <v>35</v>
      </c>
      <c r="K474" s="21" t="s">
        <v>1044</v>
      </c>
      <c r="M474" s="21" t="s">
        <v>38</v>
      </c>
      <c r="N474" s="21" t="s">
        <v>965</v>
      </c>
      <c r="R474" s="0" t="n">
        <v>3</v>
      </c>
      <c r="S474" s="0" t="n">
        <v>2026</v>
      </c>
    </row>
    <row r="475" customFormat="false" ht="14.25" hidden="false" customHeight="false" outlineLevel="0" collapsed="false">
      <c r="A475" s="17" t="n">
        <v>46084</v>
      </c>
      <c r="B475" s="21" t="s">
        <v>1046</v>
      </c>
      <c r="C475" s="22" t="n">
        <v>150</v>
      </c>
      <c r="D475" s="31" t="s">
        <v>32</v>
      </c>
      <c r="E475" s="21" t="s">
        <v>1047</v>
      </c>
      <c r="F475" s="19" t="n">
        <v>573106910116</v>
      </c>
      <c r="G475" s="31" t="s">
        <v>43</v>
      </c>
      <c r="H475" s="21" t="s">
        <v>94</v>
      </c>
      <c r="I475" s="31" t="s">
        <v>50</v>
      </c>
      <c r="J475" s="21" t="s">
        <v>35</v>
      </c>
      <c r="K475" s="21" t="s">
        <v>36</v>
      </c>
      <c r="L475" s="21" t="s">
        <v>37</v>
      </c>
      <c r="M475" s="21" t="s">
        <v>38</v>
      </c>
      <c r="N475" s="21" t="s">
        <v>965</v>
      </c>
      <c r="R475" s="0" t="n">
        <v>3</v>
      </c>
      <c r="S475" s="0" t="n">
        <v>2026</v>
      </c>
    </row>
    <row r="476" customFormat="false" ht="14.25" hidden="false" customHeight="false" outlineLevel="0" collapsed="false">
      <c r="A476" s="17" t="n">
        <v>46084</v>
      </c>
      <c r="B476" s="21" t="s">
        <v>1049</v>
      </c>
      <c r="C476" s="22" t="n">
        <v>147</v>
      </c>
      <c r="D476" s="31" t="s">
        <v>18</v>
      </c>
      <c r="E476" s="21" t="s">
        <v>1049</v>
      </c>
      <c r="F476" s="19" t="n">
        <v>5518997281568</v>
      </c>
      <c r="G476" s="31" t="s">
        <v>1050</v>
      </c>
      <c r="H476" s="21" t="s">
        <v>94</v>
      </c>
      <c r="I476" s="31" t="s">
        <v>355</v>
      </c>
      <c r="N476" s="21" t="s">
        <v>965</v>
      </c>
      <c r="R476" s="0" t="n">
        <v>3</v>
      </c>
      <c r="S476" s="0" t="n">
        <v>2026</v>
      </c>
    </row>
    <row r="477" customFormat="false" ht="14.25" hidden="false" customHeight="false" outlineLevel="0" collapsed="false">
      <c r="A477" s="17" t="n">
        <v>46084</v>
      </c>
      <c r="B477" s="21" t="s">
        <v>1052</v>
      </c>
      <c r="C477" s="22" t="n">
        <v>194</v>
      </c>
      <c r="D477" s="31" t="s">
        <v>20</v>
      </c>
      <c r="E477" s="21" t="s">
        <v>1053</v>
      </c>
      <c r="F477" s="19" t="n">
        <v>559584077552</v>
      </c>
      <c r="G477" s="31" t="s">
        <v>1054</v>
      </c>
      <c r="H477" s="21" t="s">
        <v>94</v>
      </c>
      <c r="I477" s="31" t="s">
        <v>355</v>
      </c>
      <c r="N477" s="21" t="s">
        <v>965</v>
      </c>
      <c r="R477" s="0" t="n">
        <v>3</v>
      </c>
      <c r="S477" s="0" t="n">
        <v>2026</v>
      </c>
    </row>
    <row r="478" customFormat="false" ht="14.25" hidden="false" customHeight="false" outlineLevel="0" collapsed="false">
      <c r="A478" s="17" t="n">
        <v>46084</v>
      </c>
      <c r="B478" s="21" t="s">
        <v>1056</v>
      </c>
      <c r="C478" s="22" t="n">
        <v>60</v>
      </c>
      <c r="D478" s="31" t="s">
        <v>862</v>
      </c>
      <c r="E478" s="21" t="s">
        <v>1056</v>
      </c>
      <c r="F478" s="19" t="n">
        <v>559681063104</v>
      </c>
      <c r="G478" s="31" t="s">
        <v>1057</v>
      </c>
      <c r="H478" s="21" t="s">
        <v>94</v>
      </c>
      <c r="I478" s="31" t="s">
        <v>50</v>
      </c>
      <c r="N478" s="21" t="s">
        <v>965</v>
      </c>
      <c r="R478" s="0" t="n">
        <v>3</v>
      </c>
      <c r="S478" s="0" t="n">
        <v>2026</v>
      </c>
    </row>
    <row r="479" customFormat="false" ht="14.25" hidden="false" customHeight="false" outlineLevel="0" collapsed="false">
      <c r="A479" s="17" t="n">
        <v>46084</v>
      </c>
      <c r="B479" s="21" t="s">
        <v>1059</v>
      </c>
      <c r="C479" s="22" t="n">
        <v>97</v>
      </c>
      <c r="D479" s="31" t="s">
        <v>30</v>
      </c>
      <c r="E479" s="21" t="s">
        <v>1060</v>
      </c>
      <c r="F479" s="19" t="n">
        <v>5511982228198</v>
      </c>
      <c r="G479" s="31" t="s">
        <v>1061</v>
      </c>
      <c r="H479" s="21" t="s">
        <v>94</v>
      </c>
      <c r="I479" s="31" t="s">
        <v>50</v>
      </c>
      <c r="N479" s="21" t="s">
        <v>965</v>
      </c>
      <c r="R479" s="0" t="n">
        <v>3</v>
      </c>
      <c r="S479" s="0" t="n">
        <v>2026</v>
      </c>
    </row>
    <row r="480" customFormat="false" ht="14.25" hidden="false" customHeight="false" outlineLevel="0" collapsed="false">
      <c r="A480" s="17" t="n">
        <v>46084</v>
      </c>
      <c r="B480" s="21" t="s">
        <v>1063</v>
      </c>
      <c r="C480" s="22" t="n">
        <v>120</v>
      </c>
      <c r="D480" s="31" t="s">
        <v>30</v>
      </c>
      <c r="E480" s="21" t="s">
        <v>1063</v>
      </c>
      <c r="F480" s="19" t="n">
        <v>5511933370691</v>
      </c>
      <c r="G480" s="31" t="s">
        <v>1064</v>
      </c>
      <c r="H480" s="21" t="s">
        <v>94</v>
      </c>
      <c r="I480" s="31" t="s">
        <v>50</v>
      </c>
      <c r="N480" s="21" t="s">
        <v>965</v>
      </c>
      <c r="R480" s="0" t="n">
        <v>3</v>
      </c>
      <c r="S480" s="0" t="n">
        <v>2026</v>
      </c>
    </row>
    <row r="481" customFormat="false" ht="14.25" hidden="false" customHeight="false" outlineLevel="0" collapsed="false">
      <c r="A481" s="17" t="n">
        <v>46084</v>
      </c>
      <c r="B481" s="21" t="s">
        <v>1066</v>
      </c>
      <c r="C481" s="22" t="n">
        <v>120</v>
      </c>
      <c r="D481" s="31" t="s">
        <v>862</v>
      </c>
      <c r="E481" s="21" t="s">
        <v>1067</v>
      </c>
      <c r="F481" s="19" t="n">
        <v>554797403502</v>
      </c>
      <c r="G481" s="31" t="s">
        <v>43</v>
      </c>
      <c r="H481" s="21" t="s">
        <v>94</v>
      </c>
      <c r="I481" s="31" t="s">
        <v>50</v>
      </c>
      <c r="N481" s="21" t="s">
        <v>965</v>
      </c>
      <c r="R481" s="0" t="n">
        <v>3</v>
      </c>
      <c r="S481" s="0" t="n">
        <v>2026</v>
      </c>
    </row>
    <row r="482" customFormat="false" ht="14.25" hidden="false" customHeight="false" outlineLevel="0" collapsed="false">
      <c r="A482" s="17" t="n">
        <v>46084</v>
      </c>
      <c r="B482" s="21" t="s">
        <v>1068</v>
      </c>
      <c r="C482" s="22" t="n">
        <v>150</v>
      </c>
      <c r="D482" s="31" t="s">
        <v>32</v>
      </c>
      <c r="E482" s="21" t="s">
        <v>315</v>
      </c>
      <c r="F482" s="19" t="n">
        <v>559591212862</v>
      </c>
      <c r="G482" s="31" t="s">
        <v>316</v>
      </c>
      <c r="H482" s="21" t="s">
        <v>94</v>
      </c>
      <c r="I482" s="31" t="s">
        <v>54</v>
      </c>
      <c r="N482" s="21" t="s">
        <v>1022</v>
      </c>
      <c r="R482" s="0" t="n">
        <v>3</v>
      </c>
      <c r="S482" s="0" t="n">
        <v>2026</v>
      </c>
    </row>
    <row r="483" customFormat="false" ht="14.25" hidden="false" customHeight="false" outlineLevel="0" collapsed="false">
      <c r="A483" s="17" t="n">
        <v>46084</v>
      </c>
      <c r="B483" s="21" t="s">
        <v>1070</v>
      </c>
      <c r="C483" s="22" t="n">
        <v>150</v>
      </c>
      <c r="D483" s="31" t="s">
        <v>32</v>
      </c>
      <c r="E483" s="21" t="s">
        <v>1071</v>
      </c>
      <c r="F483" s="19" t="n">
        <v>5511951661862</v>
      </c>
      <c r="G483" s="31" t="s">
        <v>1072</v>
      </c>
      <c r="H483" s="21" t="s">
        <v>94</v>
      </c>
      <c r="I483" s="31" t="s">
        <v>355</v>
      </c>
      <c r="J483" s="21" t="s">
        <v>35</v>
      </c>
      <c r="K483" s="21" t="s">
        <v>36</v>
      </c>
      <c r="L483" s="21" t="s">
        <v>37</v>
      </c>
      <c r="M483" s="21" t="s">
        <v>38</v>
      </c>
      <c r="N483" s="21" t="s">
        <v>965</v>
      </c>
      <c r="R483" s="0" t="n">
        <v>3</v>
      </c>
      <c r="S483" s="0" t="n">
        <v>2026</v>
      </c>
    </row>
    <row r="484" customFormat="false" ht="14.25" hidden="false" customHeight="false" outlineLevel="0" collapsed="false">
      <c r="A484" s="17" t="n">
        <v>46084</v>
      </c>
      <c r="B484" s="21" t="s">
        <v>1074</v>
      </c>
      <c r="C484" s="22" t="n">
        <v>240</v>
      </c>
      <c r="D484" s="31" t="s">
        <v>23</v>
      </c>
      <c r="E484" s="21" t="s">
        <v>1074</v>
      </c>
      <c r="F484" s="19" t="n">
        <v>559591467720</v>
      </c>
      <c r="G484" s="31" t="s">
        <v>43</v>
      </c>
      <c r="H484" s="21" t="s">
        <v>94</v>
      </c>
      <c r="I484" s="31" t="s">
        <v>50</v>
      </c>
      <c r="N484" s="21" t="s">
        <v>965</v>
      </c>
      <c r="R484" s="0" t="n">
        <v>3</v>
      </c>
      <c r="S484" s="0" t="n">
        <v>2026</v>
      </c>
    </row>
    <row r="485" customFormat="false" ht="14.25" hidden="false" customHeight="false" outlineLevel="0" collapsed="false">
      <c r="A485" s="17" t="n">
        <v>46084</v>
      </c>
      <c r="B485" s="21" t="s">
        <v>1076</v>
      </c>
      <c r="C485" s="22" t="n">
        <v>97</v>
      </c>
      <c r="D485" s="31" t="s">
        <v>20</v>
      </c>
      <c r="E485" s="21" t="s">
        <v>1076</v>
      </c>
      <c r="F485" s="19" t="n">
        <v>555195558065</v>
      </c>
      <c r="G485" s="31" t="s">
        <v>1077</v>
      </c>
      <c r="H485" s="21" t="s">
        <v>94</v>
      </c>
      <c r="I485" s="31" t="s">
        <v>355</v>
      </c>
      <c r="N485" s="21" t="s">
        <v>965</v>
      </c>
      <c r="R485" s="0" t="n">
        <v>3</v>
      </c>
      <c r="S485" s="0" t="n">
        <v>2026</v>
      </c>
    </row>
    <row r="486" customFormat="false" ht="14.25" hidden="false" customHeight="false" outlineLevel="0" collapsed="false">
      <c r="A486" s="17" t="n">
        <v>46085</v>
      </c>
      <c r="B486" s="21" t="s">
        <v>1038</v>
      </c>
      <c r="C486" s="22" t="n">
        <v>147</v>
      </c>
      <c r="D486" s="31" t="s">
        <v>22</v>
      </c>
      <c r="E486" s="21" t="s">
        <v>1079</v>
      </c>
      <c r="F486" s="19" t="n">
        <v>554896112864</v>
      </c>
      <c r="G486" s="31" t="s">
        <v>745</v>
      </c>
      <c r="H486" s="21" t="s">
        <v>94</v>
      </c>
      <c r="I486" s="31" t="s">
        <v>54</v>
      </c>
      <c r="N486" s="21" t="s">
        <v>1022</v>
      </c>
      <c r="R486" s="0" t="n">
        <v>3</v>
      </c>
      <c r="S486" s="0" t="n">
        <v>2026</v>
      </c>
    </row>
    <row r="487" customFormat="false" ht="14.25" hidden="false" customHeight="false" outlineLevel="0" collapsed="false">
      <c r="A487" s="17" t="n">
        <v>46085</v>
      </c>
      <c r="B487" s="21" t="s">
        <v>1081</v>
      </c>
      <c r="C487" s="22" t="n">
        <v>150</v>
      </c>
      <c r="D487" s="31" t="s">
        <v>32</v>
      </c>
      <c r="E487" s="21" t="s">
        <v>1082</v>
      </c>
      <c r="F487" s="19" t="n">
        <v>554791259392</v>
      </c>
      <c r="G487" s="31" t="n">
        <v>0</v>
      </c>
      <c r="H487" s="21" t="s">
        <v>94</v>
      </c>
      <c r="I487" s="31" t="s">
        <v>50</v>
      </c>
      <c r="N487" s="21" t="s">
        <v>965</v>
      </c>
      <c r="R487" s="0" t="n">
        <v>3</v>
      </c>
      <c r="S487" s="0" t="n">
        <v>2026</v>
      </c>
    </row>
    <row r="488" customFormat="false" ht="14.25" hidden="false" customHeight="false" outlineLevel="0" collapsed="false">
      <c r="A488" s="17" t="n">
        <v>46085</v>
      </c>
      <c r="B488" s="21" t="s">
        <v>1084</v>
      </c>
      <c r="C488" s="22" t="n">
        <v>100</v>
      </c>
      <c r="D488" s="31" t="s">
        <v>20</v>
      </c>
      <c r="E488" s="21" t="s">
        <v>1084</v>
      </c>
      <c r="F488" s="19" t="n">
        <v>5521971476824</v>
      </c>
      <c r="G488" s="31" t="s">
        <v>1085</v>
      </c>
      <c r="H488" s="21" t="s">
        <v>94</v>
      </c>
      <c r="I488" s="31" t="s">
        <v>50</v>
      </c>
      <c r="N488" s="21" t="s">
        <v>965</v>
      </c>
      <c r="R488" s="0" t="n">
        <v>3</v>
      </c>
      <c r="S488" s="0" t="n">
        <v>2026</v>
      </c>
    </row>
    <row r="489" customFormat="false" ht="14.25" hidden="false" customHeight="false" outlineLevel="0" collapsed="false">
      <c r="A489" s="17" t="n">
        <v>46085</v>
      </c>
      <c r="B489" s="21" t="s">
        <v>1087</v>
      </c>
      <c r="C489" s="22" t="n">
        <v>300</v>
      </c>
      <c r="D489" s="31" t="s">
        <v>30</v>
      </c>
      <c r="E489" s="21" t="s">
        <v>1087</v>
      </c>
      <c r="F489" s="19" t="n">
        <v>17866539853</v>
      </c>
      <c r="G489" s="31" t="s">
        <v>1088</v>
      </c>
      <c r="H489" s="21" t="s">
        <v>94</v>
      </c>
      <c r="I489" s="31" t="s">
        <v>355</v>
      </c>
      <c r="J489" s="21" t="s">
        <v>35</v>
      </c>
      <c r="K489" s="21" t="s">
        <v>69</v>
      </c>
      <c r="L489" s="21" t="s">
        <v>70</v>
      </c>
      <c r="M489" s="21" t="s">
        <v>38</v>
      </c>
      <c r="N489" s="21" t="s">
        <v>965</v>
      </c>
      <c r="R489" s="0" t="n">
        <v>3</v>
      </c>
      <c r="S489" s="0" t="n">
        <v>2026</v>
      </c>
    </row>
    <row r="490" customFormat="false" ht="14.25" hidden="false" customHeight="false" outlineLevel="0" collapsed="false">
      <c r="A490" s="17" t="n">
        <v>46085</v>
      </c>
      <c r="B490" s="21" t="s">
        <v>1090</v>
      </c>
      <c r="C490" s="22" t="n">
        <v>120</v>
      </c>
      <c r="D490" s="31" t="s">
        <v>21</v>
      </c>
      <c r="E490" s="21" t="s">
        <v>1090</v>
      </c>
      <c r="F490" s="19" t="n">
        <v>559584003335</v>
      </c>
      <c r="G490" s="31" t="s">
        <v>1091</v>
      </c>
      <c r="H490" s="21" t="s">
        <v>94</v>
      </c>
      <c r="I490" s="31" t="s">
        <v>355</v>
      </c>
      <c r="N490" s="21" t="s">
        <v>965</v>
      </c>
      <c r="R490" s="0" t="n">
        <v>3</v>
      </c>
      <c r="S490" s="0" t="n">
        <v>2026</v>
      </c>
    </row>
    <row r="491" customFormat="false" ht="14.25" hidden="false" customHeight="false" outlineLevel="0" collapsed="false">
      <c r="A491" s="17" t="n">
        <v>46085</v>
      </c>
      <c r="B491" s="21" t="s">
        <v>1093</v>
      </c>
      <c r="C491" s="22" t="n">
        <v>294</v>
      </c>
      <c r="D491" s="31" t="s">
        <v>390</v>
      </c>
      <c r="E491" s="21" t="s">
        <v>1094</v>
      </c>
      <c r="F491" s="19" t="n">
        <v>555496212443</v>
      </c>
      <c r="G491" s="31" t="s">
        <v>1095</v>
      </c>
      <c r="H491" s="21" t="s">
        <v>94</v>
      </c>
      <c r="I491" s="31" t="s">
        <v>50</v>
      </c>
      <c r="J491" s="21" t="s">
        <v>35</v>
      </c>
      <c r="K491" s="21" t="s">
        <v>69</v>
      </c>
      <c r="L491" s="21" t="s">
        <v>70</v>
      </c>
      <c r="M491" s="21" t="s">
        <v>38</v>
      </c>
      <c r="N491" s="21" t="s">
        <v>965</v>
      </c>
      <c r="R491" s="0" t="n">
        <v>3</v>
      </c>
      <c r="S491" s="0" t="n">
        <v>2026</v>
      </c>
    </row>
    <row r="492" customFormat="false" ht="14.25" hidden="false" customHeight="false" outlineLevel="0" collapsed="false">
      <c r="A492" s="17" t="n">
        <v>46085</v>
      </c>
      <c r="B492" s="21" t="s">
        <v>1097</v>
      </c>
      <c r="C492" s="22" t="n">
        <v>97</v>
      </c>
      <c r="D492" s="31" t="s">
        <v>20</v>
      </c>
      <c r="E492" s="21" t="s">
        <v>1097</v>
      </c>
      <c r="F492" s="19" t="n">
        <v>554796011911</v>
      </c>
      <c r="G492" s="31" t="s">
        <v>1098</v>
      </c>
      <c r="H492" s="21" t="s">
        <v>94</v>
      </c>
      <c r="I492" s="31" t="s">
        <v>54</v>
      </c>
      <c r="N492" s="21" t="s">
        <v>1022</v>
      </c>
      <c r="R492" s="0" t="n">
        <v>3</v>
      </c>
      <c r="S492" s="0" t="n">
        <v>2026</v>
      </c>
    </row>
    <row r="493" customFormat="false" ht="14.25" hidden="false" customHeight="false" outlineLevel="0" collapsed="false">
      <c r="A493" s="17" t="n">
        <v>46085</v>
      </c>
      <c r="B493" s="21" t="s">
        <v>1100</v>
      </c>
      <c r="C493" s="22" t="n">
        <v>291</v>
      </c>
      <c r="D493" s="31" t="s">
        <v>20</v>
      </c>
      <c r="E493" s="21" t="s">
        <v>1100</v>
      </c>
      <c r="F493" s="19" t="n">
        <v>554891726832</v>
      </c>
      <c r="G493" s="31" t="s">
        <v>1101</v>
      </c>
      <c r="H493" s="21" t="s">
        <v>94</v>
      </c>
      <c r="I493" s="31" t="s">
        <v>355</v>
      </c>
      <c r="N493" s="21" t="s">
        <v>965</v>
      </c>
      <c r="R493" s="0" t="n">
        <v>3</v>
      </c>
      <c r="S493" s="0" t="n">
        <v>2026</v>
      </c>
    </row>
    <row r="494" customFormat="false" ht="14.25" hidden="false" customHeight="false" outlineLevel="0" collapsed="false">
      <c r="A494" s="17" t="n">
        <v>46085</v>
      </c>
      <c r="B494" s="21" t="s">
        <v>959</v>
      </c>
      <c r="C494" s="22" t="n">
        <v>294</v>
      </c>
      <c r="D494" s="31" t="s">
        <v>30</v>
      </c>
      <c r="E494" s="21" t="s">
        <v>1103</v>
      </c>
      <c r="F494" s="19" t="n">
        <v>553491649559</v>
      </c>
      <c r="G494" s="31" t="s">
        <v>1104</v>
      </c>
      <c r="H494" s="21" t="s">
        <v>94</v>
      </c>
      <c r="I494" s="31" t="s">
        <v>50</v>
      </c>
      <c r="N494" s="21" t="s">
        <v>965</v>
      </c>
      <c r="R494" s="0" t="n">
        <v>3</v>
      </c>
      <c r="S494" s="0" t="n">
        <v>2026</v>
      </c>
    </row>
    <row r="495" customFormat="false" ht="14.25" hidden="false" customHeight="false" outlineLevel="0" collapsed="false">
      <c r="A495" s="17" t="n">
        <v>46085</v>
      </c>
      <c r="B495" s="21" t="s">
        <v>630</v>
      </c>
      <c r="C495" s="22" t="n">
        <v>147</v>
      </c>
      <c r="D495" s="31" t="s">
        <v>18</v>
      </c>
      <c r="E495" s="21" t="s">
        <v>630</v>
      </c>
      <c r="F495" s="19" t="n">
        <v>5518996452405</v>
      </c>
      <c r="G495" s="31" t="s">
        <v>631</v>
      </c>
      <c r="H495" s="21" t="s">
        <v>94</v>
      </c>
      <c r="I495" s="31" t="s">
        <v>54</v>
      </c>
      <c r="N495" s="21" t="s">
        <v>1022</v>
      </c>
      <c r="R495" s="0" t="n">
        <v>3</v>
      </c>
      <c r="S495" s="0" t="n">
        <v>2026</v>
      </c>
    </row>
    <row r="496" customFormat="false" ht="14.25" hidden="false" customHeight="false" outlineLevel="0" collapsed="false">
      <c r="A496" s="17" t="n">
        <v>46085</v>
      </c>
      <c r="B496" s="21" t="s">
        <v>1107</v>
      </c>
      <c r="C496" s="22" t="n">
        <v>150</v>
      </c>
      <c r="D496" s="31" t="s">
        <v>32</v>
      </c>
      <c r="E496" s="21" t="s">
        <v>1107</v>
      </c>
      <c r="F496" s="19" t="n">
        <v>554796460379</v>
      </c>
      <c r="G496" s="31" t="s">
        <v>1108</v>
      </c>
      <c r="H496" s="21" t="s">
        <v>94</v>
      </c>
      <c r="I496" s="31" t="s">
        <v>34</v>
      </c>
      <c r="N496" s="21" t="s">
        <v>965</v>
      </c>
      <c r="R496" s="0" t="n">
        <v>3</v>
      </c>
      <c r="S496" s="0" t="n">
        <v>2026</v>
      </c>
    </row>
    <row r="497" customFormat="false" ht="14.25" hidden="false" customHeight="false" outlineLevel="0" collapsed="false">
      <c r="A497" s="17" t="n">
        <v>46085</v>
      </c>
      <c r="B497" s="21" t="s">
        <v>1110</v>
      </c>
      <c r="C497" s="22" t="n">
        <v>150</v>
      </c>
      <c r="D497" s="31" t="s">
        <v>32</v>
      </c>
      <c r="E497" s="21" t="s">
        <v>1110</v>
      </c>
      <c r="F497" s="19" t="n">
        <v>554197483606</v>
      </c>
      <c r="G497" s="31" t="s">
        <v>1111</v>
      </c>
      <c r="H497" s="21" t="s">
        <v>94</v>
      </c>
      <c r="I497" s="31" t="s">
        <v>355</v>
      </c>
      <c r="N497" s="21" t="s">
        <v>965</v>
      </c>
      <c r="R497" s="0" t="n">
        <v>3</v>
      </c>
      <c r="S497" s="0" t="n">
        <v>2026</v>
      </c>
    </row>
    <row r="498" customFormat="false" ht="14.25" hidden="false" customHeight="false" outlineLevel="0" collapsed="false">
      <c r="A498" s="17" t="n">
        <v>46085</v>
      </c>
      <c r="B498" s="21" t="s">
        <v>963</v>
      </c>
      <c r="C498" s="22" t="n">
        <v>147</v>
      </c>
      <c r="D498" s="31" t="s">
        <v>18</v>
      </c>
      <c r="E498" s="21" t="s">
        <v>963</v>
      </c>
      <c r="F498" s="19" t="n">
        <v>5521982245006</v>
      </c>
      <c r="G498" s="31" t="s">
        <v>964</v>
      </c>
      <c r="H498" s="21" t="s">
        <v>94</v>
      </c>
      <c r="I498" s="31" t="s">
        <v>54</v>
      </c>
      <c r="N498" s="21" t="s">
        <v>1022</v>
      </c>
      <c r="R498" s="0" t="n">
        <v>3</v>
      </c>
      <c r="S498" s="0" t="n">
        <v>2026</v>
      </c>
    </row>
    <row r="499" customFormat="false" ht="14.25" hidden="false" customHeight="false" outlineLevel="0" collapsed="false">
      <c r="A499" s="17" t="n">
        <v>46084</v>
      </c>
      <c r="B499" s="21" t="s">
        <v>1114</v>
      </c>
      <c r="C499" s="22" t="n">
        <v>300</v>
      </c>
      <c r="D499" s="31" t="s">
        <v>106</v>
      </c>
      <c r="E499" s="21" t="s">
        <v>1114</v>
      </c>
      <c r="F499" s="19" t="n">
        <v>555496832215</v>
      </c>
      <c r="G499" s="31" t="s">
        <v>1115</v>
      </c>
      <c r="H499" s="21" t="s">
        <v>94</v>
      </c>
      <c r="I499" s="31" t="s">
        <v>54</v>
      </c>
      <c r="N499" s="21" t="s">
        <v>1022</v>
      </c>
      <c r="R499" s="0" t="n">
        <v>3</v>
      </c>
      <c r="S499" s="0" t="n">
        <v>2026</v>
      </c>
    </row>
    <row r="500" customFormat="false" ht="14.25" hidden="false" customHeight="false" outlineLevel="0" collapsed="false">
      <c r="A500" s="17" t="n">
        <v>46085</v>
      </c>
      <c r="B500" s="21" t="s">
        <v>692</v>
      </c>
      <c r="C500" s="22" t="n">
        <v>80</v>
      </c>
      <c r="D500" s="31" t="s">
        <v>21</v>
      </c>
      <c r="E500" s="21" t="s">
        <v>692</v>
      </c>
      <c r="F500" s="19" t="s">
        <v>1117</v>
      </c>
      <c r="G500" s="31" t="s">
        <v>693</v>
      </c>
      <c r="H500" s="21" t="s">
        <v>94</v>
      </c>
      <c r="I500" s="31" t="s">
        <v>54</v>
      </c>
      <c r="N500" s="21" t="s">
        <v>1022</v>
      </c>
      <c r="R500" s="0" t="n">
        <v>3</v>
      </c>
      <c r="S500" s="0" t="n">
        <v>2026</v>
      </c>
    </row>
    <row r="501" customFormat="false" ht="14.25" hidden="false" customHeight="false" outlineLevel="0" collapsed="false">
      <c r="A501" s="17" t="n">
        <v>46085</v>
      </c>
      <c r="B501" s="21" t="s">
        <v>1119</v>
      </c>
      <c r="C501" s="22" t="n">
        <v>120</v>
      </c>
      <c r="D501" s="31" t="s">
        <v>21</v>
      </c>
      <c r="E501" s="21" t="s">
        <v>1119</v>
      </c>
      <c r="F501" s="19" t="n">
        <v>554888294362</v>
      </c>
      <c r="G501" s="31" t="s">
        <v>1120</v>
      </c>
      <c r="H501" s="21" t="s">
        <v>94</v>
      </c>
      <c r="I501" s="31" t="s">
        <v>355</v>
      </c>
      <c r="J501" s="21" t="s">
        <v>35</v>
      </c>
      <c r="K501" s="21" t="s">
        <v>69</v>
      </c>
      <c r="L501" s="21" t="s">
        <v>70</v>
      </c>
      <c r="M501" s="21" t="s">
        <v>38</v>
      </c>
      <c r="N501" s="21" t="s">
        <v>965</v>
      </c>
      <c r="R501" s="0" t="n">
        <v>3</v>
      </c>
      <c r="S501" s="0" t="n">
        <v>2026</v>
      </c>
    </row>
    <row r="502" customFormat="false" ht="14.25" hidden="false" customHeight="false" outlineLevel="0" collapsed="false">
      <c r="A502" s="17" t="n">
        <v>46085</v>
      </c>
      <c r="B502" s="21" t="s">
        <v>1122</v>
      </c>
      <c r="C502" s="22" t="n">
        <v>1200</v>
      </c>
      <c r="D502" s="31" t="s">
        <v>27</v>
      </c>
      <c r="E502" s="21" t="s">
        <v>1123</v>
      </c>
      <c r="F502" s="19" t="n">
        <v>555496415399</v>
      </c>
      <c r="G502" s="31" t="s">
        <v>1124</v>
      </c>
      <c r="H502" s="21" t="s">
        <v>94</v>
      </c>
      <c r="I502" s="31" t="s">
        <v>34</v>
      </c>
      <c r="J502" s="21" t="s">
        <v>1125</v>
      </c>
      <c r="K502" s="21" t="s">
        <v>303</v>
      </c>
      <c r="M502" s="21" t="s">
        <v>303</v>
      </c>
      <c r="N502" s="21" t="s">
        <v>965</v>
      </c>
      <c r="R502" s="0" t="n">
        <v>3</v>
      </c>
      <c r="S502" s="0" t="n">
        <v>2026</v>
      </c>
    </row>
    <row r="503" customFormat="false" ht="14.25" hidden="false" customHeight="false" outlineLevel="0" collapsed="false">
      <c r="A503" s="17" t="n">
        <v>46085</v>
      </c>
      <c r="B503" s="21" t="s">
        <v>1127</v>
      </c>
      <c r="C503" s="22" t="n">
        <v>150</v>
      </c>
      <c r="D503" s="31" t="s">
        <v>30</v>
      </c>
      <c r="E503" s="21" t="s">
        <v>1127</v>
      </c>
      <c r="F503" s="19" t="n">
        <v>554199041813</v>
      </c>
      <c r="G503" s="31" t="s">
        <v>1128</v>
      </c>
      <c r="H503" s="21" t="s">
        <v>94</v>
      </c>
      <c r="I503" s="31" t="s">
        <v>50</v>
      </c>
      <c r="N503" s="21" t="s">
        <v>965</v>
      </c>
      <c r="R503" s="0" t="n">
        <v>3</v>
      </c>
      <c r="S503" s="0" t="n">
        <v>2026</v>
      </c>
    </row>
    <row r="504" customFormat="false" ht="14.25" hidden="false" customHeight="false" outlineLevel="0" collapsed="false">
      <c r="A504" s="17" t="n">
        <v>46085</v>
      </c>
      <c r="B504" s="21" t="s">
        <v>1130</v>
      </c>
      <c r="C504" s="22" t="n">
        <v>147</v>
      </c>
      <c r="D504" s="31" t="s">
        <v>22</v>
      </c>
      <c r="E504" s="21" t="s">
        <v>1131</v>
      </c>
      <c r="F504" s="19" t="n">
        <v>554796225595</v>
      </c>
      <c r="G504" s="31" t="s">
        <v>1132</v>
      </c>
      <c r="H504" s="21" t="s">
        <v>94</v>
      </c>
      <c r="I504" s="31" t="s">
        <v>50</v>
      </c>
      <c r="N504" s="21" t="s">
        <v>965</v>
      </c>
      <c r="R504" s="0" t="n">
        <v>3</v>
      </c>
      <c r="S504" s="0" t="n">
        <v>2026</v>
      </c>
    </row>
    <row r="505" customFormat="false" ht="14.25" hidden="false" customHeight="false" outlineLevel="0" collapsed="false">
      <c r="A505" s="17" t="n">
        <v>46085</v>
      </c>
      <c r="B505" s="21" t="s">
        <v>1134</v>
      </c>
      <c r="C505" s="22" t="n">
        <v>150</v>
      </c>
      <c r="D505" s="31" t="s">
        <v>1021</v>
      </c>
      <c r="E505" s="21" t="s">
        <v>1134</v>
      </c>
      <c r="F505" s="19" t="n">
        <v>554197486923</v>
      </c>
      <c r="G505" s="31" t="s">
        <v>1135</v>
      </c>
      <c r="H505" s="21" t="s">
        <v>94</v>
      </c>
      <c r="I505" s="31" t="s">
        <v>54</v>
      </c>
      <c r="N505" s="21" t="s">
        <v>1022</v>
      </c>
      <c r="R505" s="0" t="n">
        <v>3</v>
      </c>
      <c r="S505" s="0" t="n">
        <v>2026</v>
      </c>
    </row>
    <row r="506" customFormat="false" ht="14.25" hidden="false" customHeight="false" outlineLevel="0" collapsed="false">
      <c r="A506" s="17" t="n">
        <v>46085</v>
      </c>
      <c r="B506" s="21" t="s">
        <v>1137</v>
      </c>
      <c r="C506" s="22" t="n">
        <v>147</v>
      </c>
      <c r="D506" s="31" t="s">
        <v>390</v>
      </c>
      <c r="E506" s="21" t="s">
        <v>1137</v>
      </c>
      <c r="F506" s="19" t="n">
        <v>554199696560</v>
      </c>
      <c r="G506" s="31" t="s">
        <v>1138</v>
      </c>
      <c r="H506" s="21" t="s">
        <v>94</v>
      </c>
      <c r="I506" s="31" t="s">
        <v>50</v>
      </c>
      <c r="J506" s="21" t="s">
        <v>35</v>
      </c>
      <c r="K506" s="21" t="s">
        <v>36</v>
      </c>
      <c r="L506" s="21" t="s">
        <v>37</v>
      </c>
      <c r="M506" s="21" t="s">
        <v>38</v>
      </c>
      <c r="N506" s="21" t="s">
        <v>965</v>
      </c>
      <c r="R506" s="0" t="n">
        <v>3</v>
      </c>
      <c r="S506" s="0" t="n">
        <v>2026</v>
      </c>
    </row>
    <row r="507" customFormat="false" ht="14.25" hidden="false" customHeight="false" outlineLevel="0" collapsed="false">
      <c r="A507" s="17" t="n">
        <v>46085</v>
      </c>
      <c r="B507" s="21" t="s">
        <v>1140</v>
      </c>
      <c r="C507" s="22" t="n">
        <v>147</v>
      </c>
      <c r="D507" s="31" t="s">
        <v>390</v>
      </c>
      <c r="E507" s="21" t="s">
        <v>1140</v>
      </c>
      <c r="F507" s="19" t="n">
        <v>554891786304</v>
      </c>
      <c r="G507" s="31" t="s">
        <v>1141</v>
      </c>
      <c r="H507" s="21" t="s">
        <v>94</v>
      </c>
      <c r="I507" s="31" t="s">
        <v>50</v>
      </c>
      <c r="N507" s="21" t="s">
        <v>965</v>
      </c>
      <c r="R507" s="0" t="n">
        <v>3</v>
      </c>
      <c r="S507" s="0" t="n">
        <v>2026</v>
      </c>
    </row>
    <row r="508" customFormat="false" ht="14.25" hidden="false" customHeight="false" outlineLevel="0" collapsed="false">
      <c r="A508" s="17" t="n">
        <v>46085</v>
      </c>
      <c r="B508" s="21" t="s">
        <v>1143</v>
      </c>
      <c r="C508" s="22" t="n">
        <v>120</v>
      </c>
      <c r="D508" s="31" t="s">
        <v>21</v>
      </c>
      <c r="E508" s="21" t="s">
        <v>1143</v>
      </c>
      <c r="F508" s="19" t="n">
        <v>559591266145</v>
      </c>
      <c r="G508" s="31" t="s">
        <v>1144</v>
      </c>
      <c r="H508" s="21" t="s">
        <v>94</v>
      </c>
      <c r="I508" s="31" t="s">
        <v>355</v>
      </c>
      <c r="N508" s="21" t="s">
        <v>965</v>
      </c>
      <c r="R508" s="0" t="n">
        <v>3</v>
      </c>
      <c r="S508" s="0" t="n">
        <v>2026</v>
      </c>
    </row>
    <row r="509" customFormat="false" ht="14.25" hidden="false" customHeight="false" outlineLevel="0" collapsed="false">
      <c r="A509" s="17" t="n">
        <v>46085</v>
      </c>
      <c r="B509" s="21" t="s">
        <v>1146</v>
      </c>
      <c r="C509" s="22" t="n">
        <v>291</v>
      </c>
      <c r="D509" s="31" t="s">
        <v>20</v>
      </c>
      <c r="E509" s="21" t="s">
        <v>1146</v>
      </c>
      <c r="F509" s="19" t="n">
        <v>5596984192145</v>
      </c>
      <c r="G509" s="31" t="s">
        <v>1147</v>
      </c>
      <c r="H509" s="21" t="s">
        <v>94</v>
      </c>
      <c r="I509" s="31" t="s">
        <v>355</v>
      </c>
      <c r="N509" s="21" t="s">
        <v>965</v>
      </c>
      <c r="R509" s="0" t="n">
        <v>3</v>
      </c>
      <c r="S509" s="0" t="n">
        <v>2026</v>
      </c>
    </row>
    <row r="510" customFormat="false" ht="14.25" hidden="false" customHeight="false" outlineLevel="0" collapsed="false">
      <c r="A510" s="17" t="n">
        <v>46085</v>
      </c>
      <c r="B510" s="21" t="s">
        <v>1149</v>
      </c>
      <c r="C510" s="22" t="n">
        <v>120</v>
      </c>
      <c r="D510" s="31" t="s">
        <v>30</v>
      </c>
      <c r="E510" s="21" t="s">
        <v>1150</v>
      </c>
      <c r="F510" s="19" t="n">
        <v>5569992374587</v>
      </c>
      <c r="G510" s="31" t="s">
        <v>1151</v>
      </c>
      <c r="H510" s="21" t="s">
        <v>94</v>
      </c>
      <c r="I510" s="31" t="s">
        <v>355</v>
      </c>
      <c r="J510" s="21" t="s">
        <v>619</v>
      </c>
      <c r="K510" s="21" t="s">
        <v>303</v>
      </c>
      <c r="M510" s="21" t="s">
        <v>304</v>
      </c>
      <c r="N510" s="21" t="s">
        <v>965</v>
      </c>
      <c r="R510" s="0" t="n">
        <v>3</v>
      </c>
      <c r="S510" s="0" t="n">
        <v>2026</v>
      </c>
    </row>
    <row r="511" customFormat="false" ht="14.25" hidden="false" customHeight="false" outlineLevel="0" collapsed="false">
      <c r="A511" s="17" t="n">
        <v>46086</v>
      </c>
      <c r="B511" s="21" t="s">
        <v>1153</v>
      </c>
      <c r="C511" s="22" t="n">
        <v>450</v>
      </c>
      <c r="D511" s="31" t="s">
        <v>24</v>
      </c>
      <c r="E511" s="21" t="s">
        <v>1154</v>
      </c>
      <c r="F511" s="19" t="n">
        <v>5519996916795</v>
      </c>
      <c r="G511" s="31" t="s">
        <v>1155</v>
      </c>
      <c r="H511" s="21" t="s">
        <v>94</v>
      </c>
      <c r="I511" s="31" t="s">
        <v>355</v>
      </c>
      <c r="N511" s="21" t="s">
        <v>965</v>
      </c>
      <c r="R511" s="0" t="n">
        <v>3</v>
      </c>
      <c r="S511" s="0" t="n">
        <v>2026</v>
      </c>
    </row>
    <row r="512" customFormat="false" ht="14.25" hidden="false" customHeight="false" outlineLevel="0" collapsed="false">
      <c r="A512" s="17" t="n">
        <v>46086</v>
      </c>
      <c r="B512" s="21" t="s">
        <v>1157</v>
      </c>
      <c r="C512" s="22" t="n">
        <v>150</v>
      </c>
      <c r="D512" s="31" t="s">
        <v>32</v>
      </c>
      <c r="E512" s="21" t="s">
        <v>1157</v>
      </c>
      <c r="F512" s="19" t="n">
        <v>5511959302227</v>
      </c>
      <c r="G512" s="31" t="s">
        <v>1158</v>
      </c>
      <c r="H512" s="21" t="s">
        <v>94</v>
      </c>
      <c r="I512" s="31" t="s">
        <v>50</v>
      </c>
      <c r="J512" s="21" t="s">
        <v>35</v>
      </c>
      <c r="K512" s="21" t="s">
        <v>36</v>
      </c>
      <c r="L512" s="21" t="s">
        <v>37</v>
      </c>
      <c r="M512" s="21" t="s">
        <v>38</v>
      </c>
      <c r="N512" s="21" t="s">
        <v>965</v>
      </c>
      <c r="R512" s="0" t="n">
        <v>3</v>
      </c>
      <c r="S512" s="0" t="n">
        <v>2026</v>
      </c>
    </row>
    <row r="513" customFormat="false" ht="14.25" hidden="false" customHeight="false" outlineLevel="0" collapsed="false">
      <c r="A513" s="17" t="n">
        <v>46086</v>
      </c>
      <c r="B513" s="21" t="s">
        <v>1160</v>
      </c>
      <c r="C513" s="22" t="n">
        <v>147</v>
      </c>
      <c r="D513" s="31" t="s">
        <v>21</v>
      </c>
      <c r="E513" s="21" t="s">
        <v>1160</v>
      </c>
      <c r="F513" s="19" t="n">
        <v>554799527846</v>
      </c>
      <c r="G513" s="31" t="s">
        <v>1161</v>
      </c>
      <c r="H513" s="21" t="s">
        <v>94</v>
      </c>
      <c r="I513" s="31" t="s">
        <v>355</v>
      </c>
      <c r="N513" s="21" t="s">
        <v>965</v>
      </c>
      <c r="R513" s="0" t="n">
        <v>3</v>
      </c>
      <c r="S513" s="0" t="n">
        <v>2026</v>
      </c>
    </row>
    <row r="514" customFormat="false" ht="14.25" hidden="false" customHeight="false" outlineLevel="0" collapsed="false">
      <c r="A514" s="17" t="n">
        <v>46084</v>
      </c>
      <c r="B514" s="21" t="s">
        <v>1114</v>
      </c>
      <c r="C514" s="22" t="n">
        <v>300</v>
      </c>
      <c r="D514" s="31" t="s">
        <v>106</v>
      </c>
      <c r="E514" s="21" t="s">
        <v>1114</v>
      </c>
      <c r="F514" s="19" t="n">
        <v>555496832215</v>
      </c>
      <c r="G514" s="31" t="s">
        <v>1115</v>
      </c>
      <c r="H514" s="21" t="s">
        <v>94</v>
      </c>
      <c r="I514" s="31" t="s">
        <v>54</v>
      </c>
      <c r="N514" s="21" t="s">
        <v>1022</v>
      </c>
      <c r="R514" s="0" t="n">
        <v>3</v>
      </c>
      <c r="S514" s="0" t="n">
        <v>2026</v>
      </c>
    </row>
    <row r="515" customFormat="false" ht="14.25" hidden="false" customHeight="false" outlineLevel="0" collapsed="false">
      <c r="A515" s="17" t="n">
        <v>46086</v>
      </c>
      <c r="B515" s="21" t="s">
        <v>1164</v>
      </c>
      <c r="C515" s="22" t="n">
        <v>441</v>
      </c>
      <c r="D515" s="31" t="s">
        <v>22</v>
      </c>
      <c r="E515" s="21" t="s">
        <v>1165</v>
      </c>
      <c r="F515" s="19" t="n">
        <v>5511939493328</v>
      </c>
      <c r="G515" s="31" t="s">
        <v>43</v>
      </c>
      <c r="H515" s="21" t="s">
        <v>94</v>
      </c>
      <c r="I515" s="31" t="s">
        <v>50</v>
      </c>
      <c r="N515" s="21" t="s">
        <v>965</v>
      </c>
      <c r="R515" s="0" t="n">
        <v>3</v>
      </c>
      <c r="S515" s="0" t="n">
        <v>2026</v>
      </c>
    </row>
    <row r="516" customFormat="false" ht="14.25" hidden="false" customHeight="false" outlineLevel="0" collapsed="false">
      <c r="A516" s="17" t="n">
        <v>46086</v>
      </c>
      <c r="B516" s="21" t="s">
        <v>1167</v>
      </c>
      <c r="C516" s="22" t="n">
        <v>120</v>
      </c>
      <c r="D516" s="31" t="s">
        <v>21</v>
      </c>
      <c r="E516" s="21" t="s">
        <v>1167</v>
      </c>
      <c r="F516" s="19" t="n">
        <v>559584143145</v>
      </c>
      <c r="G516" s="31" t="s">
        <v>1168</v>
      </c>
      <c r="H516" s="21" t="s">
        <v>94</v>
      </c>
      <c r="I516" s="31" t="s">
        <v>355</v>
      </c>
      <c r="N516" s="21" t="s">
        <v>965</v>
      </c>
      <c r="R516" s="0" t="n">
        <v>3</v>
      </c>
      <c r="S516" s="0" t="n">
        <v>2026</v>
      </c>
    </row>
    <row r="517" customFormat="false" ht="14.25" hidden="false" customHeight="false" outlineLevel="0" collapsed="false">
      <c r="A517" s="17" t="n">
        <v>46086</v>
      </c>
      <c r="B517" s="21" t="s">
        <v>1167</v>
      </c>
      <c r="C517" s="22" t="n">
        <v>97</v>
      </c>
      <c r="D517" s="31" t="s">
        <v>20</v>
      </c>
      <c r="E517" s="21" t="s">
        <v>1167</v>
      </c>
      <c r="F517" s="19" t="n">
        <v>559584143145</v>
      </c>
      <c r="G517" s="31" t="s">
        <v>1168</v>
      </c>
      <c r="H517" s="21" t="s">
        <v>94</v>
      </c>
      <c r="I517" s="31" t="s">
        <v>355</v>
      </c>
      <c r="N517" s="21" t="s">
        <v>965</v>
      </c>
      <c r="R517" s="0" t="n">
        <v>3</v>
      </c>
      <c r="S517" s="0" t="n">
        <v>2026</v>
      </c>
    </row>
    <row r="518" customFormat="false" ht="14.25" hidden="false" customHeight="false" outlineLevel="0" collapsed="false">
      <c r="A518" s="17" t="n">
        <v>46086</v>
      </c>
      <c r="B518" s="21" t="s">
        <v>219</v>
      </c>
      <c r="C518" s="22" t="n">
        <v>400</v>
      </c>
      <c r="D518" s="31" t="s">
        <v>27</v>
      </c>
      <c r="E518" s="21" t="s">
        <v>219</v>
      </c>
      <c r="F518" s="19" t="n">
        <v>556284270683</v>
      </c>
      <c r="G518" s="31" t="s">
        <v>220</v>
      </c>
      <c r="H518" s="21" t="s">
        <v>94</v>
      </c>
      <c r="I518" s="31" t="s">
        <v>54</v>
      </c>
      <c r="N518" s="21" t="s">
        <v>1022</v>
      </c>
      <c r="R518" s="0" t="n">
        <v>3</v>
      </c>
      <c r="S518" s="0" t="n">
        <v>2026</v>
      </c>
    </row>
    <row r="519" customFormat="false" ht="14.25" hidden="false" customHeight="false" outlineLevel="0" collapsed="false">
      <c r="A519" s="17" t="n">
        <v>46086</v>
      </c>
      <c r="B519" s="21" t="s">
        <v>1171</v>
      </c>
      <c r="C519" s="22" t="n">
        <v>220</v>
      </c>
      <c r="D519" s="31" t="s">
        <v>390</v>
      </c>
      <c r="E519" s="21" t="s">
        <v>1171</v>
      </c>
      <c r="F519" s="19" t="n">
        <v>555499975991</v>
      </c>
      <c r="G519" s="31" t="s">
        <v>1172</v>
      </c>
      <c r="H519" s="21" t="s">
        <v>94</v>
      </c>
      <c r="I519" s="31" t="s">
        <v>50</v>
      </c>
      <c r="N519" s="21" t="s">
        <v>965</v>
      </c>
      <c r="R519" s="0" t="n">
        <v>3</v>
      </c>
      <c r="S519" s="0" t="n">
        <v>2026</v>
      </c>
    </row>
    <row r="520" customFormat="false" ht="14.25" hidden="false" customHeight="false" outlineLevel="0" collapsed="false">
      <c r="A520" s="17" t="n">
        <v>46086</v>
      </c>
      <c r="B520" s="21" t="s">
        <v>1174</v>
      </c>
      <c r="C520" s="22" t="n">
        <v>150</v>
      </c>
      <c r="D520" s="31" t="s">
        <v>32</v>
      </c>
      <c r="E520" s="21" t="s">
        <v>1174</v>
      </c>
      <c r="F520" s="19" t="n">
        <v>5511974163807</v>
      </c>
      <c r="G520" s="31" t="s">
        <v>1175</v>
      </c>
      <c r="H520" s="21" t="s">
        <v>94</v>
      </c>
      <c r="I520" s="31" t="s">
        <v>355</v>
      </c>
      <c r="J520" s="21" t="s">
        <v>1176</v>
      </c>
      <c r="K520" s="21" t="s">
        <v>1177</v>
      </c>
      <c r="L520" s="21" t="s">
        <v>1178</v>
      </c>
      <c r="M520" s="21" t="s">
        <v>1179</v>
      </c>
      <c r="N520" s="21" t="s">
        <v>965</v>
      </c>
      <c r="R520" s="0" t="n">
        <v>3</v>
      </c>
      <c r="S520" s="0" t="n">
        <v>2026</v>
      </c>
    </row>
    <row r="521" customFormat="false" ht="14.25" hidden="false" customHeight="false" outlineLevel="0" collapsed="false">
      <c r="A521" s="17" t="n">
        <v>46087</v>
      </c>
      <c r="B521" s="21" t="s">
        <v>1181</v>
      </c>
      <c r="C521" s="22" t="n">
        <v>140</v>
      </c>
      <c r="D521" s="31" t="s">
        <v>32</v>
      </c>
      <c r="E521" s="21" t="s">
        <v>1181</v>
      </c>
      <c r="F521" s="19" t="n">
        <v>555493620297</v>
      </c>
      <c r="G521" s="31" t="s">
        <v>1182</v>
      </c>
      <c r="H521" s="21" t="s">
        <v>94</v>
      </c>
      <c r="I521" s="31" t="s">
        <v>34</v>
      </c>
      <c r="N521" s="21" t="s">
        <v>965</v>
      </c>
      <c r="R521" s="0" t="n">
        <v>3</v>
      </c>
      <c r="S521" s="0" t="n">
        <v>2026</v>
      </c>
    </row>
    <row r="522" customFormat="false" ht="14.25" hidden="false" customHeight="false" outlineLevel="0" collapsed="false">
      <c r="A522" s="17" t="n">
        <v>46086</v>
      </c>
      <c r="B522" s="21" t="s">
        <v>1184</v>
      </c>
      <c r="C522" s="22" t="n">
        <v>250</v>
      </c>
      <c r="D522" s="31" t="s">
        <v>27</v>
      </c>
      <c r="E522" s="21" t="s">
        <v>1184</v>
      </c>
      <c r="F522" s="19" t="n">
        <v>554184014887</v>
      </c>
      <c r="G522" s="31" t="s">
        <v>1185</v>
      </c>
      <c r="H522" s="21" t="s">
        <v>94</v>
      </c>
      <c r="I522" s="31" t="s">
        <v>34</v>
      </c>
      <c r="J522" s="21" t="s">
        <v>60</v>
      </c>
      <c r="K522" s="21" t="s">
        <v>27</v>
      </c>
      <c r="L522" s="21" t="s">
        <v>728</v>
      </c>
      <c r="M522" s="21" t="s">
        <v>62</v>
      </c>
      <c r="N522" s="21" t="s">
        <v>965</v>
      </c>
      <c r="R522" s="0" t="n">
        <v>3</v>
      </c>
      <c r="S522" s="0" t="n">
        <v>2026</v>
      </c>
    </row>
    <row r="523" customFormat="false" ht="14.25" hidden="false" customHeight="false" outlineLevel="0" collapsed="false">
      <c r="A523" s="17" t="n">
        <v>46086</v>
      </c>
      <c r="B523" s="21" t="s">
        <v>1187</v>
      </c>
      <c r="C523" s="22" t="n">
        <v>97</v>
      </c>
      <c r="D523" s="31" t="s">
        <v>20</v>
      </c>
      <c r="E523" s="21" t="s">
        <v>1188</v>
      </c>
      <c r="F523" s="19" t="n">
        <v>5514981372724</v>
      </c>
      <c r="G523" s="31" t="s">
        <v>1189</v>
      </c>
      <c r="H523" s="21" t="s">
        <v>94</v>
      </c>
      <c r="I523" s="31" t="s">
        <v>50</v>
      </c>
      <c r="J523" s="21" t="s">
        <v>35</v>
      </c>
      <c r="K523" s="21" t="s">
        <v>36</v>
      </c>
      <c r="L523" s="21" t="s">
        <v>37</v>
      </c>
      <c r="M523" s="21" t="s">
        <v>38</v>
      </c>
      <c r="N523" s="21" t="s">
        <v>965</v>
      </c>
      <c r="R523" s="0" t="n">
        <v>3</v>
      </c>
      <c r="S523" s="0" t="n">
        <v>2026</v>
      </c>
    </row>
    <row r="524" customFormat="false" ht="14.25" hidden="false" customHeight="false" outlineLevel="0" collapsed="false">
      <c r="A524" s="17" t="n">
        <v>46087</v>
      </c>
      <c r="B524" s="21" t="s">
        <v>1191</v>
      </c>
      <c r="C524" s="22" t="n">
        <v>242</v>
      </c>
      <c r="D524" s="31" t="s">
        <v>20</v>
      </c>
      <c r="E524" s="21" t="s">
        <v>1192</v>
      </c>
      <c r="F524" s="19" t="n">
        <v>5358366148</v>
      </c>
      <c r="G524" s="31" t="s">
        <v>1193</v>
      </c>
      <c r="H524" s="21" t="s">
        <v>94</v>
      </c>
      <c r="I524" s="31" t="s">
        <v>50</v>
      </c>
      <c r="N524" s="21" t="s">
        <v>965</v>
      </c>
      <c r="R524" s="0" t="n">
        <v>3</v>
      </c>
      <c r="S524" s="0" t="n">
        <v>2026</v>
      </c>
    </row>
    <row r="525" customFormat="false" ht="14.25" hidden="false" customHeight="false" outlineLevel="0" collapsed="false">
      <c r="A525" s="17" t="n">
        <v>46086</v>
      </c>
      <c r="B525" s="21" t="s">
        <v>1164</v>
      </c>
      <c r="C525" s="22" t="n">
        <v>441</v>
      </c>
      <c r="D525" s="31" t="s">
        <v>22</v>
      </c>
      <c r="E525" s="21" t="s">
        <v>1165</v>
      </c>
      <c r="F525" s="19" t="n">
        <v>5511939493328</v>
      </c>
      <c r="G525" s="31" t="s">
        <v>43</v>
      </c>
      <c r="H525" s="21" t="s">
        <v>94</v>
      </c>
      <c r="I525" s="31" t="s">
        <v>50</v>
      </c>
      <c r="N525" s="21" t="s">
        <v>965</v>
      </c>
      <c r="R525" s="0" t="n">
        <v>3</v>
      </c>
      <c r="S525" s="0" t="n">
        <v>2026</v>
      </c>
    </row>
    <row r="526" customFormat="false" ht="14.25" hidden="false" customHeight="false" outlineLevel="0" collapsed="false">
      <c r="A526" s="17" t="n">
        <v>46086</v>
      </c>
      <c r="B526" s="21" t="s">
        <v>1196</v>
      </c>
      <c r="C526" s="22" t="n">
        <v>147</v>
      </c>
      <c r="D526" s="31" t="s">
        <v>22</v>
      </c>
      <c r="E526" s="21" t="s">
        <v>1196</v>
      </c>
      <c r="F526" s="19" t="n">
        <v>5511965251647</v>
      </c>
      <c r="G526" s="31" t="s">
        <v>1197</v>
      </c>
      <c r="H526" s="21" t="s">
        <v>94</v>
      </c>
      <c r="I526" s="31" t="s">
        <v>54</v>
      </c>
      <c r="N526" s="21" t="s">
        <v>1022</v>
      </c>
      <c r="R526" s="0" t="n">
        <v>3</v>
      </c>
      <c r="S526" s="0" t="n">
        <v>2026</v>
      </c>
    </row>
    <row r="527" customFormat="false" ht="14.25" hidden="false" customHeight="false" outlineLevel="0" collapsed="false">
      <c r="A527" s="17" t="n">
        <v>46086</v>
      </c>
      <c r="B527" s="21" t="s">
        <v>1196</v>
      </c>
      <c r="C527" s="22" t="n">
        <v>240</v>
      </c>
      <c r="D527" s="31" t="s">
        <v>30</v>
      </c>
      <c r="E527" s="21" t="s">
        <v>1196</v>
      </c>
      <c r="F527" s="19" t="n">
        <v>5511965251647</v>
      </c>
      <c r="G527" s="31" t="s">
        <v>1197</v>
      </c>
      <c r="H527" s="21" t="s">
        <v>94</v>
      </c>
      <c r="I527" s="31" t="s">
        <v>54</v>
      </c>
      <c r="N527" s="21" t="s">
        <v>1022</v>
      </c>
      <c r="R527" s="0" t="n">
        <v>3</v>
      </c>
      <c r="S527" s="0" t="n">
        <v>2026</v>
      </c>
    </row>
    <row r="528" customFormat="false" ht="14.25" hidden="false" customHeight="false" outlineLevel="0" collapsed="false">
      <c r="A528" s="17" t="n">
        <v>46087</v>
      </c>
      <c r="B528" s="21" t="s">
        <v>1200</v>
      </c>
      <c r="C528" s="22" t="n">
        <v>97</v>
      </c>
      <c r="D528" s="31" t="s">
        <v>20</v>
      </c>
      <c r="E528" s="21" t="s">
        <v>1200</v>
      </c>
      <c r="F528" s="19" t="n">
        <v>554195365684</v>
      </c>
      <c r="G528" s="31" t="s">
        <v>1201</v>
      </c>
      <c r="H528" s="21" t="s">
        <v>94</v>
      </c>
      <c r="I528" s="31" t="s">
        <v>50</v>
      </c>
      <c r="N528" s="21" t="s">
        <v>965</v>
      </c>
      <c r="R528" s="0" t="n">
        <v>3</v>
      </c>
      <c r="S528" s="0" t="n">
        <v>2026</v>
      </c>
    </row>
    <row r="529" customFormat="false" ht="14.25" hidden="false" customHeight="false" outlineLevel="0" collapsed="false">
      <c r="A529" s="17" t="n">
        <v>46086</v>
      </c>
      <c r="B529" s="21" t="s">
        <v>1203</v>
      </c>
      <c r="C529" s="22" t="n">
        <v>147</v>
      </c>
      <c r="D529" s="31" t="s">
        <v>18</v>
      </c>
      <c r="E529" s="21" t="s">
        <v>1204</v>
      </c>
      <c r="F529" s="19" t="n">
        <v>554187270635</v>
      </c>
      <c r="G529" s="31" t="s">
        <v>1205</v>
      </c>
      <c r="H529" s="21" t="s">
        <v>94</v>
      </c>
      <c r="I529" s="31" t="s">
        <v>355</v>
      </c>
      <c r="N529" s="21" t="s">
        <v>965</v>
      </c>
      <c r="R529" s="0" t="n">
        <v>3</v>
      </c>
      <c r="S529" s="0" t="n">
        <v>2026</v>
      </c>
    </row>
    <row r="530" customFormat="false" ht="14.25" hidden="false" customHeight="false" outlineLevel="0" collapsed="false">
      <c r="A530" s="17" t="n">
        <v>46087</v>
      </c>
      <c r="B530" s="21" t="s">
        <v>1207</v>
      </c>
      <c r="C530" s="22" t="n">
        <v>150</v>
      </c>
      <c r="D530" s="31" t="s">
        <v>32</v>
      </c>
      <c r="E530" s="21" t="s">
        <v>1207</v>
      </c>
      <c r="F530" s="19" t="n">
        <v>5521959334195</v>
      </c>
      <c r="G530" s="31" t="s">
        <v>1208</v>
      </c>
      <c r="H530" s="21" t="s">
        <v>94</v>
      </c>
      <c r="I530" s="31" t="s">
        <v>34</v>
      </c>
      <c r="J530" s="21" t="s">
        <v>35</v>
      </c>
      <c r="K530" s="21" t="s">
        <v>36</v>
      </c>
      <c r="L530" s="21" t="s">
        <v>37</v>
      </c>
      <c r="M530" s="21" t="s">
        <v>38</v>
      </c>
      <c r="N530" s="21" t="s">
        <v>965</v>
      </c>
      <c r="R530" s="0" t="n">
        <v>3</v>
      </c>
      <c r="S530" s="0" t="n">
        <v>2026</v>
      </c>
    </row>
    <row r="531" customFormat="false" ht="14.25" hidden="false" customHeight="false" outlineLevel="0" collapsed="false">
      <c r="A531" s="17" t="n">
        <v>46087</v>
      </c>
      <c r="B531" s="21" t="s">
        <v>1210</v>
      </c>
      <c r="C531" s="22" t="n">
        <v>194</v>
      </c>
      <c r="D531" s="31" t="s">
        <v>20</v>
      </c>
      <c r="E531" s="21" t="s">
        <v>1210</v>
      </c>
      <c r="F531" s="19" t="n">
        <v>559584271257</v>
      </c>
      <c r="G531" s="31" t="s">
        <v>1211</v>
      </c>
      <c r="H531" s="21" t="s">
        <v>94</v>
      </c>
      <c r="I531" s="31" t="s">
        <v>50</v>
      </c>
      <c r="J531" s="21" t="s">
        <v>35</v>
      </c>
      <c r="K531" s="21" t="s">
        <v>36</v>
      </c>
      <c r="L531" s="21" t="s">
        <v>37</v>
      </c>
      <c r="M531" s="21" t="s">
        <v>38</v>
      </c>
      <c r="N531" s="21" t="s">
        <v>965</v>
      </c>
      <c r="R531" s="0" t="n">
        <v>3</v>
      </c>
      <c r="S531" s="0" t="n">
        <v>2026</v>
      </c>
    </row>
    <row r="532" customFormat="false" ht="14.25" hidden="false" customHeight="false" outlineLevel="0" collapsed="false">
      <c r="A532" s="17" t="n">
        <v>46087</v>
      </c>
      <c r="B532" s="21" t="s">
        <v>1213</v>
      </c>
      <c r="C532" s="22" t="n">
        <v>120</v>
      </c>
      <c r="D532" s="31" t="s">
        <v>21</v>
      </c>
      <c r="E532" s="21" t="s">
        <v>1213</v>
      </c>
      <c r="F532" s="19" t="n">
        <v>554884540636</v>
      </c>
      <c r="G532" s="31" t="s">
        <v>1214</v>
      </c>
      <c r="H532" s="21" t="s">
        <v>94</v>
      </c>
      <c r="I532" s="31" t="s">
        <v>34</v>
      </c>
      <c r="N532" s="21" t="s">
        <v>965</v>
      </c>
      <c r="R532" s="0" t="n">
        <v>3</v>
      </c>
      <c r="S532" s="0" t="n">
        <v>2026</v>
      </c>
    </row>
    <row r="533" customFormat="false" ht="14.25" hidden="false" customHeight="false" outlineLevel="0" collapsed="false">
      <c r="A533" s="17" t="n">
        <v>46087</v>
      </c>
      <c r="B533" s="21" t="s">
        <v>1216</v>
      </c>
      <c r="C533" s="22" t="n">
        <v>150</v>
      </c>
      <c r="D533" s="31" t="s">
        <v>32</v>
      </c>
      <c r="E533" s="21" t="s">
        <v>504</v>
      </c>
      <c r="F533" s="19" t="n">
        <v>559584275807</v>
      </c>
      <c r="G533" s="31" t="s">
        <v>505</v>
      </c>
      <c r="H533" s="21" t="s">
        <v>94</v>
      </c>
      <c r="I533" s="31" t="s">
        <v>54</v>
      </c>
      <c r="N533" s="21" t="s">
        <v>1022</v>
      </c>
      <c r="R533" s="0" t="n">
        <v>3</v>
      </c>
      <c r="S533" s="0" t="n">
        <v>2026</v>
      </c>
    </row>
    <row r="534" customFormat="false" ht="14.25" hidden="false" customHeight="false" outlineLevel="0" collapsed="false">
      <c r="A534" s="17" t="n">
        <v>46087</v>
      </c>
      <c r="B534" s="21" t="s">
        <v>1218</v>
      </c>
      <c r="C534" s="22" t="n">
        <v>150</v>
      </c>
      <c r="D534" s="31" t="s">
        <v>32</v>
      </c>
      <c r="E534" s="21" t="s">
        <v>1218</v>
      </c>
      <c r="F534" s="19" t="n">
        <v>554199922513</v>
      </c>
      <c r="G534" s="31" t="s">
        <v>1219</v>
      </c>
      <c r="H534" s="21" t="s">
        <v>94</v>
      </c>
      <c r="I534" s="31" t="s">
        <v>34</v>
      </c>
      <c r="N534" s="21" t="s">
        <v>965</v>
      </c>
      <c r="R534" s="0" t="n">
        <v>3</v>
      </c>
      <c r="S534" s="0" t="n">
        <v>2026</v>
      </c>
    </row>
    <row r="535" customFormat="false" ht="14.25" hidden="false" customHeight="false" outlineLevel="0" collapsed="false">
      <c r="A535" s="17" t="n">
        <v>46087</v>
      </c>
      <c r="B535" s="21" t="s">
        <v>1221</v>
      </c>
      <c r="C535" s="22" t="n">
        <v>300</v>
      </c>
      <c r="D535" s="31" t="s">
        <v>32</v>
      </c>
      <c r="E535" s="21" t="s">
        <v>1221</v>
      </c>
      <c r="F535" s="19" t="n">
        <v>559584305924</v>
      </c>
      <c r="G535" s="31" t="s">
        <v>1222</v>
      </c>
      <c r="H535" s="21" t="s">
        <v>94</v>
      </c>
      <c r="I535" s="31" t="s">
        <v>50</v>
      </c>
      <c r="N535" s="21" t="s">
        <v>965</v>
      </c>
      <c r="R535" s="0" t="n">
        <v>3</v>
      </c>
      <c r="S535" s="0" t="n">
        <v>2026</v>
      </c>
    </row>
    <row r="536" customFormat="false" ht="14.25" hidden="false" customHeight="false" outlineLevel="0" collapsed="false">
      <c r="A536" s="17" t="n">
        <v>46087</v>
      </c>
      <c r="B536" s="21" t="s">
        <v>1224</v>
      </c>
      <c r="C536" s="22" t="n">
        <v>97</v>
      </c>
      <c r="D536" s="31" t="s">
        <v>20</v>
      </c>
      <c r="E536" s="21" t="s">
        <v>1225</v>
      </c>
      <c r="F536" s="19" t="n">
        <v>554184924912</v>
      </c>
      <c r="G536" s="31" t="s">
        <v>1226</v>
      </c>
      <c r="H536" s="21" t="s">
        <v>94</v>
      </c>
      <c r="I536" s="31" t="s">
        <v>355</v>
      </c>
      <c r="J536" s="21" t="s">
        <v>35</v>
      </c>
      <c r="K536" s="21" t="s">
        <v>69</v>
      </c>
      <c r="L536" s="21" t="s">
        <v>70</v>
      </c>
      <c r="M536" s="21" t="s">
        <v>38</v>
      </c>
      <c r="N536" s="21" t="s">
        <v>965</v>
      </c>
      <c r="R536" s="0" t="n">
        <v>3</v>
      </c>
      <c r="S536" s="0" t="n">
        <v>2026</v>
      </c>
    </row>
    <row r="537" customFormat="false" ht="14.25" hidden="false" customHeight="false" outlineLevel="0" collapsed="false">
      <c r="A537" s="17" t="n">
        <v>46087</v>
      </c>
      <c r="B537" s="21" t="s">
        <v>1228</v>
      </c>
      <c r="C537" s="22" t="n">
        <v>197</v>
      </c>
      <c r="D537" s="31" t="s">
        <v>1021</v>
      </c>
      <c r="E537" s="21" t="s">
        <v>1229</v>
      </c>
      <c r="F537" s="19" t="n">
        <v>5511932216166</v>
      </c>
      <c r="G537" s="31" t="s">
        <v>1230</v>
      </c>
      <c r="H537" s="21" t="s">
        <v>94</v>
      </c>
      <c r="I537" s="31" t="s">
        <v>50</v>
      </c>
      <c r="N537" s="21" t="s">
        <v>965</v>
      </c>
      <c r="R537" s="0" t="n">
        <v>3</v>
      </c>
      <c r="S537" s="0" t="n">
        <v>2026</v>
      </c>
    </row>
    <row r="538" customFormat="false" ht="14.25" hidden="false" customHeight="false" outlineLevel="0" collapsed="false">
      <c r="A538" s="17" t="n">
        <v>46087</v>
      </c>
      <c r="B538" s="21" t="s">
        <v>1232</v>
      </c>
      <c r="C538" s="22" t="n">
        <v>147</v>
      </c>
      <c r="D538" s="31" t="s">
        <v>390</v>
      </c>
      <c r="E538" s="21" t="s">
        <v>1232</v>
      </c>
      <c r="F538" s="19" t="n">
        <v>554198218403</v>
      </c>
      <c r="G538" s="31" t="s">
        <v>1233</v>
      </c>
      <c r="H538" s="21" t="s">
        <v>94</v>
      </c>
      <c r="I538" s="31" t="s">
        <v>50</v>
      </c>
      <c r="N538" s="21" t="s">
        <v>965</v>
      </c>
      <c r="R538" s="0" t="n">
        <v>3</v>
      </c>
      <c r="S538" s="0" t="n">
        <v>2026</v>
      </c>
    </row>
    <row r="539" customFormat="false" ht="14.25" hidden="false" customHeight="false" outlineLevel="0" collapsed="false">
      <c r="A539" s="17" t="n">
        <v>46087</v>
      </c>
      <c r="B539" s="21" t="s">
        <v>1235</v>
      </c>
      <c r="C539" s="22" t="n">
        <v>244</v>
      </c>
      <c r="D539" s="31" t="s">
        <v>20</v>
      </c>
      <c r="E539" s="21" t="s">
        <v>1235</v>
      </c>
      <c r="F539" s="19" t="n">
        <v>554199744863</v>
      </c>
      <c r="G539" s="31" t="s">
        <v>1236</v>
      </c>
      <c r="H539" s="21" t="s">
        <v>94</v>
      </c>
      <c r="I539" s="31" t="s">
        <v>50</v>
      </c>
      <c r="N539" s="21" t="s">
        <v>965</v>
      </c>
      <c r="R539" s="0" t="n">
        <v>3</v>
      </c>
      <c r="S539" s="0" t="n">
        <v>2026</v>
      </c>
    </row>
    <row r="540" customFormat="false" ht="14.25" hidden="false" customHeight="false" outlineLevel="0" collapsed="false">
      <c r="A540" s="17" t="n">
        <v>46087</v>
      </c>
      <c r="B540" s="21" t="s">
        <v>1238</v>
      </c>
      <c r="C540" s="22" t="n">
        <v>367</v>
      </c>
      <c r="D540" s="31" t="s">
        <v>390</v>
      </c>
      <c r="E540" s="21" t="s">
        <v>1238</v>
      </c>
      <c r="F540" s="19" t="n">
        <v>557581266204</v>
      </c>
      <c r="G540" s="31" t="n">
        <v>0</v>
      </c>
      <c r="H540" s="21" t="s">
        <v>94</v>
      </c>
      <c r="I540" s="31" t="s">
        <v>50</v>
      </c>
      <c r="N540" s="21" t="s">
        <v>965</v>
      </c>
      <c r="R540" s="0" t="n">
        <v>3</v>
      </c>
      <c r="S540" s="0" t="n">
        <v>2026</v>
      </c>
    </row>
    <row r="541" customFormat="false" ht="14.25" hidden="false" customHeight="false" outlineLevel="0" collapsed="false">
      <c r="A541" s="17" t="n">
        <v>46087</v>
      </c>
      <c r="B541" s="21" t="s">
        <v>1240</v>
      </c>
      <c r="C541" s="22" t="n">
        <v>150</v>
      </c>
      <c r="D541" s="31" t="s">
        <v>32</v>
      </c>
      <c r="E541" s="21" t="s">
        <v>1240</v>
      </c>
      <c r="F541" s="19" t="n">
        <v>559584294505</v>
      </c>
      <c r="G541" s="31" t="s">
        <v>1241</v>
      </c>
      <c r="H541" s="21" t="s">
        <v>94</v>
      </c>
      <c r="I541" s="31" t="s">
        <v>355</v>
      </c>
      <c r="J541" s="21" t="s">
        <v>1176</v>
      </c>
      <c r="K541" s="21" t="s">
        <v>1177</v>
      </c>
      <c r="L541" s="21" t="s">
        <v>1242</v>
      </c>
      <c r="M541" s="21" t="s">
        <v>1243</v>
      </c>
      <c r="N541" s="21" t="s">
        <v>965</v>
      </c>
      <c r="R541" s="0" t="n">
        <v>3</v>
      </c>
      <c r="S541" s="0" t="n">
        <v>2026</v>
      </c>
    </row>
    <row r="542" customFormat="false" ht="14.25" hidden="false" customHeight="false" outlineLevel="0" collapsed="false">
      <c r="A542" s="17" t="n">
        <v>46087</v>
      </c>
      <c r="B542" s="21" t="s">
        <v>1245</v>
      </c>
      <c r="C542" s="22" t="n">
        <v>150</v>
      </c>
      <c r="D542" s="31" t="s">
        <v>32</v>
      </c>
      <c r="E542" s="21" t="s">
        <v>1245</v>
      </c>
      <c r="F542" s="19" t="n">
        <v>554797307888</v>
      </c>
      <c r="G542" s="31" t="s">
        <v>1246</v>
      </c>
      <c r="H542" s="21" t="s">
        <v>94</v>
      </c>
      <c r="I542" s="31" t="s">
        <v>50</v>
      </c>
      <c r="N542" s="21" t="s">
        <v>965</v>
      </c>
      <c r="R542" s="0" t="n">
        <v>3</v>
      </c>
      <c r="S542" s="0" t="n">
        <v>2026</v>
      </c>
    </row>
    <row r="543" customFormat="false" ht="14.25" hidden="false" customHeight="false" outlineLevel="0" collapsed="false">
      <c r="A543" s="17" t="n">
        <v>46087</v>
      </c>
      <c r="B543" s="21" t="s">
        <v>897</v>
      </c>
      <c r="C543" s="22" t="n">
        <v>197</v>
      </c>
      <c r="D543" s="31" t="s">
        <v>1021</v>
      </c>
      <c r="E543" s="21" t="s">
        <v>897</v>
      </c>
      <c r="F543" s="19" t="n">
        <v>556298148841</v>
      </c>
      <c r="G543" s="31" t="s">
        <v>898</v>
      </c>
      <c r="H543" s="21" t="s">
        <v>94</v>
      </c>
      <c r="I543" s="31" t="s">
        <v>54</v>
      </c>
      <c r="N543" s="21" t="s">
        <v>1022</v>
      </c>
      <c r="R543" s="0" t="n">
        <v>3</v>
      </c>
      <c r="S543" s="0" t="n">
        <v>2026</v>
      </c>
    </row>
    <row r="544" customFormat="false" ht="14.25" hidden="false" customHeight="false" outlineLevel="0" collapsed="false">
      <c r="A544" s="17" t="n">
        <v>46087</v>
      </c>
      <c r="B544" s="21" t="s">
        <v>1249</v>
      </c>
      <c r="C544" s="22" t="n">
        <v>900</v>
      </c>
      <c r="D544" s="31" t="s">
        <v>27</v>
      </c>
      <c r="E544" s="21" t="s">
        <v>1249</v>
      </c>
      <c r="F544" s="19" t="n">
        <v>555499935802</v>
      </c>
      <c r="G544" s="31" t="s">
        <v>1250</v>
      </c>
      <c r="H544" s="21" t="s">
        <v>94</v>
      </c>
      <c r="I544" s="31" t="s">
        <v>54</v>
      </c>
      <c r="N544" s="21" t="s">
        <v>1022</v>
      </c>
      <c r="R544" s="0" t="n">
        <v>3</v>
      </c>
      <c r="S544" s="0" t="n">
        <v>2026</v>
      </c>
    </row>
    <row r="545" customFormat="false" ht="14.25" hidden="false" customHeight="false" outlineLevel="0" collapsed="false">
      <c r="A545" s="17" t="n">
        <v>46085</v>
      </c>
      <c r="B545" s="21" t="s">
        <v>842</v>
      </c>
      <c r="C545" s="22" t="n">
        <v>500</v>
      </c>
      <c r="D545" s="31" t="s">
        <v>27</v>
      </c>
      <c r="E545" s="21" t="s">
        <v>842</v>
      </c>
      <c r="F545" s="19" t="n">
        <v>5511916718221</v>
      </c>
      <c r="G545" s="31" t="s">
        <v>843</v>
      </c>
      <c r="H545" s="21" t="s">
        <v>94</v>
      </c>
      <c r="I545" s="31" t="s">
        <v>34</v>
      </c>
      <c r="N545" s="21" t="s">
        <v>965</v>
      </c>
      <c r="R545" s="0" t="n">
        <v>3</v>
      </c>
      <c r="S545" s="0" t="n">
        <v>2026</v>
      </c>
    </row>
    <row r="546" customFormat="false" ht="14.25" hidden="false" customHeight="false" outlineLevel="0" collapsed="false">
      <c r="A546" s="17" t="n">
        <v>46085</v>
      </c>
      <c r="B546" s="21" t="s">
        <v>1253</v>
      </c>
      <c r="C546" s="22" t="n">
        <v>149</v>
      </c>
      <c r="D546" s="31" t="s">
        <v>21</v>
      </c>
      <c r="E546" s="21" t="s">
        <v>1253</v>
      </c>
      <c r="F546" s="19" t="n">
        <v>559591756033</v>
      </c>
      <c r="G546" s="31" t="s">
        <v>1254</v>
      </c>
      <c r="H546" s="21" t="s">
        <v>94</v>
      </c>
      <c r="I546" s="31" t="s">
        <v>149</v>
      </c>
      <c r="N546" s="21" t="s">
        <v>965</v>
      </c>
      <c r="R546" s="0" t="n">
        <v>3</v>
      </c>
      <c r="S546" s="0" t="n">
        <v>2026</v>
      </c>
    </row>
    <row r="547" customFormat="false" ht="14.25" hidden="false" customHeight="false" outlineLevel="0" collapsed="false">
      <c r="A547" s="17" t="n">
        <v>46087</v>
      </c>
      <c r="B547" s="21" t="s">
        <v>644</v>
      </c>
      <c r="C547" s="22" t="n">
        <v>500</v>
      </c>
      <c r="D547" s="31" t="s">
        <v>27</v>
      </c>
      <c r="E547" s="21" t="s">
        <v>644</v>
      </c>
      <c r="F547" s="19" t="n">
        <v>554184753747</v>
      </c>
      <c r="G547" s="31" t="s">
        <v>645</v>
      </c>
      <c r="H547" s="21" t="s">
        <v>94</v>
      </c>
      <c r="I547" s="31" t="s">
        <v>149</v>
      </c>
      <c r="N547" s="21" t="s">
        <v>965</v>
      </c>
      <c r="R547" s="0" t="n">
        <v>3</v>
      </c>
      <c r="S547" s="0" t="n">
        <v>2026</v>
      </c>
    </row>
    <row r="548" customFormat="false" ht="14.25" hidden="false" customHeight="false" outlineLevel="0" collapsed="false">
      <c r="A548" s="17" t="n">
        <v>46087</v>
      </c>
      <c r="B548" s="21" t="s">
        <v>767</v>
      </c>
      <c r="C548" s="22" t="n">
        <v>75</v>
      </c>
      <c r="D548" s="31" t="s">
        <v>390</v>
      </c>
      <c r="E548" s="21" t="s">
        <v>767</v>
      </c>
      <c r="F548" s="19" t="n">
        <v>558596624436</v>
      </c>
      <c r="G548" s="31" t="s">
        <v>768</v>
      </c>
      <c r="H548" s="21" t="s">
        <v>94</v>
      </c>
      <c r="I548" s="31" t="s">
        <v>50</v>
      </c>
      <c r="N548" s="21" t="s">
        <v>965</v>
      </c>
      <c r="R548" s="0" t="n">
        <v>3</v>
      </c>
      <c r="S548" s="0" t="n">
        <v>2026</v>
      </c>
    </row>
    <row r="549" customFormat="false" ht="14.25" hidden="false" customHeight="false" outlineLevel="0" collapsed="false">
      <c r="A549" s="17" t="n">
        <v>46087</v>
      </c>
      <c r="B549" s="21" t="s">
        <v>143</v>
      </c>
      <c r="C549" s="22" t="n">
        <v>250</v>
      </c>
      <c r="D549" s="31" t="s">
        <v>106</v>
      </c>
      <c r="E549" s="21" t="s">
        <v>143</v>
      </c>
      <c r="F549" s="19" t="n">
        <v>5519989668621</v>
      </c>
      <c r="G549" s="31" t="s">
        <v>144</v>
      </c>
      <c r="H549" s="21" t="s">
        <v>94</v>
      </c>
      <c r="I549" s="31" t="s">
        <v>50</v>
      </c>
      <c r="N549" s="21" t="s">
        <v>965</v>
      </c>
      <c r="R549" s="0" t="n">
        <v>3</v>
      </c>
      <c r="S549" s="0" t="n">
        <v>2026</v>
      </c>
    </row>
    <row r="550" customFormat="false" ht="14.25" hidden="false" customHeight="false" outlineLevel="0" collapsed="false">
      <c r="A550" s="17" t="n">
        <v>46087</v>
      </c>
      <c r="B550" s="21" t="s">
        <v>1103</v>
      </c>
      <c r="C550" s="22" t="n">
        <v>100</v>
      </c>
      <c r="D550" s="31" t="s">
        <v>30</v>
      </c>
      <c r="E550" s="21" t="s">
        <v>960</v>
      </c>
      <c r="F550" s="19" t="n">
        <v>553491516413</v>
      </c>
      <c r="G550" s="31" t="s">
        <v>961</v>
      </c>
      <c r="H550" s="21" t="s">
        <v>94</v>
      </c>
      <c r="I550" s="31" t="s">
        <v>54</v>
      </c>
      <c r="N550" s="21" t="s">
        <v>1022</v>
      </c>
      <c r="R550" s="0" t="n">
        <v>3</v>
      </c>
      <c r="S550" s="0" t="n">
        <v>2026</v>
      </c>
    </row>
    <row r="551" customFormat="false" ht="14.25" hidden="false" customHeight="false" outlineLevel="0" collapsed="false">
      <c r="A551" s="17" t="n">
        <v>46087</v>
      </c>
      <c r="B551" s="21" t="s">
        <v>1260</v>
      </c>
      <c r="C551" s="22" t="n">
        <v>1500</v>
      </c>
      <c r="D551" s="31" t="s">
        <v>27</v>
      </c>
      <c r="E551" s="21" t="s">
        <v>1260</v>
      </c>
      <c r="F551" s="19" t="n">
        <v>554197169992</v>
      </c>
      <c r="G551" s="31" t="s">
        <v>1261</v>
      </c>
      <c r="H551" s="21" t="s">
        <v>94</v>
      </c>
      <c r="I551" s="31" t="s">
        <v>355</v>
      </c>
      <c r="N551" s="21" t="s">
        <v>965</v>
      </c>
      <c r="R551" s="0" t="n">
        <v>3</v>
      </c>
      <c r="S551" s="0" t="n">
        <v>2026</v>
      </c>
    </row>
    <row r="552" customFormat="false" ht="14.25" hidden="false" customHeight="false" outlineLevel="0" collapsed="false">
      <c r="A552" s="17" t="n">
        <v>46087</v>
      </c>
      <c r="B552" s="21" t="s">
        <v>912</v>
      </c>
      <c r="C552" s="22" t="n">
        <v>180</v>
      </c>
      <c r="D552" s="31" t="s">
        <v>30</v>
      </c>
      <c r="E552" s="21" t="s">
        <v>1263</v>
      </c>
      <c r="F552" s="19" t="n">
        <v>5519992392675</v>
      </c>
      <c r="G552" s="31" t="s">
        <v>1264</v>
      </c>
      <c r="H552" s="21" t="s">
        <v>94</v>
      </c>
      <c r="I552" s="31" t="s">
        <v>50</v>
      </c>
      <c r="N552" s="21" t="s">
        <v>965</v>
      </c>
      <c r="R552" s="0" t="n">
        <v>3</v>
      </c>
      <c r="S552" s="0" t="n">
        <v>2026</v>
      </c>
    </row>
    <row r="553" customFormat="false" ht="14.25" hidden="false" customHeight="false" outlineLevel="0" collapsed="false">
      <c r="A553" s="17" t="n">
        <v>46087</v>
      </c>
      <c r="B553" s="21" t="s">
        <v>912</v>
      </c>
      <c r="C553" s="22" t="n">
        <v>194</v>
      </c>
      <c r="D553" s="31" t="s">
        <v>20</v>
      </c>
      <c r="E553" s="21" t="s">
        <v>1263</v>
      </c>
      <c r="F553" s="19" t="n">
        <v>5519992392675</v>
      </c>
      <c r="G553" s="31" t="s">
        <v>1264</v>
      </c>
      <c r="H553" s="21" t="s">
        <v>94</v>
      </c>
      <c r="I553" s="31" t="s">
        <v>50</v>
      </c>
      <c r="N553" s="21" t="s">
        <v>965</v>
      </c>
      <c r="R553" s="0" t="n">
        <v>3</v>
      </c>
      <c r="S553" s="0" t="n">
        <v>2026</v>
      </c>
    </row>
    <row r="554" customFormat="false" ht="14.25" hidden="false" customHeight="false" outlineLevel="0" collapsed="false">
      <c r="A554" s="17" t="n">
        <v>46087</v>
      </c>
      <c r="B554" s="21" t="s">
        <v>1267</v>
      </c>
      <c r="C554" s="22" t="n">
        <v>147</v>
      </c>
      <c r="D554" s="31" t="s">
        <v>390</v>
      </c>
      <c r="E554" s="21" t="s">
        <v>1267</v>
      </c>
      <c r="F554" s="19" t="n">
        <v>554198194655</v>
      </c>
      <c r="G554" s="31" t="s">
        <v>1268</v>
      </c>
      <c r="H554" s="21" t="s">
        <v>94</v>
      </c>
      <c r="I554" s="31" t="s">
        <v>34</v>
      </c>
      <c r="J554" s="21" t="s">
        <v>35</v>
      </c>
      <c r="K554" s="21" t="s">
        <v>69</v>
      </c>
      <c r="L554" s="21" t="s">
        <v>70</v>
      </c>
      <c r="M554" s="21" t="s">
        <v>38</v>
      </c>
      <c r="N554" s="21" t="s">
        <v>965</v>
      </c>
      <c r="R554" s="0" t="n">
        <v>3</v>
      </c>
      <c r="S554" s="0" t="n">
        <v>2026</v>
      </c>
    </row>
    <row r="555" customFormat="false" ht="14.25" hidden="false" customHeight="false" outlineLevel="0" collapsed="false">
      <c r="A555" s="17" t="n">
        <v>46087</v>
      </c>
      <c r="B555" s="21" t="s">
        <v>613</v>
      </c>
      <c r="C555" s="22" t="n">
        <v>180</v>
      </c>
      <c r="D555" s="31" t="s">
        <v>21</v>
      </c>
      <c r="E555" s="21" t="s">
        <v>613</v>
      </c>
      <c r="F555" s="19" t="n">
        <v>554891328250</v>
      </c>
      <c r="G555" s="31" t="s">
        <v>1270</v>
      </c>
      <c r="H555" s="21" t="s">
        <v>94</v>
      </c>
      <c r="I555" s="31" t="s">
        <v>54</v>
      </c>
      <c r="N555" s="21" t="s">
        <v>1022</v>
      </c>
      <c r="R555" s="0" t="n">
        <v>3</v>
      </c>
      <c r="S555" s="0" t="n">
        <v>2026</v>
      </c>
    </row>
    <row r="556" customFormat="false" ht="14.25" hidden="false" customHeight="false" outlineLevel="0" collapsed="false">
      <c r="A556" s="17" t="n">
        <v>46087</v>
      </c>
      <c r="B556" s="21" t="s">
        <v>1272</v>
      </c>
      <c r="C556" s="22" t="n">
        <v>147</v>
      </c>
      <c r="D556" s="31" t="s">
        <v>22</v>
      </c>
      <c r="E556" s="21" t="s">
        <v>1272</v>
      </c>
      <c r="F556" s="19" t="n">
        <v>554598357193</v>
      </c>
      <c r="G556" s="31" t="s">
        <v>872</v>
      </c>
      <c r="H556" s="21" t="s">
        <v>94</v>
      </c>
      <c r="I556" s="31" t="s">
        <v>54</v>
      </c>
      <c r="N556" s="21" t="s">
        <v>1022</v>
      </c>
      <c r="R556" s="0" t="n">
        <v>3</v>
      </c>
      <c r="S556" s="0" t="n">
        <v>2026</v>
      </c>
    </row>
    <row r="557" customFormat="false" ht="14.25" hidden="false" customHeight="false" outlineLevel="0" collapsed="false">
      <c r="A557" s="17" t="n">
        <v>46087</v>
      </c>
      <c r="B557" s="21" t="s">
        <v>1274</v>
      </c>
      <c r="C557" s="22" t="n">
        <v>222</v>
      </c>
      <c r="D557" s="31" t="s">
        <v>18</v>
      </c>
      <c r="E557" s="21" t="s">
        <v>1274</v>
      </c>
      <c r="F557" s="19" t="n">
        <v>559191317072</v>
      </c>
      <c r="G557" s="31" t="s">
        <v>1275</v>
      </c>
      <c r="H557" s="21" t="s">
        <v>94</v>
      </c>
      <c r="I557" s="31" t="s">
        <v>355</v>
      </c>
      <c r="N557" s="21" t="s">
        <v>965</v>
      </c>
      <c r="R557" s="0" t="n">
        <v>3</v>
      </c>
      <c r="S557" s="0" t="n">
        <v>2026</v>
      </c>
    </row>
    <row r="558" customFormat="false" ht="14.25" hidden="false" customHeight="false" outlineLevel="0" collapsed="false">
      <c r="A558" s="17" t="n">
        <v>46088</v>
      </c>
      <c r="B558" s="21" t="s">
        <v>1277</v>
      </c>
      <c r="C558" s="22" t="n">
        <v>200</v>
      </c>
      <c r="D558" s="31" t="s">
        <v>20</v>
      </c>
      <c r="E558" s="21" t="s">
        <v>1278</v>
      </c>
      <c r="F558" s="19" t="n">
        <v>5527988445838</v>
      </c>
      <c r="G558" s="31" t="s">
        <v>1279</v>
      </c>
      <c r="H558" s="21" t="s">
        <v>94</v>
      </c>
      <c r="I558" s="31" t="s">
        <v>54</v>
      </c>
      <c r="N558" s="21" t="s">
        <v>1022</v>
      </c>
      <c r="R558" s="0" t="n">
        <v>3</v>
      </c>
      <c r="S558" s="0" t="n">
        <v>2026</v>
      </c>
    </row>
    <row r="559" customFormat="false" ht="14.25" hidden="false" customHeight="false" outlineLevel="0" collapsed="false">
      <c r="A559" s="17" t="n">
        <v>46088</v>
      </c>
      <c r="B559" s="21" t="s">
        <v>1281</v>
      </c>
      <c r="C559" s="22" t="n">
        <v>150</v>
      </c>
      <c r="D559" s="31" t="s">
        <v>32</v>
      </c>
      <c r="E559" s="21" t="s">
        <v>1282</v>
      </c>
      <c r="F559" s="19" t="n">
        <v>556281304277</v>
      </c>
      <c r="G559" s="31" t="s">
        <v>1283</v>
      </c>
      <c r="H559" s="21" t="s">
        <v>94</v>
      </c>
      <c r="I559" s="31" t="s">
        <v>50</v>
      </c>
      <c r="N559" s="21" t="s">
        <v>965</v>
      </c>
      <c r="R559" s="0" t="n">
        <v>3</v>
      </c>
      <c r="S559" s="0" t="n">
        <v>2026</v>
      </c>
    </row>
    <row r="560" customFormat="false" ht="14.25" hidden="false" customHeight="false" outlineLevel="0" collapsed="false">
      <c r="A560" s="17" t="n">
        <v>46088</v>
      </c>
      <c r="B560" s="21" t="s">
        <v>1285</v>
      </c>
      <c r="C560" s="22" t="n">
        <v>147</v>
      </c>
      <c r="D560" s="31" t="s">
        <v>390</v>
      </c>
      <c r="E560" s="21" t="s">
        <v>1285</v>
      </c>
      <c r="F560" s="19" t="n">
        <v>559584303962</v>
      </c>
      <c r="G560" s="31" t="s">
        <v>1286</v>
      </c>
      <c r="H560" s="21" t="s">
        <v>94</v>
      </c>
      <c r="I560" s="31" t="s">
        <v>54</v>
      </c>
      <c r="N560" s="21" t="s">
        <v>1022</v>
      </c>
      <c r="R560" s="0" t="n">
        <v>3</v>
      </c>
      <c r="S560" s="0" t="n">
        <v>2026</v>
      </c>
    </row>
    <row r="561" customFormat="false" ht="14.25" hidden="false" customHeight="false" outlineLevel="0" collapsed="false">
      <c r="A561" s="17" t="n">
        <v>46088</v>
      </c>
      <c r="B561" s="21" t="s">
        <v>1288</v>
      </c>
      <c r="C561" s="22" t="n">
        <v>97</v>
      </c>
      <c r="D561" s="31" t="s">
        <v>20</v>
      </c>
      <c r="E561" s="21" t="s">
        <v>1288</v>
      </c>
      <c r="F561" s="19" t="n">
        <v>554892235520</v>
      </c>
      <c r="G561" s="31" t="s">
        <v>1289</v>
      </c>
      <c r="H561" s="21" t="s">
        <v>94</v>
      </c>
      <c r="I561" s="31" t="s">
        <v>50</v>
      </c>
      <c r="N561" s="21" t="s">
        <v>965</v>
      </c>
      <c r="R561" s="0" t="n">
        <v>3</v>
      </c>
      <c r="S561" s="0" t="n">
        <v>2026</v>
      </c>
    </row>
    <row r="562" customFormat="false" ht="14.25" hidden="false" customHeight="false" outlineLevel="0" collapsed="false">
      <c r="A562" s="17" t="n">
        <v>46088</v>
      </c>
      <c r="B562" s="21" t="s">
        <v>1291</v>
      </c>
      <c r="C562" s="22" t="n">
        <v>147</v>
      </c>
      <c r="D562" s="31" t="s">
        <v>22</v>
      </c>
      <c r="E562" s="21" t="s">
        <v>1291</v>
      </c>
      <c r="F562" s="19" t="n">
        <v>559684029500</v>
      </c>
      <c r="G562" s="31" t="s">
        <v>1292</v>
      </c>
      <c r="H562" s="21" t="s">
        <v>94</v>
      </c>
      <c r="I562" s="31" t="s">
        <v>34</v>
      </c>
      <c r="N562" s="21" t="s">
        <v>965</v>
      </c>
      <c r="R562" s="0" t="n">
        <v>3</v>
      </c>
      <c r="S562" s="0" t="n">
        <v>2026</v>
      </c>
    </row>
    <row r="563" customFormat="false" ht="14.25" hidden="false" customHeight="false" outlineLevel="0" collapsed="false">
      <c r="A563" s="17" t="n">
        <v>46088</v>
      </c>
      <c r="B563" s="21" t="s">
        <v>1294</v>
      </c>
      <c r="C563" s="22" t="n">
        <v>97</v>
      </c>
      <c r="D563" s="31" t="s">
        <v>20</v>
      </c>
      <c r="E563" s="21" t="s">
        <v>854</v>
      </c>
      <c r="F563" s="19" t="n">
        <v>559584081146</v>
      </c>
      <c r="G563" s="31" t="s">
        <v>1295</v>
      </c>
      <c r="H563" s="21" t="s">
        <v>94</v>
      </c>
      <c r="I563" s="31" t="s">
        <v>54</v>
      </c>
      <c r="N563" s="21" t="s">
        <v>1022</v>
      </c>
      <c r="R563" s="0" t="n">
        <v>3</v>
      </c>
      <c r="S563" s="0" t="n">
        <v>2026</v>
      </c>
    </row>
    <row r="564" customFormat="false" ht="14.25" hidden="false" customHeight="false" outlineLevel="0" collapsed="false">
      <c r="A564" s="17" t="n">
        <v>46088</v>
      </c>
      <c r="B564" s="21" t="s">
        <v>1297</v>
      </c>
      <c r="C564" s="22" t="n">
        <v>369</v>
      </c>
      <c r="D564" s="31" t="s">
        <v>21</v>
      </c>
      <c r="E564" s="21" t="s">
        <v>1297</v>
      </c>
      <c r="F564" s="19" t="n">
        <v>554820005875</v>
      </c>
      <c r="G564" s="31" t="s">
        <v>43</v>
      </c>
      <c r="H564" s="21" t="s">
        <v>94</v>
      </c>
      <c r="I564" s="31" t="s">
        <v>54</v>
      </c>
      <c r="N564" s="21" t="s">
        <v>965</v>
      </c>
      <c r="R564" s="0" t="n">
        <v>3</v>
      </c>
      <c r="S564" s="0" t="n">
        <v>2026</v>
      </c>
    </row>
    <row r="565" customFormat="false" ht="14.25" hidden="false" customHeight="false" outlineLevel="0" collapsed="false">
      <c r="A565" s="17" t="n">
        <v>46088</v>
      </c>
      <c r="B565" s="21" t="s">
        <v>1299</v>
      </c>
      <c r="C565" s="22" t="n">
        <v>150</v>
      </c>
      <c r="D565" s="31" t="s">
        <v>32</v>
      </c>
      <c r="E565" s="21" t="s">
        <v>1300</v>
      </c>
      <c r="F565" s="19" t="n">
        <v>553491539667</v>
      </c>
      <c r="G565" s="31" t="s">
        <v>1301</v>
      </c>
      <c r="H565" s="21" t="s">
        <v>94</v>
      </c>
      <c r="I565" s="31" t="s">
        <v>355</v>
      </c>
      <c r="N565" s="21" t="s">
        <v>965</v>
      </c>
      <c r="R565" s="0" t="n">
        <v>3</v>
      </c>
      <c r="S565" s="0" t="n">
        <v>2026</v>
      </c>
    </row>
    <row r="566" customFormat="false" ht="14.25" hidden="false" customHeight="false" outlineLevel="0" collapsed="false">
      <c r="A566" s="17" t="n">
        <v>46088</v>
      </c>
      <c r="B566" s="21" t="s">
        <v>1303</v>
      </c>
      <c r="C566" s="22" t="n">
        <v>150</v>
      </c>
      <c r="D566" s="31" t="s">
        <v>32</v>
      </c>
      <c r="E566" s="21" t="s">
        <v>1303</v>
      </c>
      <c r="F566" s="19" t="n">
        <v>556291721257</v>
      </c>
      <c r="G566" s="31" t="s">
        <v>43</v>
      </c>
      <c r="H566" s="21" t="s">
        <v>1304</v>
      </c>
      <c r="I566" s="31" t="s">
        <v>34</v>
      </c>
      <c r="N566" s="21" t="s">
        <v>965</v>
      </c>
      <c r="R566" s="0" t="n">
        <v>3</v>
      </c>
      <c r="S566" s="0" t="n">
        <v>2026</v>
      </c>
    </row>
    <row r="567" customFormat="false" ht="14.25" hidden="false" customHeight="false" outlineLevel="0" collapsed="false">
      <c r="A567" s="17" t="n">
        <v>46088</v>
      </c>
      <c r="B567" s="21" t="s">
        <v>1306</v>
      </c>
      <c r="C567" s="22" t="n">
        <v>150</v>
      </c>
      <c r="D567" s="31" t="s">
        <v>390</v>
      </c>
      <c r="E567" s="21" t="s">
        <v>1306</v>
      </c>
      <c r="F567" s="19" t="n">
        <v>556599736852</v>
      </c>
      <c r="G567" s="31" t="s">
        <v>1307</v>
      </c>
      <c r="H567" s="21" t="s">
        <v>94</v>
      </c>
      <c r="I567" s="31" t="s">
        <v>54</v>
      </c>
      <c r="N567" s="21" t="s">
        <v>965</v>
      </c>
      <c r="R567" s="0" t="n">
        <v>3</v>
      </c>
      <c r="S567" s="0" t="n">
        <v>2026</v>
      </c>
    </row>
    <row r="568" customFormat="false" ht="14.25" hidden="false" customHeight="false" outlineLevel="0" collapsed="false">
      <c r="A568" s="17" t="n">
        <v>46088</v>
      </c>
      <c r="B568" s="21" t="s">
        <v>1309</v>
      </c>
      <c r="C568" s="22" t="n">
        <v>97</v>
      </c>
      <c r="D568" s="31" t="s">
        <v>20</v>
      </c>
      <c r="E568" s="21" t="s">
        <v>1309</v>
      </c>
      <c r="F568" s="19" t="n">
        <v>559584215058</v>
      </c>
      <c r="G568" s="31" t="s">
        <v>1310</v>
      </c>
      <c r="H568" s="21" t="s">
        <v>94</v>
      </c>
      <c r="I568" s="31" t="s">
        <v>355</v>
      </c>
      <c r="J568" s="21" t="s">
        <v>60</v>
      </c>
      <c r="K568" s="21" t="s">
        <v>27</v>
      </c>
      <c r="L568" s="21" t="s">
        <v>221</v>
      </c>
      <c r="M568" s="21" t="s">
        <v>62</v>
      </c>
      <c r="N568" s="21" t="s">
        <v>965</v>
      </c>
      <c r="R568" s="0" t="n">
        <v>3</v>
      </c>
      <c r="S568" s="0" t="n">
        <v>2026</v>
      </c>
    </row>
    <row r="569" customFormat="false" ht="14.25" hidden="false" customHeight="false" outlineLevel="0" collapsed="false">
      <c r="A569" s="17" t="n">
        <v>46088</v>
      </c>
      <c r="B569" s="21" t="s">
        <v>1312</v>
      </c>
      <c r="C569" s="22" t="n">
        <v>388</v>
      </c>
      <c r="D569" s="31" t="s">
        <v>20</v>
      </c>
      <c r="E569" s="21" t="s">
        <v>1312</v>
      </c>
      <c r="F569" s="19" t="n">
        <v>554799105471</v>
      </c>
      <c r="G569" s="31" t="s">
        <v>1313</v>
      </c>
      <c r="H569" s="21" t="s">
        <v>94</v>
      </c>
      <c r="I569" s="31" t="s">
        <v>355</v>
      </c>
      <c r="J569" s="21" t="s">
        <v>35</v>
      </c>
      <c r="K569" s="21" t="s">
        <v>272</v>
      </c>
      <c r="L569" s="21" t="s">
        <v>273</v>
      </c>
      <c r="M569" s="21" t="s">
        <v>38</v>
      </c>
      <c r="N569" s="21" t="s">
        <v>965</v>
      </c>
      <c r="R569" s="0" t="n">
        <v>3</v>
      </c>
      <c r="S569" s="0" t="n">
        <v>2026</v>
      </c>
    </row>
    <row r="570" customFormat="false" ht="14.25" hidden="false" customHeight="false" outlineLevel="0" collapsed="false">
      <c r="A570" s="17" t="n">
        <v>46089</v>
      </c>
      <c r="B570" s="21" t="s">
        <v>1315</v>
      </c>
      <c r="C570" s="22" t="n">
        <v>244</v>
      </c>
      <c r="D570" s="31" t="s">
        <v>20</v>
      </c>
      <c r="E570" s="21" t="s">
        <v>1316</v>
      </c>
      <c r="F570" s="19" t="n">
        <v>5358557775</v>
      </c>
      <c r="G570" s="31" t="s">
        <v>1317</v>
      </c>
      <c r="H570" s="21" t="s">
        <v>94</v>
      </c>
      <c r="I570" s="31" t="s">
        <v>50</v>
      </c>
      <c r="N570" s="21" t="s">
        <v>965</v>
      </c>
      <c r="R570" s="0" t="n">
        <v>3</v>
      </c>
      <c r="S570" s="0" t="n">
        <v>2026</v>
      </c>
    </row>
    <row r="571" customFormat="false" ht="14.25" hidden="false" customHeight="false" outlineLevel="0" collapsed="false">
      <c r="A571" s="17" t="n">
        <v>46089</v>
      </c>
      <c r="B571" s="21" t="s">
        <v>1319</v>
      </c>
      <c r="C571" s="22" t="n">
        <v>150</v>
      </c>
      <c r="D571" s="31" t="s">
        <v>32</v>
      </c>
      <c r="E571" s="21" t="s">
        <v>1320</v>
      </c>
      <c r="F571" s="19" t="n">
        <v>554898099771</v>
      </c>
      <c r="G571" s="31" t="s">
        <v>43</v>
      </c>
      <c r="H571" s="21" t="s">
        <v>94</v>
      </c>
      <c r="I571" s="31" t="s">
        <v>50</v>
      </c>
      <c r="N571" s="21" t="s">
        <v>965</v>
      </c>
      <c r="R571" s="0" t="n">
        <v>3</v>
      </c>
      <c r="S571" s="0" t="n">
        <v>2026</v>
      </c>
    </row>
    <row r="572" customFormat="false" ht="14.25" hidden="false" customHeight="false" outlineLevel="0" collapsed="false">
      <c r="A572" s="17" t="n">
        <v>46089</v>
      </c>
      <c r="B572" s="21" t="s">
        <v>1322</v>
      </c>
      <c r="C572" s="22" t="n">
        <v>120</v>
      </c>
      <c r="D572" s="31" t="s">
        <v>30</v>
      </c>
      <c r="E572" s="21" t="s">
        <v>1322</v>
      </c>
      <c r="F572" s="19" t="n">
        <v>554898064561</v>
      </c>
      <c r="G572" s="31" t="s">
        <v>1323</v>
      </c>
      <c r="H572" s="21" t="s">
        <v>94</v>
      </c>
      <c r="I572" s="31" t="s">
        <v>50</v>
      </c>
      <c r="J572" s="21" t="s">
        <v>1176</v>
      </c>
      <c r="K572" s="21" t="s">
        <v>1177</v>
      </c>
      <c r="L572" s="21" t="s">
        <v>1324</v>
      </c>
      <c r="M572" s="21" t="s">
        <v>1243</v>
      </c>
      <c r="N572" s="21" t="s">
        <v>965</v>
      </c>
      <c r="R572" s="0" t="n">
        <v>3</v>
      </c>
      <c r="S572" s="0" t="n">
        <v>2026</v>
      </c>
    </row>
    <row r="573" customFormat="false" ht="14.25" hidden="false" customHeight="false" outlineLevel="0" collapsed="false">
      <c r="A573" s="17" t="n">
        <v>46089</v>
      </c>
      <c r="B573" s="21" t="s">
        <v>1326</v>
      </c>
      <c r="C573" s="22" t="n">
        <v>147</v>
      </c>
      <c r="D573" s="31" t="s">
        <v>390</v>
      </c>
      <c r="E573" s="21" t="s">
        <v>1326</v>
      </c>
      <c r="F573" s="19" t="n">
        <v>554199416289</v>
      </c>
      <c r="G573" s="31" t="s">
        <v>1327</v>
      </c>
      <c r="H573" s="21" t="s">
        <v>94</v>
      </c>
      <c r="I573" s="31" t="s">
        <v>355</v>
      </c>
      <c r="N573" s="21" t="s">
        <v>965</v>
      </c>
      <c r="R573" s="0" t="n">
        <v>3</v>
      </c>
      <c r="S573" s="0" t="n">
        <v>2026</v>
      </c>
    </row>
    <row r="574" customFormat="false" ht="14.25" hidden="false" customHeight="false" outlineLevel="0" collapsed="false">
      <c r="A574" s="17" t="n">
        <v>46089</v>
      </c>
      <c r="B574" s="21" t="s">
        <v>1326</v>
      </c>
      <c r="C574" s="22" t="n">
        <v>120</v>
      </c>
      <c r="D574" s="31" t="s">
        <v>21</v>
      </c>
      <c r="E574" s="21" t="s">
        <v>1326</v>
      </c>
      <c r="F574" s="19" t="n">
        <v>554199416289</v>
      </c>
      <c r="G574" s="31" t="s">
        <v>1327</v>
      </c>
      <c r="H574" s="21" t="s">
        <v>94</v>
      </c>
      <c r="I574" s="31" t="s">
        <v>355</v>
      </c>
      <c r="N574" s="21" t="s">
        <v>965</v>
      </c>
      <c r="R574" s="0" t="n">
        <v>3</v>
      </c>
      <c r="S574" s="0" t="n">
        <v>2026</v>
      </c>
    </row>
    <row r="575" customFormat="false" ht="14.25" hidden="false" customHeight="false" outlineLevel="0" collapsed="false">
      <c r="A575" s="17" t="n">
        <v>46089</v>
      </c>
      <c r="B575" s="21" t="s">
        <v>1330</v>
      </c>
      <c r="C575" s="22" t="n">
        <v>150</v>
      </c>
      <c r="D575" s="31" t="s">
        <v>32</v>
      </c>
      <c r="E575" s="21" t="s">
        <v>1330</v>
      </c>
      <c r="F575" s="19" t="n">
        <v>556596713278</v>
      </c>
      <c r="G575" s="31" t="s">
        <v>1331</v>
      </c>
      <c r="H575" s="21" t="s">
        <v>94</v>
      </c>
      <c r="I575" s="31" t="s">
        <v>355</v>
      </c>
      <c r="N575" s="21" t="s">
        <v>965</v>
      </c>
      <c r="R575" s="0" t="n">
        <v>3</v>
      </c>
      <c r="S575" s="0" t="n">
        <v>2026</v>
      </c>
    </row>
    <row r="576" customFormat="false" ht="14.25" hidden="false" customHeight="false" outlineLevel="0" collapsed="false">
      <c r="A576" s="17" t="n">
        <v>46090</v>
      </c>
      <c r="B576" s="21" t="s">
        <v>1333</v>
      </c>
      <c r="C576" s="22" t="n">
        <v>120</v>
      </c>
      <c r="D576" s="31" t="s">
        <v>21</v>
      </c>
      <c r="E576" s="21" t="s">
        <v>1334</v>
      </c>
      <c r="F576" s="19" t="n">
        <v>559574003085</v>
      </c>
      <c r="G576" s="31" t="s">
        <v>1335</v>
      </c>
      <c r="H576" s="21" t="s">
        <v>94</v>
      </c>
      <c r="I576" s="31" t="s">
        <v>355</v>
      </c>
      <c r="N576" s="21" t="s">
        <v>965</v>
      </c>
      <c r="R576" s="0" t="n">
        <v>3</v>
      </c>
      <c r="S576" s="0" t="n">
        <v>2026</v>
      </c>
    </row>
    <row r="577" customFormat="false" ht="14.25" hidden="false" customHeight="false" outlineLevel="0" collapsed="false">
      <c r="A577" s="17" t="n">
        <v>46090</v>
      </c>
      <c r="B577" s="21" t="s">
        <v>1337</v>
      </c>
      <c r="C577" s="22" t="n">
        <v>150</v>
      </c>
      <c r="D577" s="31" t="s">
        <v>32</v>
      </c>
      <c r="E577" s="21" t="s">
        <v>1337</v>
      </c>
      <c r="F577" s="19" t="n">
        <v>554195298746</v>
      </c>
      <c r="G577" s="31" t="s">
        <v>1338</v>
      </c>
      <c r="H577" s="21" t="s">
        <v>94</v>
      </c>
      <c r="I577" s="31" t="s">
        <v>50</v>
      </c>
      <c r="J577" s="21" t="s">
        <v>1176</v>
      </c>
      <c r="K577" s="21" t="s">
        <v>1177</v>
      </c>
      <c r="L577" s="21" t="s">
        <v>1324</v>
      </c>
      <c r="M577" s="21" t="s">
        <v>1243</v>
      </c>
      <c r="N577" s="21" t="s">
        <v>965</v>
      </c>
      <c r="R577" s="0" t="n">
        <v>3</v>
      </c>
      <c r="S577" s="0" t="n">
        <v>2026</v>
      </c>
    </row>
    <row r="578" customFormat="false" ht="14.25" hidden="false" customHeight="false" outlineLevel="0" collapsed="false">
      <c r="A578" s="17" t="n">
        <v>46089</v>
      </c>
      <c r="B578" s="21" t="s">
        <v>1340</v>
      </c>
      <c r="C578" s="22" t="n">
        <v>147</v>
      </c>
      <c r="D578" s="31" t="s">
        <v>18</v>
      </c>
      <c r="E578" s="21" t="s">
        <v>1340</v>
      </c>
      <c r="F578" s="19" t="n">
        <v>554198341911</v>
      </c>
      <c r="G578" s="31" t="s">
        <v>1341</v>
      </c>
      <c r="H578" s="21" t="s">
        <v>94</v>
      </c>
      <c r="I578" s="31" t="s">
        <v>50</v>
      </c>
      <c r="N578" s="21" t="s">
        <v>965</v>
      </c>
      <c r="R578" s="0" t="n">
        <v>3</v>
      </c>
      <c r="S578" s="0" t="n">
        <v>2026</v>
      </c>
    </row>
    <row r="579" customFormat="false" ht="14.25" hidden="false" customHeight="false" outlineLevel="0" collapsed="false">
      <c r="A579" s="17" t="n">
        <v>46088</v>
      </c>
      <c r="B579" s="21" t="s">
        <v>1343</v>
      </c>
      <c r="C579" s="22" t="n">
        <v>147</v>
      </c>
      <c r="D579" s="31" t="s">
        <v>22</v>
      </c>
      <c r="E579" s="21" t="s">
        <v>1343</v>
      </c>
      <c r="F579" s="19" t="n">
        <v>554888233617</v>
      </c>
      <c r="G579" s="31" t="s">
        <v>1344</v>
      </c>
      <c r="H579" s="21" t="s">
        <v>94</v>
      </c>
      <c r="I579" s="31" t="s">
        <v>50</v>
      </c>
      <c r="N579" s="21" t="s">
        <v>965</v>
      </c>
      <c r="R579" s="0" t="n">
        <v>3</v>
      </c>
      <c r="S579" s="0" t="n">
        <v>2026</v>
      </c>
    </row>
    <row r="580" customFormat="false" ht="14.25" hidden="false" customHeight="false" outlineLevel="0" collapsed="false">
      <c r="A580" s="17" t="n">
        <v>46090</v>
      </c>
      <c r="B580" s="21" t="s">
        <v>1346</v>
      </c>
      <c r="C580" s="22" t="n">
        <v>120</v>
      </c>
      <c r="D580" s="31" t="s">
        <v>21</v>
      </c>
      <c r="E580" s="21" t="s">
        <v>1346</v>
      </c>
      <c r="F580" s="19" t="n">
        <v>559584377071</v>
      </c>
      <c r="G580" s="31" t="s">
        <v>1347</v>
      </c>
      <c r="H580" s="21" t="s">
        <v>94</v>
      </c>
      <c r="I580" s="31" t="s">
        <v>34</v>
      </c>
      <c r="N580" s="21" t="s">
        <v>965</v>
      </c>
      <c r="R580" s="0" t="n">
        <v>3</v>
      </c>
      <c r="S580" s="0" t="n">
        <v>2026</v>
      </c>
    </row>
    <row r="581" customFormat="false" ht="14.25" hidden="false" customHeight="false" outlineLevel="0" collapsed="false">
      <c r="A581" s="17" t="n">
        <v>46090</v>
      </c>
      <c r="B581" s="21" t="s">
        <v>1349</v>
      </c>
      <c r="C581" s="22" t="n">
        <v>150</v>
      </c>
      <c r="D581" s="31" t="s">
        <v>32</v>
      </c>
      <c r="E581" s="21" t="s">
        <v>1349</v>
      </c>
      <c r="F581" s="19" t="n">
        <v>554184117770</v>
      </c>
      <c r="G581" s="31" t="s">
        <v>1350</v>
      </c>
      <c r="H581" s="21" t="s">
        <v>94</v>
      </c>
      <c r="I581" s="31" t="s">
        <v>355</v>
      </c>
      <c r="N581" s="21" t="s">
        <v>965</v>
      </c>
      <c r="R581" s="0" t="n">
        <v>3</v>
      </c>
      <c r="S581" s="0" t="n">
        <v>2026</v>
      </c>
    </row>
    <row r="582" customFormat="false" ht="14.25" hidden="false" customHeight="false" outlineLevel="0" collapsed="false">
      <c r="A582" s="17" t="n">
        <v>46089</v>
      </c>
      <c r="B582" s="21" t="s">
        <v>1352</v>
      </c>
      <c r="C582" s="22" t="n">
        <v>160</v>
      </c>
      <c r="D582" s="31" t="s">
        <v>30</v>
      </c>
      <c r="E582" s="21" t="s">
        <v>1353</v>
      </c>
      <c r="F582" s="19" t="n">
        <v>559584260066</v>
      </c>
      <c r="G582" s="31" t="s">
        <v>1354</v>
      </c>
      <c r="H582" s="21" t="s">
        <v>94</v>
      </c>
      <c r="I582" s="31" t="s">
        <v>54</v>
      </c>
      <c r="N582" s="21" t="s">
        <v>1022</v>
      </c>
      <c r="R582" s="0" t="n">
        <v>3</v>
      </c>
      <c r="S582" s="0" t="n">
        <v>2026</v>
      </c>
    </row>
    <row r="583" customFormat="false" ht="14.25" hidden="false" customHeight="false" outlineLevel="0" collapsed="false">
      <c r="A583" s="17" t="n">
        <v>46090</v>
      </c>
      <c r="B583" s="21" t="s">
        <v>1356</v>
      </c>
      <c r="C583" s="22" t="n">
        <v>145</v>
      </c>
      <c r="D583" s="31" t="s">
        <v>20</v>
      </c>
      <c r="E583" s="21" t="s">
        <v>1357</v>
      </c>
      <c r="F583" s="19" t="n">
        <v>554191126913</v>
      </c>
      <c r="G583" s="31" t="s">
        <v>1358</v>
      </c>
      <c r="H583" s="21" t="s">
        <v>94</v>
      </c>
      <c r="I583" s="31" t="s">
        <v>355</v>
      </c>
      <c r="J583" s="21" t="s">
        <v>35</v>
      </c>
      <c r="K583" s="21" t="s">
        <v>36</v>
      </c>
      <c r="L583" s="21" t="s">
        <v>37</v>
      </c>
      <c r="M583" s="21" t="s">
        <v>38</v>
      </c>
      <c r="N583" s="21" t="s">
        <v>965</v>
      </c>
      <c r="R583" s="0" t="n">
        <v>3</v>
      </c>
      <c r="S583" s="0" t="n">
        <v>2026</v>
      </c>
    </row>
    <row r="584" customFormat="false" ht="14.25" hidden="false" customHeight="false" outlineLevel="0" collapsed="false">
      <c r="A584" s="17" t="n">
        <v>46090</v>
      </c>
      <c r="B584" s="21" t="s">
        <v>1360</v>
      </c>
      <c r="C584" s="22" t="n">
        <v>150</v>
      </c>
      <c r="D584" s="31" t="s">
        <v>32</v>
      </c>
      <c r="E584" s="21" t="s">
        <v>1360</v>
      </c>
      <c r="F584" s="19" t="n">
        <v>5511988036255</v>
      </c>
      <c r="G584" s="31" t="s">
        <v>1361</v>
      </c>
      <c r="H584" s="21" t="s">
        <v>94</v>
      </c>
      <c r="I584" s="31" t="s">
        <v>50</v>
      </c>
      <c r="N584" s="21" t="s">
        <v>965</v>
      </c>
      <c r="R584" s="0" t="n">
        <v>3</v>
      </c>
      <c r="S584" s="0" t="n">
        <v>2026</v>
      </c>
    </row>
    <row r="585" customFormat="false" ht="14.25" hidden="false" customHeight="false" outlineLevel="0" collapsed="false">
      <c r="A585" s="17" t="n">
        <v>46090</v>
      </c>
      <c r="B585" s="21" t="s">
        <v>1363</v>
      </c>
      <c r="C585" s="22" t="n">
        <v>150</v>
      </c>
      <c r="D585" s="31" t="s">
        <v>32</v>
      </c>
      <c r="E585" s="21" t="s">
        <v>1363</v>
      </c>
      <c r="F585" s="19" t="n">
        <v>554998144215</v>
      </c>
      <c r="G585" s="31" t="s">
        <v>1363</v>
      </c>
      <c r="H585" s="21" t="s">
        <v>94</v>
      </c>
      <c r="I585" s="31" t="s">
        <v>34</v>
      </c>
      <c r="N585" s="21" t="s">
        <v>965</v>
      </c>
      <c r="R585" s="0" t="n">
        <v>3</v>
      </c>
      <c r="S585" s="0" t="n">
        <v>2026</v>
      </c>
    </row>
    <row r="586" customFormat="false" ht="14.25" hidden="false" customHeight="false" outlineLevel="0" collapsed="false">
      <c r="A586" s="17" t="n">
        <v>46090</v>
      </c>
      <c r="B586" s="21" t="s">
        <v>1365</v>
      </c>
      <c r="C586" s="22" t="n">
        <v>294</v>
      </c>
      <c r="D586" s="31" t="s">
        <v>21</v>
      </c>
      <c r="E586" s="21" t="s">
        <v>1366</v>
      </c>
      <c r="F586" s="19" t="n">
        <v>555496705292</v>
      </c>
      <c r="G586" s="31" t="s">
        <v>1367</v>
      </c>
      <c r="H586" s="21" t="s">
        <v>94</v>
      </c>
      <c r="I586" s="31" t="s">
        <v>355</v>
      </c>
      <c r="N586" s="21" t="s">
        <v>965</v>
      </c>
      <c r="R586" s="0" t="n">
        <v>3</v>
      </c>
      <c r="S586" s="0" t="n">
        <v>2026</v>
      </c>
    </row>
    <row r="587" customFormat="false" ht="14.25" hidden="false" customHeight="false" outlineLevel="0" collapsed="false">
      <c r="A587" s="17" t="n">
        <v>46090</v>
      </c>
      <c r="B587" s="21" t="s">
        <v>1369</v>
      </c>
      <c r="C587" s="22" t="n">
        <v>147</v>
      </c>
      <c r="D587" s="31" t="s">
        <v>21</v>
      </c>
      <c r="E587" s="21" t="s">
        <v>1370</v>
      </c>
      <c r="F587" s="19" t="n">
        <v>18135737867</v>
      </c>
      <c r="G587" s="31" t="s">
        <v>1371</v>
      </c>
      <c r="H587" s="21" t="s">
        <v>94</v>
      </c>
      <c r="I587" s="31" t="s">
        <v>50</v>
      </c>
      <c r="J587" s="21" t="s">
        <v>97</v>
      </c>
      <c r="K587" s="21" t="s">
        <v>20</v>
      </c>
      <c r="L587" s="21" t="s">
        <v>469</v>
      </c>
      <c r="M587" s="21" t="s">
        <v>99</v>
      </c>
      <c r="N587" s="21" t="s">
        <v>965</v>
      </c>
      <c r="R587" s="0" t="n">
        <v>3</v>
      </c>
      <c r="S587" s="0" t="n">
        <v>2026</v>
      </c>
    </row>
    <row r="588" customFormat="false" ht="14.25" hidden="false" customHeight="false" outlineLevel="0" collapsed="false">
      <c r="A588" s="17" t="n">
        <v>46090</v>
      </c>
      <c r="B588" s="21" t="s">
        <v>1373</v>
      </c>
      <c r="C588" s="22" t="n">
        <v>294</v>
      </c>
      <c r="D588" s="31" t="s">
        <v>22</v>
      </c>
      <c r="E588" s="21" t="s">
        <v>1374</v>
      </c>
      <c r="F588" s="19" t="n">
        <v>59892373641</v>
      </c>
      <c r="G588" s="31" t="s">
        <v>1375</v>
      </c>
      <c r="H588" s="21" t="s">
        <v>94</v>
      </c>
      <c r="I588" s="31" t="s">
        <v>34</v>
      </c>
      <c r="N588" s="21" t="s">
        <v>965</v>
      </c>
      <c r="R588" s="0" t="n">
        <v>3</v>
      </c>
      <c r="S588" s="0" t="n">
        <v>2026</v>
      </c>
    </row>
    <row r="589" customFormat="false" ht="14.25" hidden="false" customHeight="false" outlineLevel="0" collapsed="false">
      <c r="A589" s="17" t="n">
        <v>46090</v>
      </c>
      <c r="B589" s="21" t="s">
        <v>1373</v>
      </c>
      <c r="C589" s="22" t="n">
        <v>294</v>
      </c>
      <c r="D589" s="31" t="s">
        <v>21</v>
      </c>
      <c r="E589" s="21" t="s">
        <v>1374</v>
      </c>
      <c r="F589" s="19" t="n">
        <v>59892373641</v>
      </c>
      <c r="G589" s="31" t="s">
        <v>1375</v>
      </c>
      <c r="H589" s="21" t="s">
        <v>94</v>
      </c>
      <c r="I589" s="31" t="s">
        <v>34</v>
      </c>
      <c r="N589" s="21" t="s">
        <v>965</v>
      </c>
      <c r="R589" s="0" t="n">
        <v>3</v>
      </c>
      <c r="S589" s="0" t="n">
        <v>2026</v>
      </c>
    </row>
    <row r="590" customFormat="false" ht="14.25" hidden="false" customHeight="false" outlineLevel="0" collapsed="false">
      <c r="A590" s="17" t="n">
        <v>46088</v>
      </c>
      <c r="B590" s="21" t="s">
        <v>879</v>
      </c>
      <c r="C590" s="22" t="n">
        <v>75</v>
      </c>
      <c r="D590" s="31" t="s">
        <v>21</v>
      </c>
      <c r="E590" s="21" t="s">
        <v>879</v>
      </c>
      <c r="F590" s="19" t="n">
        <v>556199807330</v>
      </c>
      <c r="G590" s="31" t="s">
        <v>880</v>
      </c>
      <c r="H590" s="21" t="s">
        <v>94</v>
      </c>
      <c r="I590" s="31" t="s">
        <v>50</v>
      </c>
      <c r="N590" s="21" t="s">
        <v>965</v>
      </c>
      <c r="R590" s="0" t="n">
        <v>3</v>
      </c>
      <c r="S590" s="0" t="n">
        <v>2026</v>
      </c>
    </row>
    <row r="591" customFormat="false" ht="14.25" hidden="false" customHeight="false" outlineLevel="0" collapsed="false">
      <c r="A591" s="17" t="n">
        <v>46090</v>
      </c>
      <c r="B591" s="21" t="s">
        <v>1373</v>
      </c>
      <c r="C591" s="22" t="n">
        <v>123</v>
      </c>
      <c r="D591" s="31" t="s">
        <v>18</v>
      </c>
      <c r="E591" s="21" t="s">
        <v>1374</v>
      </c>
      <c r="F591" s="19" t="n">
        <v>59892373641</v>
      </c>
      <c r="G591" s="31" t="s">
        <v>1375</v>
      </c>
      <c r="H591" s="21" t="s">
        <v>94</v>
      </c>
      <c r="I591" s="31" t="s">
        <v>34</v>
      </c>
      <c r="N591" s="21" t="s">
        <v>965</v>
      </c>
      <c r="R591" s="0" t="n">
        <v>3</v>
      </c>
      <c r="S591" s="0" t="n">
        <v>2026</v>
      </c>
    </row>
    <row r="592" customFormat="false" ht="14.25" hidden="false" customHeight="false" outlineLevel="0" collapsed="false">
      <c r="A592" s="17" t="n">
        <v>46090</v>
      </c>
      <c r="B592" s="21" t="s">
        <v>1378</v>
      </c>
      <c r="C592" s="22" t="n">
        <v>150</v>
      </c>
      <c r="D592" s="31" t="s">
        <v>32</v>
      </c>
      <c r="E592" s="21" t="s">
        <v>1378</v>
      </c>
      <c r="F592" s="19" t="n">
        <v>554199549345</v>
      </c>
      <c r="G592" s="31" t="s">
        <v>1379</v>
      </c>
      <c r="H592" s="21" t="s">
        <v>94</v>
      </c>
      <c r="I592" s="31" t="s">
        <v>50</v>
      </c>
      <c r="J592" s="21" t="s">
        <v>1176</v>
      </c>
      <c r="K592" s="21" t="s">
        <v>1177</v>
      </c>
      <c r="L592" s="21" t="s">
        <v>1324</v>
      </c>
      <c r="M592" s="21" t="s">
        <v>1243</v>
      </c>
      <c r="N592" s="21" t="s">
        <v>965</v>
      </c>
      <c r="R592" s="0" t="n">
        <v>3</v>
      </c>
      <c r="S592" s="0" t="n">
        <v>2026</v>
      </c>
    </row>
    <row r="593" customFormat="false" ht="14.25" hidden="false" customHeight="false" outlineLevel="0" collapsed="false">
      <c r="A593" s="17" t="n">
        <v>46090</v>
      </c>
      <c r="B593" s="21" t="s">
        <v>1381</v>
      </c>
      <c r="C593" s="22" t="n">
        <v>300</v>
      </c>
      <c r="D593" s="31" t="s">
        <v>106</v>
      </c>
      <c r="E593" s="21" t="s">
        <v>1381</v>
      </c>
      <c r="F593" s="19" t="n">
        <v>554196550828</v>
      </c>
      <c r="G593" s="31" t="s">
        <v>1382</v>
      </c>
      <c r="H593" s="21" t="s">
        <v>94</v>
      </c>
      <c r="I593" s="31" t="s">
        <v>50</v>
      </c>
      <c r="N593" s="21" t="s">
        <v>965</v>
      </c>
      <c r="R593" s="0" t="n">
        <v>3</v>
      </c>
      <c r="S593" s="0" t="n">
        <v>2026</v>
      </c>
    </row>
    <row r="594" customFormat="false" ht="14.25" hidden="false" customHeight="false" outlineLevel="0" collapsed="false">
      <c r="A594" s="17" t="n">
        <v>46090</v>
      </c>
      <c r="B594" s="21" t="s">
        <v>1384</v>
      </c>
      <c r="C594" s="22" t="n">
        <v>300</v>
      </c>
      <c r="D594" s="31" t="s">
        <v>30</v>
      </c>
      <c r="E594" s="21" t="s">
        <v>1385</v>
      </c>
      <c r="F594" s="19" t="n">
        <v>553497060180</v>
      </c>
      <c r="G594" s="31" t="s">
        <v>1386</v>
      </c>
      <c r="H594" s="21" t="s">
        <v>94</v>
      </c>
      <c r="I594" s="31" t="s">
        <v>355</v>
      </c>
      <c r="N594" s="21" t="s">
        <v>965</v>
      </c>
      <c r="R594" s="0" t="n">
        <v>3</v>
      </c>
      <c r="S594" s="0" t="n">
        <v>2026</v>
      </c>
    </row>
    <row r="595" customFormat="false" ht="14.25" hidden="false" customHeight="false" outlineLevel="0" collapsed="false">
      <c r="A595" s="17" t="n">
        <v>46089</v>
      </c>
      <c r="B595" s="21" t="s">
        <v>1388</v>
      </c>
      <c r="C595" s="22" t="n">
        <v>147</v>
      </c>
      <c r="D595" s="31" t="s">
        <v>390</v>
      </c>
      <c r="E595" s="21" t="s">
        <v>1388</v>
      </c>
      <c r="F595" s="19" t="n">
        <v>554891808764</v>
      </c>
      <c r="G595" s="31" t="s">
        <v>1389</v>
      </c>
      <c r="H595" s="21" t="s">
        <v>94</v>
      </c>
      <c r="I595" s="31" t="s">
        <v>54</v>
      </c>
      <c r="N595" s="21" t="s">
        <v>965</v>
      </c>
      <c r="R595" s="0" t="n">
        <v>3</v>
      </c>
      <c r="S595" s="0" t="n">
        <v>2026</v>
      </c>
    </row>
    <row r="596" customFormat="false" ht="14.25" hidden="false" customHeight="false" outlineLevel="0" collapsed="false">
      <c r="A596" s="17" t="n">
        <v>46088</v>
      </c>
      <c r="B596" s="21" t="s">
        <v>1391</v>
      </c>
      <c r="C596" s="22" t="n">
        <v>97</v>
      </c>
      <c r="D596" s="31" t="s">
        <v>20</v>
      </c>
      <c r="E596" s="21" t="s">
        <v>1391</v>
      </c>
      <c r="F596" s="19" t="n">
        <v>554197483033</v>
      </c>
      <c r="G596" s="31" t="s">
        <v>1392</v>
      </c>
      <c r="H596" s="21" t="s">
        <v>94</v>
      </c>
      <c r="I596" s="31" t="s">
        <v>355</v>
      </c>
      <c r="J596" s="21" t="s">
        <v>97</v>
      </c>
      <c r="K596" s="21" t="s">
        <v>20</v>
      </c>
      <c r="L596" s="21" t="s">
        <v>98</v>
      </c>
      <c r="M596" s="21" t="s">
        <v>99</v>
      </c>
      <c r="N596" s="21" t="s">
        <v>965</v>
      </c>
      <c r="R596" s="0" t="n">
        <v>3</v>
      </c>
      <c r="S596" s="0" t="n">
        <v>2026</v>
      </c>
    </row>
    <row r="597" customFormat="false" ht="14.25" hidden="false" customHeight="false" outlineLevel="0" collapsed="false">
      <c r="A597" s="17" t="n">
        <v>46090</v>
      </c>
      <c r="B597" s="21" t="s">
        <v>1394</v>
      </c>
      <c r="C597" s="22" t="n">
        <v>147</v>
      </c>
      <c r="D597" s="31" t="s">
        <v>390</v>
      </c>
      <c r="E597" s="21" t="s">
        <v>1394</v>
      </c>
      <c r="F597" s="19" t="n">
        <v>554198792302</v>
      </c>
      <c r="G597" s="31" t="s">
        <v>1395</v>
      </c>
      <c r="H597" s="21" t="s">
        <v>94</v>
      </c>
      <c r="I597" s="31" t="s">
        <v>355</v>
      </c>
      <c r="J597" s="21" t="s">
        <v>35</v>
      </c>
      <c r="K597" s="21" t="s">
        <v>69</v>
      </c>
      <c r="L597" s="21" t="s">
        <v>70</v>
      </c>
      <c r="M597" s="21" t="s">
        <v>38</v>
      </c>
      <c r="N597" s="21" t="s">
        <v>965</v>
      </c>
      <c r="R597" s="0" t="n">
        <v>3</v>
      </c>
      <c r="S597" s="0" t="n">
        <v>2026</v>
      </c>
    </row>
    <row r="598" customFormat="false" ht="14.25" hidden="false" customHeight="false" outlineLevel="0" collapsed="false">
      <c r="A598" s="17" t="n">
        <v>46090</v>
      </c>
      <c r="B598" s="21" t="s">
        <v>1394</v>
      </c>
      <c r="C598" s="22" t="n">
        <v>120</v>
      </c>
      <c r="D598" s="31" t="s">
        <v>30</v>
      </c>
      <c r="E598" s="21" t="s">
        <v>1397</v>
      </c>
      <c r="F598" s="19" t="n">
        <v>5354001951</v>
      </c>
      <c r="G598" s="31" t="s">
        <v>1398</v>
      </c>
      <c r="H598" s="21" t="s">
        <v>94</v>
      </c>
      <c r="I598" s="31" t="s">
        <v>50</v>
      </c>
      <c r="N598" s="21" t="s">
        <v>965</v>
      </c>
      <c r="R598" s="0" t="n">
        <v>3</v>
      </c>
      <c r="S598" s="0" t="n">
        <v>2026</v>
      </c>
    </row>
    <row r="599" customFormat="false" ht="14.25" hidden="false" customHeight="false" outlineLevel="0" collapsed="false">
      <c r="A599" s="17" t="n">
        <v>46091</v>
      </c>
      <c r="B599" s="21" t="s">
        <v>1400</v>
      </c>
      <c r="C599" s="22" t="n">
        <v>150</v>
      </c>
      <c r="D599" s="31" t="s">
        <v>32</v>
      </c>
      <c r="E599" s="21" t="s">
        <v>1400</v>
      </c>
      <c r="F599" s="19" t="n">
        <v>555195957069</v>
      </c>
      <c r="G599" s="31" t="s">
        <v>1401</v>
      </c>
      <c r="H599" s="21" t="s">
        <v>94</v>
      </c>
      <c r="I599" s="31" t="s">
        <v>355</v>
      </c>
      <c r="J599" s="21" t="s">
        <v>1176</v>
      </c>
      <c r="K599" s="21" t="s">
        <v>1177</v>
      </c>
      <c r="L599" s="21" t="s">
        <v>1242</v>
      </c>
      <c r="M599" s="21" t="s">
        <v>1243</v>
      </c>
      <c r="N599" s="21" t="s">
        <v>965</v>
      </c>
      <c r="R599" s="0" t="n">
        <v>3</v>
      </c>
      <c r="S599" s="0" t="n">
        <v>2026</v>
      </c>
    </row>
    <row r="600" customFormat="false" ht="14.25" hidden="false" customHeight="false" outlineLevel="0" collapsed="false">
      <c r="A600" s="17" t="n">
        <v>46091</v>
      </c>
      <c r="B600" s="21" t="s">
        <v>1403</v>
      </c>
      <c r="C600" s="22" t="n">
        <v>360</v>
      </c>
      <c r="D600" s="31" t="s">
        <v>21</v>
      </c>
      <c r="E600" s="21" t="s">
        <v>1403</v>
      </c>
      <c r="F600" s="19" t="n">
        <v>554891196924</v>
      </c>
      <c r="G600" s="31" t="s">
        <v>1404</v>
      </c>
      <c r="H600" s="21" t="s">
        <v>94</v>
      </c>
      <c r="I600" s="31" t="s">
        <v>34</v>
      </c>
      <c r="N600" s="21" t="s">
        <v>965</v>
      </c>
      <c r="R600" s="0" t="n">
        <v>3</v>
      </c>
      <c r="S600" s="0" t="n">
        <v>2026</v>
      </c>
    </row>
    <row r="601" customFormat="false" ht="14.25" hidden="false" customHeight="false" outlineLevel="0" collapsed="false">
      <c r="A601" s="17" t="n">
        <v>46091</v>
      </c>
      <c r="B601" s="21" t="s">
        <v>1406</v>
      </c>
      <c r="C601" s="22" t="n">
        <v>440</v>
      </c>
      <c r="D601" s="31" t="s">
        <v>24</v>
      </c>
      <c r="E601" s="21" t="s">
        <v>1406</v>
      </c>
      <c r="F601" s="19" t="n">
        <v>5595920012312</v>
      </c>
      <c r="G601" s="31" t="s">
        <v>1407</v>
      </c>
      <c r="H601" s="21" t="s">
        <v>94</v>
      </c>
      <c r="I601" s="31" t="s">
        <v>34</v>
      </c>
      <c r="N601" s="21" t="s">
        <v>965</v>
      </c>
      <c r="R601" s="0" t="n">
        <v>3</v>
      </c>
      <c r="S601" s="0" t="n">
        <v>2026</v>
      </c>
    </row>
    <row r="602" customFormat="false" ht="14.25" hidden="false" customHeight="false" outlineLevel="0" collapsed="false">
      <c r="A602" s="17" t="n">
        <v>46090</v>
      </c>
      <c r="B602" s="21" t="s">
        <v>1409</v>
      </c>
      <c r="C602" s="22" t="n">
        <v>120</v>
      </c>
      <c r="D602" s="31" t="s">
        <v>30</v>
      </c>
      <c r="E602" s="21" t="s">
        <v>1410</v>
      </c>
      <c r="F602" s="19" t="n">
        <v>5519993215719</v>
      </c>
      <c r="G602" s="31" t="s">
        <v>1411</v>
      </c>
      <c r="H602" s="21" t="s">
        <v>94</v>
      </c>
      <c r="I602" s="31" t="s">
        <v>50</v>
      </c>
      <c r="N602" s="21" t="s">
        <v>965</v>
      </c>
      <c r="R602" s="0" t="n">
        <v>3</v>
      </c>
      <c r="S602" s="0" t="n">
        <v>2026</v>
      </c>
    </row>
    <row r="603" customFormat="false" ht="14.25" hidden="false" customHeight="false" outlineLevel="0" collapsed="false">
      <c r="A603" s="17" t="n">
        <v>46090</v>
      </c>
      <c r="B603" s="21" t="s">
        <v>1076</v>
      </c>
      <c r="C603" s="22" t="n">
        <v>120</v>
      </c>
      <c r="D603" s="31" t="s">
        <v>25</v>
      </c>
      <c r="E603" s="21" t="s">
        <v>1076</v>
      </c>
      <c r="F603" s="19" t="n">
        <v>555195558065</v>
      </c>
      <c r="G603" s="31" t="s">
        <v>1077</v>
      </c>
      <c r="H603" s="21" t="s">
        <v>94</v>
      </c>
      <c r="I603" s="31" t="s">
        <v>54</v>
      </c>
      <c r="N603" s="21" t="s">
        <v>1022</v>
      </c>
      <c r="R603" s="0" t="n">
        <v>3</v>
      </c>
      <c r="S603" s="0" t="n">
        <v>2026</v>
      </c>
    </row>
    <row r="604" customFormat="false" ht="14.25" hidden="false" customHeight="false" outlineLevel="0" collapsed="false">
      <c r="A604" s="17" t="n">
        <v>46090</v>
      </c>
      <c r="B604" s="21" t="s">
        <v>1414</v>
      </c>
      <c r="C604" s="22" t="n">
        <v>150</v>
      </c>
      <c r="D604" s="31" t="s">
        <v>32</v>
      </c>
      <c r="E604" s="21" t="s">
        <v>1415</v>
      </c>
      <c r="F604" s="19" t="n">
        <v>5511956063396</v>
      </c>
      <c r="G604" s="31" t="s">
        <v>33</v>
      </c>
      <c r="H604" s="21" t="s">
        <v>94</v>
      </c>
      <c r="I604" s="31" t="s">
        <v>34</v>
      </c>
      <c r="N604" s="21" t="s">
        <v>965</v>
      </c>
      <c r="R604" s="0" t="n">
        <v>3</v>
      </c>
      <c r="S604" s="0" t="n">
        <v>2026</v>
      </c>
    </row>
    <row r="605" customFormat="false" ht="14.25" hidden="false" customHeight="false" outlineLevel="0" collapsed="false">
      <c r="A605" s="17" t="n">
        <v>46091</v>
      </c>
      <c r="B605" s="21" t="s">
        <v>1417</v>
      </c>
      <c r="C605" s="22" t="n">
        <v>294</v>
      </c>
      <c r="D605" s="31" t="s">
        <v>18</v>
      </c>
      <c r="E605" s="21" t="s">
        <v>1417</v>
      </c>
      <c r="F605" s="19" t="n">
        <v>554899269382</v>
      </c>
      <c r="G605" s="31" t="s">
        <v>1418</v>
      </c>
      <c r="H605" s="21" t="s">
        <v>94</v>
      </c>
      <c r="I605" s="31" t="s">
        <v>50</v>
      </c>
      <c r="N605" s="21" t="s">
        <v>965</v>
      </c>
      <c r="R605" s="0" t="n">
        <v>3</v>
      </c>
      <c r="S605" s="0" t="n">
        <v>2026</v>
      </c>
    </row>
    <row r="606" customFormat="false" ht="14.25" hidden="false" customHeight="false" outlineLevel="0" collapsed="false">
      <c r="A606" s="17" t="n">
        <v>46091</v>
      </c>
      <c r="B606" s="21" t="s">
        <v>1420</v>
      </c>
      <c r="C606" s="22" t="n">
        <v>147</v>
      </c>
      <c r="D606" s="31" t="s">
        <v>18</v>
      </c>
      <c r="E606" s="21" t="s">
        <v>1420</v>
      </c>
      <c r="F606" s="19" t="n">
        <v>559591136177</v>
      </c>
      <c r="G606" s="31" t="s">
        <v>1421</v>
      </c>
      <c r="H606" s="21" t="s">
        <v>94</v>
      </c>
      <c r="I606" s="31" t="s">
        <v>54</v>
      </c>
      <c r="N606" s="21" t="s">
        <v>1022</v>
      </c>
      <c r="R606" s="0" t="n">
        <v>3</v>
      </c>
      <c r="S606" s="0" t="n">
        <v>2026</v>
      </c>
    </row>
    <row r="607" customFormat="false" ht="14.25" hidden="false" customHeight="false" outlineLevel="0" collapsed="false">
      <c r="A607" s="17" t="n">
        <v>46091</v>
      </c>
      <c r="B607" s="21" t="s">
        <v>1423</v>
      </c>
      <c r="C607" s="22" t="n">
        <v>97</v>
      </c>
      <c r="D607" s="31" t="s">
        <v>20</v>
      </c>
      <c r="E607" s="21" t="s">
        <v>1424</v>
      </c>
      <c r="F607" s="19" t="n">
        <v>5541995096750</v>
      </c>
      <c r="G607" s="31" t="s">
        <v>1425</v>
      </c>
      <c r="H607" s="21" t="s">
        <v>94</v>
      </c>
      <c r="I607" s="31" t="s">
        <v>54</v>
      </c>
      <c r="J607" s="21" t="s">
        <v>35</v>
      </c>
      <c r="K607" s="21" t="s">
        <v>272</v>
      </c>
      <c r="L607" s="21" t="s">
        <v>273</v>
      </c>
      <c r="M607" s="21" t="s">
        <v>38</v>
      </c>
      <c r="N607" s="21" t="s">
        <v>965</v>
      </c>
      <c r="R607" s="0" t="n">
        <v>3</v>
      </c>
      <c r="S607" s="0" t="n">
        <v>2026</v>
      </c>
    </row>
    <row r="608" customFormat="false" ht="14.25" hidden="false" customHeight="false" outlineLevel="0" collapsed="false">
      <c r="A608" s="17" t="n">
        <v>46091</v>
      </c>
      <c r="B608" s="21" t="s">
        <v>1427</v>
      </c>
      <c r="C608" s="22" t="n">
        <v>90</v>
      </c>
      <c r="D608" s="31" t="s">
        <v>20</v>
      </c>
      <c r="E608" s="21" t="s">
        <v>1428</v>
      </c>
      <c r="F608" s="19" t="n">
        <v>559584374004</v>
      </c>
      <c r="G608" s="31" t="s">
        <v>1429</v>
      </c>
      <c r="H608" s="21" t="s">
        <v>94</v>
      </c>
      <c r="I608" s="31" t="s">
        <v>355</v>
      </c>
      <c r="N608" s="21" t="s">
        <v>965</v>
      </c>
      <c r="R608" s="0" t="n">
        <v>3</v>
      </c>
      <c r="S608" s="0" t="n">
        <v>2026</v>
      </c>
    </row>
    <row r="609" customFormat="false" ht="14.25" hidden="false" customHeight="false" outlineLevel="0" collapsed="false">
      <c r="A609" s="17" t="n">
        <v>46091</v>
      </c>
      <c r="B609" s="21" t="s">
        <v>1431</v>
      </c>
      <c r="C609" s="22" t="n">
        <v>120</v>
      </c>
      <c r="D609" s="31" t="s">
        <v>30</v>
      </c>
      <c r="E609" s="21" t="s">
        <v>1431</v>
      </c>
      <c r="F609" s="19" t="n">
        <v>554898153102</v>
      </c>
      <c r="G609" s="31" t="s">
        <v>1432</v>
      </c>
      <c r="H609" s="21" t="s">
        <v>94</v>
      </c>
      <c r="I609" s="31" t="s">
        <v>50</v>
      </c>
      <c r="N609" s="21" t="s">
        <v>965</v>
      </c>
      <c r="R609" s="0" t="n">
        <v>3</v>
      </c>
      <c r="S609" s="0" t="n">
        <v>2026</v>
      </c>
    </row>
    <row r="610" customFormat="false" ht="14.25" hidden="false" customHeight="false" outlineLevel="0" collapsed="false">
      <c r="A610" s="17" t="n">
        <v>46091</v>
      </c>
      <c r="B610" s="21" t="s">
        <v>1434</v>
      </c>
      <c r="C610" s="22" t="n">
        <v>108</v>
      </c>
      <c r="D610" s="31" t="s">
        <v>22</v>
      </c>
      <c r="E610" s="21" t="s">
        <v>1434</v>
      </c>
      <c r="F610" s="19" t="n">
        <v>554195835616</v>
      </c>
      <c r="G610" s="31" t="s">
        <v>1435</v>
      </c>
      <c r="H610" s="21" t="s">
        <v>94</v>
      </c>
      <c r="I610" s="31" t="s">
        <v>355</v>
      </c>
      <c r="N610" s="21" t="s">
        <v>965</v>
      </c>
      <c r="R610" s="0" t="n">
        <v>3</v>
      </c>
      <c r="S610" s="0" t="n">
        <v>2026</v>
      </c>
    </row>
    <row r="611" customFormat="false" ht="14.25" hidden="false" customHeight="false" outlineLevel="0" collapsed="false">
      <c r="A611" s="17" t="n">
        <v>46091</v>
      </c>
      <c r="B611" s="21" t="s">
        <v>1434</v>
      </c>
      <c r="C611" s="22" t="n">
        <v>480</v>
      </c>
      <c r="D611" s="31" t="s">
        <v>30</v>
      </c>
      <c r="E611" s="21" t="s">
        <v>1434</v>
      </c>
      <c r="F611" s="19" t="n">
        <v>554195835616</v>
      </c>
      <c r="G611" s="31" t="s">
        <v>1435</v>
      </c>
      <c r="H611" s="21" t="s">
        <v>94</v>
      </c>
      <c r="I611" s="31" t="s">
        <v>355</v>
      </c>
      <c r="N611" s="21" t="s">
        <v>965</v>
      </c>
      <c r="R611" s="0" t="n">
        <v>3</v>
      </c>
      <c r="S611" s="0" t="n">
        <v>2026</v>
      </c>
    </row>
    <row r="612" customFormat="false" ht="14.25" hidden="false" customHeight="false" outlineLevel="0" collapsed="false">
      <c r="A612" s="17" t="n">
        <v>46091</v>
      </c>
      <c r="B612" s="21" t="s">
        <v>999</v>
      </c>
      <c r="C612" s="22" t="n">
        <v>150</v>
      </c>
      <c r="D612" s="31" t="s">
        <v>32</v>
      </c>
      <c r="E612" s="21" t="s">
        <v>999</v>
      </c>
      <c r="F612" s="19" t="n">
        <v>554891097084</v>
      </c>
      <c r="G612" s="31" t="s">
        <v>1000</v>
      </c>
      <c r="H612" s="21" t="s">
        <v>94</v>
      </c>
      <c r="I612" s="31" t="s">
        <v>54</v>
      </c>
      <c r="N612" s="21" t="s">
        <v>1022</v>
      </c>
      <c r="R612" s="0" t="n">
        <v>3</v>
      </c>
      <c r="S612" s="0" t="n">
        <v>2026</v>
      </c>
    </row>
    <row r="613" customFormat="false" ht="14.25" hidden="false" customHeight="false" outlineLevel="0" collapsed="false">
      <c r="A613" s="17" t="n">
        <v>46091</v>
      </c>
      <c r="B613" s="21" t="s">
        <v>1438</v>
      </c>
      <c r="C613" s="22" t="n">
        <v>294</v>
      </c>
      <c r="D613" s="31" t="s">
        <v>18</v>
      </c>
      <c r="E613" s="21" t="s">
        <v>1438</v>
      </c>
      <c r="F613" s="19" t="n">
        <v>553798069518</v>
      </c>
      <c r="G613" s="31" t="s">
        <v>1439</v>
      </c>
      <c r="H613" s="21" t="s">
        <v>94</v>
      </c>
      <c r="I613" s="31" t="s">
        <v>50</v>
      </c>
      <c r="J613" s="21" t="s">
        <v>35</v>
      </c>
      <c r="K613" s="21" t="s">
        <v>69</v>
      </c>
      <c r="L613" s="21" t="s">
        <v>70</v>
      </c>
      <c r="M613" s="21" t="s">
        <v>38</v>
      </c>
      <c r="N613" s="21" t="s">
        <v>965</v>
      </c>
      <c r="R613" s="0" t="n">
        <v>3</v>
      </c>
      <c r="S613" s="0" t="n">
        <v>2026</v>
      </c>
    </row>
    <row r="614" customFormat="false" ht="14.25" hidden="false" customHeight="false" outlineLevel="0" collapsed="false">
      <c r="A614" s="17" t="n">
        <v>46091</v>
      </c>
      <c r="B614" s="21" t="s">
        <v>963</v>
      </c>
      <c r="C614" s="22" t="n">
        <v>75</v>
      </c>
      <c r="D614" s="31" t="s">
        <v>22</v>
      </c>
      <c r="E614" s="21" t="s">
        <v>963</v>
      </c>
      <c r="F614" s="19" t="n">
        <v>5521982245006</v>
      </c>
      <c r="G614" s="31" t="s">
        <v>964</v>
      </c>
      <c r="H614" s="21" t="s">
        <v>94</v>
      </c>
      <c r="I614" s="31" t="s">
        <v>54</v>
      </c>
      <c r="N614" s="21" t="s">
        <v>1022</v>
      </c>
      <c r="R614" s="0" t="n">
        <v>3</v>
      </c>
      <c r="S614" s="0" t="n">
        <v>2026</v>
      </c>
    </row>
    <row r="615" customFormat="false" ht="14.25" hidden="false" customHeight="false" outlineLevel="0" collapsed="false">
      <c r="A615" s="17" t="n">
        <v>46091</v>
      </c>
      <c r="B615" s="21" t="s">
        <v>811</v>
      </c>
      <c r="C615" s="22" t="n">
        <v>150</v>
      </c>
      <c r="D615" s="31" t="s">
        <v>29</v>
      </c>
      <c r="E615" s="21" t="s">
        <v>811</v>
      </c>
      <c r="F615" s="19" t="n">
        <v>556592781869</v>
      </c>
      <c r="G615" s="31" t="s">
        <v>812</v>
      </c>
      <c r="H615" s="21" t="s">
        <v>94</v>
      </c>
      <c r="I615" s="31" t="s">
        <v>54</v>
      </c>
      <c r="N615" s="21" t="s">
        <v>1022</v>
      </c>
      <c r="R615" s="0" t="n">
        <v>3</v>
      </c>
      <c r="S615" s="0" t="n">
        <v>2026</v>
      </c>
    </row>
    <row r="616" customFormat="false" ht="14.25" hidden="false" customHeight="false" outlineLevel="0" collapsed="false">
      <c r="A616" s="17" t="n">
        <v>46091</v>
      </c>
      <c r="B616" s="21" t="s">
        <v>1443</v>
      </c>
      <c r="C616" s="22" t="n">
        <v>600</v>
      </c>
      <c r="D616" s="31" t="s">
        <v>24</v>
      </c>
      <c r="E616" s="21" t="s">
        <v>1444</v>
      </c>
      <c r="F616" s="19" t="n">
        <v>559591640869</v>
      </c>
      <c r="G616" s="31" t="s">
        <v>1445</v>
      </c>
      <c r="H616" s="21" t="s">
        <v>94</v>
      </c>
      <c r="I616" s="31" t="s">
        <v>54</v>
      </c>
      <c r="N616" s="21" t="s">
        <v>1022</v>
      </c>
      <c r="R616" s="0" t="n">
        <v>3</v>
      </c>
      <c r="S616" s="0" t="n">
        <v>2026</v>
      </c>
    </row>
    <row r="617" customFormat="false" ht="14.25" hidden="false" customHeight="false" outlineLevel="0" collapsed="false">
      <c r="A617" s="17" t="n">
        <v>46091</v>
      </c>
      <c r="B617" s="21" t="s">
        <v>1447</v>
      </c>
      <c r="C617" s="22" t="n">
        <v>150</v>
      </c>
      <c r="D617" s="31" t="s">
        <v>32</v>
      </c>
      <c r="E617" s="21" t="s">
        <v>1448</v>
      </c>
      <c r="F617" s="19" t="n">
        <v>555499000296</v>
      </c>
      <c r="G617" s="31" t="s">
        <v>43</v>
      </c>
      <c r="H617" s="21" t="s">
        <v>94</v>
      </c>
      <c r="I617" s="31" t="s">
        <v>50</v>
      </c>
      <c r="N617" s="21" t="s">
        <v>965</v>
      </c>
      <c r="R617" s="0" t="n">
        <v>3</v>
      </c>
      <c r="S617" s="0" t="n">
        <v>2026</v>
      </c>
    </row>
    <row r="618" customFormat="false" ht="14.25" hidden="false" customHeight="false" outlineLevel="0" collapsed="false">
      <c r="A618" s="17" t="n">
        <v>46091</v>
      </c>
      <c r="B618" s="21" t="s">
        <v>1450</v>
      </c>
      <c r="C618" s="22" t="n">
        <v>120</v>
      </c>
      <c r="D618" s="31" t="s">
        <v>30</v>
      </c>
      <c r="E618" s="21" t="s">
        <v>1451</v>
      </c>
      <c r="F618" s="19" t="n">
        <v>556196234251</v>
      </c>
      <c r="G618" s="31" t="s">
        <v>1452</v>
      </c>
      <c r="H618" s="21" t="s">
        <v>94</v>
      </c>
      <c r="I618" s="31" t="s">
        <v>355</v>
      </c>
      <c r="J618" s="21" t="s">
        <v>35</v>
      </c>
      <c r="K618" s="21" t="s">
        <v>69</v>
      </c>
      <c r="L618" s="21" t="s">
        <v>70</v>
      </c>
      <c r="M618" s="21" t="s">
        <v>38</v>
      </c>
      <c r="N618" s="21" t="s">
        <v>965</v>
      </c>
      <c r="R618" s="0" t="n">
        <v>3</v>
      </c>
      <c r="S618" s="0" t="n">
        <v>2026</v>
      </c>
    </row>
    <row r="619" customFormat="false" ht="14.25" hidden="false" customHeight="false" outlineLevel="0" collapsed="false">
      <c r="A619" s="17" t="n">
        <v>46092</v>
      </c>
      <c r="B619" s="21" t="s">
        <v>1454</v>
      </c>
      <c r="C619" s="22" t="n">
        <v>150</v>
      </c>
      <c r="D619" s="31" t="s">
        <v>32</v>
      </c>
      <c r="E619" s="21" t="s">
        <v>1455</v>
      </c>
      <c r="F619" s="19" t="n">
        <v>554691206930</v>
      </c>
      <c r="G619" s="31" t="s">
        <v>1456</v>
      </c>
      <c r="H619" s="21" t="s">
        <v>94</v>
      </c>
      <c r="I619" s="31" t="s">
        <v>355</v>
      </c>
      <c r="J619" s="21" t="s">
        <v>1176</v>
      </c>
      <c r="K619" s="21" t="s">
        <v>1177</v>
      </c>
      <c r="L619" s="21" t="s">
        <v>1324</v>
      </c>
      <c r="M619" s="21" t="s">
        <v>1243</v>
      </c>
      <c r="N619" s="21" t="s">
        <v>965</v>
      </c>
      <c r="R619" s="0" t="n">
        <v>3</v>
      </c>
      <c r="S619" s="0" t="n">
        <v>2026</v>
      </c>
    </row>
    <row r="620" customFormat="false" ht="14.25" hidden="false" customHeight="false" outlineLevel="0" collapsed="false">
      <c r="A620" s="17" t="n">
        <v>46091</v>
      </c>
      <c r="B620" s="21" t="s">
        <v>1458</v>
      </c>
      <c r="C620" s="22" t="n">
        <v>150</v>
      </c>
      <c r="D620" s="31" t="s">
        <v>32</v>
      </c>
      <c r="E620" s="21" t="s">
        <v>1458</v>
      </c>
      <c r="F620" s="19" t="n">
        <v>554796532166</v>
      </c>
      <c r="G620" s="31" t="s">
        <v>1459</v>
      </c>
      <c r="H620" s="21" t="s">
        <v>94</v>
      </c>
      <c r="I620" s="31" t="s">
        <v>34</v>
      </c>
      <c r="N620" s="21" t="s">
        <v>965</v>
      </c>
      <c r="R620" s="0" t="n">
        <v>3</v>
      </c>
      <c r="S620" s="0" t="n">
        <v>2026</v>
      </c>
    </row>
    <row r="621" customFormat="false" ht="14.25" hidden="false" customHeight="false" outlineLevel="0" collapsed="false">
      <c r="A621" s="17" t="n">
        <v>46091</v>
      </c>
      <c r="B621" s="21" t="s">
        <v>294</v>
      </c>
      <c r="C621" s="22" t="n">
        <v>750</v>
      </c>
      <c r="D621" s="31" t="s">
        <v>106</v>
      </c>
      <c r="E621" s="21" t="s">
        <v>294</v>
      </c>
      <c r="F621" s="19" t="n">
        <v>5511918514374</v>
      </c>
      <c r="G621" s="31" t="s">
        <v>295</v>
      </c>
      <c r="H621" s="21" t="s">
        <v>94</v>
      </c>
      <c r="I621" s="31" t="s">
        <v>34</v>
      </c>
      <c r="N621" s="21" t="s">
        <v>965</v>
      </c>
      <c r="R621" s="0" t="n">
        <v>3</v>
      </c>
      <c r="S621" s="0" t="n">
        <v>2026</v>
      </c>
    </row>
    <row r="622" customFormat="false" ht="14.25" hidden="false" customHeight="false" outlineLevel="0" collapsed="false">
      <c r="A622" s="17" t="n">
        <v>46092</v>
      </c>
      <c r="B622" s="21" t="s">
        <v>1462</v>
      </c>
      <c r="C622" s="22" t="n">
        <v>147</v>
      </c>
      <c r="D622" s="31" t="s">
        <v>20</v>
      </c>
      <c r="E622" s="21" t="s">
        <v>1463</v>
      </c>
      <c r="F622" s="19" t="n">
        <v>554196358252</v>
      </c>
      <c r="G622" s="31" t="s">
        <v>1464</v>
      </c>
      <c r="H622" s="21" t="s">
        <v>94</v>
      </c>
      <c r="I622" s="31" t="s">
        <v>50</v>
      </c>
      <c r="N622" s="21" t="s">
        <v>965</v>
      </c>
      <c r="R622" s="0" t="n">
        <v>3</v>
      </c>
      <c r="S622" s="0" t="n">
        <v>2026</v>
      </c>
    </row>
    <row r="623" customFormat="false" ht="14.25" hidden="false" customHeight="false" outlineLevel="0" collapsed="false">
      <c r="A623" s="17" t="n">
        <v>46091</v>
      </c>
      <c r="B623" s="21" t="s">
        <v>1466</v>
      </c>
      <c r="C623" s="22" t="n">
        <v>294</v>
      </c>
      <c r="D623" s="31" t="s">
        <v>390</v>
      </c>
      <c r="E623" s="21" t="s">
        <v>1467</v>
      </c>
      <c r="F623" s="19" t="n">
        <v>554187292927</v>
      </c>
      <c r="G623" s="31" t="s">
        <v>1468</v>
      </c>
      <c r="H623" s="21" t="s">
        <v>94</v>
      </c>
      <c r="I623" s="31" t="s">
        <v>355</v>
      </c>
      <c r="N623" s="21" t="s">
        <v>965</v>
      </c>
      <c r="R623" s="0" t="n">
        <v>3</v>
      </c>
      <c r="S623" s="0" t="n">
        <v>2026</v>
      </c>
    </row>
    <row r="624" customFormat="false" ht="14.25" hidden="false" customHeight="false" outlineLevel="0" collapsed="false">
      <c r="A624" s="17" t="n">
        <v>46091</v>
      </c>
      <c r="B624" s="21" t="s">
        <v>1470</v>
      </c>
      <c r="C624" s="22" t="n">
        <v>120</v>
      </c>
      <c r="D624" s="31" t="s">
        <v>1471</v>
      </c>
      <c r="E624" s="21" t="s">
        <v>1470</v>
      </c>
      <c r="F624" s="19" t="n">
        <v>5548988493540</v>
      </c>
      <c r="G624" s="31" t="s">
        <v>43</v>
      </c>
      <c r="H624" s="21" t="s">
        <v>94</v>
      </c>
      <c r="I624" s="31" t="s">
        <v>50</v>
      </c>
      <c r="N624" s="21" t="s">
        <v>965</v>
      </c>
      <c r="R624" s="0" t="n">
        <v>3</v>
      </c>
      <c r="S624" s="0" t="n">
        <v>2026</v>
      </c>
    </row>
    <row r="625" customFormat="false" ht="14.25" hidden="false" customHeight="false" outlineLevel="0" collapsed="false">
      <c r="A625" s="17" t="n">
        <v>46092</v>
      </c>
      <c r="B625" s="21" t="s">
        <v>1473</v>
      </c>
      <c r="C625" s="22" t="n">
        <v>194</v>
      </c>
      <c r="D625" s="31" t="s">
        <v>20</v>
      </c>
      <c r="E625" s="21" t="s">
        <v>1474</v>
      </c>
      <c r="F625" s="19" t="n">
        <v>555496483450</v>
      </c>
      <c r="G625" s="31" t="s">
        <v>43</v>
      </c>
      <c r="H625" s="21" t="s">
        <v>94</v>
      </c>
      <c r="I625" s="31" t="s">
        <v>50</v>
      </c>
      <c r="N625" s="21" t="s">
        <v>965</v>
      </c>
      <c r="R625" s="0" t="n">
        <v>3</v>
      </c>
      <c r="S625" s="0" t="n">
        <v>2026</v>
      </c>
    </row>
    <row r="626" customFormat="false" ht="14.25" hidden="false" customHeight="false" outlineLevel="0" collapsed="false">
      <c r="A626" s="17" t="n">
        <v>46092</v>
      </c>
      <c r="B626" s="21" t="s">
        <v>1476</v>
      </c>
      <c r="C626" s="22" t="n">
        <v>147</v>
      </c>
      <c r="D626" s="31" t="s">
        <v>390</v>
      </c>
      <c r="E626" s="21" t="s">
        <v>1477</v>
      </c>
      <c r="F626" s="19" t="n">
        <v>554196591179</v>
      </c>
      <c r="G626" s="31" t="s">
        <v>1478</v>
      </c>
      <c r="H626" s="21" t="s">
        <v>94</v>
      </c>
      <c r="I626" s="31" t="s">
        <v>34</v>
      </c>
      <c r="J626" s="21" t="s">
        <v>35</v>
      </c>
      <c r="K626" s="21" t="s">
        <v>69</v>
      </c>
      <c r="L626" s="21" t="s">
        <v>70</v>
      </c>
      <c r="M626" s="21" t="s">
        <v>38</v>
      </c>
      <c r="N626" s="21" t="s">
        <v>965</v>
      </c>
      <c r="R626" s="0" t="n">
        <v>3</v>
      </c>
      <c r="S626" s="0" t="n">
        <v>2026</v>
      </c>
    </row>
    <row r="627" customFormat="false" ht="14.25" hidden="false" customHeight="false" outlineLevel="0" collapsed="false">
      <c r="A627" s="17" t="n">
        <v>46092</v>
      </c>
      <c r="B627" s="21" t="s">
        <v>1480</v>
      </c>
      <c r="C627" s="22" t="n">
        <v>147</v>
      </c>
      <c r="D627" s="31" t="s">
        <v>390</v>
      </c>
      <c r="E627" s="21" t="s">
        <v>1480</v>
      </c>
      <c r="F627" s="19" t="n">
        <v>554891705244</v>
      </c>
      <c r="G627" s="31" t="s">
        <v>1481</v>
      </c>
      <c r="H627" s="21" t="s">
        <v>94</v>
      </c>
      <c r="I627" s="31" t="s">
        <v>355</v>
      </c>
      <c r="N627" s="21" t="s">
        <v>965</v>
      </c>
      <c r="R627" s="0" t="n">
        <v>3</v>
      </c>
      <c r="S627" s="0" t="n">
        <v>2026</v>
      </c>
    </row>
    <row r="628" customFormat="false" ht="14.25" hidden="false" customHeight="false" outlineLevel="0" collapsed="false">
      <c r="A628" s="17" t="n">
        <v>46092</v>
      </c>
      <c r="B628" s="21" t="s">
        <v>1483</v>
      </c>
      <c r="C628" s="22" t="n">
        <v>194</v>
      </c>
      <c r="D628" s="31" t="s">
        <v>20</v>
      </c>
      <c r="E628" s="21" t="s">
        <v>1484</v>
      </c>
      <c r="F628" s="19" t="n">
        <v>554195121320</v>
      </c>
      <c r="G628" s="31" t="s">
        <v>1485</v>
      </c>
      <c r="H628" s="21" t="s">
        <v>94</v>
      </c>
      <c r="I628" s="31" t="s">
        <v>34</v>
      </c>
      <c r="N628" s="21" t="s">
        <v>965</v>
      </c>
      <c r="R628" s="0" t="n">
        <v>3</v>
      </c>
      <c r="S628" s="0" t="n">
        <v>2026</v>
      </c>
    </row>
    <row r="629" customFormat="false" ht="14.25" hidden="false" customHeight="false" outlineLevel="0" collapsed="false">
      <c r="A629" s="17" t="n">
        <v>46092</v>
      </c>
      <c r="B629" s="21" t="s">
        <v>1196</v>
      </c>
      <c r="C629" s="22" t="n">
        <v>150</v>
      </c>
      <c r="D629" s="31" t="s">
        <v>32</v>
      </c>
      <c r="E629" s="21" t="s">
        <v>1196</v>
      </c>
      <c r="F629" s="19" t="n">
        <v>5511965251647</v>
      </c>
      <c r="G629" s="31" t="s">
        <v>1197</v>
      </c>
      <c r="H629" s="21" t="s">
        <v>94</v>
      </c>
      <c r="I629" s="31" t="s">
        <v>54</v>
      </c>
      <c r="N629" s="21" t="s">
        <v>1022</v>
      </c>
      <c r="R629" s="0" t="n">
        <v>3</v>
      </c>
      <c r="S629" s="0" t="n">
        <v>2026</v>
      </c>
    </row>
    <row r="630" customFormat="false" ht="14.25" hidden="false" customHeight="false" outlineLevel="0" collapsed="false">
      <c r="A630" s="17" t="n">
        <v>46092</v>
      </c>
      <c r="B630" s="21" t="s">
        <v>1488</v>
      </c>
      <c r="C630" s="22" t="n">
        <v>147</v>
      </c>
      <c r="D630" s="31" t="s">
        <v>18</v>
      </c>
      <c r="E630" s="21" t="s">
        <v>1488</v>
      </c>
      <c r="F630" s="19" t="n">
        <v>559591259323</v>
      </c>
      <c r="G630" s="31" t="s">
        <v>1489</v>
      </c>
      <c r="H630" s="21" t="s">
        <v>94</v>
      </c>
      <c r="I630" s="31" t="s">
        <v>34</v>
      </c>
      <c r="N630" s="21" t="s">
        <v>965</v>
      </c>
      <c r="R630" s="0" t="n">
        <v>3</v>
      </c>
      <c r="S630" s="0" t="n">
        <v>2026</v>
      </c>
    </row>
    <row r="631" customFormat="false" ht="14.25" hidden="false" customHeight="false" outlineLevel="0" collapsed="false">
      <c r="A631" s="17" t="n">
        <v>46092</v>
      </c>
      <c r="B631" s="21" t="s">
        <v>1491</v>
      </c>
      <c r="C631" s="22" t="n">
        <v>120</v>
      </c>
      <c r="D631" s="31" t="s">
        <v>23</v>
      </c>
      <c r="E631" s="21" t="s">
        <v>1492</v>
      </c>
      <c r="F631" s="19" t="n">
        <v>554195850524</v>
      </c>
      <c r="G631" s="31" t="s">
        <v>1493</v>
      </c>
      <c r="H631" s="21" t="s">
        <v>94</v>
      </c>
      <c r="I631" s="31" t="s">
        <v>54</v>
      </c>
      <c r="N631" s="21" t="s">
        <v>1022</v>
      </c>
      <c r="R631" s="0" t="n">
        <v>3</v>
      </c>
      <c r="S631" s="0" t="n">
        <v>2026</v>
      </c>
    </row>
    <row r="632" customFormat="false" ht="14.25" hidden="false" customHeight="false" outlineLevel="0" collapsed="false">
      <c r="A632" s="17" t="n">
        <v>46092</v>
      </c>
      <c r="B632" s="21" t="s">
        <v>1495</v>
      </c>
      <c r="C632" s="22" t="n">
        <v>150</v>
      </c>
      <c r="D632" s="31" t="s">
        <v>32</v>
      </c>
      <c r="E632" s="21" t="s">
        <v>1496</v>
      </c>
      <c r="F632" s="19" t="n">
        <v>559591464074</v>
      </c>
      <c r="G632" s="31" t="s">
        <v>43</v>
      </c>
      <c r="H632" s="21" t="s">
        <v>94</v>
      </c>
      <c r="I632" s="31" t="s">
        <v>50</v>
      </c>
      <c r="N632" s="21" t="s">
        <v>965</v>
      </c>
      <c r="R632" s="0" t="n">
        <v>3</v>
      </c>
      <c r="S632" s="0" t="n">
        <v>2026</v>
      </c>
    </row>
    <row r="633" customFormat="false" ht="14.25" hidden="false" customHeight="false" outlineLevel="0" collapsed="false">
      <c r="A633" s="17" t="n">
        <v>46092</v>
      </c>
      <c r="B633" s="21" t="s">
        <v>1498</v>
      </c>
      <c r="C633" s="22" t="n">
        <v>180</v>
      </c>
      <c r="D633" s="31" t="s">
        <v>25</v>
      </c>
      <c r="E633" s="21" t="s">
        <v>1498</v>
      </c>
      <c r="F633" s="19" t="n">
        <v>554185252121</v>
      </c>
      <c r="G633" s="31" t="s">
        <v>1499</v>
      </c>
      <c r="H633" s="21" t="s">
        <v>94</v>
      </c>
      <c r="I633" s="31" t="s">
        <v>54</v>
      </c>
      <c r="N633" s="21" t="s">
        <v>1022</v>
      </c>
      <c r="R633" s="0" t="n">
        <v>3</v>
      </c>
      <c r="S633" s="0" t="n">
        <v>2026</v>
      </c>
    </row>
    <row r="634" customFormat="false" ht="14.25" hidden="false" customHeight="false" outlineLevel="0" collapsed="false">
      <c r="A634" s="17" t="n">
        <v>46092</v>
      </c>
      <c r="B634" s="21" t="s">
        <v>1500</v>
      </c>
      <c r="C634" s="22" t="n">
        <v>240</v>
      </c>
      <c r="D634" s="31" t="s">
        <v>30</v>
      </c>
      <c r="E634" s="21" t="s">
        <v>1500</v>
      </c>
      <c r="F634" s="19" t="n">
        <v>554195504940</v>
      </c>
      <c r="G634" s="31" t="s">
        <v>1501</v>
      </c>
      <c r="H634" s="21" t="s">
        <v>94</v>
      </c>
      <c r="I634" s="31" t="s">
        <v>355</v>
      </c>
      <c r="J634" s="21" t="s">
        <v>35</v>
      </c>
      <c r="K634" s="21" t="s">
        <v>69</v>
      </c>
      <c r="L634" s="21" t="s">
        <v>528</v>
      </c>
      <c r="M634" s="21" t="s">
        <v>38</v>
      </c>
      <c r="N634" s="21" t="s">
        <v>965</v>
      </c>
      <c r="R634" s="0" t="n">
        <v>3</v>
      </c>
      <c r="S634" s="0" t="n">
        <v>2026</v>
      </c>
    </row>
    <row r="635" customFormat="false" ht="14.25" hidden="false" customHeight="false" outlineLevel="0" collapsed="false">
      <c r="A635" s="17" t="n">
        <v>46092</v>
      </c>
      <c r="B635" s="21" t="s">
        <v>1502</v>
      </c>
      <c r="C635" s="22" t="n">
        <v>240</v>
      </c>
      <c r="D635" s="31" t="s">
        <v>30</v>
      </c>
      <c r="E635" s="21" t="s">
        <v>1503</v>
      </c>
      <c r="F635" s="19" t="n">
        <v>5511954079148</v>
      </c>
      <c r="G635" s="31" t="s">
        <v>1504</v>
      </c>
      <c r="H635" s="21" t="s">
        <v>94</v>
      </c>
      <c r="I635" s="31" t="s">
        <v>34</v>
      </c>
      <c r="N635" s="21" t="s">
        <v>965</v>
      </c>
      <c r="R635" s="0" t="n">
        <v>3</v>
      </c>
      <c r="S635" s="0" t="n">
        <v>2026</v>
      </c>
    </row>
    <row r="636" customFormat="false" ht="14.25" hidden="false" customHeight="false" outlineLevel="0" collapsed="false">
      <c r="A636" s="17" t="n">
        <v>46092</v>
      </c>
      <c r="B636" s="21" t="s">
        <v>1505</v>
      </c>
      <c r="C636" s="22" t="n">
        <v>150</v>
      </c>
      <c r="D636" s="31" t="s">
        <v>32</v>
      </c>
      <c r="E636" s="21" t="s">
        <v>1506</v>
      </c>
      <c r="F636" s="19" t="n">
        <v>556298601358</v>
      </c>
      <c r="G636" s="31" t="s">
        <v>1507</v>
      </c>
      <c r="H636" s="21" t="s">
        <v>94</v>
      </c>
      <c r="I636" s="31" t="s">
        <v>34</v>
      </c>
      <c r="J636" s="21" t="s">
        <v>35</v>
      </c>
      <c r="K636" s="21" t="s">
        <v>36</v>
      </c>
      <c r="L636" s="21" t="s">
        <v>37</v>
      </c>
      <c r="M636" s="21" t="s">
        <v>38</v>
      </c>
      <c r="N636" s="21" t="s">
        <v>965</v>
      </c>
      <c r="R636" s="0" t="n">
        <v>3</v>
      </c>
      <c r="S636" s="0" t="n">
        <v>2026</v>
      </c>
    </row>
    <row r="637" customFormat="false" ht="14.25" hidden="false" customHeight="false" outlineLevel="0" collapsed="false">
      <c r="A637" s="17" t="n">
        <v>46093</v>
      </c>
      <c r="B637" s="21" t="s">
        <v>1509</v>
      </c>
      <c r="C637" s="22" t="n">
        <v>150</v>
      </c>
      <c r="D637" s="31" t="s">
        <v>32</v>
      </c>
      <c r="E637" s="21" t="s">
        <v>1509</v>
      </c>
      <c r="F637" s="19" t="n">
        <v>554598099536</v>
      </c>
      <c r="G637" s="31" t="s">
        <v>1510</v>
      </c>
      <c r="H637" s="21" t="s">
        <v>94</v>
      </c>
      <c r="I637" s="31" t="s">
        <v>34</v>
      </c>
      <c r="N637" s="21" t="s">
        <v>965</v>
      </c>
      <c r="R637" s="0" t="n">
        <v>3</v>
      </c>
      <c r="S637" s="0" t="n">
        <v>2026</v>
      </c>
    </row>
    <row r="638" customFormat="false" ht="14.25" hidden="false" customHeight="false" outlineLevel="0" collapsed="false">
      <c r="A638" s="17" t="n">
        <v>46092</v>
      </c>
      <c r="B638" s="21" t="s">
        <v>1511</v>
      </c>
      <c r="C638" s="22" t="n">
        <v>197</v>
      </c>
      <c r="D638" s="31" t="s">
        <v>28</v>
      </c>
      <c r="E638" s="21" t="s">
        <v>1511</v>
      </c>
      <c r="F638" s="19" t="n">
        <v>554796019207</v>
      </c>
      <c r="G638" s="31" t="s">
        <v>1512</v>
      </c>
      <c r="H638" s="21" t="s">
        <v>94</v>
      </c>
      <c r="I638" s="31" t="s">
        <v>34</v>
      </c>
      <c r="N638" s="21" t="s">
        <v>965</v>
      </c>
      <c r="R638" s="0" t="n">
        <v>3</v>
      </c>
      <c r="S638" s="0" t="n">
        <v>2026</v>
      </c>
    </row>
    <row r="639" customFormat="false" ht="14.25" hidden="false" customHeight="false" outlineLevel="0" collapsed="false">
      <c r="A639" s="17" t="n">
        <v>46092</v>
      </c>
      <c r="B639" s="21" t="s">
        <v>972</v>
      </c>
      <c r="C639" s="22" t="n">
        <v>120</v>
      </c>
      <c r="D639" s="31" t="s">
        <v>21</v>
      </c>
      <c r="E639" s="21" t="s">
        <v>972</v>
      </c>
      <c r="F639" s="19" t="n">
        <v>554788892712</v>
      </c>
      <c r="G639" s="31" t="s">
        <v>973</v>
      </c>
      <c r="H639" s="21" t="s">
        <v>94</v>
      </c>
      <c r="I639" s="31" t="s">
        <v>34</v>
      </c>
      <c r="N639" s="21" t="s">
        <v>965</v>
      </c>
      <c r="R639" s="0" t="n">
        <v>3</v>
      </c>
      <c r="S639" s="0" t="n">
        <v>2026</v>
      </c>
    </row>
    <row r="640" customFormat="false" ht="14.25" hidden="false" customHeight="false" outlineLevel="0" collapsed="false">
      <c r="A640" s="17" t="n">
        <v>46092</v>
      </c>
      <c r="B640" s="21" t="s">
        <v>1513</v>
      </c>
      <c r="C640" s="22" t="n">
        <v>20</v>
      </c>
      <c r="D640" s="31" t="s">
        <v>862</v>
      </c>
      <c r="E640" s="21" t="s">
        <v>1513</v>
      </c>
      <c r="F640" s="19" t="n">
        <v>5511975290592</v>
      </c>
      <c r="G640" s="31" t="s">
        <v>1514</v>
      </c>
      <c r="H640" s="21" t="s">
        <v>94</v>
      </c>
      <c r="I640" s="31" t="s">
        <v>54</v>
      </c>
      <c r="N640" s="21" t="s">
        <v>1022</v>
      </c>
      <c r="R640" s="0" t="n">
        <v>3</v>
      </c>
      <c r="S640" s="0" t="n">
        <v>2026</v>
      </c>
    </row>
    <row r="641" customFormat="false" ht="14.25" hidden="false" customHeight="false" outlineLevel="0" collapsed="false">
      <c r="A641" s="17" t="n">
        <v>46092</v>
      </c>
      <c r="B641" s="21" t="s">
        <v>1154</v>
      </c>
      <c r="C641" s="22" t="n">
        <v>600</v>
      </c>
      <c r="D641" s="31" t="s">
        <v>27</v>
      </c>
      <c r="E641" s="21" t="s">
        <v>1154</v>
      </c>
      <c r="F641" s="19" t="n">
        <v>5519996916795</v>
      </c>
      <c r="G641" s="31" t="s">
        <v>1155</v>
      </c>
      <c r="H641" s="21" t="s">
        <v>94</v>
      </c>
      <c r="I641" s="31" t="s">
        <v>54</v>
      </c>
      <c r="N641" s="21" t="s">
        <v>1022</v>
      </c>
      <c r="R641" s="0" t="n">
        <v>3</v>
      </c>
      <c r="S641" s="0" t="n">
        <v>2026</v>
      </c>
    </row>
    <row r="642" customFormat="false" ht="14.25" hidden="false" customHeight="false" outlineLevel="0" collapsed="false">
      <c r="A642" s="17" t="n">
        <v>46093</v>
      </c>
      <c r="B642" s="21" t="s">
        <v>1516</v>
      </c>
      <c r="C642" s="22" t="n">
        <v>291</v>
      </c>
      <c r="D642" s="31" t="s">
        <v>20</v>
      </c>
      <c r="E642" s="21" t="s">
        <v>1516</v>
      </c>
      <c r="F642" s="19" t="n">
        <v>559584298986</v>
      </c>
      <c r="G642" s="31" t="s">
        <v>1517</v>
      </c>
      <c r="H642" s="21" t="s">
        <v>94</v>
      </c>
      <c r="I642" s="31" t="s">
        <v>34</v>
      </c>
      <c r="N642" s="21" t="s">
        <v>965</v>
      </c>
      <c r="R642" s="0" t="n">
        <v>3</v>
      </c>
      <c r="S642" s="0" t="n">
        <v>2026</v>
      </c>
    </row>
    <row r="643" customFormat="false" ht="14.25" hidden="false" customHeight="false" outlineLevel="0" collapsed="false">
      <c r="A643" s="17" t="n">
        <v>46093</v>
      </c>
      <c r="B643" s="21" t="s">
        <v>1519</v>
      </c>
      <c r="C643" s="22" t="n">
        <v>420</v>
      </c>
      <c r="D643" s="31" t="s">
        <v>30</v>
      </c>
      <c r="E643" s="21" t="s">
        <v>1520</v>
      </c>
      <c r="F643" s="19" t="n">
        <v>559591618846</v>
      </c>
      <c r="G643" s="31" t="s">
        <v>1521</v>
      </c>
      <c r="H643" s="21" t="s">
        <v>94</v>
      </c>
      <c r="I643" s="31" t="s">
        <v>34</v>
      </c>
      <c r="N643" s="21" t="s">
        <v>965</v>
      </c>
      <c r="R643" s="0" t="n">
        <v>3</v>
      </c>
      <c r="S643" s="0" t="n">
        <v>2026</v>
      </c>
    </row>
    <row r="644" customFormat="false" ht="14.25" hidden="false" customHeight="false" outlineLevel="0" collapsed="false">
      <c r="A644" s="17" t="n">
        <v>46093</v>
      </c>
      <c r="B644" s="21" t="s">
        <v>1523</v>
      </c>
      <c r="C644" s="22" t="n">
        <v>150</v>
      </c>
      <c r="D644" s="31" t="s">
        <v>32</v>
      </c>
      <c r="E644" s="21" t="s">
        <v>1523</v>
      </c>
      <c r="F644" s="19" t="n">
        <v>5353198044</v>
      </c>
      <c r="G644" s="31" t="s">
        <v>1524</v>
      </c>
      <c r="H644" s="21" t="s">
        <v>94</v>
      </c>
      <c r="I644" s="31" t="s">
        <v>34</v>
      </c>
      <c r="N644" s="21" t="s">
        <v>965</v>
      </c>
      <c r="R644" s="0" t="n">
        <v>3</v>
      </c>
      <c r="S644" s="0" t="n">
        <v>2026</v>
      </c>
    </row>
    <row r="645" customFormat="false" ht="14.25" hidden="false" customHeight="false" outlineLevel="0" collapsed="false">
      <c r="A645" s="17" t="n">
        <v>46092</v>
      </c>
      <c r="B645" s="21" t="s">
        <v>1526</v>
      </c>
      <c r="C645" s="22" t="n">
        <v>147</v>
      </c>
      <c r="D645" s="31" t="s">
        <v>390</v>
      </c>
      <c r="E645" s="21" t="s">
        <v>1526</v>
      </c>
      <c r="F645" s="19" t="n">
        <v>56972408728</v>
      </c>
      <c r="G645" s="31" t="s">
        <v>1527</v>
      </c>
      <c r="H645" s="21" t="s">
        <v>94</v>
      </c>
      <c r="I645" s="31" t="s">
        <v>50</v>
      </c>
      <c r="J645" s="21" t="s">
        <v>97</v>
      </c>
      <c r="K645" s="21" t="s">
        <v>20</v>
      </c>
      <c r="L645" s="21" t="s">
        <v>469</v>
      </c>
      <c r="M645" s="21" t="s">
        <v>99</v>
      </c>
      <c r="N645" s="21" t="s">
        <v>965</v>
      </c>
      <c r="R645" s="0" t="n">
        <v>3</v>
      </c>
      <c r="S645" s="0" t="n">
        <v>2026</v>
      </c>
    </row>
    <row r="646" customFormat="false" ht="14.25" hidden="false" customHeight="false" outlineLevel="0" collapsed="false">
      <c r="A646" s="17" t="n">
        <v>46093</v>
      </c>
      <c r="B646" s="21" t="s">
        <v>1529</v>
      </c>
      <c r="C646" s="22" t="n">
        <v>120</v>
      </c>
      <c r="D646" s="31" t="s">
        <v>30</v>
      </c>
      <c r="E646" s="21" t="s">
        <v>1530</v>
      </c>
      <c r="F646" s="19" t="n">
        <v>5355635519</v>
      </c>
      <c r="G646" s="31" t="s">
        <v>1531</v>
      </c>
      <c r="H646" s="21" t="s">
        <v>94</v>
      </c>
      <c r="I646" s="31" t="s">
        <v>50</v>
      </c>
      <c r="N646" s="21" t="s">
        <v>965</v>
      </c>
      <c r="R646" s="0" t="n">
        <v>3</v>
      </c>
      <c r="S646" s="0" t="n">
        <v>2026</v>
      </c>
    </row>
    <row r="647" customFormat="false" ht="14.25" hidden="false" customHeight="false" outlineLevel="0" collapsed="false">
      <c r="A647" s="17" t="n">
        <v>46093</v>
      </c>
      <c r="B647" s="21" t="s">
        <v>1533</v>
      </c>
      <c r="C647" s="22" t="n">
        <v>150</v>
      </c>
      <c r="D647" s="31" t="s">
        <v>390</v>
      </c>
      <c r="E647" s="21" t="s">
        <v>1533</v>
      </c>
      <c r="F647" s="19" t="n">
        <v>554188492542</v>
      </c>
      <c r="G647" s="31" t="s">
        <v>1534</v>
      </c>
      <c r="H647" s="21" t="s">
        <v>94</v>
      </c>
      <c r="I647" s="31" t="s">
        <v>355</v>
      </c>
      <c r="J647" s="21" t="s">
        <v>35</v>
      </c>
      <c r="K647" s="21" t="s">
        <v>69</v>
      </c>
      <c r="L647" s="21" t="s">
        <v>70</v>
      </c>
      <c r="M647" s="21" t="s">
        <v>38</v>
      </c>
      <c r="N647" s="21" t="s">
        <v>965</v>
      </c>
      <c r="R647" s="0" t="n">
        <v>3</v>
      </c>
      <c r="S647" s="0" t="n">
        <v>2026</v>
      </c>
    </row>
    <row r="648" customFormat="false" ht="14.25" hidden="false" customHeight="false" outlineLevel="0" collapsed="false">
      <c r="A648" s="17" t="n">
        <v>46093</v>
      </c>
      <c r="B648" s="21" t="s">
        <v>1536</v>
      </c>
      <c r="C648" s="22" t="n">
        <v>97</v>
      </c>
      <c r="D648" s="31" t="s">
        <v>20</v>
      </c>
      <c r="E648" s="21" t="s">
        <v>346</v>
      </c>
      <c r="F648" s="19" t="n">
        <v>559584250378</v>
      </c>
      <c r="G648" s="31" t="s">
        <v>1537</v>
      </c>
      <c r="H648" s="21" t="s">
        <v>94</v>
      </c>
      <c r="I648" s="31" t="s">
        <v>50</v>
      </c>
      <c r="J648" s="21" t="s">
        <v>35</v>
      </c>
      <c r="K648" s="21" t="s">
        <v>36</v>
      </c>
      <c r="L648" s="21" t="s">
        <v>37</v>
      </c>
      <c r="M648" s="21" t="s">
        <v>38</v>
      </c>
      <c r="N648" s="21" t="s">
        <v>965</v>
      </c>
      <c r="R648" s="0" t="n">
        <v>3</v>
      </c>
      <c r="S648" s="0" t="n">
        <v>2026</v>
      </c>
    </row>
    <row r="649" customFormat="false" ht="14.25" hidden="false" customHeight="false" outlineLevel="0" collapsed="false">
      <c r="A649" s="17" t="n">
        <v>46093</v>
      </c>
      <c r="B649" s="21" t="s">
        <v>1539</v>
      </c>
      <c r="C649" s="22" t="n">
        <v>120</v>
      </c>
      <c r="D649" s="31" t="s">
        <v>23</v>
      </c>
      <c r="E649" s="21" t="s">
        <v>1540</v>
      </c>
      <c r="F649" s="19" t="n">
        <v>559591372343</v>
      </c>
      <c r="G649" s="31" t="s">
        <v>33</v>
      </c>
      <c r="H649" s="21" t="s">
        <v>94</v>
      </c>
      <c r="I649" s="31" t="s">
        <v>34</v>
      </c>
      <c r="N649" s="21" t="s">
        <v>965</v>
      </c>
      <c r="R649" s="0" t="n">
        <v>3</v>
      </c>
      <c r="S649" s="0" t="n">
        <v>2026</v>
      </c>
    </row>
    <row r="650" customFormat="false" ht="14.25" hidden="false" customHeight="false" outlineLevel="0" collapsed="false">
      <c r="A650" s="17" t="n">
        <v>46093</v>
      </c>
      <c r="B650" s="21" t="s">
        <v>1542</v>
      </c>
      <c r="C650" s="22" t="n">
        <v>147</v>
      </c>
      <c r="D650" s="31" t="s">
        <v>18</v>
      </c>
      <c r="E650" s="21" t="s">
        <v>1542</v>
      </c>
      <c r="F650" s="19" t="n">
        <v>5515997950933</v>
      </c>
      <c r="G650" s="31" t="s">
        <v>1543</v>
      </c>
      <c r="H650" s="21" t="s">
        <v>94</v>
      </c>
      <c r="I650" s="31" t="s">
        <v>355</v>
      </c>
      <c r="N650" s="21" t="s">
        <v>965</v>
      </c>
      <c r="R650" s="0" t="n">
        <v>3</v>
      </c>
      <c r="S650" s="0" t="n">
        <v>2026</v>
      </c>
    </row>
    <row r="651" customFormat="false" ht="14.25" hidden="false" customHeight="false" outlineLevel="0" collapsed="false">
      <c r="A651" s="17" t="n">
        <v>46093</v>
      </c>
      <c r="B651" s="21" t="s">
        <v>1545</v>
      </c>
      <c r="C651" s="22" t="n">
        <v>150</v>
      </c>
      <c r="D651" s="31" t="s">
        <v>32</v>
      </c>
      <c r="E651" s="21" t="s">
        <v>1545</v>
      </c>
      <c r="F651" s="19" t="n">
        <v>5519981530343</v>
      </c>
      <c r="G651" s="31" t="s">
        <v>1546</v>
      </c>
      <c r="H651" s="21" t="s">
        <v>94</v>
      </c>
      <c r="I651" s="31" t="s">
        <v>355</v>
      </c>
      <c r="N651" s="21" t="s">
        <v>965</v>
      </c>
      <c r="R651" s="0" t="n">
        <v>3</v>
      </c>
      <c r="S651" s="0" t="n">
        <v>2026</v>
      </c>
    </row>
    <row r="652" customFormat="false" ht="14.25" hidden="false" customHeight="false" outlineLevel="0" collapsed="false">
      <c r="A652" s="17" t="n">
        <v>46093</v>
      </c>
      <c r="B652" s="21" t="s">
        <v>912</v>
      </c>
      <c r="C652" s="22" t="n">
        <v>90</v>
      </c>
      <c r="D652" s="31" t="s">
        <v>16</v>
      </c>
      <c r="E652" s="21" t="s">
        <v>1263</v>
      </c>
      <c r="F652" s="19" t="n">
        <v>5519992392675</v>
      </c>
      <c r="G652" s="31" t="s">
        <v>1264</v>
      </c>
      <c r="H652" s="21" t="s">
        <v>94</v>
      </c>
      <c r="I652" s="31" t="s">
        <v>54</v>
      </c>
      <c r="N652" s="21" t="s">
        <v>1022</v>
      </c>
      <c r="R652" s="0" t="n">
        <v>3</v>
      </c>
      <c r="S652" s="0" t="n">
        <v>2026</v>
      </c>
    </row>
    <row r="653" customFormat="false" ht="14.25" hidden="false" customHeight="false" outlineLevel="0" collapsed="false">
      <c r="A653" s="17" t="n">
        <v>46093</v>
      </c>
      <c r="B653" s="21" t="s">
        <v>1260</v>
      </c>
      <c r="C653" s="22" t="n">
        <v>900</v>
      </c>
      <c r="D653" s="31" t="s">
        <v>24</v>
      </c>
      <c r="E653" s="21" t="s">
        <v>1260</v>
      </c>
      <c r="F653" s="19" t="n">
        <v>554197169992</v>
      </c>
      <c r="G653" s="31" t="s">
        <v>1261</v>
      </c>
      <c r="H653" s="21" t="s">
        <v>94</v>
      </c>
      <c r="I653" s="31" t="s">
        <v>54</v>
      </c>
      <c r="N653" s="21" t="s">
        <v>1022</v>
      </c>
      <c r="R653" s="0" t="n">
        <v>3</v>
      </c>
      <c r="S653" s="0" t="n">
        <v>2026</v>
      </c>
    </row>
    <row r="654" customFormat="false" ht="14.25" hidden="false" customHeight="false" outlineLevel="0" collapsed="false">
      <c r="A654" s="17" t="n">
        <v>46093</v>
      </c>
      <c r="B654" s="21" t="s">
        <v>1550</v>
      </c>
      <c r="C654" s="22" t="n">
        <v>97</v>
      </c>
      <c r="D654" s="31" t="s">
        <v>20</v>
      </c>
      <c r="E654" s="21" t="s">
        <v>1550</v>
      </c>
      <c r="F654" s="19" t="n">
        <v>559584382054</v>
      </c>
      <c r="G654" s="31" t="s">
        <v>1551</v>
      </c>
      <c r="H654" s="21" t="s">
        <v>94</v>
      </c>
      <c r="I654" s="31" t="s">
        <v>50</v>
      </c>
      <c r="J654" s="21" t="s">
        <v>35</v>
      </c>
      <c r="K654" s="21" t="s">
        <v>36</v>
      </c>
      <c r="L654" s="21" t="s">
        <v>37</v>
      </c>
      <c r="M654" s="21" t="s">
        <v>38</v>
      </c>
      <c r="N654" s="21" t="s">
        <v>965</v>
      </c>
      <c r="R654" s="0" t="n">
        <v>3</v>
      </c>
      <c r="S654" s="0" t="n">
        <v>2026</v>
      </c>
    </row>
    <row r="655" customFormat="false" ht="14.25" hidden="false" customHeight="false" outlineLevel="0" collapsed="false">
      <c r="A655" s="17" t="n">
        <v>46093</v>
      </c>
      <c r="B655" s="21" t="s">
        <v>1553</v>
      </c>
      <c r="C655" s="22" t="n">
        <v>150</v>
      </c>
      <c r="D655" s="31" t="s">
        <v>32</v>
      </c>
      <c r="E655" s="21" t="s">
        <v>1553</v>
      </c>
      <c r="F655" s="19" t="n">
        <v>554599647201</v>
      </c>
      <c r="G655" s="31" t="s">
        <v>33</v>
      </c>
      <c r="H655" s="21" t="s">
        <v>94</v>
      </c>
      <c r="I655" s="31" t="s">
        <v>34</v>
      </c>
      <c r="N655" s="21" t="s">
        <v>965</v>
      </c>
      <c r="R655" s="0" t="n">
        <v>3</v>
      </c>
      <c r="S655" s="0" t="n">
        <v>2026</v>
      </c>
    </row>
    <row r="656" customFormat="false" ht="14.25" hidden="false" customHeight="false" outlineLevel="0" collapsed="false">
      <c r="A656" s="17" t="n">
        <v>46093</v>
      </c>
      <c r="B656" s="21" t="s">
        <v>1555</v>
      </c>
      <c r="C656" s="22" t="n">
        <v>150</v>
      </c>
      <c r="D656" s="31" t="s">
        <v>32</v>
      </c>
      <c r="E656" s="21" t="s">
        <v>1556</v>
      </c>
      <c r="F656" s="19" t="n">
        <v>56990727434</v>
      </c>
      <c r="G656" s="31" t="s">
        <v>1557</v>
      </c>
      <c r="H656" s="21" t="s">
        <v>1558</v>
      </c>
      <c r="I656" s="31" t="s">
        <v>34</v>
      </c>
      <c r="N656" s="21" t="s">
        <v>965</v>
      </c>
      <c r="R656" s="0" t="n">
        <v>3</v>
      </c>
      <c r="S656" s="0" t="n">
        <v>2026</v>
      </c>
    </row>
    <row r="657" customFormat="false" ht="14.25" hidden="false" customHeight="false" outlineLevel="0" collapsed="false">
      <c r="A657" s="17" t="n">
        <v>46093</v>
      </c>
      <c r="B657" s="21" t="s">
        <v>1560</v>
      </c>
      <c r="C657" s="22" t="n">
        <v>750</v>
      </c>
      <c r="D657" s="31" t="s">
        <v>27</v>
      </c>
      <c r="E657" s="21" t="s">
        <v>1560</v>
      </c>
      <c r="F657" s="19" t="n">
        <v>555197087967</v>
      </c>
      <c r="G657" s="31" t="s">
        <v>1561</v>
      </c>
      <c r="H657" s="21" t="s">
        <v>94</v>
      </c>
      <c r="I657" s="31" t="s">
        <v>50</v>
      </c>
      <c r="N657" s="21" t="s">
        <v>965</v>
      </c>
      <c r="R657" s="0" t="n">
        <v>3</v>
      </c>
      <c r="S657" s="0" t="n">
        <v>2026</v>
      </c>
    </row>
    <row r="658" customFormat="false" ht="14.25" hidden="false" customHeight="false" outlineLevel="0" collapsed="false">
      <c r="A658" s="17" t="n">
        <v>46093</v>
      </c>
      <c r="B658" s="21" t="s">
        <v>135</v>
      </c>
      <c r="C658" s="22" t="n">
        <v>500</v>
      </c>
      <c r="D658" s="31" t="s">
        <v>27</v>
      </c>
      <c r="E658" s="21" t="s">
        <v>135</v>
      </c>
      <c r="F658" s="19" t="n">
        <v>554184708349</v>
      </c>
      <c r="G658" s="31" t="s">
        <v>136</v>
      </c>
      <c r="H658" s="21" t="s">
        <v>94</v>
      </c>
      <c r="I658" s="31" t="s">
        <v>54</v>
      </c>
      <c r="N658" s="21" t="s">
        <v>1022</v>
      </c>
      <c r="R658" s="0" t="n">
        <v>3</v>
      </c>
      <c r="S658" s="0" t="n">
        <v>2026</v>
      </c>
    </row>
    <row r="659" customFormat="false" ht="14.25" hidden="false" customHeight="false" outlineLevel="0" collapsed="false">
      <c r="A659" s="17" t="n">
        <v>46093</v>
      </c>
      <c r="B659" s="21" t="s">
        <v>1564</v>
      </c>
      <c r="C659" s="22" t="n">
        <v>147</v>
      </c>
      <c r="D659" s="31" t="s">
        <v>390</v>
      </c>
      <c r="E659" s="21" t="s">
        <v>1565</v>
      </c>
      <c r="F659" s="19" t="n">
        <v>554899331747</v>
      </c>
      <c r="G659" s="31" t="s">
        <v>1566</v>
      </c>
      <c r="H659" s="21" t="s">
        <v>94</v>
      </c>
      <c r="I659" s="31" t="s">
        <v>34</v>
      </c>
      <c r="J659" s="21" t="s">
        <v>35</v>
      </c>
      <c r="K659" s="21" t="s">
        <v>69</v>
      </c>
      <c r="L659" s="21" t="s">
        <v>70</v>
      </c>
      <c r="M659" s="21" t="s">
        <v>38</v>
      </c>
      <c r="N659" s="21" t="s">
        <v>965</v>
      </c>
      <c r="R659" s="0" t="n">
        <v>3</v>
      </c>
      <c r="S659" s="0" t="n">
        <v>2026</v>
      </c>
    </row>
    <row r="660" customFormat="false" ht="14.25" hidden="false" customHeight="false" outlineLevel="0" collapsed="false">
      <c r="A660" s="17" t="n">
        <v>46093</v>
      </c>
      <c r="B660" s="21" t="s">
        <v>1568</v>
      </c>
      <c r="C660" s="22" t="n">
        <v>90</v>
      </c>
      <c r="D660" s="31" t="s">
        <v>16</v>
      </c>
      <c r="E660" s="21" t="s">
        <v>1568</v>
      </c>
      <c r="F660" s="19" t="n">
        <v>554192121651</v>
      </c>
      <c r="G660" s="31" t="s">
        <v>1569</v>
      </c>
      <c r="H660" s="21" t="s">
        <v>94</v>
      </c>
      <c r="I660" s="31" t="s">
        <v>355</v>
      </c>
      <c r="N660" s="21" t="s">
        <v>965</v>
      </c>
      <c r="R660" s="0" t="n">
        <v>3</v>
      </c>
      <c r="S660" s="0" t="n">
        <v>2026</v>
      </c>
    </row>
    <row r="661" customFormat="false" ht="14.25" hidden="false" customHeight="false" outlineLevel="0" collapsed="false">
      <c r="A661" s="17" t="n">
        <v>46093</v>
      </c>
      <c r="B661" s="21" t="s">
        <v>1571</v>
      </c>
      <c r="C661" s="22" t="n">
        <v>147</v>
      </c>
      <c r="D661" s="31" t="s">
        <v>390</v>
      </c>
      <c r="E661" s="21" t="s">
        <v>1571</v>
      </c>
      <c r="F661" s="19" t="n">
        <v>554198111746</v>
      </c>
      <c r="G661" s="31" t="s">
        <v>1572</v>
      </c>
      <c r="H661" s="21" t="s">
        <v>94</v>
      </c>
      <c r="I661" s="31" t="s">
        <v>34</v>
      </c>
      <c r="J661" s="21" t="s">
        <v>35</v>
      </c>
      <c r="K661" s="21" t="s">
        <v>69</v>
      </c>
      <c r="L661" s="21" t="s">
        <v>70</v>
      </c>
      <c r="M661" s="21" t="s">
        <v>38</v>
      </c>
      <c r="N661" s="21" t="s">
        <v>965</v>
      </c>
      <c r="R661" s="0" t="n">
        <v>3</v>
      </c>
      <c r="S661" s="0" t="n">
        <v>2026</v>
      </c>
    </row>
    <row r="662" customFormat="false" ht="14.25" hidden="false" customHeight="false" outlineLevel="0" collapsed="false">
      <c r="A662" s="17" t="n">
        <v>46093</v>
      </c>
      <c r="B662" s="21" t="s">
        <v>1574</v>
      </c>
      <c r="C662" s="22" t="n">
        <v>75</v>
      </c>
      <c r="D662" s="31" t="s">
        <v>30</v>
      </c>
      <c r="E662" s="21" t="s">
        <v>1574</v>
      </c>
      <c r="F662" s="19" t="n">
        <v>554796680782</v>
      </c>
      <c r="G662" s="31" t="s">
        <v>1575</v>
      </c>
      <c r="H662" s="21" t="s">
        <v>94</v>
      </c>
      <c r="I662" s="31" t="s">
        <v>34</v>
      </c>
      <c r="N662" s="21" t="s">
        <v>965</v>
      </c>
      <c r="R662" s="0" t="n">
        <v>3</v>
      </c>
      <c r="S662" s="0" t="n">
        <v>2026</v>
      </c>
    </row>
    <row r="663" customFormat="false" ht="14.25" hidden="false" customHeight="false" outlineLevel="0" collapsed="false">
      <c r="A663" s="17" t="n">
        <v>46093</v>
      </c>
      <c r="B663" s="21" t="s">
        <v>1577</v>
      </c>
      <c r="C663" s="22" t="n">
        <v>200</v>
      </c>
      <c r="D663" s="31" t="s">
        <v>30</v>
      </c>
      <c r="E663" s="21" t="s">
        <v>1577</v>
      </c>
      <c r="F663" s="19" t="n">
        <v>559591750294</v>
      </c>
      <c r="G663" s="31" t="s">
        <v>1578</v>
      </c>
      <c r="H663" s="21" t="s">
        <v>94</v>
      </c>
      <c r="I663" s="31" t="s">
        <v>54</v>
      </c>
      <c r="N663" s="21" t="s">
        <v>1022</v>
      </c>
      <c r="R663" s="0" t="n">
        <v>3</v>
      </c>
      <c r="S663" s="0" t="n">
        <v>2026</v>
      </c>
    </row>
    <row r="664" customFormat="false" ht="14.25" hidden="false" customHeight="false" outlineLevel="0" collapsed="false">
      <c r="A664" s="17" t="n">
        <v>46093</v>
      </c>
      <c r="B664" s="21" t="s">
        <v>1580</v>
      </c>
      <c r="C664" s="22" t="n">
        <v>291</v>
      </c>
      <c r="D664" s="31" t="s">
        <v>20</v>
      </c>
      <c r="E664" s="21" t="s">
        <v>1581</v>
      </c>
      <c r="F664" s="19" t="n">
        <v>554591414688</v>
      </c>
      <c r="G664" s="31" t="s">
        <v>1582</v>
      </c>
      <c r="H664" s="21" t="s">
        <v>94</v>
      </c>
      <c r="I664" s="31" t="s">
        <v>34</v>
      </c>
      <c r="J664" s="21" t="s">
        <v>35</v>
      </c>
      <c r="K664" s="21" t="s">
        <v>36</v>
      </c>
      <c r="L664" s="21" t="s">
        <v>37</v>
      </c>
      <c r="M664" s="21" t="s">
        <v>38</v>
      </c>
      <c r="N664" s="21" t="s">
        <v>965</v>
      </c>
      <c r="R664" s="0" t="n">
        <v>3</v>
      </c>
      <c r="S664" s="0" t="n">
        <v>2026</v>
      </c>
    </row>
    <row r="665" customFormat="false" ht="14.25" hidden="false" customHeight="false" outlineLevel="0" collapsed="false">
      <c r="A665" s="17" t="n">
        <v>46094</v>
      </c>
      <c r="B665" s="21" t="s">
        <v>1584</v>
      </c>
      <c r="C665" s="22" t="n">
        <v>150</v>
      </c>
      <c r="D665" s="31" t="s">
        <v>30</v>
      </c>
      <c r="E665" s="21" t="s">
        <v>1585</v>
      </c>
      <c r="F665" s="19" t="n">
        <v>554199794689</v>
      </c>
      <c r="G665" s="31" t="s">
        <v>1586</v>
      </c>
      <c r="H665" s="21" t="s">
        <v>94</v>
      </c>
      <c r="I665" s="31" t="s">
        <v>355</v>
      </c>
      <c r="N665" s="21" t="s">
        <v>965</v>
      </c>
      <c r="R665" s="0" t="n">
        <v>3</v>
      </c>
      <c r="S665" s="0" t="n">
        <v>2026</v>
      </c>
    </row>
    <row r="666" customFormat="false" ht="14.25" hidden="false" customHeight="false" outlineLevel="0" collapsed="false">
      <c r="A666" s="17" t="n">
        <v>46093</v>
      </c>
      <c r="B666" s="21" t="s">
        <v>705</v>
      </c>
      <c r="C666" s="22" t="n">
        <v>100</v>
      </c>
      <c r="D666" s="31" t="s">
        <v>30</v>
      </c>
      <c r="E666" s="21" t="s">
        <v>705</v>
      </c>
      <c r="F666" s="19" t="n">
        <v>554184740618</v>
      </c>
      <c r="G666" s="31" t="s">
        <v>707</v>
      </c>
      <c r="H666" s="21" t="s">
        <v>94</v>
      </c>
      <c r="I666" s="31" t="s">
        <v>54</v>
      </c>
      <c r="N666" s="21" t="s">
        <v>1022</v>
      </c>
      <c r="R666" s="0" t="n">
        <v>3</v>
      </c>
      <c r="S666" s="0" t="n">
        <v>2026</v>
      </c>
    </row>
    <row r="667" customFormat="false" ht="14.25" hidden="false" customHeight="false" outlineLevel="0" collapsed="false">
      <c r="A667" s="17" t="n">
        <v>46094</v>
      </c>
      <c r="B667" s="21" t="s">
        <v>1589</v>
      </c>
      <c r="C667" s="22" t="n">
        <v>147</v>
      </c>
      <c r="D667" s="31" t="s">
        <v>390</v>
      </c>
      <c r="E667" s="21" t="s">
        <v>1589</v>
      </c>
      <c r="F667" s="19" t="n">
        <v>556592567596</v>
      </c>
      <c r="G667" s="31" t="s">
        <v>1590</v>
      </c>
      <c r="H667" s="21" t="s">
        <v>94</v>
      </c>
      <c r="I667" s="31" t="s">
        <v>355</v>
      </c>
      <c r="J667" s="21" t="s">
        <v>35</v>
      </c>
      <c r="K667" s="21" t="s">
        <v>69</v>
      </c>
      <c r="L667" s="21" t="s">
        <v>70</v>
      </c>
      <c r="M667" s="21" t="s">
        <v>38</v>
      </c>
      <c r="N667" s="21" t="s">
        <v>965</v>
      </c>
      <c r="R667" s="0" t="n">
        <v>3</v>
      </c>
      <c r="S667" s="0" t="n">
        <v>2026</v>
      </c>
    </row>
    <row r="668" customFormat="false" ht="14.25" hidden="false" customHeight="false" outlineLevel="0" collapsed="false">
      <c r="A668" s="17" t="n">
        <v>46094</v>
      </c>
      <c r="B668" s="21" t="s">
        <v>1592</v>
      </c>
      <c r="C668" s="22" t="n">
        <v>120</v>
      </c>
      <c r="D668" s="31" t="s">
        <v>25</v>
      </c>
      <c r="E668" s="21" t="s">
        <v>1593</v>
      </c>
      <c r="F668" s="19" t="n">
        <v>5351902311</v>
      </c>
      <c r="G668" s="31" t="s">
        <v>1594</v>
      </c>
      <c r="H668" s="21" t="s">
        <v>94</v>
      </c>
      <c r="I668" s="31" t="s">
        <v>50</v>
      </c>
      <c r="N668" s="21" t="s">
        <v>965</v>
      </c>
      <c r="R668" s="0" t="n">
        <v>3</v>
      </c>
      <c r="S668" s="0" t="n">
        <v>2026</v>
      </c>
    </row>
    <row r="669" customFormat="false" ht="14.25" hidden="false" customHeight="false" outlineLevel="0" collapsed="false">
      <c r="A669" s="17" t="n">
        <v>46093</v>
      </c>
      <c r="B669" s="21" t="s">
        <v>1596</v>
      </c>
      <c r="C669" s="22" t="n">
        <v>147</v>
      </c>
      <c r="D669" s="31" t="s">
        <v>18</v>
      </c>
      <c r="E669" s="21" t="s">
        <v>1597</v>
      </c>
      <c r="F669" s="19" t="n">
        <v>554188900028</v>
      </c>
      <c r="G669" s="31" t="s">
        <v>1598</v>
      </c>
      <c r="H669" s="21" t="s">
        <v>94</v>
      </c>
      <c r="I669" s="31" t="s">
        <v>54</v>
      </c>
      <c r="N669" s="21" t="s">
        <v>1022</v>
      </c>
      <c r="R669" s="0" t="n">
        <v>3</v>
      </c>
      <c r="S669" s="0" t="n">
        <v>2026</v>
      </c>
    </row>
    <row r="670" customFormat="false" ht="14.25" hidden="false" customHeight="false" outlineLevel="0" collapsed="false">
      <c r="A670" s="17" t="n">
        <v>46094</v>
      </c>
      <c r="B670" s="21" t="s">
        <v>1600</v>
      </c>
      <c r="C670" s="22" t="n">
        <v>150</v>
      </c>
      <c r="D670" s="31" t="s">
        <v>30</v>
      </c>
      <c r="E670" s="21" t="s">
        <v>1600</v>
      </c>
      <c r="F670" s="19" t="n">
        <v>5511919074749</v>
      </c>
      <c r="G670" s="31" t="s">
        <v>1601</v>
      </c>
      <c r="H670" s="21" t="s">
        <v>94</v>
      </c>
      <c r="I670" s="31" t="s">
        <v>355</v>
      </c>
      <c r="N670" s="21" t="s">
        <v>965</v>
      </c>
      <c r="R670" s="0" t="n">
        <v>3</v>
      </c>
      <c r="S670" s="0" t="n">
        <v>2026</v>
      </c>
    </row>
    <row r="671" customFormat="false" ht="14.25" hidden="false" customHeight="false" outlineLevel="0" collapsed="false">
      <c r="A671" s="17" t="n">
        <v>46094</v>
      </c>
      <c r="B671" s="21" t="s">
        <v>1603</v>
      </c>
      <c r="C671" s="22" t="n">
        <v>150</v>
      </c>
      <c r="D671" s="31" t="s">
        <v>32</v>
      </c>
      <c r="E671" s="21" t="s">
        <v>1603</v>
      </c>
      <c r="F671" s="19" t="n">
        <v>559484201567</v>
      </c>
      <c r="G671" s="31" t="s">
        <v>1604</v>
      </c>
      <c r="H671" s="21" t="s">
        <v>94</v>
      </c>
      <c r="I671" s="31" t="s">
        <v>50</v>
      </c>
      <c r="N671" s="21" t="s">
        <v>965</v>
      </c>
      <c r="R671" s="0" t="n">
        <v>3</v>
      </c>
      <c r="S671" s="0" t="n">
        <v>2026</v>
      </c>
    </row>
    <row r="672" customFormat="false" ht="14.25" hidden="false" customHeight="false" outlineLevel="0" collapsed="false">
      <c r="A672" s="17" t="n">
        <v>46094</v>
      </c>
      <c r="B672" s="21" t="s">
        <v>1606</v>
      </c>
      <c r="C672" s="22" t="n">
        <v>197</v>
      </c>
      <c r="D672" s="31" t="s">
        <v>24</v>
      </c>
      <c r="E672" s="21" t="s">
        <v>1606</v>
      </c>
      <c r="F672" s="19" t="n">
        <v>554192047427</v>
      </c>
      <c r="G672" s="31" t="s">
        <v>33</v>
      </c>
      <c r="H672" s="21" t="s">
        <v>94</v>
      </c>
      <c r="I672" s="31" t="s">
        <v>34</v>
      </c>
      <c r="J672" s="21" t="s">
        <v>60</v>
      </c>
      <c r="K672" s="21" t="s">
        <v>27</v>
      </c>
      <c r="L672" s="21" t="s">
        <v>1607</v>
      </c>
      <c r="M672" s="21" t="s">
        <v>62</v>
      </c>
      <c r="N672" s="21" t="s">
        <v>965</v>
      </c>
      <c r="R672" s="0" t="n">
        <v>3</v>
      </c>
      <c r="S672" s="0" t="n">
        <v>2026</v>
      </c>
    </row>
    <row r="673" customFormat="false" ht="14.25" hidden="false" customHeight="false" outlineLevel="0" collapsed="false">
      <c r="A673" s="17" t="n">
        <v>46094</v>
      </c>
      <c r="B673" s="21" t="s">
        <v>1609</v>
      </c>
      <c r="C673" s="22" t="n">
        <v>150</v>
      </c>
      <c r="D673" s="31" t="s">
        <v>32</v>
      </c>
      <c r="E673" s="21" t="s">
        <v>1609</v>
      </c>
      <c r="F673" s="19" t="n">
        <v>559581046851</v>
      </c>
      <c r="G673" s="31" t="s">
        <v>33</v>
      </c>
      <c r="H673" s="21" t="s">
        <v>94</v>
      </c>
      <c r="I673" s="31" t="s">
        <v>34</v>
      </c>
      <c r="J673" s="21" t="s">
        <v>35</v>
      </c>
      <c r="K673" s="21" t="s">
        <v>36</v>
      </c>
      <c r="L673" s="21" t="s">
        <v>37</v>
      </c>
      <c r="M673" s="21" t="s">
        <v>38</v>
      </c>
      <c r="N673" s="21" t="s">
        <v>965</v>
      </c>
      <c r="R673" s="0" t="n">
        <v>3</v>
      </c>
      <c r="S673" s="0" t="n">
        <v>2026</v>
      </c>
    </row>
    <row r="674" customFormat="false" ht="14.25" hidden="false" customHeight="false" outlineLevel="0" collapsed="false">
      <c r="A674" s="17" t="n">
        <v>46094</v>
      </c>
      <c r="B674" s="21" t="s">
        <v>1164</v>
      </c>
      <c r="C674" s="22" t="n">
        <v>100</v>
      </c>
      <c r="D674" s="31" t="s">
        <v>22</v>
      </c>
      <c r="E674" s="21" t="s">
        <v>1164</v>
      </c>
      <c r="F674" s="19" t="n">
        <v>5511992406888</v>
      </c>
      <c r="G674" s="31" t="s">
        <v>1611</v>
      </c>
      <c r="H674" s="21" t="s">
        <v>94</v>
      </c>
      <c r="I674" s="31" t="s">
        <v>54</v>
      </c>
      <c r="N674" s="21" t="s">
        <v>1022</v>
      </c>
      <c r="R674" s="0" t="n">
        <v>3</v>
      </c>
      <c r="S674" s="0" t="n">
        <v>2026</v>
      </c>
    </row>
    <row r="675" customFormat="false" ht="14.25" hidden="false" customHeight="false" outlineLevel="0" collapsed="false">
      <c r="A675" s="17" t="n">
        <v>46094</v>
      </c>
      <c r="B675" s="21" t="s">
        <v>1613</v>
      </c>
      <c r="C675" s="22" t="n">
        <v>294</v>
      </c>
      <c r="D675" s="31" t="s">
        <v>22</v>
      </c>
      <c r="E675" s="21" t="s">
        <v>1614</v>
      </c>
      <c r="F675" s="19" t="n">
        <v>554199684888</v>
      </c>
      <c r="G675" s="31" t="s">
        <v>1615</v>
      </c>
      <c r="H675" s="21" t="s">
        <v>94</v>
      </c>
      <c r="I675" s="31" t="s">
        <v>355</v>
      </c>
      <c r="N675" s="21" t="s">
        <v>965</v>
      </c>
      <c r="R675" s="0" t="n">
        <v>3</v>
      </c>
      <c r="S675" s="0" t="n">
        <v>2026</v>
      </c>
    </row>
    <row r="676" customFormat="false" ht="14.25" hidden="false" customHeight="false" outlineLevel="0" collapsed="false">
      <c r="A676" s="17" t="n">
        <v>46094</v>
      </c>
      <c r="B676" s="21" t="s">
        <v>1617</v>
      </c>
      <c r="C676" s="22" t="n">
        <v>150</v>
      </c>
      <c r="D676" s="31" t="s">
        <v>32</v>
      </c>
      <c r="E676" s="21" t="s">
        <v>1618</v>
      </c>
      <c r="F676" s="19" t="n">
        <v>559684135194</v>
      </c>
      <c r="G676" s="31" t="s">
        <v>1619</v>
      </c>
      <c r="H676" s="21" t="s">
        <v>94</v>
      </c>
      <c r="I676" s="31" t="s">
        <v>34</v>
      </c>
      <c r="N676" s="21" t="s">
        <v>965</v>
      </c>
      <c r="R676" s="0" t="n">
        <v>3</v>
      </c>
      <c r="S676" s="0" t="n">
        <v>2026</v>
      </c>
    </row>
    <row r="677" customFormat="false" ht="14.25" hidden="false" customHeight="false" outlineLevel="0" collapsed="false">
      <c r="A677" s="17" t="n">
        <v>46094</v>
      </c>
      <c r="B677" s="21" t="s">
        <v>1621</v>
      </c>
      <c r="C677" s="22" t="n">
        <v>120</v>
      </c>
      <c r="D677" s="31" t="s">
        <v>30</v>
      </c>
      <c r="E677" s="21" t="s">
        <v>1622</v>
      </c>
      <c r="F677" s="19" t="n">
        <v>5353645608</v>
      </c>
      <c r="G677" s="31" t="s">
        <v>1623</v>
      </c>
      <c r="H677" s="21" t="s">
        <v>94</v>
      </c>
      <c r="I677" s="31" t="s">
        <v>50</v>
      </c>
      <c r="N677" s="21" t="s">
        <v>965</v>
      </c>
      <c r="R677" s="0" t="n">
        <v>3</v>
      </c>
      <c r="S677" s="0" t="n">
        <v>2026</v>
      </c>
    </row>
    <row r="678" customFormat="false" ht="14.25" hidden="false" customHeight="false" outlineLevel="0" collapsed="false">
      <c r="A678" s="17" t="n">
        <v>46094</v>
      </c>
      <c r="B678" s="21" t="s">
        <v>1624</v>
      </c>
      <c r="C678" s="22" t="n">
        <v>120</v>
      </c>
      <c r="D678" s="31" t="s">
        <v>30</v>
      </c>
      <c r="E678" s="21" t="s">
        <v>1624</v>
      </c>
      <c r="F678" s="19" t="n">
        <v>554197024987</v>
      </c>
      <c r="G678" s="31" t="s">
        <v>1625</v>
      </c>
      <c r="H678" s="21" t="s">
        <v>94</v>
      </c>
      <c r="I678" s="31" t="s">
        <v>355</v>
      </c>
      <c r="N678" s="21" t="s">
        <v>965</v>
      </c>
      <c r="R678" s="0" t="n">
        <v>3</v>
      </c>
      <c r="S678" s="0" t="n">
        <v>2026</v>
      </c>
    </row>
    <row r="679" customFormat="false" ht="14.25" hidden="false" customHeight="false" outlineLevel="0" collapsed="false">
      <c r="A679" s="17" t="n">
        <v>46094</v>
      </c>
      <c r="B679" s="21" t="s">
        <v>1627</v>
      </c>
      <c r="C679" s="22" t="n">
        <v>150</v>
      </c>
      <c r="D679" s="31" t="s">
        <v>32</v>
      </c>
      <c r="E679" s="21" t="s">
        <v>1628</v>
      </c>
      <c r="F679" s="19" t="n">
        <v>5511962853945</v>
      </c>
      <c r="G679" s="31" t="s">
        <v>33</v>
      </c>
      <c r="H679" s="21" t="s">
        <v>94</v>
      </c>
      <c r="I679" s="31" t="s">
        <v>34</v>
      </c>
      <c r="N679" s="21" t="s">
        <v>965</v>
      </c>
      <c r="R679" s="0" t="n">
        <v>3</v>
      </c>
      <c r="S679" s="0" t="n">
        <v>2026</v>
      </c>
    </row>
    <row r="680" customFormat="false" ht="14.25" hidden="false" customHeight="false" outlineLevel="0" collapsed="false">
      <c r="A680" s="17" t="n">
        <v>46094</v>
      </c>
      <c r="B680" s="21" t="s">
        <v>1630</v>
      </c>
      <c r="C680" s="22" t="n">
        <v>150</v>
      </c>
      <c r="D680" s="31" t="s">
        <v>32</v>
      </c>
      <c r="E680" s="21" t="s">
        <v>1631</v>
      </c>
      <c r="F680" s="19" t="n">
        <v>553397017278</v>
      </c>
      <c r="G680" s="31" t="s">
        <v>33</v>
      </c>
      <c r="H680" s="21" t="s">
        <v>94</v>
      </c>
      <c r="I680" s="31" t="s">
        <v>34</v>
      </c>
      <c r="J680" s="21" t="s">
        <v>1176</v>
      </c>
      <c r="K680" s="21" t="s">
        <v>1177</v>
      </c>
      <c r="L680" s="21" t="s">
        <v>1178</v>
      </c>
      <c r="M680" s="21" t="s">
        <v>1179</v>
      </c>
      <c r="N680" s="21" t="s">
        <v>965</v>
      </c>
      <c r="R680" s="0" t="n">
        <v>3</v>
      </c>
      <c r="S680" s="0" t="n">
        <v>2026</v>
      </c>
    </row>
    <row r="681" customFormat="false" ht="14.25" hidden="false" customHeight="false" outlineLevel="0" collapsed="false">
      <c r="A681" s="17" t="n">
        <v>46094</v>
      </c>
      <c r="B681" s="21" t="s">
        <v>1633</v>
      </c>
      <c r="C681" s="22" t="n">
        <v>97</v>
      </c>
      <c r="D681" s="31" t="s">
        <v>20</v>
      </c>
      <c r="E681" s="21" t="s">
        <v>1634</v>
      </c>
      <c r="F681" s="19" t="n">
        <v>554797946128</v>
      </c>
      <c r="G681" s="31" t="s">
        <v>1635</v>
      </c>
      <c r="H681" s="21" t="s">
        <v>94</v>
      </c>
      <c r="I681" s="31" t="s">
        <v>50</v>
      </c>
      <c r="N681" s="21" t="s">
        <v>965</v>
      </c>
      <c r="R681" s="0" t="n">
        <v>3</v>
      </c>
      <c r="S681" s="0" t="n">
        <v>2026</v>
      </c>
    </row>
    <row r="682" customFormat="false" ht="14.25" hidden="false" customHeight="false" outlineLevel="0" collapsed="false">
      <c r="A682" s="17" t="n">
        <v>46093</v>
      </c>
      <c r="B682" s="21" t="s">
        <v>1637</v>
      </c>
      <c r="C682" s="22" t="n">
        <v>240</v>
      </c>
      <c r="D682" s="31" t="s">
        <v>390</v>
      </c>
      <c r="E682" s="21" t="s">
        <v>1638</v>
      </c>
      <c r="F682" s="19" t="n">
        <v>554899263876</v>
      </c>
      <c r="G682" s="31" t="s">
        <v>737</v>
      </c>
      <c r="H682" s="21" t="s">
        <v>94</v>
      </c>
      <c r="I682" s="31" t="s">
        <v>54</v>
      </c>
      <c r="N682" s="21" t="s">
        <v>1022</v>
      </c>
      <c r="R682" s="0" t="n">
        <v>3</v>
      </c>
      <c r="S682" s="0" t="n">
        <v>2026</v>
      </c>
    </row>
    <row r="683" customFormat="false" ht="14.25" hidden="false" customHeight="false" outlineLevel="0" collapsed="false">
      <c r="A683" s="17" t="n">
        <v>46094</v>
      </c>
      <c r="B683" s="21" t="s">
        <v>1640</v>
      </c>
      <c r="C683" s="22" t="n">
        <v>150</v>
      </c>
      <c r="D683" s="31" t="s">
        <v>32</v>
      </c>
      <c r="E683" s="21" t="s">
        <v>1640</v>
      </c>
      <c r="F683" s="19" t="n">
        <v>559584398079</v>
      </c>
      <c r="G683" s="31" t="s">
        <v>814</v>
      </c>
      <c r="H683" s="21" t="s">
        <v>94</v>
      </c>
      <c r="I683" s="31" t="s">
        <v>54</v>
      </c>
      <c r="N683" s="21" t="s">
        <v>1022</v>
      </c>
      <c r="R683" s="0" t="n">
        <v>3</v>
      </c>
      <c r="S683" s="0" t="n">
        <v>2026</v>
      </c>
    </row>
    <row r="684" customFormat="false" ht="14.25" hidden="false" customHeight="false" outlineLevel="0" collapsed="false">
      <c r="A684" s="17" t="n">
        <v>46094</v>
      </c>
      <c r="B684" s="21" t="s">
        <v>1642</v>
      </c>
      <c r="C684" s="22" t="n">
        <v>60</v>
      </c>
      <c r="D684" s="31" t="s">
        <v>25</v>
      </c>
      <c r="E684" s="21" t="s">
        <v>1642</v>
      </c>
      <c r="F684" s="19" t="n">
        <v>554195873308</v>
      </c>
      <c r="G684" s="31" t="s">
        <v>1643</v>
      </c>
      <c r="H684" s="21" t="s">
        <v>94</v>
      </c>
      <c r="I684" s="31" t="s">
        <v>34</v>
      </c>
      <c r="N684" s="21" t="s">
        <v>965</v>
      </c>
      <c r="R684" s="0" t="n">
        <v>3</v>
      </c>
      <c r="S684" s="0" t="n">
        <v>2026</v>
      </c>
    </row>
    <row r="685" customFormat="false" ht="14.25" hidden="false" customHeight="false" outlineLevel="0" collapsed="false">
      <c r="A685" s="17" t="n">
        <v>46095</v>
      </c>
      <c r="B685" s="21" t="s">
        <v>1645</v>
      </c>
      <c r="C685" s="22" t="n">
        <v>480</v>
      </c>
      <c r="D685" s="31" t="s">
        <v>30</v>
      </c>
      <c r="E685" s="21" t="s">
        <v>1646</v>
      </c>
      <c r="F685" s="19" t="n">
        <v>5514997514747</v>
      </c>
      <c r="G685" s="31" t="s">
        <v>1647</v>
      </c>
      <c r="H685" s="21" t="s">
        <v>94</v>
      </c>
      <c r="I685" s="31" t="s">
        <v>34</v>
      </c>
      <c r="J685" s="21" t="s">
        <v>35</v>
      </c>
      <c r="K685" s="21" t="s">
        <v>36</v>
      </c>
      <c r="L685" s="21" t="s">
        <v>37</v>
      </c>
      <c r="M685" s="21" t="s">
        <v>38</v>
      </c>
      <c r="N685" s="21" t="s">
        <v>965</v>
      </c>
      <c r="R685" s="0" t="n">
        <v>3</v>
      </c>
      <c r="S685" s="0" t="n">
        <v>2026</v>
      </c>
    </row>
    <row r="686" customFormat="false" ht="14.25" hidden="false" customHeight="false" outlineLevel="0" collapsed="false">
      <c r="A686" s="17" t="n">
        <v>46094</v>
      </c>
      <c r="B686" s="21" t="s">
        <v>1649</v>
      </c>
      <c r="C686" s="22" t="n">
        <v>147</v>
      </c>
      <c r="D686" s="31" t="s">
        <v>18</v>
      </c>
      <c r="E686" s="21" t="s">
        <v>1649</v>
      </c>
      <c r="F686" s="19" t="n">
        <v>554188195394</v>
      </c>
      <c r="G686" s="31" t="s">
        <v>1650</v>
      </c>
      <c r="H686" s="21" t="s">
        <v>94</v>
      </c>
      <c r="I686" s="31" t="s">
        <v>50</v>
      </c>
      <c r="N686" s="21" t="s">
        <v>965</v>
      </c>
      <c r="R686" s="0" t="n">
        <v>3</v>
      </c>
      <c r="S686" s="0" t="n">
        <v>2026</v>
      </c>
    </row>
    <row r="687" customFormat="false" ht="14.25" hidden="false" customHeight="false" outlineLevel="0" collapsed="false">
      <c r="A687" s="17" t="n">
        <v>46094</v>
      </c>
      <c r="B687" s="21" t="s">
        <v>1652</v>
      </c>
      <c r="C687" s="22" t="n">
        <v>147</v>
      </c>
      <c r="D687" s="31" t="s">
        <v>390</v>
      </c>
      <c r="E687" s="21" t="s">
        <v>1652</v>
      </c>
      <c r="F687" s="19" t="n">
        <v>556281066019</v>
      </c>
      <c r="G687" s="31" t="s">
        <v>1653</v>
      </c>
      <c r="H687" s="21" t="s">
        <v>94</v>
      </c>
      <c r="I687" s="31" t="s">
        <v>50</v>
      </c>
      <c r="N687" s="21" t="s">
        <v>965</v>
      </c>
      <c r="R687" s="0" t="n">
        <v>3</v>
      </c>
      <c r="S687" s="0" t="n">
        <v>2026</v>
      </c>
    </row>
    <row r="688" customFormat="false" ht="14.25" hidden="false" customHeight="false" outlineLevel="0" collapsed="false">
      <c r="A688" s="17" t="n">
        <v>46094</v>
      </c>
      <c r="B688" s="21" t="s">
        <v>1655</v>
      </c>
      <c r="C688" s="22" t="n">
        <v>147</v>
      </c>
      <c r="D688" s="31" t="s">
        <v>22</v>
      </c>
      <c r="E688" s="21" t="s">
        <v>1655</v>
      </c>
      <c r="F688" s="19" t="n">
        <v>5554933002353</v>
      </c>
      <c r="G688" s="31" t="s">
        <v>1656</v>
      </c>
      <c r="H688" s="21" t="s">
        <v>94</v>
      </c>
      <c r="I688" s="31" t="s">
        <v>355</v>
      </c>
      <c r="N688" s="21" t="s">
        <v>965</v>
      </c>
      <c r="R688" s="0" t="n">
        <v>3</v>
      </c>
      <c r="S688" s="0" t="n">
        <v>2026</v>
      </c>
    </row>
    <row r="689" customFormat="false" ht="14.25" hidden="false" customHeight="false" outlineLevel="0" collapsed="false">
      <c r="A689" s="17" t="n">
        <v>46095</v>
      </c>
      <c r="B689" s="21" t="s">
        <v>1658</v>
      </c>
      <c r="C689" s="22" t="n">
        <v>150</v>
      </c>
      <c r="D689" s="31" t="s">
        <v>30</v>
      </c>
      <c r="E689" s="21" t="s">
        <v>1658</v>
      </c>
      <c r="F689" s="19" t="n">
        <v>554196154328</v>
      </c>
      <c r="G689" s="31" t="s">
        <v>1659</v>
      </c>
      <c r="H689" s="21" t="s">
        <v>94</v>
      </c>
      <c r="I689" s="31" t="s">
        <v>34</v>
      </c>
      <c r="N689" s="21" t="s">
        <v>965</v>
      </c>
      <c r="R689" s="0" t="n">
        <v>3</v>
      </c>
      <c r="S689" s="0" t="n">
        <v>2026</v>
      </c>
    </row>
    <row r="690" customFormat="false" ht="14.25" hidden="false" customHeight="false" outlineLevel="0" collapsed="false">
      <c r="A690" s="17" t="n">
        <v>46095</v>
      </c>
      <c r="B690" s="21" t="s">
        <v>1661</v>
      </c>
      <c r="C690" s="22" t="n">
        <v>420</v>
      </c>
      <c r="D690" s="31" t="s">
        <v>30</v>
      </c>
      <c r="E690" s="21" t="s">
        <v>1662</v>
      </c>
      <c r="F690" s="19" t="n">
        <v>553499432464</v>
      </c>
      <c r="G690" s="31" t="s">
        <v>1663</v>
      </c>
      <c r="H690" s="21" t="s">
        <v>94</v>
      </c>
      <c r="I690" s="31" t="s">
        <v>50</v>
      </c>
      <c r="J690" s="21" t="s">
        <v>35</v>
      </c>
      <c r="K690" s="21" t="s">
        <v>36</v>
      </c>
      <c r="L690" s="21" t="s">
        <v>37</v>
      </c>
      <c r="M690" s="21" t="s">
        <v>38</v>
      </c>
      <c r="N690" s="21" t="s">
        <v>965</v>
      </c>
      <c r="R690" s="0" t="n">
        <v>3</v>
      </c>
      <c r="S690" s="0" t="n">
        <v>2026</v>
      </c>
    </row>
    <row r="691" customFormat="false" ht="14.25" hidden="false" customHeight="false" outlineLevel="0" collapsed="false">
      <c r="A691" s="17" t="n">
        <v>46095</v>
      </c>
      <c r="B691" s="21" t="s">
        <v>1665</v>
      </c>
      <c r="C691" s="22" t="n">
        <v>147</v>
      </c>
      <c r="D691" s="31" t="s">
        <v>390</v>
      </c>
      <c r="E691" s="21" t="s">
        <v>1665</v>
      </c>
      <c r="F691" s="19" t="n">
        <v>554188900028</v>
      </c>
      <c r="G691" s="31" t="s">
        <v>1598</v>
      </c>
      <c r="H691" s="21" t="s">
        <v>94</v>
      </c>
      <c r="I691" s="31" t="s">
        <v>54</v>
      </c>
      <c r="N691" s="21" t="s">
        <v>1022</v>
      </c>
      <c r="R691" s="0" t="n">
        <v>3</v>
      </c>
      <c r="S691" s="0" t="n">
        <v>2026</v>
      </c>
    </row>
    <row r="692" customFormat="false" ht="14.25" hidden="false" customHeight="false" outlineLevel="0" collapsed="false">
      <c r="A692" s="17" t="n">
        <v>46097</v>
      </c>
      <c r="B692" s="21" t="s">
        <v>1667</v>
      </c>
      <c r="C692" s="22" t="n">
        <v>150</v>
      </c>
      <c r="D692" s="31" t="s">
        <v>32</v>
      </c>
      <c r="E692" s="21" t="s">
        <v>1667</v>
      </c>
      <c r="F692" s="19" t="n">
        <v>555181489643</v>
      </c>
      <c r="G692" s="31" t="s">
        <v>1668</v>
      </c>
      <c r="H692" s="21" t="s">
        <v>94</v>
      </c>
      <c r="I692" s="31" t="s">
        <v>50</v>
      </c>
      <c r="N692" s="21" t="s">
        <v>965</v>
      </c>
      <c r="R692" s="0" t="n">
        <v>3</v>
      </c>
      <c r="S692" s="0" t="n">
        <v>2026</v>
      </c>
    </row>
    <row r="693" customFormat="false" ht="14.25" hidden="false" customHeight="false" outlineLevel="0" collapsed="false">
      <c r="A693" s="17" t="n">
        <v>46097</v>
      </c>
      <c r="B693" s="21" t="s">
        <v>1670</v>
      </c>
      <c r="C693" s="22" t="n">
        <v>147</v>
      </c>
      <c r="D693" s="31" t="s">
        <v>390</v>
      </c>
      <c r="E693" s="21" t="s">
        <v>1670</v>
      </c>
      <c r="F693" s="19" t="n">
        <v>554896146544</v>
      </c>
      <c r="G693" s="31" t="s">
        <v>1671</v>
      </c>
      <c r="H693" s="21" t="s">
        <v>94</v>
      </c>
      <c r="I693" s="31" t="s">
        <v>50</v>
      </c>
      <c r="N693" s="21" t="s">
        <v>965</v>
      </c>
      <c r="R693" s="0" t="n">
        <v>3</v>
      </c>
      <c r="S693" s="0" t="n">
        <v>2026</v>
      </c>
    </row>
    <row r="694" customFormat="false" ht="14.25" hidden="false" customHeight="false" outlineLevel="0" collapsed="false">
      <c r="A694" s="17" t="n">
        <v>46097</v>
      </c>
      <c r="B694" s="21" t="s">
        <v>1673</v>
      </c>
      <c r="C694" s="22" t="n">
        <v>588</v>
      </c>
      <c r="D694" s="31" t="s">
        <v>390</v>
      </c>
      <c r="E694" s="21" t="s">
        <v>1673</v>
      </c>
      <c r="F694" s="19" t="n">
        <v>559591232996</v>
      </c>
      <c r="G694" s="31" t="s">
        <v>1674</v>
      </c>
      <c r="H694" s="21" t="s">
        <v>94</v>
      </c>
      <c r="I694" s="31" t="s">
        <v>34</v>
      </c>
      <c r="N694" s="21" t="s">
        <v>965</v>
      </c>
      <c r="R694" s="0" t="n">
        <v>3</v>
      </c>
      <c r="S694" s="0" t="n">
        <v>2026</v>
      </c>
    </row>
    <row r="695" customFormat="false" ht="14.25" hidden="false" customHeight="false" outlineLevel="0" collapsed="false">
      <c r="A695" s="17" t="n">
        <v>46095</v>
      </c>
      <c r="B695" s="21" t="s">
        <v>1676</v>
      </c>
      <c r="C695" s="22" t="n">
        <v>150</v>
      </c>
      <c r="D695" s="31" t="s">
        <v>24</v>
      </c>
      <c r="E695" s="21" t="s">
        <v>1676</v>
      </c>
      <c r="F695" s="19" t="n">
        <v>556799952165</v>
      </c>
      <c r="G695" s="31"/>
      <c r="H695" s="21" t="s">
        <v>94</v>
      </c>
      <c r="I695" s="31" t="s">
        <v>34</v>
      </c>
      <c r="N695" s="21" t="s">
        <v>965</v>
      </c>
      <c r="R695" s="0" t="n">
        <v>3</v>
      </c>
      <c r="S695" s="0" t="n">
        <v>2026</v>
      </c>
    </row>
    <row r="696" customFormat="false" ht="14.25" hidden="false" customHeight="false" outlineLevel="0" collapsed="false">
      <c r="A696" s="17" t="n">
        <v>46096</v>
      </c>
      <c r="B696" s="21" t="s">
        <v>1678</v>
      </c>
      <c r="C696" s="22" t="n">
        <v>147</v>
      </c>
      <c r="D696" s="31" t="s">
        <v>22</v>
      </c>
      <c r="E696" s="21" t="s">
        <v>1678</v>
      </c>
      <c r="F696" s="19" t="n">
        <v>554591459833</v>
      </c>
      <c r="G696" s="31" t="s">
        <v>1679</v>
      </c>
      <c r="H696" s="21" t="s">
        <v>94</v>
      </c>
      <c r="I696" s="31" t="s">
        <v>54</v>
      </c>
      <c r="N696" s="21" t="s">
        <v>965</v>
      </c>
      <c r="R696" s="0" t="n">
        <v>3</v>
      </c>
      <c r="S696" s="0" t="n">
        <v>2026</v>
      </c>
    </row>
    <row r="697" customFormat="false" ht="14.25" hidden="false" customHeight="false" outlineLevel="0" collapsed="false">
      <c r="A697" s="17" t="n">
        <v>46097</v>
      </c>
      <c r="B697" s="21" t="s">
        <v>1681</v>
      </c>
      <c r="C697" s="22" t="n">
        <v>150</v>
      </c>
      <c r="D697" s="31" t="s">
        <v>32</v>
      </c>
      <c r="E697" s="21" t="s">
        <v>1681</v>
      </c>
      <c r="F697" s="19" t="n">
        <v>5512981378624</v>
      </c>
      <c r="G697" s="31" t="s">
        <v>1682</v>
      </c>
      <c r="H697" s="21" t="s">
        <v>94</v>
      </c>
      <c r="I697" s="31" t="s">
        <v>50</v>
      </c>
      <c r="N697" s="21" t="s">
        <v>965</v>
      </c>
      <c r="R697" s="0" t="n">
        <v>3</v>
      </c>
      <c r="S697" s="0" t="n">
        <v>2026</v>
      </c>
    </row>
    <row r="698" customFormat="false" ht="14.25" hidden="false" customHeight="false" outlineLevel="0" collapsed="false">
      <c r="A698" s="17" t="n">
        <v>46096</v>
      </c>
      <c r="B698" s="21" t="s">
        <v>1678</v>
      </c>
      <c r="C698" s="22" t="n">
        <v>120</v>
      </c>
      <c r="D698" s="31" t="s">
        <v>30</v>
      </c>
      <c r="E698" s="21" t="s">
        <v>1678</v>
      </c>
      <c r="F698" s="19" t="n">
        <v>554591459833</v>
      </c>
      <c r="G698" s="31" t="s">
        <v>1679</v>
      </c>
      <c r="H698" s="21" t="s">
        <v>94</v>
      </c>
      <c r="I698" s="31" t="s">
        <v>54</v>
      </c>
      <c r="N698" s="21" t="s">
        <v>965</v>
      </c>
      <c r="R698" s="0" t="n">
        <v>3</v>
      </c>
      <c r="S698" s="0" t="n">
        <v>2026</v>
      </c>
    </row>
    <row r="699" customFormat="false" ht="14.25" hidden="false" customHeight="false" outlineLevel="0" collapsed="false">
      <c r="A699" s="17" t="n">
        <v>46097</v>
      </c>
      <c r="B699" s="21" t="s">
        <v>1685</v>
      </c>
      <c r="C699" s="22" t="n">
        <v>600</v>
      </c>
      <c r="D699" s="31" t="s">
        <v>106</v>
      </c>
      <c r="E699" s="21" t="s">
        <v>1685</v>
      </c>
      <c r="F699" s="19" t="n">
        <v>556281656833</v>
      </c>
      <c r="G699" s="31" t="s">
        <v>1686</v>
      </c>
      <c r="H699" s="21" t="s">
        <v>94</v>
      </c>
      <c r="I699" s="31" t="s">
        <v>355</v>
      </c>
      <c r="N699" s="21" t="s">
        <v>965</v>
      </c>
      <c r="R699" s="0" t="n">
        <v>3</v>
      </c>
      <c r="S699" s="0" t="n">
        <v>2026</v>
      </c>
    </row>
    <row r="700" customFormat="false" ht="14.25" hidden="false" customHeight="false" outlineLevel="0" collapsed="false">
      <c r="A700" s="17" t="n">
        <v>46097</v>
      </c>
      <c r="B700" s="21" t="s">
        <v>1688</v>
      </c>
      <c r="C700" s="22" t="n">
        <v>300</v>
      </c>
      <c r="D700" s="31" t="s">
        <v>21</v>
      </c>
      <c r="E700" s="21" t="s">
        <v>1688</v>
      </c>
      <c r="F700" s="19" t="n">
        <v>554899929652</v>
      </c>
      <c r="G700" s="31" t="s">
        <v>1689</v>
      </c>
      <c r="H700" s="21" t="s">
        <v>94</v>
      </c>
      <c r="I700" s="31" t="s">
        <v>34</v>
      </c>
      <c r="J700" s="21" t="s">
        <v>908</v>
      </c>
      <c r="N700" s="21" t="s">
        <v>965</v>
      </c>
      <c r="R700" s="0" t="n">
        <v>3</v>
      </c>
      <c r="S700" s="0" t="n">
        <v>2026</v>
      </c>
    </row>
    <row r="701" customFormat="false" ht="14.25" hidden="false" customHeight="false" outlineLevel="0" collapsed="false">
      <c r="A701" s="17" t="n">
        <v>46097</v>
      </c>
      <c r="B701" s="21" t="s">
        <v>1691</v>
      </c>
      <c r="C701" s="22" t="n">
        <v>240</v>
      </c>
      <c r="D701" s="31" t="s">
        <v>30</v>
      </c>
      <c r="E701" s="21" t="s">
        <v>1692</v>
      </c>
      <c r="F701" s="19" t="n">
        <v>5511981375920</v>
      </c>
      <c r="G701" s="31" t="s">
        <v>1693</v>
      </c>
      <c r="H701" s="21" t="s">
        <v>94</v>
      </c>
      <c r="I701" s="31" t="s">
        <v>34</v>
      </c>
      <c r="N701" s="21" t="s">
        <v>965</v>
      </c>
      <c r="R701" s="0" t="n">
        <v>3</v>
      </c>
      <c r="S701" s="0" t="n">
        <v>2026</v>
      </c>
    </row>
    <row r="702" customFormat="false" ht="14.25" hidden="false" customHeight="false" outlineLevel="0" collapsed="false">
      <c r="A702" s="17" t="n">
        <v>46097</v>
      </c>
      <c r="B702" s="21" t="s">
        <v>1694</v>
      </c>
      <c r="C702" s="22" t="n">
        <v>240</v>
      </c>
      <c r="D702" s="31" t="s">
        <v>390</v>
      </c>
      <c r="E702" s="21" t="s">
        <v>1695</v>
      </c>
      <c r="F702" s="19" t="n">
        <v>554197259591</v>
      </c>
      <c r="G702" s="31" t="s">
        <v>1696</v>
      </c>
      <c r="H702" s="21" t="s">
        <v>94</v>
      </c>
      <c r="I702" s="31" t="s">
        <v>50</v>
      </c>
      <c r="N702" s="21" t="s">
        <v>965</v>
      </c>
      <c r="R702" s="0" t="n">
        <v>3</v>
      </c>
      <c r="S702" s="0" t="n">
        <v>2026</v>
      </c>
    </row>
    <row r="703" customFormat="false" ht="14.25" hidden="false" customHeight="false" outlineLevel="0" collapsed="false">
      <c r="A703" s="17" t="n">
        <v>46097</v>
      </c>
      <c r="B703" s="21" t="s">
        <v>1698</v>
      </c>
      <c r="C703" s="22" t="n">
        <v>200</v>
      </c>
      <c r="D703" s="31" t="s">
        <v>1699</v>
      </c>
      <c r="E703" s="21" t="s">
        <v>1700</v>
      </c>
      <c r="G703" s="31"/>
      <c r="H703" s="21" t="s">
        <v>94</v>
      </c>
      <c r="I703" s="31" t="s">
        <v>54</v>
      </c>
      <c r="N703" s="21" t="s">
        <v>1022</v>
      </c>
      <c r="R703" s="0" t="n">
        <v>3</v>
      </c>
      <c r="S703" s="0" t="n">
        <v>2026</v>
      </c>
    </row>
    <row r="704" customFormat="false" ht="14.25" hidden="false" customHeight="false" outlineLevel="0" collapsed="false">
      <c r="A704" s="17" t="n">
        <v>46097</v>
      </c>
      <c r="B704" s="21" t="s">
        <v>1702</v>
      </c>
      <c r="C704" s="22" t="n">
        <v>97</v>
      </c>
      <c r="D704" s="31" t="s">
        <v>20</v>
      </c>
      <c r="E704" s="21" t="s">
        <v>1702</v>
      </c>
      <c r="F704" s="19" t="n">
        <v>559584406992</v>
      </c>
      <c r="G704" s="31" t="s">
        <v>1703</v>
      </c>
      <c r="H704" s="21" t="s">
        <v>94</v>
      </c>
      <c r="I704" s="31" t="s">
        <v>34</v>
      </c>
      <c r="N704" s="21" t="s">
        <v>965</v>
      </c>
      <c r="R704" s="0" t="n">
        <v>3</v>
      </c>
      <c r="S704" s="0" t="n">
        <v>2026</v>
      </c>
    </row>
    <row r="705" customFormat="false" ht="14.25" hidden="false" customHeight="false" outlineLevel="0" collapsed="false">
      <c r="A705" s="17" t="n">
        <v>46102</v>
      </c>
      <c r="B705" s="21" t="s">
        <v>1306</v>
      </c>
      <c r="C705" s="22" t="n">
        <v>147</v>
      </c>
      <c r="D705" s="31" t="s">
        <v>22</v>
      </c>
      <c r="E705" s="21" t="s">
        <v>1306</v>
      </c>
      <c r="F705" s="19" t="n">
        <v>556599736852</v>
      </c>
      <c r="G705" s="31" t="s">
        <v>1307</v>
      </c>
      <c r="H705" s="21" t="s">
        <v>94</v>
      </c>
      <c r="I705" s="31" t="s">
        <v>54</v>
      </c>
      <c r="N705" s="21" t="s">
        <v>1022</v>
      </c>
      <c r="R705" s="0" t="n">
        <v>3</v>
      </c>
      <c r="S705" s="0" t="n">
        <v>2026</v>
      </c>
    </row>
    <row r="706" customFormat="false" ht="14.25" hidden="false" customHeight="false" outlineLevel="0" collapsed="false">
      <c r="B706" s="21" t="s">
        <v>43</v>
      </c>
      <c r="C706" s="22" t="n">
        <v>0</v>
      </c>
      <c r="D706" s="31" t="s">
        <v>21</v>
      </c>
      <c r="E706" s="21" t="s">
        <v>1343</v>
      </c>
      <c r="F706" s="19" t="n">
        <v>554888233617</v>
      </c>
      <c r="G706" s="31" t="s">
        <v>1344</v>
      </c>
      <c r="H706" s="21" t="s">
        <v>94</v>
      </c>
      <c r="I706" s="31" t="s">
        <v>54</v>
      </c>
      <c r="N706" s="21" t="s">
        <v>1022</v>
      </c>
    </row>
    <row r="707" customFormat="false" ht="14.25" hidden="false" customHeight="false" outlineLevel="0" collapsed="false">
      <c r="A707" s="17" t="n">
        <v>46097</v>
      </c>
      <c r="B707" s="21" t="s">
        <v>1706</v>
      </c>
      <c r="C707" s="22" t="n">
        <v>147</v>
      </c>
      <c r="D707" s="31" t="s">
        <v>18</v>
      </c>
      <c r="E707" s="21" t="s">
        <v>1707</v>
      </c>
      <c r="F707" s="19" t="n">
        <v>556291104005</v>
      </c>
      <c r="G707" s="31" t="s">
        <v>1708</v>
      </c>
      <c r="H707" s="21" t="s">
        <v>94</v>
      </c>
      <c r="I707" s="31" t="s">
        <v>54</v>
      </c>
      <c r="N707" s="21" t="s">
        <v>1022</v>
      </c>
      <c r="R707" s="0" t="n">
        <v>3</v>
      </c>
      <c r="S707" s="0" t="n">
        <v>2026</v>
      </c>
    </row>
    <row r="708" customFormat="false" ht="14.25" hidden="false" customHeight="false" outlineLevel="0" collapsed="false">
      <c r="A708" s="17" t="n">
        <v>46097</v>
      </c>
      <c r="B708" s="21" t="s">
        <v>1710</v>
      </c>
      <c r="C708" s="22" t="n">
        <v>150</v>
      </c>
      <c r="D708" s="31" t="s">
        <v>32</v>
      </c>
      <c r="E708" s="21" t="s">
        <v>1710</v>
      </c>
      <c r="F708" s="19" t="n">
        <v>554196168782</v>
      </c>
      <c r="G708" s="31" t="s">
        <v>1711</v>
      </c>
      <c r="H708" s="21" t="s">
        <v>94</v>
      </c>
      <c r="I708" s="31" t="s">
        <v>355</v>
      </c>
      <c r="N708" s="21" t="s">
        <v>965</v>
      </c>
      <c r="R708" s="0" t="n">
        <v>3</v>
      </c>
      <c r="S708" s="0" t="n">
        <v>2026</v>
      </c>
    </row>
    <row r="709" customFormat="false" ht="14.25" hidden="false" customHeight="false" outlineLevel="0" collapsed="false">
      <c r="A709" s="17" t="n">
        <v>46097</v>
      </c>
      <c r="B709" s="21" t="s">
        <v>1713</v>
      </c>
      <c r="C709" s="22" t="n">
        <v>300</v>
      </c>
      <c r="D709" s="31" t="s">
        <v>32</v>
      </c>
      <c r="E709" s="21" t="s">
        <v>1714</v>
      </c>
      <c r="F709" s="19" t="n">
        <v>555481044944</v>
      </c>
      <c r="G709" s="31" t="s">
        <v>1715</v>
      </c>
      <c r="H709" s="21" t="s">
        <v>94</v>
      </c>
      <c r="I709" s="31" t="s">
        <v>34</v>
      </c>
      <c r="N709" s="21" t="s">
        <v>965</v>
      </c>
      <c r="R709" s="0" t="n">
        <v>3</v>
      </c>
      <c r="S709" s="0" t="n">
        <v>2026</v>
      </c>
    </row>
    <row r="710" customFormat="false" ht="14.25" hidden="false" customHeight="false" outlineLevel="0" collapsed="false">
      <c r="A710" s="17" t="n">
        <v>46097</v>
      </c>
      <c r="B710" s="21" t="s">
        <v>252</v>
      </c>
      <c r="C710" s="22" t="n">
        <v>150</v>
      </c>
      <c r="D710" s="31" t="s">
        <v>32</v>
      </c>
      <c r="E710" s="21" t="s">
        <v>252</v>
      </c>
      <c r="F710" s="19" t="n">
        <v>5511938011568</v>
      </c>
      <c r="G710" s="31" t="s">
        <v>253</v>
      </c>
      <c r="H710" s="21" t="s">
        <v>94</v>
      </c>
      <c r="I710" s="31" t="s">
        <v>54</v>
      </c>
      <c r="N710" s="21" t="s">
        <v>1022</v>
      </c>
      <c r="R710" s="0" t="n">
        <v>3</v>
      </c>
      <c r="S710" s="0" t="n">
        <v>2026</v>
      </c>
    </row>
    <row r="711" customFormat="false" ht="14.25" hidden="false" customHeight="false" outlineLevel="0" collapsed="false">
      <c r="A711" s="17" t="n">
        <v>46097</v>
      </c>
      <c r="B711" s="21" t="s">
        <v>1718</v>
      </c>
      <c r="C711" s="22" t="n">
        <v>150</v>
      </c>
      <c r="D711" s="31" t="s">
        <v>32</v>
      </c>
      <c r="E711" s="21" t="s">
        <v>1718</v>
      </c>
      <c r="F711" s="19" t="n">
        <v>5354629954</v>
      </c>
      <c r="G711" s="31" t="s">
        <v>1719</v>
      </c>
      <c r="H711" s="21" t="s">
        <v>94</v>
      </c>
      <c r="I711" s="31" t="s">
        <v>34</v>
      </c>
      <c r="N711" s="21" t="s">
        <v>965</v>
      </c>
      <c r="R711" s="0" t="n">
        <v>3</v>
      </c>
      <c r="S711" s="0" t="n">
        <v>2026</v>
      </c>
    </row>
    <row r="712" customFormat="false" ht="14.25" hidden="false" customHeight="false" outlineLevel="0" collapsed="false">
      <c r="A712" s="17" t="n">
        <v>46097</v>
      </c>
      <c r="B712" s="21" t="s">
        <v>1721</v>
      </c>
      <c r="C712" s="22" t="n">
        <v>150</v>
      </c>
      <c r="D712" s="31" t="s">
        <v>32</v>
      </c>
      <c r="E712" s="21" t="s">
        <v>1722</v>
      </c>
      <c r="F712" s="19" t="n">
        <v>554184521162</v>
      </c>
      <c r="G712" s="31" t="s">
        <v>1723</v>
      </c>
      <c r="H712" s="21" t="s">
        <v>94</v>
      </c>
      <c r="I712" s="31" t="s">
        <v>34</v>
      </c>
      <c r="J712" s="21" t="s">
        <v>35</v>
      </c>
      <c r="K712" s="21" t="s">
        <v>36</v>
      </c>
      <c r="L712" s="21" t="s">
        <v>37</v>
      </c>
      <c r="M712" s="21" t="s">
        <v>38</v>
      </c>
      <c r="N712" s="21" t="s">
        <v>965</v>
      </c>
      <c r="R712" s="0" t="n">
        <v>3</v>
      </c>
      <c r="S712" s="0" t="n">
        <v>2026</v>
      </c>
    </row>
    <row r="713" customFormat="false" ht="14.25" hidden="false" customHeight="false" outlineLevel="0" collapsed="false">
      <c r="A713" s="17" t="n">
        <v>46097</v>
      </c>
      <c r="B713" s="21" t="s">
        <v>1725</v>
      </c>
      <c r="C713" s="22" t="n">
        <v>150</v>
      </c>
      <c r="D713" s="31" t="s">
        <v>22</v>
      </c>
      <c r="E713" s="21" t="s">
        <v>1725</v>
      </c>
      <c r="F713" s="19" t="n">
        <v>554197032682</v>
      </c>
      <c r="G713" s="31" t="s">
        <v>1726</v>
      </c>
      <c r="H713" s="21" t="s">
        <v>94</v>
      </c>
      <c r="I713" s="31" t="s">
        <v>54</v>
      </c>
      <c r="N713" s="21" t="s">
        <v>1022</v>
      </c>
      <c r="R713" s="0" t="n">
        <v>3</v>
      </c>
      <c r="S713" s="0" t="n">
        <v>2026</v>
      </c>
    </row>
    <row r="714" customFormat="false" ht="14.25" hidden="false" customHeight="false" outlineLevel="0" collapsed="false">
      <c r="A714" s="17" t="n">
        <v>46097</v>
      </c>
      <c r="B714" s="21" t="s">
        <v>1728</v>
      </c>
      <c r="C714" s="22" t="n">
        <v>150</v>
      </c>
      <c r="D714" s="31" t="s">
        <v>1471</v>
      </c>
      <c r="E714" s="21" t="s">
        <v>1728</v>
      </c>
      <c r="F714" s="19" t="n">
        <v>554199071114</v>
      </c>
      <c r="G714" s="31" t="s">
        <v>1729</v>
      </c>
      <c r="H714" s="21" t="s">
        <v>94</v>
      </c>
      <c r="I714" s="31" t="s">
        <v>355</v>
      </c>
      <c r="N714" s="21" t="s">
        <v>965</v>
      </c>
      <c r="R714" s="0" t="n">
        <v>3</v>
      </c>
      <c r="S714" s="0" t="n">
        <v>2026</v>
      </c>
    </row>
    <row r="715" customFormat="false" ht="14.25" hidden="false" customHeight="false" outlineLevel="0" collapsed="false">
      <c r="A715" s="17" t="n">
        <v>46097</v>
      </c>
      <c r="B715" s="21" t="s">
        <v>1731</v>
      </c>
      <c r="C715" s="22" t="n">
        <v>147</v>
      </c>
      <c r="D715" s="31" t="s">
        <v>390</v>
      </c>
      <c r="E715" s="21" t="s">
        <v>1731</v>
      </c>
      <c r="F715" s="19" t="n">
        <v>554198690517</v>
      </c>
      <c r="G715" s="31" t="s">
        <v>1732</v>
      </c>
      <c r="H715" s="21" t="s">
        <v>94</v>
      </c>
      <c r="I715" s="31" t="s">
        <v>355</v>
      </c>
      <c r="N715" s="21" t="s">
        <v>965</v>
      </c>
      <c r="R715" s="0" t="n">
        <v>3</v>
      </c>
      <c r="S715" s="0" t="n">
        <v>2026</v>
      </c>
    </row>
    <row r="716" customFormat="false" ht="14.25" hidden="false" customHeight="false" outlineLevel="0" collapsed="false">
      <c r="A716" s="17" t="n">
        <v>46098</v>
      </c>
      <c r="B716" s="21" t="s">
        <v>1734</v>
      </c>
      <c r="C716" s="22" t="n">
        <v>450</v>
      </c>
      <c r="D716" s="31" t="s">
        <v>24</v>
      </c>
      <c r="E716" s="21" t="s">
        <v>1734</v>
      </c>
      <c r="F716" s="19" t="n">
        <v>556692637187</v>
      </c>
      <c r="G716" s="31" t="s">
        <v>1735</v>
      </c>
      <c r="H716" s="21" t="s">
        <v>94</v>
      </c>
      <c r="I716" s="31" t="s">
        <v>355</v>
      </c>
      <c r="N716" s="21" t="s">
        <v>965</v>
      </c>
      <c r="R716" s="0" t="n">
        <v>3</v>
      </c>
      <c r="S716" s="0" t="n">
        <v>2026</v>
      </c>
    </row>
    <row r="717" customFormat="false" ht="14.25" hidden="false" customHeight="false" outlineLevel="0" collapsed="false">
      <c r="A717" s="17" t="n">
        <v>46098</v>
      </c>
      <c r="B717" s="21" t="s">
        <v>1737</v>
      </c>
      <c r="C717" s="22" t="n">
        <v>150</v>
      </c>
      <c r="D717" s="31" t="s">
        <v>32</v>
      </c>
      <c r="E717" s="21" t="s">
        <v>1738</v>
      </c>
      <c r="F717" s="19" t="n">
        <v>554195831409</v>
      </c>
      <c r="G717" s="31" t="s">
        <v>1739</v>
      </c>
      <c r="H717" s="21" t="s">
        <v>94</v>
      </c>
      <c r="I717" s="31" t="s">
        <v>34</v>
      </c>
      <c r="N717" s="21" t="s">
        <v>965</v>
      </c>
      <c r="R717" s="0" t="n">
        <v>3</v>
      </c>
      <c r="S717" s="0" t="n">
        <v>2026</v>
      </c>
    </row>
    <row r="718" customFormat="false" ht="14.25" hidden="false" customHeight="false" outlineLevel="0" collapsed="false">
      <c r="A718" s="17" t="n">
        <v>46098</v>
      </c>
      <c r="B718" s="21" t="s">
        <v>1741</v>
      </c>
      <c r="C718" s="22" t="n">
        <v>150</v>
      </c>
      <c r="D718" s="31" t="s">
        <v>29</v>
      </c>
      <c r="E718" s="21" t="s">
        <v>1741</v>
      </c>
      <c r="F718" s="19" t="n">
        <v>554187387956</v>
      </c>
      <c r="G718" s="31" t="s">
        <v>1742</v>
      </c>
      <c r="H718" s="21" t="s">
        <v>94</v>
      </c>
      <c r="I718" s="31" t="s">
        <v>355</v>
      </c>
      <c r="N718" s="21" t="s">
        <v>965</v>
      </c>
      <c r="R718" s="0" t="n">
        <v>3</v>
      </c>
      <c r="S718" s="0" t="n">
        <v>2026</v>
      </c>
    </row>
    <row r="719" customFormat="false" ht="14.25" hidden="false" customHeight="false" outlineLevel="0" collapsed="false">
      <c r="A719" s="17" t="n">
        <v>46098</v>
      </c>
      <c r="B719" s="21" t="s">
        <v>1744</v>
      </c>
      <c r="C719" s="22" t="n">
        <v>60</v>
      </c>
      <c r="D719" s="31" t="s">
        <v>862</v>
      </c>
      <c r="E719" s="21" t="s">
        <v>1745</v>
      </c>
      <c r="F719" s="19" t="n">
        <v>553173657197</v>
      </c>
      <c r="G719" s="31" t="s">
        <v>1746</v>
      </c>
      <c r="H719" s="21" t="s">
        <v>94</v>
      </c>
      <c r="I719" s="31" t="s">
        <v>50</v>
      </c>
      <c r="N719" s="21" t="s">
        <v>965</v>
      </c>
      <c r="R719" s="0" t="n">
        <v>3</v>
      </c>
      <c r="S719" s="0" t="n">
        <v>2026</v>
      </c>
    </row>
    <row r="720" customFormat="false" ht="14.25" hidden="false" customHeight="false" outlineLevel="0" collapsed="false">
      <c r="A720" s="17" t="n">
        <v>46098</v>
      </c>
      <c r="B720" s="21" t="s">
        <v>1748</v>
      </c>
      <c r="C720" s="22" t="n">
        <v>120</v>
      </c>
      <c r="D720" s="31" t="s">
        <v>21</v>
      </c>
      <c r="E720" s="21" t="s">
        <v>1748</v>
      </c>
      <c r="F720" s="19" t="n">
        <v>559584093409</v>
      </c>
      <c r="G720" s="31" t="s">
        <v>1749</v>
      </c>
      <c r="H720" s="21" t="s">
        <v>94</v>
      </c>
      <c r="I720" s="31" t="s">
        <v>355</v>
      </c>
      <c r="N720" s="21" t="s">
        <v>965</v>
      </c>
      <c r="R720" s="0" t="n">
        <v>3</v>
      </c>
      <c r="S720" s="0" t="n">
        <v>2026</v>
      </c>
    </row>
    <row r="721" customFormat="false" ht="14.25" hidden="false" customHeight="false" outlineLevel="0" collapsed="false">
      <c r="A721" s="17" t="n">
        <v>46098</v>
      </c>
      <c r="B721" s="21" t="s">
        <v>1751</v>
      </c>
      <c r="C721" s="22" t="n">
        <v>50</v>
      </c>
      <c r="D721" s="31" t="s">
        <v>862</v>
      </c>
      <c r="E721" s="21" t="s">
        <v>1751</v>
      </c>
      <c r="F721" s="19" t="n">
        <v>554197054059</v>
      </c>
      <c r="G721" s="31" t="s">
        <v>1468</v>
      </c>
      <c r="H721" s="21" t="s">
        <v>94</v>
      </c>
      <c r="I721" s="31" t="s">
        <v>355</v>
      </c>
      <c r="J721" s="21" t="s">
        <v>1176</v>
      </c>
      <c r="K721" s="21" t="s">
        <v>1752</v>
      </c>
      <c r="L721" s="21" t="s">
        <v>1753</v>
      </c>
      <c r="M721" s="21" t="s">
        <v>1179</v>
      </c>
      <c r="N721" s="21" t="s">
        <v>965</v>
      </c>
      <c r="R721" s="0" t="n">
        <v>3</v>
      </c>
      <c r="S721" s="0" t="n">
        <v>2026</v>
      </c>
    </row>
    <row r="722" customFormat="false" ht="14.25" hidden="false" customHeight="false" outlineLevel="0" collapsed="false">
      <c r="A722" s="17" t="n">
        <v>46098</v>
      </c>
      <c r="B722" s="21" t="s">
        <v>1755</v>
      </c>
      <c r="C722" s="22" t="n">
        <v>150</v>
      </c>
      <c r="D722" s="31" t="s">
        <v>32</v>
      </c>
      <c r="E722" s="21" t="s">
        <v>1755</v>
      </c>
      <c r="F722" s="19" t="n">
        <v>556182059813</v>
      </c>
      <c r="G722" s="31" t="s">
        <v>1756</v>
      </c>
      <c r="H722" s="21" t="s">
        <v>94</v>
      </c>
      <c r="I722" s="31" t="s">
        <v>34</v>
      </c>
      <c r="N722" s="21" t="s">
        <v>965</v>
      </c>
      <c r="R722" s="0" t="n">
        <v>3</v>
      </c>
      <c r="S722" s="0" t="n">
        <v>2026</v>
      </c>
    </row>
    <row r="723" customFormat="false" ht="14.25" hidden="false" customHeight="false" outlineLevel="0" collapsed="false">
      <c r="A723" s="17" t="n">
        <v>46098</v>
      </c>
      <c r="B723" s="21" t="s">
        <v>1758</v>
      </c>
      <c r="C723" s="22" t="n">
        <v>120</v>
      </c>
      <c r="D723" s="31" t="s">
        <v>30</v>
      </c>
      <c r="E723" s="21" t="s">
        <v>1758</v>
      </c>
      <c r="F723" s="19" t="n">
        <v>5511939372460</v>
      </c>
      <c r="G723" s="31" t="s">
        <v>1759</v>
      </c>
      <c r="H723" s="21" t="s">
        <v>94</v>
      </c>
      <c r="I723" s="31" t="s">
        <v>54</v>
      </c>
      <c r="N723" s="21" t="s">
        <v>1022</v>
      </c>
      <c r="R723" s="0" t="n">
        <v>3</v>
      </c>
      <c r="S723" s="0" t="n">
        <v>2026</v>
      </c>
    </row>
    <row r="724" customFormat="false" ht="14.25" hidden="false" customHeight="false" outlineLevel="0" collapsed="false">
      <c r="A724" s="17" t="n">
        <v>46098</v>
      </c>
      <c r="B724" s="21" t="s">
        <v>1761</v>
      </c>
      <c r="C724" s="22" t="n">
        <v>60</v>
      </c>
      <c r="D724" s="31" t="s">
        <v>25</v>
      </c>
      <c r="E724" s="21" t="s">
        <v>1762</v>
      </c>
      <c r="F724" s="19" t="n">
        <v>5355629785</v>
      </c>
      <c r="G724" s="31" t="s">
        <v>668</v>
      </c>
      <c r="H724" s="21" t="s">
        <v>94</v>
      </c>
      <c r="I724" s="31" t="s">
        <v>34</v>
      </c>
      <c r="N724" s="21" t="s">
        <v>965</v>
      </c>
      <c r="R724" s="0" t="n">
        <v>3</v>
      </c>
      <c r="S724" s="0" t="n">
        <v>2026</v>
      </c>
    </row>
    <row r="725" customFormat="false" ht="14.25" hidden="false" customHeight="false" outlineLevel="0" collapsed="false">
      <c r="A725" s="17" t="n">
        <v>46098</v>
      </c>
      <c r="B725" s="21" t="s">
        <v>1731</v>
      </c>
      <c r="C725" s="22" t="n">
        <v>147</v>
      </c>
      <c r="D725" s="31" t="s">
        <v>18</v>
      </c>
      <c r="E725" s="21" t="s">
        <v>1731</v>
      </c>
      <c r="F725" s="19" t="n">
        <v>554198690517</v>
      </c>
      <c r="G725" s="31" t="s">
        <v>1732</v>
      </c>
      <c r="H725" s="21" t="s">
        <v>94</v>
      </c>
      <c r="I725" s="31" t="s">
        <v>54</v>
      </c>
      <c r="N725" s="21" t="s">
        <v>1022</v>
      </c>
      <c r="R725" s="0" t="n">
        <v>3</v>
      </c>
      <c r="S725" s="0" t="n">
        <v>2026</v>
      </c>
    </row>
    <row r="726" customFormat="false" ht="14.25" hidden="false" customHeight="false" outlineLevel="0" collapsed="false">
      <c r="A726" s="17" t="n">
        <v>46098</v>
      </c>
      <c r="B726" s="21" t="s">
        <v>1765</v>
      </c>
      <c r="C726" s="22" t="n">
        <v>197</v>
      </c>
      <c r="D726" s="31" t="s">
        <v>1021</v>
      </c>
      <c r="E726" s="21" t="s">
        <v>1765</v>
      </c>
      <c r="F726" s="19" t="n">
        <v>554195034361</v>
      </c>
      <c r="G726" s="31" t="s">
        <v>1766</v>
      </c>
      <c r="H726" s="21" t="s">
        <v>94</v>
      </c>
      <c r="I726" s="31" t="s">
        <v>50</v>
      </c>
      <c r="N726" s="21" t="s">
        <v>965</v>
      </c>
      <c r="R726" s="0" t="n">
        <v>3</v>
      </c>
      <c r="S726" s="0" t="n">
        <v>2026</v>
      </c>
    </row>
    <row r="727" customFormat="false" ht="14.25" hidden="false" customHeight="false" outlineLevel="0" collapsed="false">
      <c r="A727" s="17" t="n">
        <v>46097</v>
      </c>
      <c r="B727" s="21" t="s">
        <v>1768</v>
      </c>
      <c r="C727" s="22" t="n">
        <v>240</v>
      </c>
      <c r="D727" s="31" t="s">
        <v>21</v>
      </c>
      <c r="E727" s="21" t="s">
        <v>1768</v>
      </c>
      <c r="F727" s="19" t="n">
        <v>554796557384</v>
      </c>
      <c r="G727" s="31" t="s">
        <v>1769</v>
      </c>
      <c r="H727" s="21" t="s">
        <v>94</v>
      </c>
      <c r="I727" s="31" t="s">
        <v>54</v>
      </c>
      <c r="N727" s="21" t="s">
        <v>1022</v>
      </c>
      <c r="R727" s="0" t="n">
        <v>3</v>
      </c>
      <c r="S727" s="0" t="n">
        <v>2026</v>
      </c>
    </row>
    <row r="728" customFormat="false" ht="14.25" hidden="false" customHeight="false" outlineLevel="0" collapsed="false">
      <c r="A728" s="17" t="n">
        <v>46099</v>
      </c>
      <c r="B728" s="21" t="s">
        <v>1771</v>
      </c>
      <c r="C728" s="22" t="n">
        <v>150</v>
      </c>
      <c r="D728" s="31" t="s">
        <v>32</v>
      </c>
      <c r="E728" s="21" t="s">
        <v>1771</v>
      </c>
      <c r="F728" s="19" t="n">
        <v>554185042577</v>
      </c>
      <c r="G728" s="31" t="s">
        <v>1772</v>
      </c>
      <c r="H728" s="21" t="s">
        <v>94</v>
      </c>
      <c r="I728" s="31" t="s">
        <v>34</v>
      </c>
      <c r="N728" s="21" t="s">
        <v>965</v>
      </c>
      <c r="R728" s="0" t="n">
        <v>3</v>
      </c>
      <c r="S728" s="0" t="n">
        <v>2026</v>
      </c>
    </row>
    <row r="729" customFormat="false" ht="14.25" hidden="false" customHeight="false" outlineLevel="0" collapsed="false">
      <c r="A729" s="17" t="n">
        <v>46099</v>
      </c>
      <c r="B729" s="21" t="s">
        <v>1774</v>
      </c>
      <c r="C729" s="22" t="n">
        <v>90</v>
      </c>
      <c r="D729" s="31" t="s">
        <v>16</v>
      </c>
      <c r="E729" s="21" t="s">
        <v>1774</v>
      </c>
      <c r="F729" s="19" t="n">
        <v>5515997985942</v>
      </c>
      <c r="G729" s="31" t="s">
        <v>1775</v>
      </c>
      <c r="H729" s="21" t="s">
        <v>94</v>
      </c>
      <c r="I729" s="31" t="s">
        <v>50</v>
      </c>
      <c r="N729" s="21" t="s">
        <v>965</v>
      </c>
      <c r="R729" s="0" t="n">
        <v>3</v>
      </c>
      <c r="S729" s="0" t="n">
        <v>2026</v>
      </c>
    </row>
    <row r="730" customFormat="false" ht="14.25" hidden="false" customHeight="false" outlineLevel="0" collapsed="false">
      <c r="A730" s="17" t="n">
        <v>46099</v>
      </c>
      <c r="B730" s="21" t="s">
        <v>1777</v>
      </c>
      <c r="C730" s="22" t="n">
        <v>120</v>
      </c>
      <c r="D730" s="31" t="s">
        <v>30</v>
      </c>
      <c r="E730" s="21" t="s">
        <v>1777</v>
      </c>
      <c r="F730" s="19" t="n">
        <v>554191678109</v>
      </c>
      <c r="G730" s="31" t="s">
        <v>1778</v>
      </c>
      <c r="H730" s="21" t="s">
        <v>94</v>
      </c>
      <c r="I730" s="31" t="s">
        <v>355</v>
      </c>
      <c r="N730" s="21" t="s">
        <v>965</v>
      </c>
      <c r="R730" s="0" t="n">
        <v>3</v>
      </c>
      <c r="S730" s="0" t="n">
        <v>2026</v>
      </c>
    </row>
    <row r="731" customFormat="false" ht="14.25" hidden="false" customHeight="false" outlineLevel="0" collapsed="false">
      <c r="A731" s="17" t="n">
        <v>46099</v>
      </c>
      <c r="B731" s="21" t="s">
        <v>1774</v>
      </c>
      <c r="C731" s="22" t="n">
        <v>147</v>
      </c>
      <c r="D731" s="31" t="s">
        <v>18</v>
      </c>
      <c r="E731" s="21" t="s">
        <v>1774</v>
      </c>
      <c r="F731" s="19" t="n">
        <v>5515997985942</v>
      </c>
      <c r="G731" s="31" t="s">
        <v>1775</v>
      </c>
      <c r="H731" s="21" t="s">
        <v>94</v>
      </c>
      <c r="I731" s="31" t="s">
        <v>34</v>
      </c>
      <c r="N731" s="21" t="s">
        <v>965</v>
      </c>
      <c r="R731" s="0" t="n">
        <v>3</v>
      </c>
      <c r="S731" s="0" t="n">
        <v>2026</v>
      </c>
    </row>
    <row r="732" customFormat="false" ht="14.25" hidden="false" customHeight="false" outlineLevel="0" collapsed="false">
      <c r="A732" s="17" t="n">
        <v>46098</v>
      </c>
      <c r="B732" s="21" t="s">
        <v>1480</v>
      </c>
      <c r="C732" s="22" t="n">
        <v>147</v>
      </c>
      <c r="D732" s="31" t="s">
        <v>390</v>
      </c>
      <c r="E732" s="21" t="s">
        <v>1480</v>
      </c>
      <c r="F732" s="19" t="n">
        <v>554891705244</v>
      </c>
      <c r="G732" s="31" t="s">
        <v>1481</v>
      </c>
      <c r="H732" s="21" t="s">
        <v>94</v>
      </c>
      <c r="I732" s="31" t="s">
        <v>50</v>
      </c>
      <c r="N732" s="21" t="s">
        <v>1022</v>
      </c>
      <c r="R732" s="0" t="n">
        <v>3</v>
      </c>
      <c r="S732" s="0" t="n">
        <v>2026</v>
      </c>
    </row>
    <row r="733" customFormat="false" ht="14.25" hidden="false" customHeight="false" outlineLevel="0" collapsed="false">
      <c r="A733" s="17" t="n">
        <v>46099</v>
      </c>
      <c r="B733" s="21" t="s">
        <v>1782</v>
      </c>
      <c r="C733" s="22" t="n">
        <v>240</v>
      </c>
      <c r="D733" s="31" t="s">
        <v>21</v>
      </c>
      <c r="E733" s="21" t="s">
        <v>1783</v>
      </c>
      <c r="F733" s="19" t="n">
        <v>554988392769</v>
      </c>
      <c r="G733" s="31" t="s">
        <v>1784</v>
      </c>
      <c r="H733" s="21" t="s">
        <v>94</v>
      </c>
      <c r="I733" s="31" t="s">
        <v>355</v>
      </c>
      <c r="J733" s="21" t="s">
        <v>60</v>
      </c>
      <c r="K733" s="21" t="s">
        <v>27</v>
      </c>
      <c r="L733" s="21" t="s">
        <v>221</v>
      </c>
      <c r="M733" s="21" t="s">
        <v>62</v>
      </c>
      <c r="N733" s="21" t="s">
        <v>965</v>
      </c>
      <c r="R733" s="0" t="n">
        <v>3</v>
      </c>
      <c r="S733" s="0" t="n">
        <v>2026</v>
      </c>
    </row>
    <row r="734" customFormat="false" ht="14.25" hidden="false" customHeight="false" outlineLevel="0" collapsed="false">
      <c r="A734" s="17" t="n">
        <v>46097</v>
      </c>
      <c r="B734" s="21" t="s">
        <v>1786</v>
      </c>
      <c r="C734" s="22" t="n">
        <v>294</v>
      </c>
      <c r="D734" s="31" t="s">
        <v>18</v>
      </c>
      <c r="E734" s="21" t="s">
        <v>1787</v>
      </c>
      <c r="F734" s="19" t="n">
        <v>5515997938402</v>
      </c>
      <c r="G734" s="31" t="s">
        <v>1788</v>
      </c>
      <c r="H734" s="21" t="s">
        <v>94</v>
      </c>
      <c r="I734" s="31" t="s">
        <v>355</v>
      </c>
      <c r="J734" s="21" t="s">
        <v>35</v>
      </c>
      <c r="K734" s="21" t="s">
        <v>69</v>
      </c>
      <c r="L734" s="21" t="s">
        <v>70</v>
      </c>
      <c r="M734" s="21" t="s">
        <v>38</v>
      </c>
      <c r="N734" s="21" t="s">
        <v>965</v>
      </c>
      <c r="R734" s="0" t="n">
        <v>3</v>
      </c>
      <c r="S734" s="0" t="n">
        <v>2026</v>
      </c>
    </row>
    <row r="735" customFormat="false" ht="14.25" hidden="false" customHeight="false" outlineLevel="0" collapsed="false">
      <c r="A735" s="17" t="n">
        <v>46099</v>
      </c>
      <c r="B735" s="21" t="s">
        <v>1790</v>
      </c>
      <c r="C735" s="22" t="n">
        <v>45</v>
      </c>
      <c r="D735" s="31" t="s">
        <v>25</v>
      </c>
      <c r="E735" s="21" t="s">
        <v>1791</v>
      </c>
      <c r="F735" s="19" t="n">
        <v>554184537514</v>
      </c>
      <c r="G735" s="31" t="s">
        <v>1792</v>
      </c>
      <c r="H735" s="21" t="s">
        <v>94</v>
      </c>
      <c r="I735" s="31" t="s">
        <v>34</v>
      </c>
      <c r="N735" s="21" t="s">
        <v>965</v>
      </c>
      <c r="R735" s="0" t="n">
        <v>3</v>
      </c>
      <c r="S735" s="0" t="n">
        <v>2026</v>
      </c>
    </row>
    <row r="736" customFormat="false" ht="14.25" hidden="false" customHeight="false" outlineLevel="0" collapsed="false">
      <c r="A736" s="17" t="n">
        <v>46099</v>
      </c>
      <c r="B736" s="21" t="s">
        <v>1794</v>
      </c>
      <c r="C736" s="22" t="n">
        <v>150</v>
      </c>
      <c r="D736" s="31" t="s">
        <v>32</v>
      </c>
      <c r="E736" s="21" t="s">
        <v>1794</v>
      </c>
      <c r="F736" s="19" t="n">
        <v>554896192290</v>
      </c>
      <c r="G736" s="31" t="s">
        <v>1795</v>
      </c>
      <c r="H736" s="21" t="s">
        <v>94</v>
      </c>
      <c r="I736" s="31" t="s">
        <v>34</v>
      </c>
      <c r="N736" s="21" t="s">
        <v>965</v>
      </c>
      <c r="R736" s="0" t="n">
        <v>3</v>
      </c>
      <c r="S736" s="0" t="n">
        <v>2026</v>
      </c>
    </row>
    <row r="737" customFormat="false" ht="14.25" hidden="false" customHeight="false" outlineLevel="0" collapsed="false">
      <c r="A737" s="17" t="n">
        <v>46099</v>
      </c>
      <c r="B737" s="21" t="s">
        <v>1571</v>
      </c>
      <c r="C737" s="22" t="n">
        <v>147</v>
      </c>
      <c r="D737" s="31" t="s">
        <v>390</v>
      </c>
      <c r="E737" s="21" t="s">
        <v>1571</v>
      </c>
      <c r="F737" s="19" t="n">
        <v>554198111746</v>
      </c>
      <c r="G737" s="31" t="s">
        <v>1572</v>
      </c>
      <c r="H737" s="21" t="s">
        <v>94</v>
      </c>
      <c r="I737" s="31" t="s">
        <v>54</v>
      </c>
      <c r="N737" s="21" t="s">
        <v>1022</v>
      </c>
      <c r="R737" s="0" t="n">
        <v>3</v>
      </c>
      <c r="S737" s="0" t="n">
        <v>2026</v>
      </c>
    </row>
    <row r="738" customFormat="false" ht="14.25" hidden="false" customHeight="false" outlineLevel="0" collapsed="false">
      <c r="A738" s="17" t="n">
        <v>46099</v>
      </c>
      <c r="B738" s="21" t="s">
        <v>1798</v>
      </c>
      <c r="C738" s="22" t="n">
        <v>150</v>
      </c>
      <c r="D738" s="31" t="s">
        <v>30</v>
      </c>
      <c r="E738" s="21" t="s">
        <v>1799</v>
      </c>
      <c r="F738" s="19" t="n">
        <v>5516993411002</v>
      </c>
      <c r="G738" s="31" t="s">
        <v>1800</v>
      </c>
      <c r="H738" s="21" t="s">
        <v>94</v>
      </c>
      <c r="I738" s="31" t="s">
        <v>34</v>
      </c>
      <c r="N738" s="21" t="s">
        <v>965</v>
      </c>
      <c r="R738" s="0" t="n">
        <v>3</v>
      </c>
      <c r="S738" s="0" t="n">
        <v>2026</v>
      </c>
    </row>
    <row r="739" customFormat="false" ht="14.25" hidden="false" customHeight="false" outlineLevel="0" collapsed="false">
      <c r="A739" s="17" t="n">
        <v>46099</v>
      </c>
      <c r="B739" s="21" t="s">
        <v>1581</v>
      </c>
      <c r="C739" s="22" t="n">
        <v>400</v>
      </c>
      <c r="D739" s="31" t="s">
        <v>390</v>
      </c>
      <c r="E739" s="21" t="s">
        <v>1581</v>
      </c>
      <c r="F739" s="19" t="n">
        <v>554591414688</v>
      </c>
      <c r="G739" s="31" t="s">
        <v>1582</v>
      </c>
      <c r="H739" s="21" t="s">
        <v>94</v>
      </c>
      <c r="I739" s="31" t="s">
        <v>54</v>
      </c>
      <c r="N739" s="21" t="s">
        <v>1022</v>
      </c>
      <c r="R739" s="0" t="n">
        <v>3</v>
      </c>
      <c r="S739" s="0" t="n">
        <v>2026</v>
      </c>
    </row>
    <row r="740" customFormat="false" ht="14.25" hidden="false" customHeight="false" outlineLevel="0" collapsed="false">
      <c r="A740" s="17" t="n">
        <v>46099</v>
      </c>
      <c r="B740" s="21" t="s">
        <v>1652</v>
      </c>
      <c r="C740" s="22" t="n">
        <v>147</v>
      </c>
      <c r="D740" s="31" t="s">
        <v>18</v>
      </c>
      <c r="E740" s="21" t="s">
        <v>1803</v>
      </c>
      <c r="F740" s="19" t="n">
        <v>556281066019</v>
      </c>
      <c r="G740" s="31" t="s">
        <v>1653</v>
      </c>
      <c r="H740" s="21" t="s">
        <v>94</v>
      </c>
      <c r="I740" s="31" t="s">
        <v>54</v>
      </c>
      <c r="N740" s="21" t="s">
        <v>1022</v>
      </c>
      <c r="R740" s="0" t="n">
        <v>3</v>
      </c>
      <c r="S740" s="0" t="n">
        <v>2026</v>
      </c>
    </row>
    <row r="741" customFormat="false" ht="14.25" hidden="false" customHeight="false" outlineLevel="0" collapsed="false">
      <c r="A741" s="17" t="n">
        <v>46099</v>
      </c>
      <c r="B741" s="21" t="s">
        <v>1805</v>
      </c>
      <c r="C741" s="22" t="n">
        <v>120</v>
      </c>
      <c r="D741" s="31" t="s">
        <v>30</v>
      </c>
      <c r="E741" s="21" t="s">
        <v>1805</v>
      </c>
      <c r="F741" s="19" t="n">
        <v>555496242893</v>
      </c>
      <c r="G741" s="31" t="s">
        <v>1806</v>
      </c>
      <c r="H741" s="21" t="s">
        <v>94</v>
      </c>
      <c r="I741" s="31" t="s">
        <v>54</v>
      </c>
      <c r="N741" s="21" t="s">
        <v>1022</v>
      </c>
      <c r="R741" s="0" t="n">
        <v>3</v>
      </c>
      <c r="S741" s="0" t="n">
        <v>2026</v>
      </c>
    </row>
    <row r="742" customFormat="false" ht="14.25" hidden="false" customHeight="false" outlineLevel="0" collapsed="false">
      <c r="B742" s="21" t="s">
        <v>43</v>
      </c>
      <c r="C742" s="22" t="n">
        <v>0</v>
      </c>
      <c r="D742" s="31" t="s">
        <v>18</v>
      </c>
      <c r="E742" s="21" t="s">
        <v>1565</v>
      </c>
      <c r="F742" s="19" t="n">
        <v>554899331747</v>
      </c>
      <c r="G742" s="31" t="s">
        <v>1566</v>
      </c>
      <c r="H742" s="21" t="s">
        <v>94</v>
      </c>
      <c r="I742" s="31" t="s">
        <v>54</v>
      </c>
      <c r="N742" s="21" t="s">
        <v>1022</v>
      </c>
    </row>
    <row r="743" customFormat="false" ht="14.25" hidden="false" customHeight="false" outlineLevel="0" collapsed="false">
      <c r="A743" s="17" t="n">
        <v>46099</v>
      </c>
      <c r="B743" s="21" t="s">
        <v>1808</v>
      </c>
      <c r="C743" s="22" t="n">
        <v>120</v>
      </c>
      <c r="D743" s="31" t="s">
        <v>30</v>
      </c>
      <c r="E743" s="21" t="s">
        <v>1809</v>
      </c>
      <c r="F743" s="19" t="n">
        <v>554196104209</v>
      </c>
      <c r="G743" s="31" t="s">
        <v>1810</v>
      </c>
      <c r="H743" s="21" t="s">
        <v>94</v>
      </c>
      <c r="I743" s="31" t="s">
        <v>355</v>
      </c>
      <c r="N743" s="21" t="s">
        <v>965</v>
      </c>
      <c r="R743" s="0" t="n">
        <v>3</v>
      </c>
      <c r="S743" s="0" t="n">
        <v>2026</v>
      </c>
    </row>
    <row r="744" customFormat="false" ht="14.25" hidden="false" customHeight="false" outlineLevel="0" collapsed="false">
      <c r="A744" s="17" t="n">
        <v>46100</v>
      </c>
      <c r="B744" s="21" t="s">
        <v>1812</v>
      </c>
      <c r="C744" s="22" t="n">
        <v>147</v>
      </c>
      <c r="D744" s="31" t="s">
        <v>22</v>
      </c>
      <c r="E744" s="21" t="s">
        <v>1812</v>
      </c>
      <c r="F744" s="19" t="n">
        <v>554195428908</v>
      </c>
      <c r="G744" s="31" t="s">
        <v>1813</v>
      </c>
      <c r="H744" s="21" t="s">
        <v>94</v>
      </c>
      <c r="I744" s="31" t="s">
        <v>50</v>
      </c>
      <c r="J744" s="21" t="s">
        <v>35</v>
      </c>
      <c r="K744" s="21" t="s">
        <v>36</v>
      </c>
      <c r="L744" s="21" t="s">
        <v>37</v>
      </c>
      <c r="M744" s="21" t="s">
        <v>38</v>
      </c>
      <c r="N744" s="21" t="s">
        <v>965</v>
      </c>
      <c r="R744" s="0" t="n">
        <v>3</v>
      </c>
      <c r="S744" s="0" t="n">
        <v>2026</v>
      </c>
    </row>
    <row r="745" customFormat="false" ht="14.25" hidden="false" customHeight="false" outlineLevel="0" collapsed="false">
      <c r="A745" s="17" t="n">
        <v>46100</v>
      </c>
      <c r="B745" s="21" t="s">
        <v>1815</v>
      </c>
      <c r="C745" s="22" t="n">
        <v>120</v>
      </c>
      <c r="D745" s="31" t="s">
        <v>30</v>
      </c>
      <c r="E745" s="21" t="s">
        <v>1816</v>
      </c>
      <c r="F745" s="19" t="n">
        <v>554891901581</v>
      </c>
      <c r="G745" s="31" t="s">
        <v>33</v>
      </c>
      <c r="H745" s="21" t="s">
        <v>94</v>
      </c>
      <c r="I745" s="31" t="s">
        <v>34</v>
      </c>
      <c r="N745" s="21" t="s">
        <v>965</v>
      </c>
      <c r="R745" s="0" t="n">
        <v>3</v>
      </c>
      <c r="S745" s="0" t="n">
        <v>2026</v>
      </c>
    </row>
    <row r="746" customFormat="false" ht="14.25" hidden="false" customHeight="false" outlineLevel="0" collapsed="false">
      <c r="A746" s="17" t="n">
        <v>46100</v>
      </c>
      <c r="B746" s="21" t="s">
        <v>1818</v>
      </c>
      <c r="C746" s="22" t="n">
        <v>150</v>
      </c>
      <c r="D746" s="31" t="s">
        <v>32</v>
      </c>
      <c r="E746" s="21" t="s">
        <v>1819</v>
      </c>
      <c r="F746" s="19" t="n">
        <v>5527998262615</v>
      </c>
      <c r="G746" s="31" t="s">
        <v>33</v>
      </c>
      <c r="H746" s="21" t="s">
        <v>94</v>
      </c>
      <c r="I746" s="31" t="s">
        <v>34</v>
      </c>
      <c r="N746" s="21" t="s">
        <v>965</v>
      </c>
      <c r="R746" s="0" t="n">
        <v>3</v>
      </c>
      <c r="S746" s="0" t="n">
        <v>2026</v>
      </c>
    </row>
    <row r="747" customFormat="false" ht="14.25" hidden="false" customHeight="false" outlineLevel="0" collapsed="false">
      <c r="A747" s="17" t="n">
        <v>46099</v>
      </c>
      <c r="B747" s="21" t="s">
        <v>1821</v>
      </c>
      <c r="C747" s="22" t="n">
        <v>200</v>
      </c>
      <c r="D747" s="31" t="s">
        <v>1699</v>
      </c>
      <c r="E747" s="21" t="s">
        <v>1821</v>
      </c>
      <c r="F747" s="19" t="n">
        <v>554888684882</v>
      </c>
      <c r="G747" s="31" t="s">
        <v>1822</v>
      </c>
      <c r="H747" s="21" t="s">
        <v>94</v>
      </c>
      <c r="I747" s="31" t="s">
        <v>34</v>
      </c>
      <c r="N747" s="21" t="s">
        <v>965</v>
      </c>
      <c r="R747" s="0" t="n">
        <v>3</v>
      </c>
      <c r="S747" s="0" t="n">
        <v>2026</v>
      </c>
    </row>
    <row r="748" customFormat="false" ht="14.25" hidden="false" customHeight="false" outlineLevel="0" collapsed="false">
      <c r="A748" s="17" t="n">
        <v>46099</v>
      </c>
      <c r="B748" s="21" t="s">
        <v>1824</v>
      </c>
      <c r="C748" s="22" t="n">
        <v>97</v>
      </c>
      <c r="D748" s="31" t="s">
        <v>20</v>
      </c>
      <c r="E748" s="21" t="s">
        <v>1824</v>
      </c>
      <c r="F748" s="19" t="n">
        <v>559684026663</v>
      </c>
      <c r="G748" s="31" t="s">
        <v>1825</v>
      </c>
      <c r="H748" s="21" t="s">
        <v>94</v>
      </c>
      <c r="I748" s="31" t="s">
        <v>54</v>
      </c>
      <c r="N748" s="21" t="s">
        <v>1022</v>
      </c>
      <c r="R748" s="0" t="n">
        <v>3</v>
      </c>
      <c r="S748" s="0" t="n">
        <v>2026</v>
      </c>
    </row>
    <row r="749" customFormat="false" ht="14.25" hidden="false" customHeight="false" outlineLevel="0" collapsed="false">
      <c r="A749" s="17" t="n">
        <v>46099</v>
      </c>
      <c r="B749" s="21" t="s">
        <v>1827</v>
      </c>
      <c r="C749" s="22" t="n">
        <v>120</v>
      </c>
      <c r="D749" s="31" t="s">
        <v>23</v>
      </c>
      <c r="E749" s="21" t="s">
        <v>1827</v>
      </c>
      <c r="F749" s="19" t="n">
        <v>554198853152</v>
      </c>
      <c r="G749" s="31" t="s">
        <v>33</v>
      </c>
      <c r="H749" s="21" t="s">
        <v>94</v>
      </c>
      <c r="I749" s="31" t="s">
        <v>34</v>
      </c>
      <c r="N749" s="21" t="s">
        <v>965</v>
      </c>
      <c r="R749" s="0" t="n">
        <v>3</v>
      </c>
      <c r="S749" s="0" t="n">
        <v>2026</v>
      </c>
    </row>
    <row r="750" customFormat="false" ht="14.25" hidden="false" customHeight="false" outlineLevel="0" collapsed="false">
      <c r="A750" s="17" t="n">
        <v>46100</v>
      </c>
      <c r="B750" s="21" t="s">
        <v>1829</v>
      </c>
      <c r="C750" s="22" t="n">
        <v>150</v>
      </c>
      <c r="D750" s="31" t="s">
        <v>32</v>
      </c>
      <c r="E750" s="21" t="s">
        <v>1830</v>
      </c>
      <c r="F750" s="19" t="n">
        <v>554599167180</v>
      </c>
      <c r="G750" s="31" t="s">
        <v>1831</v>
      </c>
      <c r="H750" s="21" t="s">
        <v>94</v>
      </c>
      <c r="I750" s="31" t="s">
        <v>34</v>
      </c>
      <c r="N750" s="21" t="s">
        <v>965</v>
      </c>
      <c r="R750" s="0" t="n">
        <v>3</v>
      </c>
      <c r="S750" s="0" t="n">
        <v>2026</v>
      </c>
    </row>
    <row r="751" customFormat="false" ht="14.25" hidden="false" customHeight="false" outlineLevel="0" collapsed="false">
      <c r="A751" s="17" t="n">
        <v>46100</v>
      </c>
      <c r="B751" s="21" t="s">
        <v>1833</v>
      </c>
      <c r="C751" s="22" t="n">
        <v>147</v>
      </c>
      <c r="D751" s="31" t="s">
        <v>18</v>
      </c>
      <c r="E751" s="21" t="s">
        <v>1833</v>
      </c>
      <c r="F751" s="19" t="n">
        <v>5511968360356</v>
      </c>
      <c r="G751" s="31" t="s">
        <v>1834</v>
      </c>
      <c r="H751" s="21" t="s">
        <v>94</v>
      </c>
      <c r="I751" s="31" t="s">
        <v>50</v>
      </c>
      <c r="J751" s="21" t="s">
        <v>35</v>
      </c>
      <c r="K751" s="21" t="s">
        <v>69</v>
      </c>
      <c r="L751" s="21" t="s">
        <v>70</v>
      </c>
      <c r="M751" s="21" t="s">
        <v>38</v>
      </c>
      <c r="N751" s="21" t="s">
        <v>965</v>
      </c>
      <c r="R751" s="0" t="n">
        <v>3</v>
      </c>
      <c r="S751" s="0" t="n">
        <v>2026</v>
      </c>
    </row>
    <row r="752" customFormat="false" ht="14.25" hidden="false" customHeight="false" outlineLevel="0" collapsed="false">
      <c r="A752" s="17" t="n">
        <v>46100</v>
      </c>
      <c r="B752" s="21" t="s">
        <v>1836</v>
      </c>
      <c r="C752" s="22" t="n">
        <v>440</v>
      </c>
      <c r="D752" s="31" t="s">
        <v>22</v>
      </c>
      <c r="E752" s="21" t="s">
        <v>1837</v>
      </c>
      <c r="F752" s="19" t="n">
        <v>5354081128</v>
      </c>
      <c r="G752" s="31" t="s">
        <v>1838</v>
      </c>
      <c r="H752" s="21" t="s">
        <v>94</v>
      </c>
      <c r="I752" s="31" t="s">
        <v>50</v>
      </c>
      <c r="N752" s="21" t="s">
        <v>965</v>
      </c>
      <c r="R752" s="0" t="n">
        <v>3</v>
      </c>
      <c r="S752" s="0" t="n">
        <v>2026</v>
      </c>
    </row>
    <row r="753" customFormat="false" ht="14.25" hidden="false" customHeight="false" outlineLevel="0" collapsed="false">
      <c r="A753" s="17" t="n">
        <v>46100</v>
      </c>
      <c r="B753" s="21" t="s">
        <v>1840</v>
      </c>
      <c r="C753" s="22" t="n">
        <v>291</v>
      </c>
      <c r="D753" s="31" t="s">
        <v>20</v>
      </c>
      <c r="E753" s="21" t="s">
        <v>1841</v>
      </c>
      <c r="F753" s="19" t="n">
        <v>554899666491</v>
      </c>
      <c r="G753" s="31" t="s">
        <v>1842</v>
      </c>
      <c r="H753" s="21" t="s">
        <v>94</v>
      </c>
      <c r="I753" s="31" t="s">
        <v>355</v>
      </c>
      <c r="N753" s="21" t="s">
        <v>965</v>
      </c>
      <c r="R753" s="0" t="n">
        <v>3</v>
      </c>
      <c r="S753" s="0" t="n">
        <v>2026</v>
      </c>
    </row>
    <row r="754" customFormat="false" ht="14.25" hidden="false" customHeight="false" outlineLevel="0" collapsed="false">
      <c r="A754" s="17" t="n">
        <v>46099</v>
      </c>
      <c r="B754" s="21" t="s">
        <v>1844</v>
      </c>
      <c r="C754" s="22" t="n">
        <v>194</v>
      </c>
      <c r="D754" s="31" t="s">
        <v>20</v>
      </c>
      <c r="E754" s="21" t="s">
        <v>1845</v>
      </c>
      <c r="F754" s="19" t="n">
        <v>554195716705</v>
      </c>
      <c r="G754" s="31" t="s">
        <v>1846</v>
      </c>
      <c r="H754" s="21" t="s">
        <v>94</v>
      </c>
      <c r="I754" s="31" t="s">
        <v>355</v>
      </c>
      <c r="J754" s="21" t="s">
        <v>1176</v>
      </c>
      <c r="K754" s="21" t="s">
        <v>1752</v>
      </c>
      <c r="L754" s="21" t="s">
        <v>1847</v>
      </c>
      <c r="M754" s="21" t="s">
        <v>1179</v>
      </c>
      <c r="N754" s="21" t="s">
        <v>965</v>
      </c>
      <c r="R754" s="0" t="n">
        <v>3</v>
      </c>
      <c r="S754" s="0" t="n">
        <v>2026</v>
      </c>
    </row>
    <row r="755" customFormat="false" ht="14.25" hidden="false" customHeight="false" outlineLevel="0" collapsed="false">
      <c r="A755" s="17" t="n">
        <v>46100</v>
      </c>
      <c r="B755" s="21" t="s">
        <v>1849</v>
      </c>
      <c r="C755" s="22" t="n">
        <v>600</v>
      </c>
      <c r="D755" s="31" t="s">
        <v>106</v>
      </c>
      <c r="E755" s="21" t="s">
        <v>1850</v>
      </c>
      <c r="F755" s="19" t="n">
        <v>554899597391</v>
      </c>
      <c r="G755" s="31" t="s">
        <v>1851</v>
      </c>
      <c r="H755" s="21" t="s">
        <v>94</v>
      </c>
      <c r="I755" s="31" t="s">
        <v>34</v>
      </c>
      <c r="N755" s="21" t="s">
        <v>965</v>
      </c>
      <c r="R755" s="0" t="n">
        <v>3</v>
      </c>
      <c r="S755" s="0" t="n">
        <v>2026</v>
      </c>
    </row>
    <row r="756" customFormat="false" ht="14.25" hidden="false" customHeight="false" outlineLevel="0" collapsed="false">
      <c r="A756" s="17" t="n">
        <v>46100</v>
      </c>
      <c r="B756" s="21" t="s">
        <v>1853</v>
      </c>
      <c r="C756" s="22" t="n">
        <v>60</v>
      </c>
      <c r="D756" s="31" t="s">
        <v>25</v>
      </c>
      <c r="E756" s="21" t="s">
        <v>1853</v>
      </c>
      <c r="F756" s="19" t="n">
        <v>5595984045583</v>
      </c>
      <c r="G756" s="31" t="s">
        <v>1854</v>
      </c>
      <c r="H756" s="21" t="s">
        <v>94</v>
      </c>
      <c r="I756" s="31" t="s">
        <v>50</v>
      </c>
      <c r="N756" s="21" t="s">
        <v>965</v>
      </c>
      <c r="R756" s="0" t="n">
        <v>3</v>
      </c>
      <c r="S756" s="0" t="n">
        <v>2026</v>
      </c>
    </row>
    <row r="757" customFormat="false" ht="14.25" hidden="false" customHeight="false" outlineLevel="0" collapsed="false">
      <c r="A757" s="17" t="n">
        <v>46100</v>
      </c>
      <c r="B757" s="21" t="s">
        <v>1856</v>
      </c>
      <c r="C757" s="22" t="n">
        <v>147</v>
      </c>
      <c r="D757" s="31" t="s">
        <v>18</v>
      </c>
      <c r="E757" s="21" t="s">
        <v>1856</v>
      </c>
      <c r="F757" s="19" t="n">
        <v>554588019937</v>
      </c>
      <c r="G757" s="31" t="s">
        <v>1857</v>
      </c>
      <c r="H757" s="21" t="s">
        <v>94</v>
      </c>
      <c r="I757" s="31" t="s">
        <v>50</v>
      </c>
      <c r="J757" s="21" t="s">
        <v>35</v>
      </c>
      <c r="K757" s="21" t="s">
        <v>69</v>
      </c>
      <c r="L757" s="21" t="s">
        <v>70</v>
      </c>
      <c r="M757" s="21" t="s">
        <v>38</v>
      </c>
      <c r="N757" s="21" t="s">
        <v>965</v>
      </c>
      <c r="R757" s="0" t="n">
        <v>3</v>
      </c>
      <c r="S757" s="0" t="n">
        <v>2026</v>
      </c>
    </row>
    <row r="758" customFormat="false" ht="14.25" hidden="false" customHeight="false" outlineLevel="0" collapsed="false">
      <c r="A758" s="17" t="n">
        <v>46100</v>
      </c>
      <c r="B758" s="21" t="s">
        <v>1859</v>
      </c>
      <c r="C758" s="22" t="n">
        <v>147</v>
      </c>
      <c r="D758" s="31" t="s">
        <v>18</v>
      </c>
      <c r="E758" s="21" t="s">
        <v>1859</v>
      </c>
      <c r="F758" s="19" t="n">
        <v>5511951653484</v>
      </c>
      <c r="G758" s="31" t="s">
        <v>1860</v>
      </c>
      <c r="H758" s="21" t="s">
        <v>94</v>
      </c>
      <c r="I758" s="31" t="s">
        <v>34</v>
      </c>
      <c r="J758" s="21" t="s">
        <v>1176</v>
      </c>
      <c r="K758" s="21" t="s">
        <v>1861</v>
      </c>
      <c r="L758" s="21" t="s">
        <v>1862</v>
      </c>
      <c r="M758" s="21" t="s">
        <v>1179</v>
      </c>
      <c r="N758" s="21" t="s">
        <v>965</v>
      </c>
      <c r="R758" s="0" t="n">
        <v>3</v>
      </c>
      <c r="S758" s="0" t="n">
        <v>2026</v>
      </c>
    </row>
    <row r="759" customFormat="false" ht="14.25" hidden="false" customHeight="false" outlineLevel="0" collapsed="false">
      <c r="A759" s="17" t="n">
        <v>46100</v>
      </c>
      <c r="B759" s="21" t="s">
        <v>1864</v>
      </c>
      <c r="C759" s="22" t="n">
        <v>147</v>
      </c>
      <c r="D759" s="31" t="s">
        <v>22</v>
      </c>
      <c r="E759" s="21" t="s">
        <v>1864</v>
      </c>
      <c r="F759" s="19" t="n">
        <v>554791177858</v>
      </c>
      <c r="G759" s="31" t="s">
        <v>1865</v>
      </c>
      <c r="H759" s="21" t="s">
        <v>94</v>
      </c>
      <c r="I759" s="31" t="s">
        <v>54</v>
      </c>
      <c r="N759" s="21" t="s">
        <v>1022</v>
      </c>
      <c r="R759" s="0" t="n">
        <v>3</v>
      </c>
      <c r="S759" s="0" t="n">
        <v>2026</v>
      </c>
    </row>
    <row r="760" customFormat="false" ht="14.25" hidden="false" customHeight="false" outlineLevel="0" collapsed="false">
      <c r="A760" s="17" t="n">
        <v>46100</v>
      </c>
      <c r="B760" s="21" t="s">
        <v>1867</v>
      </c>
      <c r="C760" s="22" t="n">
        <v>588</v>
      </c>
      <c r="D760" s="31" t="s">
        <v>22</v>
      </c>
      <c r="E760" s="21" t="s">
        <v>1867</v>
      </c>
      <c r="F760" s="19" t="n">
        <v>5519998144461</v>
      </c>
      <c r="G760" s="31" t="s">
        <v>1868</v>
      </c>
      <c r="H760" s="21" t="s">
        <v>94</v>
      </c>
      <c r="I760" s="31" t="s">
        <v>50</v>
      </c>
      <c r="N760" s="21" t="s">
        <v>965</v>
      </c>
      <c r="R760" s="0" t="n">
        <v>3</v>
      </c>
      <c r="S760" s="0" t="n">
        <v>2026</v>
      </c>
    </row>
    <row r="761" customFormat="false" ht="14.25" hidden="false" customHeight="false" outlineLevel="0" collapsed="false">
      <c r="A761" s="17" t="n">
        <v>46100</v>
      </c>
      <c r="B761" s="21" t="s">
        <v>78</v>
      </c>
      <c r="C761" s="22" t="n">
        <v>300</v>
      </c>
      <c r="D761" s="31" t="s">
        <v>27</v>
      </c>
      <c r="E761" s="21" t="s">
        <v>79</v>
      </c>
      <c r="F761" s="19" t="n">
        <v>554197035604</v>
      </c>
      <c r="G761" s="31" t="s">
        <v>80</v>
      </c>
      <c r="H761" s="21" t="s">
        <v>94</v>
      </c>
      <c r="I761" s="31" t="s">
        <v>54</v>
      </c>
      <c r="N761" s="21" t="s">
        <v>965</v>
      </c>
      <c r="R761" s="0" t="n">
        <v>3</v>
      </c>
      <c r="S761" s="0" t="n">
        <v>2026</v>
      </c>
    </row>
    <row r="762" customFormat="false" ht="14.25" hidden="false" customHeight="false" outlineLevel="0" collapsed="false">
      <c r="A762" s="17" t="n">
        <v>46100</v>
      </c>
      <c r="B762" s="21" t="s">
        <v>1824</v>
      </c>
      <c r="C762" s="22" t="n">
        <v>150</v>
      </c>
      <c r="D762" s="31" t="s">
        <v>32</v>
      </c>
      <c r="E762" s="21" t="s">
        <v>1871</v>
      </c>
      <c r="F762" s="19" t="n">
        <v>559684026663</v>
      </c>
      <c r="G762" s="31" t="s">
        <v>1825</v>
      </c>
      <c r="H762" s="21" t="s">
        <v>94</v>
      </c>
      <c r="I762" s="31" t="s">
        <v>54</v>
      </c>
      <c r="N762" s="21" t="s">
        <v>1022</v>
      </c>
      <c r="R762" s="0" t="n">
        <v>3</v>
      </c>
      <c r="S762" s="0" t="n">
        <v>2026</v>
      </c>
    </row>
    <row r="763" customFormat="false" ht="14.25" hidden="false" customHeight="false" outlineLevel="0" collapsed="false">
      <c r="A763" s="17" t="n">
        <v>46101</v>
      </c>
      <c r="B763" s="21" t="s">
        <v>1873</v>
      </c>
      <c r="C763" s="22" t="n">
        <v>194</v>
      </c>
      <c r="D763" s="31" t="s">
        <v>20</v>
      </c>
      <c r="E763" s="21" t="s">
        <v>1874</v>
      </c>
      <c r="F763" s="19" t="n">
        <v>559584381582</v>
      </c>
      <c r="G763" s="31" t="s">
        <v>1875</v>
      </c>
      <c r="H763" s="21" t="s">
        <v>94</v>
      </c>
      <c r="I763" s="31" t="s">
        <v>50</v>
      </c>
      <c r="N763" s="21" t="s">
        <v>965</v>
      </c>
      <c r="R763" s="0" t="n">
        <v>3</v>
      </c>
      <c r="S763" s="0" t="n">
        <v>2026</v>
      </c>
    </row>
    <row r="764" customFormat="false" ht="14.25" hidden="false" customHeight="false" outlineLevel="0" collapsed="false">
      <c r="A764" s="17" t="n">
        <v>46101</v>
      </c>
      <c r="B764" s="21" t="s">
        <v>1877</v>
      </c>
      <c r="C764" s="22" t="n">
        <v>97</v>
      </c>
      <c r="D764" s="31" t="s">
        <v>20</v>
      </c>
      <c r="E764" s="21" t="s">
        <v>1878</v>
      </c>
      <c r="F764" s="19" t="n">
        <v>554792009109</v>
      </c>
      <c r="G764" s="31" t="s">
        <v>1879</v>
      </c>
      <c r="H764" s="21" t="s">
        <v>94</v>
      </c>
      <c r="I764" s="31" t="s">
        <v>50</v>
      </c>
      <c r="J764" s="21" t="s">
        <v>35</v>
      </c>
      <c r="K764" s="21" t="s">
        <v>36</v>
      </c>
      <c r="L764" s="21" t="s">
        <v>37</v>
      </c>
      <c r="M764" s="21" t="s">
        <v>38</v>
      </c>
      <c r="N764" s="21" t="s">
        <v>965</v>
      </c>
      <c r="R764" s="0" t="n">
        <v>3</v>
      </c>
      <c r="S764" s="0" t="n">
        <v>2026</v>
      </c>
    </row>
    <row r="765" customFormat="false" ht="14.25" hidden="false" customHeight="false" outlineLevel="0" collapsed="false">
      <c r="A765" s="17" t="n">
        <v>46101</v>
      </c>
      <c r="B765" s="21" t="s">
        <v>1881</v>
      </c>
      <c r="C765" s="22" t="n">
        <v>240</v>
      </c>
      <c r="D765" s="31" t="s">
        <v>22</v>
      </c>
      <c r="E765" s="21" t="s">
        <v>1881</v>
      </c>
      <c r="F765" s="19" t="n">
        <v>5521965012203</v>
      </c>
      <c r="G765" s="31" t="s">
        <v>1882</v>
      </c>
      <c r="H765" s="21" t="s">
        <v>94</v>
      </c>
      <c r="I765" s="31" t="s">
        <v>54</v>
      </c>
      <c r="N765" s="21" t="s">
        <v>1022</v>
      </c>
      <c r="R765" s="0" t="n">
        <v>3</v>
      </c>
      <c r="S765" s="0" t="n">
        <v>2026</v>
      </c>
    </row>
    <row r="766" customFormat="false" ht="14.25" hidden="false" customHeight="false" outlineLevel="0" collapsed="false">
      <c r="A766" s="17" t="n">
        <v>46101</v>
      </c>
      <c r="B766" s="21" t="s">
        <v>1884</v>
      </c>
      <c r="C766" s="22" t="n">
        <v>240</v>
      </c>
      <c r="D766" s="31" t="s">
        <v>30</v>
      </c>
      <c r="E766" s="21" t="s">
        <v>1885</v>
      </c>
      <c r="F766" s="19" t="n">
        <v>559684078095</v>
      </c>
      <c r="G766" s="31" t="s">
        <v>1886</v>
      </c>
      <c r="H766" s="21" t="s">
        <v>94</v>
      </c>
      <c r="I766" s="31" t="s">
        <v>50</v>
      </c>
      <c r="J766" s="21" t="s">
        <v>908</v>
      </c>
      <c r="N766" s="21" t="s">
        <v>965</v>
      </c>
      <c r="R766" s="0" t="n">
        <v>3</v>
      </c>
      <c r="S766" s="0" t="n">
        <v>2026</v>
      </c>
    </row>
    <row r="767" customFormat="false" ht="14.25" hidden="false" customHeight="false" outlineLevel="0" collapsed="false">
      <c r="A767" s="17" t="n">
        <v>46101</v>
      </c>
      <c r="B767" s="21" t="s">
        <v>1888</v>
      </c>
      <c r="C767" s="22" t="n">
        <v>147</v>
      </c>
      <c r="D767" s="31" t="s">
        <v>22</v>
      </c>
      <c r="E767" s="21" t="s">
        <v>1889</v>
      </c>
      <c r="F767" s="19" t="n">
        <v>559584148374</v>
      </c>
      <c r="G767" s="31" t="s">
        <v>1890</v>
      </c>
      <c r="H767" s="21" t="s">
        <v>94</v>
      </c>
      <c r="I767" s="31" t="s">
        <v>34</v>
      </c>
      <c r="J767" s="21" t="s">
        <v>35</v>
      </c>
      <c r="K767" s="21" t="s">
        <v>36</v>
      </c>
      <c r="L767" s="21" t="s">
        <v>37</v>
      </c>
      <c r="M767" s="21" t="s">
        <v>38</v>
      </c>
      <c r="N767" s="21" t="s">
        <v>965</v>
      </c>
      <c r="R767" s="0" t="n">
        <v>3</v>
      </c>
      <c r="S767" s="0" t="n">
        <v>2026</v>
      </c>
    </row>
    <row r="768" customFormat="false" ht="14.25" hidden="false" customHeight="false" outlineLevel="0" collapsed="false">
      <c r="A768" s="17" t="n">
        <v>46100</v>
      </c>
      <c r="B768" s="21" t="s">
        <v>1892</v>
      </c>
      <c r="C768" s="22" t="n">
        <v>97</v>
      </c>
      <c r="D768" s="31" t="s">
        <v>20</v>
      </c>
      <c r="E768" s="21" t="s">
        <v>1892</v>
      </c>
      <c r="F768" s="19" t="n">
        <v>559584149807</v>
      </c>
      <c r="G768" s="31" t="s">
        <v>1893</v>
      </c>
      <c r="H768" s="21" t="s">
        <v>94</v>
      </c>
      <c r="I768" s="31" t="s">
        <v>355</v>
      </c>
      <c r="J768" s="21" t="s">
        <v>35</v>
      </c>
      <c r="K768" s="21" t="s">
        <v>36</v>
      </c>
      <c r="L768" s="21" t="s">
        <v>37</v>
      </c>
      <c r="M768" s="21" t="s">
        <v>38</v>
      </c>
      <c r="N768" s="21" t="s">
        <v>965</v>
      </c>
      <c r="R768" s="0" t="n">
        <v>3</v>
      </c>
      <c r="S768" s="0" t="n">
        <v>2026</v>
      </c>
    </row>
    <row r="769" customFormat="false" ht="14.25" hidden="false" customHeight="false" outlineLevel="0" collapsed="false">
      <c r="A769" s="17" t="n">
        <v>46101</v>
      </c>
      <c r="B769" s="21" t="s">
        <v>1895</v>
      </c>
      <c r="C769" s="22" t="n">
        <v>120</v>
      </c>
      <c r="D769" s="31" t="s">
        <v>30</v>
      </c>
      <c r="E769" s="21" t="s">
        <v>1895</v>
      </c>
      <c r="F769" s="19" t="n">
        <v>554188980211</v>
      </c>
      <c r="G769" s="31" t="s">
        <v>1896</v>
      </c>
      <c r="H769" s="21" t="s">
        <v>94</v>
      </c>
      <c r="I769" s="31" t="s">
        <v>355</v>
      </c>
      <c r="J769" s="21" t="s">
        <v>1176</v>
      </c>
      <c r="K769" s="21" t="s">
        <v>1897</v>
      </c>
      <c r="L769" s="21" t="s">
        <v>1898</v>
      </c>
      <c r="M769" s="21" t="s">
        <v>1179</v>
      </c>
      <c r="N769" s="21" t="s">
        <v>965</v>
      </c>
      <c r="R769" s="0" t="n">
        <v>3</v>
      </c>
      <c r="S769" s="0" t="n">
        <v>2026</v>
      </c>
    </row>
    <row r="770" customFormat="false" ht="14.25" hidden="false" customHeight="false" outlineLevel="0" collapsed="false">
      <c r="A770" s="17" t="n">
        <v>46101</v>
      </c>
      <c r="B770" s="21" t="s">
        <v>1900</v>
      </c>
      <c r="C770" s="22" t="n">
        <v>120</v>
      </c>
      <c r="D770" s="31" t="s">
        <v>30</v>
      </c>
      <c r="E770" s="21" t="s">
        <v>1900</v>
      </c>
      <c r="F770" s="19" t="n">
        <v>559684163679</v>
      </c>
      <c r="G770" s="31" t="s">
        <v>1901</v>
      </c>
      <c r="H770" s="21" t="s">
        <v>94</v>
      </c>
      <c r="I770" s="31" t="s">
        <v>50</v>
      </c>
      <c r="N770" s="21" t="s">
        <v>965</v>
      </c>
      <c r="R770" s="0" t="n">
        <v>3</v>
      </c>
      <c r="S770" s="0" t="n">
        <v>2026</v>
      </c>
    </row>
    <row r="771" customFormat="false" ht="14.25" hidden="false" customHeight="false" outlineLevel="0" collapsed="false">
      <c r="A771" s="17" t="n">
        <v>46101</v>
      </c>
      <c r="B771" s="21" t="s">
        <v>1903</v>
      </c>
      <c r="C771" s="22" t="n">
        <v>97</v>
      </c>
      <c r="D771" s="31" t="s">
        <v>20</v>
      </c>
      <c r="E771" s="21" t="s">
        <v>1904</v>
      </c>
      <c r="F771" s="19" t="n">
        <v>559584297218</v>
      </c>
      <c r="G771" s="31" t="s">
        <v>1905</v>
      </c>
      <c r="H771" s="21" t="s">
        <v>94</v>
      </c>
      <c r="I771" s="31" t="s">
        <v>50</v>
      </c>
      <c r="N771" s="21" t="s">
        <v>965</v>
      </c>
      <c r="R771" s="0" t="n">
        <v>3</v>
      </c>
      <c r="S771" s="0" t="n">
        <v>2026</v>
      </c>
    </row>
    <row r="772" customFormat="false" ht="14.25" hidden="false" customHeight="false" outlineLevel="0" collapsed="false">
      <c r="A772" s="17" t="n">
        <v>46101</v>
      </c>
      <c r="B772" s="21" t="s">
        <v>1907</v>
      </c>
      <c r="C772" s="22" t="n">
        <v>140</v>
      </c>
      <c r="D772" s="31" t="s">
        <v>390</v>
      </c>
      <c r="E772" s="21" t="s">
        <v>1907</v>
      </c>
      <c r="F772" s="19" t="n">
        <v>554899484493</v>
      </c>
      <c r="G772" s="31" t="s">
        <v>1908</v>
      </c>
      <c r="H772" s="21" t="s">
        <v>94</v>
      </c>
      <c r="I772" s="31" t="s">
        <v>50</v>
      </c>
      <c r="N772" s="21" t="s">
        <v>965</v>
      </c>
      <c r="R772" s="0" t="n">
        <v>3</v>
      </c>
      <c r="S772" s="0" t="n">
        <v>2026</v>
      </c>
    </row>
    <row r="773" customFormat="false" ht="14.25" hidden="false" customHeight="false" outlineLevel="0" collapsed="false">
      <c r="A773" s="17" t="n">
        <v>46101</v>
      </c>
      <c r="B773" s="21" t="s">
        <v>1910</v>
      </c>
      <c r="C773" s="22" t="n">
        <v>291</v>
      </c>
      <c r="D773" s="31" t="s">
        <v>20</v>
      </c>
      <c r="E773" s="21" t="s">
        <v>1910</v>
      </c>
      <c r="F773" s="19" t="n">
        <v>5511947383448</v>
      </c>
      <c r="G773" s="31" t="s">
        <v>1911</v>
      </c>
      <c r="H773" s="21" t="s">
        <v>94</v>
      </c>
      <c r="I773" s="31" t="s">
        <v>355</v>
      </c>
      <c r="J773" s="21" t="s">
        <v>1176</v>
      </c>
      <c r="K773" s="21" t="s">
        <v>1177</v>
      </c>
      <c r="L773" s="21" t="s">
        <v>1178</v>
      </c>
      <c r="M773" s="21" t="s">
        <v>1179</v>
      </c>
      <c r="N773" s="21" t="s">
        <v>965</v>
      </c>
      <c r="R773" s="0" t="n">
        <v>3</v>
      </c>
      <c r="S773" s="0" t="n">
        <v>2026</v>
      </c>
    </row>
    <row r="774" customFormat="false" ht="14.25" hidden="false" customHeight="false" outlineLevel="0" collapsed="false">
      <c r="A774" s="17" t="n">
        <v>46101</v>
      </c>
      <c r="B774" s="21" t="s">
        <v>1913</v>
      </c>
      <c r="C774" s="22" t="n">
        <v>294</v>
      </c>
      <c r="D774" s="31" t="s">
        <v>21</v>
      </c>
      <c r="E774" s="21" t="s">
        <v>1913</v>
      </c>
      <c r="F774" s="19" t="n">
        <v>559584300001</v>
      </c>
      <c r="G774" s="31" t="s">
        <v>1914</v>
      </c>
      <c r="H774" s="21" t="s">
        <v>94</v>
      </c>
      <c r="I774" s="31" t="s">
        <v>54</v>
      </c>
      <c r="N774" s="21" t="s">
        <v>1022</v>
      </c>
      <c r="R774" s="0" t="n">
        <v>3</v>
      </c>
      <c r="S774" s="0" t="n">
        <v>2026</v>
      </c>
    </row>
    <row r="775" customFormat="false" ht="14.25" hidden="false" customHeight="false" outlineLevel="0" collapsed="false">
      <c r="A775" s="17" t="n">
        <v>46101</v>
      </c>
      <c r="B775" s="21" t="s">
        <v>1916</v>
      </c>
      <c r="C775" s="22" t="n">
        <v>147</v>
      </c>
      <c r="D775" s="31" t="s">
        <v>18</v>
      </c>
      <c r="E775" s="21" t="s">
        <v>1917</v>
      </c>
      <c r="F775" s="19" t="n">
        <v>559591162047</v>
      </c>
      <c r="G775" s="31" t="s">
        <v>1918</v>
      </c>
      <c r="H775" s="21" t="s">
        <v>94</v>
      </c>
      <c r="I775" s="31" t="s">
        <v>50</v>
      </c>
      <c r="J775" s="21" t="s">
        <v>35</v>
      </c>
      <c r="K775" s="21" t="s">
        <v>69</v>
      </c>
      <c r="L775" s="21" t="s">
        <v>70</v>
      </c>
      <c r="M775" s="21" t="s">
        <v>38</v>
      </c>
      <c r="N775" s="21" t="s">
        <v>965</v>
      </c>
      <c r="R775" s="0" t="n">
        <v>3</v>
      </c>
      <c r="S775" s="0" t="n">
        <v>2026</v>
      </c>
    </row>
    <row r="776" customFormat="false" ht="14.25" hidden="false" customHeight="false" outlineLevel="0" collapsed="false">
      <c r="A776" s="17" t="n">
        <v>46101</v>
      </c>
      <c r="B776" s="21" t="s">
        <v>1920</v>
      </c>
      <c r="C776" s="22" t="n">
        <v>150</v>
      </c>
      <c r="D776" s="31" t="s">
        <v>30</v>
      </c>
      <c r="E776" s="21" t="s">
        <v>1920</v>
      </c>
      <c r="F776" s="19" t="s">
        <v>1921</v>
      </c>
      <c r="G776" s="31" t="s">
        <v>1922</v>
      </c>
      <c r="H776" s="21" t="s">
        <v>94</v>
      </c>
      <c r="I776" s="31" t="s">
        <v>355</v>
      </c>
      <c r="N776" s="21" t="s">
        <v>965</v>
      </c>
      <c r="R776" s="0" t="n">
        <v>3</v>
      </c>
      <c r="S776" s="0" t="n">
        <v>2026</v>
      </c>
    </row>
    <row r="777" customFormat="false" ht="14.25" hidden="false" customHeight="false" outlineLevel="0" collapsed="false">
      <c r="A777" s="17" t="n">
        <v>46101</v>
      </c>
      <c r="B777" s="21" t="s">
        <v>1923</v>
      </c>
      <c r="C777" s="22" t="n">
        <v>242</v>
      </c>
      <c r="D777" s="31" t="s">
        <v>20</v>
      </c>
      <c r="E777" s="21" t="s">
        <v>1924</v>
      </c>
      <c r="F777" s="19" t="n">
        <v>5516994306925</v>
      </c>
      <c r="G777" s="31" t="s">
        <v>1925</v>
      </c>
      <c r="H777" s="21" t="s">
        <v>94</v>
      </c>
      <c r="I777" s="31" t="s">
        <v>355</v>
      </c>
      <c r="N777" s="21" t="s">
        <v>965</v>
      </c>
      <c r="R777" s="0" t="n">
        <v>3</v>
      </c>
      <c r="S777" s="0" t="n">
        <v>2026</v>
      </c>
    </row>
    <row r="778" customFormat="false" ht="14.25" hidden="false" customHeight="false" outlineLevel="0" collapsed="false">
      <c r="A778" s="17" t="n">
        <v>46101</v>
      </c>
      <c r="B778" s="21" t="s">
        <v>1927</v>
      </c>
      <c r="C778" s="22" t="n">
        <v>240</v>
      </c>
      <c r="D778" s="31" t="s">
        <v>30</v>
      </c>
      <c r="E778" s="21" t="s">
        <v>1927</v>
      </c>
      <c r="F778" s="19" t="n">
        <v>559584229035</v>
      </c>
      <c r="G778" s="31" t="s">
        <v>1928</v>
      </c>
      <c r="H778" s="21" t="s">
        <v>94</v>
      </c>
      <c r="I778" s="31" t="s">
        <v>50</v>
      </c>
      <c r="N778" s="21" t="s">
        <v>965</v>
      </c>
      <c r="R778" s="0" t="n">
        <v>3</v>
      </c>
      <c r="S778" s="0" t="n">
        <v>2026</v>
      </c>
    </row>
    <row r="779" customFormat="false" ht="14.25" hidden="false" customHeight="false" outlineLevel="0" collapsed="false">
      <c r="A779" s="17" t="n">
        <v>46100</v>
      </c>
      <c r="B779" s="21" t="s">
        <v>1930</v>
      </c>
      <c r="C779" s="22" t="n">
        <v>120</v>
      </c>
      <c r="D779" s="31" t="s">
        <v>30</v>
      </c>
      <c r="E779" s="21" t="s">
        <v>1930</v>
      </c>
      <c r="F779" s="19" t="n">
        <v>559591538723</v>
      </c>
      <c r="G779" s="31" t="s">
        <v>1931</v>
      </c>
      <c r="H779" s="21" t="s">
        <v>94</v>
      </c>
      <c r="I779" s="31" t="s">
        <v>54</v>
      </c>
      <c r="N779" s="21" t="s">
        <v>1022</v>
      </c>
      <c r="R779" s="0" t="n">
        <v>3</v>
      </c>
      <c r="S779" s="0" t="n">
        <v>2026</v>
      </c>
    </row>
    <row r="780" customFormat="false" ht="14.25" hidden="false" customHeight="false" outlineLevel="0" collapsed="false">
      <c r="A780" s="17" t="n">
        <v>46101</v>
      </c>
      <c r="B780" s="21" t="s">
        <v>1881</v>
      </c>
      <c r="C780" s="22" t="n">
        <v>200</v>
      </c>
      <c r="D780" s="31" t="s">
        <v>30</v>
      </c>
      <c r="E780" s="21" t="s">
        <v>1881</v>
      </c>
      <c r="F780" s="19" t="n">
        <v>5521965012203</v>
      </c>
      <c r="G780" s="31" t="s">
        <v>1882</v>
      </c>
      <c r="H780" s="21" t="s">
        <v>94</v>
      </c>
      <c r="I780" s="31" t="s">
        <v>54</v>
      </c>
      <c r="N780" s="21" t="s">
        <v>1022</v>
      </c>
      <c r="R780" s="0" t="n">
        <v>3</v>
      </c>
      <c r="S780" s="0" t="n">
        <v>2026</v>
      </c>
    </row>
    <row r="781" customFormat="false" ht="14.25" hidden="false" customHeight="false" outlineLevel="0" collapsed="false">
      <c r="A781" s="17" t="n">
        <v>46102</v>
      </c>
      <c r="B781" s="21" t="s">
        <v>1934</v>
      </c>
      <c r="C781" s="22" t="n">
        <v>450</v>
      </c>
      <c r="D781" s="31" t="s">
        <v>29</v>
      </c>
      <c r="E781" s="21" t="s">
        <v>104</v>
      </c>
      <c r="F781" s="19" t="n">
        <v>554888124202</v>
      </c>
      <c r="G781" s="31" t="s">
        <v>1935</v>
      </c>
      <c r="H781" s="21" t="s">
        <v>94</v>
      </c>
      <c r="I781" s="31" t="s">
        <v>50</v>
      </c>
      <c r="J781" s="21" t="s">
        <v>35</v>
      </c>
      <c r="K781" s="21" t="s">
        <v>36</v>
      </c>
      <c r="L781" s="21" t="s">
        <v>37</v>
      </c>
      <c r="M781" s="21" t="s">
        <v>38</v>
      </c>
      <c r="N781" s="21" t="s">
        <v>965</v>
      </c>
      <c r="R781" s="0" t="n">
        <v>3</v>
      </c>
      <c r="S781" s="0" t="n">
        <v>2026</v>
      </c>
    </row>
    <row r="782" customFormat="false" ht="14.25" hidden="false" customHeight="false" outlineLevel="0" collapsed="false">
      <c r="A782" s="17" t="n">
        <v>46102</v>
      </c>
      <c r="B782" s="21" t="s">
        <v>43</v>
      </c>
      <c r="C782" s="22" t="n">
        <v>0</v>
      </c>
      <c r="D782" s="31" t="s">
        <v>30</v>
      </c>
      <c r="E782" s="21" t="s">
        <v>1937</v>
      </c>
      <c r="F782" s="19" t="n">
        <v>555481420122</v>
      </c>
      <c r="G782" s="31" t="s">
        <v>1938</v>
      </c>
      <c r="H782" s="21" t="s">
        <v>94</v>
      </c>
      <c r="I782" s="31" t="s">
        <v>54</v>
      </c>
      <c r="N782" s="21" t="s">
        <v>965</v>
      </c>
      <c r="R782" s="0" t="n">
        <v>3</v>
      </c>
      <c r="S782" s="0" t="n">
        <v>2026</v>
      </c>
    </row>
    <row r="783" customFormat="false" ht="14.25" hidden="false" customHeight="false" outlineLevel="0" collapsed="false">
      <c r="A783" s="17" t="n">
        <v>46104</v>
      </c>
      <c r="B783" s="21" t="s">
        <v>1940</v>
      </c>
      <c r="C783" s="22" t="n">
        <v>120</v>
      </c>
      <c r="D783" s="31" t="s">
        <v>22</v>
      </c>
      <c r="E783" s="21" t="s">
        <v>1940</v>
      </c>
      <c r="F783" s="19" t="n">
        <v>556298141589</v>
      </c>
      <c r="G783" s="31" t="s">
        <v>1941</v>
      </c>
      <c r="H783" s="21" t="s">
        <v>94</v>
      </c>
      <c r="I783" s="31" t="s">
        <v>355</v>
      </c>
      <c r="J783" s="21" t="s">
        <v>35</v>
      </c>
      <c r="K783" s="21" t="s">
        <v>69</v>
      </c>
      <c r="L783" s="21" t="s">
        <v>70</v>
      </c>
      <c r="M783" s="21" t="s">
        <v>38</v>
      </c>
      <c r="N783" s="21" t="s">
        <v>965</v>
      </c>
      <c r="R783" s="0" t="n">
        <v>3</v>
      </c>
      <c r="S783" s="0" t="n">
        <v>2026</v>
      </c>
    </row>
    <row r="784" customFormat="false" ht="14.25" hidden="false" customHeight="false" outlineLevel="0" collapsed="false">
      <c r="A784" s="17" t="n">
        <v>46102</v>
      </c>
      <c r="B784" s="21" t="s">
        <v>1943</v>
      </c>
      <c r="C784" s="22" t="n">
        <v>441</v>
      </c>
      <c r="D784" s="31" t="s">
        <v>21</v>
      </c>
      <c r="E784" s="21" t="s">
        <v>1944</v>
      </c>
      <c r="F784" s="19" t="n">
        <v>5356671474</v>
      </c>
      <c r="G784" s="31" t="s">
        <v>1945</v>
      </c>
      <c r="H784" s="21" t="s">
        <v>94</v>
      </c>
      <c r="I784" s="31" t="s">
        <v>50</v>
      </c>
      <c r="N784" s="21" t="s">
        <v>965</v>
      </c>
      <c r="R784" s="0" t="n">
        <v>3</v>
      </c>
      <c r="S784" s="0" t="n">
        <v>2026</v>
      </c>
    </row>
    <row r="785" customFormat="false" ht="14.25" hidden="false" customHeight="false" outlineLevel="0" collapsed="false">
      <c r="A785" s="17" t="n">
        <v>46102</v>
      </c>
      <c r="B785" s="21" t="s">
        <v>1812</v>
      </c>
      <c r="C785" s="22" t="n">
        <v>120</v>
      </c>
      <c r="D785" s="31" t="s">
        <v>21</v>
      </c>
      <c r="E785" s="21" t="s">
        <v>1812</v>
      </c>
      <c r="F785" s="19" t="n">
        <v>554195428908</v>
      </c>
      <c r="G785" s="31" t="s">
        <v>1947</v>
      </c>
      <c r="H785" s="21" t="s">
        <v>94</v>
      </c>
      <c r="I785" s="31" t="s">
        <v>54</v>
      </c>
      <c r="N785" s="21" t="s">
        <v>1022</v>
      </c>
      <c r="R785" s="0" t="n">
        <v>3</v>
      </c>
      <c r="S785" s="0" t="n">
        <v>2026</v>
      </c>
    </row>
    <row r="786" customFormat="false" ht="14.25" hidden="false" customHeight="false" outlineLevel="0" collapsed="false">
      <c r="A786" s="17" t="n">
        <v>46103</v>
      </c>
      <c r="B786" s="21" t="s">
        <v>1930</v>
      </c>
      <c r="C786" s="22" t="n">
        <v>300</v>
      </c>
      <c r="D786" s="31" t="s">
        <v>30</v>
      </c>
      <c r="E786" s="21" t="s">
        <v>1930</v>
      </c>
      <c r="F786" s="19" t="n">
        <v>559591538723</v>
      </c>
      <c r="G786" s="31" t="s">
        <v>1931</v>
      </c>
      <c r="H786" s="21" t="s">
        <v>94</v>
      </c>
      <c r="I786" s="31" t="s">
        <v>54</v>
      </c>
      <c r="N786" s="21" t="s">
        <v>1022</v>
      </c>
      <c r="R786" s="0" t="n">
        <v>3</v>
      </c>
      <c r="S786" s="0" t="n">
        <v>2026</v>
      </c>
    </row>
    <row r="787" customFormat="false" ht="14.25" hidden="false" customHeight="false" outlineLevel="0" collapsed="false">
      <c r="A787" s="17" t="n">
        <v>46104</v>
      </c>
      <c r="B787" s="21" t="s">
        <v>1950</v>
      </c>
      <c r="C787" s="22" t="n">
        <v>197</v>
      </c>
      <c r="D787" s="31" t="s">
        <v>20</v>
      </c>
      <c r="E787" s="21" t="s">
        <v>1039</v>
      </c>
      <c r="F787" s="19" t="n">
        <v>559286190187</v>
      </c>
      <c r="G787" s="31" t="s">
        <v>1040</v>
      </c>
      <c r="H787" s="21" t="s">
        <v>94</v>
      </c>
      <c r="I787" s="31" t="s">
        <v>54</v>
      </c>
      <c r="N787" s="21" t="s">
        <v>1022</v>
      </c>
      <c r="R787" s="0" t="n">
        <v>3</v>
      </c>
      <c r="S787" s="0" t="n">
        <v>2026</v>
      </c>
    </row>
    <row r="788" customFormat="false" ht="14.25" hidden="false" customHeight="false" outlineLevel="0" collapsed="false">
      <c r="A788" s="17" t="n">
        <v>46104</v>
      </c>
      <c r="B788" s="21" t="s">
        <v>1952</v>
      </c>
      <c r="C788" s="22" t="n">
        <v>150</v>
      </c>
      <c r="D788" s="31" t="s">
        <v>1471</v>
      </c>
      <c r="E788" s="21" t="s">
        <v>1953</v>
      </c>
      <c r="F788" s="19" t="n">
        <v>559591526125</v>
      </c>
      <c r="G788" s="31" t="s">
        <v>1954</v>
      </c>
      <c r="H788" s="21" t="s">
        <v>94</v>
      </c>
      <c r="I788" s="31" t="s">
        <v>355</v>
      </c>
      <c r="J788" s="21" t="s">
        <v>1176</v>
      </c>
      <c r="K788" s="21" t="s">
        <v>1955</v>
      </c>
      <c r="L788" s="21" t="s">
        <v>1956</v>
      </c>
      <c r="M788" s="21" t="s">
        <v>1179</v>
      </c>
      <c r="N788" s="21" t="s">
        <v>965</v>
      </c>
      <c r="R788" s="0" t="n">
        <v>3</v>
      </c>
      <c r="S788" s="0" t="n">
        <v>2026</v>
      </c>
    </row>
    <row r="789" customFormat="false" ht="14.25" hidden="false" customHeight="false" outlineLevel="0" collapsed="false">
      <c r="A789" s="17" t="n">
        <v>46104</v>
      </c>
      <c r="B789" s="21" t="s">
        <v>1958</v>
      </c>
      <c r="C789" s="22" t="n">
        <v>120</v>
      </c>
      <c r="D789" s="31" t="s">
        <v>21</v>
      </c>
      <c r="E789" s="21" t="s">
        <v>1959</v>
      </c>
      <c r="F789" s="19" t="n">
        <v>5548920023448</v>
      </c>
      <c r="G789" s="31" t="s">
        <v>1960</v>
      </c>
      <c r="H789" s="21" t="s">
        <v>94</v>
      </c>
      <c r="I789" s="31" t="s">
        <v>34</v>
      </c>
      <c r="N789" s="21" t="s">
        <v>965</v>
      </c>
      <c r="R789" s="0" t="n">
        <v>3</v>
      </c>
      <c r="S789" s="0" t="n">
        <v>2026</v>
      </c>
    </row>
    <row r="790" customFormat="false" ht="14.25" hidden="false" customHeight="false" outlineLevel="0" collapsed="false">
      <c r="A790" s="17" t="n">
        <v>46104</v>
      </c>
      <c r="B790" s="21" t="s">
        <v>1962</v>
      </c>
      <c r="C790" s="22" t="n">
        <v>150</v>
      </c>
      <c r="D790" s="31" t="s">
        <v>32</v>
      </c>
      <c r="E790" s="21" t="s">
        <v>1962</v>
      </c>
      <c r="F790" s="19" t="n">
        <v>554796489301</v>
      </c>
      <c r="G790" s="31" t="s">
        <v>1963</v>
      </c>
      <c r="H790" s="21" t="s">
        <v>94</v>
      </c>
      <c r="I790" s="31" t="s">
        <v>355</v>
      </c>
      <c r="J790" s="21" t="s">
        <v>35</v>
      </c>
      <c r="K790" s="21" t="s">
        <v>36</v>
      </c>
      <c r="L790" s="21" t="s">
        <v>37</v>
      </c>
      <c r="M790" s="21" t="s">
        <v>38</v>
      </c>
      <c r="N790" s="21" t="s">
        <v>965</v>
      </c>
      <c r="R790" s="0" t="n">
        <v>3</v>
      </c>
      <c r="S790" s="0" t="n">
        <v>2026</v>
      </c>
    </row>
    <row r="791" customFormat="false" ht="14.25" hidden="false" customHeight="false" outlineLevel="0" collapsed="false">
      <c r="A791" s="17" t="n">
        <v>46104</v>
      </c>
      <c r="B791" s="21" t="s">
        <v>1965</v>
      </c>
      <c r="C791" s="22" t="n">
        <v>150</v>
      </c>
      <c r="D791" s="31" t="s">
        <v>24</v>
      </c>
      <c r="E791" s="21" t="s">
        <v>1965</v>
      </c>
      <c r="F791" s="19" t="n">
        <v>554591393777</v>
      </c>
      <c r="G791" s="31" t="s">
        <v>1966</v>
      </c>
      <c r="H791" s="21" t="s">
        <v>94</v>
      </c>
      <c r="I791" s="31" t="s">
        <v>34</v>
      </c>
      <c r="N791" s="21" t="s">
        <v>965</v>
      </c>
      <c r="R791" s="0" t="n">
        <v>3</v>
      </c>
      <c r="S791" s="0" t="n">
        <v>2026</v>
      </c>
    </row>
    <row r="792" customFormat="false" ht="14.25" hidden="false" customHeight="false" outlineLevel="0" collapsed="false">
      <c r="A792" s="17" t="n">
        <v>46104</v>
      </c>
      <c r="B792" s="21" t="s">
        <v>1968</v>
      </c>
      <c r="C792" s="22" t="n">
        <v>147</v>
      </c>
      <c r="D792" s="31" t="s">
        <v>18</v>
      </c>
      <c r="E792" s="21" t="s">
        <v>1968</v>
      </c>
      <c r="F792" s="19" t="n">
        <v>554999051886</v>
      </c>
      <c r="G792" s="31" t="s">
        <v>1969</v>
      </c>
      <c r="H792" s="21" t="s">
        <v>1304</v>
      </c>
      <c r="I792" s="31" t="s">
        <v>50</v>
      </c>
      <c r="N792" s="21" t="s">
        <v>965</v>
      </c>
      <c r="R792" s="0" t="n">
        <v>3</v>
      </c>
      <c r="S792" s="0" t="n">
        <v>2026</v>
      </c>
    </row>
    <row r="793" customFormat="false" ht="14.25" hidden="false" customHeight="false" outlineLevel="0" collapsed="false">
      <c r="A793" s="17" t="n">
        <v>46104</v>
      </c>
      <c r="B793" s="21" t="s">
        <v>1971</v>
      </c>
      <c r="C793" s="22" t="n">
        <v>294</v>
      </c>
      <c r="D793" s="31" t="s">
        <v>22</v>
      </c>
      <c r="E793" s="21" t="s">
        <v>1972</v>
      </c>
      <c r="F793" s="19" t="n">
        <v>59892375350</v>
      </c>
      <c r="G793" s="31" t="s">
        <v>43</v>
      </c>
      <c r="H793" s="21" t="s">
        <v>94</v>
      </c>
      <c r="I793" s="31" t="s">
        <v>54</v>
      </c>
      <c r="N793" s="21" t="s">
        <v>965</v>
      </c>
      <c r="R793" s="0" t="n">
        <v>3</v>
      </c>
      <c r="S793" s="0" t="n">
        <v>2026</v>
      </c>
    </row>
    <row r="794" customFormat="false" ht="14.25" hidden="false" customHeight="false" outlineLevel="0" collapsed="false">
      <c r="A794" s="17" t="n">
        <v>46104</v>
      </c>
      <c r="B794" s="21" t="s">
        <v>1971</v>
      </c>
      <c r="C794" s="22" t="n">
        <v>294</v>
      </c>
      <c r="D794" s="31" t="s">
        <v>21</v>
      </c>
      <c r="E794" s="21" t="s">
        <v>1972</v>
      </c>
      <c r="G794" s="31"/>
      <c r="H794" s="21" t="s">
        <v>94</v>
      </c>
      <c r="I794" s="31" t="s">
        <v>54</v>
      </c>
      <c r="N794" s="21" t="s">
        <v>1022</v>
      </c>
      <c r="R794" s="0" t="n">
        <v>3</v>
      </c>
      <c r="S794" s="0" t="n">
        <v>2026</v>
      </c>
    </row>
    <row r="795" customFormat="false" ht="14.25" hidden="false" customHeight="false" outlineLevel="0" collapsed="false">
      <c r="A795" s="17" t="n">
        <v>46104</v>
      </c>
      <c r="B795" s="21" t="s">
        <v>1975</v>
      </c>
      <c r="C795" s="22" t="n">
        <v>140</v>
      </c>
      <c r="D795" s="31" t="s">
        <v>32</v>
      </c>
      <c r="E795" s="21" t="s">
        <v>1976</v>
      </c>
      <c r="F795" s="19" t="n">
        <v>5354639742</v>
      </c>
      <c r="G795" s="31" t="s">
        <v>1977</v>
      </c>
      <c r="H795" s="21" t="s">
        <v>94</v>
      </c>
      <c r="I795" s="31" t="s">
        <v>34</v>
      </c>
      <c r="N795" s="21" t="s">
        <v>965</v>
      </c>
      <c r="R795" s="0" t="n">
        <v>3</v>
      </c>
      <c r="S795" s="0" t="n">
        <v>2026</v>
      </c>
    </row>
    <row r="796" customFormat="false" ht="14.25" hidden="false" customHeight="false" outlineLevel="0" collapsed="false">
      <c r="A796" s="17" t="n">
        <v>46104</v>
      </c>
      <c r="B796" s="21" t="s">
        <v>1979</v>
      </c>
      <c r="C796" s="22" t="n">
        <v>97</v>
      </c>
      <c r="D796" s="31" t="s">
        <v>20</v>
      </c>
      <c r="E796" s="21" t="s">
        <v>1979</v>
      </c>
      <c r="F796" s="19" t="n">
        <v>5516981060788</v>
      </c>
      <c r="G796" s="31" t="s">
        <v>1980</v>
      </c>
      <c r="H796" s="21" t="s">
        <v>94</v>
      </c>
      <c r="I796" s="31" t="s">
        <v>50</v>
      </c>
      <c r="J796" s="21" t="s">
        <v>35</v>
      </c>
      <c r="K796" s="21" t="s">
        <v>36</v>
      </c>
      <c r="L796" s="21" t="s">
        <v>37</v>
      </c>
      <c r="M796" s="21" t="s">
        <v>38</v>
      </c>
      <c r="N796" s="21" t="s">
        <v>965</v>
      </c>
      <c r="R796" s="0" t="n">
        <v>3</v>
      </c>
      <c r="S796" s="0" t="n">
        <v>2026</v>
      </c>
    </row>
    <row r="797" customFormat="false" ht="14.25" hidden="false" customHeight="false" outlineLevel="0" collapsed="false">
      <c r="A797" s="17" t="n">
        <v>46104</v>
      </c>
      <c r="B797" s="21" t="s">
        <v>1982</v>
      </c>
      <c r="C797" s="22" t="n">
        <v>150</v>
      </c>
      <c r="D797" s="31" t="s">
        <v>24</v>
      </c>
      <c r="E797" s="21" t="s">
        <v>1983</v>
      </c>
      <c r="F797" s="19" t="n">
        <v>554196240699</v>
      </c>
      <c r="G797" s="31" t="s">
        <v>1984</v>
      </c>
      <c r="H797" s="21" t="s">
        <v>94</v>
      </c>
      <c r="I797" s="31" t="s">
        <v>34</v>
      </c>
      <c r="J797" s="21" t="s">
        <v>35</v>
      </c>
      <c r="K797" s="21" t="s">
        <v>36</v>
      </c>
      <c r="L797" s="21" t="s">
        <v>37</v>
      </c>
      <c r="M797" s="21" t="s">
        <v>38</v>
      </c>
      <c r="N797" s="21" t="s">
        <v>965</v>
      </c>
      <c r="R797" s="0" t="n">
        <v>3</v>
      </c>
      <c r="S797" s="0" t="n">
        <v>2026</v>
      </c>
    </row>
    <row r="798" customFormat="false" ht="14.25" hidden="false" customHeight="false" outlineLevel="0" collapsed="false">
      <c r="A798" s="17" t="n">
        <v>46104</v>
      </c>
      <c r="B798" s="21" t="s">
        <v>1986</v>
      </c>
      <c r="C798" s="22" t="n">
        <v>340</v>
      </c>
      <c r="D798" s="31" t="s">
        <v>20</v>
      </c>
      <c r="E798" s="21" t="s">
        <v>1987</v>
      </c>
      <c r="F798" s="19" t="n">
        <v>554896314101</v>
      </c>
      <c r="G798" s="31" t="s">
        <v>1988</v>
      </c>
      <c r="H798" s="21" t="s">
        <v>94</v>
      </c>
      <c r="I798" s="31" t="s">
        <v>355</v>
      </c>
      <c r="J798" s="21" t="s">
        <v>97</v>
      </c>
      <c r="K798" s="21" t="s">
        <v>20</v>
      </c>
      <c r="L798" s="21" t="s">
        <v>469</v>
      </c>
      <c r="M798" s="21" t="s">
        <v>99</v>
      </c>
      <c r="N798" s="21" t="s">
        <v>965</v>
      </c>
      <c r="R798" s="0" t="n">
        <v>3</v>
      </c>
      <c r="S798" s="0" t="n">
        <v>2026</v>
      </c>
    </row>
    <row r="799" customFormat="false" ht="14.25" hidden="false" customHeight="false" outlineLevel="0" collapsed="false">
      <c r="A799" s="17" t="n">
        <v>46104</v>
      </c>
      <c r="B799" s="21" t="s">
        <v>1990</v>
      </c>
      <c r="C799" s="22" t="n">
        <v>360</v>
      </c>
      <c r="D799" s="31" t="s">
        <v>30</v>
      </c>
      <c r="E799" s="21" t="s">
        <v>1991</v>
      </c>
      <c r="F799" s="19" t="n">
        <v>554584058903</v>
      </c>
      <c r="G799" s="31" t="s">
        <v>1992</v>
      </c>
      <c r="H799" s="21" t="s">
        <v>94</v>
      </c>
      <c r="I799" s="31" t="s">
        <v>50</v>
      </c>
      <c r="N799" s="21" t="s">
        <v>965</v>
      </c>
      <c r="R799" s="0" t="n">
        <v>3</v>
      </c>
      <c r="S799" s="0" t="n">
        <v>2026</v>
      </c>
    </row>
    <row r="800" customFormat="false" ht="14.25" hidden="false" customHeight="false" outlineLevel="0" collapsed="false">
      <c r="A800" s="17" t="n">
        <v>46104</v>
      </c>
      <c r="B800" s="21" t="s">
        <v>1994</v>
      </c>
      <c r="C800" s="22" t="n">
        <v>120</v>
      </c>
      <c r="D800" s="31" t="s">
        <v>30</v>
      </c>
      <c r="E800" s="21" t="s">
        <v>1995</v>
      </c>
      <c r="F800" s="19" t="n">
        <v>554784715632</v>
      </c>
      <c r="G800" s="31" t="s">
        <v>1996</v>
      </c>
      <c r="H800" s="21" t="s">
        <v>94</v>
      </c>
      <c r="I800" s="31" t="s">
        <v>50</v>
      </c>
      <c r="J800" s="21" t="s">
        <v>35</v>
      </c>
      <c r="K800" s="21" t="s">
        <v>36</v>
      </c>
      <c r="L800" s="21" t="s">
        <v>37</v>
      </c>
      <c r="M800" s="21" t="s">
        <v>38</v>
      </c>
      <c r="N800" s="21" t="s">
        <v>965</v>
      </c>
      <c r="R800" s="0" t="n">
        <v>3</v>
      </c>
      <c r="S800" s="0" t="n">
        <v>2026</v>
      </c>
    </row>
    <row r="801" customFormat="false" ht="14.25" hidden="false" customHeight="false" outlineLevel="0" collapsed="false">
      <c r="A801" s="17" t="n">
        <v>46104</v>
      </c>
      <c r="B801" s="21" t="s">
        <v>1998</v>
      </c>
      <c r="C801" s="22" t="n">
        <v>147</v>
      </c>
      <c r="D801" s="31" t="s">
        <v>21</v>
      </c>
      <c r="E801" s="21" t="s">
        <v>1889</v>
      </c>
      <c r="F801" s="19" t="n">
        <v>559584148374</v>
      </c>
      <c r="G801" s="31" t="s">
        <v>1890</v>
      </c>
      <c r="H801" s="21" t="s">
        <v>94</v>
      </c>
      <c r="I801" s="31" t="s">
        <v>34</v>
      </c>
      <c r="N801" s="21" t="s">
        <v>965</v>
      </c>
      <c r="R801" s="0" t="n">
        <v>3</v>
      </c>
      <c r="S801" s="0" t="n">
        <v>2026</v>
      </c>
    </row>
    <row r="802" customFormat="false" ht="14.25" hidden="false" customHeight="false" outlineLevel="0" collapsed="false">
      <c r="A802" s="17" t="n">
        <v>46104</v>
      </c>
      <c r="B802" s="21" t="s">
        <v>2000</v>
      </c>
      <c r="C802" s="22" t="n">
        <v>80</v>
      </c>
      <c r="D802" s="31" t="s">
        <v>20</v>
      </c>
      <c r="E802" s="21" t="s">
        <v>2000</v>
      </c>
      <c r="F802" s="19" t="n">
        <v>554196086817</v>
      </c>
      <c r="G802" s="31" t="s">
        <v>2001</v>
      </c>
      <c r="H802" s="21" t="s">
        <v>94</v>
      </c>
      <c r="I802" s="31" t="s">
        <v>355</v>
      </c>
      <c r="J802" s="21" t="s">
        <v>35</v>
      </c>
      <c r="K802" s="21" t="s">
        <v>36</v>
      </c>
      <c r="L802" s="21" t="s">
        <v>37</v>
      </c>
      <c r="M802" s="21" t="s">
        <v>38</v>
      </c>
      <c r="N802" s="21" t="s">
        <v>965</v>
      </c>
      <c r="R802" s="0" t="n">
        <v>3</v>
      </c>
      <c r="S802" s="0" t="n">
        <v>2026</v>
      </c>
    </row>
    <row r="803" customFormat="false" ht="14.25" hidden="false" customHeight="false" outlineLevel="0" collapsed="false">
      <c r="A803" s="17" t="n">
        <v>46104</v>
      </c>
      <c r="B803" s="21" t="s">
        <v>2003</v>
      </c>
      <c r="C803" s="22" t="n">
        <v>194</v>
      </c>
      <c r="D803" s="31" t="s">
        <v>20</v>
      </c>
      <c r="E803" s="21" t="s">
        <v>2004</v>
      </c>
      <c r="F803" s="19" t="n">
        <v>556596075375</v>
      </c>
      <c r="G803" s="31" t="s">
        <v>2005</v>
      </c>
      <c r="H803" s="21" t="s">
        <v>94</v>
      </c>
      <c r="I803" s="31" t="s">
        <v>355</v>
      </c>
      <c r="N803" s="21" t="s">
        <v>965</v>
      </c>
      <c r="R803" s="0" t="n">
        <v>3</v>
      </c>
      <c r="S803" s="0" t="n">
        <v>2026</v>
      </c>
    </row>
    <row r="804" customFormat="false" ht="14.25" hidden="false" customHeight="false" outlineLevel="0" collapsed="false">
      <c r="A804" s="17" t="n">
        <v>46104</v>
      </c>
      <c r="B804" s="21" t="s">
        <v>2007</v>
      </c>
      <c r="C804" s="22" t="n">
        <v>147</v>
      </c>
      <c r="D804" s="31" t="s">
        <v>22</v>
      </c>
      <c r="E804" s="21" t="s">
        <v>2007</v>
      </c>
      <c r="F804" s="19" t="n">
        <v>554797064604</v>
      </c>
      <c r="G804" s="31" t="s">
        <v>2008</v>
      </c>
      <c r="H804" s="21" t="s">
        <v>94</v>
      </c>
      <c r="I804" s="31" t="s">
        <v>34</v>
      </c>
      <c r="N804" s="21" t="s">
        <v>965</v>
      </c>
      <c r="R804" s="0" t="n">
        <v>3</v>
      </c>
      <c r="S804" s="0" t="n">
        <v>2026</v>
      </c>
    </row>
    <row r="805" customFormat="false" ht="14.25" hidden="false" customHeight="false" outlineLevel="0" collapsed="false">
      <c r="A805" s="17" t="n">
        <v>46105</v>
      </c>
      <c r="B805" s="21" t="s">
        <v>2010</v>
      </c>
      <c r="C805" s="22" t="n">
        <v>120</v>
      </c>
      <c r="D805" s="31" t="s">
        <v>30</v>
      </c>
      <c r="E805" s="21" t="s">
        <v>2011</v>
      </c>
      <c r="F805" s="19" t="n">
        <v>554195629454</v>
      </c>
      <c r="G805" s="31" t="s">
        <v>2012</v>
      </c>
      <c r="H805" s="21" t="s">
        <v>94</v>
      </c>
      <c r="I805" s="31" t="s">
        <v>355</v>
      </c>
      <c r="J805" s="21" t="s">
        <v>35</v>
      </c>
      <c r="K805" s="21" t="s">
        <v>36</v>
      </c>
      <c r="L805" s="21" t="s">
        <v>37</v>
      </c>
      <c r="M805" s="21" t="s">
        <v>38</v>
      </c>
      <c r="N805" s="21" t="s">
        <v>965</v>
      </c>
      <c r="R805" s="0" t="n">
        <v>3</v>
      </c>
      <c r="S805" s="0" t="n">
        <v>2026</v>
      </c>
    </row>
    <row r="806" customFormat="false" ht="14.25" hidden="false" customHeight="false" outlineLevel="0" collapsed="false">
      <c r="A806" s="17" t="n">
        <v>46104</v>
      </c>
      <c r="B806" s="21" t="s">
        <v>2014</v>
      </c>
      <c r="C806" s="22" t="n">
        <v>120</v>
      </c>
      <c r="D806" s="31" t="s">
        <v>30</v>
      </c>
      <c r="E806" s="21" t="s">
        <v>2015</v>
      </c>
      <c r="F806" s="19" t="n">
        <v>554192694545</v>
      </c>
      <c r="G806" s="31" t="s">
        <v>2016</v>
      </c>
      <c r="H806" s="21" t="s">
        <v>94</v>
      </c>
      <c r="I806" s="31" t="s">
        <v>50</v>
      </c>
      <c r="N806" s="21" t="s">
        <v>965</v>
      </c>
      <c r="R806" s="0" t="n">
        <v>3</v>
      </c>
      <c r="S806" s="0" t="n">
        <v>2026</v>
      </c>
    </row>
    <row r="807" customFormat="false" ht="14.25" hidden="false" customHeight="false" outlineLevel="0" collapsed="false">
      <c r="A807" s="17" t="n">
        <v>46104</v>
      </c>
      <c r="B807" s="21" t="s">
        <v>2018</v>
      </c>
      <c r="C807" s="22" t="n">
        <v>147</v>
      </c>
      <c r="D807" s="31" t="s">
        <v>390</v>
      </c>
      <c r="E807" s="21" t="s">
        <v>2019</v>
      </c>
      <c r="F807" s="19" t="n">
        <v>5511921393093</v>
      </c>
      <c r="G807" s="31" t="s">
        <v>2020</v>
      </c>
      <c r="H807" s="21" t="s">
        <v>94</v>
      </c>
      <c r="I807" s="31" t="s">
        <v>34</v>
      </c>
      <c r="N807" s="21" t="s">
        <v>965</v>
      </c>
      <c r="R807" s="0" t="n">
        <v>3</v>
      </c>
      <c r="S807" s="0" t="n">
        <v>2026</v>
      </c>
    </row>
    <row r="808" customFormat="false" ht="14.25" hidden="false" customHeight="false" outlineLevel="0" collapsed="false">
      <c r="A808" s="17" t="n">
        <v>46105</v>
      </c>
      <c r="B808" s="21" t="s">
        <v>2022</v>
      </c>
      <c r="C808" s="22" t="n">
        <v>220</v>
      </c>
      <c r="D808" s="31" t="s">
        <v>390</v>
      </c>
      <c r="E808" s="21" t="s">
        <v>2023</v>
      </c>
      <c r="F808" s="19" t="n">
        <v>559591161397</v>
      </c>
      <c r="G808" s="31" t="s">
        <v>2024</v>
      </c>
      <c r="H808" s="21" t="s">
        <v>94</v>
      </c>
      <c r="I808" s="31" t="s">
        <v>34</v>
      </c>
      <c r="J808" s="21" t="s">
        <v>1176</v>
      </c>
      <c r="K808" s="21" t="s">
        <v>1897</v>
      </c>
      <c r="L808" s="21" t="s">
        <v>1898</v>
      </c>
      <c r="M808" s="21" t="s">
        <v>1179</v>
      </c>
      <c r="N808" s="21" t="s">
        <v>965</v>
      </c>
      <c r="R808" s="0" t="n">
        <v>3</v>
      </c>
      <c r="S808" s="0" t="n">
        <v>2026</v>
      </c>
    </row>
    <row r="809" customFormat="false" ht="14.25" hidden="false" customHeight="false" outlineLevel="0" collapsed="false">
      <c r="A809" s="17" t="n">
        <v>46105</v>
      </c>
      <c r="B809" s="21" t="s">
        <v>2026</v>
      </c>
      <c r="C809" s="22" t="n">
        <v>600</v>
      </c>
      <c r="D809" s="31" t="s">
        <v>27</v>
      </c>
      <c r="E809" s="21" t="s">
        <v>2026</v>
      </c>
      <c r="F809" s="19" t="n">
        <v>554991700503</v>
      </c>
      <c r="G809" s="31" t="s">
        <v>2027</v>
      </c>
      <c r="H809" s="21" t="s">
        <v>94</v>
      </c>
      <c r="I809" s="31" t="s">
        <v>34</v>
      </c>
      <c r="N809" s="21" t="s">
        <v>965</v>
      </c>
      <c r="R809" s="0" t="n">
        <v>3</v>
      </c>
      <c r="S809" s="0" t="n">
        <v>2026</v>
      </c>
    </row>
    <row r="810" customFormat="false" ht="14.25" hidden="false" customHeight="false" outlineLevel="0" collapsed="false">
      <c r="A810" s="17" t="n">
        <v>46105</v>
      </c>
      <c r="B810" s="21" t="s">
        <v>2029</v>
      </c>
      <c r="C810" s="22" t="n">
        <v>120</v>
      </c>
      <c r="D810" s="31" t="s">
        <v>30</v>
      </c>
      <c r="E810" s="21" t="s">
        <v>2030</v>
      </c>
      <c r="F810" s="19" t="n">
        <v>5511913031958</v>
      </c>
      <c r="G810" s="31" t="s">
        <v>2031</v>
      </c>
      <c r="H810" s="21" t="s">
        <v>94</v>
      </c>
      <c r="I810" s="31" t="s">
        <v>50</v>
      </c>
      <c r="J810" s="21" t="s">
        <v>97</v>
      </c>
      <c r="K810" s="21" t="s">
        <v>20</v>
      </c>
      <c r="L810" s="21" t="s">
        <v>469</v>
      </c>
      <c r="M810" s="21" t="s">
        <v>99</v>
      </c>
      <c r="N810" s="21" t="s">
        <v>965</v>
      </c>
      <c r="R810" s="0" t="n">
        <v>3</v>
      </c>
      <c r="S810" s="0" t="n">
        <v>2026</v>
      </c>
    </row>
    <row r="811" customFormat="false" ht="14.25" hidden="false" customHeight="false" outlineLevel="0" collapsed="false">
      <c r="A811" s="17" t="n">
        <v>46105</v>
      </c>
      <c r="B811" s="21" t="s">
        <v>2033</v>
      </c>
      <c r="C811" s="22" t="n">
        <v>500</v>
      </c>
      <c r="D811" s="31" t="s">
        <v>27</v>
      </c>
      <c r="E811" s="21" t="s">
        <v>2034</v>
      </c>
      <c r="F811" s="19" t="n">
        <v>555491544469</v>
      </c>
      <c r="G811" s="31" t="s">
        <v>2035</v>
      </c>
      <c r="H811" s="21" t="s">
        <v>94</v>
      </c>
      <c r="I811" s="31" t="s">
        <v>54</v>
      </c>
      <c r="N811" s="21" t="s">
        <v>1022</v>
      </c>
      <c r="R811" s="0" t="n">
        <v>3</v>
      </c>
      <c r="S811" s="0" t="n">
        <v>2026</v>
      </c>
    </row>
    <row r="812" customFormat="false" ht="14.25" hidden="false" customHeight="false" outlineLevel="0" collapsed="false">
      <c r="A812" s="17" t="n">
        <v>46105</v>
      </c>
      <c r="B812" s="21" t="s">
        <v>2037</v>
      </c>
      <c r="C812" s="22" t="n">
        <v>117</v>
      </c>
      <c r="D812" s="31" t="s">
        <v>20</v>
      </c>
      <c r="E812" s="21" t="s">
        <v>2038</v>
      </c>
      <c r="F812" s="19" t="n">
        <v>559591232996</v>
      </c>
      <c r="G812" s="31" t="s">
        <v>1674</v>
      </c>
      <c r="H812" s="21" t="s">
        <v>94</v>
      </c>
      <c r="I812" s="31" t="s">
        <v>54</v>
      </c>
      <c r="N812" s="21" t="s">
        <v>1022</v>
      </c>
      <c r="R812" s="0" t="n">
        <v>3</v>
      </c>
      <c r="S812" s="0" t="n">
        <v>2026</v>
      </c>
    </row>
    <row r="813" customFormat="false" ht="14.25" hidden="false" customHeight="false" outlineLevel="0" collapsed="false">
      <c r="A813" s="17" t="n">
        <v>46104</v>
      </c>
      <c r="B813" s="21" t="s">
        <v>1836</v>
      </c>
      <c r="C813" s="22" t="n">
        <v>360</v>
      </c>
      <c r="D813" s="31" t="s">
        <v>30</v>
      </c>
      <c r="E813" s="21" t="s">
        <v>2040</v>
      </c>
      <c r="F813" s="19" t="n">
        <v>5354081128</v>
      </c>
      <c r="G813" s="31" t="s">
        <v>1838</v>
      </c>
      <c r="H813" s="21" t="s">
        <v>94</v>
      </c>
      <c r="I813" s="31" t="s">
        <v>54</v>
      </c>
      <c r="N813" s="21" t="s">
        <v>1022</v>
      </c>
      <c r="R813" s="0" t="n">
        <v>3</v>
      </c>
      <c r="S813" s="0" t="n">
        <v>2026</v>
      </c>
    </row>
    <row r="814" customFormat="false" ht="14.25" hidden="false" customHeight="false" outlineLevel="0" collapsed="false">
      <c r="A814" s="17" t="n">
        <v>46105</v>
      </c>
      <c r="B814" s="21" t="s">
        <v>2037</v>
      </c>
      <c r="C814" s="22" t="n">
        <v>147</v>
      </c>
      <c r="D814" s="31" t="s">
        <v>390</v>
      </c>
      <c r="E814" s="21" t="s">
        <v>2038</v>
      </c>
      <c r="F814" s="19" t="n">
        <v>559591232996</v>
      </c>
      <c r="G814" s="31" t="s">
        <v>1674</v>
      </c>
      <c r="H814" s="21" t="s">
        <v>94</v>
      </c>
      <c r="I814" s="31" t="s">
        <v>54</v>
      </c>
      <c r="N814" s="21" t="s">
        <v>1022</v>
      </c>
      <c r="R814" s="0" t="n">
        <v>3</v>
      </c>
      <c r="S814" s="0" t="n">
        <v>2026</v>
      </c>
    </row>
    <row r="815" customFormat="false" ht="14.25" hidden="false" customHeight="false" outlineLevel="0" collapsed="false">
      <c r="A815" s="17" t="n">
        <v>46104</v>
      </c>
      <c r="B815" s="21" t="s">
        <v>2043</v>
      </c>
      <c r="C815" s="22" t="n">
        <v>600</v>
      </c>
      <c r="D815" s="31" t="s">
        <v>27</v>
      </c>
      <c r="E815" s="21" t="s">
        <v>2044</v>
      </c>
      <c r="F815" s="19" t="n">
        <v>556581182225</v>
      </c>
      <c r="G815" s="31" t="s">
        <v>2045</v>
      </c>
      <c r="H815" s="21" t="s">
        <v>94</v>
      </c>
      <c r="I815" s="31" t="s">
        <v>54</v>
      </c>
      <c r="N815" s="21" t="s">
        <v>1022</v>
      </c>
      <c r="R815" s="0" t="n">
        <v>3</v>
      </c>
      <c r="S815" s="0" t="n">
        <v>2026</v>
      </c>
    </row>
    <row r="816" customFormat="false" ht="14.25" hidden="false" customHeight="false" outlineLevel="0" collapsed="false">
      <c r="A816" s="17" t="n">
        <v>46104</v>
      </c>
      <c r="B816" s="21" t="s">
        <v>341</v>
      </c>
      <c r="C816" s="22" t="n">
        <v>50</v>
      </c>
      <c r="D816" s="31" t="s">
        <v>22</v>
      </c>
      <c r="E816" s="21" t="s">
        <v>341</v>
      </c>
      <c r="F816" s="19" t="n">
        <v>5521969875829</v>
      </c>
      <c r="G816" s="31" t="s">
        <v>342</v>
      </c>
      <c r="H816" s="21" t="s">
        <v>94</v>
      </c>
      <c r="I816" s="31" t="s">
        <v>50</v>
      </c>
      <c r="N816" s="21" t="s">
        <v>965</v>
      </c>
      <c r="R816" s="0" t="n">
        <v>3</v>
      </c>
      <c r="S816" s="0" t="n">
        <v>2026</v>
      </c>
    </row>
    <row r="817" customFormat="false" ht="14.25" hidden="false" customHeight="false" outlineLevel="0" collapsed="false">
      <c r="A817" s="17" t="n">
        <v>46104</v>
      </c>
      <c r="B817" s="21" t="s">
        <v>367</v>
      </c>
      <c r="C817" s="22" t="n">
        <v>250</v>
      </c>
      <c r="D817" s="31" t="s">
        <v>106</v>
      </c>
      <c r="E817" s="21" t="s">
        <v>367</v>
      </c>
      <c r="F817" s="19" t="n">
        <v>556992121074</v>
      </c>
      <c r="G817" s="31" t="s">
        <v>2046</v>
      </c>
      <c r="H817" s="21" t="s">
        <v>94</v>
      </c>
      <c r="I817" s="31" t="s">
        <v>34</v>
      </c>
      <c r="N817" s="21" t="s">
        <v>965</v>
      </c>
      <c r="R817" s="0" t="n">
        <v>3</v>
      </c>
      <c r="S817" s="0" t="n">
        <v>2026</v>
      </c>
    </row>
    <row r="818" customFormat="false" ht="14.25" hidden="false" customHeight="false" outlineLevel="0" collapsed="false">
      <c r="A818" s="17" t="n">
        <v>46105</v>
      </c>
      <c r="B818" s="21" t="s">
        <v>2048</v>
      </c>
      <c r="C818" s="22" t="n">
        <v>240</v>
      </c>
      <c r="D818" s="31" t="s">
        <v>30</v>
      </c>
      <c r="E818" s="21" t="s">
        <v>2048</v>
      </c>
      <c r="F818" s="19" t="n">
        <v>555496045048</v>
      </c>
      <c r="G818" s="31" t="s">
        <v>2049</v>
      </c>
      <c r="H818" s="21" t="s">
        <v>94</v>
      </c>
      <c r="I818" s="31" t="s">
        <v>355</v>
      </c>
      <c r="N818" s="21" t="s">
        <v>965</v>
      </c>
      <c r="R818" s="0" t="n">
        <v>3</v>
      </c>
      <c r="S818" s="0" t="n">
        <v>2026</v>
      </c>
    </row>
    <row r="819" customFormat="false" ht="14.25" hidden="false" customHeight="false" outlineLevel="0" collapsed="false">
      <c r="A819" s="17" t="n">
        <v>46105</v>
      </c>
      <c r="B819" s="21" t="s">
        <v>145</v>
      </c>
      <c r="C819" s="22" t="n">
        <v>147</v>
      </c>
      <c r="D819" s="31" t="s">
        <v>390</v>
      </c>
      <c r="E819" s="21" t="s">
        <v>145</v>
      </c>
      <c r="F819" s="19" t="n">
        <v>559591119749</v>
      </c>
      <c r="G819" s="31" t="s">
        <v>133</v>
      </c>
      <c r="H819" s="21" t="s">
        <v>94</v>
      </c>
      <c r="I819" s="31" t="s">
        <v>54</v>
      </c>
      <c r="N819" s="21" t="s">
        <v>1022</v>
      </c>
      <c r="R819" s="0" t="n">
        <v>3</v>
      </c>
      <c r="S819" s="0" t="n">
        <v>2026</v>
      </c>
    </row>
    <row r="820" customFormat="false" ht="14.25" hidden="false" customHeight="false" outlineLevel="0" collapsed="false">
      <c r="A820" s="17" t="n">
        <v>46105</v>
      </c>
      <c r="B820" s="21" t="s">
        <v>2052</v>
      </c>
      <c r="C820" s="22" t="n">
        <v>97</v>
      </c>
      <c r="D820" s="31" t="s">
        <v>20</v>
      </c>
      <c r="E820" s="21" t="s">
        <v>2053</v>
      </c>
      <c r="F820" s="19" t="n">
        <v>554192055170</v>
      </c>
      <c r="G820" s="31" t="s">
        <v>2054</v>
      </c>
      <c r="H820" s="21" t="s">
        <v>94</v>
      </c>
      <c r="I820" s="31" t="s">
        <v>50</v>
      </c>
      <c r="J820" s="21" t="s">
        <v>35</v>
      </c>
      <c r="K820" s="21" t="s">
        <v>69</v>
      </c>
      <c r="L820" s="21" t="s">
        <v>528</v>
      </c>
      <c r="M820" s="21" t="s">
        <v>38</v>
      </c>
      <c r="N820" s="21" t="s">
        <v>965</v>
      </c>
      <c r="R820" s="0" t="n">
        <v>3</v>
      </c>
      <c r="S820" s="0" t="n">
        <v>2026</v>
      </c>
    </row>
    <row r="821" customFormat="false" ht="14.25" hidden="false" customHeight="false" outlineLevel="0" collapsed="false">
      <c r="A821" s="17" t="n">
        <v>46105</v>
      </c>
      <c r="B821" s="21" t="s">
        <v>1164</v>
      </c>
      <c r="C821" s="22" t="n">
        <v>120</v>
      </c>
      <c r="D821" s="31" t="s">
        <v>30</v>
      </c>
      <c r="E821" s="21" t="s">
        <v>1164</v>
      </c>
      <c r="F821" s="19" t="n">
        <v>5511992406888</v>
      </c>
      <c r="G821" s="31" t="s">
        <v>1611</v>
      </c>
      <c r="H821" s="21" t="s">
        <v>94</v>
      </c>
      <c r="I821" s="31" t="s">
        <v>54</v>
      </c>
      <c r="N821" s="21" t="s">
        <v>1022</v>
      </c>
      <c r="R821" s="0" t="n">
        <v>3</v>
      </c>
      <c r="S821" s="0" t="n">
        <v>2026</v>
      </c>
    </row>
    <row r="822" customFormat="false" ht="14.25" hidden="false" customHeight="false" outlineLevel="0" collapsed="false">
      <c r="A822" s="17" t="n">
        <v>46105</v>
      </c>
      <c r="B822" s="21" t="s">
        <v>1466</v>
      </c>
      <c r="C822" s="22" t="n">
        <v>294</v>
      </c>
      <c r="D822" s="31" t="s">
        <v>18</v>
      </c>
      <c r="E822" s="21" t="s">
        <v>1466</v>
      </c>
      <c r="F822" s="19" t="n">
        <v>554187292927</v>
      </c>
      <c r="G822" s="31" t="s">
        <v>2057</v>
      </c>
      <c r="H822" s="21" t="s">
        <v>94</v>
      </c>
      <c r="I822" s="31" t="s">
        <v>54</v>
      </c>
      <c r="N822" s="21" t="s">
        <v>1022</v>
      </c>
      <c r="R822" s="0" t="n">
        <v>3</v>
      </c>
      <c r="S822" s="0" t="n">
        <v>2026</v>
      </c>
    </row>
    <row r="823" customFormat="false" ht="14.25" hidden="false" customHeight="false" outlineLevel="0" collapsed="false">
      <c r="A823" s="17" t="n">
        <v>46105</v>
      </c>
      <c r="B823" s="21" t="s">
        <v>2059</v>
      </c>
      <c r="C823" s="22" t="n">
        <v>60</v>
      </c>
      <c r="D823" s="31" t="s">
        <v>862</v>
      </c>
      <c r="E823" s="21" t="s">
        <v>2059</v>
      </c>
      <c r="F823" s="19" t="n">
        <v>554187671962</v>
      </c>
      <c r="G823" s="31" t="s">
        <v>2060</v>
      </c>
      <c r="H823" s="21" t="s">
        <v>94</v>
      </c>
      <c r="I823" s="31" t="s">
        <v>355</v>
      </c>
      <c r="N823" s="21" t="s">
        <v>965</v>
      </c>
      <c r="R823" s="0" t="n">
        <v>3</v>
      </c>
      <c r="S823" s="0" t="n">
        <v>2026</v>
      </c>
    </row>
    <row r="824" customFormat="false" ht="14.25" hidden="false" customHeight="false" outlineLevel="0" collapsed="false">
      <c r="A824" s="17" t="n">
        <v>46105</v>
      </c>
      <c r="B824" s="21" t="s">
        <v>2062</v>
      </c>
      <c r="C824" s="22" t="n">
        <v>147</v>
      </c>
      <c r="D824" s="31" t="s">
        <v>390</v>
      </c>
      <c r="E824" s="21" t="s">
        <v>2063</v>
      </c>
      <c r="F824" s="19" t="n">
        <v>554891730563</v>
      </c>
      <c r="G824" s="31" t="s">
        <v>2064</v>
      </c>
      <c r="H824" s="21" t="s">
        <v>94</v>
      </c>
      <c r="I824" s="31" t="s">
        <v>50</v>
      </c>
      <c r="N824" s="21" t="s">
        <v>965</v>
      </c>
      <c r="R824" s="0" t="n">
        <v>3</v>
      </c>
      <c r="S824" s="0" t="n">
        <v>2026</v>
      </c>
    </row>
    <row r="825" customFormat="false" ht="14.25" hidden="false" customHeight="false" outlineLevel="0" collapsed="false">
      <c r="A825" s="17" t="n">
        <v>46105</v>
      </c>
      <c r="B825" s="21" t="s">
        <v>2066</v>
      </c>
      <c r="C825" s="22" t="n">
        <v>120</v>
      </c>
      <c r="D825" s="31" t="s">
        <v>23</v>
      </c>
      <c r="E825" s="21" t="s">
        <v>2067</v>
      </c>
      <c r="F825" s="19" t="n">
        <v>554198637077</v>
      </c>
      <c r="G825" s="31" t="s">
        <v>2068</v>
      </c>
      <c r="H825" s="21" t="s">
        <v>94</v>
      </c>
      <c r="I825" s="31" t="s">
        <v>50</v>
      </c>
      <c r="N825" s="21" t="s">
        <v>965</v>
      </c>
      <c r="R825" s="0" t="n">
        <v>3</v>
      </c>
      <c r="S825" s="0" t="n">
        <v>2026</v>
      </c>
    </row>
    <row r="826" customFormat="false" ht="14.25" hidden="false" customHeight="false" outlineLevel="0" collapsed="false">
      <c r="A826" s="17" t="n">
        <v>46106</v>
      </c>
      <c r="B826" s="21" t="s">
        <v>1824</v>
      </c>
      <c r="C826" s="22" t="n">
        <v>150</v>
      </c>
      <c r="D826" s="31" t="s">
        <v>32</v>
      </c>
      <c r="E826" s="21" t="s">
        <v>2070</v>
      </c>
      <c r="F826" s="19" t="n">
        <v>559684026663</v>
      </c>
      <c r="G826" s="31" t="s">
        <v>1825</v>
      </c>
      <c r="H826" s="21" t="s">
        <v>94</v>
      </c>
      <c r="I826" s="31" t="s">
        <v>54</v>
      </c>
      <c r="N826" s="21" t="s">
        <v>1022</v>
      </c>
      <c r="R826" s="0" t="n">
        <v>3</v>
      </c>
      <c r="S826" s="0" t="n">
        <v>2026</v>
      </c>
    </row>
    <row r="827" customFormat="false" ht="14.25" hidden="false" customHeight="false" outlineLevel="0" collapsed="false">
      <c r="A827" s="17" t="n">
        <v>46105</v>
      </c>
      <c r="B827" s="21" t="s">
        <v>2072</v>
      </c>
      <c r="C827" s="22" t="n">
        <v>147</v>
      </c>
      <c r="D827" s="31" t="s">
        <v>390</v>
      </c>
      <c r="E827" s="21" t="s">
        <v>2073</v>
      </c>
      <c r="F827" s="19" t="n">
        <v>5519981269940</v>
      </c>
      <c r="G827" s="31" t="s">
        <v>2074</v>
      </c>
      <c r="H827" s="21" t="s">
        <v>94</v>
      </c>
      <c r="I827" s="31" t="s">
        <v>50</v>
      </c>
      <c r="N827" s="21" t="s">
        <v>965</v>
      </c>
      <c r="R827" s="0" t="n">
        <v>3</v>
      </c>
      <c r="S827" s="0" t="n">
        <v>2026</v>
      </c>
    </row>
    <row r="828" customFormat="false" ht="14.25" hidden="false" customHeight="false" outlineLevel="0" collapsed="false">
      <c r="A828" s="17" t="n">
        <v>46106</v>
      </c>
      <c r="B828" s="21" t="s">
        <v>2076</v>
      </c>
      <c r="C828" s="22" t="n">
        <v>120</v>
      </c>
      <c r="D828" s="31" t="s">
        <v>30</v>
      </c>
      <c r="E828" s="21" t="s">
        <v>2076</v>
      </c>
      <c r="F828" s="19" t="n">
        <v>5511984238459</v>
      </c>
      <c r="G828" s="31" t="s">
        <v>2077</v>
      </c>
      <c r="H828" s="21" t="s">
        <v>94</v>
      </c>
      <c r="I828" s="31" t="s">
        <v>50</v>
      </c>
      <c r="N828" s="21" t="s">
        <v>965</v>
      </c>
      <c r="R828" s="0" t="n">
        <v>3</v>
      </c>
      <c r="S828" s="0" t="n">
        <v>2026</v>
      </c>
    </row>
    <row r="829" customFormat="false" ht="14.25" hidden="false" customHeight="false" outlineLevel="0" collapsed="false">
      <c r="A829" s="17" t="n">
        <v>46106</v>
      </c>
      <c r="B829" s="21" t="s">
        <v>2079</v>
      </c>
      <c r="C829" s="22" t="n">
        <v>295</v>
      </c>
      <c r="D829" s="31" t="s">
        <v>18</v>
      </c>
      <c r="E829" s="21" t="s">
        <v>2080</v>
      </c>
      <c r="F829" s="19" t="n">
        <v>553898364580</v>
      </c>
      <c r="G829" s="31" t="s">
        <v>2081</v>
      </c>
      <c r="H829" s="21" t="s">
        <v>94</v>
      </c>
      <c r="I829" s="31" t="s">
        <v>355</v>
      </c>
      <c r="N829" s="21" t="s">
        <v>965</v>
      </c>
      <c r="R829" s="0" t="n">
        <v>3</v>
      </c>
      <c r="S829" s="0" t="n">
        <v>2026</v>
      </c>
    </row>
    <row r="830" customFormat="false" ht="14.25" hidden="false" customHeight="false" outlineLevel="0" collapsed="false">
      <c r="A830" s="17" t="n">
        <v>46106</v>
      </c>
      <c r="B830" s="21" t="s">
        <v>2083</v>
      </c>
      <c r="C830" s="22" t="n">
        <v>147</v>
      </c>
      <c r="D830" s="31" t="s">
        <v>390</v>
      </c>
      <c r="E830" s="21" t="s">
        <v>2084</v>
      </c>
      <c r="F830" s="19" t="n">
        <v>556199420044</v>
      </c>
      <c r="G830" s="31" t="s">
        <v>43</v>
      </c>
      <c r="H830" s="21" t="s">
        <v>94</v>
      </c>
      <c r="I830" s="31" t="s">
        <v>50</v>
      </c>
      <c r="J830" s="21" t="s">
        <v>35</v>
      </c>
      <c r="K830" s="21" t="s">
        <v>69</v>
      </c>
      <c r="L830" s="21" t="s">
        <v>70</v>
      </c>
      <c r="M830" s="21" t="s">
        <v>38</v>
      </c>
      <c r="N830" s="21" t="s">
        <v>965</v>
      </c>
      <c r="O830" s="21" t="s">
        <v>2085</v>
      </c>
      <c r="P830" s="21" t="s">
        <v>862</v>
      </c>
      <c r="R830" s="0" t="n">
        <v>3</v>
      </c>
      <c r="S830" s="0" t="n">
        <v>2026</v>
      </c>
    </row>
    <row r="831" customFormat="false" ht="14.25" hidden="false" customHeight="false" outlineLevel="0" collapsed="false">
      <c r="A831" s="17" t="n">
        <v>46106</v>
      </c>
      <c r="B831" s="21" t="s">
        <v>105</v>
      </c>
      <c r="C831" s="22" t="n">
        <v>300</v>
      </c>
      <c r="D831" s="31" t="s">
        <v>106</v>
      </c>
      <c r="E831" s="21" t="s">
        <v>105</v>
      </c>
      <c r="F831" s="19" t="n">
        <v>5358746935</v>
      </c>
      <c r="G831" s="31" t="s">
        <v>43</v>
      </c>
      <c r="H831" s="21" t="s">
        <v>94</v>
      </c>
      <c r="I831" s="31" t="s">
        <v>54</v>
      </c>
      <c r="J831" s="21" t="s">
        <v>107</v>
      </c>
      <c r="M831" s="21" t="s">
        <v>108</v>
      </c>
      <c r="R831" s="0" t="n">
        <v>3</v>
      </c>
      <c r="S831" s="0" t="n">
        <v>2026</v>
      </c>
    </row>
    <row r="832" customFormat="false" ht="14.25" hidden="false" customHeight="false" outlineLevel="0" collapsed="false">
      <c r="A832" s="17" t="n">
        <v>46107</v>
      </c>
      <c r="B832" s="21" t="s">
        <v>2087</v>
      </c>
      <c r="C832" s="22" t="n">
        <v>241</v>
      </c>
      <c r="D832" s="31" t="s">
        <v>20</v>
      </c>
      <c r="E832" s="21" t="s">
        <v>2087</v>
      </c>
      <c r="F832" s="19" t="n">
        <v>554195688649</v>
      </c>
      <c r="G832" s="31" t="s">
        <v>519</v>
      </c>
      <c r="H832" s="21" t="s">
        <v>94</v>
      </c>
      <c r="I832" s="31" t="s">
        <v>34</v>
      </c>
      <c r="N832" s="21" t="s">
        <v>965</v>
      </c>
      <c r="O832" s="21" t="s">
        <v>2088</v>
      </c>
      <c r="P832" s="21" t="s">
        <v>2089</v>
      </c>
      <c r="R832" s="0" t="n">
        <v>3</v>
      </c>
      <c r="S832" s="0" t="n">
        <v>2026</v>
      </c>
    </row>
    <row r="833" customFormat="false" ht="14.25" hidden="false" customHeight="false" outlineLevel="0" collapsed="false">
      <c r="A833" s="17" t="n">
        <v>46107</v>
      </c>
      <c r="B833" s="21" t="s">
        <v>2091</v>
      </c>
      <c r="C833" s="22" t="n">
        <v>300</v>
      </c>
      <c r="D833" s="31" t="s">
        <v>106</v>
      </c>
      <c r="E833" s="21" t="s">
        <v>2091</v>
      </c>
      <c r="F833" s="19" t="n">
        <v>554187657319</v>
      </c>
      <c r="G833" s="31" t="s">
        <v>2092</v>
      </c>
      <c r="H833" s="21" t="s">
        <v>94</v>
      </c>
      <c r="I833" s="31" t="s">
        <v>50</v>
      </c>
      <c r="N833" s="21" t="s">
        <v>965</v>
      </c>
      <c r="O833" s="21" t="s">
        <v>2088</v>
      </c>
      <c r="P833" s="21" t="s">
        <v>2089</v>
      </c>
      <c r="R833" s="0" t="n">
        <v>3</v>
      </c>
      <c r="S833" s="0" t="n">
        <v>2026</v>
      </c>
    </row>
    <row r="834" customFormat="false" ht="14.25" hidden="false" customHeight="false" outlineLevel="0" collapsed="false">
      <c r="A834" s="17" t="n">
        <v>46107</v>
      </c>
      <c r="B834" s="21" t="s">
        <v>2094</v>
      </c>
      <c r="C834" s="22" t="n">
        <v>150</v>
      </c>
      <c r="D834" s="31" t="s">
        <v>32</v>
      </c>
      <c r="E834" s="21" t="s">
        <v>2094</v>
      </c>
      <c r="F834" s="19" t="n">
        <v>554196609704</v>
      </c>
      <c r="G834" s="31" t="s">
        <v>2095</v>
      </c>
      <c r="H834" s="21" t="s">
        <v>94</v>
      </c>
      <c r="I834" s="31" t="s">
        <v>34</v>
      </c>
      <c r="J834" s="21" t="s">
        <v>35</v>
      </c>
      <c r="K834" s="21" t="s">
        <v>69</v>
      </c>
      <c r="L834" s="21" t="s">
        <v>70</v>
      </c>
      <c r="M834" s="21" t="s">
        <v>38</v>
      </c>
      <c r="N834" s="21" t="s">
        <v>965</v>
      </c>
      <c r="O834" s="21" t="s">
        <v>2088</v>
      </c>
      <c r="P834" s="21" t="s">
        <v>2089</v>
      </c>
      <c r="R834" s="0" t="n">
        <v>3</v>
      </c>
      <c r="S834" s="0" t="n">
        <v>2026</v>
      </c>
    </row>
    <row r="835" customFormat="false" ht="14.25" hidden="false" customHeight="false" outlineLevel="0" collapsed="false">
      <c r="A835" s="17" t="n">
        <v>46107</v>
      </c>
      <c r="B835" s="21" t="s">
        <v>2097</v>
      </c>
      <c r="C835" s="22" t="n">
        <v>100</v>
      </c>
      <c r="D835" s="31" t="s">
        <v>20</v>
      </c>
      <c r="E835" s="21" t="s">
        <v>2097</v>
      </c>
      <c r="F835" s="19" t="n">
        <v>554192137912</v>
      </c>
      <c r="G835" s="31" t="s">
        <v>2098</v>
      </c>
      <c r="H835" s="21" t="s">
        <v>94</v>
      </c>
      <c r="I835" s="31" t="s">
        <v>34</v>
      </c>
      <c r="N835" s="21" t="s">
        <v>965</v>
      </c>
      <c r="O835" s="21" t="s">
        <v>2088</v>
      </c>
      <c r="P835" s="21" t="s">
        <v>862</v>
      </c>
      <c r="R835" s="0" t="n">
        <v>3</v>
      </c>
      <c r="S835" s="0" t="n">
        <v>2026</v>
      </c>
    </row>
    <row r="836" customFormat="false" ht="14.25" hidden="false" customHeight="false" outlineLevel="0" collapsed="false">
      <c r="A836" s="17" t="n">
        <v>46107</v>
      </c>
      <c r="B836" s="21" t="s">
        <v>2100</v>
      </c>
      <c r="C836" s="22" t="n">
        <v>120</v>
      </c>
      <c r="D836" s="31" t="s">
        <v>30</v>
      </c>
      <c r="E836" s="21" t="s">
        <v>2100</v>
      </c>
      <c r="F836" s="19" t="n">
        <v>559584407722</v>
      </c>
      <c r="G836" s="31" t="s">
        <v>2101</v>
      </c>
      <c r="H836" s="21" t="s">
        <v>94</v>
      </c>
      <c r="I836" s="31" t="s">
        <v>50</v>
      </c>
      <c r="N836" s="21" t="s">
        <v>965</v>
      </c>
      <c r="O836" s="21" t="s">
        <v>2102</v>
      </c>
      <c r="P836" s="21" t="s">
        <v>2089</v>
      </c>
      <c r="R836" s="0" t="n">
        <v>3</v>
      </c>
      <c r="S836" s="0" t="n">
        <v>2026</v>
      </c>
    </row>
    <row r="837" customFormat="false" ht="14.25" hidden="false" customHeight="false" outlineLevel="0" collapsed="false">
      <c r="A837" s="17" t="n">
        <v>46107</v>
      </c>
      <c r="B837" s="21" t="s">
        <v>2104</v>
      </c>
      <c r="C837" s="22" t="n">
        <v>147</v>
      </c>
      <c r="D837" s="31" t="s">
        <v>390</v>
      </c>
      <c r="E837" s="21" t="s">
        <v>2105</v>
      </c>
      <c r="F837" s="19" t="n">
        <v>554192511990</v>
      </c>
      <c r="G837" s="31" t="s">
        <v>2106</v>
      </c>
      <c r="H837" s="21" t="s">
        <v>94</v>
      </c>
      <c r="I837" s="31" t="s">
        <v>34</v>
      </c>
      <c r="J837" s="21" t="s">
        <v>35</v>
      </c>
      <c r="K837" s="21" t="s">
        <v>36</v>
      </c>
      <c r="L837" s="21" t="s">
        <v>37</v>
      </c>
      <c r="M837" s="21" t="s">
        <v>38</v>
      </c>
      <c r="N837" s="21" t="s">
        <v>965</v>
      </c>
      <c r="O837" s="21" t="s">
        <v>2107</v>
      </c>
      <c r="P837" s="21" t="s">
        <v>862</v>
      </c>
      <c r="R837" s="0" t="n">
        <v>3</v>
      </c>
      <c r="S837" s="0" t="n">
        <v>2026</v>
      </c>
    </row>
    <row r="838" customFormat="false" ht="14.25" hidden="false" customHeight="false" outlineLevel="0" collapsed="false">
      <c r="A838" s="17" t="n">
        <v>46107</v>
      </c>
      <c r="B838" s="21" t="s">
        <v>2109</v>
      </c>
      <c r="C838" s="22" t="n">
        <v>97</v>
      </c>
      <c r="D838" s="31" t="s">
        <v>20</v>
      </c>
      <c r="E838" s="21" t="s">
        <v>2110</v>
      </c>
      <c r="F838" s="19" t="n">
        <v>554598292823</v>
      </c>
      <c r="G838" s="31" t="s">
        <v>2111</v>
      </c>
      <c r="H838" s="21" t="s">
        <v>94</v>
      </c>
      <c r="I838" s="31" t="s">
        <v>50</v>
      </c>
      <c r="J838" s="21" t="s">
        <v>35</v>
      </c>
      <c r="K838" s="21" t="s">
        <v>36</v>
      </c>
      <c r="L838" s="21" t="s">
        <v>37</v>
      </c>
      <c r="M838" s="21" t="s">
        <v>38</v>
      </c>
      <c r="N838" s="21" t="s">
        <v>965</v>
      </c>
      <c r="O838" s="21" t="s">
        <v>2088</v>
      </c>
      <c r="P838" s="21" t="s">
        <v>2089</v>
      </c>
      <c r="R838" s="0" t="n">
        <v>3</v>
      </c>
      <c r="S838" s="0" t="n">
        <v>2026</v>
      </c>
    </row>
    <row r="839" customFormat="false" ht="14.25" hidden="false" customHeight="false" outlineLevel="0" collapsed="false">
      <c r="A839" s="17" t="n">
        <v>46106</v>
      </c>
      <c r="B839" s="21" t="s">
        <v>2113</v>
      </c>
      <c r="C839" s="22" t="n">
        <v>147</v>
      </c>
      <c r="D839" s="31" t="s">
        <v>390</v>
      </c>
      <c r="E839" s="21" t="s">
        <v>2113</v>
      </c>
      <c r="F839" s="19" t="n">
        <v>554899355449</v>
      </c>
      <c r="G839" s="31" t="s">
        <v>519</v>
      </c>
      <c r="H839" s="21" t="s">
        <v>94</v>
      </c>
      <c r="I839" s="31" t="s">
        <v>34</v>
      </c>
      <c r="N839" s="21" t="s">
        <v>965</v>
      </c>
      <c r="O839" s="21" t="s">
        <v>2107</v>
      </c>
      <c r="P839" s="21" t="s">
        <v>862</v>
      </c>
      <c r="R839" s="0" t="n">
        <v>3</v>
      </c>
      <c r="S839" s="0" t="n">
        <v>2026</v>
      </c>
    </row>
    <row r="840" customFormat="false" ht="14.25" hidden="false" customHeight="false" outlineLevel="0" collapsed="false">
      <c r="A840" s="17" t="n">
        <v>46106</v>
      </c>
      <c r="B840" s="21" t="s">
        <v>2114</v>
      </c>
      <c r="C840" s="22" t="n">
        <v>220</v>
      </c>
      <c r="D840" s="31" t="s">
        <v>390</v>
      </c>
      <c r="E840" s="21" t="s">
        <v>2115</v>
      </c>
      <c r="F840" s="19" t="n">
        <v>5541997175695</v>
      </c>
      <c r="G840" s="31" t="s">
        <v>519</v>
      </c>
      <c r="H840" s="21" t="s">
        <v>94</v>
      </c>
      <c r="I840" s="31" t="s">
        <v>355</v>
      </c>
      <c r="N840" s="21" t="s">
        <v>965</v>
      </c>
      <c r="O840" s="21" t="s">
        <v>2088</v>
      </c>
      <c r="P840" s="21" t="s">
        <v>2089</v>
      </c>
      <c r="R840" s="0" t="n">
        <v>3</v>
      </c>
      <c r="S840" s="0" t="n">
        <v>2026</v>
      </c>
    </row>
    <row r="841" customFormat="false" ht="14.25" hidden="false" customHeight="false" outlineLevel="0" collapsed="false">
      <c r="A841" s="17" t="n">
        <v>46107</v>
      </c>
      <c r="B841" s="21" t="s">
        <v>2117</v>
      </c>
      <c r="C841" s="22" t="n">
        <v>150</v>
      </c>
      <c r="D841" s="31" t="s">
        <v>30</v>
      </c>
      <c r="E841" s="21" t="s">
        <v>2118</v>
      </c>
      <c r="F841" s="19" t="n">
        <v>555499527909</v>
      </c>
      <c r="G841" s="31" t="s">
        <v>2119</v>
      </c>
      <c r="H841" s="21" t="s">
        <v>94</v>
      </c>
      <c r="I841" s="31" t="s">
        <v>50</v>
      </c>
      <c r="N841" s="21" t="s">
        <v>965</v>
      </c>
      <c r="O841" s="21" t="s">
        <v>2120</v>
      </c>
      <c r="P841" s="21" t="s">
        <v>2121</v>
      </c>
      <c r="R841" s="0" t="n">
        <v>3</v>
      </c>
      <c r="S841" s="0" t="n">
        <v>2026</v>
      </c>
    </row>
    <row r="842" customFormat="false" ht="14.25" hidden="false" customHeight="false" outlineLevel="0" collapsed="false">
      <c r="A842" s="17" t="n">
        <v>46107</v>
      </c>
      <c r="B842" s="21" t="s">
        <v>43</v>
      </c>
      <c r="C842" s="22" t="n">
        <v>0</v>
      </c>
      <c r="D842" s="31" t="s">
        <v>390</v>
      </c>
      <c r="E842" s="21" t="s">
        <v>1917</v>
      </c>
      <c r="G842" s="31"/>
      <c r="H842" s="21" t="s">
        <v>94</v>
      </c>
      <c r="I842" s="31" t="s">
        <v>54</v>
      </c>
      <c r="N842" s="21" t="s">
        <v>1022</v>
      </c>
      <c r="O842" s="21" t="s">
        <v>2107</v>
      </c>
      <c r="P842" s="21" t="s">
        <v>862</v>
      </c>
      <c r="R842" s="0" t="n">
        <v>3</v>
      </c>
      <c r="S842" s="0" t="n">
        <v>2026</v>
      </c>
    </row>
    <row r="843" customFormat="false" ht="14.25" hidden="false" customHeight="false" outlineLevel="0" collapsed="false">
      <c r="A843" s="17" t="n">
        <v>46107</v>
      </c>
      <c r="B843" s="21" t="s">
        <v>2124</v>
      </c>
      <c r="C843" s="22" t="n">
        <v>120</v>
      </c>
      <c r="D843" s="31" t="s">
        <v>30</v>
      </c>
      <c r="E843" s="21" t="s">
        <v>2124</v>
      </c>
      <c r="F843" s="19" t="n">
        <v>555491818668</v>
      </c>
      <c r="G843" s="31" t="s">
        <v>2125</v>
      </c>
      <c r="H843" s="21" t="s">
        <v>94</v>
      </c>
      <c r="I843" s="31" t="s">
        <v>54</v>
      </c>
      <c r="N843" s="21" t="s">
        <v>965</v>
      </c>
      <c r="O843" s="21" t="s">
        <v>2126</v>
      </c>
      <c r="P843" s="21" t="s">
        <v>2121</v>
      </c>
      <c r="R843" s="0" t="n">
        <v>3</v>
      </c>
      <c r="S843" s="0" t="n">
        <v>2026</v>
      </c>
    </row>
    <row r="844" customFormat="false" ht="14.25" hidden="false" customHeight="false" outlineLevel="0" collapsed="false">
      <c r="A844" s="17" t="n">
        <v>46107</v>
      </c>
      <c r="B844" s="21" t="s">
        <v>956</v>
      </c>
      <c r="C844" s="22" t="n">
        <v>147</v>
      </c>
      <c r="D844" s="31" t="s">
        <v>18</v>
      </c>
      <c r="E844" s="21" t="s">
        <v>956</v>
      </c>
      <c r="F844" s="19" t="n">
        <v>554888762765</v>
      </c>
      <c r="G844" s="31" t="s">
        <v>957</v>
      </c>
      <c r="H844" s="21" t="s">
        <v>94</v>
      </c>
      <c r="I844" s="31" t="s">
        <v>54</v>
      </c>
      <c r="N844" s="21" t="s">
        <v>1022</v>
      </c>
      <c r="O844" s="21" t="s">
        <v>2128</v>
      </c>
      <c r="P844" s="21" t="s">
        <v>2129</v>
      </c>
      <c r="R844" s="0" t="n">
        <v>3</v>
      </c>
      <c r="S844" s="0" t="n">
        <v>2026</v>
      </c>
    </row>
    <row r="845" customFormat="false" ht="14.25" hidden="false" customHeight="false" outlineLevel="0" collapsed="false">
      <c r="A845" s="17" t="n">
        <v>46107</v>
      </c>
      <c r="B845" s="21" t="s">
        <v>1443</v>
      </c>
      <c r="C845" s="22" t="n">
        <v>1200</v>
      </c>
      <c r="D845" s="31" t="s">
        <v>27</v>
      </c>
      <c r="E845" s="21" t="s">
        <v>1444</v>
      </c>
      <c r="F845" s="19" t="n">
        <v>559591640869</v>
      </c>
      <c r="G845" s="31" t="s">
        <v>1445</v>
      </c>
      <c r="H845" s="21" t="s">
        <v>94</v>
      </c>
      <c r="I845" s="31" t="s">
        <v>54</v>
      </c>
      <c r="N845" s="21" t="s">
        <v>1022</v>
      </c>
      <c r="O845" s="21" t="s">
        <v>2107</v>
      </c>
      <c r="P845" s="21" t="s">
        <v>2121</v>
      </c>
      <c r="R845" s="0" t="n">
        <v>3</v>
      </c>
      <c r="S845" s="0" t="n">
        <v>2026</v>
      </c>
    </row>
    <row r="846" customFormat="false" ht="14.25" hidden="false" customHeight="false" outlineLevel="0" collapsed="false">
      <c r="A846" s="17" t="n">
        <v>46108</v>
      </c>
      <c r="B846" s="21" t="s">
        <v>2132</v>
      </c>
      <c r="C846" s="22" t="n">
        <v>60</v>
      </c>
      <c r="D846" s="31" t="s">
        <v>25</v>
      </c>
      <c r="E846" s="21" t="s">
        <v>2132</v>
      </c>
      <c r="F846" s="19" t="n">
        <v>5511992231257</v>
      </c>
      <c r="G846" s="31" t="s">
        <v>2133</v>
      </c>
      <c r="H846" s="21" t="s">
        <v>94</v>
      </c>
      <c r="I846" s="31" t="s">
        <v>355</v>
      </c>
      <c r="N846" s="21" t="s">
        <v>965</v>
      </c>
      <c r="O846" s="21" t="s">
        <v>2134</v>
      </c>
      <c r="P846" s="21" t="s">
        <v>2135</v>
      </c>
      <c r="R846" s="0" t="n">
        <v>3</v>
      </c>
      <c r="S846" s="0" t="n">
        <v>2026</v>
      </c>
    </row>
    <row r="847" customFormat="false" ht="14.25" hidden="false" customHeight="false" outlineLevel="0" collapsed="false">
      <c r="A847" s="17" t="n">
        <v>46108</v>
      </c>
      <c r="B847" s="21" t="s">
        <v>2137</v>
      </c>
      <c r="C847" s="22" t="n">
        <v>147</v>
      </c>
      <c r="D847" s="31" t="s">
        <v>22</v>
      </c>
      <c r="E847" s="21" t="s">
        <v>2137</v>
      </c>
      <c r="F847" s="19" t="n">
        <v>5511941916855</v>
      </c>
      <c r="G847" s="31" t="s">
        <v>2138</v>
      </c>
      <c r="H847" s="21" t="s">
        <v>94</v>
      </c>
      <c r="I847" s="31" t="s">
        <v>54</v>
      </c>
      <c r="N847" s="21" t="s">
        <v>1022</v>
      </c>
      <c r="O847" s="21" t="s">
        <v>2139</v>
      </c>
      <c r="P847" s="21" t="s">
        <v>2089</v>
      </c>
      <c r="R847" s="0" t="n">
        <v>3</v>
      </c>
      <c r="S847" s="0" t="n">
        <v>2026</v>
      </c>
    </row>
    <row r="848" customFormat="false" ht="14.25" hidden="false" customHeight="false" outlineLevel="0" collapsed="false">
      <c r="A848" s="17" t="n">
        <v>46108</v>
      </c>
      <c r="B848" s="21" t="s">
        <v>2137</v>
      </c>
      <c r="C848" s="22" t="n">
        <v>120</v>
      </c>
      <c r="D848" s="31" t="s">
        <v>30</v>
      </c>
      <c r="E848" s="21" t="s">
        <v>2137</v>
      </c>
      <c r="F848" s="19" t="n">
        <v>5511941916855</v>
      </c>
      <c r="G848" s="31" t="s">
        <v>2138</v>
      </c>
      <c r="H848" s="21" t="s">
        <v>94</v>
      </c>
      <c r="I848" s="31" t="s">
        <v>54</v>
      </c>
      <c r="N848" s="21" t="s">
        <v>1022</v>
      </c>
      <c r="O848" s="21" t="s">
        <v>2139</v>
      </c>
      <c r="P848" s="21" t="s">
        <v>2089</v>
      </c>
      <c r="R848" s="0" t="n">
        <v>3</v>
      </c>
      <c r="S848" s="0" t="n">
        <v>2026</v>
      </c>
    </row>
    <row r="849" customFormat="false" ht="14.25" hidden="false" customHeight="false" outlineLevel="0" collapsed="false">
      <c r="A849" s="17" t="n">
        <v>46108</v>
      </c>
      <c r="B849" s="21" t="s">
        <v>1529</v>
      </c>
      <c r="C849" s="22" t="n">
        <v>120</v>
      </c>
      <c r="D849" s="31" t="s">
        <v>22</v>
      </c>
      <c r="E849" s="21" t="s">
        <v>1530</v>
      </c>
      <c r="F849" s="19" t="n">
        <v>5355635519</v>
      </c>
      <c r="G849" s="31" t="s">
        <v>1531</v>
      </c>
      <c r="H849" s="21" t="s">
        <v>94</v>
      </c>
      <c r="I849" s="31" t="s">
        <v>54</v>
      </c>
      <c r="N849" s="21" t="s">
        <v>1022</v>
      </c>
      <c r="O849" s="21" t="s">
        <v>2142</v>
      </c>
      <c r="P849" s="21" t="s">
        <v>2129</v>
      </c>
      <c r="R849" s="0" t="n">
        <v>3</v>
      </c>
      <c r="S849" s="0" t="n">
        <v>2026</v>
      </c>
    </row>
    <row r="850" customFormat="false" ht="14.25" hidden="false" customHeight="false" outlineLevel="0" collapsed="false">
      <c r="A850" s="17" t="n">
        <v>46108</v>
      </c>
      <c r="B850" s="21" t="s">
        <v>2144</v>
      </c>
      <c r="C850" s="22" t="n">
        <v>120</v>
      </c>
      <c r="D850" s="31" t="s">
        <v>23</v>
      </c>
      <c r="E850" s="21" t="s">
        <v>2145</v>
      </c>
      <c r="F850" s="19" t="n">
        <v>553172099905</v>
      </c>
      <c r="G850" s="31" t="s">
        <v>2146</v>
      </c>
      <c r="H850" s="21" t="s">
        <v>94</v>
      </c>
      <c r="I850" s="31" t="s">
        <v>50</v>
      </c>
      <c r="J850" s="21" t="s">
        <v>97</v>
      </c>
      <c r="K850" s="21" t="s">
        <v>20</v>
      </c>
      <c r="L850" s="21" t="s">
        <v>469</v>
      </c>
      <c r="M850" s="21" t="s">
        <v>99</v>
      </c>
      <c r="N850" s="21" t="s">
        <v>965</v>
      </c>
      <c r="O850" s="21" t="s">
        <v>2107</v>
      </c>
      <c r="P850" s="21" t="s">
        <v>862</v>
      </c>
      <c r="R850" s="0" t="n">
        <v>3</v>
      </c>
      <c r="S850" s="0" t="n">
        <v>2026</v>
      </c>
    </row>
    <row r="851" customFormat="false" ht="14.25" hidden="false" customHeight="false" outlineLevel="0" collapsed="false">
      <c r="A851" s="17" t="n">
        <v>46108</v>
      </c>
      <c r="B851" s="21" t="s">
        <v>2148</v>
      </c>
      <c r="C851" s="22" t="n">
        <v>150</v>
      </c>
      <c r="D851" s="31" t="s">
        <v>32</v>
      </c>
      <c r="E851" s="21" t="s">
        <v>2149</v>
      </c>
      <c r="F851" s="19" t="n">
        <v>554199074412</v>
      </c>
      <c r="G851" s="31" t="s">
        <v>2150</v>
      </c>
      <c r="H851" s="21" t="s">
        <v>94</v>
      </c>
      <c r="I851" s="31" t="s">
        <v>355</v>
      </c>
      <c r="J851" s="21" t="s">
        <v>1176</v>
      </c>
      <c r="K851" s="21" t="s">
        <v>1177</v>
      </c>
      <c r="L851" s="21" t="s">
        <v>1242</v>
      </c>
      <c r="M851" s="21" t="s">
        <v>1243</v>
      </c>
      <c r="N851" s="21" t="s">
        <v>965</v>
      </c>
      <c r="O851" s="21" t="s">
        <v>2107</v>
      </c>
      <c r="P851" s="21" t="s">
        <v>862</v>
      </c>
      <c r="R851" s="0" t="n">
        <v>3</v>
      </c>
      <c r="S851" s="0" t="n">
        <v>2026</v>
      </c>
    </row>
    <row r="852" customFormat="false" ht="14.25" hidden="false" customHeight="false" outlineLevel="0" collapsed="false">
      <c r="A852" s="17" t="n">
        <v>46108</v>
      </c>
      <c r="B852" s="21" t="s">
        <v>1600</v>
      </c>
      <c r="C852" s="22" t="n">
        <v>280</v>
      </c>
      <c r="D852" s="31" t="s">
        <v>27</v>
      </c>
      <c r="E852" s="21" t="s">
        <v>1600</v>
      </c>
      <c r="F852" s="19" t="n">
        <v>5511919074749</v>
      </c>
      <c r="G852" s="31" t="s">
        <v>1601</v>
      </c>
      <c r="H852" s="21" t="s">
        <v>94</v>
      </c>
      <c r="I852" s="31" t="s">
        <v>54</v>
      </c>
      <c r="N852" s="21" t="s">
        <v>1022</v>
      </c>
      <c r="O852" s="21" t="s">
        <v>2135</v>
      </c>
      <c r="P852" s="21" t="s">
        <v>2135</v>
      </c>
      <c r="R852" s="0" t="n">
        <v>3</v>
      </c>
      <c r="S852" s="0" t="n">
        <v>2026</v>
      </c>
    </row>
    <row r="853" customFormat="false" ht="14.25" hidden="false" customHeight="false" outlineLevel="0" collapsed="false">
      <c r="A853" s="17" t="n">
        <v>46108</v>
      </c>
      <c r="B853" s="21" t="s">
        <v>2153</v>
      </c>
      <c r="C853" s="22" t="n">
        <v>147</v>
      </c>
      <c r="D853" s="31" t="s">
        <v>390</v>
      </c>
      <c r="E853" s="21" t="s">
        <v>2153</v>
      </c>
      <c r="F853" s="19" t="n">
        <v>554896871939</v>
      </c>
      <c r="G853" s="31" t="s">
        <v>2154</v>
      </c>
      <c r="H853" s="21" t="s">
        <v>94</v>
      </c>
      <c r="I853" s="31" t="s">
        <v>50</v>
      </c>
      <c r="N853" s="21" t="s">
        <v>965</v>
      </c>
      <c r="O853" s="21" t="s">
        <v>2128</v>
      </c>
      <c r="P853" s="21" t="s">
        <v>2129</v>
      </c>
      <c r="R853" s="0" t="n">
        <v>3</v>
      </c>
      <c r="S853" s="0" t="n">
        <v>2026</v>
      </c>
    </row>
    <row r="854" customFormat="false" ht="14.25" hidden="false" customHeight="false" outlineLevel="0" collapsed="false">
      <c r="A854" s="17" t="n">
        <v>46108</v>
      </c>
      <c r="B854" s="21" t="s">
        <v>2156</v>
      </c>
      <c r="C854" s="22" t="n">
        <v>147</v>
      </c>
      <c r="D854" s="31" t="s">
        <v>18</v>
      </c>
      <c r="E854" s="21" t="s">
        <v>2157</v>
      </c>
      <c r="F854" s="19" t="n">
        <v>554196975586</v>
      </c>
      <c r="G854" s="31" t="s">
        <v>2158</v>
      </c>
      <c r="H854" s="21" t="s">
        <v>94</v>
      </c>
      <c r="I854" s="31" t="s">
        <v>50</v>
      </c>
      <c r="J854" s="21" t="s">
        <v>1176</v>
      </c>
      <c r="K854" s="21" t="s">
        <v>1897</v>
      </c>
      <c r="L854" s="21" t="s">
        <v>1898</v>
      </c>
      <c r="M854" s="21" t="s">
        <v>1179</v>
      </c>
      <c r="N854" s="21" t="s">
        <v>965</v>
      </c>
      <c r="O854" s="21" t="s">
        <v>2159</v>
      </c>
      <c r="P854" s="21" t="s">
        <v>2089</v>
      </c>
      <c r="R854" s="0" t="n">
        <v>3</v>
      </c>
      <c r="S854" s="0" t="n">
        <v>2026</v>
      </c>
    </row>
    <row r="855" customFormat="false" ht="14.25" hidden="false" customHeight="false" outlineLevel="0" collapsed="false">
      <c r="A855" s="17" t="n">
        <v>46108</v>
      </c>
      <c r="B855" s="21" t="s">
        <v>43</v>
      </c>
      <c r="C855" s="22" t="n">
        <v>0</v>
      </c>
      <c r="D855" s="31" t="s">
        <v>22</v>
      </c>
      <c r="E855" s="21" t="s">
        <v>1649</v>
      </c>
      <c r="F855" s="19" t="n">
        <v>554188195394</v>
      </c>
      <c r="G855" s="31" t="s">
        <v>1650</v>
      </c>
      <c r="H855" s="21" t="s">
        <v>94</v>
      </c>
      <c r="I855" s="31" t="s">
        <v>54</v>
      </c>
      <c r="N855" s="21" t="s">
        <v>1022</v>
      </c>
      <c r="O855" s="21" t="s">
        <v>2159</v>
      </c>
      <c r="P855" s="21" t="s">
        <v>2089</v>
      </c>
      <c r="R855" s="0" t="n">
        <v>3</v>
      </c>
      <c r="S855" s="0" t="n">
        <v>2026</v>
      </c>
    </row>
    <row r="856" customFormat="false" ht="14.25" hidden="false" customHeight="false" outlineLevel="0" collapsed="false">
      <c r="A856" s="17" t="n">
        <v>46108</v>
      </c>
      <c r="B856" s="21" t="s">
        <v>43</v>
      </c>
      <c r="C856" s="22" t="n">
        <v>0</v>
      </c>
      <c r="D856" s="31" t="s">
        <v>21</v>
      </c>
      <c r="E856" s="21" t="s">
        <v>1649</v>
      </c>
      <c r="F856" s="19" t="n">
        <v>554188195394</v>
      </c>
      <c r="G856" s="31" t="s">
        <v>1650</v>
      </c>
      <c r="H856" s="21" t="s">
        <v>94</v>
      </c>
      <c r="I856" s="31" t="s">
        <v>54</v>
      </c>
      <c r="N856" s="21" t="s">
        <v>1022</v>
      </c>
      <c r="O856" s="21" t="s">
        <v>2159</v>
      </c>
      <c r="P856" s="21" t="s">
        <v>2089</v>
      </c>
      <c r="R856" s="0" t="n">
        <v>3</v>
      </c>
      <c r="S856" s="0" t="n">
        <v>2026</v>
      </c>
    </row>
    <row r="857" customFormat="false" ht="14.25" hidden="false" customHeight="false" outlineLevel="0" collapsed="false">
      <c r="A857" s="17" t="n">
        <v>46107</v>
      </c>
      <c r="B857" s="21" t="s">
        <v>2163</v>
      </c>
      <c r="C857" s="22" t="n">
        <v>120</v>
      </c>
      <c r="D857" s="31" t="s">
        <v>24</v>
      </c>
      <c r="E857" s="21" t="s">
        <v>2163</v>
      </c>
      <c r="F857" s="19" t="n">
        <v>5511961328620</v>
      </c>
      <c r="G857" s="31" t="s">
        <v>43</v>
      </c>
      <c r="H857" s="21" t="s">
        <v>94</v>
      </c>
      <c r="I857" s="31" t="s">
        <v>50</v>
      </c>
      <c r="N857" s="21" t="s">
        <v>965</v>
      </c>
      <c r="O857" s="21" t="s">
        <v>2107</v>
      </c>
      <c r="P857" s="21" t="s">
        <v>862</v>
      </c>
      <c r="R857" s="0" t="n">
        <v>3</v>
      </c>
      <c r="S857" s="0" t="n">
        <v>2026</v>
      </c>
    </row>
    <row r="858" customFormat="false" ht="14.25" hidden="false" customHeight="false" outlineLevel="0" collapsed="false">
      <c r="A858" s="17" t="n">
        <v>46108</v>
      </c>
      <c r="B858" s="21" t="s">
        <v>341</v>
      </c>
      <c r="C858" s="22" t="n">
        <v>50</v>
      </c>
      <c r="D858" s="31" t="s">
        <v>22</v>
      </c>
      <c r="E858" s="21" t="s">
        <v>341</v>
      </c>
      <c r="F858" s="19" t="n">
        <v>5521969875829</v>
      </c>
      <c r="G858" s="31" t="s">
        <v>342</v>
      </c>
      <c r="H858" s="21" t="s">
        <v>94</v>
      </c>
      <c r="I858" s="31" t="s">
        <v>54</v>
      </c>
      <c r="N858" s="21" t="s">
        <v>1022</v>
      </c>
      <c r="O858" s="21" t="s">
        <v>2107</v>
      </c>
      <c r="P858" s="21" t="s">
        <v>862</v>
      </c>
      <c r="R858" s="0" t="n">
        <v>3</v>
      </c>
      <c r="S858" s="0" t="n">
        <v>2026</v>
      </c>
    </row>
    <row r="859" customFormat="false" ht="14.25" hidden="false" customHeight="false" outlineLevel="0" collapsed="false">
      <c r="A859" s="17" t="n">
        <v>46108</v>
      </c>
      <c r="B859" s="21" t="s">
        <v>43</v>
      </c>
      <c r="C859" s="22" t="n">
        <v>0</v>
      </c>
      <c r="D859" s="31" t="s">
        <v>21</v>
      </c>
      <c r="E859" s="21" t="s">
        <v>341</v>
      </c>
      <c r="F859" s="19" t="n">
        <v>5521969875829</v>
      </c>
      <c r="G859" s="31" t="s">
        <v>342</v>
      </c>
      <c r="H859" s="21" t="s">
        <v>94</v>
      </c>
      <c r="I859" s="31" t="s">
        <v>54</v>
      </c>
      <c r="N859" s="21" t="s">
        <v>1022</v>
      </c>
      <c r="O859" s="21" t="s">
        <v>2107</v>
      </c>
      <c r="P859" s="21" t="s">
        <v>862</v>
      </c>
      <c r="R859" s="0" t="n">
        <v>3</v>
      </c>
      <c r="S859" s="0" t="n">
        <v>2026</v>
      </c>
    </row>
    <row r="860" customFormat="false" ht="14.25" hidden="false" customHeight="false" outlineLevel="0" collapsed="false">
      <c r="A860" s="17" t="n">
        <v>46109</v>
      </c>
      <c r="B860" s="21" t="s">
        <v>2167</v>
      </c>
      <c r="C860" s="22" t="n">
        <v>70</v>
      </c>
      <c r="D860" s="31" t="s">
        <v>390</v>
      </c>
      <c r="E860" s="21" t="s">
        <v>2167</v>
      </c>
      <c r="F860" s="19" t="n">
        <v>554891730563</v>
      </c>
      <c r="G860" s="31" t="s">
        <v>2064</v>
      </c>
      <c r="H860" s="21" t="s">
        <v>94</v>
      </c>
      <c r="I860" s="31" t="s">
        <v>54</v>
      </c>
      <c r="N860" s="21" t="s">
        <v>1022</v>
      </c>
      <c r="O860" s="21" t="s">
        <v>2128</v>
      </c>
      <c r="P860" s="21" t="s">
        <v>2129</v>
      </c>
      <c r="R860" s="0" t="n">
        <v>3</v>
      </c>
      <c r="S860" s="0" t="n">
        <v>2026</v>
      </c>
    </row>
    <row r="861" customFormat="false" ht="14.25" hidden="false" customHeight="false" outlineLevel="0" collapsed="false">
      <c r="A861" s="17" t="n">
        <v>46109</v>
      </c>
      <c r="B861" s="21" t="s">
        <v>2169</v>
      </c>
      <c r="C861" s="22" t="n">
        <v>100</v>
      </c>
      <c r="D861" s="31" t="s">
        <v>23</v>
      </c>
      <c r="E861" s="21" t="s">
        <v>2169</v>
      </c>
      <c r="F861" s="19" t="n">
        <v>555496404223</v>
      </c>
      <c r="G861" s="31" t="s">
        <v>180</v>
      </c>
      <c r="H861" s="21" t="s">
        <v>94</v>
      </c>
      <c r="I861" s="31" t="s">
        <v>54</v>
      </c>
      <c r="N861" s="21" t="s">
        <v>1022</v>
      </c>
      <c r="O861" s="21" t="s">
        <v>2120</v>
      </c>
      <c r="P861" s="21" t="s">
        <v>2121</v>
      </c>
      <c r="R861" s="0" t="n">
        <v>3</v>
      </c>
      <c r="S861" s="0" t="n">
        <v>2026</v>
      </c>
    </row>
    <row r="862" customFormat="false" ht="14.25" hidden="false" customHeight="false" outlineLevel="0" collapsed="false">
      <c r="A862" s="17" t="n">
        <v>46108</v>
      </c>
      <c r="B862" s="21" t="s">
        <v>2171</v>
      </c>
      <c r="C862" s="22" t="n">
        <v>360</v>
      </c>
      <c r="D862" s="31" t="s">
        <v>30</v>
      </c>
      <c r="E862" s="21" t="s">
        <v>2171</v>
      </c>
      <c r="F862" s="19" t="n">
        <v>5511947852613</v>
      </c>
      <c r="G862" s="31" t="s">
        <v>2172</v>
      </c>
      <c r="H862" s="21" t="s">
        <v>94</v>
      </c>
      <c r="I862" s="31" t="s">
        <v>50</v>
      </c>
      <c r="J862" s="21" t="s">
        <v>35</v>
      </c>
      <c r="K862" s="21" t="s">
        <v>36</v>
      </c>
      <c r="L862" s="21" t="s">
        <v>37</v>
      </c>
      <c r="M862" s="21" t="s">
        <v>38</v>
      </c>
      <c r="N862" s="21" t="s">
        <v>965</v>
      </c>
      <c r="O862" s="21" t="s">
        <v>2135</v>
      </c>
      <c r="P862" s="21" t="s">
        <v>2135</v>
      </c>
      <c r="R862" s="0" t="n">
        <v>3</v>
      </c>
      <c r="S862" s="0" t="n">
        <v>2026</v>
      </c>
    </row>
    <row r="863" customFormat="false" ht="14.25" hidden="false" customHeight="false" outlineLevel="0" collapsed="false">
      <c r="A863" s="17" t="n">
        <v>46109</v>
      </c>
      <c r="B863" s="21" t="s">
        <v>2174</v>
      </c>
      <c r="C863" s="22" t="n">
        <v>97</v>
      </c>
      <c r="D863" s="31" t="s">
        <v>20</v>
      </c>
      <c r="E863" s="21" t="s">
        <v>2175</v>
      </c>
      <c r="F863" s="19" t="n">
        <v>559584217382</v>
      </c>
      <c r="G863" s="31" t="n">
        <v>0</v>
      </c>
      <c r="H863" s="21" t="s">
        <v>94</v>
      </c>
      <c r="I863" s="31" t="s">
        <v>34</v>
      </c>
      <c r="J863" s="21" t="s">
        <v>908</v>
      </c>
      <c r="N863" s="21" t="s">
        <v>965</v>
      </c>
      <c r="O863" s="21" t="s">
        <v>2128</v>
      </c>
      <c r="P863" s="21" t="s">
        <v>2129</v>
      </c>
      <c r="R863" s="0" t="n">
        <v>3</v>
      </c>
      <c r="S863" s="0" t="n">
        <v>2026</v>
      </c>
    </row>
    <row r="864" customFormat="false" ht="14.25" hidden="false" customHeight="false" outlineLevel="0" collapsed="false">
      <c r="A864" s="17" t="n">
        <v>46109</v>
      </c>
      <c r="B864" s="21" t="s">
        <v>2177</v>
      </c>
      <c r="C864" s="22" t="n">
        <v>240</v>
      </c>
      <c r="D864" s="31" t="s">
        <v>30</v>
      </c>
      <c r="E864" s="21" t="s">
        <v>2178</v>
      </c>
      <c r="F864" s="19" t="n">
        <v>5351116579</v>
      </c>
      <c r="G864" s="31" t="s">
        <v>33</v>
      </c>
      <c r="H864" s="21" t="s">
        <v>94</v>
      </c>
      <c r="I864" s="31" t="s">
        <v>54</v>
      </c>
      <c r="N864" s="21" t="s">
        <v>1022</v>
      </c>
      <c r="O864" s="21" t="s">
        <v>2107</v>
      </c>
      <c r="P864" s="21" t="s">
        <v>862</v>
      </c>
      <c r="R864" s="0" t="n">
        <v>3</v>
      </c>
      <c r="S864" s="0" t="n">
        <v>2026</v>
      </c>
    </row>
    <row r="865" customFormat="false" ht="14.25" hidden="false" customHeight="false" outlineLevel="0" collapsed="false">
      <c r="A865" s="17" t="n">
        <v>46109</v>
      </c>
      <c r="B865" s="21" t="s">
        <v>2180</v>
      </c>
      <c r="C865" s="22" t="n">
        <v>210</v>
      </c>
      <c r="D865" s="31" t="s">
        <v>32</v>
      </c>
      <c r="E865" s="21" t="s">
        <v>2180</v>
      </c>
      <c r="F865" s="19" t="n">
        <v>558888460284</v>
      </c>
      <c r="G865" s="31"/>
      <c r="H865" s="21" t="s">
        <v>94</v>
      </c>
      <c r="I865" s="31" t="s">
        <v>355</v>
      </c>
      <c r="N865" s="21" t="s">
        <v>965</v>
      </c>
      <c r="O865" s="21" t="s">
        <v>2134</v>
      </c>
      <c r="P865" s="21" t="s">
        <v>2135</v>
      </c>
      <c r="R865" s="0" t="n">
        <v>3</v>
      </c>
      <c r="S865" s="0" t="n">
        <v>2026</v>
      </c>
    </row>
    <row r="866" customFormat="false" ht="14.25" hidden="false" customHeight="false" outlineLevel="0" collapsed="false">
      <c r="A866" s="17" t="n">
        <v>46110</v>
      </c>
      <c r="B866" s="21" t="s">
        <v>483</v>
      </c>
      <c r="C866" s="22" t="n">
        <v>660</v>
      </c>
      <c r="D866" s="31" t="s">
        <v>24</v>
      </c>
      <c r="E866" s="21" t="s">
        <v>2182</v>
      </c>
      <c r="F866" s="19" t="n">
        <v>5515998541153</v>
      </c>
      <c r="G866" s="31" t="s">
        <v>485</v>
      </c>
      <c r="H866" s="21" t="s">
        <v>94</v>
      </c>
      <c r="I866" s="31" t="s">
        <v>54</v>
      </c>
      <c r="N866" s="21" t="s">
        <v>1022</v>
      </c>
      <c r="O866" s="21" t="s">
        <v>2183</v>
      </c>
      <c r="P866" s="21" t="s">
        <v>2135</v>
      </c>
      <c r="Q866" s="0" t="n">
        <v>-1</v>
      </c>
      <c r="R866" s="0" t="n">
        <v>3</v>
      </c>
      <c r="S866" s="0" t="n">
        <v>2026</v>
      </c>
    </row>
    <row r="867" customFormat="false" ht="14.25" hidden="false" customHeight="false" outlineLevel="0" collapsed="false">
      <c r="A867" s="17" t="n">
        <v>46110</v>
      </c>
      <c r="B867" s="21" t="s">
        <v>2185</v>
      </c>
      <c r="C867" s="22" t="n">
        <v>150</v>
      </c>
      <c r="D867" s="31" t="s">
        <v>1471</v>
      </c>
      <c r="E867" s="21" t="s">
        <v>2186</v>
      </c>
      <c r="F867" s="19" t="n">
        <v>5511989087179</v>
      </c>
      <c r="G867" s="31" t="s">
        <v>2187</v>
      </c>
      <c r="H867" s="21" t="s">
        <v>94</v>
      </c>
      <c r="I867" s="31" t="s">
        <v>54</v>
      </c>
      <c r="N867" s="21" t="s">
        <v>965</v>
      </c>
      <c r="O867" s="21" t="s">
        <v>2159</v>
      </c>
      <c r="P867" s="21" t="s">
        <v>2089</v>
      </c>
      <c r="Q867" s="0" t="n">
        <v>8788290832</v>
      </c>
      <c r="R867" s="0" t="n">
        <v>3</v>
      </c>
      <c r="S867" s="0" t="n">
        <v>2026</v>
      </c>
    </row>
    <row r="868" customFormat="false" ht="14.25" hidden="false" customHeight="false" outlineLevel="0" collapsed="false">
      <c r="A868" s="17" t="n">
        <v>46110</v>
      </c>
      <c r="B868" s="21" t="s">
        <v>2185</v>
      </c>
      <c r="C868" s="22" t="n">
        <v>147</v>
      </c>
      <c r="D868" s="31" t="s">
        <v>390</v>
      </c>
      <c r="E868" s="21" t="s">
        <v>2186</v>
      </c>
      <c r="F868" s="19" t="n">
        <v>5511989087179</v>
      </c>
      <c r="G868" s="31" t="s">
        <v>2187</v>
      </c>
      <c r="H868" s="21" t="s">
        <v>94</v>
      </c>
      <c r="I868" s="31" t="s">
        <v>54</v>
      </c>
      <c r="N868" s="21" t="s">
        <v>965</v>
      </c>
      <c r="O868" s="21" t="s">
        <v>2159</v>
      </c>
      <c r="P868" s="21" t="s">
        <v>2089</v>
      </c>
      <c r="Q868" s="0" t="n">
        <v>8788290832</v>
      </c>
      <c r="R868" s="0" t="n">
        <v>3</v>
      </c>
      <c r="S868" s="0" t="n">
        <v>2026</v>
      </c>
    </row>
    <row r="869" customFormat="false" ht="14.25" hidden="false" customHeight="false" outlineLevel="0" collapsed="false">
      <c r="A869" s="17" t="n">
        <v>46109</v>
      </c>
      <c r="B869" s="21" t="s">
        <v>166</v>
      </c>
      <c r="C869" s="22" t="n">
        <v>120</v>
      </c>
      <c r="D869" s="31" t="s">
        <v>23</v>
      </c>
      <c r="E869" s="21" t="s">
        <v>167</v>
      </c>
      <c r="F869" s="19" t="n">
        <v>5595920007750</v>
      </c>
      <c r="G869" s="31" t="s">
        <v>168</v>
      </c>
      <c r="H869" s="21" t="s">
        <v>94</v>
      </c>
      <c r="I869" s="31" t="s">
        <v>54</v>
      </c>
      <c r="N869" s="21" t="s">
        <v>1022</v>
      </c>
      <c r="O869" s="21" t="s">
        <v>2128</v>
      </c>
      <c r="P869" s="21" t="s">
        <v>2129</v>
      </c>
      <c r="Q869" s="0" t="n">
        <v>-1</v>
      </c>
      <c r="R869" s="0" t="n">
        <v>3</v>
      </c>
      <c r="S869" s="0" t="n">
        <v>2026</v>
      </c>
    </row>
    <row r="870" customFormat="false" ht="14.25" hidden="false" customHeight="false" outlineLevel="0" collapsed="false">
      <c r="A870" s="17" t="n">
        <v>46110</v>
      </c>
      <c r="B870" s="21" t="s">
        <v>2191</v>
      </c>
      <c r="C870" s="22" t="n">
        <v>120</v>
      </c>
      <c r="D870" s="31" t="s">
        <v>23</v>
      </c>
      <c r="E870" s="21" t="s">
        <v>2191</v>
      </c>
      <c r="F870" s="19" t="n">
        <v>554192839942</v>
      </c>
      <c r="G870" s="31" t="s">
        <v>2192</v>
      </c>
      <c r="H870" s="21" t="s">
        <v>94</v>
      </c>
      <c r="I870" s="31" t="s">
        <v>34</v>
      </c>
      <c r="N870" s="21" t="s">
        <v>965</v>
      </c>
      <c r="O870" s="21" t="s">
        <v>2088</v>
      </c>
      <c r="P870" s="21" t="s">
        <v>2089</v>
      </c>
      <c r="Q870" s="0" t="n">
        <v>11410556271</v>
      </c>
      <c r="R870" s="0" t="n">
        <v>3</v>
      </c>
      <c r="S870" s="0" t="n">
        <v>2026</v>
      </c>
    </row>
    <row r="871" customFormat="false" ht="14.25" hidden="false" customHeight="false" outlineLevel="0" collapsed="false">
      <c r="A871" s="17" t="n">
        <v>46110</v>
      </c>
      <c r="B871" s="21" t="s">
        <v>281</v>
      </c>
      <c r="C871" s="22" t="n">
        <v>147</v>
      </c>
      <c r="D871" s="31" t="s">
        <v>390</v>
      </c>
      <c r="E871" s="21" t="s">
        <v>281</v>
      </c>
      <c r="F871" s="19" t="n">
        <v>559584239520</v>
      </c>
      <c r="G871" s="31" t="s">
        <v>282</v>
      </c>
      <c r="H871" s="21" t="s">
        <v>94</v>
      </c>
      <c r="I871" s="31" t="s">
        <v>54</v>
      </c>
      <c r="N871" s="21" t="s">
        <v>1022</v>
      </c>
      <c r="O871" s="21" t="s">
        <v>2135</v>
      </c>
      <c r="P871" s="21" t="s">
        <v>2135</v>
      </c>
      <c r="Q871" s="0" t="n">
        <v>11230766260</v>
      </c>
      <c r="R871" s="0" t="n">
        <v>3</v>
      </c>
      <c r="S871" s="0" t="n">
        <v>2026</v>
      </c>
    </row>
    <row r="872" customFormat="false" ht="14.25" hidden="false" customHeight="false" outlineLevel="0" collapsed="false">
      <c r="A872" s="17" t="n">
        <v>46109</v>
      </c>
      <c r="B872" s="21" t="s">
        <v>2195</v>
      </c>
      <c r="C872" s="22" t="n">
        <v>147</v>
      </c>
      <c r="D872" s="31" t="s">
        <v>390</v>
      </c>
      <c r="E872" s="21" t="s">
        <v>2196</v>
      </c>
      <c r="F872" s="19" t="n">
        <v>558599840325</v>
      </c>
      <c r="G872" s="31" t="s">
        <v>2197</v>
      </c>
      <c r="H872" s="21" t="s">
        <v>94</v>
      </c>
      <c r="I872" s="31" t="s">
        <v>355</v>
      </c>
      <c r="J872" s="21" t="s">
        <v>35</v>
      </c>
      <c r="K872" s="21" t="s">
        <v>69</v>
      </c>
      <c r="L872" s="21" t="s">
        <v>70</v>
      </c>
      <c r="M872" s="21" t="s">
        <v>38</v>
      </c>
      <c r="N872" s="21" t="s">
        <v>965</v>
      </c>
      <c r="O872" s="21" t="s">
        <v>2128</v>
      </c>
      <c r="P872" s="21" t="s">
        <v>2129</v>
      </c>
      <c r="Q872" s="0" t="n">
        <v>5438993300</v>
      </c>
      <c r="R872" s="0" t="n">
        <v>3</v>
      </c>
      <c r="S872" s="0" t="n">
        <v>2026</v>
      </c>
    </row>
    <row r="873" customFormat="false" ht="14.25" hidden="false" customHeight="false" outlineLevel="0" collapsed="false">
      <c r="A873" s="17" t="n">
        <v>46109</v>
      </c>
      <c r="B873" s="21" t="s">
        <v>2199</v>
      </c>
      <c r="C873" s="22" t="n">
        <v>150</v>
      </c>
      <c r="D873" s="31" t="s">
        <v>32</v>
      </c>
      <c r="E873" s="21" t="s">
        <v>2200</v>
      </c>
      <c r="F873" s="19" t="n">
        <v>556696363433</v>
      </c>
      <c r="G873" s="31"/>
      <c r="H873" s="21" t="s">
        <v>94</v>
      </c>
      <c r="I873" s="31" t="s">
        <v>50</v>
      </c>
      <c r="N873" s="21" t="s">
        <v>965</v>
      </c>
      <c r="O873" s="21" t="s">
        <v>2107</v>
      </c>
      <c r="P873" s="21" t="s">
        <v>862</v>
      </c>
      <c r="Q873" s="0" t="n">
        <v>0</v>
      </c>
      <c r="R873" s="0" t="n">
        <v>3</v>
      </c>
      <c r="S873" s="0" t="n">
        <v>2026</v>
      </c>
    </row>
    <row r="874" customFormat="false" ht="14.25" hidden="false" customHeight="false" outlineLevel="0" collapsed="false">
      <c r="A874" s="17" t="n">
        <v>46110</v>
      </c>
      <c r="B874" s="21" t="s">
        <v>2202</v>
      </c>
      <c r="C874" s="22" t="n">
        <v>430</v>
      </c>
      <c r="D874" s="31" t="s">
        <v>20</v>
      </c>
      <c r="E874" s="21" t="s">
        <v>2202</v>
      </c>
      <c r="F874" s="19" t="n">
        <v>559591143897</v>
      </c>
      <c r="G874" s="31" t="s">
        <v>2203</v>
      </c>
      <c r="H874" s="21" t="s">
        <v>94</v>
      </c>
      <c r="I874" s="31" t="s">
        <v>50</v>
      </c>
      <c r="N874" s="21" t="s">
        <v>965</v>
      </c>
      <c r="O874" s="21" t="s">
        <v>2204</v>
      </c>
      <c r="P874" s="21" t="s">
        <v>2089</v>
      </c>
      <c r="Q874" s="0" t="n">
        <v>11769074252</v>
      </c>
      <c r="R874" s="0" t="n">
        <v>3</v>
      </c>
      <c r="S874" s="0" t="n">
        <v>2026</v>
      </c>
    </row>
    <row r="875" customFormat="false" ht="14.25" hidden="false" customHeight="false" outlineLevel="0" collapsed="false">
      <c r="A875" s="17" t="n">
        <v>46111</v>
      </c>
      <c r="B875" s="21" t="s">
        <v>2206</v>
      </c>
      <c r="C875" s="22" t="n">
        <v>150</v>
      </c>
      <c r="D875" s="31" t="s">
        <v>32</v>
      </c>
      <c r="E875" s="21" t="s">
        <v>2207</v>
      </c>
      <c r="F875" s="19" t="n">
        <v>554791101878</v>
      </c>
      <c r="G875" s="31" t="s">
        <v>2208</v>
      </c>
      <c r="H875" s="21" t="s">
        <v>94</v>
      </c>
      <c r="I875" s="31" t="s">
        <v>34</v>
      </c>
      <c r="N875" s="21" t="s">
        <v>965</v>
      </c>
      <c r="O875" s="21" t="s">
        <v>2209</v>
      </c>
      <c r="P875" s="21" t="s">
        <v>2129</v>
      </c>
      <c r="Q875" s="0" t="n">
        <v>0</v>
      </c>
      <c r="R875" s="0" t="n">
        <v>3</v>
      </c>
      <c r="S875" s="0" t="n">
        <v>2026</v>
      </c>
    </row>
    <row r="876" customFormat="false" ht="14.25" hidden="false" customHeight="false" outlineLevel="0" collapsed="false">
      <c r="A876" s="17" t="n">
        <v>46110</v>
      </c>
      <c r="B876" s="21" t="s">
        <v>2169</v>
      </c>
      <c r="C876" s="22" t="n">
        <v>200</v>
      </c>
      <c r="D876" s="31" t="s">
        <v>27</v>
      </c>
      <c r="E876" s="21" t="s">
        <v>2169</v>
      </c>
      <c r="F876" s="19" t="n">
        <v>555496404223</v>
      </c>
      <c r="G876" s="31" t="s">
        <v>180</v>
      </c>
      <c r="H876" s="21" t="s">
        <v>94</v>
      </c>
      <c r="I876" s="31" t="s">
        <v>54</v>
      </c>
      <c r="N876" s="21" t="s">
        <v>1022</v>
      </c>
      <c r="O876" s="21" t="s">
        <v>2120</v>
      </c>
      <c r="P876" s="21" t="s">
        <v>2121</v>
      </c>
      <c r="Q876" s="0" t="n">
        <v>-1</v>
      </c>
      <c r="R876" s="0" t="n">
        <v>3</v>
      </c>
      <c r="S876" s="0" t="n">
        <v>2026</v>
      </c>
    </row>
    <row r="877" customFormat="false" ht="14.25" hidden="false" customHeight="false" outlineLevel="0" collapsed="false">
      <c r="A877" s="17" t="n">
        <v>46111</v>
      </c>
      <c r="B877" s="21" t="s">
        <v>43</v>
      </c>
      <c r="C877" s="22" t="n">
        <v>-1</v>
      </c>
      <c r="D877" s="31" t="s">
        <v>27</v>
      </c>
      <c r="E877" s="21" t="s">
        <v>294</v>
      </c>
      <c r="F877" s="19" t="n">
        <v>5511918514374</v>
      </c>
      <c r="G877" s="31" t="s">
        <v>295</v>
      </c>
      <c r="H877" s="21" t="s">
        <v>94</v>
      </c>
      <c r="I877" s="31" t="s">
        <v>54</v>
      </c>
      <c r="N877" s="21" t="s">
        <v>1022</v>
      </c>
      <c r="O877" s="21" t="s">
        <v>2135</v>
      </c>
      <c r="P877" s="21" t="s">
        <v>2135</v>
      </c>
      <c r="Q877" s="0" t="n">
        <v>-1</v>
      </c>
      <c r="R877" s="0" t="n">
        <v>3</v>
      </c>
      <c r="S877" s="0" t="n">
        <v>2026</v>
      </c>
    </row>
    <row r="878" customFormat="false" ht="14.25" hidden="false" customHeight="false" outlineLevel="0" collapsed="false">
      <c r="A878" s="17" t="n">
        <v>46111</v>
      </c>
      <c r="B878" s="21" t="s">
        <v>2213</v>
      </c>
      <c r="C878" s="22" t="n">
        <v>120</v>
      </c>
      <c r="D878" s="31" t="s">
        <v>2214</v>
      </c>
      <c r="E878" s="21" t="s">
        <v>2213</v>
      </c>
      <c r="F878" s="19" t="n">
        <v>559584205495</v>
      </c>
      <c r="G878" s="31" t="s">
        <v>2215</v>
      </c>
      <c r="H878" s="21" t="s">
        <v>94</v>
      </c>
      <c r="I878" s="31" t="s">
        <v>50</v>
      </c>
      <c r="N878" s="21" t="s">
        <v>965</v>
      </c>
      <c r="O878" s="21" t="s">
        <v>2107</v>
      </c>
      <c r="P878" s="21" t="s">
        <v>862</v>
      </c>
      <c r="Q878" s="0" t="n">
        <v>-1</v>
      </c>
      <c r="R878" s="0" t="n">
        <v>3</v>
      </c>
      <c r="S878" s="0" t="n">
        <v>2026</v>
      </c>
    </row>
    <row r="879" customFormat="false" ht="14.25" hidden="false" customHeight="false" outlineLevel="0" collapsed="false">
      <c r="A879" s="17" t="n">
        <v>46111</v>
      </c>
      <c r="B879" s="21" t="s">
        <v>2217</v>
      </c>
      <c r="C879" s="22" t="n">
        <v>147</v>
      </c>
      <c r="D879" s="31" t="s">
        <v>390</v>
      </c>
      <c r="E879" s="21" t="s">
        <v>2217</v>
      </c>
      <c r="F879" s="19" t="n">
        <v>554184549679</v>
      </c>
      <c r="G879" s="31" t="s">
        <v>2218</v>
      </c>
      <c r="H879" s="21" t="s">
        <v>94</v>
      </c>
      <c r="I879" s="31" t="s">
        <v>50</v>
      </c>
      <c r="N879" s="21" t="s">
        <v>965</v>
      </c>
      <c r="O879" s="21" t="s">
        <v>2159</v>
      </c>
      <c r="P879" s="21" t="s">
        <v>2089</v>
      </c>
      <c r="Q879" s="0" t="n">
        <v>1446983900</v>
      </c>
      <c r="R879" s="0" t="n">
        <v>3</v>
      </c>
      <c r="S879" s="0" t="n">
        <v>2026</v>
      </c>
    </row>
    <row r="880" customFormat="false" ht="14.25" hidden="false" customHeight="false" outlineLevel="0" collapsed="false">
      <c r="A880" s="17" t="n">
        <v>46111</v>
      </c>
      <c r="B880" s="21" t="s">
        <v>2220</v>
      </c>
      <c r="C880" s="22" t="n">
        <v>240</v>
      </c>
      <c r="D880" s="31" t="s">
        <v>30</v>
      </c>
      <c r="E880" s="21" t="s">
        <v>2221</v>
      </c>
      <c r="F880" s="19" t="n">
        <v>5352754834</v>
      </c>
      <c r="G880" s="31" t="s">
        <v>2222</v>
      </c>
      <c r="H880" s="21" t="s">
        <v>94</v>
      </c>
      <c r="I880" s="31" t="s">
        <v>355</v>
      </c>
      <c r="N880" s="21" t="s">
        <v>965</v>
      </c>
      <c r="O880" s="21" t="s">
        <v>2159</v>
      </c>
      <c r="P880" s="21" t="s">
        <v>2089</v>
      </c>
      <c r="Q880" s="0" t="n">
        <v>12004244259</v>
      </c>
      <c r="R880" s="0" t="n">
        <v>3</v>
      </c>
      <c r="S880" s="0" t="n">
        <v>2026</v>
      </c>
    </row>
    <row r="881" customFormat="false" ht="14.25" hidden="false" customHeight="false" outlineLevel="0" collapsed="false">
      <c r="A881" s="17" t="n">
        <v>46111</v>
      </c>
      <c r="B881" s="21" t="s">
        <v>2224</v>
      </c>
      <c r="C881" s="22" t="n">
        <v>150</v>
      </c>
      <c r="D881" s="31" t="s">
        <v>1471</v>
      </c>
      <c r="E881" s="21" t="s">
        <v>2224</v>
      </c>
      <c r="F881" s="19" t="n">
        <v>555499152221</v>
      </c>
      <c r="G881" s="31" t="s">
        <v>2225</v>
      </c>
      <c r="H881" s="21" t="s">
        <v>94</v>
      </c>
      <c r="I881" s="31" t="s">
        <v>34</v>
      </c>
      <c r="N881" s="21" t="s">
        <v>965</v>
      </c>
      <c r="O881" s="21" t="s">
        <v>2226</v>
      </c>
      <c r="P881" s="21" t="s">
        <v>2121</v>
      </c>
      <c r="Q881" s="0" t="n">
        <v>0</v>
      </c>
      <c r="R881" s="0" t="n">
        <v>3</v>
      </c>
      <c r="S881" s="0" t="n">
        <v>2026</v>
      </c>
    </row>
    <row r="882" customFormat="false" ht="14.25" hidden="false" customHeight="false" outlineLevel="0" collapsed="false">
      <c r="A882" s="17" t="n">
        <v>46111</v>
      </c>
      <c r="B882" s="21" t="s">
        <v>2228</v>
      </c>
      <c r="C882" s="22" t="n">
        <v>120</v>
      </c>
      <c r="D882" s="31" t="s">
        <v>30</v>
      </c>
      <c r="E882" s="21" t="s">
        <v>2228</v>
      </c>
      <c r="F882" s="19" t="n">
        <v>559584197916</v>
      </c>
      <c r="G882" s="31" t="s">
        <v>2229</v>
      </c>
      <c r="H882" s="21" t="s">
        <v>94</v>
      </c>
      <c r="I882" s="31" t="s">
        <v>355</v>
      </c>
      <c r="J882" s="21" t="s">
        <v>35</v>
      </c>
      <c r="K882" s="21" t="s">
        <v>36</v>
      </c>
      <c r="L882" s="21" t="s">
        <v>37</v>
      </c>
      <c r="M882" s="21" t="s">
        <v>38</v>
      </c>
      <c r="N882" s="21" t="s">
        <v>965</v>
      </c>
      <c r="O882" s="21" t="s">
        <v>2107</v>
      </c>
      <c r="P882" s="21" t="s">
        <v>2135</v>
      </c>
      <c r="Q882" s="0" t="n">
        <v>116.59663288</v>
      </c>
      <c r="R882" s="0" t="n">
        <v>3</v>
      </c>
      <c r="S882" s="0" t="n">
        <v>2026</v>
      </c>
    </row>
    <row r="883" customFormat="false" ht="14.25" hidden="false" customHeight="false" outlineLevel="0" collapsed="false">
      <c r="A883" s="17" t="n">
        <v>46111</v>
      </c>
      <c r="B883" s="21" t="s">
        <v>145</v>
      </c>
      <c r="C883" s="22" t="n">
        <v>150</v>
      </c>
      <c r="D883" s="31" t="s">
        <v>32</v>
      </c>
      <c r="E883" s="21" t="s">
        <v>145</v>
      </c>
      <c r="F883" s="19" t="n">
        <v>559591119749</v>
      </c>
      <c r="G883" s="31" t="s">
        <v>133</v>
      </c>
      <c r="H883" s="21" t="s">
        <v>94</v>
      </c>
      <c r="I883" s="31" t="s">
        <v>54</v>
      </c>
      <c r="N883" s="21" t="s">
        <v>1022</v>
      </c>
      <c r="O883" s="21" t="s">
        <v>2107</v>
      </c>
      <c r="P883" s="21" t="s">
        <v>862</v>
      </c>
      <c r="Q883" s="0" t="n">
        <v>-1</v>
      </c>
      <c r="R883" s="0" t="n">
        <v>3</v>
      </c>
      <c r="S883" s="0" t="n">
        <v>2026</v>
      </c>
    </row>
    <row r="884" customFormat="false" ht="14.25" hidden="false" customHeight="false" outlineLevel="0" collapsed="false">
      <c r="A884" s="17" t="n">
        <v>46111</v>
      </c>
      <c r="B884" s="21" t="s">
        <v>2232</v>
      </c>
      <c r="C884" s="22" t="n">
        <v>150</v>
      </c>
      <c r="D884" s="31" t="s">
        <v>24</v>
      </c>
      <c r="E884" s="21" t="s">
        <v>2232</v>
      </c>
      <c r="F884" s="19" t="n">
        <v>5511994261080</v>
      </c>
      <c r="G884" s="31" t="s">
        <v>43</v>
      </c>
      <c r="H884" s="21" t="s">
        <v>94</v>
      </c>
      <c r="I884" s="31" t="s">
        <v>50</v>
      </c>
      <c r="N884" s="21" t="s">
        <v>965</v>
      </c>
      <c r="O884" s="21" t="s">
        <v>2107</v>
      </c>
      <c r="P884" s="21" t="s">
        <v>862</v>
      </c>
      <c r="Q884" s="0" t="n">
        <v>-1</v>
      </c>
      <c r="R884" s="0" t="n">
        <v>3</v>
      </c>
      <c r="S884" s="0" t="n">
        <v>2026</v>
      </c>
    </row>
    <row r="885" customFormat="false" ht="14.25" hidden="false" customHeight="false" outlineLevel="0" collapsed="false">
      <c r="A885" s="17" t="n">
        <v>46111</v>
      </c>
      <c r="B885" s="21" t="s">
        <v>2234</v>
      </c>
      <c r="C885" s="22" t="n">
        <v>194</v>
      </c>
      <c r="D885" s="31" t="s">
        <v>20</v>
      </c>
      <c r="E885" s="21" t="s">
        <v>2234</v>
      </c>
      <c r="F885" s="19" t="n">
        <v>5595920012132</v>
      </c>
      <c r="G885" s="31" t="s">
        <v>2235</v>
      </c>
      <c r="H885" s="21" t="s">
        <v>94</v>
      </c>
      <c r="I885" s="31" t="s">
        <v>34</v>
      </c>
      <c r="N885" s="21" t="s">
        <v>965</v>
      </c>
      <c r="O885" s="21" t="s">
        <v>2236</v>
      </c>
      <c r="P885" s="21" t="s">
        <v>2129</v>
      </c>
      <c r="Q885" s="0" t="n">
        <v>11744534276</v>
      </c>
      <c r="R885" s="0" t="n">
        <v>3</v>
      </c>
      <c r="S885" s="0" t="n">
        <v>2026</v>
      </c>
    </row>
    <row r="886" customFormat="false" ht="14.25" hidden="false" customHeight="false" outlineLevel="0" collapsed="false">
      <c r="A886" s="17" t="n">
        <v>46112</v>
      </c>
      <c r="B886" s="21" t="s">
        <v>2238</v>
      </c>
      <c r="C886" s="22" t="n">
        <v>97</v>
      </c>
      <c r="D886" s="31" t="s">
        <v>20</v>
      </c>
      <c r="E886" s="21" t="s">
        <v>2238</v>
      </c>
      <c r="F886" s="19" t="n">
        <v>554891467653</v>
      </c>
      <c r="G886" s="31" t="s">
        <v>2239</v>
      </c>
      <c r="H886" s="21" t="s">
        <v>94</v>
      </c>
      <c r="I886" s="31" t="s">
        <v>355</v>
      </c>
      <c r="N886" s="21" t="s">
        <v>965</v>
      </c>
      <c r="O886" s="21" t="s">
        <v>2107</v>
      </c>
      <c r="P886" s="21" t="s">
        <v>862</v>
      </c>
      <c r="Q886" s="0" t="n">
        <v>11747991295</v>
      </c>
      <c r="R886" s="0" t="n">
        <v>3</v>
      </c>
      <c r="S886" s="0" t="n">
        <v>2026</v>
      </c>
    </row>
    <row r="887" customFormat="false" ht="14.25" hidden="false" customHeight="false" outlineLevel="0" collapsed="false">
      <c r="A887" s="17" t="n">
        <v>46112</v>
      </c>
      <c r="B887" s="21" t="s">
        <v>2241</v>
      </c>
      <c r="C887" s="22" t="n">
        <v>150</v>
      </c>
      <c r="D887" s="31" t="s">
        <v>32</v>
      </c>
      <c r="E887" s="21" t="s">
        <v>2241</v>
      </c>
      <c r="F887" s="19" t="n">
        <v>5511915214646</v>
      </c>
      <c r="G887" s="31" t="s">
        <v>43</v>
      </c>
      <c r="H887" s="21" t="s">
        <v>94</v>
      </c>
      <c r="I887" s="31" t="s">
        <v>50</v>
      </c>
      <c r="N887" s="21" t="s">
        <v>965</v>
      </c>
      <c r="O887" s="21" t="s">
        <v>2135</v>
      </c>
      <c r="P887" s="21" t="s">
        <v>2135</v>
      </c>
      <c r="Q887" s="0" t="n">
        <v>0</v>
      </c>
      <c r="R887" s="0" t="n">
        <v>3</v>
      </c>
      <c r="S887" s="0" t="n">
        <v>2026</v>
      </c>
    </row>
    <row r="888" customFormat="false" ht="14.25" hidden="false" customHeight="false" outlineLevel="0" collapsed="false">
      <c r="A888" s="17" t="n">
        <v>46111</v>
      </c>
      <c r="B888" s="21" t="s">
        <v>416</v>
      </c>
      <c r="C888" s="22" t="n">
        <v>440</v>
      </c>
      <c r="D888" s="31" t="s">
        <v>30</v>
      </c>
      <c r="E888" s="21" t="s">
        <v>416</v>
      </c>
      <c r="F888" s="19" t="n">
        <v>555492623688</v>
      </c>
      <c r="G888" s="31" t="s">
        <v>417</v>
      </c>
      <c r="H888" s="21" t="s">
        <v>94</v>
      </c>
      <c r="I888" s="31" t="s">
        <v>54</v>
      </c>
      <c r="N888" s="21" t="s">
        <v>1022</v>
      </c>
      <c r="O888" s="21" t="s">
        <v>2120</v>
      </c>
      <c r="P888" s="21" t="s">
        <v>2121</v>
      </c>
      <c r="Q888" s="0" t="n">
        <v>-1</v>
      </c>
      <c r="R888" s="0" t="n">
        <v>3</v>
      </c>
      <c r="S888" s="0" t="n">
        <v>2026</v>
      </c>
    </row>
    <row r="889" customFormat="false" ht="14.25" hidden="false" customHeight="false" outlineLevel="0" collapsed="false">
      <c r="A889" s="17" t="n">
        <v>46112</v>
      </c>
      <c r="B889" s="21" t="s">
        <v>2244</v>
      </c>
      <c r="C889" s="22" t="n">
        <v>240</v>
      </c>
      <c r="D889" s="31" t="s">
        <v>23</v>
      </c>
      <c r="E889" s="21" t="s">
        <v>2244</v>
      </c>
      <c r="F889" s="19" t="n">
        <v>559584297885</v>
      </c>
      <c r="G889" s="31" t="s">
        <v>519</v>
      </c>
      <c r="H889" s="21" t="s">
        <v>94</v>
      </c>
      <c r="I889" s="31" t="s">
        <v>34</v>
      </c>
      <c r="N889" s="21" t="s">
        <v>965</v>
      </c>
      <c r="O889" s="21" t="s">
        <v>2107</v>
      </c>
      <c r="P889" s="21" t="s">
        <v>2245</v>
      </c>
      <c r="Q889" s="0" t="n">
        <v>0</v>
      </c>
      <c r="R889" s="0" t="n">
        <v>3</v>
      </c>
      <c r="S889" s="0" t="n">
        <v>2026</v>
      </c>
    </row>
    <row r="890" customFormat="false" ht="14.25" hidden="false" customHeight="false" outlineLevel="0" collapsed="false">
      <c r="A890" s="17" t="n">
        <v>46112</v>
      </c>
      <c r="B890" s="21" t="s">
        <v>2246</v>
      </c>
      <c r="C890" s="22" t="n">
        <v>240</v>
      </c>
      <c r="D890" s="31" t="s">
        <v>30</v>
      </c>
      <c r="E890" s="21" t="s">
        <v>2246</v>
      </c>
      <c r="F890" s="19" t="n">
        <v>554195433912</v>
      </c>
      <c r="G890" s="31" t="s">
        <v>2247</v>
      </c>
      <c r="H890" s="21" t="s">
        <v>94</v>
      </c>
      <c r="I890" s="31" t="s">
        <v>355</v>
      </c>
      <c r="J890" s="21" t="s">
        <v>97</v>
      </c>
      <c r="K890" s="21" t="s">
        <v>20</v>
      </c>
      <c r="L890" s="21" t="s">
        <v>469</v>
      </c>
      <c r="M890" s="21" t="s">
        <v>99</v>
      </c>
      <c r="N890" s="21" t="s">
        <v>965</v>
      </c>
      <c r="O890" s="21" t="s">
        <v>2088</v>
      </c>
      <c r="P890" s="21" t="s">
        <v>2089</v>
      </c>
      <c r="Q890" s="0" t="n">
        <v>8769800944</v>
      </c>
      <c r="R890" s="0" t="n">
        <v>3</v>
      </c>
      <c r="S890" s="0" t="n">
        <v>2026</v>
      </c>
    </row>
    <row r="891" customFormat="false" ht="14.25" hidden="false" customHeight="false" outlineLevel="0" collapsed="false">
      <c r="A891" s="17" t="n">
        <v>46112</v>
      </c>
      <c r="B891" s="21" t="s">
        <v>1888</v>
      </c>
      <c r="C891" s="22" t="n">
        <v>580</v>
      </c>
      <c r="D891" s="31" t="s">
        <v>30</v>
      </c>
      <c r="E891" s="21" t="s">
        <v>1888</v>
      </c>
      <c r="F891" s="19" t="n">
        <v>5595984028971</v>
      </c>
      <c r="G891" s="31" t="s">
        <v>2249</v>
      </c>
      <c r="H891" s="21" t="s">
        <v>94</v>
      </c>
      <c r="I891" s="31" t="s">
        <v>54</v>
      </c>
      <c r="N891" s="21" t="s">
        <v>1022</v>
      </c>
      <c r="O891" s="21" t="s">
        <v>2102</v>
      </c>
      <c r="P891" s="21" t="s">
        <v>2089</v>
      </c>
      <c r="Q891" s="0" t="n">
        <v>0</v>
      </c>
      <c r="R891" s="0" t="n">
        <v>3</v>
      </c>
      <c r="S891" s="0" t="n">
        <v>2026</v>
      </c>
    </row>
    <row r="892" customFormat="false" ht="14.25" hidden="false" customHeight="false" outlineLevel="0" collapsed="false">
      <c r="A892" s="17" t="n">
        <v>46112</v>
      </c>
      <c r="B892" s="21" t="s">
        <v>2251</v>
      </c>
      <c r="C892" s="22" t="n">
        <v>900</v>
      </c>
      <c r="D892" s="31" t="s">
        <v>106</v>
      </c>
      <c r="E892" s="21" t="s">
        <v>2251</v>
      </c>
      <c r="F892" s="19" t="n">
        <v>559584288624</v>
      </c>
      <c r="G892" s="31" t="s">
        <v>1468</v>
      </c>
      <c r="H892" s="21" t="s">
        <v>94</v>
      </c>
      <c r="I892" s="31" t="s">
        <v>355</v>
      </c>
      <c r="N892" s="21" t="s">
        <v>965</v>
      </c>
      <c r="O892" s="21" t="s">
        <v>2252</v>
      </c>
      <c r="P892" s="21" t="s">
        <v>2129</v>
      </c>
      <c r="Q892" s="0" t="n">
        <v>0</v>
      </c>
      <c r="R892" s="0" t="n">
        <v>3</v>
      </c>
      <c r="S892" s="0" t="n">
        <v>2026</v>
      </c>
    </row>
    <row r="893" customFormat="false" ht="14.25" hidden="false" customHeight="false" outlineLevel="0" collapsed="false">
      <c r="A893" s="17" t="n">
        <v>46112</v>
      </c>
      <c r="B893" s="21" t="s">
        <v>2254</v>
      </c>
      <c r="C893" s="22" t="n">
        <v>300</v>
      </c>
      <c r="D893" s="31" t="s">
        <v>106</v>
      </c>
      <c r="E893" s="21" t="s">
        <v>2255</v>
      </c>
      <c r="F893" s="19" t="n">
        <v>554185081260</v>
      </c>
      <c r="G893" s="31" t="s">
        <v>1468</v>
      </c>
      <c r="H893" s="21" t="s">
        <v>94</v>
      </c>
      <c r="I893" s="31" t="s">
        <v>355</v>
      </c>
      <c r="N893" s="21" t="s">
        <v>965</v>
      </c>
      <c r="O893" s="21" t="s">
        <v>2088</v>
      </c>
      <c r="P893" s="21" t="s">
        <v>2089</v>
      </c>
      <c r="Q893" s="0" t="n">
        <v>0</v>
      </c>
      <c r="R893" s="0" t="n">
        <v>3</v>
      </c>
      <c r="S893" s="0" t="n">
        <v>2026</v>
      </c>
    </row>
    <row r="894" customFormat="false" ht="14.25" hidden="false" customHeight="false" outlineLevel="0" collapsed="false">
      <c r="A894" s="17" t="n">
        <v>46112</v>
      </c>
      <c r="B894" s="21" t="s">
        <v>43</v>
      </c>
      <c r="C894" s="22" t="n">
        <v>-1</v>
      </c>
      <c r="D894" s="31" t="s">
        <v>24</v>
      </c>
      <c r="E894" s="21" t="s">
        <v>134</v>
      </c>
      <c r="F894" s="19" t="n">
        <v>554184708349</v>
      </c>
      <c r="G894" s="31" t="s">
        <v>136</v>
      </c>
      <c r="H894" s="21" t="s">
        <v>94</v>
      </c>
      <c r="I894" s="31" t="s">
        <v>54</v>
      </c>
      <c r="N894" s="21" t="s">
        <v>1022</v>
      </c>
      <c r="O894" s="21" t="s">
        <v>2159</v>
      </c>
      <c r="P894" s="21" t="s">
        <v>2089</v>
      </c>
      <c r="Q894" s="0" t="n">
        <v>-1</v>
      </c>
      <c r="R894" s="0" t="n">
        <v>3</v>
      </c>
      <c r="S894" s="0" t="n">
        <v>2026</v>
      </c>
    </row>
    <row r="895" customFormat="false" ht="14.25" hidden="false" customHeight="false" outlineLevel="0" collapsed="false">
      <c r="A895" s="17" t="n">
        <v>46112</v>
      </c>
      <c r="B895" s="21" t="s">
        <v>2258</v>
      </c>
      <c r="C895" s="22" t="n">
        <v>295</v>
      </c>
      <c r="D895" s="31" t="s">
        <v>390</v>
      </c>
      <c r="E895" s="21" t="s">
        <v>2259</v>
      </c>
      <c r="F895" s="19" t="n">
        <v>554888205225</v>
      </c>
      <c r="G895" s="31" t="s">
        <v>2260</v>
      </c>
      <c r="H895" s="21" t="s">
        <v>94</v>
      </c>
      <c r="I895" s="31" t="s">
        <v>50</v>
      </c>
      <c r="J895" s="21" t="s">
        <v>35</v>
      </c>
      <c r="K895" s="21" t="s">
        <v>69</v>
      </c>
      <c r="L895" s="21" t="s">
        <v>70</v>
      </c>
      <c r="M895" s="21" t="s">
        <v>38</v>
      </c>
      <c r="N895" s="21" t="s">
        <v>965</v>
      </c>
      <c r="O895" s="21" t="s">
        <v>2261</v>
      </c>
      <c r="P895" s="21" t="s">
        <v>2129</v>
      </c>
      <c r="Q895" s="0" t="n">
        <v>4798465968</v>
      </c>
      <c r="R895" s="0" t="n">
        <v>3</v>
      </c>
      <c r="S895" s="0" t="n">
        <v>2026</v>
      </c>
    </row>
    <row r="896" customFormat="false" ht="14.25" hidden="false" customHeight="false" outlineLevel="0" collapsed="false">
      <c r="A896" s="17" t="n">
        <v>46112</v>
      </c>
      <c r="B896" s="21" t="s">
        <v>2263</v>
      </c>
      <c r="C896" s="22" t="n">
        <v>147</v>
      </c>
      <c r="D896" s="31" t="s">
        <v>390</v>
      </c>
      <c r="E896" s="21" t="s">
        <v>2264</v>
      </c>
      <c r="F896" s="19" t="n">
        <v>554799009126</v>
      </c>
      <c r="G896" s="31" t="s">
        <v>2265</v>
      </c>
      <c r="H896" s="21" t="s">
        <v>94</v>
      </c>
      <c r="I896" s="31" t="s">
        <v>355</v>
      </c>
      <c r="N896" s="21" t="s">
        <v>965</v>
      </c>
      <c r="O896" s="21" t="s">
        <v>2107</v>
      </c>
      <c r="P896" s="21" t="s">
        <v>2129</v>
      </c>
      <c r="Q896" s="0" t="n">
        <v>11439813248</v>
      </c>
      <c r="R896" s="0" t="n">
        <v>3</v>
      </c>
      <c r="S896" s="0" t="n">
        <v>2026</v>
      </c>
    </row>
    <row r="897" customFormat="false" ht="14.25" hidden="false" customHeight="false" outlineLevel="0" collapsed="false">
      <c r="A897" s="17" t="n">
        <v>46076</v>
      </c>
      <c r="B897" s="21" t="s">
        <v>43</v>
      </c>
      <c r="C897" s="22" t="n">
        <v>314</v>
      </c>
      <c r="D897" s="31" t="s">
        <v>22</v>
      </c>
      <c r="E897" s="21" t="s">
        <v>2267</v>
      </c>
      <c r="F897" s="19" t="n">
        <v>554888213118</v>
      </c>
      <c r="G897" s="31" t="s">
        <v>2268</v>
      </c>
      <c r="H897" s="21" t="s">
        <v>94</v>
      </c>
      <c r="I897" s="31" t="s">
        <v>54</v>
      </c>
      <c r="N897" s="21" t="s">
        <v>965</v>
      </c>
      <c r="O897" s="21" t="s">
        <v>2107</v>
      </c>
      <c r="P897" s="21" t="s">
        <v>862</v>
      </c>
      <c r="Q897" s="0" t="n">
        <v>-1</v>
      </c>
      <c r="R897" s="0" t="n">
        <v>2</v>
      </c>
      <c r="S897" s="0" t="n">
        <v>2026</v>
      </c>
    </row>
    <row r="898" customFormat="false" ht="14.25" hidden="false" customHeight="false" outlineLevel="0" collapsed="false">
      <c r="A898" s="17" t="n">
        <v>46112</v>
      </c>
      <c r="B898" s="21" t="s">
        <v>2270</v>
      </c>
      <c r="C898" s="22" t="n">
        <v>120</v>
      </c>
      <c r="D898" s="31" t="s">
        <v>30</v>
      </c>
      <c r="E898" s="21" t="s">
        <v>2271</v>
      </c>
      <c r="F898" s="19" t="n">
        <v>559584107398</v>
      </c>
      <c r="G898" s="31" t="s">
        <v>2272</v>
      </c>
      <c r="H898" s="21" t="s">
        <v>94</v>
      </c>
      <c r="I898" s="31" t="s">
        <v>50</v>
      </c>
      <c r="J898" s="21" t="s">
        <v>35</v>
      </c>
      <c r="K898" s="21" t="s">
        <v>36</v>
      </c>
      <c r="L898" s="21" t="s">
        <v>37</v>
      </c>
      <c r="M898" s="21" t="s">
        <v>38</v>
      </c>
      <c r="N898" s="21" t="s">
        <v>965</v>
      </c>
      <c r="O898" s="21" t="s">
        <v>2107</v>
      </c>
      <c r="P898" s="21" t="s">
        <v>2135</v>
      </c>
      <c r="Q898" s="0" t="n">
        <v>11846626226</v>
      </c>
      <c r="R898" s="0" t="n">
        <v>3</v>
      </c>
      <c r="S898" s="0" t="n">
        <v>2026</v>
      </c>
    </row>
    <row r="899" customFormat="false" ht="14.25" hidden="false" customHeight="false" outlineLevel="0" collapsed="false">
      <c r="A899" s="17" t="n">
        <v>46112</v>
      </c>
      <c r="B899" s="21" t="s">
        <v>2274</v>
      </c>
      <c r="C899" s="22" t="n">
        <v>220</v>
      </c>
      <c r="D899" s="31" t="s">
        <v>30</v>
      </c>
      <c r="E899" s="21" t="s">
        <v>2274</v>
      </c>
      <c r="F899" s="19" t="n">
        <v>5519920004822</v>
      </c>
      <c r="G899" s="31" t="s">
        <v>2275</v>
      </c>
      <c r="H899" s="21" t="s">
        <v>94</v>
      </c>
      <c r="I899" s="31" t="s">
        <v>54</v>
      </c>
      <c r="N899" s="21" t="s">
        <v>1022</v>
      </c>
      <c r="O899" s="21" t="s">
        <v>2276</v>
      </c>
      <c r="P899" s="21" t="s">
        <v>2135</v>
      </c>
      <c r="Q899" s="0" t="n">
        <v>-1</v>
      </c>
      <c r="R899" s="0" t="n">
        <v>3</v>
      </c>
      <c r="S899" s="0" t="n">
        <v>2026</v>
      </c>
    </row>
    <row r="900" customFormat="false" ht="14.25" hidden="false" customHeight="false" outlineLevel="0" collapsed="false">
      <c r="A900" s="17" t="n">
        <v>46112</v>
      </c>
      <c r="B900" s="21" t="s">
        <v>2278</v>
      </c>
      <c r="C900" s="22" t="n">
        <v>200</v>
      </c>
      <c r="D900" s="31" t="s">
        <v>20</v>
      </c>
      <c r="E900" s="21" t="s">
        <v>2278</v>
      </c>
      <c r="F900" s="19" t="n">
        <v>5519920004822</v>
      </c>
      <c r="G900" s="31" t="s">
        <v>2275</v>
      </c>
      <c r="H900" s="21" t="s">
        <v>94</v>
      </c>
      <c r="I900" s="31" t="s">
        <v>54</v>
      </c>
      <c r="N900" s="21" t="s">
        <v>1022</v>
      </c>
      <c r="O900" s="21" t="s">
        <v>2276</v>
      </c>
      <c r="P900" s="21" t="s">
        <v>2135</v>
      </c>
      <c r="Q900" s="0" t="n">
        <v>-1</v>
      </c>
      <c r="R900" s="0" t="n">
        <v>3</v>
      </c>
      <c r="S900" s="0" t="n">
        <v>2026</v>
      </c>
    </row>
    <row r="901" customFormat="false" ht="14.25" hidden="false" customHeight="false" outlineLevel="0" collapsed="false">
      <c r="A901" s="17" t="n">
        <v>46112</v>
      </c>
      <c r="B901" s="21" t="s">
        <v>1652</v>
      </c>
      <c r="C901" s="22" t="n">
        <v>74</v>
      </c>
      <c r="D901" s="31" t="s">
        <v>18</v>
      </c>
      <c r="E901" s="21" t="s">
        <v>1652</v>
      </c>
      <c r="F901" s="19" t="n">
        <v>556281066019</v>
      </c>
      <c r="G901" s="31" t="s">
        <v>1653</v>
      </c>
      <c r="H901" s="21" t="s">
        <v>94</v>
      </c>
      <c r="I901" s="31" t="s">
        <v>54</v>
      </c>
      <c r="N901" s="21" t="s">
        <v>1022</v>
      </c>
      <c r="O901" s="21" t="s">
        <v>2280</v>
      </c>
      <c r="P901" s="21" t="s">
        <v>2281</v>
      </c>
      <c r="Q901" s="0" t="n">
        <v>-1</v>
      </c>
      <c r="R901" s="0" t="n">
        <v>3</v>
      </c>
      <c r="S901" s="0" t="n">
        <v>2026</v>
      </c>
    </row>
    <row r="902" customFormat="false" ht="14.25" hidden="false" customHeight="false" outlineLevel="0" collapsed="false">
      <c r="A902" s="17" t="n">
        <v>46112</v>
      </c>
      <c r="B902" s="21" t="s">
        <v>2283</v>
      </c>
      <c r="C902" s="22" t="n">
        <v>120</v>
      </c>
      <c r="D902" s="31" t="s">
        <v>30</v>
      </c>
      <c r="E902" s="21" t="s">
        <v>2284</v>
      </c>
      <c r="F902" s="19" t="n">
        <v>5513974230688</v>
      </c>
      <c r="G902" s="31" t="s">
        <v>2285</v>
      </c>
      <c r="H902" s="21" t="s">
        <v>94</v>
      </c>
      <c r="I902" s="31" t="s">
        <v>54</v>
      </c>
      <c r="N902" s="21" t="s">
        <v>965</v>
      </c>
      <c r="O902" s="21" t="s">
        <v>2135</v>
      </c>
      <c r="P902" s="21" t="s">
        <v>2135</v>
      </c>
      <c r="Q902" s="0" t="n">
        <v>-1</v>
      </c>
      <c r="R902" s="0" t="n">
        <v>3</v>
      </c>
      <c r="S902" s="0" t="n">
        <v>2026</v>
      </c>
    </row>
    <row r="903" customFormat="false" ht="14.25" hidden="false" customHeight="false" outlineLevel="0" collapsed="false">
      <c r="A903" s="17" t="n">
        <v>46113</v>
      </c>
      <c r="B903" s="21" t="s">
        <v>2287</v>
      </c>
      <c r="C903" s="22" t="n">
        <v>147</v>
      </c>
      <c r="D903" s="31" t="s">
        <v>21</v>
      </c>
      <c r="E903" s="21" t="s">
        <v>2007</v>
      </c>
      <c r="F903" s="19" t="n">
        <v>554797064604</v>
      </c>
      <c r="G903" s="31" t="s">
        <v>2008</v>
      </c>
      <c r="H903" s="21" t="s">
        <v>94</v>
      </c>
      <c r="I903" s="31" t="s">
        <v>34</v>
      </c>
      <c r="N903" s="21" t="s">
        <v>965</v>
      </c>
      <c r="O903" s="21" t="s">
        <v>2288</v>
      </c>
      <c r="P903" s="21" t="s">
        <v>2129</v>
      </c>
      <c r="R903" s="0" t="n">
        <v>4</v>
      </c>
      <c r="S903" s="0" t="n">
        <v>2026</v>
      </c>
    </row>
    <row r="904" customFormat="false" ht="14.25" hidden="false" customHeight="false" outlineLevel="0" collapsed="false">
      <c r="A904" s="17" t="n">
        <v>46113</v>
      </c>
      <c r="B904" s="21" t="s">
        <v>2290</v>
      </c>
      <c r="C904" s="22" t="n">
        <v>150</v>
      </c>
      <c r="D904" s="31" t="s">
        <v>32</v>
      </c>
      <c r="E904" s="21" t="s">
        <v>2291</v>
      </c>
      <c r="F904" s="19" t="n">
        <v>555496390051</v>
      </c>
      <c r="G904" s="31" t="s">
        <v>2292</v>
      </c>
      <c r="H904" s="21" t="s">
        <v>94</v>
      </c>
      <c r="I904" s="31" t="s">
        <v>355</v>
      </c>
      <c r="J904" s="21" t="s">
        <v>1176</v>
      </c>
      <c r="K904" s="21" t="s">
        <v>1177</v>
      </c>
      <c r="L904" s="21" t="s">
        <v>1324</v>
      </c>
      <c r="M904" s="21" t="s">
        <v>1243</v>
      </c>
      <c r="N904" s="21" t="s">
        <v>965</v>
      </c>
      <c r="O904" s="21" t="s">
        <v>2107</v>
      </c>
      <c r="P904" s="21" t="s">
        <v>862</v>
      </c>
      <c r="R904" s="0" t="n">
        <v>4</v>
      </c>
      <c r="S904" s="0" t="n">
        <v>2026</v>
      </c>
    </row>
    <row r="905" customFormat="false" ht="14.25" hidden="false" customHeight="false" outlineLevel="0" collapsed="false">
      <c r="A905" s="17" t="n">
        <v>46113</v>
      </c>
      <c r="B905" s="21" t="s">
        <v>2294</v>
      </c>
      <c r="C905" s="22" t="n">
        <v>147</v>
      </c>
      <c r="D905" s="31" t="s">
        <v>390</v>
      </c>
      <c r="E905" s="21" t="s">
        <v>2294</v>
      </c>
      <c r="F905" s="19" t="n">
        <v>554197159485</v>
      </c>
      <c r="G905" s="31" t="s">
        <v>2295</v>
      </c>
      <c r="H905" s="21" t="s">
        <v>94</v>
      </c>
      <c r="I905" s="31" t="s">
        <v>355</v>
      </c>
      <c r="N905" s="21" t="s">
        <v>965</v>
      </c>
      <c r="O905" s="21" t="s">
        <v>2128</v>
      </c>
      <c r="P905" s="21" t="s">
        <v>2129</v>
      </c>
      <c r="Q905" s="0" t="n">
        <v>11571517286</v>
      </c>
      <c r="R905" s="0" t="n">
        <v>4</v>
      </c>
      <c r="S905" s="0" t="n">
        <v>2026</v>
      </c>
    </row>
    <row r="906" customFormat="false" ht="14.25" hidden="false" customHeight="false" outlineLevel="0" collapsed="false">
      <c r="A906" s="17" t="n">
        <v>46113</v>
      </c>
      <c r="B906" s="21" t="s">
        <v>2297</v>
      </c>
      <c r="C906" s="22" t="n">
        <v>294</v>
      </c>
      <c r="D906" s="31" t="s">
        <v>22</v>
      </c>
      <c r="E906" s="21" t="s">
        <v>2298</v>
      </c>
      <c r="F906" s="19" t="n">
        <v>554184731481</v>
      </c>
      <c r="G906" s="31" t="s">
        <v>2299</v>
      </c>
      <c r="H906" s="21" t="s">
        <v>94</v>
      </c>
      <c r="I906" s="31" t="s">
        <v>50</v>
      </c>
      <c r="N906" s="21" t="s">
        <v>965</v>
      </c>
      <c r="O906" s="21" t="s">
        <v>2159</v>
      </c>
      <c r="P906" s="21" t="s">
        <v>2089</v>
      </c>
      <c r="R906" s="0" t="n">
        <v>4</v>
      </c>
      <c r="S906" s="0" t="n">
        <v>2026</v>
      </c>
    </row>
    <row r="907" customFormat="false" ht="14.25" hidden="false" customHeight="false" outlineLevel="0" collapsed="false">
      <c r="A907" s="17" t="n">
        <v>46113</v>
      </c>
      <c r="B907" s="21" t="s">
        <v>2301</v>
      </c>
      <c r="C907" s="22" t="n">
        <v>120</v>
      </c>
      <c r="D907" s="31" t="s">
        <v>30</v>
      </c>
      <c r="E907" s="21" t="s">
        <v>2302</v>
      </c>
      <c r="F907" s="19" t="n">
        <v>559584019799</v>
      </c>
      <c r="G907" s="31" t="s">
        <v>2303</v>
      </c>
      <c r="H907" s="21" t="s">
        <v>94</v>
      </c>
      <c r="I907" s="31" t="s">
        <v>34</v>
      </c>
      <c r="N907" s="21" t="s">
        <v>965</v>
      </c>
      <c r="O907" s="21" t="s">
        <v>2280</v>
      </c>
      <c r="P907" s="21" t="s">
        <v>2281</v>
      </c>
      <c r="R907" s="0" t="n">
        <v>4</v>
      </c>
      <c r="S907" s="0" t="n">
        <v>2026</v>
      </c>
    </row>
    <row r="908" customFormat="false" ht="14.25" hidden="false" customHeight="false" outlineLevel="0" collapsed="false">
      <c r="A908" s="17" t="n">
        <v>46113</v>
      </c>
      <c r="B908" s="21" t="s">
        <v>2305</v>
      </c>
      <c r="C908" s="22" t="n">
        <v>120</v>
      </c>
      <c r="D908" s="31" t="s">
        <v>30</v>
      </c>
      <c r="E908" s="21" t="s">
        <v>2305</v>
      </c>
      <c r="F908" s="19" t="n">
        <v>5519989545325</v>
      </c>
      <c r="G908" s="31" t="s">
        <v>2306</v>
      </c>
      <c r="H908" s="21" t="s">
        <v>94</v>
      </c>
      <c r="I908" s="31" t="s">
        <v>50</v>
      </c>
      <c r="N908" s="21" t="s">
        <v>965</v>
      </c>
      <c r="O908" s="21" t="s">
        <v>2276</v>
      </c>
      <c r="P908" s="21" t="s">
        <v>2135</v>
      </c>
      <c r="R908" s="0" t="n">
        <v>4</v>
      </c>
      <c r="S908" s="0" t="n">
        <v>2026</v>
      </c>
    </row>
    <row r="909" customFormat="false" ht="14.25" hidden="false" customHeight="false" outlineLevel="0" collapsed="false">
      <c r="A909" s="17" t="n">
        <v>46113</v>
      </c>
      <c r="B909" s="21" t="s">
        <v>2308</v>
      </c>
      <c r="C909" s="22" t="n">
        <v>300</v>
      </c>
      <c r="D909" s="31" t="s">
        <v>27</v>
      </c>
      <c r="E909" s="21" t="s">
        <v>2308</v>
      </c>
      <c r="F909" s="19" t="n">
        <v>5511940232561</v>
      </c>
      <c r="G909" s="31" t="s">
        <v>2309</v>
      </c>
      <c r="H909" s="21" t="s">
        <v>94</v>
      </c>
      <c r="I909" s="31" t="s">
        <v>355</v>
      </c>
      <c r="J909" s="21" t="s">
        <v>35</v>
      </c>
      <c r="K909" s="21" t="s">
        <v>36</v>
      </c>
      <c r="L909" s="21" t="s">
        <v>37</v>
      </c>
      <c r="M909" s="21" t="s">
        <v>38</v>
      </c>
      <c r="N909" s="21" t="s">
        <v>965</v>
      </c>
      <c r="O909" s="21" t="s">
        <v>2280</v>
      </c>
      <c r="P909" s="21" t="s">
        <v>2281</v>
      </c>
      <c r="R909" s="0" t="n">
        <v>4</v>
      </c>
      <c r="S909" s="0" t="n">
        <v>2026</v>
      </c>
    </row>
    <row r="910" customFormat="false" ht="14.25" hidden="false" customHeight="false" outlineLevel="0" collapsed="false">
      <c r="A910" s="17" t="n">
        <v>46113</v>
      </c>
      <c r="B910" s="21" t="s">
        <v>2311</v>
      </c>
      <c r="C910" s="22" t="n">
        <v>97</v>
      </c>
      <c r="D910" s="31" t="s">
        <v>20</v>
      </c>
      <c r="E910" s="21" t="s">
        <v>2311</v>
      </c>
      <c r="F910" s="19" t="n">
        <v>555496205451</v>
      </c>
      <c r="G910" s="31" t="s">
        <v>2312</v>
      </c>
      <c r="H910" s="21" t="s">
        <v>94</v>
      </c>
      <c r="I910" s="31" t="s">
        <v>355</v>
      </c>
      <c r="N910" s="21" t="s">
        <v>965</v>
      </c>
      <c r="O910" s="21" t="s">
        <v>2313</v>
      </c>
      <c r="P910" s="21" t="s">
        <v>2121</v>
      </c>
      <c r="Q910" s="0" t="n">
        <v>11475548206</v>
      </c>
      <c r="R910" s="0" t="n">
        <v>4</v>
      </c>
      <c r="S910" s="0" t="n">
        <v>2026</v>
      </c>
    </row>
    <row r="911" customFormat="false" ht="14.25" hidden="false" customHeight="false" outlineLevel="0" collapsed="false">
      <c r="A911" s="17" t="n">
        <v>46113</v>
      </c>
      <c r="B911" s="21" t="s">
        <v>1681</v>
      </c>
      <c r="C911" s="22" t="n">
        <v>150</v>
      </c>
      <c r="D911" s="31" t="s">
        <v>30</v>
      </c>
      <c r="E911" s="21" t="s">
        <v>1681</v>
      </c>
      <c r="F911" s="19" t="n">
        <v>5512981378624</v>
      </c>
      <c r="G911" s="31" t="s">
        <v>2315</v>
      </c>
      <c r="H911" s="21" t="s">
        <v>94</v>
      </c>
      <c r="I911" s="31" t="s">
        <v>54</v>
      </c>
      <c r="N911" s="21" t="s">
        <v>1022</v>
      </c>
      <c r="O911" s="21" t="s">
        <v>2280</v>
      </c>
      <c r="P911" s="21" t="s">
        <v>2281</v>
      </c>
      <c r="R911" s="0" t="n">
        <v>4</v>
      </c>
      <c r="S911" s="0" t="n">
        <v>2026</v>
      </c>
    </row>
    <row r="912" customFormat="false" ht="14.25" hidden="false" customHeight="false" outlineLevel="0" collapsed="false">
      <c r="A912" s="17" t="n">
        <v>46113</v>
      </c>
      <c r="B912" s="21" t="s">
        <v>2317</v>
      </c>
      <c r="C912" s="22" t="n">
        <v>500</v>
      </c>
      <c r="D912" s="31" t="s">
        <v>27</v>
      </c>
      <c r="E912" s="21" t="s">
        <v>2318</v>
      </c>
      <c r="F912" s="19" t="n">
        <v>5515998541153</v>
      </c>
      <c r="G912" s="31" t="s">
        <v>485</v>
      </c>
      <c r="H912" s="21" t="s">
        <v>94</v>
      </c>
      <c r="I912" s="31" t="s">
        <v>54</v>
      </c>
      <c r="N912" s="21" t="s">
        <v>1022</v>
      </c>
      <c r="O912" s="21" t="s">
        <v>2183</v>
      </c>
      <c r="P912" s="21" t="s">
        <v>2135</v>
      </c>
      <c r="R912" s="0" t="n">
        <v>4</v>
      </c>
      <c r="S912" s="0" t="n">
        <v>2026</v>
      </c>
    </row>
    <row r="913" customFormat="false" ht="14.25" hidden="false" customHeight="false" outlineLevel="0" collapsed="false">
      <c r="A913" s="17" t="n">
        <v>46113</v>
      </c>
      <c r="B913" s="21" t="s">
        <v>1074</v>
      </c>
      <c r="C913" s="22" t="n">
        <v>294</v>
      </c>
      <c r="D913" s="31" t="s">
        <v>390</v>
      </c>
      <c r="E913" s="21" t="s">
        <v>1074</v>
      </c>
      <c r="F913" s="19" t="n">
        <v>559591467720</v>
      </c>
      <c r="G913" s="31" t="n">
        <v>0</v>
      </c>
      <c r="H913" s="21" t="s">
        <v>94</v>
      </c>
      <c r="I913" s="31" t="s">
        <v>50</v>
      </c>
      <c r="J913" s="21" t="s">
        <v>60</v>
      </c>
      <c r="K913" s="21" t="s">
        <v>27</v>
      </c>
      <c r="L913" s="21" t="s">
        <v>365</v>
      </c>
      <c r="M913" s="21" t="s">
        <v>62</v>
      </c>
      <c r="N913" s="21" t="s">
        <v>965</v>
      </c>
      <c r="O913" s="21" t="s">
        <v>2107</v>
      </c>
      <c r="P913" s="21" t="s">
        <v>2320</v>
      </c>
      <c r="R913" s="0" t="n">
        <v>4</v>
      </c>
      <c r="S913" s="0" t="n">
        <v>2026</v>
      </c>
    </row>
    <row r="914" customFormat="false" ht="14.25" hidden="false" customHeight="false" outlineLevel="0" collapsed="false">
      <c r="A914" s="17" t="n">
        <v>46113</v>
      </c>
      <c r="B914" s="21" t="s">
        <v>1074</v>
      </c>
      <c r="C914" s="22" t="n">
        <v>120</v>
      </c>
      <c r="D914" s="31" t="s">
        <v>30</v>
      </c>
      <c r="E914" s="21" t="s">
        <v>1074</v>
      </c>
      <c r="F914" s="19" t="n">
        <v>559591467720</v>
      </c>
      <c r="G914" s="31" t="s">
        <v>2322</v>
      </c>
      <c r="H914" s="21" t="s">
        <v>94</v>
      </c>
      <c r="I914" s="31" t="s">
        <v>50</v>
      </c>
      <c r="N914" s="21" t="s">
        <v>965</v>
      </c>
      <c r="O914" s="21" t="s">
        <v>2107</v>
      </c>
      <c r="P914" s="21" t="s">
        <v>2281</v>
      </c>
      <c r="R914" s="0" t="n">
        <v>4</v>
      </c>
      <c r="S914" s="0" t="n">
        <v>2026</v>
      </c>
    </row>
    <row r="915" customFormat="false" ht="14.25" hidden="false" customHeight="false" outlineLevel="0" collapsed="false">
      <c r="A915" s="17" t="n">
        <v>46114</v>
      </c>
      <c r="B915" s="21" t="s">
        <v>2324</v>
      </c>
      <c r="C915" s="22" t="n">
        <v>150</v>
      </c>
      <c r="D915" s="31" t="s">
        <v>32</v>
      </c>
      <c r="E915" s="21" t="s">
        <v>2325</v>
      </c>
      <c r="F915" s="19" t="n">
        <v>556182201243</v>
      </c>
      <c r="G915" s="31" t="s">
        <v>2326</v>
      </c>
      <c r="H915" s="21" t="s">
        <v>94</v>
      </c>
      <c r="I915" s="31" t="s">
        <v>50</v>
      </c>
      <c r="J915" s="21" t="s">
        <v>35</v>
      </c>
      <c r="K915" s="21" t="s">
        <v>36</v>
      </c>
      <c r="L915" s="21" t="s">
        <v>37</v>
      </c>
      <c r="M915" s="21" t="s">
        <v>38</v>
      </c>
      <c r="N915" s="21" t="s">
        <v>965</v>
      </c>
      <c r="O915" s="21" t="s">
        <v>2107</v>
      </c>
      <c r="P915" s="21" t="s">
        <v>862</v>
      </c>
      <c r="R915" s="0" t="n">
        <v>4</v>
      </c>
      <c r="S915" s="0" t="n">
        <v>2026</v>
      </c>
    </row>
    <row r="916" customFormat="false" ht="14.25" hidden="false" customHeight="false" outlineLevel="0" collapsed="false">
      <c r="A916" s="17" t="n">
        <v>46113</v>
      </c>
      <c r="B916" s="21" t="s">
        <v>2328</v>
      </c>
      <c r="C916" s="22" t="n">
        <v>441</v>
      </c>
      <c r="D916" s="31" t="s">
        <v>32</v>
      </c>
      <c r="E916" s="21" t="s">
        <v>2329</v>
      </c>
      <c r="F916" s="19" t="n">
        <v>5354824405</v>
      </c>
      <c r="G916" s="31" t="s">
        <v>2330</v>
      </c>
      <c r="H916" s="21" t="s">
        <v>94</v>
      </c>
      <c r="I916" s="31" t="s">
        <v>34</v>
      </c>
      <c r="N916" s="21" t="s">
        <v>965</v>
      </c>
      <c r="O916" s="21" t="s">
        <v>2236</v>
      </c>
      <c r="P916" s="21" t="s">
        <v>2129</v>
      </c>
      <c r="R916" s="0" t="n">
        <v>4</v>
      </c>
      <c r="S916" s="0" t="n">
        <v>2026</v>
      </c>
    </row>
    <row r="917" customFormat="false" ht="14.25" hidden="false" customHeight="false" outlineLevel="0" collapsed="false">
      <c r="A917" s="17" t="n">
        <v>46113</v>
      </c>
      <c r="B917" s="21" t="s">
        <v>2332</v>
      </c>
      <c r="C917" s="22" t="n">
        <v>245</v>
      </c>
      <c r="D917" s="31" t="s">
        <v>2333</v>
      </c>
      <c r="E917" s="21" t="s">
        <v>2332</v>
      </c>
      <c r="F917" s="19" t="n">
        <v>5350748276</v>
      </c>
      <c r="G917" s="31" t="s">
        <v>2334</v>
      </c>
      <c r="H917" s="21" t="s">
        <v>94</v>
      </c>
      <c r="I917" s="31" t="s">
        <v>34</v>
      </c>
      <c r="J917" s="21" t="s">
        <v>35</v>
      </c>
      <c r="K917" s="21" t="s">
        <v>36</v>
      </c>
      <c r="L917" s="21" t="s">
        <v>37</v>
      </c>
      <c r="M917" s="21" t="s">
        <v>38</v>
      </c>
      <c r="N917" s="21" t="s">
        <v>965</v>
      </c>
      <c r="O917" s="21" t="s">
        <v>2107</v>
      </c>
      <c r="P917" s="21" t="s">
        <v>862</v>
      </c>
      <c r="R917" s="0" t="n">
        <v>4</v>
      </c>
      <c r="S917" s="0" t="n">
        <v>2026</v>
      </c>
    </row>
    <row r="918" customFormat="false" ht="14.25" hidden="false" customHeight="false" outlineLevel="0" collapsed="false">
      <c r="A918" s="17" t="n">
        <v>46113</v>
      </c>
      <c r="B918" s="21" t="s">
        <v>2336</v>
      </c>
      <c r="C918" s="22" t="n">
        <v>150</v>
      </c>
      <c r="D918" s="31" t="s">
        <v>32</v>
      </c>
      <c r="E918" s="21" t="s">
        <v>2336</v>
      </c>
      <c r="F918" s="19" t="n">
        <v>556481189667</v>
      </c>
      <c r="G918" s="31" t="s">
        <v>2337</v>
      </c>
      <c r="H918" s="21" t="s">
        <v>94</v>
      </c>
      <c r="I918" s="31" t="s">
        <v>355</v>
      </c>
      <c r="J918" s="21" t="s">
        <v>35</v>
      </c>
      <c r="K918" s="21" t="s">
        <v>36</v>
      </c>
      <c r="L918" s="21" t="s">
        <v>37</v>
      </c>
      <c r="M918" s="21" t="s">
        <v>38</v>
      </c>
      <c r="N918" s="21" t="s">
        <v>965</v>
      </c>
      <c r="O918" s="21" t="s">
        <v>2107</v>
      </c>
      <c r="P918" s="21" t="s">
        <v>862</v>
      </c>
      <c r="R918" s="0" t="n">
        <v>4</v>
      </c>
      <c r="S918" s="0" t="n">
        <v>2026</v>
      </c>
    </row>
    <row r="919" customFormat="false" ht="14.25" hidden="false" customHeight="false" outlineLevel="0" collapsed="false">
      <c r="A919" s="17" t="n">
        <v>46114</v>
      </c>
      <c r="B919" s="21" t="s">
        <v>2339</v>
      </c>
      <c r="C919" s="22" t="n">
        <v>120</v>
      </c>
      <c r="D919" s="31" t="s">
        <v>21</v>
      </c>
      <c r="E919" s="21" t="s">
        <v>2339</v>
      </c>
      <c r="F919" s="19" t="n">
        <v>559584371182</v>
      </c>
      <c r="G919" s="31" t="s">
        <v>43</v>
      </c>
      <c r="H919" s="21" t="s">
        <v>94</v>
      </c>
      <c r="I919" s="31" t="s">
        <v>54</v>
      </c>
      <c r="N919" s="21" t="s">
        <v>1022</v>
      </c>
      <c r="O919" s="21" t="s">
        <v>2236</v>
      </c>
      <c r="P919" s="21" t="s">
        <v>2129</v>
      </c>
      <c r="R919" s="0" t="n">
        <v>4</v>
      </c>
      <c r="S919" s="0" t="n">
        <v>2026</v>
      </c>
    </row>
    <row r="920" customFormat="false" ht="14.25" hidden="false" customHeight="false" outlineLevel="0" collapsed="false">
      <c r="A920" s="17" t="n">
        <v>46113</v>
      </c>
      <c r="B920" s="21" t="s">
        <v>2340</v>
      </c>
      <c r="C920" s="22" t="n">
        <v>200</v>
      </c>
      <c r="D920" s="31" t="s">
        <v>30</v>
      </c>
      <c r="E920" s="21" t="s">
        <v>1662</v>
      </c>
      <c r="F920" s="19" t="n">
        <v>553499432464</v>
      </c>
      <c r="G920" s="31" t="s">
        <v>1663</v>
      </c>
      <c r="H920" s="21" t="s">
        <v>94</v>
      </c>
      <c r="I920" s="31" t="s">
        <v>54</v>
      </c>
      <c r="N920" s="21" t="s">
        <v>1022</v>
      </c>
      <c r="O920" s="21" t="s">
        <v>2341</v>
      </c>
      <c r="P920" s="21" t="s">
        <v>2245</v>
      </c>
      <c r="R920" s="0" t="n">
        <v>4</v>
      </c>
      <c r="S920" s="0" t="n">
        <v>2026</v>
      </c>
    </row>
    <row r="921" customFormat="false" ht="14.25" hidden="false" customHeight="false" outlineLevel="0" collapsed="false">
      <c r="A921" s="17" t="n">
        <v>46114</v>
      </c>
      <c r="B921" s="21" t="s">
        <v>2343</v>
      </c>
      <c r="C921" s="22" t="n">
        <v>150</v>
      </c>
      <c r="D921" s="31" t="s">
        <v>32</v>
      </c>
      <c r="E921" s="21" t="s">
        <v>2343</v>
      </c>
      <c r="F921" s="19" t="n">
        <v>554792221708</v>
      </c>
      <c r="G921" s="31" t="s">
        <v>2344</v>
      </c>
      <c r="H921" s="21" t="s">
        <v>94</v>
      </c>
      <c r="I921" s="31" t="s">
        <v>34</v>
      </c>
      <c r="J921" s="21" t="s">
        <v>1176</v>
      </c>
      <c r="K921" s="21" t="s">
        <v>1177</v>
      </c>
      <c r="L921" s="21" t="s">
        <v>1178</v>
      </c>
      <c r="M921" s="21" t="s">
        <v>1179</v>
      </c>
      <c r="N921" s="21" t="s">
        <v>965</v>
      </c>
      <c r="O921" s="21" t="s">
        <v>2345</v>
      </c>
      <c r="P921" s="21" t="s">
        <v>2129</v>
      </c>
      <c r="R921" s="0" t="n">
        <v>4</v>
      </c>
      <c r="S921" s="0" t="n">
        <v>2026</v>
      </c>
    </row>
    <row r="922" customFormat="false" ht="14.25" hidden="false" customHeight="false" outlineLevel="0" collapsed="false">
      <c r="A922" s="17" t="n">
        <v>46113</v>
      </c>
      <c r="B922" s="21" t="s">
        <v>2347</v>
      </c>
      <c r="C922" s="22" t="n">
        <v>147</v>
      </c>
      <c r="D922" s="31" t="s">
        <v>22</v>
      </c>
      <c r="E922" s="21" t="s">
        <v>2348</v>
      </c>
      <c r="F922" s="19" t="n">
        <v>559492892477</v>
      </c>
      <c r="G922" s="31" t="s">
        <v>43</v>
      </c>
      <c r="H922" s="21" t="s">
        <v>94</v>
      </c>
      <c r="I922" s="31" t="s">
        <v>50</v>
      </c>
      <c r="J922" s="21" t="s">
        <v>35</v>
      </c>
      <c r="K922" s="21" t="s">
        <v>69</v>
      </c>
      <c r="L922" s="21" t="s">
        <v>70</v>
      </c>
      <c r="M922" s="21" t="s">
        <v>38</v>
      </c>
      <c r="N922" s="21" t="s">
        <v>965</v>
      </c>
      <c r="O922" s="21" t="s">
        <v>2349</v>
      </c>
      <c r="P922" s="21" t="s">
        <v>2350</v>
      </c>
      <c r="R922" s="0" t="n">
        <v>4</v>
      </c>
      <c r="S922" s="0" t="n">
        <v>2026</v>
      </c>
    </row>
    <row r="923" customFormat="false" ht="14.25" hidden="false" customHeight="false" outlineLevel="0" collapsed="false">
      <c r="A923" s="17" t="n">
        <v>46113</v>
      </c>
      <c r="B923" s="21" t="s">
        <v>1916</v>
      </c>
      <c r="C923" s="22" t="n">
        <v>147</v>
      </c>
      <c r="D923" s="31" t="s">
        <v>390</v>
      </c>
      <c r="E923" s="21" t="s">
        <v>1917</v>
      </c>
      <c r="F923" s="19" t="n">
        <v>559591162047</v>
      </c>
      <c r="G923" s="31" t="s">
        <v>1918</v>
      </c>
      <c r="H923" s="21" t="s">
        <v>94</v>
      </c>
      <c r="I923" s="31" t="s">
        <v>50</v>
      </c>
      <c r="J923" s="21" t="s">
        <v>35</v>
      </c>
      <c r="K923" s="21" t="s">
        <v>69</v>
      </c>
      <c r="L923" s="21" t="s">
        <v>70</v>
      </c>
      <c r="M923" s="21" t="s">
        <v>38</v>
      </c>
      <c r="N923" s="21" t="s">
        <v>965</v>
      </c>
      <c r="R923" s="0" t="n">
        <v>4</v>
      </c>
      <c r="S923" s="0" t="n">
        <v>2026</v>
      </c>
    </row>
    <row r="924" customFormat="false" ht="14.25" hidden="false" customHeight="false" outlineLevel="0" collapsed="false">
      <c r="A924" s="17" t="n">
        <v>46113</v>
      </c>
      <c r="B924" s="21" t="s">
        <v>418</v>
      </c>
      <c r="C924" s="22" t="n">
        <v>500</v>
      </c>
      <c r="D924" s="31" t="s">
        <v>27</v>
      </c>
      <c r="E924" s="21" t="s">
        <v>419</v>
      </c>
      <c r="F924" s="19" t="n">
        <v>554791936352</v>
      </c>
      <c r="G924" s="31" t="s">
        <v>420</v>
      </c>
      <c r="H924" s="21" t="s">
        <v>94</v>
      </c>
      <c r="I924" s="31" t="s">
        <v>34</v>
      </c>
      <c r="N924" s="21" t="s">
        <v>965</v>
      </c>
      <c r="R924" s="0" t="n">
        <v>4</v>
      </c>
      <c r="S924" s="0" t="n">
        <v>2026</v>
      </c>
    </row>
    <row r="925" customFormat="false" ht="14.25" hidden="false" customHeight="false" outlineLevel="0" collapsed="false">
      <c r="A925" s="17" t="n">
        <v>46114</v>
      </c>
      <c r="B925" s="21" t="s">
        <v>2352</v>
      </c>
      <c r="C925" s="22" t="n">
        <v>147</v>
      </c>
      <c r="D925" s="31" t="s">
        <v>18</v>
      </c>
      <c r="E925" s="21" t="s">
        <v>2353</v>
      </c>
      <c r="F925" s="19" t="n">
        <v>554185049202</v>
      </c>
      <c r="G925" s="31" t="s">
        <v>2354</v>
      </c>
      <c r="H925" s="21" t="s">
        <v>94</v>
      </c>
      <c r="I925" s="31" t="s">
        <v>355</v>
      </c>
      <c r="J925" s="21" t="s">
        <v>35</v>
      </c>
      <c r="K925" s="21" t="s">
        <v>69</v>
      </c>
      <c r="L925" s="21" t="s">
        <v>70</v>
      </c>
      <c r="M925" s="21" t="s">
        <v>38</v>
      </c>
      <c r="N925" s="21" t="s">
        <v>965</v>
      </c>
      <c r="O925" s="21" t="s">
        <v>2159</v>
      </c>
      <c r="P925" s="21" t="s">
        <v>2089</v>
      </c>
      <c r="R925" s="0" t="n">
        <v>4</v>
      </c>
      <c r="S925" s="0" t="n">
        <v>2026</v>
      </c>
    </row>
    <row r="926" customFormat="false" ht="14.25" hidden="false" customHeight="false" outlineLevel="0" collapsed="false">
      <c r="A926" s="17" t="n">
        <v>46114</v>
      </c>
      <c r="B926" s="21" t="s">
        <v>2356</v>
      </c>
      <c r="C926" s="22" t="n">
        <v>240</v>
      </c>
      <c r="D926" s="31" t="s">
        <v>21</v>
      </c>
      <c r="E926" s="21" t="s">
        <v>2357</v>
      </c>
      <c r="F926" s="19" t="n">
        <v>5548999792387</v>
      </c>
      <c r="G926" s="31" t="s">
        <v>2358</v>
      </c>
      <c r="H926" s="21" t="s">
        <v>94</v>
      </c>
      <c r="I926" s="31" t="s">
        <v>355</v>
      </c>
      <c r="N926" s="21" t="s">
        <v>965</v>
      </c>
      <c r="O926" s="21" t="s">
        <v>2128</v>
      </c>
      <c r="P926" s="21" t="s">
        <v>2129</v>
      </c>
      <c r="R926" s="0" t="n">
        <v>4</v>
      </c>
      <c r="S926" s="0" t="n">
        <v>2026</v>
      </c>
    </row>
    <row r="927" customFormat="false" ht="14.25" hidden="false" customHeight="false" outlineLevel="0" collapsed="false">
      <c r="A927" s="17" t="n">
        <v>46114</v>
      </c>
      <c r="B927" s="21" t="s">
        <v>2360</v>
      </c>
      <c r="C927" s="22" t="n">
        <v>194</v>
      </c>
      <c r="D927" s="31" t="s">
        <v>20</v>
      </c>
      <c r="E927" s="21" t="s">
        <v>2360</v>
      </c>
      <c r="F927" s="19" t="n">
        <v>5358091217</v>
      </c>
      <c r="G927" s="31" t="s">
        <v>2361</v>
      </c>
      <c r="H927" s="21" t="s">
        <v>94</v>
      </c>
      <c r="I927" s="31" t="s">
        <v>355</v>
      </c>
      <c r="N927" s="21" t="s">
        <v>965</v>
      </c>
      <c r="O927" s="21" t="s">
        <v>2107</v>
      </c>
      <c r="P927" s="21" t="s">
        <v>2129</v>
      </c>
      <c r="R927" s="0" t="n">
        <v>4</v>
      </c>
      <c r="S927" s="0" t="n">
        <v>2026</v>
      </c>
    </row>
    <row r="928" customFormat="false" ht="14.25" hidden="false" customHeight="false" outlineLevel="0" collapsed="false">
      <c r="A928" s="17" t="n">
        <v>46114</v>
      </c>
      <c r="B928" s="21" t="s">
        <v>2360</v>
      </c>
      <c r="C928" s="22" t="n">
        <v>360</v>
      </c>
      <c r="D928" s="31" t="s">
        <v>30</v>
      </c>
      <c r="E928" s="21" t="s">
        <v>2360</v>
      </c>
      <c r="F928" s="19" t="n">
        <v>5358091217</v>
      </c>
      <c r="G928" s="31" t="s">
        <v>2361</v>
      </c>
      <c r="H928" s="21" t="s">
        <v>94</v>
      </c>
      <c r="I928" s="31" t="s">
        <v>355</v>
      </c>
      <c r="J928" s="21" t="s">
        <v>35</v>
      </c>
      <c r="K928" s="21" t="s">
        <v>272</v>
      </c>
      <c r="L928" s="21" t="s">
        <v>273</v>
      </c>
      <c r="M928" s="21" t="s">
        <v>38</v>
      </c>
      <c r="N928" s="21" t="s">
        <v>965</v>
      </c>
      <c r="O928" s="21" t="s">
        <v>2107</v>
      </c>
      <c r="P928" s="21" t="s">
        <v>2129</v>
      </c>
      <c r="R928" s="0" t="n">
        <v>4</v>
      </c>
      <c r="S928" s="0" t="n">
        <v>2026</v>
      </c>
    </row>
    <row r="929" customFormat="false" ht="14.25" hidden="false" customHeight="false" outlineLevel="0" collapsed="false">
      <c r="A929" s="17" t="n">
        <v>46114</v>
      </c>
      <c r="B929" s="21" t="s">
        <v>602</v>
      </c>
      <c r="C929" s="22" t="n">
        <v>150</v>
      </c>
      <c r="D929" s="31" t="s">
        <v>29</v>
      </c>
      <c r="E929" s="21" t="s">
        <v>602</v>
      </c>
      <c r="F929" s="19" t="n">
        <v>5354714239</v>
      </c>
      <c r="G929" s="31" t="s">
        <v>603</v>
      </c>
      <c r="H929" s="21" t="s">
        <v>94</v>
      </c>
      <c r="I929" s="31" t="s">
        <v>54</v>
      </c>
      <c r="N929" s="21" t="s">
        <v>1022</v>
      </c>
      <c r="O929" s="21" t="s">
        <v>2159</v>
      </c>
      <c r="P929" s="21" t="s">
        <v>2089</v>
      </c>
      <c r="R929" s="0" t="n">
        <v>4</v>
      </c>
      <c r="S929" s="0" t="n">
        <v>2026</v>
      </c>
    </row>
    <row r="930" customFormat="false" ht="14.25" hidden="false" customHeight="false" outlineLevel="0" collapsed="false">
      <c r="A930" s="17" t="n">
        <v>46115</v>
      </c>
      <c r="B930" s="21" t="s">
        <v>2365</v>
      </c>
      <c r="C930" s="22" t="n">
        <v>97</v>
      </c>
      <c r="D930" s="31" t="s">
        <v>20</v>
      </c>
      <c r="E930" s="21" t="s">
        <v>2365</v>
      </c>
      <c r="F930" s="19" t="n">
        <v>554891223863</v>
      </c>
      <c r="G930" s="31" t="s">
        <v>2366</v>
      </c>
      <c r="H930" s="21" t="s">
        <v>94</v>
      </c>
      <c r="I930" s="31" t="s">
        <v>355</v>
      </c>
      <c r="J930" s="21" t="s">
        <v>1176</v>
      </c>
      <c r="K930" s="21" t="s">
        <v>1955</v>
      </c>
      <c r="L930" s="21" t="s">
        <v>1956</v>
      </c>
      <c r="M930" s="21" t="s">
        <v>1179</v>
      </c>
      <c r="N930" s="21" t="s">
        <v>965</v>
      </c>
      <c r="O930" s="21" t="s">
        <v>2367</v>
      </c>
      <c r="P930" s="21" t="s">
        <v>2129</v>
      </c>
      <c r="R930" s="0" t="n">
        <v>4</v>
      </c>
      <c r="S930" s="0" t="n">
        <v>2026</v>
      </c>
    </row>
    <row r="931" customFormat="false" ht="14.25" hidden="false" customHeight="false" outlineLevel="0" collapsed="false">
      <c r="A931" s="17" t="n">
        <v>46115</v>
      </c>
      <c r="B931" s="21" t="s">
        <v>1971</v>
      </c>
      <c r="C931" s="22" t="n">
        <v>585</v>
      </c>
      <c r="D931" s="31" t="s">
        <v>22</v>
      </c>
      <c r="E931" s="21" t="s">
        <v>2369</v>
      </c>
      <c r="F931" s="19" t="n">
        <v>59895930973</v>
      </c>
      <c r="G931" s="31" t="s">
        <v>2370</v>
      </c>
      <c r="H931" s="21" t="s">
        <v>94</v>
      </c>
      <c r="I931" s="31" t="s">
        <v>34</v>
      </c>
      <c r="N931" s="21" t="s">
        <v>965</v>
      </c>
      <c r="O931" s="21" t="s">
        <v>2236</v>
      </c>
      <c r="P931" s="21" t="s">
        <v>2129</v>
      </c>
      <c r="R931" s="0" t="n">
        <v>4</v>
      </c>
      <c r="S931" s="0" t="n">
        <v>2026</v>
      </c>
    </row>
    <row r="932" customFormat="false" ht="14.25" hidden="false" customHeight="false" outlineLevel="0" collapsed="false">
      <c r="A932" s="17" t="n">
        <v>46114</v>
      </c>
      <c r="B932" s="21" t="s">
        <v>2372</v>
      </c>
      <c r="C932" s="22" t="n">
        <v>97</v>
      </c>
      <c r="D932" s="31" t="s">
        <v>20</v>
      </c>
      <c r="E932" s="21" t="s">
        <v>2373</v>
      </c>
      <c r="F932" s="19" t="n">
        <v>554699784263</v>
      </c>
      <c r="G932" s="31" t="s">
        <v>2374</v>
      </c>
      <c r="H932" s="21" t="s">
        <v>94</v>
      </c>
      <c r="I932" s="31" t="s">
        <v>355</v>
      </c>
      <c r="N932" s="21" t="s">
        <v>965</v>
      </c>
      <c r="O932" s="21" t="s">
        <v>2107</v>
      </c>
      <c r="P932" s="21" t="s">
        <v>2089</v>
      </c>
      <c r="R932" s="0" t="n">
        <v>4</v>
      </c>
      <c r="S932" s="0" t="n">
        <v>2026</v>
      </c>
    </row>
    <row r="933" customFormat="false" ht="14.25" hidden="false" customHeight="false" outlineLevel="0" collapsed="false">
      <c r="A933" s="17" t="n">
        <v>46115</v>
      </c>
      <c r="B933" s="21" t="s">
        <v>945</v>
      </c>
      <c r="C933" s="22" t="n">
        <v>147</v>
      </c>
      <c r="D933" s="31" t="s">
        <v>390</v>
      </c>
      <c r="E933" s="21" t="s">
        <v>945</v>
      </c>
      <c r="F933" s="19" t="n">
        <v>554197483195</v>
      </c>
      <c r="G933" s="31" t="s">
        <v>2376</v>
      </c>
      <c r="H933" s="21" t="s">
        <v>94</v>
      </c>
      <c r="I933" s="31" t="s">
        <v>54</v>
      </c>
      <c r="N933" s="21" t="s">
        <v>1022</v>
      </c>
      <c r="O933" s="21" t="s">
        <v>2159</v>
      </c>
      <c r="P933" s="21" t="s">
        <v>2089</v>
      </c>
      <c r="R933" s="0" t="n">
        <v>4</v>
      </c>
      <c r="S933" s="0" t="n">
        <v>2026</v>
      </c>
    </row>
    <row r="934" customFormat="false" ht="14.25" hidden="false" customHeight="false" outlineLevel="0" collapsed="false">
      <c r="A934" s="17" t="n">
        <v>46115</v>
      </c>
      <c r="B934" s="21" t="s">
        <v>1971</v>
      </c>
      <c r="C934" s="22" t="n">
        <v>585</v>
      </c>
      <c r="D934" s="31" t="s">
        <v>21</v>
      </c>
      <c r="E934" s="21" t="s">
        <v>2369</v>
      </c>
      <c r="F934" s="19" t="n">
        <v>59895930973</v>
      </c>
      <c r="G934" s="31" t="s">
        <v>2370</v>
      </c>
      <c r="H934" s="21" t="s">
        <v>94</v>
      </c>
      <c r="I934" s="31" t="s">
        <v>34</v>
      </c>
      <c r="N934" s="21" t="s">
        <v>965</v>
      </c>
      <c r="O934" s="21" t="s">
        <v>2236</v>
      </c>
      <c r="P934" s="21" t="s">
        <v>2129</v>
      </c>
      <c r="R934" s="0" t="n">
        <v>4</v>
      </c>
      <c r="S934" s="0" t="n">
        <v>2026</v>
      </c>
    </row>
    <row r="935" customFormat="false" ht="14.25" hidden="false" customHeight="false" outlineLevel="0" collapsed="false">
      <c r="A935" s="17" t="n">
        <v>46115</v>
      </c>
      <c r="B935" s="21" t="s">
        <v>2379</v>
      </c>
      <c r="C935" s="22" t="n">
        <v>420</v>
      </c>
      <c r="D935" s="31" t="s">
        <v>30</v>
      </c>
      <c r="E935" s="21" t="s">
        <v>2380</v>
      </c>
      <c r="F935" s="19" t="n">
        <v>554884510279</v>
      </c>
      <c r="G935" s="31" t="s">
        <v>2381</v>
      </c>
      <c r="H935" s="21" t="s">
        <v>94</v>
      </c>
      <c r="I935" s="31" t="s">
        <v>34</v>
      </c>
      <c r="J935" s="21" t="s">
        <v>35</v>
      </c>
      <c r="K935" s="21" t="s">
        <v>69</v>
      </c>
      <c r="L935" s="21" t="s">
        <v>70</v>
      </c>
      <c r="M935" s="21" t="s">
        <v>38</v>
      </c>
      <c r="N935" s="21" t="s">
        <v>965</v>
      </c>
      <c r="O935" s="21" t="s">
        <v>2142</v>
      </c>
      <c r="P935" s="21" t="s">
        <v>2129</v>
      </c>
      <c r="R935" s="0" t="n">
        <v>4</v>
      </c>
      <c r="S935" s="0" t="n">
        <v>2026</v>
      </c>
    </row>
    <row r="936" customFormat="false" ht="14.25" hidden="false" customHeight="false" outlineLevel="0" collapsed="false">
      <c r="A936" s="17" t="n">
        <v>46115</v>
      </c>
      <c r="B936" s="21" t="s">
        <v>798</v>
      </c>
      <c r="C936" s="22" t="n">
        <v>194</v>
      </c>
      <c r="D936" s="31" t="s">
        <v>20</v>
      </c>
      <c r="E936" s="21" t="s">
        <v>799</v>
      </c>
      <c r="F936" s="19" t="n">
        <v>559584121787</v>
      </c>
      <c r="G936" s="31" t="s">
        <v>800</v>
      </c>
      <c r="H936" s="21" t="s">
        <v>94</v>
      </c>
      <c r="I936" s="31" t="s">
        <v>54</v>
      </c>
      <c r="N936" s="21" t="s">
        <v>1022</v>
      </c>
      <c r="O936" s="21" t="s">
        <v>2159</v>
      </c>
      <c r="P936" s="21" t="s">
        <v>2089</v>
      </c>
      <c r="R936" s="0" t="n">
        <v>4</v>
      </c>
      <c r="S936" s="0" t="n">
        <v>2026</v>
      </c>
    </row>
    <row r="937" customFormat="false" ht="14.25" hidden="false" customHeight="false" outlineLevel="0" collapsed="false">
      <c r="A937" s="17" t="n">
        <v>46115</v>
      </c>
      <c r="B937" s="21" t="s">
        <v>798</v>
      </c>
      <c r="C937" s="22" t="n">
        <v>120</v>
      </c>
      <c r="D937" s="31" t="s">
        <v>862</v>
      </c>
      <c r="E937" s="21" t="s">
        <v>799</v>
      </c>
      <c r="F937" s="19" t="n">
        <v>559584121787</v>
      </c>
      <c r="G937" s="31" t="s">
        <v>800</v>
      </c>
      <c r="H937" s="21" t="s">
        <v>94</v>
      </c>
      <c r="I937" s="31" t="s">
        <v>54</v>
      </c>
      <c r="N937" s="21" t="s">
        <v>1022</v>
      </c>
      <c r="O937" s="21" t="s">
        <v>2159</v>
      </c>
      <c r="P937" s="21" t="s">
        <v>2089</v>
      </c>
      <c r="R937" s="0" t="n">
        <v>4</v>
      </c>
      <c r="S937" s="0" t="n">
        <v>2026</v>
      </c>
    </row>
    <row r="938" customFormat="false" ht="14.25" hidden="false" customHeight="false" outlineLevel="0" collapsed="false">
      <c r="A938" s="17" t="n">
        <v>46115</v>
      </c>
      <c r="B938" s="21" t="s">
        <v>2385</v>
      </c>
      <c r="C938" s="22" t="n">
        <v>700</v>
      </c>
      <c r="D938" s="31" t="s">
        <v>23</v>
      </c>
      <c r="E938" s="21" t="s">
        <v>2386</v>
      </c>
      <c r="F938" s="19" t="n">
        <v>554899074401</v>
      </c>
      <c r="G938" s="31" t="s">
        <v>519</v>
      </c>
      <c r="H938" s="21" t="s">
        <v>94</v>
      </c>
      <c r="I938" s="31" t="s">
        <v>34</v>
      </c>
      <c r="N938" s="21" t="s">
        <v>965</v>
      </c>
      <c r="O938" s="21" t="s">
        <v>2128</v>
      </c>
      <c r="P938" s="21" t="s">
        <v>2129</v>
      </c>
      <c r="R938" s="0" t="n">
        <v>4</v>
      </c>
      <c r="S938" s="0" t="n">
        <v>2026</v>
      </c>
    </row>
    <row r="939" customFormat="false" ht="14.25" hidden="false" customHeight="false" outlineLevel="0" collapsed="false">
      <c r="A939" s="17" t="n">
        <v>46115</v>
      </c>
      <c r="B939" s="21" t="s">
        <v>2388</v>
      </c>
      <c r="C939" s="22" t="n">
        <v>150</v>
      </c>
      <c r="D939" s="31" t="s">
        <v>18</v>
      </c>
      <c r="E939" s="21" t="s">
        <v>2388</v>
      </c>
      <c r="F939" s="19" t="n">
        <v>5547933811978</v>
      </c>
      <c r="G939" s="31" t="s">
        <v>2389</v>
      </c>
      <c r="H939" s="21" t="s">
        <v>94</v>
      </c>
      <c r="I939" s="31" t="s">
        <v>50</v>
      </c>
      <c r="N939" s="21" t="s">
        <v>965</v>
      </c>
      <c r="O939" s="21" t="s">
        <v>2236</v>
      </c>
      <c r="P939" s="21" t="s">
        <v>2129</v>
      </c>
      <c r="R939" s="0" t="n">
        <v>4</v>
      </c>
      <c r="S939" s="0" t="n">
        <v>2026</v>
      </c>
    </row>
    <row r="940" customFormat="false" ht="14.25" hidden="false" customHeight="false" outlineLevel="0" collapsed="false">
      <c r="A940" s="17" t="n">
        <v>46115</v>
      </c>
      <c r="B940" s="21" t="s">
        <v>2258</v>
      </c>
      <c r="C940" s="22" t="n">
        <v>240</v>
      </c>
      <c r="D940" s="31" t="s">
        <v>21</v>
      </c>
      <c r="E940" s="21" t="s">
        <v>2391</v>
      </c>
      <c r="F940" s="19" t="n">
        <v>554888205225</v>
      </c>
      <c r="G940" s="31" t="s">
        <v>2392</v>
      </c>
      <c r="H940" s="21" t="s">
        <v>94</v>
      </c>
      <c r="I940" s="31" t="s">
        <v>54</v>
      </c>
      <c r="N940" s="21" t="s">
        <v>1022</v>
      </c>
      <c r="O940" s="21" t="s">
        <v>2261</v>
      </c>
      <c r="P940" s="21" t="s">
        <v>2129</v>
      </c>
      <c r="R940" s="0" t="n">
        <v>4</v>
      </c>
      <c r="S940" s="0" t="n">
        <v>2026</v>
      </c>
    </row>
    <row r="941" customFormat="false" ht="14.25" hidden="false" customHeight="false" outlineLevel="0" collapsed="false">
      <c r="A941" s="17" t="n">
        <v>46116</v>
      </c>
      <c r="B941" s="21" t="s">
        <v>1466</v>
      </c>
      <c r="C941" s="22" t="n">
        <v>147</v>
      </c>
      <c r="D941" s="31" t="s">
        <v>18</v>
      </c>
      <c r="E941" s="21" t="s">
        <v>1466</v>
      </c>
      <c r="F941" s="19" t="n">
        <v>554187292927</v>
      </c>
      <c r="G941" s="31" t="s">
        <v>2057</v>
      </c>
      <c r="H941" s="21" t="s">
        <v>94</v>
      </c>
      <c r="I941" s="31" t="s">
        <v>54</v>
      </c>
      <c r="N941" s="21" t="s">
        <v>1022</v>
      </c>
      <c r="O941" s="21" t="s">
        <v>2394</v>
      </c>
      <c r="P941" s="21" t="s">
        <v>2089</v>
      </c>
      <c r="R941" s="0" t="n">
        <v>4</v>
      </c>
      <c r="S941" s="0" t="n">
        <v>2026</v>
      </c>
    </row>
    <row r="942" customFormat="false" ht="14.25" hidden="false" customHeight="false" outlineLevel="0" collapsed="false">
      <c r="A942" s="17" t="n">
        <v>46115</v>
      </c>
      <c r="B942" s="21" t="s">
        <v>2396</v>
      </c>
      <c r="C942" s="22" t="n">
        <v>150</v>
      </c>
      <c r="D942" s="31" t="s">
        <v>30</v>
      </c>
      <c r="E942" s="21" t="s">
        <v>2396</v>
      </c>
      <c r="F942" s="19" t="n">
        <v>559584019185</v>
      </c>
      <c r="G942" s="31" t="s">
        <v>43</v>
      </c>
      <c r="H942" s="21" t="s">
        <v>94</v>
      </c>
      <c r="I942" s="31" t="s">
        <v>355</v>
      </c>
      <c r="N942" s="21" t="s">
        <v>965</v>
      </c>
      <c r="O942" s="21" t="s">
        <v>2226</v>
      </c>
      <c r="P942" s="21" t="s">
        <v>2397</v>
      </c>
      <c r="R942" s="0" t="n">
        <v>4</v>
      </c>
      <c r="S942" s="0" t="n">
        <v>2026</v>
      </c>
    </row>
    <row r="943" customFormat="false" ht="14.25" hidden="false" customHeight="false" outlineLevel="0" collapsed="false">
      <c r="A943" s="17" t="n">
        <v>46116</v>
      </c>
      <c r="B943" s="21" t="s">
        <v>2399</v>
      </c>
      <c r="C943" s="22" t="n">
        <v>150</v>
      </c>
      <c r="D943" s="31" t="s">
        <v>32</v>
      </c>
      <c r="E943" s="21" t="s">
        <v>2399</v>
      </c>
      <c r="F943" s="19" t="n">
        <v>5511948563300</v>
      </c>
      <c r="G943" s="31" t="s">
        <v>519</v>
      </c>
      <c r="H943" s="21" t="s">
        <v>94</v>
      </c>
      <c r="I943" s="31" t="s">
        <v>34</v>
      </c>
      <c r="N943" s="21" t="s">
        <v>965</v>
      </c>
      <c r="O943" s="21" t="s">
        <v>2135</v>
      </c>
      <c r="P943" s="21" t="s">
        <v>2135</v>
      </c>
      <c r="R943" s="0" t="n">
        <v>4</v>
      </c>
      <c r="S943" s="0" t="n">
        <v>2026</v>
      </c>
    </row>
    <row r="944" customFormat="false" ht="14.25" hidden="false" customHeight="false" outlineLevel="0" collapsed="false">
      <c r="A944" s="17" t="n">
        <v>46114</v>
      </c>
      <c r="B944" s="21" t="s">
        <v>2401</v>
      </c>
      <c r="C944" s="22" t="n">
        <v>600</v>
      </c>
      <c r="D944" s="31" t="s">
        <v>106</v>
      </c>
      <c r="E944" s="21" t="s">
        <v>2401</v>
      </c>
      <c r="F944" s="19" t="n">
        <v>5595984025752</v>
      </c>
      <c r="G944" s="31" t="s">
        <v>2402</v>
      </c>
      <c r="H944" s="21" t="s">
        <v>94</v>
      </c>
      <c r="I944" s="31" t="s">
        <v>50</v>
      </c>
      <c r="J944" s="21" t="s">
        <v>35</v>
      </c>
      <c r="K944" s="21" t="s">
        <v>36</v>
      </c>
      <c r="L944" s="21" t="s">
        <v>37</v>
      </c>
      <c r="M944" s="21" t="s">
        <v>38</v>
      </c>
      <c r="N944" s="21" t="s">
        <v>965</v>
      </c>
      <c r="O944" s="21" t="s">
        <v>2403</v>
      </c>
      <c r="P944" s="21" t="s">
        <v>2135</v>
      </c>
      <c r="R944" s="0" t="n">
        <v>4</v>
      </c>
      <c r="S944" s="0" t="n">
        <v>2026</v>
      </c>
    </row>
    <row r="945" customFormat="false" ht="14.25" hidden="false" customHeight="false" outlineLevel="0" collapsed="false">
      <c r="A945" s="17" t="n">
        <v>46115</v>
      </c>
      <c r="B945" s="21" t="s">
        <v>135</v>
      </c>
      <c r="C945" s="22" t="n">
        <v>300</v>
      </c>
      <c r="D945" s="31" t="s">
        <v>24</v>
      </c>
      <c r="E945" s="21" t="s">
        <v>135</v>
      </c>
      <c r="F945" s="19" t="n">
        <v>554184708349</v>
      </c>
      <c r="G945" s="31" t="s">
        <v>136</v>
      </c>
      <c r="H945" s="21" t="s">
        <v>94</v>
      </c>
      <c r="I945" s="31" t="s">
        <v>54</v>
      </c>
      <c r="N945" s="21" t="s">
        <v>1022</v>
      </c>
      <c r="O945" s="21" t="s">
        <v>2159</v>
      </c>
      <c r="P945" s="21" t="s">
        <v>2089</v>
      </c>
      <c r="R945" s="0" t="n">
        <v>4</v>
      </c>
      <c r="S945" s="0" t="n">
        <v>2026</v>
      </c>
    </row>
    <row r="946" customFormat="false" ht="14.25" hidden="false" customHeight="false" outlineLevel="0" collapsed="false">
      <c r="A946" s="17" t="n">
        <v>46115</v>
      </c>
      <c r="B946" s="21" t="s">
        <v>2406</v>
      </c>
      <c r="C946" s="22" t="n">
        <v>97</v>
      </c>
      <c r="D946" s="31" t="s">
        <v>20</v>
      </c>
      <c r="E946" s="21" t="s">
        <v>2406</v>
      </c>
      <c r="F946" s="19" t="n">
        <v>554188277050</v>
      </c>
      <c r="G946" s="31" t="s">
        <v>2407</v>
      </c>
      <c r="H946" s="21" t="s">
        <v>94</v>
      </c>
      <c r="I946" s="31" t="s">
        <v>50</v>
      </c>
      <c r="N946" s="21" t="s">
        <v>965</v>
      </c>
      <c r="O946" s="21" t="s">
        <v>2159</v>
      </c>
      <c r="P946" s="21" t="s">
        <v>2089</v>
      </c>
      <c r="R946" s="0" t="n">
        <v>4</v>
      </c>
      <c r="S946" s="0" t="n">
        <v>2026</v>
      </c>
    </row>
    <row r="947" customFormat="false" ht="14.25" hidden="false" customHeight="false" outlineLevel="0" collapsed="false">
      <c r="A947" s="17" t="n">
        <v>46116</v>
      </c>
      <c r="B947" s="21" t="s">
        <v>2409</v>
      </c>
      <c r="C947" s="22" t="n">
        <v>120</v>
      </c>
      <c r="D947" s="31" t="s">
        <v>23</v>
      </c>
      <c r="E947" s="21" t="s">
        <v>2409</v>
      </c>
      <c r="F947" s="19" t="n">
        <v>554198534399</v>
      </c>
      <c r="G947" s="31" t="s">
        <v>2410</v>
      </c>
      <c r="H947" s="21" t="s">
        <v>94</v>
      </c>
      <c r="I947" s="31" t="s">
        <v>34</v>
      </c>
      <c r="N947" s="21" t="s">
        <v>965</v>
      </c>
      <c r="O947" s="21" t="s">
        <v>2159</v>
      </c>
      <c r="P947" s="21" t="s">
        <v>2089</v>
      </c>
      <c r="R947" s="0" t="n">
        <v>4</v>
      </c>
      <c r="S947" s="0" t="n">
        <v>2026</v>
      </c>
    </row>
    <row r="948" customFormat="false" ht="14.25" hidden="false" customHeight="false" outlineLevel="0" collapsed="false">
      <c r="A948" s="17" t="n">
        <v>46115</v>
      </c>
      <c r="B948" s="21" t="s">
        <v>2412</v>
      </c>
      <c r="C948" s="22" t="n">
        <v>240</v>
      </c>
      <c r="D948" s="31" t="s">
        <v>30</v>
      </c>
      <c r="E948" s="21" t="s">
        <v>2413</v>
      </c>
      <c r="F948" s="19" t="n">
        <v>555481420122</v>
      </c>
      <c r="G948" s="31" t="s">
        <v>2414</v>
      </c>
      <c r="H948" s="21" t="s">
        <v>94</v>
      </c>
      <c r="I948" s="31" t="s">
        <v>54</v>
      </c>
      <c r="N948" s="21" t="s">
        <v>1022</v>
      </c>
      <c r="O948" s="21" t="s">
        <v>2120</v>
      </c>
      <c r="P948" s="21" t="s">
        <v>2397</v>
      </c>
      <c r="R948" s="0" t="n">
        <v>4</v>
      </c>
      <c r="S948" s="0" t="n">
        <v>2026</v>
      </c>
    </row>
    <row r="949" customFormat="false" ht="14.25" hidden="false" customHeight="false" outlineLevel="0" collapsed="false">
      <c r="A949" s="17" t="n">
        <v>46115</v>
      </c>
      <c r="B949" s="21" t="s">
        <v>2416</v>
      </c>
      <c r="C949" s="22" t="n">
        <v>147</v>
      </c>
      <c r="D949" s="31" t="s">
        <v>390</v>
      </c>
      <c r="E949" s="21" t="s">
        <v>2417</v>
      </c>
      <c r="F949" s="19" t="n">
        <v>554191036564</v>
      </c>
      <c r="G949" s="31" t="s">
        <v>2418</v>
      </c>
      <c r="H949" s="21" t="s">
        <v>94</v>
      </c>
      <c r="I949" s="31" t="s">
        <v>355</v>
      </c>
      <c r="N949" s="21" t="s">
        <v>965</v>
      </c>
      <c r="O949" s="21" t="s">
        <v>2088</v>
      </c>
      <c r="P949" s="21" t="s">
        <v>2089</v>
      </c>
      <c r="R949" s="0" t="n">
        <v>4</v>
      </c>
      <c r="S949" s="0" t="n">
        <v>2026</v>
      </c>
    </row>
    <row r="950" customFormat="false" ht="14.25" hidden="false" customHeight="false" outlineLevel="0" collapsed="false">
      <c r="A950" s="17" t="n">
        <v>46116</v>
      </c>
      <c r="B950" s="21" t="s">
        <v>2420</v>
      </c>
      <c r="C950" s="22" t="n">
        <v>600</v>
      </c>
      <c r="D950" s="31" t="s">
        <v>106</v>
      </c>
      <c r="E950" s="21" t="s">
        <v>2421</v>
      </c>
      <c r="F950" s="19" t="n">
        <v>556281570618</v>
      </c>
      <c r="G950" s="31" t="s">
        <v>43</v>
      </c>
      <c r="H950" s="21" t="s">
        <v>94</v>
      </c>
      <c r="I950" s="31" t="s">
        <v>34</v>
      </c>
      <c r="N950" s="21" t="s">
        <v>965</v>
      </c>
      <c r="O950" s="21" t="s">
        <v>2280</v>
      </c>
      <c r="P950" s="21" t="s">
        <v>2281</v>
      </c>
      <c r="R950" s="0" t="n">
        <v>4</v>
      </c>
      <c r="S950" s="0" t="n">
        <v>2026</v>
      </c>
    </row>
    <row r="951" customFormat="false" ht="14.25" hidden="false" customHeight="false" outlineLevel="0" collapsed="false">
      <c r="A951" s="17" t="n">
        <v>46116</v>
      </c>
      <c r="B951" s="21" t="s">
        <v>2169</v>
      </c>
      <c r="C951" s="22" t="n">
        <v>200</v>
      </c>
      <c r="D951" s="31" t="s">
        <v>27</v>
      </c>
      <c r="E951" s="21" t="s">
        <v>2169</v>
      </c>
      <c r="F951" s="19" t="n">
        <v>555496404223</v>
      </c>
      <c r="G951" s="31" t="s">
        <v>180</v>
      </c>
      <c r="H951" s="21" t="s">
        <v>94</v>
      </c>
      <c r="I951" s="31" t="s">
        <v>54</v>
      </c>
      <c r="N951" s="21" t="s">
        <v>1022</v>
      </c>
      <c r="O951" s="21" t="s">
        <v>2120</v>
      </c>
      <c r="P951" s="21" t="s">
        <v>2121</v>
      </c>
      <c r="R951" s="0" t="n">
        <v>4</v>
      </c>
      <c r="S951" s="0" t="n">
        <v>2026</v>
      </c>
    </row>
    <row r="952" customFormat="false" ht="14.25" hidden="false" customHeight="false" outlineLevel="0" collapsed="false">
      <c r="A952" s="17" t="n">
        <v>46116</v>
      </c>
      <c r="B952" s="21" t="s">
        <v>2422</v>
      </c>
      <c r="C952" s="22" t="n">
        <v>250</v>
      </c>
      <c r="D952" s="31" t="s">
        <v>106</v>
      </c>
      <c r="E952" s="21" t="s">
        <v>2422</v>
      </c>
      <c r="F952" s="19" t="n">
        <v>554196277713</v>
      </c>
      <c r="G952" s="31" t="s">
        <v>2423</v>
      </c>
      <c r="H952" s="21" t="s">
        <v>94</v>
      </c>
      <c r="I952" s="31" t="s">
        <v>54</v>
      </c>
      <c r="N952" s="21" t="s">
        <v>1022</v>
      </c>
      <c r="O952" s="21" t="s">
        <v>2107</v>
      </c>
      <c r="P952" s="21" t="s">
        <v>862</v>
      </c>
      <c r="R952" s="0" t="n">
        <v>4</v>
      </c>
      <c r="S952" s="0" t="n">
        <v>2026</v>
      </c>
    </row>
    <row r="953" customFormat="false" ht="14.25" hidden="false" customHeight="false" outlineLevel="0" collapsed="false">
      <c r="A953" s="17" t="n">
        <v>46117</v>
      </c>
      <c r="B953" s="21" t="s">
        <v>2425</v>
      </c>
      <c r="C953" s="22" t="n">
        <v>150</v>
      </c>
      <c r="D953" s="31" t="s">
        <v>32</v>
      </c>
      <c r="E953" s="21" t="s">
        <v>2426</v>
      </c>
      <c r="F953" s="19" t="n">
        <v>559584038633</v>
      </c>
      <c r="G953" s="31" t="s">
        <v>43</v>
      </c>
      <c r="H953" s="21" t="s">
        <v>94</v>
      </c>
      <c r="I953" s="31" t="s">
        <v>34</v>
      </c>
      <c r="N953" s="21" t="s">
        <v>965</v>
      </c>
      <c r="O953" s="21" t="s">
        <v>2427</v>
      </c>
      <c r="P953" s="21" t="s">
        <v>2428</v>
      </c>
      <c r="Q953" s="0" t="n">
        <v>-1</v>
      </c>
      <c r="R953" s="0" t="n">
        <v>4</v>
      </c>
      <c r="S953" s="0" t="n">
        <v>2026</v>
      </c>
    </row>
    <row r="954" customFormat="false" ht="14.25" hidden="false" customHeight="false" outlineLevel="0" collapsed="false">
      <c r="A954" s="17" t="n">
        <v>46118</v>
      </c>
      <c r="B954" s="21" t="s">
        <v>2430</v>
      </c>
      <c r="C954" s="22" t="n">
        <v>150</v>
      </c>
      <c r="D954" s="31" t="s">
        <v>18</v>
      </c>
      <c r="E954" s="21" t="s">
        <v>2430</v>
      </c>
      <c r="F954" s="19" t="n">
        <v>554599849949</v>
      </c>
      <c r="G954" s="31" t="s">
        <v>2431</v>
      </c>
      <c r="H954" s="21" t="s">
        <v>94</v>
      </c>
      <c r="I954" s="31" t="s">
        <v>355</v>
      </c>
      <c r="J954" s="21" t="s">
        <v>35</v>
      </c>
      <c r="K954" s="21" t="s">
        <v>69</v>
      </c>
      <c r="L954" s="21" t="s">
        <v>70</v>
      </c>
      <c r="M954" s="21" t="s">
        <v>38</v>
      </c>
      <c r="N954" s="21" t="s">
        <v>965</v>
      </c>
      <c r="O954" s="21" t="s">
        <v>2432</v>
      </c>
      <c r="P954" s="21" t="s">
        <v>2089</v>
      </c>
      <c r="Q954" s="0" t="n">
        <v>11194032273</v>
      </c>
      <c r="R954" s="0" t="n">
        <v>4</v>
      </c>
      <c r="S954" s="0" t="n">
        <v>2026</v>
      </c>
    </row>
    <row r="955" customFormat="false" ht="14.25" hidden="false" customHeight="false" outlineLevel="0" collapsed="false">
      <c r="A955" s="17" t="n">
        <v>46118</v>
      </c>
      <c r="B955" s="21" t="s">
        <v>296</v>
      </c>
      <c r="C955" s="22" t="n">
        <v>147</v>
      </c>
      <c r="D955" s="31" t="s">
        <v>21</v>
      </c>
      <c r="E955" s="21" t="s">
        <v>296</v>
      </c>
      <c r="F955" s="19" t="n">
        <v>559584273585</v>
      </c>
      <c r="G955" s="31" t="s">
        <v>297</v>
      </c>
      <c r="H955" s="21" t="s">
        <v>94</v>
      </c>
      <c r="I955" s="31" t="s">
        <v>54</v>
      </c>
      <c r="N955" s="21" t="s">
        <v>1022</v>
      </c>
      <c r="O955" s="21" t="s">
        <v>2280</v>
      </c>
      <c r="P955" s="21" t="s">
        <v>2281</v>
      </c>
      <c r="Q955" s="0" t="n">
        <v>-1</v>
      </c>
      <c r="R955" s="0" t="n">
        <v>4</v>
      </c>
      <c r="S955" s="0" t="n">
        <v>2026</v>
      </c>
    </row>
    <row r="956" customFormat="false" ht="14.25" hidden="false" customHeight="false" outlineLevel="0" collapsed="false">
      <c r="A956" s="17" t="n">
        <v>46115</v>
      </c>
      <c r="B956" s="21" t="s">
        <v>2435</v>
      </c>
      <c r="C956" s="22" t="n">
        <v>120</v>
      </c>
      <c r="D956" s="31" t="s">
        <v>30</v>
      </c>
      <c r="E956" s="21" t="s">
        <v>2436</v>
      </c>
      <c r="F956" s="19" t="n">
        <v>559392429984</v>
      </c>
      <c r="G956" s="31" t="s">
        <v>43</v>
      </c>
      <c r="H956" s="21" t="s">
        <v>94</v>
      </c>
      <c r="I956" s="31" t="s">
        <v>50</v>
      </c>
      <c r="N956" s="21" t="s">
        <v>965</v>
      </c>
      <c r="O956" s="21" t="s">
        <v>2107</v>
      </c>
      <c r="P956" s="21" t="s">
        <v>2350</v>
      </c>
      <c r="Q956" s="0" t="n">
        <v>-1</v>
      </c>
      <c r="R956" s="0" t="n">
        <v>4</v>
      </c>
      <c r="S956" s="0" t="n">
        <v>2026</v>
      </c>
    </row>
    <row r="957" customFormat="false" ht="14.25" hidden="false" customHeight="false" outlineLevel="0" collapsed="false">
      <c r="A957" s="17" t="n">
        <v>46118</v>
      </c>
      <c r="B957" s="21" t="s">
        <v>2438</v>
      </c>
      <c r="C957" s="22" t="n">
        <v>194</v>
      </c>
      <c r="D957" s="31" t="s">
        <v>20</v>
      </c>
      <c r="E957" s="21" t="s">
        <v>2438</v>
      </c>
      <c r="F957" s="19" t="n">
        <v>5511950684877</v>
      </c>
      <c r="G957" s="31" t="s">
        <v>2439</v>
      </c>
      <c r="H957" s="21" t="s">
        <v>94</v>
      </c>
      <c r="I957" s="31" t="s">
        <v>50</v>
      </c>
      <c r="J957" s="21" t="s">
        <v>35</v>
      </c>
      <c r="K957" s="21" t="s">
        <v>69</v>
      </c>
      <c r="L957" s="21" t="s">
        <v>70</v>
      </c>
      <c r="M957" s="21" t="s">
        <v>38</v>
      </c>
      <c r="N957" s="21" t="s">
        <v>965</v>
      </c>
      <c r="O957" s="21" t="s">
        <v>2107</v>
      </c>
      <c r="P957" s="21" t="s">
        <v>2135</v>
      </c>
      <c r="Q957" s="0" t="n">
        <v>-1</v>
      </c>
      <c r="R957" s="0" t="n">
        <v>4</v>
      </c>
      <c r="S957" s="0" t="n">
        <v>2026</v>
      </c>
    </row>
    <row r="958" customFormat="false" ht="14.25" hidden="false" customHeight="false" outlineLevel="0" collapsed="false">
      <c r="A958" s="17" t="n">
        <v>46118</v>
      </c>
      <c r="B958" s="21" t="s">
        <v>2441</v>
      </c>
      <c r="C958" s="22" t="n">
        <v>300</v>
      </c>
      <c r="D958" s="31" t="s">
        <v>24</v>
      </c>
      <c r="E958" s="21" t="s">
        <v>806</v>
      </c>
      <c r="F958" s="19" t="n">
        <v>559584033004</v>
      </c>
      <c r="G958" s="31" t="s">
        <v>43</v>
      </c>
      <c r="H958" s="21" t="s">
        <v>94</v>
      </c>
      <c r="I958" s="31" t="s">
        <v>54</v>
      </c>
      <c r="N958" s="21" t="s">
        <v>1022</v>
      </c>
      <c r="O958" s="21" t="s">
        <v>2107</v>
      </c>
      <c r="P958" s="21" t="s">
        <v>862</v>
      </c>
      <c r="Q958" s="0" t="n">
        <v>-1</v>
      </c>
      <c r="R958" s="0" t="n">
        <v>4</v>
      </c>
      <c r="S958" s="0" t="n">
        <v>2026</v>
      </c>
    </row>
    <row r="959" customFormat="false" ht="14.25" hidden="false" customHeight="false" outlineLevel="0" collapsed="false">
      <c r="A959" s="17" t="n">
        <v>46118</v>
      </c>
      <c r="B959" s="21" t="s">
        <v>1042</v>
      </c>
      <c r="C959" s="22" t="n">
        <v>150</v>
      </c>
      <c r="D959" s="31" t="s">
        <v>29</v>
      </c>
      <c r="E959" s="21" t="s">
        <v>1042</v>
      </c>
      <c r="F959" s="19" t="n">
        <v>556593630827</v>
      </c>
      <c r="G959" s="31" t="s">
        <v>1043</v>
      </c>
      <c r="H959" s="21" t="s">
        <v>94</v>
      </c>
      <c r="I959" s="31" t="s">
        <v>54</v>
      </c>
      <c r="N959" s="21" t="s">
        <v>965</v>
      </c>
      <c r="O959" s="21" t="s">
        <v>2443</v>
      </c>
      <c r="P959" s="21" t="s">
        <v>2281</v>
      </c>
      <c r="Q959" s="0" t="n">
        <v>-1</v>
      </c>
      <c r="R959" s="0" t="n">
        <v>4</v>
      </c>
      <c r="S959" s="0" t="n">
        <v>2026</v>
      </c>
    </row>
    <row r="960" customFormat="false" ht="14.25" hidden="false" customHeight="false" outlineLevel="0" collapsed="false">
      <c r="A960" s="17" t="n">
        <v>46118</v>
      </c>
      <c r="B960" s="21" t="s">
        <v>2445</v>
      </c>
      <c r="C960" s="22" t="n">
        <v>120</v>
      </c>
      <c r="D960" s="31" t="s">
        <v>20</v>
      </c>
      <c r="E960" s="21" t="s">
        <v>2445</v>
      </c>
      <c r="F960" s="19" t="n">
        <v>559584275470</v>
      </c>
      <c r="G960" s="31" t="s">
        <v>2446</v>
      </c>
      <c r="H960" s="21" t="s">
        <v>94</v>
      </c>
      <c r="I960" s="31" t="s">
        <v>34</v>
      </c>
      <c r="J960" s="21" t="s">
        <v>1176</v>
      </c>
      <c r="K960" s="21" t="s">
        <v>1897</v>
      </c>
      <c r="L960" s="21" t="s">
        <v>2447</v>
      </c>
      <c r="M960" s="21" t="s">
        <v>1179</v>
      </c>
      <c r="N960" s="21" t="s">
        <v>965</v>
      </c>
      <c r="O960" s="21" t="s">
        <v>2280</v>
      </c>
      <c r="P960" s="21" t="s">
        <v>2281</v>
      </c>
      <c r="Q960" s="0" t="n">
        <v>0</v>
      </c>
      <c r="R960" s="0" t="n">
        <v>4</v>
      </c>
      <c r="S960" s="0" t="n">
        <v>2026</v>
      </c>
    </row>
    <row r="961" customFormat="false" ht="14.25" hidden="false" customHeight="false" outlineLevel="0" collapsed="false">
      <c r="A961" s="17" t="n">
        <v>46118</v>
      </c>
      <c r="B961" s="21" t="s">
        <v>1706</v>
      </c>
      <c r="C961" s="22" t="n">
        <v>148</v>
      </c>
      <c r="D961" s="31" t="s">
        <v>18</v>
      </c>
      <c r="E961" s="21" t="s">
        <v>2449</v>
      </c>
      <c r="F961" s="19" t="n">
        <v>556291104005</v>
      </c>
      <c r="G961" s="31" t="s">
        <v>1708</v>
      </c>
      <c r="H961" s="21" t="s">
        <v>94</v>
      </c>
      <c r="I961" s="31" t="s">
        <v>54</v>
      </c>
      <c r="N961" s="21" t="s">
        <v>1022</v>
      </c>
      <c r="O961" s="21" t="s">
        <v>2107</v>
      </c>
      <c r="P961" s="21" t="s">
        <v>862</v>
      </c>
      <c r="Q961" s="0" t="n">
        <v>0</v>
      </c>
      <c r="R961" s="0" t="n">
        <v>4</v>
      </c>
      <c r="S961" s="0" t="n">
        <v>2026</v>
      </c>
    </row>
    <row r="962" customFormat="false" ht="14.25" hidden="false" customHeight="false" outlineLevel="0" collapsed="false">
      <c r="A962" s="17" t="n">
        <v>46118</v>
      </c>
      <c r="B962" s="21" t="s">
        <v>2451</v>
      </c>
      <c r="C962" s="22" t="n">
        <v>600</v>
      </c>
      <c r="D962" s="31" t="s">
        <v>27</v>
      </c>
      <c r="E962" s="21" t="s">
        <v>2452</v>
      </c>
      <c r="F962" s="19" t="n">
        <v>554184901771</v>
      </c>
      <c r="G962" s="31" t="s">
        <v>519</v>
      </c>
      <c r="H962" s="21" t="s">
        <v>94</v>
      </c>
      <c r="I962" s="31" t="s">
        <v>34</v>
      </c>
      <c r="N962" s="21" t="s">
        <v>965</v>
      </c>
      <c r="O962" s="21" t="s">
        <v>2159</v>
      </c>
      <c r="P962" s="21" t="s">
        <v>2089</v>
      </c>
      <c r="Q962" s="0" t="n">
        <v>0</v>
      </c>
      <c r="R962" s="0" t="n">
        <v>4</v>
      </c>
      <c r="S962" s="0" t="n">
        <v>2026</v>
      </c>
    </row>
    <row r="963" customFormat="false" ht="14.25" hidden="false" customHeight="false" outlineLevel="0" collapsed="false">
      <c r="A963" s="17" t="n">
        <v>46118</v>
      </c>
      <c r="B963" s="21" t="s">
        <v>2454</v>
      </c>
      <c r="C963" s="22" t="n">
        <v>360</v>
      </c>
      <c r="D963" s="31" t="s">
        <v>22</v>
      </c>
      <c r="E963" s="21" t="s">
        <v>2454</v>
      </c>
      <c r="F963" s="19" t="n">
        <v>555491661267</v>
      </c>
      <c r="G963" s="31" t="s">
        <v>512</v>
      </c>
      <c r="H963" s="21" t="s">
        <v>94</v>
      </c>
      <c r="I963" s="31" t="s">
        <v>54</v>
      </c>
      <c r="N963" s="21" t="s">
        <v>1022</v>
      </c>
      <c r="O963" s="21" t="s">
        <v>2126</v>
      </c>
      <c r="P963" s="21" t="s">
        <v>2121</v>
      </c>
      <c r="Q963" s="0" t="n">
        <v>-1</v>
      </c>
      <c r="R963" s="0" t="n">
        <v>4</v>
      </c>
      <c r="S963" s="0" t="n">
        <v>2026</v>
      </c>
    </row>
    <row r="964" customFormat="false" ht="14.25" hidden="false" customHeight="false" outlineLevel="0" collapsed="false">
      <c r="A964" s="17" t="n">
        <v>46118</v>
      </c>
      <c r="B964" s="21" t="s">
        <v>2456</v>
      </c>
      <c r="C964" s="22" t="n">
        <v>294</v>
      </c>
      <c r="D964" s="31" t="s">
        <v>390</v>
      </c>
      <c r="E964" s="21" t="s">
        <v>2456</v>
      </c>
      <c r="F964" s="19" t="n">
        <v>555496483450</v>
      </c>
      <c r="G964" s="31" t="s">
        <v>2457</v>
      </c>
      <c r="H964" s="21" t="s">
        <v>94</v>
      </c>
      <c r="I964" s="31" t="s">
        <v>54</v>
      </c>
      <c r="N964" s="21" t="s">
        <v>1022</v>
      </c>
      <c r="O964" s="21" t="s">
        <v>2120</v>
      </c>
      <c r="P964" s="21" t="s">
        <v>2121</v>
      </c>
      <c r="Q964" s="0" t="n">
        <v>-1</v>
      </c>
      <c r="R964" s="0" t="n">
        <v>4</v>
      </c>
      <c r="S964" s="0" t="n">
        <v>2026</v>
      </c>
    </row>
    <row r="965" customFormat="false" ht="14.25" hidden="false" customHeight="false" outlineLevel="0" collapsed="false">
      <c r="A965" s="17" t="n">
        <v>46118</v>
      </c>
      <c r="B965" s="21" t="s">
        <v>2459</v>
      </c>
      <c r="C965" s="22" t="n">
        <v>150</v>
      </c>
      <c r="D965" s="31" t="s">
        <v>32</v>
      </c>
      <c r="E965" s="21" t="s">
        <v>2459</v>
      </c>
      <c r="F965" s="19" t="n">
        <v>556992398228</v>
      </c>
      <c r="G965" s="31" t="s">
        <v>2460</v>
      </c>
      <c r="H965" s="21" t="s">
        <v>94</v>
      </c>
      <c r="I965" s="31" t="s">
        <v>54</v>
      </c>
      <c r="N965" s="21" t="s">
        <v>965</v>
      </c>
      <c r="O965" s="21" t="s">
        <v>2107</v>
      </c>
      <c r="P965" s="21" t="s">
        <v>862</v>
      </c>
      <c r="Q965" s="0" t="n">
        <v>-1</v>
      </c>
      <c r="R965" s="0" t="n">
        <v>4</v>
      </c>
      <c r="S965" s="0" t="n">
        <v>2026</v>
      </c>
    </row>
    <row r="966" customFormat="false" ht="14.25" hidden="false" customHeight="false" outlineLevel="0" collapsed="false">
      <c r="A966" s="17" t="n">
        <v>46119</v>
      </c>
      <c r="B966" s="21" t="s">
        <v>2462</v>
      </c>
      <c r="C966" s="22" t="n">
        <v>150</v>
      </c>
      <c r="D966" s="31" t="s">
        <v>29</v>
      </c>
      <c r="E966" s="21" t="s">
        <v>2462</v>
      </c>
      <c r="F966" s="19" t="n">
        <v>556599813011</v>
      </c>
      <c r="G966" s="31" t="s">
        <v>2463</v>
      </c>
      <c r="H966" s="21" t="s">
        <v>94</v>
      </c>
      <c r="I966" s="31" t="s">
        <v>355</v>
      </c>
      <c r="J966" s="21" t="s">
        <v>1176</v>
      </c>
      <c r="K966" s="21" t="s">
        <v>1955</v>
      </c>
      <c r="L966" s="21" t="s">
        <v>1956</v>
      </c>
      <c r="M966" s="21" t="s">
        <v>1179</v>
      </c>
      <c r="N966" s="21" t="s">
        <v>965</v>
      </c>
      <c r="O966" s="21" t="s">
        <v>2107</v>
      </c>
      <c r="P966" s="21" t="s">
        <v>2320</v>
      </c>
      <c r="Q966" s="0" t="n">
        <v>12610735170</v>
      </c>
      <c r="R966" s="0" t="n">
        <v>4</v>
      </c>
      <c r="S966" s="0" t="n">
        <v>2026</v>
      </c>
    </row>
    <row r="967" customFormat="false" ht="14.25" hidden="false" customHeight="false" outlineLevel="0" collapsed="false">
      <c r="A967" s="17" t="n">
        <v>46118</v>
      </c>
      <c r="B967" s="21" t="s">
        <v>2465</v>
      </c>
      <c r="C967" s="22" t="n">
        <v>240</v>
      </c>
      <c r="D967" s="31" t="s">
        <v>30</v>
      </c>
      <c r="E967" s="21" t="s">
        <v>2466</v>
      </c>
      <c r="F967" s="19" t="n">
        <v>555494900026</v>
      </c>
      <c r="G967" s="31" t="s">
        <v>2467</v>
      </c>
      <c r="H967" s="21" t="s">
        <v>94</v>
      </c>
      <c r="I967" s="31" t="s">
        <v>355</v>
      </c>
      <c r="N967" s="21" t="s">
        <v>965</v>
      </c>
      <c r="O967" s="21" t="s">
        <v>2120</v>
      </c>
      <c r="P967" s="21" t="s">
        <v>2121</v>
      </c>
      <c r="Q967" s="0" t="n">
        <v>7245296081</v>
      </c>
      <c r="R967" s="0" t="n">
        <v>4</v>
      </c>
      <c r="S967" s="0" t="n">
        <v>2026</v>
      </c>
    </row>
    <row r="968" customFormat="false" ht="14.25" hidden="false" customHeight="false" outlineLevel="0" collapsed="false">
      <c r="A968" s="17" t="n">
        <v>46118</v>
      </c>
      <c r="B968" s="21" t="s">
        <v>2469</v>
      </c>
      <c r="C968" s="22" t="n">
        <v>97</v>
      </c>
      <c r="D968" s="31" t="s">
        <v>20</v>
      </c>
      <c r="E968" s="21" t="s">
        <v>2469</v>
      </c>
      <c r="F968" s="19" t="n">
        <v>555491253833</v>
      </c>
      <c r="G968" s="31" t="s">
        <v>2470</v>
      </c>
      <c r="H968" s="21" t="s">
        <v>94</v>
      </c>
      <c r="I968" s="31" t="s">
        <v>34</v>
      </c>
      <c r="J968" s="21" t="s">
        <v>97</v>
      </c>
      <c r="K968" s="21" t="s">
        <v>20</v>
      </c>
      <c r="L968" s="21" t="s">
        <v>469</v>
      </c>
      <c r="M968" s="21" t="s">
        <v>99</v>
      </c>
      <c r="N968" s="21" t="s">
        <v>965</v>
      </c>
      <c r="O968" s="21" t="s">
        <v>2107</v>
      </c>
      <c r="P968" s="21" t="s">
        <v>2121</v>
      </c>
      <c r="Q968" s="0" t="n">
        <v>12490090143</v>
      </c>
      <c r="R968" s="0" t="n">
        <v>4</v>
      </c>
      <c r="S968" s="0" t="n">
        <v>2026</v>
      </c>
    </row>
    <row r="969" customFormat="false" ht="14.25" hidden="false" customHeight="false" outlineLevel="0" collapsed="false">
      <c r="A969" s="17" t="n">
        <v>46119</v>
      </c>
      <c r="B969" s="21" t="s">
        <v>2472</v>
      </c>
      <c r="C969" s="22" t="n">
        <v>300</v>
      </c>
      <c r="D969" s="31" t="s">
        <v>29</v>
      </c>
      <c r="E969" s="21" t="s">
        <v>2473</v>
      </c>
      <c r="F969" s="19" t="n">
        <v>559584187020</v>
      </c>
      <c r="G969" s="31" t="s">
        <v>519</v>
      </c>
      <c r="H969" s="21" t="s">
        <v>94</v>
      </c>
      <c r="I969" s="31" t="s">
        <v>34</v>
      </c>
      <c r="J969" s="21" t="s">
        <v>35</v>
      </c>
      <c r="K969" s="21" t="s">
        <v>69</v>
      </c>
      <c r="L969" s="21" t="s">
        <v>70</v>
      </c>
      <c r="M969" s="21" t="s">
        <v>38</v>
      </c>
      <c r="N969" s="21" t="s">
        <v>965</v>
      </c>
      <c r="O969" s="21" t="s">
        <v>2107</v>
      </c>
      <c r="P969" s="21" t="s">
        <v>862</v>
      </c>
      <c r="Q969" s="0" t="n">
        <v>0</v>
      </c>
      <c r="R969" s="0" t="n">
        <v>4</v>
      </c>
      <c r="S969" s="0" t="n">
        <v>2026</v>
      </c>
    </row>
    <row r="970" customFormat="false" ht="14.25" hidden="false" customHeight="false" outlineLevel="0" collapsed="false">
      <c r="A970" s="17" t="n">
        <v>46119</v>
      </c>
      <c r="B970" s="21" t="s">
        <v>2475</v>
      </c>
      <c r="C970" s="22" t="n">
        <v>150</v>
      </c>
      <c r="D970" s="31" t="s">
        <v>24</v>
      </c>
      <c r="E970" s="21" t="s">
        <v>2475</v>
      </c>
      <c r="F970" s="19" t="n">
        <v>556195290537</v>
      </c>
      <c r="G970" s="31" t="s">
        <v>43</v>
      </c>
      <c r="H970" s="21" t="s">
        <v>94</v>
      </c>
      <c r="I970" s="31" t="s">
        <v>50</v>
      </c>
      <c r="J970" s="21" t="s">
        <v>35</v>
      </c>
      <c r="K970" s="21" t="s">
        <v>36</v>
      </c>
      <c r="L970" s="21" t="s">
        <v>37</v>
      </c>
      <c r="M970" s="21" t="s">
        <v>38</v>
      </c>
      <c r="N970" s="21" t="s">
        <v>965</v>
      </c>
      <c r="O970" s="21" t="s">
        <v>2107</v>
      </c>
      <c r="P970" s="21" t="s">
        <v>862</v>
      </c>
      <c r="Q970" s="0" t="n">
        <v>-1</v>
      </c>
      <c r="R970" s="0" t="n">
        <v>4</v>
      </c>
      <c r="S970" s="0" t="n">
        <v>2026</v>
      </c>
    </row>
    <row r="971" customFormat="false" ht="14.25" hidden="false" customHeight="false" outlineLevel="0" collapsed="false">
      <c r="A971" s="17" t="n">
        <v>46119</v>
      </c>
      <c r="B971" s="21" t="s">
        <v>2477</v>
      </c>
      <c r="C971" s="22" t="n">
        <v>300</v>
      </c>
      <c r="D971" s="31" t="s">
        <v>30</v>
      </c>
      <c r="E971" s="21" t="s">
        <v>2477</v>
      </c>
      <c r="F971" s="19" t="n">
        <v>559584187791</v>
      </c>
      <c r="G971" s="31" t="s">
        <v>2478</v>
      </c>
      <c r="H971" s="21" t="s">
        <v>94</v>
      </c>
      <c r="I971" s="31" t="s">
        <v>355</v>
      </c>
      <c r="J971" s="21" t="s">
        <v>1176</v>
      </c>
      <c r="K971" s="21" t="s">
        <v>1897</v>
      </c>
      <c r="L971" s="21" t="s">
        <v>2447</v>
      </c>
      <c r="M971" s="21" t="s">
        <v>1179</v>
      </c>
      <c r="N971" s="21" t="s">
        <v>965</v>
      </c>
      <c r="O971" s="21" t="s">
        <v>2120</v>
      </c>
      <c r="P971" s="21" t="s">
        <v>862</v>
      </c>
      <c r="Q971" s="0" t="n">
        <v>11611357233</v>
      </c>
      <c r="R971" s="0" t="n">
        <v>4</v>
      </c>
      <c r="S971" s="0" t="n">
        <v>2026</v>
      </c>
    </row>
    <row r="972" customFormat="false" ht="14.25" hidden="false" customHeight="false" outlineLevel="0" collapsed="false">
      <c r="A972" s="17" t="n">
        <v>46119</v>
      </c>
      <c r="B972" s="21" t="s">
        <v>2480</v>
      </c>
      <c r="C972" s="22" t="n">
        <v>147</v>
      </c>
      <c r="D972" s="31" t="s">
        <v>390</v>
      </c>
      <c r="E972" s="21" t="s">
        <v>2480</v>
      </c>
      <c r="F972" s="19" t="n">
        <v>554195365537</v>
      </c>
      <c r="G972" s="31" t="s">
        <v>519</v>
      </c>
      <c r="H972" s="21" t="s">
        <v>94</v>
      </c>
      <c r="I972" s="31" t="s">
        <v>34</v>
      </c>
      <c r="N972" s="21" t="s">
        <v>965</v>
      </c>
      <c r="O972" s="21" t="s">
        <v>2159</v>
      </c>
      <c r="P972" s="21" t="s">
        <v>2089</v>
      </c>
      <c r="Q972" s="0" t="n">
        <v>0</v>
      </c>
      <c r="R972" s="0" t="n">
        <v>4</v>
      </c>
      <c r="S972" s="0" t="n">
        <v>2026</v>
      </c>
    </row>
    <row r="973" customFormat="false" ht="14.25" hidden="false" customHeight="false" outlineLevel="0" collapsed="false">
      <c r="A973" s="17" t="n">
        <v>46118</v>
      </c>
      <c r="B973" s="21" t="s">
        <v>2482</v>
      </c>
      <c r="C973" s="22" t="n">
        <v>90</v>
      </c>
      <c r="D973" s="31" t="s">
        <v>16</v>
      </c>
      <c r="E973" s="21" t="s">
        <v>1745</v>
      </c>
      <c r="F973" s="19" t="n">
        <v>553173657197</v>
      </c>
      <c r="G973" s="31" t="s">
        <v>1746</v>
      </c>
      <c r="H973" s="21" t="s">
        <v>94</v>
      </c>
      <c r="I973" s="31" t="s">
        <v>54</v>
      </c>
      <c r="N973" s="21" t="s">
        <v>1022</v>
      </c>
      <c r="O973" s="21" t="s">
        <v>2107</v>
      </c>
      <c r="P973" s="21" t="s">
        <v>862</v>
      </c>
      <c r="Q973" s="0" t="n">
        <v>0</v>
      </c>
      <c r="R973" s="0" t="n">
        <v>4</v>
      </c>
      <c r="S973" s="0" t="n">
        <v>2026</v>
      </c>
    </row>
    <row r="974" customFormat="false" ht="14.25" hidden="false" customHeight="false" outlineLevel="0" collapsed="false">
      <c r="A974" s="17" t="n">
        <v>46119</v>
      </c>
      <c r="B974" s="21" t="s">
        <v>2484</v>
      </c>
      <c r="C974" s="22" t="n">
        <v>120</v>
      </c>
      <c r="D974" s="31" t="s">
        <v>20</v>
      </c>
      <c r="E974" s="21" t="s">
        <v>2485</v>
      </c>
      <c r="F974" s="19" t="n">
        <v>5511968730004</v>
      </c>
      <c r="G974" s="31" t="s">
        <v>2486</v>
      </c>
      <c r="H974" s="21" t="s">
        <v>94</v>
      </c>
      <c r="I974" s="31" t="s">
        <v>34</v>
      </c>
      <c r="N974" s="21" t="s">
        <v>965</v>
      </c>
      <c r="O974" s="21" t="s">
        <v>2487</v>
      </c>
      <c r="P974" s="21" t="s">
        <v>2135</v>
      </c>
      <c r="Q974" s="0" t="n">
        <v>0</v>
      </c>
      <c r="R974" s="0" t="n">
        <v>4</v>
      </c>
      <c r="S974" s="0" t="n">
        <v>2026</v>
      </c>
    </row>
    <row r="975" customFormat="false" ht="14.25" hidden="false" customHeight="false" outlineLevel="0" collapsed="false">
      <c r="A975" s="17" t="n">
        <v>46119</v>
      </c>
      <c r="B975" s="21" t="s">
        <v>2484</v>
      </c>
      <c r="C975" s="22" t="n">
        <v>120</v>
      </c>
      <c r="D975" s="31" t="s">
        <v>30</v>
      </c>
      <c r="E975" s="21" t="s">
        <v>2485</v>
      </c>
      <c r="F975" s="19" t="n">
        <v>5511968730004</v>
      </c>
      <c r="G975" s="31" t="s">
        <v>2486</v>
      </c>
      <c r="H975" s="21" t="s">
        <v>94</v>
      </c>
      <c r="I975" s="31" t="s">
        <v>34</v>
      </c>
      <c r="N975" s="21" t="s">
        <v>965</v>
      </c>
      <c r="O975" s="21" t="s">
        <v>2487</v>
      </c>
      <c r="P975" s="21" t="s">
        <v>2135</v>
      </c>
      <c r="Q975" s="0" t="n">
        <v>0</v>
      </c>
      <c r="R975" s="0" t="n">
        <v>4</v>
      </c>
      <c r="S975" s="0" t="n">
        <v>2026</v>
      </c>
    </row>
    <row r="976" customFormat="false" ht="14.25" hidden="false" customHeight="false" outlineLevel="0" collapsed="false">
      <c r="A976" s="17" t="n">
        <v>46119</v>
      </c>
      <c r="B976" s="21" t="s">
        <v>1165</v>
      </c>
      <c r="C976" s="22" t="n">
        <v>150</v>
      </c>
      <c r="D976" s="31" t="s">
        <v>32</v>
      </c>
      <c r="E976" s="21" t="s">
        <v>2490</v>
      </c>
      <c r="F976" s="19" t="n">
        <v>559591481352</v>
      </c>
      <c r="G976" s="31" t="s">
        <v>2491</v>
      </c>
      <c r="H976" s="21" t="s">
        <v>94</v>
      </c>
      <c r="I976" s="31" t="s">
        <v>54</v>
      </c>
      <c r="N976" s="21" t="s">
        <v>1022</v>
      </c>
      <c r="O976" s="21" t="s">
        <v>2135</v>
      </c>
      <c r="P976" s="21" t="s">
        <v>2135</v>
      </c>
      <c r="Q976" s="0" t="n">
        <v>-1</v>
      </c>
      <c r="R976" s="0" t="n">
        <v>4</v>
      </c>
      <c r="S976" s="0" t="n">
        <v>2026</v>
      </c>
    </row>
    <row r="977" customFormat="false" ht="14.25" hidden="false" customHeight="false" outlineLevel="0" collapsed="false">
      <c r="A977" s="17" t="n">
        <v>46119</v>
      </c>
      <c r="B977" s="21" t="s">
        <v>2493</v>
      </c>
      <c r="C977" s="22" t="n">
        <v>150</v>
      </c>
      <c r="D977" s="31" t="s">
        <v>1021</v>
      </c>
      <c r="E977" s="21" t="s">
        <v>2494</v>
      </c>
      <c r="F977" s="19" t="n">
        <v>554198706895</v>
      </c>
      <c r="G977" s="31" t="s">
        <v>2495</v>
      </c>
      <c r="H977" s="21" t="s">
        <v>94</v>
      </c>
      <c r="I977" s="31" t="s">
        <v>54</v>
      </c>
      <c r="N977" s="21" t="s">
        <v>1022</v>
      </c>
      <c r="O977" s="21" t="s">
        <v>2159</v>
      </c>
      <c r="P977" s="21" t="s">
        <v>2089</v>
      </c>
      <c r="Q977" s="0" t="n">
        <v>-1</v>
      </c>
      <c r="R977" s="0" t="n">
        <v>4</v>
      </c>
      <c r="S977" s="0" t="n">
        <v>2026</v>
      </c>
    </row>
    <row r="978" customFormat="false" ht="14.25" hidden="false" customHeight="false" outlineLevel="0" collapsed="false">
      <c r="A978" s="17" t="n">
        <v>46119</v>
      </c>
      <c r="B978" s="21" t="s">
        <v>2497</v>
      </c>
      <c r="C978" s="22" t="n">
        <v>150</v>
      </c>
      <c r="D978" s="31" t="s">
        <v>32</v>
      </c>
      <c r="E978" s="21" t="s">
        <v>2497</v>
      </c>
      <c r="F978" s="19" t="n">
        <v>554888655936</v>
      </c>
      <c r="G978" s="31" t="s">
        <v>2498</v>
      </c>
      <c r="H978" s="21" t="s">
        <v>94</v>
      </c>
      <c r="I978" s="31" t="s">
        <v>50</v>
      </c>
      <c r="J978" s="21" t="s">
        <v>1176</v>
      </c>
      <c r="K978" s="21" t="s">
        <v>1177</v>
      </c>
      <c r="L978" s="21" t="s">
        <v>1324</v>
      </c>
      <c r="M978" s="21" t="s">
        <v>1243</v>
      </c>
      <c r="N978" s="21" t="s">
        <v>965</v>
      </c>
      <c r="O978" s="21" t="s">
        <v>2128</v>
      </c>
      <c r="P978" s="21" t="s">
        <v>2129</v>
      </c>
      <c r="Q978" s="0" t="n">
        <v>-1</v>
      </c>
      <c r="R978" s="0" t="n">
        <v>4</v>
      </c>
      <c r="S978" s="0" t="n">
        <v>2026</v>
      </c>
    </row>
    <row r="979" customFormat="false" ht="14.25" hidden="false" customHeight="false" outlineLevel="0" collapsed="false">
      <c r="A979" s="17" t="n">
        <v>46119</v>
      </c>
      <c r="B979" s="21" t="s">
        <v>2500</v>
      </c>
      <c r="C979" s="22" t="n">
        <v>194</v>
      </c>
      <c r="D979" s="31" t="s">
        <v>20</v>
      </c>
      <c r="E979" s="21" t="s">
        <v>2500</v>
      </c>
      <c r="F979" s="19" t="n">
        <v>554195674753</v>
      </c>
      <c r="G979" s="31" t="s">
        <v>2501</v>
      </c>
      <c r="H979" s="21" t="s">
        <v>94</v>
      </c>
      <c r="I979" s="31" t="s">
        <v>50</v>
      </c>
      <c r="J979" s="21" t="s">
        <v>35</v>
      </c>
      <c r="K979" s="21" t="s">
        <v>36</v>
      </c>
      <c r="L979" s="21" t="s">
        <v>37</v>
      </c>
      <c r="M979" s="21" t="s">
        <v>38</v>
      </c>
      <c r="N979" s="21" t="s">
        <v>965</v>
      </c>
      <c r="O979" s="21" t="s">
        <v>2088</v>
      </c>
      <c r="P979" s="21" t="s">
        <v>2089</v>
      </c>
      <c r="Q979" s="0" t="n">
        <v>-1</v>
      </c>
      <c r="R979" s="0" t="n">
        <v>4</v>
      </c>
      <c r="S979" s="0" t="n">
        <v>2026</v>
      </c>
    </row>
    <row r="980" customFormat="false" ht="14.25" hidden="false" customHeight="false" outlineLevel="0" collapsed="false">
      <c r="A980" s="17" t="n">
        <v>46119</v>
      </c>
      <c r="B980" s="21" t="s">
        <v>2503</v>
      </c>
      <c r="C980" s="22" t="n">
        <v>147</v>
      </c>
      <c r="D980" s="31" t="s">
        <v>390</v>
      </c>
      <c r="E980" s="21" t="s">
        <v>2503</v>
      </c>
      <c r="F980" s="19" t="n">
        <v>555499426873</v>
      </c>
      <c r="G980" s="31" t="s">
        <v>2504</v>
      </c>
      <c r="H980" s="21" t="s">
        <v>94</v>
      </c>
      <c r="I980" s="31" t="s">
        <v>50</v>
      </c>
      <c r="J980" s="21" t="s">
        <v>1176</v>
      </c>
      <c r="K980" s="21" t="s">
        <v>1897</v>
      </c>
      <c r="L980" s="21" t="s">
        <v>1898</v>
      </c>
      <c r="M980" s="21" t="s">
        <v>1179</v>
      </c>
      <c r="N980" s="21" t="s">
        <v>965</v>
      </c>
      <c r="O980" s="21" t="s">
        <v>2120</v>
      </c>
      <c r="P980" s="21" t="s">
        <v>2121</v>
      </c>
      <c r="Q980" s="0" t="n">
        <v>-1</v>
      </c>
      <c r="R980" s="0" t="n">
        <v>4</v>
      </c>
      <c r="S980" s="0" t="n">
        <v>2026</v>
      </c>
    </row>
    <row r="981" customFormat="false" ht="14.25" hidden="false" customHeight="false" outlineLevel="0" collapsed="false">
      <c r="A981" s="17" t="n">
        <v>46119</v>
      </c>
      <c r="B981" s="21" t="s">
        <v>2506</v>
      </c>
      <c r="C981" s="22" t="n">
        <v>360</v>
      </c>
      <c r="D981" s="31" t="s">
        <v>16</v>
      </c>
      <c r="E981" s="21" t="s">
        <v>2507</v>
      </c>
      <c r="F981" s="19" t="n">
        <v>5978274291</v>
      </c>
      <c r="G981" s="31" t="s">
        <v>2508</v>
      </c>
      <c r="H981" s="21" t="s">
        <v>94</v>
      </c>
      <c r="I981" s="31" t="s">
        <v>34</v>
      </c>
      <c r="N981" s="21" t="s">
        <v>965</v>
      </c>
      <c r="O981" s="21" t="s">
        <v>2159</v>
      </c>
      <c r="P981" s="21" t="s">
        <v>2089</v>
      </c>
      <c r="Q981" s="0" t="n">
        <v>0</v>
      </c>
      <c r="R981" s="0" t="n">
        <v>4</v>
      </c>
      <c r="S981" s="0" t="n">
        <v>2026</v>
      </c>
    </row>
    <row r="982" customFormat="false" ht="14.25" hidden="false" customHeight="false" outlineLevel="0" collapsed="false">
      <c r="A982" s="17" t="n">
        <v>46119</v>
      </c>
      <c r="B982" s="21" t="s">
        <v>2510</v>
      </c>
      <c r="C982" s="22" t="n">
        <v>147</v>
      </c>
      <c r="D982" s="31" t="s">
        <v>390</v>
      </c>
      <c r="E982" s="21" t="s">
        <v>2510</v>
      </c>
      <c r="F982" s="19" t="n">
        <v>556492304444</v>
      </c>
      <c r="G982" s="31" t="s">
        <v>2511</v>
      </c>
      <c r="H982" s="21" t="s">
        <v>94</v>
      </c>
      <c r="I982" s="31" t="s">
        <v>54</v>
      </c>
      <c r="N982" s="21" t="s">
        <v>1022</v>
      </c>
      <c r="O982" s="21" t="s">
        <v>2443</v>
      </c>
      <c r="P982" s="21" t="s">
        <v>2281</v>
      </c>
      <c r="Q982" s="0" t="n">
        <v>-1</v>
      </c>
      <c r="R982" s="0" t="n">
        <v>4</v>
      </c>
      <c r="S982" s="0" t="n">
        <v>2026</v>
      </c>
    </row>
    <row r="983" customFormat="false" ht="14.25" hidden="false" customHeight="false" outlineLevel="0" collapsed="false">
      <c r="A983" s="17" t="n">
        <v>46119</v>
      </c>
      <c r="B983" s="21" t="s">
        <v>1808</v>
      </c>
      <c r="C983" s="22" t="n">
        <v>120</v>
      </c>
      <c r="D983" s="31" t="s">
        <v>30</v>
      </c>
      <c r="E983" s="21" t="s">
        <v>2513</v>
      </c>
      <c r="F983" s="19" t="n">
        <v>554196104209</v>
      </c>
      <c r="G983" s="31" t="s">
        <v>1810</v>
      </c>
      <c r="H983" s="21" t="s">
        <v>94</v>
      </c>
      <c r="I983" s="31" t="s">
        <v>54</v>
      </c>
      <c r="N983" s="21" t="s">
        <v>965</v>
      </c>
      <c r="O983" s="21" t="s">
        <v>2088</v>
      </c>
      <c r="P983" s="21" t="s">
        <v>2089</v>
      </c>
      <c r="Q983" s="0" t="n">
        <v>-1</v>
      </c>
      <c r="R983" s="0" t="n">
        <v>4</v>
      </c>
      <c r="S983" s="0" t="n">
        <v>2026</v>
      </c>
    </row>
    <row r="984" customFormat="false" ht="14.25" hidden="false" customHeight="false" outlineLevel="0" collapsed="false">
      <c r="A984" s="17" t="n">
        <v>46119</v>
      </c>
      <c r="B984" s="21" t="s">
        <v>2515</v>
      </c>
      <c r="C984" s="22" t="n">
        <v>150</v>
      </c>
      <c r="D984" s="31" t="s">
        <v>32</v>
      </c>
      <c r="E984" s="21" t="s">
        <v>2515</v>
      </c>
      <c r="F984" s="19" t="n">
        <v>554599167180</v>
      </c>
      <c r="G984" s="31" t="s">
        <v>1831</v>
      </c>
      <c r="H984" s="21" t="s">
        <v>94</v>
      </c>
      <c r="I984" s="31" t="s">
        <v>54</v>
      </c>
      <c r="N984" s="21" t="s">
        <v>1022</v>
      </c>
      <c r="O984" s="21" t="s">
        <v>2107</v>
      </c>
      <c r="P984" s="21" t="s">
        <v>862</v>
      </c>
      <c r="Q984" s="0" t="n">
        <v>0</v>
      </c>
      <c r="R984" s="0" t="n">
        <v>4</v>
      </c>
      <c r="S984" s="0" t="n">
        <v>2026</v>
      </c>
    </row>
    <row r="985" customFormat="false" ht="14.25" hidden="false" customHeight="false" outlineLevel="0" collapsed="false">
      <c r="A985" s="17" t="n">
        <v>46119</v>
      </c>
      <c r="B985" s="21" t="s">
        <v>2517</v>
      </c>
      <c r="C985" s="22" t="n">
        <v>150</v>
      </c>
      <c r="D985" s="31" t="s">
        <v>1471</v>
      </c>
      <c r="E985" s="21" t="s">
        <v>2517</v>
      </c>
      <c r="F985" s="19" t="n">
        <v>5511951668733</v>
      </c>
      <c r="G985" s="31" t="s">
        <v>2518</v>
      </c>
      <c r="H985" s="21" t="s">
        <v>94</v>
      </c>
      <c r="I985" s="31" t="s">
        <v>34</v>
      </c>
      <c r="N985" s="21" t="s">
        <v>965</v>
      </c>
      <c r="O985" s="21" t="s">
        <v>2107</v>
      </c>
      <c r="P985" s="21" t="s">
        <v>862</v>
      </c>
      <c r="Q985" s="0" t="n">
        <v>0</v>
      </c>
      <c r="R985" s="0" t="n">
        <v>4</v>
      </c>
      <c r="S985" s="0" t="n">
        <v>2026</v>
      </c>
    </row>
    <row r="986" customFormat="false" ht="14.25" hidden="false" customHeight="false" outlineLevel="0" collapsed="false">
      <c r="A986" s="17" t="n">
        <v>46119</v>
      </c>
      <c r="B986" s="21" t="s">
        <v>1042</v>
      </c>
      <c r="C986" s="22" t="n">
        <v>240</v>
      </c>
      <c r="D986" s="31" t="s">
        <v>20</v>
      </c>
      <c r="E986" s="21" t="s">
        <v>1042</v>
      </c>
      <c r="F986" s="19" t="n">
        <v>556593630827</v>
      </c>
      <c r="G986" s="31" t="s">
        <v>1043</v>
      </c>
      <c r="H986" s="21" t="s">
        <v>94</v>
      </c>
      <c r="I986" s="31" t="s">
        <v>54</v>
      </c>
      <c r="N986" s="21" t="s">
        <v>1022</v>
      </c>
      <c r="O986" s="21" t="s">
        <v>2520</v>
      </c>
      <c r="P986" s="21" t="s">
        <v>2320</v>
      </c>
      <c r="Q986" s="0" t="n">
        <v>-1</v>
      </c>
      <c r="R986" s="0" t="n">
        <v>4</v>
      </c>
      <c r="S986" s="0" t="n">
        <v>2026</v>
      </c>
    </row>
    <row r="987" customFormat="false" ht="14.25" hidden="false" customHeight="false" outlineLevel="0" collapsed="false">
      <c r="A987" s="17" t="n">
        <v>46119</v>
      </c>
      <c r="B987" s="21" t="s">
        <v>2522</v>
      </c>
      <c r="C987" s="22" t="n">
        <v>150</v>
      </c>
      <c r="D987" s="31" t="s">
        <v>390</v>
      </c>
      <c r="E987" s="21" t="s">
        <v>2522</v>
      </c>
      <c r="F987" s="19" t="n">
        <v>559684352871</v>
      </c>
      <c r="G987" s="31" t="s">
        <v>2523</v>
      </c>
      <c r="H987" s="21" t="s">
        <v>94</v>
      </c>
      <c r="I987" s="31" t="s">
        <v>54</v>
      </c>
      <c r="N987" s="21" t="s">
        <v>1022</v>
      </c>
      <c r="O987" s="21" t="s">
        <v>2280</v>
      </c>
      <c r="P987" s="21" t="s">
        <v>2281</v>
      </c>
      <c r="Q987" s="0" t="n">
        <v>-1</v>
      </c>
      <c r="R987" s="0" t="n">
        <v>4</v>
      </c>
      <c r="S987" s="0" t="n">
        <v>2026</v>
      </c>
    </row>
    <row r="988" customFormat="false" ht="14.25" hidden="false" customHeight="false" outlineLevel="0" collapsed="false">
      <c r="A988" s="17" t="n">
        <v>46120</v>
      </c>
      <c r="B988" s="21" t="s">
        <v>1306</v>
      </c>
      <c r="C988" s="22" t="n">
        <v>150</v>
      </c>
      <c r="D988" s="31" t="s">
        <v>32</v>
      </c>
      <c r="E988" s="21" t="s">
        <v>1306</v>
      </c>
      <c r="F988" s="19" t="n">
        <v>556599736852</v>
      </c>
      <c r="G988" s="31" t="s">
        <v>2525</v>
      </c>
      <c r="H988" s="21" t="s">
        <v>94</v>
      </c>
      <c r="I988" s="31" t="s">
        <v>54</v>
      </c>
      <c r="N988" s="21" t="s">
        <v>1022</v>
      </c>
      <c r="O988" s="21" t="s">
        <v>2107</v>
      </c>
      <c r="P988" s="21" t="s">
        <v>862</v>
      </c>
      <c r="Q988" s="0" t="n">
        <v>-1</v>
      </c>
      <c r="R988" s="0" t="n">
        <v>4</v>
      </c>
      <c r="S988" s="0" t="n">
        <v>2026</v>
      </c>
    </row>
    <row r="989" customFormat="false" ht="14.25" hidden="false" customHeight="false" outlineLevel="0" collapsed="false">
      <c r="A989" s="17" t="n">
        <v>46120</v>
      </c>
      <c r="B989" s="21" t="s">
        <v>2527</v>
      </c>
      <c r="C989" s="22" t="n">
        <v>147</v>
      </c>
      <c r="D989" s="31" t="s">
        <v>18</v>
      </c>
      <c r="E989" s="21" t="s">
        <v>2527</v>
      </c>
      <c r="F989" s="19" t="n">
        <v>554197435481</v>
      </c>
      <c r="G989" s="31" t="s">
        <v>2528</v>
      </c>
      <c r="H989" s="21" t="s">
        <v>94</v>
      </c>
      <c r="I989" s="31" t="s">
        <v>355</v>
      </c>
      <c r="J989" s="21" t="s">
        <v>35</v>
      </c>
      <c r="K989" s="21" t="s">
        <v>69</v>
      </c>
      <c r="L989" s="21" t="s">
        <v>70</v>
      </c>
      <c r="M989" s="21" t="s">
        <v>38</v>
      </c>
      <c r="N989" s="21" t="s">
        <v>965</v>
      </c>
      <c r="O989" s="21" t="s">
        <v>2159</v>
      </c>
      <c r="P989" s="21" t="s">
        <v>2089</v>
      </c>
      <c r="Q989" s="0" t="n">
        <v>17632984</v>
      </c>
      <c r="R989" s="0" t="n">
        <v>4</v>
      </c>
      <c r="S989" s="0" t="n">
        <v>2026</v>
      </c>
    </row>
    <row r="990" customFormat="false" ht="14.25" hidden="false" customHeight="false" outlineLevel="0" collapsed="false">
      <c r="A990" s="17" t="n">
        <v>46120</v>
      </c>
      <c r="B990" s="21" t="s">
        <v>2530</v>
      </c>
      <c r="C990" s="22" t="n">
        <v>97</v>
      </c>
      <c r="D990" s="31" t="s">
        <v>20</v>
      </c>
      <c r="E990" s="21" t="s">
        <v>2530</v>
      </c>
      <c r="F990" s="19" t="n">
        <v>554185322122</v>
      </c>
      <c r="G990" s="31" t="s">
        <v>2531</v>
      </c>
      <c r="H990" s="21" t="s">
        <v>94</v>
      </c>
      <c r="I990" s="31" t="s">
        <v>355</v>
      </c>
      <c r="N990" s="21" t="s">
        <v>965</v>
      </c>
      <c r="O990" s="21" t="s">
        <v>2107</v>
      </c>
      <c r="P990" s="21" t="s">
        <v>862</v>
      </c>
      <c r="Q990" s="0" t="n">
        <v>7223595272</v>
      </c>
      <c r="R990" s="0" t="n">
        <v>4</v>
      </c>
      <c r="S990" s="0" t="n">
        <v>2026</v>
      </c>
    </row>
    <row r="991" customFormat="false" ht="14.25" hidden="false" customHeight="false" outlineLevel="0" collapsed="false">
      <c r="A991" s="17" t="n">
        <v>46120</v>
      </c>
      <c r="B991" s="21" t="s">
        <v>2533</v>
      </c>
      <c r="C991" s="22" t="n">
        <v>150</v>
      </c>
      <c r="D991" s="31" t="s">
        <v>32</v>
      </c>
      <c r="E991" s="21" t="s">
        <v>2533</v>
      </c>
      <c r="F991" s="19" t="n">
        <v>5596984192145</v>
      </c>
      <c r="G991" s="31" t="s">
        <v>2534</v>
      </c>
      <c r="H991" s="21" t="s">
        <v>94</v>
      </c>
      <c r="I991" s="31" t="s">
        <v>54</v>
      </c>
      <c r="N991" s="21" t="s">
        <v>1022</v>
      </c>
      <c r="O991" s="21" t="s">
        <v>2159</v>
      </c>
      <c r="P991" s="21" t="s">
        <v>2089</v>
      </c>
      <c r="Q991" s="0" t="n">
        <v>-1</v>
      </c>
      <c r="R991" s="0" t="n">
        <v>4</v>
      </c>
      <c r="S991" s="0" t="n">
        <v>2026</v>
      </c>
    </row>
    <row r="992" customFormat="false" ht="14.25" hidden="false" customHeight="false" outlineLevel="0" collapsed="false">
      <c r="A992" s="17" t="n">
        <v>46120</v>
      </c>
      <c r="B992" s="21" t="s">
        <v>2536</v>
      </c>
      <c r="C992" s="22" t="n">
        <v>420</v>
      </c>
      <c r="D992" s="31" t="s">
        <v>30</v>
      </c>
      <c r="E992" s="21" t="s">
        <v>2537</v>
      </c>
      <c r="F992" s="19" t="n">
        <v>554198337434</v>
      </c>
      <c r="G992" s="31" t="s">
        <v>2538</v>
      </c>
      <c r="H992" s="21" t="s">
        <v>94</v>
      </c>
      <c r="I992" s="31" t="s">
        <v>355</v>
      </c>
      <c r="N992" s="21" t="s">
        <v>965</v>
      </c>
      <c r="O992" s="21" t="s">
        <v>2088</v>
      </c>
      <c r="P992" s="21" t="s">
        <v>2089</v>
      </c>
      <c r="Q992" s="0" t="n">
        <v>4862384900</v>
      </c>
      <c r="R992" s="0" t="n">
        <v>4</v>
      </c>
      <c r="S992" s="0" t="n">
        <v>2026</v>
      </c>
    </row>
    <row r="993" customFormat="false" ht="14.25" hidden="false" customHeight="false" outlineLevel="0" collapsed="false">
      <c r="A993" s="17" t="n">
        <v>46120</v>
      </c>
      <c r="B993" s="21" t="s">
        <v>2540</v>
      </c>
      <c r="C993" s="22" t="n">
        <v>97</v>
      </c>
      <c r="D993" s="31" t="s">
        <v>20</v>
      </c>
      <c r="E993" s="21" t="s">
        <v>2541</v>
      </c>
      <c r="F993" s="19" t="n">
        <v>554192511762</v>
      </c>
      <c r="G993" s="31" t="s">
        <v>2542</v>
      </c>
      <c r="H993" s="21" t="s">
        <v>94</v>
      </c>
      <c r="I993" s="31" t="s">
        <v>355</v>
      </c>
      <c r="J993" s="21" t="s">
        <v>35</v>
      </c>
      <c r="K993" s="21" t="s">
        <v>36</v>
      </c>
      <c r="L993" s="21" t="s">
        <v>37</v>
      </c>
      <c r="M993" s="21" t="s">
        <v>38</v>
      </c>
      <c r="N993" s="21" t="s">
        <v>965</v>
      </c>
      <c r="O993" s="21" t="s">
        <v>2159</v>
      </c>
      <c r="P993" s="21" t="s">
        <v>2089</v>
      </c>
      <c r="Q993" s="0" t="n">
        <v>11796446203</v>
      </c>
      <c r="R993" s="0" t="n">
        <v>4</v>
      </c>
      <c r="S993" s="0" t="n">
        <v>2026</v>
      </c>
    </row>
    <row r="994" customFormat="false" ht="14.25" hidden="false" customHeight="false" outlineLevel="0" collapsed="false">
      <c r="A994" s="17" t="n">
        <v>46120</v>
      </c>
      <c r="B994" s="21" t="s">
        <v>2543</v>
      </c>
      <c r="C994" s="22" t="n">
        <v>147</v>
      </c>
      <c r="D994" s="31" t="s">
        <v>18</v>
      </c>
      <c r="E994" s="21" t="s">
        <v>2543</v>
      </c>
      <c r="F994" s="19" t="n">
        <v>554195298798</v>
      </c>
      <c r="G994" s="31" t="s">
        <v>2544</v>
      </c>
      <c r="H994" s="21" t="s">
        <v>94</v>
      </c>
      <c r="I994" s="31" t="s">
        <v>355</v>
      </c>
      <c r="J994" s="21" t="s">
        <v>1176</v>
      </c>
      <c r="K994" s="21" t="s">
        <v>1897</v>
      </c>
      <c r="L994" s="21" t="s">
        <v>2447</v>
      </c>
      <c r="M994" s="21" t="s">
        <v>1179</v>
      </c>
      <c r="N994" s="21" t="s">
        <v>965</v>
      </c>
      <c r="O994" s="21" t="s">
        <v>2107</v>
      </c>
      <c r="P994" s="21" t="s">
        <v>862</v>
      </c>
      <c r="Q994" s="0" t="n">
        <v>9711970</v>
      </c>
      <c r="R994" s="0" t="n">
        <v>4</v>
      </c>
      <c r="S994" s="0" t="n">
        <v>2026</v>
      </c>
    </row>
    <row r="995" customFormat="false" ht="14.25" hidden="false" customHeight="false" outlineLevel="0" collapsed="false">
      <c r="A995" s="17" t="n">
        <v>46120</v>
      </c>
      <c r="B995" s="21" t="s">
        <v>2546</v>
      </c>
      <c r="C995" s="22" t="n">
        <v>150</v>
      </c>
      <c r="D995" s="31" t="s">
        <v>32</v>
      </c>
      <c r="E995" s="21" t="s">
        <v>2547</v>
      </c>
      <c r="F995" s="19" t="n">
        <v>5927498912</v>
      </c>
      <c r="G995" s="31" t="s">
        <v>2548</v>
      </c>
      <c r="H995" s="21" t="s">
        <v>94</v>
      </c>
      <c r="I995" s="31" t="s">
        <v>355</v>
      </c>
      <c r="N995" s="21" t="s">
        <v>965</v>
      </c>
      <c r="O995" s="21" t="s">
        <v>2107</v>
      </c>
      <c r="P995" s="21" t="s">
        <v>862</v>
      </c>
      <c r="Q995" s="0" t="n">
        <v>0</v>
      </c>
      <c r="R995" s="0" t="n">
        <v>4</v>
      </c>
      <c r="S995" s="0" t="n">
        <v>2026</v>
      </c>
    </row>
    <row r="996" customFormat="false" ht="14.25" hidden="false" customHeight="false" outlineLevel="0" collapsed="false">
      <c r="A996" s="17" t="n">
        <v>46119</v>
      </c>
      <c r="B996" s="21" t="s">
        <v>2550</v>
      </c>
      <c r="C996" s="22" t="n">
        <v>930</v>
      </c>
      <c r="D996" s="31" t="s">
        <v>390</v>
      </c>
      <c r="E996" s="21" t="s">
        <v>2551</v>
      </c>
      <c r="F996" s="19" t="n">
        <v>554184816184</v>
      </c>
      <c r="G996" s="31" t="s">
        <v>2552</v>
      </c>
      <c r="H996" s="21" t="s">
        <v>94</v>
      </c>
      <c r="I996" s="31" t="s">
        <v>34</v>
      </c>
      <c r="N996" s="21" t="s">
        <v>965</v>
      </c>
      <c r="O996" s="21" t="s">
        <v>2107</v>
      </c>
      <c r="P996" s="21" t="s">
        <v>862</v>
      </c>
      <c r="Q996" s="0" t="n">
        <v>-1</v>
      </c>
      <c r="R996" s="0" t="n">
        <v>4</v>
      </c>
      <c r="S996" s="0" t="n">
        <v>2026</v>
      </c>
    </row>
    <row r="997" customFormat="false" ht="14.25" hidden="false" customHeight="false" outlineLevel="0" collapsed="false">
      <c r="A997" s="17" t="n">
        <v>46119</v>
      </c>
      <c r="B997" s="21" t="s">
        <v>2493</v>
      </c>
      <c r="C997" s="22" t="n">
        <v>525</v>
      </c>
      <c r="D997" s="31" t="s">
        <v>27</v>
      </c>
      <c r="E997" s="21" t="s">
        <v>2494</v>
      </c>
      <c r="F997" s="19" t="n">
        <v>554198706895</v>
      </c>
      <c r="G997" s="31" t="s">
        <v>2495</v>
      </c>
      <c r="H997" s="21" t="s">
        <v>94</v>
      </c>
      <c r="I997" s="31" t="s">
        <v>54</v>
      </c>
      <c r="N997" s="21" t="s">
        <v>965</v>
      </c>
      <c r="O997" s="21" t="s">
        <v>2159</v>
      </c>
      <c r="P997" s="21" t="s">
        <v>2089</v>
      </c>
      <c r="Q997" s="0" t="n">
        <v>-1</v>
      </c>
      <c r="R997" s="0" t="n">
        <v>4</v>
      </c>
      <c r="S997" s="0" t="n">
        <v>2026</v>
      </c>
    </row>
    <row r="998" customFormat="false" ht="14.25" hidden="false" customHeight="false" outlineLevel="0" collapsed="false">
      <c r="A998" s="17" t="n">
        <v>46119</v>
      </c>
      <c r="B998" s="21" t="s">
        <v>105</v>
      </c>
      <c r="C998" s="22" t="n">
        <v>200</v>
      </c>
      <c r="D998" s="31" t="s">
        <v>106</v>
      </c>
      <c r="E998" s="21" t="s">
        <v>105</v>
      </c>
      <c r="F998" s="19" t="n">
        <v>5358746935</v>
      </c>
      <c r="G998" s="31" t="s">
        <v>43</v>
      </c>
      <c r="H998" s="21" t="s">
        <v>94</v>
      </c>
      <c r="I998" s="31" t="s">
        <v>54</v>
      </c>
      <c r="J998" s="21" t="s">
        <v>107</v>
      </c>
      <c r="M998" s="21" t="s">
        <v>108</v>
      </c>
      <c r="N998" s="21" t="s">
        <v>965</v>
      </c>
      <c r="O998" s="21" t="s">
        <v>2159</v>
      </c>
      <c r="P998" s="21" t="s">
        <v>2089</v>
      </c>
      <c r="Q998" s="0" t="n">
        <v>0</v>
      </c>
      <c r="R998" s="0" t="n">
        <v>4</v>
      </c>
      <c r="S998" s="0" t="n">
        <v>2026</v>
      </c>
    </row>
    <row r="999" customFormat="false" ht="14.25" hidden="false" customHeight="false" outlineLevel="0" collapsed="false">
      <c r="A999" s="17" t="n">
        <v>46119</v>
      </c>
      <c r="B999" s="21" t="s">
        <v>2059</v>
      </c>
      <c r="C999" s="22" t="n">
        <v>87</v>
      </c>
      <c r="D999" s="31" t="s">
        <v>390</v>
      </c>
      <c r="E999" s="21" t="s">
        <v>2059</v>
      </c>
      <c r="F999" s="19" t="n">
        <v>554187671962</v>
      </c>
      <c r="G999" s="31" t="s">
        <v>2060</v>
      </c>
      <c r="H999" s="21" t="s">
        <v>94</v>
      </c>
      <c r="I999" s="31" t="s">
        <v>355</v>
      </c>
      <c r="N999" s="21" t="s">
        <v>965</v>
      </c>
      <c r="R999" s="0" t="n">
        <v>4</v>
      </c>
      <c r="S999" s="0" t="n">
        <v>2026</v>
      </c>
    </row>
    <row r="1000" customFormat="false" ht="14.25" hidden="false" customHeight="false" outlineLevel="0" collapsed="false">
      <c r="A1000" s="17" t="n">
        <v>46119</v>
      </c>
      <c r="B1000" s="21" t="s">
        <v>471</v>
      </c>
      <c r="C1000" s="22" t="n">
        <v>240</v>
      </c>
      <c r="D1000" s="31" t="s">
        <v>30</v>
      </c>
      <c r="E1000" s="21" t="s">
        <v>471</v>
      </c>
      <c r="F1000" s="19" t="n">
        <v>5511981656902</v>
      </c>
      <c r="G1000" s="31" t="s">
        <v>697</v>
      </c>
      <c r="H1000" s="21" t="s">
        <v>94</v>
      </c>
      <c r="I1000" s="31" t="s">
        <v>54</v>
      </c>
      <c r="N1000" s="21" t="s">
        <v>1022</v>
      </c>
      <c r="O1000" s="21" t="s">
        <v>2135</v>
      </c>
      <c r="P1000" s="21" t="s">
        <v>2135</v>
      </c>
      <c r="Q1000" s="0" t="n">
        <v>-1</v>
      </c>
      <c r="R1000" s="0" t="n">
        <v>4</v>
      </c>
      <c r="S1000" s="0" t="n">
        <v>2026</v>
      </c>
    </row>
    <row r="1001" customFormat="false" ht="14.25" hidden="false" customHeight="false" outlineLevel="0" collapsed="false">
      <c r="A1001" s="17" t="n">
        <v>46119</v>
      </c>
      <c r="B1001" s="21" t="s">
        <v>2554</v>
      </c>
      <c r="C1001" s="22" t="n">
        <v>40</v>
      </c>
      <c r="D1001" s="31" t="s">
        <v>20</v>
      </c>
      <c r="E1001" s="21" t="s">
        <v>2554</v>
      </c>
      <c r="F1001" s="19" t="n">
        <v>559584298044</v>
      </c>
      <c r="G1001" s="31" t="s">
        <v>2555</v>
      </c>
      <c r="H1001" s="21" t="s">
        <v>94</v>
      </c>
      <c r="I1001" s="31" t="s">
        <v>54</v>
      </c>
      <c r="N1001" s="21" t="s">
        <v>965</v>
      </c>
      <c r="R1001" s="0" t="n">
        <v>4</v>
      </c>
      <c r="S1001" s="0" t="n">
        <v>2026</v>
      </c>
    </row>
    <row r="1002" customFormat="false" ht="14.25" hidden="false" customHeight="false" outlineLevel="0" collapsed="false">
      <c r="A1002" s="17" t="n">
        <v>46119</v>
      </c>
      <c r="B1002" s="21" t="s">
        <v>2557</v>
      </c>
      <c r="C1002" s="22" t="n">
        <v>150</v>
      </c>
      <c r="D1002" s="31" t="s">
        <v>1471</v>
      </c>
      <c r="E1002" s="21" t="s">
        <v>2558</v>
      </c>
      <c r="F1002" s="19" t="n">
        <v>5595920008541</v>
      </c>
      <c r="G1002" s="31" t="s">
        <v>43</v>
      </c>
      <c r="H1002" s="21" t="s">
        <v>94</v>
      </c>
      <c r="I1002" s="31" t="s">
        <v>355</v>
      </c>
      <c r="N1002" s="21" t="s">
        <v>965</v>
      </c>
      <c r="O1002" s="21" t="s">
        <v>2107</v>
      </c>
      <c r="P1002" s="21" t="s">
        <v>2135</v>
      </c>
      <c r="Q1002" s="0" t="n">
        <v>-1</v>
      </c>
      <c r="R1002" s="0" t="n">
        <v>4</v>
      </c>
      <c r="S1002" s="0" t="n">
        <v>2026</v>
      </c>
    </row>
    <row r="1003" customFormat="false" ht="14.25" hidden="false" customHeight="false" outlineLevel="0" collapsed="false">
      <c r="A1003" s="17" t="n">
        <v>46119</v>
      </c>
      <c r="B1003" s="21" t="s">
        <v>2560</v>
      </c>
      <c r="C1003" s="22" t="n">
        <v>120</v>
      </c>
      <c r="D1003" s="31" t="s">
        <v>21</v>
      </c>
      <c r="E1003" s="21" t="s">
        <v>2560</v>
      </c>
      <c r="F1003" s="19" t="n">
        <v>559584291424</v>
      </c>
      <c r="G1003" s="31" t="s">
        <v>2561</v>
      </c>
      <c r="H1003" s="21" t="s">
        <v>94</v>
      </c>
      <c r="I1003" s="31" t="s">
        <v>50</v>
      </c>
      <c r="N1003" s="21" t="s">
        <v>965</v>
      </c>
      <c r="O1003" s="21" t="s">
        <v>2562</v>
      </c>
      <c r="P1003" s="21" t="s">
        <v>2129</v>
      </c>
      <c r="Q1003" s="0" t="n">
        <v>11650080255</v>
      </c>
      <c r="R1003" s="0" t="n">
        <v>4</v>
      </c>
      <c r="S1003" s="0" t="n">
        <v>2026</v>
      </c>
    </row>
    <row r="1004" customFormat="false" ht="14.25" hidden="false" customHeight="false" outlineLevel="0" collapsed="false">
      <c r="A1004" s="17" t="n">
        <v>46120</v>
      </c>
      <c r="B1004" s="21" t="s">
        <v>2564</v>
      </c>
      <c r="C1004" s="22" t="n">
        <v>480</v>
      </c>
      <c r="D1004" s="31" t="s">
        <v>30</v>
      </c>
      <c r="E1004" s="21" t="s">
        <v>2564</v>
      </c>
      <c r="F1004" s="19" t="n">
        <v>5511981288679</v>
      </c>
      <c r="G1004" s="31" t="s">
        <v>2565</v>
      </c>
      <c r="H1004" s="21" t="s">
        <v>94</v>
      </c>
      <c r="I1004" s="31" t="s">
        <v>50</v>
      </c>
      <c r="N1004" s="21" t="s">
        <v>965</v>
      </c>
      <c r="O1004" s="21" t="s">
        <v>2142</v>
      </c>
      <c r="P1004" s="21" t="s">
        <v>2129</v>
      </c>
      <c r="Q1004" s="0" t="n">
        <v>-1</v>
      </c>
      <c r="R1004" s="0" t="n">
        <v>4</v>
      </c>
      <c r="S1004" s="0" t="n">
        <v>2026</v>
      </c>
    </row>
    <row r="1005" customFormat="false" ht="14.25" hidden="false" customHeight="false" outlineLevel="0" collapsed="false">
      <c r="A1005" s="17" t="n">
        <v>46120</v>
      </c>
      <c r="B1005" s="21" t="s">
        <v>2567</v>
      </c>
      <c r="C1005" s="22" t="n">
        <v>294</v>
      </c>
      <c r="D1005" s="31" t="s">
        <v>390</v>
      </c>
      <c r="E1005" s="21" t="s">
        <v>1910</v>
      </c>
      <c r="F1005" s="19" t="n">
        <v>5511947383448</v>
      </c>
      <c r="G1005" s="31" t="s">
        <v>1911</v>
      </c>
      <c r="H1005" s="21" t="s">
        <v>94</v>
      </c>
      <c r="I1005" s="31" t="s">
        <v>54</v>
      </c>
      <c r="N1005" s="21" t="s">
        <v>1022</v>
      </c>
      <c r="O1005" s="21" t="s">
        <v>2159</v>
      </c>
      <c r="P1005" s="21" t="s">
        <v>2089</v>
      </c>
      <c r="Q1005" s="0" t="n">
        <v>-1</v>
      </c>
      <c r="R1005" s="0" t="n">
        <v>4</v>
      </c>
      <c r="S1005" s="0" t="n">
        <v>2026</v>
      </c>
    </row>
    <row r="1006" customFormat="false" ht="14.25" hidden="false" customHeight="false" outlineLevel="0" collapsed="false">
      <c r="A1006" s="17" t="n">
        <v>46120</v>
      </c>
      <c r="B1006" s="21" t="s">
        <v>2569</v>
      </c>
      <c r="C1006" s="22" t="n">
        <v>360</v>
      </c>
      <c r="D1006" s="31" t="s">
        <v>20</v>
      </c>
      <c r="E1006" s="21" t="s">
        <v>2570</v>
      </c>
      <c r="F1006" s="19" t="n">
        <v>559581036890</v>
      </c>
      <c r="G1006" s="31" t="s">
        <v>2571</v>
      </c>
      <c r="H1006" s="21" t="s">
        <v>94</v>
      </c>
      <c r="I1006" s="31" t="s">
        <v>54</v>
      </c>
      <c r="N1006" s="21" t="s">
        <v>965</v>
      </c>
      <c r="O1006" s="21" t="s">
        <v>2107</v>
      </c>
      <c r="P1006" s="21" t="s">
        <v>2135</v>
      </c>
      <c r="Q1006" s="0" t="n">
        <v>-1</v>
      </c>
      <c r="R1006" s="0" t="n">
        <v>4</v>
      </c>
      <c r="S1006" s="0" t="n">
        <v>2026</v>
      </c>
    </row>
    <row r="1007" customFormat="false" ht="14.25" hidden="false" customHeight="false" outlineLevel="0" collapsed="false">
      <c r="A1007" s="17" t="n">
        <v>46120</v>
      </c>
      <c r="B1007" s="21" t="s">
        <v>2573</v>
      </c>
      <c r="C1007" s="22" t="n">
        <v>300</v>
      </c>
      <c r="D1007" s="31" t="s">
        <v>30</v>
      </c>
      <c r="E1007" s="21" t="s">
        <v>2573</v>
      </c>
      <c r="F1007" s="19" t="n">
        <v>555493512191</v>
      </c>
      <c r="G1007" s="31" t="s">
        <v>2574</v>
      </c>
      <c r="H1007" s="21" t="s">
        <v>94</v>
      </c>
      <c r="I1007" s="31" t="s">
        <v>54</v>
      </c>
      <c r="N1007" s="21" t="s">
        <v>1022</v>
      </c>
      <c r="O1007" s="21" t="s">
        <v>2120</v>
      </c>
      <c r="P1007" s="21" t="s">
        <v>2121</v>
      </c>
      <c r="Q1007" s="0" t="n">
        <v>-1</v>
      </c>
      <c r="R1007" s="0" t="n">
        <v>4</v>
      </c>
      <c r="S1007" s="0" t="n">
        <v>2026</v>
      </c>
    </row>
    <row r="1008" customFormat="false" ht="14.25" hidden="false" customHeight="false" outlineLevel="0" collapsed="false">
      <c r="A1008" s="17" t="n">
        <v>46120</v>
      </c>
      <c r="B1008" s="21" t="s">
        <v>1539</v>
      </c>
      <c r="C1008" s="22" t="n">
        <v>600</v>
      </c>
      <c r="D1008" s="31" t="s">
        <v>27</v>
      </c>
      <c r="E1008" s="21" t="s">
        <v>2575</v>
      </c>
      <c r="F1008" s="19" t="n">
        <v>559591343034</v>
      </c>
      <c r="G1008" s="31" t="s">
        <v>2576</v>
      </c>
      <c r="H1008" s="21" t="s">
        <v>94</v>
      </c>
      <c r="I1008" s="31" t="s">
        <v>355</v>
      </c>
      <c r="N1008" s="21" t="s">
        <v>965</v>
      </c>
      <c r="O1008" s="21" t="s">
        <v>2159</v>
      </c>
      <c r="P1008" s="21" t="s">
        <v>2089</v>
      </c>
      <c r="Q1008" s="0" t="n">
        <v>0</v>
      </c>
      <c r="R1008" s="0" t="n">
        <v>4</v>
      </c>
      <c r="S1008" s="0" t="n">
        <v>2026</v>
      </c>
    </row>
    <row r="1009" customFormat="false" ht="14.25" hidden="false" customHeight="false" outlineLevel="0" collapsed="false">
      <c r="A1009" s="17" t="n">
        <v>46120</v>
      </c>
      <c r="B1009" s="21" t="s">
        <v>2577</v>
      </c>
      <c r="C1009" s="22" t="n">
        <v>294</v>
      </c>
      <c r="D1009" s="31" t="s">
        <v>390</v>
      </c>
      <c r="E1009" s="21" t="s">
        <v>2578</v>
      </c>
      <c r="F1009" s="19" t="n">
        <v>554187657458</v>
      </c>
      <c r="G1009" s="31" t="s">
        <v>2579</v>
      </c>
      <c r="H1009" s="21" t="s">
        <v>94</v>
      </c>
      <c r="I1009" s="31" t="s">
        <v>355</v>
      </c>
      <c r="J1009" s="21" t="s">
        <v>35</v>
      </c>
      <c r="K1009" s="21" t="s">
        <v>36</v>
      </c>
      <c r="L1009" s="21" t="s">
        <v>37</v>
      </c>
      <c r="M1009" s="21" t="s">
        <v>38</v>
      </c>
      <c r="N1009" s="21" t="s">
        <v>965</v>
      </c>
      <c r="O1009" s="21" t="s">
        <v>2088</v>
      </c>
      <c r="P1009" s="21" t="s">
        <v>2089</v>
      </c>
      <c r="Q1009" s="0" t="n">
        <v>3612457934</v>
      </c>
      <c r="R1009" s="0" t="n">
        <v>4</v>
      </c>
      <c r="S1009" s="0" t="n">
        <v>2026</v>
      </c>
    </row>
    <row r="1010" customFormat="false" ht="14.25" hidden="false" customHeight="false" outlineLevel="0" collapsed="false">
      <c r="A1010" s="17" t="n">
        <v>46121</v>
      </c>
      <c r="B1010" s="21" t="s">
        <v>2581</v>
      </c>
      <c r="C1010" s="22" t="n">
        <v>120</v>
      </c>
      <c r="D1010" s="31" t="s">
        <v>23</v>
      </c>
      <c r="E1010" s="21" t="s">
        <v>2581</v>
      </c>
      <c r="F1010" s="19" t="n">
        <v>5511988137960</v>
      </c>
      <c r="G1010" s="31" t="s">
        <v>2582</v>
      </c>
      <c r="H1010" s="21" t="s">
        <v>94</v>
      </c>
      <c r="I1010" s="31" t="s">
        <v>50</v>
      </c>
      <c r="N1010" s="21" t="s">
        <v>965</v>
      </c>
      <c r="O1010" s="21" t="s">
        <v>2134</v>
      </c>
      <c r="P1010" s="21" t="s">
        <v>2135</v>
      </c>
      <c r="Q1010" s="0" t="n">
        <v>-1</v>
      </c>
      <c r="R1010" s="0" t="n">
        <v>4</v>
      </c>
      <c r="S1010" s="0" t="n">
        <v>2026</v>
      </c>
    </row>
    <row r="1011" customFormat="false" ht="14.25" hidden="false" customHeight="false" outlineLevel="0" collapsed="false">
      <c r="A1011" s="17" t="n">
        <v>46120</v>
      </c>
      <c r="B1011" s="21" t="s">
        <v>1849</v>
      </c>
      <c r="C1011" s="22" t="n">
        <v>600</v>
      </c>
      <c r="D1011" s="31" t="s">
        <v>106</v>
      </c>
      <c r="E1011" s="21" t="s">
        <v>1850</v>
      </c>
      <c r="F1011" s="19" t="n">
        <v>554899597391</v>
      </c>
      <c r="G1011" s="31" t="s">
        <v>1851</v>
      </c>
      <c r="H1011" s="21" t="s">
        <v>94</v>
      </c>
      <c r="I1011" s="31" t="s">
        <v>34</v>
      </c>
      <c r="N1011" s="21" t="s">
        <v>965</v>
      </c>
      <c r="R1011" s="0" t="n">
        <v>4</v>
      </c>
      <c r="S1011" s="0" t="n">
        <v>2026</v>
      </c>
    </row>
    <row r="1012" customFormat="false" ht="14.25" hidden="false" customHeight="false" outlineLevel="0" collapsed="false">
      <c r="A1012" s="17" t="n">
        <v>46120</v>
      </c>
      <c r="B1012" s="21" t="s">
        <v>2583</v>
      </c>
      <c r="C1012" s="22" t="n">
        <v>120</v>
      </c>
      <c r="D1012" s="31" t="s">
        <v>23</v>
      </c>
      <c r="E1012" s="21" t="s">
        <v>2584</v>
      </c>
      <c r="F1012" s="19" t="n">
        <v>5511963130113</v>
      </c>
      <c r="G1012" s="31" t="s">
        <v>43</v>
      </c>
      <c r="H1012" s="21" t="s">
        <v>94</v>
      </c>
      <c r="I1012" s="31" t="s">
        <v>50</v>
      </c>
      <c r="N1012" s="21" t="s">
        <v>965</v>
      </c>
      <c r="O1012" s="21" t="s">
        <v>2107</v>
      </c>
      <c r="P1012" s="21" t="s">
        <v>862</v>
      </c>
      <c r="Q1012" s="0" t="n">
        <v>-1</v>
      </c>
      <c r="R1012" s="0" t="n">
        <v>4</v>
      </c>
      <c r="S1012" s="0" t="n">
        <v>2026</v>
      </c>
    </row>
    <row r="1013" customFormat="false" ht="14.25" hidden="false" customHeight="false" outlineLevel="0" collapsed="false">
      <c r="A1013" s="17" t="n">
        <v>46120</v>
      </c>
      <c r="B1013" s="21" t="s">
        <v>1574</v>
      </c>
      <c r="C1013" s="22" t="n">
        <v>75</v>
      </c>
      <c r="D1013" s="31" t="s">
        <v>30</v>
      </c>
      <c r="E1013" s="21" t="s">
        <v>1574</v>
      </c>
      <c r="F1013" s="19" t="n">
        <v>554796680782</v>
      </c>
      <c r="G1013" s="31" t="s">
        <v>2585</v>
      </c>
      <c r="H1013" s="21" t="s">
        <v>94</v>
      </c>
      <c r="I1013" s="31" t="s">
        <v>34</v>
      </c>
      <c r="N1013" s="21" t="s">
        <v>965</v>
      </c>
      <c r="R1013" s="0" t="n">
        <v>4</v>
      </c>
      <c r="S1013" s="0" t="n">
        <v>2026</v>
      </c>
    </row>
    <row r="1014" customFormat="false" ht="14.25" hidden="false" customHeight="false" outlineLevel="0" collapsed="false">
      <c r="A1014" s="17" t="n">
        <v>46120</v>
      </c>
      <c r="B1014" s="21" t="s">
        <v>2586</v>
      </c>
      <c r="C1014" s="22" t="n">
        <v>150</v>
      </c>
      <c r="D1014" s="31" t="s">
        <v>32</v>
      </c>
      <c r="E1014" s="21" t="s">
        <v>2586</v>
      </c>
      <c r="F1014" s="19" t="n">
        <v>554191076146</v>
      </c>
      <c r="G1014" s="31" t="s">
        <v>2587</v>
      </c>
      <c r="H1014" s="21" t="s">
        <v>94</v>
      </c>
      <c r="I1014" s="31" t="s">
        <v>34</v>
      </c>
      <c r="N1014" s="21" t="s">
        <v>965</v>
      </c>
      <c r="O1014" s="21" t="s">
        <v>2159</v>
      </c>
      <c r="P1014" s="21" t="s">
        <v>2089</v>
      </c>
      <c r="R1014" s="0" t="n">
        <v>4</v>
      </c>
      <c r="S1014" s="0" t="n">
        <v>2026</v>
      </c>
    </row>
    <row r="1015" customFormat="false" ht="14.25" hidden="false" customHeight="false" outlineLevel="0" collapsed="false">
      <c r="A1015" s="17" t="n">
        <v>46121</v>
      </c>
      <c r="B1015" s="21" t="s">
        <v>2589</v>
      </c>
      <c r="C1015" s="22" t="n">
        <v>120</v>
      </c>
      <c r="D1015" s="31" t="s">
        <v>21</v>
      </c>
      <c r="E1015" s="21" t="s">
        <v>2589</v>
      </c>
      <c r="F1015" s="19" t="n">
        <v>559574001949</v>
      </c>
      <c r="G1015" s="31" t="s">
        <v>2590</v>
      </c>
      <c r="H1015" s="21" t="s">
        <v>94</v>
      </c>
      <c r="I1015" s="31" t="s">
        <v>355</v>
      </c>
      <c r="J1015" s="21" t="s">
        <v>1176</v>
      </c>
      <c r="K1015" s="21" t="s">
        <v>1897</v>
      </c>
      <c r="L1015" s="21" t="s">
        <v>2447</v>
      </c>
      <c r="M1015" s="21" t="s">
        <v>1179</v>
      </c>
      <c r="N1015" s="21" t="s">
        <v>965</v>
      </c>
      <c r="O1015" s="21" t="s">
        <v>2128</v>
      </c>
      <c r="P1015" s="21" t="s">
        <v>2129</v>
      </c>
      <c r="Q1015" s="0" t="n">
        <v>11548490237</v>
      </c>
      <c r="R1015" s="0" t="n">
        <v>4</v>
      </c>
      <c r="S1015" s="0" t="n">
        <v>2026</v>
      </c>
    </row>
    <row r="1016" customFormat="false" ht="14.25" hidden="false" customHeight="false" outlineLevel="0" collapsed="false">
      <c r="A1016" s="17" t="n">
        <v>46120</v>
      </c>
      <c r="B1016" s="21" t="s">
        <v>2591</v>
      </c>
      <c r="C1016" s="22" t="n">
        <v>147</v>
      </c>
      <c r="D1016" s="31" t="s">
        <v>30</v>
      </c>
      <c r="E1016" s="21" t="s">
        <v>2592</v>
      </c>
      <c r="F1016" s="19" t="n">
        <v>554691346097</v>
      </c>
      <c r="G1016" s="31" t="s">
        <v>43</v>
      </c>
      <c r="H1016" s="21" t="s">
        <v>94</v>
      </c>
      <c r="I1016" s="31" t="s">
        <v>50</v>
      </c>
      <c r="N1016" s="21" t="s">
        <v>965</v>
      </c>
      <c r="O1016" s="21" t="s">
        <v>2276</v>
      </c>
      <c r="P1016" s="21" t="s">
        <v>2135</v>
      </c>
      <c r="Q1016" s="0" t="n">
        <v>-1</v>
      </c>
      <c r="R1016" s="0" t="n">
        <v>4</v>
      </c>
      <c r="S1016" s="0" t="n">
        <v>2026</v>
      </c>
    </row>
    <row r="1017" customFormat="false" ht="14.25" hidden="false" customHeight="false" outlineLevel="0" collapsed="false">
      <c r="A1017" s="17" t="n">
        <v>46120</v>
      </c>
      <c r="B1017" s="21" t="s">
        <v>2593</v>
      </c>
      <c r="C1017" s="22" t="n">
        <v>120</v>
      </c>
      <c r="D1017" s="31" t="s">
        <v>20</v>
      </c>
      <c r="E1017" s="21" t="s">
        <v>2593</v>
      </c>
      <c r="F1017" s="19" t="n">
        <v>559599774507</v>
      </c>
      <c r="G1017" s="31" t="s">
        <v>2594</v>
      </c>
      <c r="H1017" s="21" t="s">
        <v>94</v>
      </c>
      <c r="I1017" s="31" t="s">
        <v>355</v>
      </c>
      <c r="J1017" s="21" t="s">
        <v>35</v>
      </c>
      <c r="K1017" s="21" t="s">
        <v>36</v>
      </c>
      <c r="L1017" s="21" t="s">
        <v>37</v>
      </c>
      <c r="M1017" s="21" t="s">
        <v>38</v>
      </c>
      <c r="N1017" s="21" t="s">
        <v>965</v>
      </c>
      <c r="O1017" s="21" t="s">
        <v>2107</v>
      </c>
      <c r="P1017" s="21" t="s">
        <v>862</v>
      </c>
      <c r="Q1017" s="0" t="n">
        <v>11598761269</v>
      </c>
      <c r="R1017" s="0" t="n">
        <v>4</v>
      </c>
      <c r="S1017" s="0" t="n">
        <v>2026</v>
      </c>
    </row>
    <row r="1018" customFormat="false" ht="14.25" hidden="false" customHeight="false" outlineLevel="0" collapsed="false">
      <c r="A1018" s="17" t="n">
        <v>46121</v>
      </c>
      <c r="B1018" s="21" t="s">
        <v>1721</v>
      </c>
      <c r="C1018" s="22" t="n">
        <v>150</v>
      </c>
      <c r="D1018" s="31" t="s">
        <v>24</v>
      </c>
      <c r="E1018" s="21" t="s">
        <v>1721</v>
      </c>
      <c r="F1018" s="19" t="n">
        <v>554184521162</v>
      </c>
      <c r="G1018" s="31" t="s">
        <v>1723</v>
      </c>
      <c r="H1018" s="21" t="s">
        <v>94</v>
      </c>
      <c r="I1018" s="31" t="s">
        <v>54</v>
      </c>
      <c r="N1018" s="21" t="s">
        <v>1022</v>
      </c>
      <c r="O1018" s="21" t="s">
        <v>2107</v>
      </c>
      <c r="P1018" s="21" t="s">
        <v>862</v>
      </c>
      <c r="Q1018" s="0" t="n">
        <v>0</v>
      </c>
      <c r="R1018" s="0" t="n">
        <v>4</v>
      </c>
      <c r="S1018" s="0" t="n">
        <v>2026</v>
      </c>
    </row>
    <row r="1019" customFormat="false" ht="14.25" hidden="false" customHeight="false" outlineLevel="0" collapsed="false">
      <c r="A1019" s="17" t="n">
        <v>46121</v>
      </c>
      <c r="B1019" s="21" t="s">
        <v>2597</v>
      </c>
      <c r="C1019" s="22" t="n">
        <v>120</v>
      </c>
      <c r="D1019" s="31" t="s">
        <v>20</v>
      </c>
      <c r="E1019" s="21" t="s">
        <v>2598</v>
      </c>
      <c r="F1019" s="19" t="n">
        <v>559584085211</v>
      </c>
      <c r="G1019" s="31" t="s">
        <v>2599</v>
      </c>
      <c r="H1019" s="21" t="s">
        <v>94</v>
      </c>
      <c r="I1019" s="31" t="s">
        <v>34</v>
      </c>
      <c r="N1019" s="21" t="s">
        <v>965</v>
      </c>
      <c r="O1019" s="21" t="s">
        <v>2159</v>
      </c>
      <c r="P1019" s="21" t="s">
        <v>2089</v>
      </c>
      <c r="Q1019" s="0" t="n">
        <v>0</v>
      </c>
      <c r="R1019" s="0" t="n">
        <v>4</v>
      </c>
      <c r="S1019" s="0" t="n">
        <v>2026</v>
      </c>
    </row>
    <row r="1020" customFormat="false" ht="14.25" hidden="false" customHeight="false" outlineLevel="0" collapsed="false">
      <c r="A1020" s="17" t="n">
        <v>46121</v>
      </c>
      <c r="B1020" s="21" t="s">
        <v>2601</v>
      </c>
      <c r="C1020" s="22" t="n">
        <v>97</v>
      </c>
      <c r="D1020" s="31" t="s">
        <v>20</v>
      </c>
      <c r="E1020" s="21" t="s">
        <v>2601</v>
      </c>
      <c r="F1020" s="19" t="n">
        <v>5511982597796</v>
      </c>
      <c r="G1020" s="31" t="s">
        <v>43</v>
      </c>
      <c r="H1020" s="21" t="s">
        <v>94</v>
      </c>
      <c r="I1020" s="31" t="s">
        <v>50</v>
      </c>
      <c r="N1020" s="21" t="s">
        <v>965</v>
      </c>
      <c r="O1020" s="21" t="s">
        <v>2107</v>
      </c>
      <c r="P1020" s="21" t="s">
        <v>2245</v>
      </c>
      <c r="Q1020" s="0" t="n">
        <v>-1</v>
      </c>
      <c r="R1020" s="0" t="n">
        <v>4</v>
      </c>
      <c r="S1020" s="0" t="n">
        <v>2026</v>
      </c>
    </row>
    <row r="1021" customFormat="false" ht="14.25" hidden="false" customHeight="false" outlineLevel="0" collapsed="false">
      <c r="A1021" s="17" t="n">
        <v>46121</v>
      </c>
      <c r="B1021" s="21" t="s">
        <v>1634</v>
      </c>
      <c r="C1021" s="22" t="n">
        <v>147</v>
      </c>
      <c r="D1021" s="31" t="s">
        <v>22</v>
      </c>
      <c r="E1021" s="21" t="s">
        <v>1634</v>
      </c>
      <c r="F1021" s="19" t="n">
        <v>554797946128</v>
      </c>
      <c r="G1021" s="31" t="s">
        <v>1635</v>
      </c>
      <c r="H1021" s="21" t="s">
        <v>94</v>
      </c>
      <c r="I1021" s="31" t="s">
        <v>54</v>
      </c>
      <c r="N1021" s="21" t="s">
        <v>1022</v>
      </c>
      <c r="O1021" s="21" t="s">
        <v>2107</v>
      </c>
      <c r="P1021" s="21" t="s">
        <v>862</v>
      </c>
      <c r="Q1021" s="0" t="n">
        <v>0</v>
      </c>
      <c r="R1021" s="0" t="n">
        <v>4</v>
      </c>
      <c r="S1021" s="0" t="n">
        <v>2026</v>
      </c>
    </row>
    <row r="1022" customFormat="false" ht="14.25" hidden="false" customHeight="false" outlineLevel="0" collapsed="false">
      <c r="A1022" s="17" t="n">
        <v>46121</v>
      </c>
      <c r="B1022" s="21" t="s">
        <v>1634</v>
      </c>
      <c r="C1022" s="22" t="n">
        <v>443</v>
      </c>
      <c r="D1022" s="31" t="s">
        <v>21</v>
      </c>
      <c r="E1022" s="21" t="s">
        <v>1634</v>
      </c>
      <c r="F1022" s="19" t="n">
        <v>554797946128</v>
      </c>
      <c r="G1022" s="31" t="s">
        <v>1635</v>
      </c>
      <c r="H1022" s="21" t="s">
        <v>94</v>
      </c>
      <c r="I1022" s="31" t="s">
        <v>54</v>
      </c>
      <c r="N1022" s="21" t="s">
        <v>1022</v>
      </c>
      <c r="O1022" s="21" t="s">
        <v>2107</v>
      </c>
      <c r="P1022" s="21" t="s">
        <v>862</v>
      </c>
      <c r="Q1022" s="0" t="n">
        <v>0</v>
      </c>
      <c r="R1022" s="0" t="n">
        <v>4</v>
      </c>
      <c r="S1022" s="0" t="n">
        <v>2026</v>
      </c>
    </row>
    <row r="1023" customFormat="false" ht="14.25" hidden="false" customHeight="false" outlineLevel="0" collapsed="false">
      <c r="A1023" s="17" t="n">
        <v>46121</v>
      </c>
      <c r="B1023" s="21" t="s">
        <v>2605</v>
      </c>
      <c r="C1023" s="22" t="n">
        <v>150</v>
      </c>
      <c r="D1023" s="31" t="s">
        <v>32</v>
      </c>
      <c r="E1023" s="21" t="s">
        <v>2605</v>
      </c>
      <c r="F1023" s="19" t="n">
        <v>555499335401</v>
      </c>
      <c r="G1023" s="31" t="s">
        <v>2606</v>
      </c>
      <c r="H1023" s="21" t="s">
        <v>94</v>
      </c>
      <c r="I1023" s="31" t="s">
        <v>355</v>
      </c>
      <c r="J1023" s="21" t="s">
        <v>1176</v>
      </c>
      <c r="K1023" s="21" t="s">
        <v>1177</v>
      </c>
      <c r="L1023" s="21" t="s">
        <v>1242</v>
      </c>
      <c r="M1023" s="21" t="s">
        <v>1243</v>
      </c>
      <c r="N1023" s="21" t="s">
        <v>965</v>
      </c>
      <c r="O1023" s="21" t="s">
        <v>2126</v>
      </c>
      <c r="P1023" s="21" t="s">
        <v>2121</v>
      </c>
      <c r="Q1023" s="0" t="n">
        <v>0</v>
      </c>
      <c r="R1023" s="0" t="n">
        <v>4</v>
      </c>
      <c r="S1023" s="0" t="n">
        <v>2026</v>
      </c>
    </row>
    <row r="1024" customFormat="false" ht="14.25" hidden="false" customHeight="false" outlineLevel="0" collapsed="false">
      <c r="A1024" s="17" t="n">
        <v>46121</v>
      </c>
      <c r="B1024" s="21" t="s">
        <v>2608</v>
      </c>
      <c r="C1024" s="22" t="n">
        <v>660</v>
      </c>
      <c r="D1024" s="31" t="s">
        <v>21</v>
      </c>
      <c r="E1024" s="21" t="s">
        <v>2608</v>
      </c>
      <c r="F1024" s="19" t="n">
        <v>554884391398</v>
      </c>
      <c r="G1024" s="31" t="s">
        <v>2609</v>
      </c>
      <c r="H1024" s="21" t="s">
        <v>94</v>
      </c>
      <c r="I1024" s="31" t="s">
        <v>355</v>
      </c>
      <c r="N1024" s="21" t="s">
        <v>965</v>
      </c>
      <c r="O1024" s="21" t="s">
        <v>2252</v>
      </c>
      <c r="P1024" s="21" t="s">
        <v>2129</v>
      </c>
      <c r="Q1024" s="0" t="n">
        <v>11971989207</v>
      </c>
      <c r="R1024" s="0" t="n">
        <v>4</v>
      </c>
      <c r="S1024" s="0" t="n">
        <v>2026</v>
      </c>
    </row>
    <row r="1025" customFormat="false" ht="14.25" hidden="false" customHeight="false" outlineLevel="0" collapsed="false">
      <c r="A1025" s="17" t="n">
        <v>46121</v>
      </c>
      <c r="B1025" s="21" t="s">
        <v>2611</v>
      </c>
      <c r="C1025" s="22" t="n">
        <v>294</v>
      </c>
      <c r="D1025" s="31" t="s">
        <v>22</v>
      </c>
      <c r="E1025" s="21" t="s">
        <v>969</v>
      </c>
      <c r="F1025" s="19" t="n">
        <v>554199765508</v>
      </c>
      <c r="G1025" s="31" t="s">
        <v>2612</v>
      </c>
      <c r="H1025" s="21" t="s">
        <v>94</v>
      </c>
      <c r="I1025" s="31" t="s">
        <v>355</v>
      </c>
      <c r="J1025" s="21" t="s">
        <v>1176</v>
      </c>
      <c r="K1025" s="21" t="s">
        <v>1897</v>
      </c>
      <c r="L1025" s="21" t="s">
        <v>1898</v>
      </c>
      <c r="M1025" s="21" t="s">
        <v>1179</v>
      </c>
      <c r="N1025" s="21" t="s">
        <v>965</v>
      </c>
      <c r="O1025" s="21" t="s">
        <v>2159</v>
      </c>
      <c r="P1025" s="21" t="s">
        <v>2089</v>
      </c>
      <c r="Q1025" s="0" t="n">
        <v>0</v>
      </c>
      <c r="R1025" s="0" t="n">
        <v>4</v>
      </c>
      <c r="S1025" s="0" t="n">
        <v>2026</v>
      </c>
    </row>
    <row r="1026" customFormat="false" ht="14.25" hidden="false" customHeight="false" outlineLevel="0" collapsed="false">
      <c r="A1026" s="17" t="n">
        <v>46121</v>
      </c>
      <c r="B1026" s="21" t="s">
        <v>2614</v>
      </c>
      <c r="C1026" s="22" t="n">
        <v>300</v>
      </c>
      <c r="D1026" s="31" t="s">
        <v>106</v>
      </c>
      <c r="E1026" s="21" t="s">
        <v>2614</v>
      </c>
      <c r="F1026" s="19" t="n">
        <v>554187182858</v>
      </c>
      <c r="G1026" s="31" t="s">
        <v>43</v>
      </c>
      <c r="H1026" s="21" t="s">
        <v>94</v>
      </c>
      <c r="I1026" s="31" t="s">
        <v>50</v>
      </c>
      <c r="N1026" s="21" t="s">
        <v>965</v>
      </c>
      <c r="O1026" s="21" t="s">
        <v>2107</v>
      </c>
      <c r="P1026" s="21" t="s">
        <v>862</v>
      </c>
      <c r="Q1026" s="0" t="n">
        <v>-1</v>
      </c>
      <c r="R1026" s="0" t="n">
        <v>4</v>
      </c>
      <c r="S1026" s="0" t="n">
        <v>2026</v>
      </c>
    </row>
    <row r="1027" customFormat="false" ht="14.25" hidden="false" customHeight="false" outlineLevel="0" collapsed="false">
      <c r="A1027" s="17" t="n">
        <v>46121</v>
      </c>
      <c r="B1027" s="21" t="s">
        <v>2153</v>
      </c>
      <c r="C1027" s="22" t="n">
        <v>147</v>
      </c>
      <c r="D1027" s="31" t="s">
        <v>390</v>
      </c>
      <c r="E1027" s="21" t="s">
        <v>2153</v>
      </c>
      <c r="F1027" s="19" t="n">
        <v>554896871939</v>
      </c>
      <c r="G1027" s="31" t="s">
        <v>2154</v>
      </c>
      <c r="H1027" s="21" t="s">
        <v>94</v>
      </c>
      <c r="I1027" s="31" t="s">
        <v>54</v>
      </c>
      <c r="N1027" s="21" t="s">
        <v>1022</v>
      </c>
      <c r="O1027" s="21" t="s">
        <v>2128</v>
      </c>
      <c r="P1027" s="21" t="s">
        <v>2129</v>
      </c>
      <c r="Q1027" s="0" t="n">
        <v>0</v>
      </c>
      <c r="R1027" s="0" t="n">
        <v>4</v>
      </c>
      <c r="S1027" s="0" t="n">
        <v>2026</v>
      </c>
    </row>
    <row r="1028" customFormat="false" ht="14.25" hidden="false" customHeight="false" outlineLevel="0" collapsed="false">
      <c r="A1028" s="17" t="n">
        <v>46121</v>
      </c>
      <c r="B1028" s="21" t="s">
        <v>2617</v>
      </c>
      <c r="C1028" s="22" t="n">
        <v>120</v>
      </c>
      <c r="D1028" s="31" t="s">
        <v>30</v>
      </c>
      <c r="E1028" s="21" t="s">
        <v>2618</v>
      </c>
      <c r="F1028" s="19" t="n">
        <v>559584399049</v>
      </c>
      <c r="G1028" s="31" t="s">
        <v>2619</v>
      </c>
      <c r="H1028" s="21" t="s">
        <v>94</v>
      </c>
      <c r="I1028" s="31" t="s">
        <v>50</v>
      </c>
      <c r="J1028" s="21" t="s">
        <v>35</v>
      </c>
      <c r="K1028" s="21" t="s">
        <v>36</v>
      </c>
      <c r="L1028" s="21" t="s">
        <v>37</v>
      </c>
      <c r="M1028" s="21" t="s">
        <v>38</v>
      </c>
      <c r="N1028" s="21" t="s">
        <v>965</v>
      </c>
      <c r="O1028" s="21" t="s">
        <v>2276</v>
      </c>
      <c r="P1028" s="21" t="s">
        <v>2135</v>
      </c>
      <c r="Q1028" s="0" t="n">
        <v>-1</v>
      </c>
      <c r="R1028" s="0" t="n">
        <v>4</v>
      </c>
      <c r="S1028" s="0" t="n">
        <v>2026</v>
      </c>
    </row>
    <row r="1029" customFormat="false" ht="14.25" hidden="false" customHeight="false" outlineLevel="0" collapsed="false">
      <c r="A1029" s="17" t="n">
        <v>46121</v>
      </c>
      <c r="B1029" s="21" t="s">
        <v>2621</v>
      </c>
      <c r="C1029" s="22" t="n">
        <v>294</v>
      </c>
      <c r="D1029" s="31" t="s">
        <v>18</v>
      </c>
      <c r="E1029" s="21" t="s">
        <v>2622</v>
      </c>
      <c r="F1029" s="19" t="n">
        <v>554892089032</v>
      </c>
      <c r="G1029" s="31" t="s">
        <v>2623</v>
      </c>
      <c r="H1029" s="21" t="s">
        <v>94</v>
      </c>
      <c r="I1029" s="31" t="s">
        <v>355</v>
      </c>
      <c r="J1029" s="21" t="s">
        <v>35</v>
      </c>
      <c r="K1029" s="21" t="s">
        <v>36</v>
      </c>
      <c r="L1029" s="21" t="s">
        <v>37</v>
      </c>
      <c r="M1029" s="21" t="s">
        <v>38</v>
      </c>
      <c r="N1029" s="21" t="s">
        <v>965</v>
      </c>
      <c r="O1029" s="21" t="s">
        <v>2128</v>
      </c>
      <c r="P1029" s="21" t="s">
        <v>2129</v>
      </c>
      <c r="Q1029" s="0" t="n">
        <v>11338823230</v>
      </c>
      <c r="R1029" s="0" t="n">
        <v>4</v>
      </c>
      <c r="S1029" s="0" t="n">
        <v>2026</v>
      </c>
    </row>
    <row r="1030" customFormat="false" ht="14.25" hidden="false" customHeight="false" outlineLevel="0" collapsed="false">
      <c r="A1030" s="17" t="n">
        <v>46120</v>
      </c>
      <c r="B1030" s="21" t="s">
        <v>2625</v>
      </c>
      <c r="C1030" s="22" t="n">
        <v>150</v>
      </c>
      <c r="D1030" s="31" t="s">
        <v>32</v>
      </c>
      <c r="E1030" s="21" t="s">
        <v>2626</v>
      </c>
      <c r="F1030" s="19" t="n">
        <v>553591616260</v>
      </c>
      <c r="G1030" s="31" t="s">
        <v>244</v>
      </c>
      <c r="H1030" s="21" t="s">
        <v>94</v>
      </c>
      <c r="I1030" s="31" t="s">
        <v>54</v>
      </c>
      <c r="N1030" s="21" t="s">
        <v>1022</v>
      </c>
      <c r="O1030" s="21" t="s">
        <v>2107</v>
      </c>
      <c r="P1030" s="21" t="s">
        <v>2245</v>
      </c>
      <c r="Q1030" s="0" t="n">
        <v>-1</v>
      </c>
      <c r="R1030" s="0" t="n">
        <v>4</v>
      </c>
      <c r="S1030" s="0" t="n">
        <v>2026</v>
      </c>
    </row>
    <row r="1031" customFormat="false" ht="14.25" hidden="false" customHeight="false" outlineLevel="0" collapsed="false">
      <c r="A1031" s="17" t="n">
        <v>46121</v>
      </c>
      <c r="B1031" s="21" t="s">
        <v>2628</v>
      </c>
      <c r="C1031" s="22" t="n">
        <v>150</v>
      </c>
      <c r="D1031" s="31" t="s">
        <v>32</v>
      </c>
      <c r="E1031" s="21" t="s">
        <v>2629</v>
      </c>
      <c r="F1031" s="19" t="n">
        <v>573337148051</v>
      </c>
      <c r="G1031" s="31" t="s">
        <v>2630</v>
      </c>
      <c r="H1031" s="21" t="s">
        <v>94</v>
      </c>
      <c r="I1031" s="31" t="s">
        <v>355</v>
      </c>
      <c r="J1031" s="21" t="s">
        <v>1176</v>
      </c>
      <c r="K1031" s="21" t="s">
        <v>1177</v>
      </c>
      <c r="L1031" s="21" t="s">
        <v>1178</v>
      </c>
      <c r="M1031" s="21" t="s">
        <v>1179</v>
      </c>
      <c r="N1031" s="21" t="s">
        <v>965</v>
      </c>
      <c r="O1031" s="21" t="s">
        <v>2107</v>
      </c>
      <c r="P1031" s="21" t="s">
        <v>862</v>
      </c>
      <c r="Q1031" s="0" t="n">
        <v>-1</v>
      </c>
      <c r="R1031" s="0" t="n">
        <v>4</v>
      </c>
      <c r="S1031" s="0" t="n">
        <v>2026</v>
      </c>
    </row>
    <row r="1032" customFormat="false" ht="14.25" hidden="false" customHeight="false" outlineLevel="0" collapsed="false">
      <c r="A1032" s="17" t="n">
        <v>46121</v>
      </c>
      <c r="B1032" s="21" t="s">
        <v>758</v>
      </c>
      <c r="C1032" s="22" t="n">
        <v>150</v>
      </c>
      <c r="D1032" s="31" t="s">
        <v>32</v>
      </c>
      <c r="E1032" s="21" t="s">
        <v>758</v>
      </c>
      <c r="F1032" s="19" t="n">
        <v>559584126524</v>
      </c>
      <c r="G1032" s="31" t="s">
        <v>519</v>
      </c>
      <c r="H1032" s="21" t="s">
        <v>94</v>
      </c>
      <c r="I1032" s="31" t="s">
        <v>54</v>
      </c>
      <c r="N1032" s="21" t="s">
        <v>1022</v>
      </c>
      <c r="O1032" s="21" t="s">
        <v>2107</v>
      </c>
      <c r="P1032" s="21" t="s">
        <v>862</v>
      </c>
      <c r="Q1032" s="0" t="n">
        <v>0</v>
      </c>
      <c r="R1032" s="0" t="n">
        <v>4</v>
      </c>
      <c r="S1032" s="0" t="n">
        <v>2026</v>
      </c>
    </row>
    <row r="1033" customFormat="false" ht="14.25" hidden="false" customHeight="false" outlineLevel="0" collapsed="false">
      <c r="A1033" s="17" t="n">
        <v>46121</v>
      </c>
      <c r="B1033" s="21" t="s">
        <v>2633</v>
      </c>
      <c r="C1033" s="22" t="n">
        <v>420</v>
      </c>
      <c r="D1033" s="31" t="s">
        <v>30</v>
      </c>
      <c r="E1033" s="21" t="s">
        <v>2633</v>
      </c>
      <c r="F1033" s="19" t="n">
        <v>555496355996</v>
      </c>
      <c r="G1033" s="31" t="s">
        <v>2634</v>
      </c>
      <c r="H1033" s="21" t="s">
        <v>94</v>
      </c>
      <c r="I1033" s="31" t="s">
        <v>50</v>
      </c>
      <c r="J1033" s="21" t="s">
        <v>35</v>
      </c>
      <c r="K1033" s="21" t="s">
        <v>69</v>
      </c>
      <c r="L1033" s="21" t="s">
        <v>70</v>
      </c>
      <c r="M1033" s="21" t="s">
        <v>38</v>
      </c>
      <c r="N1033" s="21" t="s">
        <v>965</v>
      </c>
      <c r="O1033" s="21" t="s">
        <v>2126</v>
      </c>
      <c r="P1033" s="21" t="s">
        <v>2121</v>
      </c>
      <c r="Q1033" s="0" t="n">
        <v>-1</v>
      </c>
      <c r="R1033" s="0" t="n">
        <v>4</v>
      </c>
      <c r="S1033" s="0" t="n">
        <v>2026</v>
      </c>
    </row>
    <row r="1034" customFormat="false" ht="14.25" hidden="false" customHeight="false" outlineLevel="0" collapsed="false">
      <c r="A1034" s="17" t="n">
        <v>46121</v>
      </c>
      <c r="B1034" s="21" t="s">
        <v>2636</v>
      </c>
      <c r="C1034" s="22" t="n">
        <v>147</v>
      </c>
      <c r="D1034" s="31" t="s">
        <v>18</v>
      </c>
      <c r="E1034" s="21" t="s">
        <v>2637</v>
      </c>
      <c r="F1034" s="19" t="n">
        <v>5511944895016</v>
      </c>
      <c r="G1034" s="31" t="s">
        <v>2638</v>
      </c>
      <c r="H1034" s="21" t="s">
        <v>94</v>
      </c>
      <c r="I1034" s="31" t="s">
        <v>355</v>
      </c>
      <c r="N1034" s="21" t="s">
        <v>965</v>
      </c>
      <c r="O1034" s="21" t="s">
        <v>2107</v>
      </c>
      <c r="P1034" s="21" t="s">
        <v>2135</v>
      </c>
      <c r="Q1034" s="0" t="n">
        <v>4818917818</v>
      </c>
      <c r="R1034" s="0" t="n">
        <v>4</v>
      </c>
      <c r="S1034" s="0" t="n">
        <v>2026</v>
      </c>
    </row>
    <row r="1035" customFormat="false" ht="14.25" hidden="false" customHeight="false" outlineLevel="0" collapsed="false">
      <c r="A1035" s="17" t="n">
        <v>46121</v>
      </c>
      <c r="B1035" s="21" t="s">
        <v>2640</v>
      </c>
      <c r="C1035" s="22" t="n">
        <v>120</v>
      </c>
      <c r="D1035" s="31" t="s">
        <v>30</v>
      </c>
      <c r="E1035" s="21" t="s">
        <v>2641</v>
      </c>
      <c r="F1035" s="19" t="n">
        <v>5519988335383</v>
      </c>
      <c r="G1035" s="31" t="s">
        <v>2642</v>
      </c>
      <c r="H1035" s="21" t="s">
        <v>94</v>
      </c>
      <c r="I1035" s="31" t="s">
        <v>34</v>
      </c>
      <c r="N1035" s="21" t="s">
        <v>965</v>
      </c>
      <c r="O1035" s="21" t="s">
        <v>2643</v>
      </c>
      <c r="P1035" s="21" t="s">
        <v>2135</v>
      </c>
      <c r="Q1035" s="0" t="n">
        <v>0</v>
      </c>
      <c r="R1035" s="0" t="n">
        <v>4</v>
      </c>
      <c r="S1035" s="0" t="n">
        <v>2026</v>
      </c>
    </row>
    <row r="1036" customFormat="false" ht="14.25" hidden="false" customHeight="false" outlineLevel="0" collapsed="false">
      <c r="A1036" s="17" t="n">
        <v>46121</v>
      </c>
      <c r="B1036" s="21" t="s">
        <v>2636</v>
      </c>
      <c r="C1036" s="22" t="n">
        <v>120</v>
      </c>
      <c r="D1036" s="31" t="s">
        <v>30</v>
      </c>
      <c r="E1036" s="21" t="s">
        <v>2637</v>
      </c>
      <c r="F1036" s="19" t="n">
        <v>5511944895016</v>
      </c>
      <c r="G1036" s="31" t="s">
        <v>2638</v>
      </c>
      <c r="H1036" s="21" t="s">
        <v>94</v>
      </c>
      <c r="I1036" s="31" t="s">
        <v>355</v>
      </c>
      <c r="N1036" s="21" t="s">
        <v>965</v>
      </c>
      <c r="O1036" s="21" t="s">
        <v>2107</v>
      </c>
      <c r="P1036" s="21" t="s">
        <v>2135</v>
      </c>
      <c r="Q1036" s="0" t="n">
        <v>4818917818</v>
      </c>
      <c r="R1036" s="0" t="n">
        <v>4</v>
      </c>
      <c r="S1036" s="0" t="n">
        <v>2026</v>
      </c>
    </row>
    <row r="1037" customFormat="false" ht="14.25" hidden="false" customHeight="false" outlineLevel="0" collapsed="false">
      <c r="A1037" s="17" t="n">
        <v>46121</v>
      </c>
      <c r="B1037" s="21" t="s">
        <v>2646</v>
      </c>
      <c r="C1037" s="22" t="n">
        <v>120</v>
      </c>
      <c r="D1037" s="31" t="s">
        <v>2214</v>
      </c>
      <c r="E1037" s="21" t="s">
        <v>2646</v>
      </c>
      <c r="F1037" s="19" t="n">
        <v>556481168509</v>
      </c>
      <c r="G1037" s="31" t="s">
        <v>2647</v>
      </c>
      <c r="H1037" s="21" t="s">
        <v>94</v>
      </c>
      <c r="I1037" s="31" t="s">
        <v>50</v>
      </c>
      <c r="J1037" s="21" t="s">
        <v>35</v>
      </c>
      <c r="K1037" s="21" t="s">
        <v>69</v>
      </c>
      <c r="L1037" s="21" t="s">
        <v>70</v>
      </c>
      <c r="M1037" s="21" t="s">
        <v>38</v>
      </c>
      <c r="N1037" s="21" t="s">
        <v>965</v>
      </c>
      <c r="O1037" s="21" t="s">
        <v>2648</v>
      </c>
      <c r="P1037" s="21" t="s">
        <v>862</v>
      </c>
      <c r="Q1037" s="0" t="n">
        <v>-1</v>
      </c>
      <c r="R1037" s="0" t="n">
        <v>4</v>
      </c>
      <c r="S1037" s="0" t="n">
        <v>2026</v>
      </c>
    </row>
    <row r="1038" customFormat="false" ht="14.25" hidden="false" customHeight="false" outlineLevel="0" collapsed="false">
      <c r="A1038" s="17" t="n">
        <v>46121</v>
      </c>
      <c r="B1038" s="21" t="s">
        <v>2636</v>
      </c>
      <c r="C1038" s="22" t="n">
        <v>120</v>
      </c>
      <c r="D1038" s="31" t="s">
        <v>862</v>
      </c>
      <c r="E1038" s="21" t="s">
        <v>2637</v>
      </c>
      <c r="F1038" s="19" t="n">
        <v>5511944895016</v>
      </c>
      <c r="G1038" s="31" t="s">
        <v>2638</v>
      </c>
      <c r="H1038" s="21" t="s">
        <v>94</v>
      </c>
      <c r="I1038" s="31" t="s">
        <v>355</v>
      </c>
      <c r="N1038" s="21" t="s">
        <v>965</v>
      </c>
      <c r="O1038" s="21" t="s">
        <v>2107</v>
      </c>
      <c r="P1038" s="21" t="s">
        <v>2135</v>
      </c>
      <c r="Q1038" s="0" t="n">
        <v>4818917818</v>
      </c>
      <c r="R1038" s="0" t="n">
        <v>4</v>
      </c>
      <c r="S1038" s="0" t="n">
        <v>2026</v>
      </c>
    </row>
    <row r="1039" customFormat="false" ht="14.25" hidden="false" customHeight="false" outlineLevel="0" collapsed="false">
      <c r="A1039" s="17" t="n">
        <v>46121</v>
      </c>
      <c r="B1039" s="21" t="s">
        <v>2651</v>
      </c>
      <c r="C1039" s="22" t="n">
        <v>147</v>
      </c>
      <c r="D1039" s="31" t="s">
        <v>18</v>
      </c>
      <c r="E1039" s="21" t="s">
        <v>2651</v>
      </c>
      <c r="F1039" s="19" t="n">
        <v>559681082485</v>
      </c>
      <c r="G1039" s="31" t="s">
        <v>2652</v>
      </c>
      <c r="H1039" s="21" t="s">
        <v>94</v>
      </c>
      <c r="I1039" s="31" t="s">
        <v>355</v>
      </c>
      <c r="N1039" s="21" t="s">
        <v>965</v>
      </c>
      <c r="O1039" s="21" t="s">
        <v>2159</v>
      </c>
      <c r="P1039" s="21" t="s">
        <v>2089</v>
      </c>
      <c r="Q1039" s="0" t="n">
        <v>11344978223</v>
      </c>
      <c r="R1039" s="0" t="n">
        <v>4</v>
      </c>
      <c r="S1039" s="0" t="n">
        <v>2026</v>
      </c>
    </row>
    <row r="1040" customFormat="false" ht="14.25" hidden="false" customHeight="false" outlineLevel="0" collapsed="false">
      <c r="A1040" s="17" t="n">
        <v>46121</v>
      </c>
      <c r="B1040" s="21" t="s">
        <v>2653</v>
      </c>
      <c r="C1040" s="22" t="n">
        <v>150</v>
      </c>
      <c r="D1040" s="31" t="s">
        <v>32</v>
      </c>
      <c r="E1040" s="21" t="s">
        <v>2654</v>
      </c>
      <c r="F1040" s="19" t="n">
        <v>559584107108</v>
      </c>
      <c r="G1040" s="31" t="s">
        <v>2655</v>
      </c>
      <c r="H1040" s="21" t="s">
        <v>94</v>
      </c>
      <c r="I1040" s="31" t="s">
        <v>50</v>
      </c>
      <c r="N1040" s="21" t="s">
        <v>965</v>
      </c>
      <c r="O1040" s="21" t="s">
        <v>2107</v>
      </c>
      <c r="P1040" s="21" t="s">
        <v>862</v>
      </c>
      <c r="Q1040" s="0" t="n">
        <v>-1</v>
      </c>
      <c r="R1040" s="0" t="n">
        <v>4</v>
      </c>
      <c r="S1040" s="0" t="n">
        <v>2026</v>
      </c>
    </row>
    <row r="1041" customFormat="false" ht="14.25" hidden="false" customHeight="false" outlineLevel="0" collapsed="false">
      <c r="A1041" s="17" t="n">
        <v>46121</v>
      </c>
      <c r="B1041" s="21" t="s">
        <v>2656</v>
      </c>
      <c r="C1041" s="22" t="n">
        <v>147</v>
      </c>
      <c r="D1041" s="31" t="s">
        <v>22</v>
      </c>
      <c r="E1041" s="21" t="s">
        <v>2657</v>
      </c>
      <c r="F1041" s="19" t="n">
        <v>18562664691</v>
      </c>
      <c r="G1041" s="31" t="s">
        <v>2658</v>
      </c>
      <c r="H1041" s="21" t="s">
        <v>94</v>
      </c>
      <c r="I1041" s="31" t="s">
        <v>355</v>
      </c>
      <c r="N1041" s="21" t="s">
        <v>965</v>
      </c>
      <c r="O1041" s="21" t="s">
        <v>2659</v>
      </c>
      <c r="P1041" s="21" t="s">
        <v>2245</v>
      </c>
      <c r="Q1041" s="0" t="n">
        <v>0</v>
      </c>
      <c r="R1041" s="0" t="n">
        <v>4</v>
      </c>
      <c r="S1041" s="0" t="n">
        <v>2026</v>
      </c>
    </row>
    <row r="1042" customFormat="false" ht="14.25" hidden="false" customHeight="false" outlineLevel="0" collapsed="false">
      <c r="A1042" s="17" t="n">
        <v>46121</v>
      </c>
      <c r="B1042" s="21" t="s">
        <v>2656</v>
      </c>
      <c r="C1042" s="22" t="n">
        <v>120</v>
      </c>
      <c r="D1042" s="31" t="s">
        <v>30</v>
      </c>
      <c r="E1042" s="21" t="s">
        <v>2657</v>
      </c>
      <c r="F1042" s="19" t="n">
        <v>559684162886</v>
      </c>
      <c r="G1042" s="31" t="s">
        <v>2660</v>
      </c>
      <c r="H1042" s="21" t="s">
        <v>94</v>
      </c>
      <c r="I1042" s="31" t="s">
        <v>355</v>
      </c>
      <c r="N1042" s="21" t="s">
        <v>965</v>
      </c>
      <c r="O1042" s="21" t="s">
        <v>2659</v>
      </c>
      <c r="P1042" s="21" t="s">
        <v>2245</v>
      </c>
      <c r="Q1042" s="0" t="n">
        <v>0</v>
      </c>
      <c r="R1042" s="0" t="n">
        <v>4</v>
      </c>
      <c r="S1042" s="0" t="n">
        <v>2026</v>
      </c>
    </row>
    <row r="1043" customFormat="false" ht="14.25" hidden="false" customHeight="false" outlineLevel="0" collapsed="false">
      <c r="A1043" s="17" t="n">
        <v>46121</v>
      </c>
      <c r="B1043" s="21" t="s">
        <v>2656</v>
      </c>
      <c r="C1043" s="22" t="n">
        <v>147</v>
      </c>
      <c r="D1043" s="31" t="s">
        <v>22</v>
      </c>
      <c r="E1043" s="21" t="s">
        <v>2661</v>
      </c>
      <c r="F1043" s="19" t="n">
        <v>553182986802</v>
      </c>
      <c r="G1043" s="31" t="s">
        <v>2662</v>
      </c>
      <c r="H1043" s="21" t="s">
        <v>94</v>
      </c>
      <c r="I1043" s="31" t="s">
        <v>355</v>
      </c>
      <c r="N1043" s="21" t="s">
        <v>965</v>
      </c>
      <c r="O1043" s="21" t="s">
        <v>2659</v>
      </c>
      <c r="P1043" s="21" t="s">
        <v>2245</v>
      </c>
      <c r="Q1043" s="0" t="n">
        <v>0</v>
      </c>
      <c r="R1043" s="0" t="n">
        <v>4</v>
      </c>
      <c r="S1043" s="0" t="n">
        <v>2026</v>
      </c>
    </row>
    <row r="1044" customFormat="false" ht="14.25" hidden="false" customHeight="false" outlineLevel="0" collapsed="false">
      <c r="A1044" s="17" t="n">
        <v>46121</v>
      </c>
      <c r="B1044" s="21" t="s">
        <v>2656</v>
      </c>
      <c r="C1044" s="22" t="n">
        <v>120</v>
      </c>
      <c r="D1044" s="31" t="s">
        <v>30</v>
      </c>
      <c r="E1044" s="21" t="s">
        <v>2661</v>
      </c>
      <c r="F1044" s="19" t="n">
        <v>553182986802</v>
      </c>
      <c r="G1044" s="31" t="s">
        <v>2662</v>
      </c>
      <c r="H1044" s="21" t="s">
        <v>94</v>
      </c>
      <c r="I1044" s="31" t="s">
        <v>355</v>
      </c>
      <c r="N1044" s="21" t="s">
        <v>965</v>
      </c>
      <c r="O1044" s="21" t="s">
        <v>2659</v>
      </c>
      <c r="P1044" s="21" t="s">
        <v>2245</v>
      </c>
      <c r="Q1044" s="0" t="n">
        <v>0</v>
      </c>
      <c r="R1044" s="0" t="n">
        <v>4</v>
      </c>
      <c r="S1044" s="0" t="n">
        <v>2026</v>
      </c>
    </row>
    <row r="1045" customFormat="false" ht="14.25" hidden="false" customHeight="false" outlineLevel="0" collapsed="false">
      <c r="A1045" s="17" t="n">
        <v>46122</v>
      </c>
      <c r="B1045" s="21" t="s">
        <v>2664</v>
      </c>
      <c r="C1045" s="22" t="n">
        <v>150</v>
      </c>
      <c r="D1045" s="31" t="s">
        <v>1471</v>
      </c>
      <c r="E1045" s="21" t="s">
        <v>2665</v>
      </c>
      <c r="F1045" s="19" t="n">
        <v>554891344683</v>
      </c>
      <c r="G1045" s="31" t="s">
        <v>2666</v>
      </c>
      <c r="H1045" s="21" t="s">
        <v>94</v>
      </c>
      <c r="I1045" s="31" t="s">
        <v>34</v>
      </c>
      <c r="N1045" s="21" t="s">
        <v>965</v>
      </c>
      <c r="O1045" s="21" t="s">
        <v>2128</v>
      </c>
      <c r="P1045" s="21" t="s">
        <v>2129</v>
      </c>
      <c r="Q1045" s="0" t="n">
        <v>0</v>
      </c>
      <c r="R1045" s="0" t="n">
        <v>4</v>
      </c>
      <c r="S1045" s="0" t="n">
        <v>2026</v>
      </c>
    </row>
    <row r="1046" customFormat="false" ht="14.25" hidden="false" customHeight="false" outlineLevel="0" collapsed="false">
      <c r="A1046" s="17" t="n">
        <v>46122</v>
      </c>
      <c r="B1046" s="21" t="s">
        <v>2668</v>
      </c>
      <c r="C1046" s="22" t="n">
        <v>480</v>
      </c>
      <c r="D1046" s="31" t="s">
        <v>30</v>
      </c>
      <c r="E1046" s="21" t="s">
        <v>2668</v>
      </c>
      <c r="F1046" s="19" t="n">
        <v>5511910622660</v>
      </c>
      <c r="G1046" s="31" t="s">
        <v>2669</v>
      </c>
      <c r="H1046" s="21" t="s">
        <v>94</v>
      </c>
      <c r="I1046" s="31" t="s">
        <v>54</v>
      </c>
      <c r="N1046" s="21" t="s">
        <v>1022</v>
      </c>
      <c r="O1046" s="21" t="s">
        <v>2135</v>
      </c>
      <c r="P1046" s="21" t="s">
        <v>2135</v>
      </c>
      <c r="Q1046" s="0" t="n">
        <v>-1</v>
      </c>
      <c r="R1046" s="0" t="n">
        <v>4</v>
      </c>
      <c r="S1046" s="0" t="n">
        <v>2026</v>
      </c>
    </row>
    <row r="1047" customFormat="false" ht="14.25" hidden="false" customHeight="false" outlineLevel="0" collapsed="false">
      <c r="A1047" s="17" t="n">
        <v>46115</v>
      </c>
      <c r="B1047" s="21" t="s">
        <v>2671</v>
      </c>
      <c r="C1047" s="22" t="n">
        <v>150</v>
      </c>
      <c r="D1047" s="31" t="s">
        <v>24</v>
      </c>
      <c r="E1047" s="21" t="s">
        <v>2671</v>
      </c>
      <c r="F1047" s="19" t="n">
        <v>554788347947</v>
      </c>
      <c r="G1047" s="31" t="s">
        <v>2672</v>
      </c>
      <c r="H1047" s="21" t="s">
        <v>94</v>
      </c>
      <c r="I1047" s="31" t="s">
        <v>34</v>
      </c>
      <c r="N1047" s="21" t="s">
        <v>965</v>
      </c>
      <c r="O1047" s="21" t="s">
        <v>2107</v>
      </c>
      <c r="P1047" s="21" t="s">
        <v>862</v>
      </c>
      <c r="Q1047" s="0" t="n">
        <v>-1</v>
      </c>
      <c r="R1047" s="0" t="n">
        <v>4</v>
      </c>
      <c r="S1047" s="0" t="n">
        <v>2026</v>
      </c>
    </row>
    <row r="1048" customFormat="false" ht="14.25" hidden="false" customHeight="false" outlineLevel="0" collapsed="false">
      <c r="A1048" s="17" t="n">
        <v>46122</v>
      </c>
      <c r="B1048" s="21" t="s">
        <v>2674</v>
      </c>
      <c r="C1048" s="22" t="n">
        <v>147</v>
      </c>
      <c r="D1048" s="31" t="s">
        <v>21</v>
      </c>
      <c r="E1048" s="21" t="s">
        <v>2674</v>
      </c>
      <c r="F1048" s="19" t="n">
        <v>554192032291</v>
      </c>
      <c r="G1048" s="31" t="s">
        <v>2675</v>
      </c>
      <c r="H1048" s="21" t="s">
        <v>94</v>
      </c>
      <c r="I1048" s="31" t="s">
        <v>54</v>
      </c>
      <c r="N1048" s="21" t="s">
        <v>1022</v>
      </c>
      <c r="O1048" s="21" t="s">
        <v>2676</v>
      </c>
      <c r="P1048" s="21" t="s">
        <v>2129</v>
      </c>
      <c r="Q1048" s="0" t="n">
        <v>-1</v>
      </c>
      <c r="R1048" s="0" t="n">
        <v>4</v>
      </c>
      <c r="S1048" s="0" t="n">
        <v>2026</v>
      </c>
    </row>
    <row r="1049" customFormat="false" ht="14.25" hidden="false" customHeight="false" outlineLevel="0" collapsed="false">
      <c r="A1049" s="17" t="n">
        <v>46122</v>
      </c>
      <c r="B1049" s="21" t="s">
        <v>2678</v>
      </c>
      <c r="C1049" s="22" t="n">
        <v>900</v>
      </c>
      <c r="D1049" s="31" t="s">
        <v>106</v>
      </c>
      <c r="E1049" s="21" t="s">
        <v>2678</v>
      </c>
      <c r="F1049" s="19" t="n">
        <v>554888798345</v>
      </c>
      <c r="G1049" s="31" t="s">
        <v>2679</v>
      </c>
      <c r="H1049" s="21" t="s">
        <v>94</v>
      </c>
      <c r="I1049" s="31" t="s">
        <v>34</v>
      </c>
      <c r="N1049" s="21" t="s">
        <v>965</v>
      </c>
      <c r="O1049" s="21" t="s">
        <v>2128</v>
      </c>
      <c r="P1049" s="21" t="s">
        <v>2129</v>
      </c>
      <c r="Q1049" s="0" t="n">
        <v>0</v>
      </c>
      <c r="R1049" s="0" t="n">
        <v>4</v>
      </c>
      <c r="S1049" s="0" t="n">
        <v>2026</v>
      </c>
    </row>
    <row r="1050" customFormat="false" ht="14.25" hidden="false" customHeight="false" outlineLevel="0" collapsed="false">
      <c r="A1050" s="17" t="n">
        <v>46122</v>
      </c>
      <c r="B1050" s="21" t="s">
        <v>2681</v>
      </c>
      <c r="C1050" s="22" t="n">
        <v>150</v>
      </c>
      <c r="D1050" s="31" t="s">
        <v>32</v>
      </c>
      <c r="E1050" s="21" t="s">
        <v>2681</v>
      </c>
      <c r="F1050" s="19" t="n">
        <v>554791489195</v>
      </c>
      <c r="G1050" s="31" t="s">
        <v>2682</v>
      </c>
      <c r="H1050" s="21" t="s">
        <v>94</v>
      </c>
      <c r="I1050" s="31" t="s">
        <v>34</v>
      </c>
      <c r="J1050" s="21" t="s">
        <v>1176</v>
      </c>
      <c r="K1050" s="21" t="s">
        <v>1955</v>
      </c>
      <c r="L1050" s="21" t="s">
        <v>2683</v>
      </c>
      <c r="M1050" s="21" t="s">
        <v>1179</v>
      </c>
      <c r="N1050" s="21" t="s">
        <v>965</v>
      </c>
      <c r="O1050" s="21" t="s">
        <v>2107</v>
      </c>
      <c r="P1050" s="21" t="s">
        <v>2129</v>
      </c>
      <c r="Q1050" s="0" t="n">
        <v>0</v>
      </c>
      <c r="R1050" s="0" t="n">
        <v>4</v>
      </c>
      <c r="S1050" s="0" t="n">
        <v>2026</v>
      </c>
    </row>
    <row r="1051" customFormat="false" ht="14.25" hidden="false" customHeight="false" outlineLevel="0" collapsed="false">
      <c r="A1051" s="17" t="n">
        <v>46122</v>
      </c>
      <c r="B1051" s="21" t="s">
        <v>2636</v>
      </c>
      <c r="C1051" s="22" t="n">
        <v>250</v>
      </c>
      <c r="D1051" s="31" t="s">
        <v>29</v>
      </c>
      <c r="E1051" s="21" t="s">
        <v>2637</v>
      </c>
      <c r="F1051" s="19" t="n">
        <v>5511944895016</v>
      </c>
      <c r="G1051" s="31" t="s">
        <v>2638</v>
      </c>
      <c r="H1051" s="21" t="s">
        <v>94</v>
      </c>
      <c r="I1051" s="31" t="s">
        <v>355</v>
      </c>
      <c r="N1051" s="21" t="s">
        <v>965</v>
      </c>
      <c r="O1051" s="21" t="s">
        <v>2107</v>
      </c>
      <c r="P1051" s="21" t="s">
        <v>2135</v>
      </c>
      <c r="Q1051" s="0" t="n">
        <v>0</v>
      </c>
      <c r="R1051" s="0" t="n">
        <v>4</v>
      </c>
      <c r="S1051" s="0" t="n">
        <v>2026</v>
      </c>
    </row>
    <row r="1052" customFormat="false" ht="14.25" hidden="false" customHeight="false" outlineLevel="0" collapsed="false">
      <c r="A1052" s="17" t="n">
        <v>46122</v>
      </c>
      <c r="B1052" s="21" t="s">
        <v>2686</v>
      </c>
      <c r="C1052" s="22" t="n">
        <v>194</v>
      </c>
      <c r="D1052" s="31" t="s">
        <v>20</v>
      </c>
      <c r="E1052" s="21" t="s">
        <v>2687</v>
      </c>
      <c r="F1052" s="19" t="n">
        <v>5516993929176</v>
      </c>
      <c r="G1052" s="31" t="s">
        <v>2688</v>
      </c>
      <c r="H1052" s="21" t="s">
        <v>94</v>
      </c>
      <c r="I1052" s="31" t="s">
        <v>355</v>
      </c>
      <c r="J1052" s="21" t="s">
        <v>35</v>
      </c>
      <c r="K1052" s="21" t="s">
        <v>272</v>
      </c>
      <c r="L1052" s="21" t="s">
        <v>273</v>
      </c>
      <c r="M1052" s="21" t="s">
        <v>38</v>
      </c>
      <c r="N1052" s="21" t="s">
        <v>965</v>
      </c>
      <c r="O1052" s="21" t="s">
        <v>2689</v>
      </c>
      <c r="P1052" s="21" t="s">
        <v>2135</v>
      </c>
      <c r="Q1052" s="0" t="n">
        <v>11481124218</v>
      </c>
      <c r="R1052" s="0" t="n">
        <v>4</v>
      </c>
      <c r="S1052" s="0" t="n">
        <v>2026</v>
      </c>
    </row>
    <row r="1053" customFormat="false" ht="14.25" hidden="false" customHeight="false" outlineLevel="0" collapsed="false">
      <c r="A1053" s="17" t="n">
        <v>46122</v>
      </c>
      <c r="B1053" s="21" t="s">
        <v>884</v>
      </c>
      <c r="C1053" s="22" t="n">
        <v>120</v>
      </c>
      <c r="D1053" s="31" t="s">
        <v>23</v>
      </c>
      <c r="E1053" s="21" t="s">
        <v>884</v>
      </c>
      <c r="F1053" s="19" t="n">
        <v>554192184353</v>
      </c>
      <c r="G1053" s="31" t="s">
        <v>885</v>
      </c>
      <c r="H1053" s="21" t="s">
        <v>94</v>
      </c>
      <c r="I1053" s="31" t="s">
        <v>54</v>
      </c>
      <c r="N1053" s="21" t="s">
        <v>1022</v>
      </c>
      <c r="O1053" s="21" t="s">
        <v>2159</v>
      </c>
      <c r="P1053" s="21" t="s">
        <v>2089</v>
      </c>
      <c r="Q1053" s="0" t="n">
        <v>-1</v>
      </c>
      <c r="R1053" s="0" t="n">
        <v>4</v>
      </c>
      <c r="S1053" s="0" t="n">
        <v>2026</v>
      </c>
    </row>
    <row r="1054" customFormat="false" ht="14.25" hidden="false" customHeight="false" outlineLevel="0" collapsed="false">
      <c r="A1054" s="17" t="n">
        <v>46122</v>
      </c>
      <c r="B1054" s="21" t="s">
        <v>2692</v>
      </c>
      <c r="C1054" s="22" t="n">
        <v>150</v>
      </c>
      <c r="D1054" s="31" t="s">
        <v>32</v>
      </c>
      <c r="E1054" s="21" t="s">
        <v>2692</v>
      </c>
      <c r="F1054" s="19" t="n">
        <v>5927379604</v>
      </c>
      <c r="G1054" s="31" t="s">
        <v>2693</v>
      </c>
      <c r="H1054" s="21" t="s">
        <v>94</v>
      </c>
      <c r="I1054" s="31" t="s">
        <v>50</v>
      </c>
      <c r="N1054" s="21" t="s">
        <v>965</v>
      </c>
      <c r="O1054" s="21" t="s">
        <v>2107</v>
      </c>
      <c r="P1054" s="21" t="s">
        <v>862</v>
      </c>
      <c r="Q1054" s="0" t="n">
        <v>-1</v>
      </c>
      <c r="R1054" s="0" t="n">
        <v>4</v>
      </c>
      <c r="S1054" s="0" t="n">
        <v>2026</v>
      </c>
    </row>
    <row r="1055" customFormat="false" ht="14.25" hidden="false" customHeight="false" outlineLevel="0" collapsed="false">
      <c r="A1055" s="17" t="n">
        <v>46122</v>
      </c>
      <c r="B1055" s="21" t="s">
        <v>2695</v>
      </c>
      <c r="C1055" s="22" t="n">
        <v>294</v>
      </c>
      <c r="D1055" s="31" t="s">
        <v>21</v>
      </c>
      <c r="E1055" s="21" t="s">
        <v>2696</v>
      </c>
      <c r="F1055" s="19" t="n">
        <v>559584096367</v>
      </c>
      <c r="G1055" s="31" t="s">
        <v>2697</v>
      </c>
      <c r="H1055" s="21" t="s">
        <v>94</v>
      </c>
      <c r="I1055" s="31" t="s">
        <v>54</v>
      </c>
      <c r="N1055" s="21" t="s">
        <v>965</v>
      </c>
      <c r="O1055" s="21" t="s">
        <v>2128</v>
      </c>
      <c r="P1055" s="21" t="s">
        <v>2129</v>
      </c>
      <c r="Q1055" s="0" t="n">
        <v>-1</v>
      </c>
      <c r="R1055" s="0" t="n">
        <v>4</v>
      </c>
      <c r="S1055" s="0" t="n">
        <v>2026</v>
      </c>
    </row>
    <row r="1056" customFormat="false" ht="14.25" hidden="false" customHeight="false" outlineLevel="0" collapsed="false">
      <c r="A1056" s="17" t="n">
        <v>46122</v>
      </c>
      <c r="B1056" s="21" t="s">
        <v>2699</v>
      </c>
      <c r="C1056" s="22" t="n">
        <v>300</v>
      </c>
      <c r="D1056" s="31" t="s">
        <v>106</v>
      </c>
      <c r="E1056" s="21" t="s">
        <v>2700</v>
      </c>
      <c r="F1056" s="19" t="n">
        <v>554187708060</v>
      </c>
      <c r="G1056" s="31" t="s">
        <v>2701</v>
      </c>
      <c r="H1056" s="21" t="s">
        <v>94</v>
      </c>
      <c r="I1056" s="31" t="s">
        <v>355</v>
      </c>
      <c r="N1056" s="21" t="s">
        <v>965</v>
      </c>
      <c r="O1056" s="21" t="s">
        <v>2088</v>
      </c>
      <c r="P1056" s="21" t="s">
        <v>2089</v>
      </c>
      <c r="Q1056" s="0" t="n">
        <v>3260836934</v>
      </c>
      <c r="R1056" s="0" t="n">
        <v>4</v>
      </c>
      <c r="S1056" s="0" t="n">
        <v>2026</v>
      </c>
    </row>
    <row r="1057" customFormat="false" ht="14.25" hidden="false" customHeight="false" outlineLevel="0" collapsed="false">
      <c r="A1057" s="17" t="n">
        <v>46123</v>
      </c>
      <c r="B1057" s="21" t="s">
        <v>2703</v>
      </c>
      <c r="C1057" s="22" t="n">
        <v>97</v>
      </c>
      <c r="D1057" s="31" t="s">
        <v>20</v>
      </c>
      <c r="E1057" s="21" t="s">
        <v>2703</v>
      </c>
      <c r="F1057" s="19" t="n">
        <v>554195773334</v>
      </c>
      <c r="G1057" s="31" t="s">
        <v>2704</v>
      </c>
      <c r="H1057" s="21" t="s">
        <v>94</v>
      </c>
      <c r="I1057" s="31" t="s">
        <v>34</v>
      </c>
      <c r="J1057" s="21" t="s">
        <v>97</v>
      </c>
      <c r="K1057" s="21" t="s">
        <v>20</v>
      </c>
      <c r="L1057" s="21" t="s">
        <v>469</v>
      </c>
      <c r="M1057" s="21" t="s">
        <v>99</v>
      </c>
      <c r="N1057" s="21" t="s">
        <v>965</v>
      </c>
      <c r="O1057" s="21" t="s">
        <v>2088</v>
      </c>
      <c r="P1057" s="21" t="s">
        <v>2089</v>
      </c>
      <c r="Q1057" s="0" t="n">
        <v>11760658235</v>
      </c>
      <c r="R1057" s="0" t="n">
        <v>4</v>
      </c>
      <c r="S1057" s="0" t="n">
        <v>2026</v>
      </c>
    </row>
    <row r="1058" customFormat="false" ht="14.25" hidden="false" customHeight="false" outlineLevel="0" collapsed="false">
      <c r="A1058" s="17" t="n">
        <v>46123</v>
      </c>
      <c r="B1058" s="21" t="s">
        <v>2706</v>
      </c>
      <c r="C1058" s="22" t="n">
        <v>90</v>
      </c>
      <c r="D1058" s="31" t="s">
        <v>16</v>
      </c>
      <c r="E1058" s="21" t="s">
        <v>2706</v>
      </c>
      <c r="F1058" s="19" t="n">
        <v>559584407526</v>
      </c>
      <c r="G1058" s="31" t="s">
        <v>2707</v>
      </c>
      <c r="H1058" s="21" t="s">
        <v>94</v>
      </c>
      <c r="I1058" s="31" t="s">
        <v>34</v>
      </c>
      <c r="J1058" s="21" t="s">
        <v>1176</v>
      </c>
      <c r="K1058" s="21" t="s">
        <v>1897</v>
      </c>
      <c r="L1058" s="21" t="s">
        <v>1898</v>
      </c>
      <c r="M1058" s="21" t="s">
        <v>1179</v>
      </c>
      <c r="N1058" s="21" t="s">
        <v>965</v>
      </c>
      <c r="O1058" s="21" t="s">
        <v>2708</v>
      </c>
      <c r="P1058" s="21" t="s">
        <v>2089</v>
      </c>
      <c r="Q1058" s="0" t="n">
        <v>11982961279</v>
      </c>
      <c r="R1058" s="0" t="n">
        <v>4</v>
      </c>
      <c r="S1058" s="0" t="n">
        <v>2026</v>
      </c>
    </row>
    <row r="1059" customFormat="false" ht="14.25" hidden="false" customHeight="false" outlineLevel="0" collapsed="false">
      <c r="A1059" s="17" t="n">
        <v>46123</v>
      </c>
      <c r="B1059" s="21" t="s">
        <v>2710</v>
      </c>
      <c r="C1059" s="22" t="n">
        <v>90</v>
      </c>
      <c r="D1059" s="31" t="s">
        <v>16</v>
      </c>
      <c r="E1059" s="21" t="s">
        <v>2711</v>
      </c>
      <c r="F1059" s="19" t="n">
        <v>51967206803</v>
      </c>
      <c r="G1059" s="31" t="s">
        <v>2712</v>
      </c>
      <c r="H1059" s="21" t="s">
        <v>94</v>
      </c>
      <c r="I1059" s="31" t="s">
        <v>355</v>
      </c>
      <c r="N1059" s="21" t="s">
        <v>965</v>
      </c>
      <c r="O1059" s="21" t="s">
        <v>2159</v>
      </c>
      <c r="P1059" s="21" t="s">
        <v>2089</v>
      </c>
      <c r="Q1059" s="0" t="n">
        <v>-1</v>
      </c>
      <c r="R1059" s="0" t="n">
        <v>4</v>
      </c>
      <c r="S1059" s="0" t="n">
        <v>2026</v>
      </c>
    </row>
    <row r="1060" customFormat="false" ht="14.25" hidden="false" customHeight="false" outlineLevel="0" collapsed="false">
      <c r="A1060" s="17" t="n">
        <v>46123</v>
      </c>
      <c r="B1060" s="21" t="s">
        <v>2714</v>
      </c>
      <c r="C1060" s="22" t="n">
        <v>210</v>
      </c>
      <c r="D1060" s="31" t="s">
        <v>32</v>
      </c>
      <c r="E1060" s="21" t="s">
        <v>2715</v>
      </c>
      <c r="F1060" s="19" t="n">
        <v>559284719334</v>
      </c>
      <c r="G1060" s="31" t="s">
        <v>2716</v>
      </c>
      <c r="H1060" s="21" t="s">
        <v>94</v>
      </c>
      <c r="I1060" s="31" t="s">
        <v>50</v>
      </c>
      <c r="J1060" s="21" t="s">
        <v>35</v>
      </c>
      <c r="K1060" s="21" t="s">
        <v>36</v>
      </c>
      <c r="L1060" s="21" t="s">
        <v>37</v>
      </c>
      <c r="M1060" s="21" t="s">
        <v>38</v>
      </c>
      <c r="N1060" s="21" t="s">
        <v>965</v>
      </c>
      <c r="O1060" s="21" t="s">
        <v>2139</v>
      </c>
      <c r="P1060" s="21" t="s">
        <v>2089</v>
      </c>
      <c r="Q1060" s="0" t="n">
        <v>-1</v>
      </c>
      <c r="R1060" s="0" t="n">
        <v>4</v>
      </c>
      <c r="S1060" s="0" t="n">
        <v>2026</v>
      </c>
    </row>
    <row r="1061" customFormat="false" ht="14.25" hidden="false" customHeight="false" outlineLevel="0" collapsed="false">
      <c r="A1061" s="17" t="n">
        <v>46122</v>
      </c>
      <c r="B1061" s="21" t="s">
        <v>1881</v>
      </c>
      <c r="C1061" s="22" t="n">
        <v>147</v>
      </c>
      <c r="D1061" s="31" t="s">
        <v>22</v>
      </c>
      <c r="E1061" s="21" t="s">
        <v>1881</v>
      </c>
      <c r="F1061" s="19" t="n">
        <v>5521965012203</v>
      </c>
      <c r="G1061" s="31" t="s">
        <v>1882</v>
      </c>
      <c r="H1061" s="21" t="s">
        <v>94</v>
      </c>
      <c r="I1061" s="31" t="s">
        <v>54</v>
      </c>
      <c r="N1061" s="21" t="s">
        <v>1022</v>
      </c>
      <c r="O1061" s="21" t="s">
        <v>2107</v>
      </c>
      <c r="P1061" s="21" t="s">
        <v>2718</v>
      </c>
      <c r="Q1061" s="0" t="n">
        <v>-1</v>
      </c>
      <c r="R1061" s="0" t="n">
        <v>4</v>
      </c>
      <c r="S1061" s="0" t="n">
        <v>2026</v>
      </c>
    </row>
    <row r="1062" customFormat="false" ht="14.25" hidden="false" customHeight="false" outlineLevel="0" collapsed="false">
      <c r="A1062" s="17" t="n">
        <v>46122</v>
      </c>
      <c r="B1062" s="21" t="s">
        <v>1881</v>
      </c>
      <c r="C1062" s="22" t="n">
        <v>147</v>
      </c>
      <c r="D1062" s="31" t="s">
        <v>30</v>
      </c>
      <c r="E1062" s="21" t="s">
        <v>1881</v>
      </c>
      <c r="F1062" s="19" t="n">
        <v>5521965012203</v>
      </c>
      <c r="G1062" s="31" t="s">
        <v>1882</v>
      </c>
      <c r="H1062" s="21" t="s">
        <v>94</v>
      </c>
      <c r="I1062" s="31" t="s">
        <v>54</v>
      </c>
      <c r="N1062" s="21" t="s">
        <v>1022</v>
      </c>
      <c r="O1062" s="21" t="s">
        <v>2107</v>
      </c>
      <c r="P1062" s="21" t="s">
        <v>2718</v>
      </c>
      <c r="Q1062" s="0" t="n">
        <v>-1</v>
      </c>
      <c r="R1062" s="0" t="n">
        <v>4</v>
      </c>
      <c r="S1062" s="0" t="n">
        <v>2026</v>
      </c>
    </row>
    <row r="1063" customFormat="false" ht="14.25" hidden="false" customHeight="false" outlineLevel="0" collapsed="false">
      <c r="A1063" s="17" t="n">
        <v>46123</v>
      </c>
      <c r="B1063" s="21" t="s">
        <v>2721</v>
      </c>
      <c r="C1063" s="22" t="n">
        <v>60</v>
      </c>
      <c r="D1063" s="31" t="s">
        <v>474</v>
      </c>
      <c r="E1063" s="21" t="s">
        <v>2721</v>
      </c>
      <c r="F1063" s="19" t="n">
        <v>555491558430</v>
      </c>
      <c r="G1063" s="31" t="s">
        <v>2722</v>
      </c>
      <c r="H1063" s="21" t="s">
        <v>94</v>
      </c>
      <c r="I1063" s="31" t="s">
        <v>355</v>
      </c>
      <c r="N1063" s="21" t="s">
        <v>965</v>
      </c>
      <c r="O1063" s="21" t="s">
        <v>2107</v>
      </c>
      <c r="P1063" s="21" t="s">
        <v>2121</v>
      </c>
      <c r="Q1063" s="0" t="n">
        <v>11771951273</v>
      </c>
      <c r="R1063" s="0" t="n">
        <v>4</v>
      </c>
      <c r="S1063" s="0" t="n">
        <v>2026</v>
      </c>
    </row>
    <row r="1064" customFormat="false" ht="14.25" hidden="false" customHeight="false" outlineLevel="0" collapsed="false">
      <c r="A1064" s="17" t="n">
        <v>46123</v>
      </c>
      <c r="B1064" s="21" t="s">
        <v>2721</v>
      </c>
      <c r="C1064" s="22" t="n">
        <v>120</v>
      </c>
      <c r="D1064" s="31" t="s">
        <v>30</v>
      </c>
      <c r="E1064" s="21" t="s">
        <v>2721</v>
      </c>
      <c r="F1064" s="19" t="n">
        <v>555491558430</v>
      </c>
      <c r="G1064" s="31" t="s">
        <v>2722</v>
      </c>
      <c r="H1064" s="21" t="s">
        <v>94</v>
      </c>
      <c r="I1064" s="31" t="s">
        <v>355</v>
      </c>
      <c r="N1064" s="21" t="s">
        <v>965</v>
      </c>
      <c r="O1064" s="21" t="s">
        <v>2107</v>
      </c>
      <c r="P1064" s="21" t="s">
        <v>2121</v>
      </c>
      <c r="Q1064" s="0" t="n">
        <v>11771951273</v>
      </c>
      <c r="R1064" s="0" t="n">
        <v>4</v>
      </c>
      <c r="S1064" s="0" t="n">
        <v>2026</v>
      </c>
    </row>
    <row r="1065" customFormat="false" ht="14.25" hidden="false" customHeight="false" outlineLevel="0" collapsed="false">
      <c r="A1065" s="17" t="n">
        <v>46123</v>
      </c>
      <c r="B1065" s="21" t="s">
        <v>2724</v>
      </c>
      <c r="C1065" s="22" t="n">
        <v>120</v>
      </c>
      <c r="D1065" s="31" t="s">
        <v>20</v>
      </c>
      <c r="E1065" s="21" t="s">
        <v>2724</v>
      </c>
      <c r="F1065" s="19" t="n">
        <v>553499098215</v>
      </c>
      <c r="G1065" s="31" t="s">
        <v>43</v>
      </c>
      <c r="H1065" s="21" t="s">
        <v>94</v>
      </c>
      <c r="I1065" s="31" t="s">
        <v>50</v>
      </c>
      <c r="J1065" s="21" t="s">
        <v>35</v>
      </c>
      <c r="K1065" s="21" t="s">
        <v>36</v>
      </c>
      <c r="L1065" s="21" t="s">
        <v>37</v>
      </c>
      <c r="M1065" s="21" t="s">
        <v>38</v>
      </c>
      <c r="N1065" s="21" t="s">
        <v>965</v>
      </c>
      <c r="O1065" s="21" t="s">
        <v>2107</v>
      </c>
      <c r="P1065" s="21" t="s">
        <v>862</v>
      </c>
      <c r="Q1065" s="0" t="n">
        <v>-1</v>
      </c>
      <c r="R1065" s="0" t="n">
        <v>4</v>
      </c>
      <c r="S1065" s="0" t="n">
        <v>2026</v>
      </c>
    </row>
    <row r="1066" customFormat="false" ht="14.25" hidden="false" customHeight="false" outlineLevel="0" collapsed="false">
      <c r="A1066" s="17" t="n">
        <v>46123</v>
      </c>
      <c r="B1066" s="21" t="s">
        <v>2726</v>
      </c>
      <c r="C1066" s="22" t="n">
        <v>150</v>
      </c>
      <c r="D1066" s="31" t="s">
        <v>32</v>
      </c>
      <c r="E1066" s="21" t="s">
        <v>2726</v>
      </c>
      <c r="F1066" s="19" t="n">
        <v>554899673194</v>
      </c>
      <c r="G1066" s="31" t="s">
        <v>2727</v>
      </c>
      <c r="H1066" s="21" t="s">
        <v>94</v>
      </c>
      <c r="I1066" s="31" t="s">
        <v>355</v>
      </c>
      <c r="J1066" s="21" t="s">
        <v>35</v>
      </c>
      <c r="K1066" s="21" t="s">
        <v>36</v>
      </c>
      <c r="L1066" s="21" t="s">
        <v>37</v>
      </c>
      <c r="M1066" s="21" t="s">
        <v>38</v>
      </c>
      <c r="N1066" s="21" t="s">
        <v>965</v>
      </c>
      <c r="O1066" s="21" t="s">
        <v>2107</v>
      </c>
      <c r="P1066" s="21" t="s">
        <v>862</v>
      </c>
      <c r="Q1066" s="0" t="n">
        <v>-1</v>
      </c>
      <c r="R1066" s="0" t="n">
        <v>4</v>
      </c>
      <c r="S1066" s="0" t="n">
        <v>2026</v>
      </c>
    </row>
    <row r="1067" customFormat="false" ht="14.25" hidden="false" customHeight="false" outlineLevel="0" collapsed="false">
      <c r="A1067" s="17" t="n">
        <v>46123</v>
      </c>
      <c r="B1067" s="21" t="s">
        <v>2729</v>
      </c>
      <c r="C1067" s="22" t="n">
        <v>120</v>
      </c>
      <c r="D1067" s="31" t="s">
        <v>23</v>
      </c>
      <c r="E1067" s="21" t="s">
        <v>2729</v>
      </c>
      <c r="F1067" s="19" t="n">
        <v>559584297376</v>
      </c>
      <c r="G1067" s="31" t="s">
        <v>2730</v>
      </c>
      <c r="H1067" s="21" t="s">
        <v>94</v>
      </c>
      <c r="I1067" s="31" t="s">
        <v>34</v>
      </c>
      <c r="J1067" s="21" t="s">
        <v>35</v>
      </c>
      <c r="K1067" s="21" t="s">
        <v>36</v>
      </c>
      <c r="L1067" s="21" t="s">
        <v>37</v>
      </c>
      <c r="M1067" s="21" t="s">
        <v>38</v>
      </c>
      <c r="N1067" s="21" t="s">
        <v>965</v>
      </c>
      <c r="O1067" s="21" t="s">
        <v>2159</v>
      </c>
      <c r="P1067" s="21" t="s">
        <v>2089</v>
      </c>
      <c r="Q1067" s="0" t="n">
        <v>-1</v>
      </c>
      <c r="R1067" s="0" t="n">
        <v>4</v>
      </c>
      <c r="S1067" s="0" t="n">
        <v>2026</v>
      </c>
    </row>
    <row r="1068" customFormat="false" ht="14.25" hidden="false" customHeight="false" outlineLevel="0" collapsed="false">
      <c r="A1068" s="17" t="n">
        <v>46123</v>
      </c>
      <c r="B1068" s="21" t="s">
        <v>2732</v>
      </c>
      <c r="C1068" s="22" t="n">
        <v>150</v>
      </c>
      <c r="D1068" s="31" t="s">
        <v>32</v>
      </c>
      <c r="E1068" s="21" t="s">
        <v>2732</v>
      </c>
      <c r="F1068" s="19" t="n">
        <v>559584214940</v>
      </c>
      <c r="G1068" s="31" t="s">
        <v>2733</v>
      </c>
      <c r="H1068" s="21" t="s">
        <v>94</v>
      </c>
      <c r="I1068" s="31" t="s">
        <v>355</v>
      </c>
      <c r="J1068" s="21" t="s">
        <v>1176</v>
      </c>
      <c r="K1068" s="21" t="s">
        <v>1177</v>
      </c>
      <c r="L1068" s="21" t="s">
        <v>1178</v>
      </c>
      <c r="M1068" s="21" t="s">
        <v>1179</v>
      </c>
      <c r="N1068" s="21" t="s">
        <v>965</v>
      </c>
      <c r="O1068" s="21" t="s">
        <v>2427</v>
      </c>
      <c r="P1068" s="21" t="s">
        <v>2734</v>
      </c>
      <c r="Q1068" s="0" t="n">
        <v>-1</v>
      </c>
      <c r="R1068" s="0" t="n">
        <v>4</v>
      </c>
      <c r="S1068" s="0" t="n">
        <v>2026</v>
      </c>
    </row>
    <row r="1069" customFormat="false" ht="14.25" hidden="false" customHeight="false" outlineLevel="0" collapsed="false">
      <c r="A1069" s="17" t="n">
        <v>46123</v>
      </c>
      <c r="B1069" s="21" t="s">
        <v>2736</v>
      </c>
      <c r="C1069" s="22" t="n">
        <v>150</v>
      </c>
      <c r="D1069" s="31" t="s">
        <v>32</v>
      </c>
      <c r="E1069" s="21" t="s">
        <v>2507</v>
      </c>
      <c r="F1069" s="19" t="n">
        <v>5978274291</v>
      </c>
      <c r="G1069" s="31" t="s">
        <v>2508</v>
      </c>
      <c r="H1069" s="21" t="s">
        <v>94</v>
      </c>
      <c r="I1069" s="31" t="s">
        <v>54</v>
      </c>
      <c r="N1069" s="21" t="s">
        <v>1022</v>
      </c>
      <c r="O1069" s="21" t="s">
        <v>2159</v>
      </c>
      <c r="P1069" s="21" t="s">
        <v>2089</v>
      </c>
      <c r="Q1069" s="0" t="n">
        <v>-1</v>
      </c>
      <c r="R1069" s="0" t="n">
        <v>4</v>
      </c>
      <c r="S1069" s="0" t="n">
        <v>2026</v>
      </c>
    </row>
    <row r="1070" customFormat="false" ht="14.25" hidden="false" customHeight="false" outlineLevel="0" collapsed="false">
      <c r="A1070" s="17" t="n">
        <v>46123</v>
      </c>
      <c r="B1070" s="21" t="s">
        <v>2738</v>
      </c>
      <c r="C1070" s="22" t="n">
        <v>294</v>
      </c>
      <c r="D1070" s="31" t="s">
        <v>18</v>
      </c>
      <c r="E1070" s="21" t="s">
        <v>2738</v>
      </c>
      <c r="F1070" s="19" t="n">
        <v>556296899164</v>
      </c>
      <c r="G1070" s="31" t="s">
        <v>2739</v>
      </c>
      <c r="H1070" s="21" t="s">
        <v>94</v>
      </c>
      <c r="I1070" s="31" t="s">
        <v>34</v>
      </c>
      <c r="J1070" s="21" t="s">
        <v>35</v>
      </c>
      <c r="K1070" s="21" t="s">
        <v>36</v>
      </c>
      <c r="L1070" s="21" t="s">
        <v>37</v>
      </c>
      <c r="M1070" s="21" t="s">
        <v>38</v>
      </c>
      <c r="N1070" s="21" t="s">
        <v>965</v>
      </c>
      <c r="O1070" s="21" t="s">
        <v>2280</v>
      </c>
      <c r="P1070" s="21" t="s">
        <v>2281</v>
      </c>
      <c r="Q1070" s="0" t="n">
        <v>-1</v>
      </c>
      <c r="R1070" s="0" t="n">
        <v>4</v>
      </c>
      <c r="S1070" s="0" t="n">
        <v>2026</v>
      </c>
    </row>
    <row r="1071" customFormat="false" ht="14.25" hidden="false" customHeight="false" outlineLevel="0" collapsed="false">
      <c r="A1071" s="17" t="n">
        <v>46123</v>
      </c>
      <c r="B1071" s="21" t="s">
        <v>2593</v>
      </c>
      <c r="C1071" s="22" t="n">
        <v>147</v>
      </c>
      <c r="D1071" s="31" t="s">
        <v>21</v>
      </c>
      <c r="E1071" s="21" t="s">
        <v>2593</v>
      </c>
      <c r="F1071" s="19" t="n">
        <v>5352070096</v>
      </c>
      <c r="G1071" s="31" t="s">
        <v>2594</v>
      </c>
      <c r="H1071" s="21" t="s">
        <v>94</v>
      </c>
      <c r="I1071" s="31" t="s">
        <v>54</v>
      </c>
      <c r="N1071" s="21" t="s">
        <v>1022</v>
      </c>
      <c r="O1071" s="21" t="s">
        <v>2562</v>
      </c>
      <c r="P1071" s="21" t="s">
        <v>2129</v>
      </c>
      <c r="Q1071" s="0" t="n">
        <v>-1</v>
      </c>
      <c r="R1071" s="0" t="n">
        <v>4</v>
      </c>
      <c r="S1071" s="0" t="n">
        <v>2026</v>
      </c>
    </row>
    <row r="1072" customFormat="false" ht="14.25" hidden="false" customHeight="false" outlineLevel="0" collapsed="false">
      <c r="A1072" s="17" t="n">
        <v>46123</v>
      </c>
      <c r="B1072" s="21" t="s">
        <v>2742</v>
      </c>
      <c r="C1072" s="22" t="n">
        <v>441</v>
      </c>
      <c r="D1072" s="31" t="s">
        <v>21</v>
      </c>
      <c r="E1072" s="21" t="s">
        <v>2742</v>
      </c>
      <c r="F1072" s="19" t="n">
        <v>554888036597</v>
      </c>
      <c r="G1072" s="31" t="s">
        <v>2743</v>
      </c>
      <c r="H1072" s="21" t="s">
        <v>94</v>
      </c>
      <c r="I1072" s="31" t="s">
        <v>50</v>
      </c>
      <c r="J1072" s="21" t="s">
        <v>35</v>
      </c>
      <c r="K1072" s="21" t="s">
        <v>36</v>
      </c>
      <c r="L1072" s="21" t="s">
        <v>37</v>
      </c>
      <c r="M1072" s="21" t="s">
        <v>38</v>
      </c>
      <c r="N1072" s="21" t="s">
        <v>965</v>
      </c>
      <c r="O1072" s="21" t="s">
        <v>2107</v>
      </c>
      <c r="P1072" s="21" t="s">
        <v>862</v>
      </c>
      <c r="Q1072" s="0" t="n">
        <v>-1</v>
      </c>
      <c r="R1072" s="0" t="n">
        <v>4</v>
      </c>
      <c r="S1072" s="0" t="n">
        <v>2026</v>
      </c>
    </row>
    <row r="1073" customFormat="false" ht="14.25" hidden="false" customHeight="false" outlineLevel="0" collapsed="false">
      <c r="A1073" s="17" t="n">
        <v>46122</v>
      </c>
      <c r="B1073" s="21" t="s">
        <v>705</v>
      </c>
      <c r="C1073" s="22" t="n">
        <v>600</v>
      </c>
      <c r="D1073" s="31" t="s">
        <v>24</v>
      </c>
      <c r="E1073" s="21" t="s">
        <v>705</v>
      </c>
      <c r="F1073" s="19" t="n">
        <v>554184740618</v>
      </c>
      <c r="G1073" s="31" t="s">
        <v>707</v>
      </c>
      <c r="H1073" s="21" t="s">
        <v>94</v>
      </c>
      <c r="I1073" s="31" t="s">
        <v>54</v>
      </c>
      <c r="N1073" s="21" t="s">
        <v>1022</v>
      </c>
      <c r="R1073" s="0" t="n">
        <v>4</v>
      </c>
      <c r="S1073" s="0" t="n">
        <v>2026</v>
      </c>
    </row>
    <row r="1074" customFormat="false" ht="14.25" hidden="false" customHeight="false" outlineLevel="0" collapsed="false">
      <c r="A1074" s="17" t="n">
        <v>46123</v>
      </c>
      <c r="B1074" s="21" t="s">
        <v>2745</v>
      </c>
      <c r="C1074" s="22" t="n">
        <v>300</v>
      </c>
      <c r="D1074" s="31" t="s">
        <v>106</v>
      </c>
      <c r="E1074" s="21" t="s">
        <v>2255</v>
      </c>
      <c r="F1074" s="19" t="n">
        <v>554185081260</v>
      </c>
      <c r="G1074" s="31" t="s">
        <v>1468</v>
      </c>
      <c r="H1074" s="21" t="s">
        <v>94</v>
      </c>
      <c r="I1074" s="31" t="s">
        <v>355</v>
      </c>
      <c r="N1074" s="21" t="s">
        <v>965</v>
      </c>
      <c r="O1074" s="21" t="s">
        <v>2088</v>
      </c>
      <c r="P1074" s="21" t="s">
        <v>2089</v>
      </c>
      <c r="Q1074" s="0" t="n">
        <v>0</v>
      </c>
      <c r="R1074" s="0" t="n">
        <v>4</v>
      </c>
      <c r="S1074" s="0" t="n">
        <v>2026</v>
      </c>
    </row>
    <row r="1075" customFormat="false" ht="14.25" hidden="false" customHeight="false" outlineLevel="0" collapsed="false">
      <c r="A1075" s="17" t="n">
        <v>46124</v>
      </c>
      <c r="B1075" s="21" t="s">
        <v>2747</v>
      </c>
      <c r="C1075" s="22" t="n">
        <v>120</v>
      </c>
      <c r="D1075" s="31" t="s">
        <v>20</v>
      </c>
      <c r="E1075" s="21" t="s">
        <v>2747</v>
      </c>
      <c r="F1075" s="19" t="n">
        <v>559584293436</v>
      </c>
      <c r="G1075" s="31" t="s">
        <v>2748</v>
      </c>
      <c r="H1075" s="21" t="s">
        <v>94</v>
      </c>
      <c r="I1075" s="31" t="s">
        <v>54</v>
      </c>
      <c r="N1075" s="21" t="s">
        <v>1022</v>
      </c>
      <c r="O1075" s="21" t="s">
        <v>2749</v>
      </c>
      <c r="P1075" s="21" t="s">
        <v>2320</v>
      </c>
      <c r="Q1075" s="0" t="n">
        <v>-1</v>
      </c>
      <c r="R1075" s="0" t="n">
        <v>4</v>
      </c>
      <c r="S1075" s="0" t="n">
        <v>2026</v>
      </c>
    </row>
    <row r="1076" customFormat="false" ht="14.25" hidden="false" customHeight="false" outlineLevel="0" collapsed="false">
      <c r="A1076" s="17" t="n">
        <v>46124</v>
      </c>
      <c r="B1076" s="21" t="s">
        <v>2747</v>
      </c>
      <c r="C1076" s="22" t="n">
        <v>240</v>
      </c>
      <c r="D1076" s="31" t="s">
        <v>30</v>
      </c>
      <c r="E1076" s="21" t="s">
        <v>2747</v>
      </c>
      <c r="F1076" s="19" t="n">
        <v>559584293436</v>
      </c>
      <c r="G1076" s="31" t="s">
        <v>2748</v>
      </c>
      <c r="H1076" s="21" t="s">
        <v>94</v>
      </c>
      <c r="I1076" s="31" t="s">
        <v>54</v>
      </c>
      <c r="N1076" s="21" t="s">
        <v>1022</v>
      </c>
      <c r="O1076" s="21" t="s">
        <v>2749</v>
      </c>
      <c r="P1076" s="21" t="s">
        <v>2320</v>
      </c>
      <c r="Q1076" s="0" t="n">
        <v>-1</v>
      </c>
      <c r="R1076" s="0" t="n">
        <v>4</v>
      </c>
      <c r="S1076" s="0" t="n">
        <v>2026</v>
      </c>
    </row>
    <row r="1077" customFormat="false" ht="14.25" hidden="false" customHeight="false" outlineLevel="0" collapsed="false">
      <c r="A1077" s="17" t="n">
        <v>46124</v>
      </c>
      <c r="B1077" s="21" t="s">
        <v>2752</v>
      </c>
      <c r="C1077" s="22" t="n">
        <v>369</v>
      </c>
      <c r="D1077" s="31" t="s">
        <v>18</v>
      </c>
      <c r="E1077" s="21" t="s">
        <v>2752</v>
      </c>
      <c r="F1077" s="19" t="n">
        <v>554198735582</v>
      </c>
      <c r="G1077" s="31" t="s">
        <v>2753</v>
      </c>
      <c r="H1077" s="21" t="s">
        <v>94</v>
      </c>
      <c r="I1077" s="31" t="s">
        <v>34</v>
      </c>
      <c r="N1077" s="21" t="s">
        <v>965</v>
      </c>
      <c r="O1077" s="21" t="s">
        <v>2159</v>
      </c>
      <c r="P1077" s="21" t="s">
        <v>2089</v>
      </c>
      <c r="Q1077" s="0" t="n">
        <v>-1</v>
      </c>
      <c r="R1077" s="0" t="n">
        <v>4</v>
      </c>
      <c r="S1077" s="0" t="n">
        <v>2026</v>
      </c>
    </row>
    <row r="1078" customFormat="false" ht="14.25" hidden="false" customHeight="false" outlineLevel="0" collapsed="false">
      <c r="A1078" s="17" t="n">
        <v>46124</v>
      </c>
      <c r="B1078" s="21" t="s">
        <v>2755</v>
      </c>
      <c r="C1078" s="22" t="n">
        <v>430</v>
      </c>
      <c r="D1078" s="31" t="s">
        <v>16</v>
      </c>
      <c r="E1078" s="21" t="s">
        <v>2756</v>
      </c>
      <c r="F1078" s="19" t="n">
        <v>59895930973</v>
      </c>
      <c r="G1078" s="31" t="s">
        <v>2370</v>
      </c>
      <c r="H1078" s="21" t="s">
        <v>94</v>
      </c>
      <c r="I1078" s="31" t="s">
        <v>54</v>
      </c>
      <c r="N1078" s="21" t="s">
        <v>1022</v>
      </c>
      <c r="O1078" s="21" t="s">
        <v>2236</v>
      </c>
      <c r="P1078" s="21" t="s">
        <v>2129</v>
      </c>
      <c r="Q1078" s="0" t="n">
        <v>-1</v>
      </c>
      <c r="R1078" s="0" t="n">
        <v>4</v>
      </c>
      <c r="S1078" s="0" t="n">
        <v>2026</v>
      </c>
    </row>
    <row r="1079" customFormat="false" ht="14.25" hidden="false" customHeight="false" outlineLevel="0" collapsed="false">
      <c r="A1079" s="17" t="n">
        <v>46124</v>
      </c>
      <c r="B1079" s="21" t="s">
        <v>2758</v>
      </c>
      <c r="C1079" s="22" t="n">
        <v>150</v>
      </c>
      <c r="D1079" s="31" t="s">
        <v>32</v>
      </c>
      <c r="E1079" s="21" t="s">
        <v>2758</v>
      </c>
      <c r="F1079" s="19" t="n">
        <v>559584295833</v>
      </c>
      <c r="G1079" s="31" t="s">
        <v>2759</v>
      </c>
      <c r="H1079" s="21" t="s">
        <v>94</v>
      </c>
      <c r="I1079" s="31" t="s">
        <v>54</v>
      </c>
      <c r="N1079" s="21" t="s">
        <v>965</v>
      </c>
      <c r="O1079" s="21" t="s">
        <v>2760</v>
      </c>
      <c r="P1079" s="21" t="s">
        <v>2121</v>
      </c>
      <c r="Q1079" s="0" t="n">
        <v>-1</v>
      </c>
      <c r="R1079" s="0" t="n">
        <v>4</v>
      </c>
      <c r="S1079" s="0" t="n">
        <v>2026</v>
      </c>
    </row>
    <row r="1080" customFormat="false" ht="14.25" hidden="false" customHeight="false" outlineLevel="0" collapsed="false">
      <c r="A1080" s="17" t="n">
        <v>46124</v>
      </c>
      <c r="B1080" s="21" t="s">
        <v>2762</v>
      </c>
      <c r="C1080" s="22" t="n">
        <v>600</v>
      </c>
      <c r="D1080" s="31" t="s">
        <v>27</v>
      </c>
      <c r="E1080" s="21" t="s">
        <v>495</v>
      </c>
      <c r="F1080" s="19" t="n">
        <v>553799589574</v>
      </c>
      <c r="G1080" s="31" t="s">
        <v>496</v>
      </c>
      <c r="H1080" s="21" t="s">
        <v>94</v>
      </c>
      <c r="I1080" s="31" t="s">
        <v>54</v>
      </c>
      <c r="N1080" s="21" t="s">
        <v>1022</v>
      </c>
      <c r="O1080" s="21" t="s">
        <v>2763</v>
      </c>
      <c r="P1080" s="21" t="s">
        <v>2245</v>
      </c>
      <c r="Q1080" s="0" t="n">
        <v>-1</v>
      </c>
      <c r="R1080" s="0" t="n">
        <v>4</v>
      </c>
      <c r="S1080" s="0" t="n">
        <v>2026</v>
      </c>
    </row>
    <row r="1081" customFormat="false" ht="14.25" hidden="false" customHeight="false" outlineLevel="0" collapsed="false">
      <c r="A1081" s="17" t="n">
        <v>46124</v>
      </c>
      <c r="B1081" s="21" t="s">
        <v>2765</v>
      </c>
      <c r="C1081" s="22" t="n">
        <v>240</v>
      </c>
      <c r="D1081" s="31" t="s">
        <v>30</v>
      </c>
      <c r="E1081" s="21" t="s">
        <v>2765</v>
      </c>
      <c r="F1081" s="19" t="n">
        <v>559584229364</v>
      </c>
      <c r="G1081" s="31" t="s">
        <v>43</v>
      </c>
      <c r="H1081" s="21" t="s">
        <v>94</v>
      </c>
      <c r="I1081" s="31" t="s">
        <v>54</v>
      </c>
      <c r="N1081" s="21" t="s">
        <v>965</v>
      </c>
      <c r="O1081" s="21" t="s">
        <v>2749</v>
      </c>
      <c r="P1081" s="21" t="s">
        <v>2320</v>
      </c>
      <c r="Q1081" s="0" t="n">
        <v>-1</v>
      </c>
      <c r="R1081" s="0" t="n">
        <v>4</v>
      </c>
      <c r="S1081" s="0" t="n">
        <v>2026</v>
      </c>
    </row>
    <row r="1082" customFormat="false" ht="14.25" hidden="false" customHeight="false" outlineLevel="0" collapsed="false">
      <c r="A1082" s="17" t="n">
        <v>46124</v>
      </c>
      <c r="B1082" s="21" t="s">
        <v>2167</v>
      </c>
      <c r="C1082" s="22" t="n">
        <v>120</v>
      </c>
      <c r="D1082" s="31" t="s">
        <v>2214</v>
      </c>
      <c r="E1082" s="21" t="s">
        <v>2167</v>
      </c>
      <c r="F1082" s="19" t="n">
        <v>554891730563</v>
      </c>
      <c r="G1082" s="31" t="s">
        <v>2064</v>
      </c>
      <c r="H1082" s="21" t="s">
        <v>94</v>
      </c>
      <c r="I1082" s="31" t="s">
        <v>54</v>
      </c>
      <c r="N1082" s="21" t="s">
        <v>1022</v>
      </c>
      <c r="O1082" s="21" t="s">
        <v>2128</v>
      </c>
      <c r="P1082" s="21" t="s">
        <v>2129</v>
      </c>
      <c r="Q1082" s="0" t="n">
        <v>-1</v>
      </c>
      <c r="R1082" s="0" t="n">
        <v>4</v>
      </c>
      <c r="S1082" s="0" t="n">
        <v>2026</v>
      </c>
    </row>
    <row r="1083" customFormat="false" ht="14.25" hidden="false" customHeight="false" outlineLevel="0" collapsed="false">
      <c r="A1083" s="17" t="n">
        <v>46124</v>
      </c>
      <c r="B1083" s="21" t="s">
        <v>2768</v>
      </c>
      <c r="C1083" s="22" t="n">
        <v>150</v>
      </c>
      <c r="D1083" s="31" t="s">
        <v>24</v>
      </c>
      <c r="E1083" s="21" t="s">
        <v>2769</v>
      </c>
      <c r="F1083" s="19" t="n">
        <v>556681034055</v>
      </c>
      <c r="G1083" s="31" t="s">
        <v>2770</v>
      </c>
      <c r="H1083" s="21" t="s">
        <v>94</v>
      </c>
      <c r="I1083" s="31" t="s">
        <v>355</v>
      </c>
      <c r="J1083" s="21" t="s">
        <v>908</v>
      </c>
      <c r="N1083" s="21" t="s">
        <v>965</v>
      </c>
      <c r="O1083" s="21" t="s">
        <v>2107</v>
      </c>
      <c r="P1083" s="21" t="s">
        <v>2320</v>
      </c>
      <c r="Q1083" s="0" t="n">
        <v>-1</v>
      </c>
      <c r="R1083" s="0" t="n">
        <v>4</v>
      </c>
      <c r="S1083" s="0" t="n">
        <v>2026</v>
      </c>
    </row>
    <row r="1084" customFormat="false" ht="14.25" hidden="false" customHeight="false" outlineLevel="0" collapsed="false">
      <c r="A1084" s="17" t="n">
        <v>46124</v>
      </c>
      <c r="B1084" s="21" t="s">
        <v>2772</v>
      </c>
      <c r="C1084" s="22" t="n">
        <v>150</v>
      </c>
      <c r="D1084" s="31" t="s">
        <v>32</v>
      </c>
      <c r="E1084" s="21" t="s">
        <v>2772</v>
      </c>
      <c r="F1084" s="19" t="n">
        <v>555491032659</v>
      </c>
      <c r="G1084" s="31" t="s">
        <v>2773</v>
      </c>
      <c r="H1084" s="21" t="s">
        <v>94</v>
      </c>
      <c r="I1084" s="31" t="s">
        <v>54</v>
      </c>
      <c r="N1084" s="21" t="s">
        <v>1022</v>
      </c>
      <c r="O1084" s="21" t="s">
        <v>2107</v>
      </c>
      <c r="P1084" s="21" t="s">
        <v>2121</v>
      </c>
      <c r="Q1084" s="0" t="n">
        <v>-1</v>
      </c>
      <c r="R1084" s="0" t="n">
        <v>4</v>
      </c>
      <c r="S1084" s="0" t="n">
        <v>2026</v>
      </c>
    </row>
    <row r="1085" customFormat="false" ht="14.25" hidden="false" customHeight="false" outlineLevel="0" collapsed="false">
      <c r="A1085" s="17" t="n">
        <v>46125</v>
      </c>
      <c r="B1085" s="21" t="s">
        <v>406</v>
      </c>
      <c r="C1085" s="22" t="n">
        <v>150</v>
      </c>
      <c r="D1085" s="31" t="s">
        <v>32</v>
      </c>
      <c r="E1085" s="21" t="s">
        <v>2775</v>
      </c>
      <c r="F1085" s="19" t="n">
        <v>556294446991</v>
      </c>
      <c r="G1085" s="31" t="s">
        <v>519</v>
      </c>
      <c r="H1085" s="21" t="s">
        <v>94</v>
      </c>
      <c r="I1085" s="31" t="s">
        <v>34</v>
      </c>
      <c r="J1085" s="21" t="s">
        <v>35</v>
      </c>
      <c r="K1085" s="21" t="s">
        <v>36</v>
      </c>
      <c r="L1085" s="21" t="s">
        <v>37</v>
      </c>
      <c r="M1085" s="21" t="s">
        <v>38</v>
      </c>
      <c r="N1085" s="21" t="s">
        <v>965</v>
      </c>
      <c r="O1085" s="21" t="s">
        <v>2085</v>
      </c>
      <c r="P1085" s="21" t="s">
        <v>862</v>
      </c>
      <c r="Q1085" s="0" t="n">
        <v>-1</v>
      </c>
      <c r="R1085" s="0" t="n">
        <v>4</v>
      </c>
      <c r="S1085" s="0" t="n">
        <v>2026</v>
      </c>
    </row>
    <row r="1086" customFormat="false" ht="14.25" hidden="false" customHeight="false" outlineLevel="0" collapsed="false">
      <c r="A1086" s="17" t="n">
        <v>46124</v>
      </c>
      <c r="B1086" s="21" t="s">
        <v>2777</v>
      </c>
      <c r="C1086" s="22" t="n">
        <v>294</v>
      </c>
      <c r="D1086" s="31" t="s">
        <v>30</v>
      </c>
      <c r="E1086" s="21" t="s">
        <v>2778</v>
      </c>
      <c r="F1086" s="19" t="s">
        <v>2779</v>
      </c>
      <c r="G1086" s="31" t="s">
        <v>43</v>
      </c>
      <c r="H1086" s="21" t="s">
        <v>94</v>
      </c>
      <c r="I1086" s="31" t="s">
        <v>54</v>
      </c>
      <c r="N1086" s="21" t="s">
        <v>965</v>
      </c>
      <c r="O1086" s="21" t="s">
        <v>2760</v>
      </c>
      <c r="P1086" s="21" t="s">
        <v>2121</v>
      </c>
      <c r="Q1086" s="0" t="n">
        <v>-1</v>
      </c>
      <c r="R1086" s="0" t="n">
        <v>4</v>
      </c>
      <c r="S1086" s="0" t="n">
        <v>2026</v>
      </c>
    </row>
    <row r="1087" customFormat="false" ht="14.25" hidden="false" customHeight="false" outlineLevel="0" collapsed="false">
      <c r="A1087" s="17" t="n">
        <v>46124</v>
      </c>
      <c r="B1087" s="21" t="s">
        <v>2781</v>
      </c>
      <c r="C1087" s="22" t="n">
        <v>266</v>
      </c>
      <c r="D1087" s="31" t="s">
        <v>22</v>
      </c>
      <c r="E1087" s="21" t="s">
        <v>2778</v>
      </c>
      <c r="F1087" s="19" t="s">
        <v>2782</v>
      </c>
      <c r="G1087" s="31" t="s">
        <v>43</v>
      </c>
      <c r="H1087" s="21" t="s">
        <v>94</v>
      </c>
      <c r="I1087" s="31" t="s">
        <v>54</v>
      </c>
      <c r="N1087" s="21" t="s">
        <v>965</v>
      </c>
      <c r="O1087" s="21" t="s">
        <v>2760</v>
      </c>
      <c r="P1087" s="21" t="s">
        <v>2121</v>
      </c>
      <c r="Q1087" s="0" t="n">
        <v>-1</v>
      </c>
      <c r="R1087" s="0" t="n">
        <v>4</v>
      </c>
      <c r="S1087" s="0" t="n">
        <v>2026</v>
      </c>
    </row>
    <row r="1088" customFormat="false" ht="14.25" hidden="false" customHeight="false" outlineLevel="0" collapsed="false">
      <c r="A1088" s="17" t="n">
        <v>46125</v>
      </c>
      <c r="B1088" s="21" t="s">
        <v>2784</v>
      </c>
      <c r="C1088" s="22" t="n">
        <v>150</v>
      </c>
      <c r="D1088" s="31" t="s">
        <v>32</v>
      </c>
      <c r="E1088" s="21" t="s">
        <v>2784</v>
      </c>
      <c r="F1088" s="19" t="n">
        <v>554191076146</v>
      </c>
      <c r="G1088" s="31" t="s">
        <v>2587</v>
      </c>
      <c r="H1088" s="21" t="s">
        <v>94</v>
      </c>
      <c r="I1088" s="31" t="s">
        <v>54</v>
      </c>
      <c r="N1088" s="21" t="s">
        <v>1022</v>
      </c>
      <c r="O1088" s="21" t="s">
        <v>2107</v>
      </c>
      <c r="P1088" s="21" t="s">
        <v>862</v>
      </c>
      <c r="Q1088" s="0" t="n">
        <v>0</v>
      </c>
      <c r="R1088" s="0" t="n">
        <v>4</v>
      </c>
      <c r="S1088" s="0" t="n">
        <v>2026</v>
      </c>
    </row>
    <row r="1089" customFormat="false" ht="14.25" hidden="false" customHeight="false" outlineLevel="0" collapsed="false">
      <c r="A1089" s="17" t="n">
        <v>46125</v>
      </c>
      <c r="B1089" s="21" t="s">
        <v>2786</v>
      </c>
      <c r="C1089" s="22" t="n">
        <v>147</v>
      </c>
      <c r="D1089" s="31" t="s">
        <v>18</v>
      </c>
      <c r="E1089" s="21" t="s">
        <v>2786</v>
      </c>
      <c r="F1089" s="19" t="n">
        <v>559584018059</v>
      </c>
      <c r="G1089" s="31" t="s">
        <v>2787</v>
      </c>
      <c r="H1089" s="21" t="s">
        <v>94</v>
      </c>
      <c r="I1089" s="31" t="s">
        <v>355</v>
      </c>
      <c r="N1089" s="21" t="s">
        <v>965</v>
      </c>
      <c r="O1089" s="21" t="s">
        <v>2280</v>
      </c>
      <c r="P1089" s="21" t="s">
        <v>2281</v>
      </c>
      <c r="Q1089" s="0" t="n">
        <v>-1</v>
      </c>
      <c r="R1089" s="0" t="n">
        <v>4</v>
      </c>
      <c r="S1089" s="0" t="n">
        <v>2026</v>
      </c>
    </row>
    <row r="1090" customFormat="false" ht="14.25" hidden="false" customHeight="false" outlineLevel="0" collapsed="false">
      <c r="A1090" s="17" t="n">
        <v>46125</v>
      </c>
      <c r="B1090" s="21" t="s">
        <v>2195</v>
      </c>
      <c r="C1090" s="22" t="n">
        <v>75</v>
      </c>
      <c r="D1090" s="31" t="s">
        <v>390</v>
      </c>
      <c r="E1090" s="21" t="s">
        <v>2196</v>
      </c>
      <c r="F1090" s="19" t="n">
        <v>558599840325</v>
      </c>
      <c r="G1090" s="31" t="s">
        <v>2197</v>
      </c>
      <c r="H1090" s="21" t="s">
        <v>94</v>
      </c>
      <c r="I1090" s="31" t="s">
        <v>54</v>
      </c>
      <c r="N1090" s="21" t="s">
        <v>1022</v>
      </c>
      <c r="O1090" s="21" t="s">
        <v>2107</v>
      </c>
      <c r="P1090" s="21" t="s">
        <v>862</v>
      </c>
      <c r="Q1090" s="0" t="n">
        <v>-1</v>
      </c>
      <c r="R1090" s="0" t="n">
        <v>4</v>
      </c>
      <c r="S1090" s="0" t="n">
        <v>2026</v>
      </c>
    </row>
    <row r="1091" customFormat="false" ht="14.25" hidden="false" customHeight="false" outlineLevel="0" collapsed="false">
      <c r="A1091" s="17" t="n">
        <v>46125</v>
      </c>
      <c r="B1091" s="21" t="s">
        <v>2790</v>
      </c>
      <c r="C1091" s="22" t="n">
        <v>240</v>
      </c>
      <c r="D1091" s="31" t="s">
        <v>21</v>
      </c>
      <c r="E1091" s="21" t="s">
        <v>2790</v>
      </c>
      <c r="F1091" s="19" t="n">
        <v>5547999879884</v>
      </c>
      <c r="G1091" s="31" t="s">
        <v>2791</v>
      </c>
      <c r="H1091" s="21" t="s">
        <v>94</v>
      </c>
      <c r="I1091" s="31" t="s">
        <v>34</v>
      </c>
      <c r="N1091" s="21" t="s">
        <v>965</v>
      </c>
      <c r="O1091" s="21" t="s">
        <v>2345</v>
      </c>
      <c r="P1091" s="21" t="s">
        <v>2129</v>
      </c>
      <c r="Q1091" s="0" t="n">
        <v>0</v>
      </c>
      <c r="R1091" s="0" t="n">
        <v>4</v>
      </c>
      <c r="S1091" s="0" t="n">
        <v>2026</v>
      </c>
    </row>
    <row r="1092" customFormat="false" ht="14.25" hidden="false" customHeight="false" outlineLevel="0" collapsed="false">
      <c r="A1092" s="17" t="n">
        <v>46125</v>
      </c>
      <c r="B1092" s="21" t="s">
        <v>2793</v>
      </c>
      <c r="C1092" s="22" t="n">
        <v>300</v>
      </c>
      <c r="D1092" s="31" t="s">
        <v>29</v>
      </c>
      <c r="E1092" s="21" t="s">
        <v>2794</v>
      </c>
      <c r="F1092" s="19" t="n">
        <v>554799296245</v>
      </c>
      <c r="G1092" s="31" t="s">
        <v>2795</v>
      </c>
      <c r="H1092" s="21" t="s">
        <v>94</v>
      </c>
      <c r="I1092" s="31" t="s">
        <v>355</v>
      </c>
      <c r="N1092" s="21" t="s">
        <v>965</v>
      </c>
      <c r="O1092" s="21" t="s">
        <v>2236</v>
      </c>
      <c r="P1092" s="21" t="s">
        <v>2129</v>
      </c>
      <c r="Q1092" s="0" t="n">
        <v>3934853900</v>
      </c>
      <c r="R1092" s="0" t="n">
        <v>4</v>
      </c>
      <c r="S1092" s="0" t="n">
        <v>2026</v>
      </c>
    </row>
    <row r="1093" customFormat="false" ht="14.25" hidden="false" customHeight="false" outlineLevel="0" collapsed="false">
      <c r="A1093" s="17" t="n">
        <v>46125</v>
      </c>
      <c r="B1093" s="21" t="s">
        <v>2797</v>
      </c>
      <c r="C1093" s="22" t="n">
        <v>150</v>
      </c>
      <c r="D1093" s="31" t="s">
        <v>32</v>
      </c>
      <c r="E1093" s="21" t="s">
        <v>2797</v>
      </c>
      <c r="F1093" s="19" t="n">
        <v>554791530689</v>
      </c>
      <c r="G1093" s="31" t="s">
        <v>2798</v>
      </c>
      <c r="H1093" s="21" t="s">
        <v>94</v>
      </c>
      <c r="I1093" s="31" t="s">
        <v>34</v>
      </c>
      <c r="N1093" s="21" t="s">
        <v>965</v>
      </c>
      <c r="O1093" s="21" t="s">
        <v>2107</v>
      </c>
      <c r="P1093" s="21" t="s">
        <v>862</v>
      </c>
      <c r="Q1093" s="0" t="n">
        <v>-1</v>
      </c>
      <c r="R1093" s="0" t="n">
        <v>4</v>
      </c>
      <c r="S1093" s="0" t="n">
        <v>2026</v>
      </c>
    </row>
    <row r="1094" customFormat="false" ht="14.25" hidden="false" customHeight="false" outlineLevel="0" collapsed="false">
      <c r="A1094" s="17" t="n">
        <v>46125</v>
      </c>
      <c r="B1094" s="21" t="s">
        <v>2800</v>
      </c>
      <c r="C1094" s="22" t="n">
        <v>240</v>
      </c>
      <c r="D1094" s="31" t="s">
        <v>21</v>
      </c>
      <c r="E1094" s="21" t="s">
        <v>2800</v>
      </c>
      <c r="F1094" s="19" t="n">
        <v>554888249508</v>
      </c>
      <c r="G1094" s="31" t="s">
        <v>374</v>
      </c>
      <c r="H1094" s="21" t="s">
        <v>94</v>
      </c>
      <c r="I1094" s="31" t="s">
        <v>54</v>
      </c>
      <c r="N1094" s="21" t="s">
        <v>1022</v>
      </c>
      <c r="O1094" s="21" t="s">
        <v>2128</v>
      </c>
      <c r="P1094" s="21" t="s">
        <v>2129</v>
      </c>
      <c r="Q1094" s="0" t="n">
        <v>-1</v>
      </c>
      <c r="R1094" s="0" t="n">
        <v>4</v>
      </c>
      <c r="S1094" s="0" t="n">
        <v>2026</v>
      </c>
    </row>
    <row r="1095" customFormat="false" ht="14.25" hidden="false" customHeight="false" outlineLevel="0" collapsed="false">
      <c r="A1095" s="17" t="n">
        <v>46125</v>
      </c>
      <c r="B1095" s="21" t="s">
        <v>2802</v>
      </c>
      <c r="C1095" s="22" t="n">
        <v>120</v>
      </c>
      <c r="D1095" s="31" t="s">
        <v>20</v>
      </c>
      <c r="E1095" s="21" t="s">
        <v>2803</v>
      </c>
      <c r="F1095" s="19" t="n">
        <v>554195389264</v>
      </c>
      <c r="G1095" s="31" t="s">
        <v>2804</v>
      </c>
      <c r="H1095" s="21" t="s">
        <v>94</v>
      </c>
      <c r="I1095" s="31" t="s">
        <v>34</v>
      </c>
      <c r="N1095" s="21" t="s">
        <v>965</v>
      </c>
      <c r="O1095" s="21" t="s">
        <v>2159</v>
      </c>
      <c r="P1095" s="21" t="s">
        <v>2089</v>
      </c>
      <c r="Q1095" s="0" t="n">
        <v>-1</v>
      </c>
      <c r="R1095" s="0" t="n">
        <v>4</v>
      </c>
      <c r="S1095" s="0" t="n">
        <v>2026</v>
      </c>
    </row>
    <row r="1096" customFormat="false" ht="14.25" hidden="false" customHeight="false" outlineLevel="0" collapsed="false">
      <c r="A1096" s="17" t="n">
        <v>46125</v>
      </c>
      <c r="B1096" s="21" t="s">
        <v>2806</v>
      </c>
      <c r="C1096" s="22" t="n">
        <v>300</v>
      </c>
      <c r="D1096" s="31" t="s">
        <v>20</v>
      </c>
      <c r="E1096" s="21" t="s">
        <v>2807</v>
      </c>
      <c r="F1096" s="19" t="n">
        <v>556294035268</v>
      </c>
      <c r="G1096" s="31" t="s">
        <v>2808</v>
      </c>
      <c r="H1096" s="21" t="s">
        <v>94</v>
      </c>
      <c r="I1096" s="31" t="s">
        <v>50</v>
      </c>
      <c r="N1096" s="21" t="s">
        <v>965</v>
      </c>
      <c r="O1096" s="21" t="s">
        <v>2107</v>
      </c>
      <c r="P1096" s="21" t="s">
        <v>862</v>
      </c>
      <c r="Q1096" s="0" t="n">
        <v>-1</v>
      </c>
      <c r="R1096" s="0" t="n">
        <v>4</v>
      </c>
      <c r="S1096" s="0" t="n">
        <v>2026</v>
      </c>
    </row>
    <row r="1097" customFormat="false" ht="14.25" hidden="false" customHeight="false" outlineLevel="0" collapsed="false">
      <c r="A1097" s="17" t="n">
        <v>46125</v>
      </c>
      <c r="B1097" s="21" t="s">
        <v>2810</v>
      </c>
      <c r="C1097" s="22" t="n">
        <v>150</v>
      </c>
      <c r="D1097" s="31" t="s">
        <v>32</v>
      </c>
      <c r="E1097" s="21" t="s">
        <v>2811</v>
      </c>
      <c r="F1097" s="19" t="n">
        <v>554191155690</v>
      </c>
      <c r="G1097" s="31" t="s">
        <v>2812</v>
      </c>
      <c r="H1097" s="21" t="s">
        <v>94</v>
      </c>
      <c r="I1097" s="31" t="s">
        <v>54</v>
      </c>
      <c r="J1097" s="21" t="s">
        <v>35</v>
      </c>
      <c r="K1097" s="21" t="s">
        <v>36</v>
      </c>
      <c r="L1097" s="21" t="s">
        <v>37</v>
      </c>
      <c r="M1097" s="21" t="s">
        <v>38</v>
      </c>
      <c r="N1097" s="21" t="s">
        <v>965</v>
      </c>
      <c r="O1097" s="21" t="s">
        <v>2107</v>
      </c>
      <c r="P1097" s="21" t="s">
        <v>862</v>
      </c>
      <c r="Q1097" s="0" t="n">
        <v>-1</v>
      </c>
      <c r="R1097" s="0" t="n">
        <v>4</v>
      </c>
      <c r="S1097" s="0" t="n">
        <v>2026</v>
      </c>
    </row>
    <row r="1098" customFormat="false" ht="14.25" hidden="false" customHeight="false" outlineLevel="0" collapsed="false">
      <c r="A1098" s="17" t="n">
        <v>46125</v>
      </c>
      <c r="B1098" s="21" t="s">
        <v>2814</v>
      </c>
      <c r="C1098" s="22" t="n">
        <v>150</v>
      </c>
      <c r="D1098" s="31" t="s">
        <v>20</v>
      </c>
      <c r="E1098" s="21" t="s">
        <v>2814</v>
      </c>
      <c r="F1098" s="19" t="n">
        <v>554197116202</v>
      </c>
      <c r="G1098" s="31" t="s">
        <v>2815</v>
      </c>
      <c r="H1098" s="21" t="s">
        <v>94</v>
      </c>
      <c r="I1098" s="31" t="s">
        <v>54</v>
      </c>
      <c r="J1098" s="21" t="s">
        <v>35</v>
      </c>
      <c r="K1098" s="21" t="s">
        <v>36</v>
      </c>
      <c r="L1098" s="21" t="s">
        <v>37</v>
      </c>
      <c r="M1098" s="21" t="s">
        <v>38</v>
      </c>
      <c r="N1098" s="21" t="s">
        <v>965</v>
      </c>
      <c r="O1098" s="21" t="s">
        <v>2159</v>
      </c>
      <c r="P1098" s="21" t="s">
        <v>2089</v>
      </c>
      <c r="Q1098" s="0" t="n">
        <v>-1</v>
      </c>
      <c r="R1098" s="0" t="n">
        <v>4</v>
      </c>
      <c r="S1098" s="0" t="n">
        <v>2026</v>
      </c>
    </row>
    <row r="1099" customFormat="false" ht="14.25" hidden="false" customHeight="false" outlineLevel="0" collapsed="false">
      <c r="A1099" s="17" t="n">
        <v>46125</v>
      </c>
      <c r="B1099" s="21" t="s">
        <v>2817</v>
      </c>
      <c r="C1099" s="22" t="n">
        <v>150</v>
      </c>
      <c r="D1099" s="31" t="s">
        <v>1471</v>
      </c>
      <c r="E1099" s="21" t="s">
        <v>2818</v>
      </c>
      <c r="F1099" s="19" t="n">
        <v>5511974977625</v>
      </c>
      <c r="G1099" s="31" t="s">
        <v>2819</v>
      </c>
      <c r="H1099" s="21" t="s">
        <v>94</v>
      </c>
      <c r="I1099" s="31" t="s">
        <v>34</v>
      </c>
      <c r="N1099" s="21" t="s">
        <v>965</v>
      </c>
      <c r="O1099" s="21" t="s">
        <v>2107</v>
      </c>
      <c r="P1099" s="21" t="s">
        <v>862</v>
      </c>
      <c r="Q1099" s="0" t="n">
        <v>0</v>
      </c>
      <c r="R1099" s="0" t="n">
        <v>4</v>
      </c>
      <c r="S1099" s="0" t="n">
        <v>2026</v>
      </c>
    </row>
    <row r="1100" customFormat="false" ht="14.25" hidden="false" customHeight="false" outlineLevel="0" collapsed="false">
      <c r="A1100" s="17" t="n">
        <v>46126</v>
      </c>
      <c r="B1100" s="21" t="s">
        <v>2821</v>
      </c>
      <c r="C1100" s="22" t="n">
        <v>400</v>
      </c>
      <c r="D1100" s="31" t="s">
        <v>106</v>
      </c>
      <c r="E1100" s="21" t="s">
        <v>2821</v>
      </c>
      <c r="F1100" s="19" t="n">
        <v>5511954715763</v>
      </c>
      <c r="G1100" s="31" t="s">
        <v>2822</v>
      </c>
      <c r="H1100" s="21" t="s">
        <v>94</v>
      </c>
      <c r="I1100" s="31" t="s">
        <v>34</v>
      </c>
      <c r="N1100" s="21" t="s">
        <v>965</v>
      </c>
      <c r="O1100" s="21" t="s">
        <v>2823</v>
      </c>
      <c r="P1100" s="21" t="s">
        <v>2135</v>
      </c>
      <c r="Q1100" s="0" t="n">
        <v>0</v>
      </c>
      <c r="R1100" s="0" t="n">
        <v>4</v>
      </c>
      <c r="S1100" s="0" t="n">
        <v>2026</v>
      </c>
    </row>
    <row r="1101" customFormat="false" ht="14.25" hidden="false" customHeight="false" outlineLevel="0" collapsed="false">
      <c r="A1101" s="17" t="n">
        <v>46126</v>
      </c>
      <c r="B1101" s="21" t="s">
        <v>2825</v>
      </c>
      <c r="C1101" s="22" t="n">
        <v>240</v>
      </c>
      <c r="D1101" s="31" t="s">
        <v>30</v>
      </c>
      <c r="E1101" s="21" t="s">
        <v>2826</v>
      </c>
      <c r="F1101" s="19" t="n">
        <v>553195677687</v>
      </c>
      <c r="G1101" s="31" t="s">
        <v>2827</v>
      </c>
      <c r="H1101" s="21" t="s">
        <v>94</v>
      </c>
      <c r="I1101" s="31" t="s">
        <v>34</v>
      </c>
      <c r="J1101" s="21" t="s">
        <v>1176</v>
      </c>
      <c r="K1101" s="21" t="s">
        <v>1897</v>
      </c>
      <c r="L1101" s="21" t="s">
        <v>2828</v>
      </c>
      <c r="M1101" s="21" t="s">
        <v>1179</v>
      </c>
      <c r="N1101" s="21" t="s">
        <v>965</v>
      </c>
      <c r="O1101" s="21" t="s">
        <v>2659</v>
      </c>
      <c r="P1101" s="21" t="s">
        <v>2245</v>
      </c>
      <c r="Q1101" s="0" t="n">
        <v>0</v>
      </c>
      <c r="R1101" s="0" t="n">
        <v>4</v>
      </c>
      <c r="S1101" s="0" t="n">
        <v>2026</v>
      </c>
    </row>
    <row r="1102" customFormat="false" ht="14.25" hidden="false" customHeight="false" outlineLevel="0" collapsed="false">
      <c r="A1102" s="17" t="n">
        <v>46126</v>
      </c>
      <c r="B1102" s="21" t="s">
        <v>2830</v>
      </c>
      <c r="C1102" s="22" t="n">
        <v>120</v>
      </c>
      <c r="D1102" s="31" t="s">
        <v>20</v>
      </c>
      <c r="E1102" s="21" t="s">
        <v>2830</v>
      </c>
      <c r="F1102" s="19" t="n">
        <v>559584156470</v>
      </c>
      <c r="G1102" s="31" t="s">
        <v>2831</v>
      </c>
      <c r="H1102" s="21" t="s">
        <v>94</v>
      </c>
      <c r="I1102" s="31" t="s">
        <v>355</v>
      </c>
      <c r="N1102" s="21" t="s">
        <v>965</v>
      </c>
      <c r="O1102" s="21" t="s">
        <v>2139</v>
      </c>
      <c r="P1102" s="21" t="s">
        <v>2089</v>
      </c>
      <c r="Q1102" s="0" t="n">
        <v>11756732264</v>
      </c>
      <c r="R1102" s="0" t="n">
        <v>4</v>
      </c>
      <c r="S1102" s="0" t="n">
        <v>2026</v>
      </c>
    </row>
    <row r="1103" customFormat="false" ht="14.25" hidden="false" customHeight="false" outlineLevel="0" collapsed="false">
      <c r="A1103" s="17" t="n">
        <v>46126</v>
      </c>
      <c r="B1103" s="21" t="s">
        <v>2087</v>
      </c>
      <c r="C1103" s="22" t="n">
        <v>147</v>
      </c>
      <c r="D1103" s="31" t="s">
        <v>18</v>
      </c>
      <c r="E1103" s="21" t="s">
        <v>2087</v>
      </c>
      <c r="F1103" s="19" t="n">
        <v>554195688649</v>
      </c>
      <c r="G1103" s="31" t="s">
        <v>2833</v>
      </c>
      <c r="H1103" s="21" t="s">
        <v>94</v>
      </c>
      <c r="I1103" s="31" t="s">
        <v>54</v>
      </c>
      <c r="N1103" s="21" t="s">
        <v>1022</v>
      </c>
      <c r="O1103" s="21" t="s">
        <v>2159</v>
      </c>
      <c r="P1103" s="21" t="s">
        <v>2089</v>
      </c>
      <c r="Q1103" s="0" t="n">
        <v>-1</v>
      </c>
      <c r="R1103" s="0" t="n">
        <v>4</v>
      </c>
      <c r="S1103" s="0" t="n">
        <v>2026</v>
      </c>
    </row>
    <row r="1104" customFormat="false" ht="14.25" hidden="false" customHeight="false" outlineLevel="0" collapsed="false">
      <c r="A1104" s="17" t="n">
        <v>46126</v>
      </c>
      <c r="B1104" s="21" t="s">
        <v>2835</v>
      </c>
      <c r="C1104" s="22" t="n">
        <v>120</v>
      </c>
      <c r="D1104" s="31" t="s">
        <v>23</v>
      </c>
      <c r="E1104" s="21" t="s">
        <v>2836</v>
      </c>
      <c r="F1104" s="19" t="n">
        <v>5927501751</v>
      </c>
      <c r="G1104" s="31" t="s">
        <v>2837</v>
      </c>
      <c r="H1104" s="21" t="s">
        <v>94</v>
      </c>
      <c r="I1104" s="31" t="s">
        <v>34</v>
      </c>
      <c r="N1104" s="21" t="s">
        <v>965</v>
      </c>
      <c r="O1104" s="21" t="s">
        <v>2107</v>
      </c>
      <c r="P1104" s="21" t="s">
        <v>862</v>
      </c>
      <c r="Q1104" s="0" t="n">
        <v>0</v>
      </c>
      <c r="R1104" s="0" t="n">
        <v>4</v>
      </c>
      <c r="S1104" s="0" t="n">
        <v>2026</v>
      </c>
    </row>
    <row r="1105" customFormat="false" ht="14.25" hidden="false" customHeight="false" outlineLevel="0" collapsed="false">
      <c r="A1105" s="17" t="n">
        <v>46125</v>
      </c>
      <c r="B1105" s="21" t="s">
        <v>2839</v>
      </c>
      <c r="C1105" s="22" t="n">
        <v>194</v>
      </c>
      <c r="D1105" s="31" t="s">
        <v>20</v>
      </c>
      <c r="E1105" s="21" t="s">
        <v>2840</v>
      </c>
      <c r="F1105" s="19" t="n">
        <v>17673171185</v>
      </c>
      <c r="G1105" s="31" t="s">
        <v>43</v>
      </c>
      <c r="H1105" s="21" t="s">
        <v>94</v>
      </c>
      <c r="I1105" s="31" t="s">
        <v>50</v>
      </c>
      <c r="N1105" s="21" t="s">
        <v>965</v>
      </c>
      <c r="O1105" s="21" t="s">
        <v>2126</v>
      </c>
      <c r="P1105" s="21" t="s">
        <v>2121</v>
      </c>
      <c r="Q1105" s="0" t="n">
        <v>-1</v>
      </c>
      <c r="R1105" s="0" t="n">
        <v>4</v>
      </c>
      <c r="S1105" s="0" t="n">
        <v>2026</v>
      </c>
    </row>
    <row r="1106" customFormat="false" ht="14.25" hidden="false" customHeight="false" outlineLevel="0" collapsed="false">
      <c r="A1106" s="17" t="n">
        <v>46125</v>
      </c>
      <c r="B1106" s="21" t="s">
        <v>2842</v>
      </c>
      <c r="C1106" s="22" t="n">
        <v>300</v>
      </c>
      <c r="D1106" s="31" t="s">
        <v>27</v>
      </c>
      <c r="E1106" s="21" t="s">
        <v>2842</v>
      </c>
      <c r="F1106" s="19" t="n">
        <v>559885995663</v>
      </c>
      <c r="G1106" s="31" t="s">
        <v>2843</v>
      </c>
      <c r="H1106" s="21" t="s">
        <v>94</v>
      </c>
      <c r="I1106" s="31" t="s">
        <v>54</v>
      </c>
      <c r="N1106" s="21" t="s">
        <v>1022</v>
      </c>
      <c r="O1106" s="21" t="s">
        <v>2107</v>
      </c>
      <c r="P1106" s="21" t="s">
        <v>862</v>
      </c>
      <c r="Q1106" s="0" t="n">
        <v>0</v>
      </c>
      <c r="R1106" s="0" t="n">
        <v>4</v>
      </c>
      <c r="S1106" s="0" t="n">
        <v>2026</v>
      </c>
    </row>
    <row r="1107" customFormat="false" ht="14.25" hidden="false" customHeight="false" outlineLevel="0" collapsed="false">
      <c r="A1107" s="17" t="n">
        <v>46126</v>
      </c>
      <c r="B1107" s="21" t="s">
        <v>2845</v>
      </c>
      <c r="C1107" s="22" t="n">
        <v>250</v>
      </c>
      <c r="D1107" s="31" t="s">
        <v>30</v>
      </c>
      <c r="E1107" s="21" t="s">
        <v>2845</v>
      </c>
      <c r="F1107" s="19" t="n">
        <v>553497060180</v>
      </c>
      <c r="G1107" s="31" t="s">
        <v>1386</v>
      </c>
      <c r="H1107" s="21" t="s">
        <v>94</v>
      </c>
      <c r="I1107" s="31" t="s">
        <v>54</v>
      </c>
      <c r="N1107" s="21" t="s">
        <v>1022</v>
      </c>
      <c r="O1107" s="21" t="s">
        <v>2341</v>
      </c>
      <c r="P1107" s="21" t="s">
        <v>2245</v>
      </c>
      <c r="Q1107" s="0" t="n">
        <v>-1</v>
      </c>
      <c r="R1107" s="0" t="n">
        <v>4</v>
      </c>
      <c r="S1107" s="0" t="n">
        <v>2026</v>
      </c>
    </row>
    <row r="1108" customFormat="false" ht="14.25" hidden="false" customHeight="false" outlineLevel="0" collapsed="false">
      <c r="A1108" s="17" t="n">
        <v>46126</v>
      </c>
      <c r="B1108" s="21" t="s">
        <v>2847</v>
      </c>
      <c r="C1108" s="22" t="n">
        <v>147</v>
      </c>
      <c r="D1108" s="31" t="s">
        <v>18</v>
      </c>
      <c r="E1108" s="21" t="s">
        <v>2848</v>
      </c>
      <c r="F1108" s="19" t="n">
        <v>554199542433</v>
      </c>
      <c r="G1108" s="31" t="s">
        <v>2849</v>
      </c>
      <c r="H1108" s="21" t="s">
        <v>94</v>
      </c>
      <c r="I1108" s="31" t="s">
        <v>355</v>
      </c>
      <c r="N1108" s="21" t="s">
        <v>965</v>
      </c>
      <c r="O1108" s="21" t="s">
        <v>2159</v>
      </c>
      <c r="P1108" s="21" t="s">
        <v>2089</v>
      </c>
      <c r="Q1108" s="0" t="n">
        <v>0</v>
      </c>
      <c r="R1108" s="0" t="n">
        <v>4</v>
      </c>
      <c r="S1108" s="0" t="n">
        <v>2026</v>
      </c>
    </row>
    <row r="1109" customFormat="false" ht="14.25" hidden="false" customHeight="false" outlineLevel="0" collapsed="false">
      <c r="A1109" s="17" t="n">
        <v>46126</v>
      </c>
      <c r="B1109" s="21" t="s">
        <v>2851</v>
      </c>
      <c r="C1109" s="22" t="n">
        <v>120</v>
      </c>
      <c r="D1109" s="31" t="s">
        <v>30</v>
      </c>
      <c r="E1109" s="21" t="s">
        <v>2851</v>
      </c>
      <c r="F1109" s="19" t="n">
        <v>555496941819</v>
      </c>
      <c r="G1109" s="31" t="s">
        <v>2852</v>
      </c>
      <c r="H1109" s="21" t="s">
        <v>94</v>
      </c>
      <c r="I1109" s="31" t="s">
        <v>355</v>
      </c>
      <c r="N1109" s="21" t="s">
        <v>965</v>
      </c>
      <c r="O1109" s="21" t="s">
        <v>2126</v>
      </c>
      <c r="P1109" s="21" t="s">
        <v>2121</v>
      </c>
      <c r="Q1109" s="0" t="n">
        <v>7370502090</v>
      </c>
      <c r="R1109" s="0" t="n">
        <v>4</v>
      </c>
      <c r="S1109" s="0" t="n">
        <v>2026</v>
      </c>
    </row>
    <row r="1110" customFormat="false" ht="14.25" hidden="false" customHeight="false" outlineLevel="0" collapsed="false">
      <c r="A1110" s="17" t="n">
        <v>46126</v>
      </c>
      <c r="B1110" s="21" t="s">
        <v>1681</v>
      </c>
      <c r="C1110" s="22" t="n">
        <v>300</v>
      </c>
      <c r="D1110" s="31" t="s">
        <v>30</v>
      </c>
      <c r="E1110" s="21" t="s">
        <v>1681</v>
      </c>
      <c r="F1110" s="19" t="n">
        <v>5512981378624</v>
      </c>
      <c r="G1110" s="31" t="s">
        <v>2315</v>
      </c>
      <c r="H1110" s="21" t="s">
        <v>94</v>
      </c>
      <c r="I1110" s="31" t="s">
        <v>54</v>
      </c>
      <c r="N1110" s="21" t="s">
        <v>1022</v>
      </c>
      <c r="O1110" s="21" t="s">
        <v>2280</v>
      </c>
      <c r="P1110" s="21" t="s">
        <v>2281</v>
      </c>
      <c r="Q1110" s="0" t="n">
        <v>-1</v>
      </c>
      <c r="R1110" s="0" t="n">
        <v>4</v>
      </c>
      <c r="S1110" s="0" t="n">
        <v>2026</v>
      </c>
    </row>
    <row r="1111" customFormat="false" ht="14.25" hidden="false" customHeight="false" outlineLevel="0" collapsed="false">
      <c r="A1111" s="17" t="n">
        <v>46126</v>
      </c>
      <c r="B1111" s="21" t="s">
        <v>2153</v>
      </c>
      <c r="C1111" s="22" t="n">
        <v>120</v>
      </c>
      <c r="D1111" s="31" t="s">
        <v>21</v>
      </c>
      <c r="E1111" s="21" t="s">
        <v>2153</v>
      </c>
      <c r="F1111" s="19" t="n">
        <v>554896871939</v>
      </c>
      <c r="G1111" s="31" t="s">
        <v>2154</v>
      </c>
      <c r="H1111" s="21" t="s">
        <v>94</v>
      </c>
      <c r="I1111" s="31" t="s">
        <v>54</v>
      </c>
      <c r="N1111" s="21" t="s">
        <v>1022</v>
      </c>
      <c r="O1111" s="21" t="s">
        <v>2128</v>
      </c>
      <c r="P1111" s="21" t="s">
        <v>2129</v>
      </c>
      <c r="Q1111" s="0" t="n">
        <v>0</v>
      </c>
      <c r="R1111" s="0" t="n">
        <v>4</v>
      </c>
      <c r="S1111" s="0" t="n">
        <v>2026</v>
      </c>
    </row>
    <row r="1112" customFormat="false" ht="14.25" hidden="false" customHeight="false" outlineLevel="0" collapsed="false">
      <c r="A1112" s="17" t="n">
        <v>46127</v>
      </c>
      <c r="B1112" s="21" t="s">
        <v>2856</v>
      </c>
      <c r="C1112" s="22" t="n">
        <v>120</v>
      </c>
      <c r="D1112" s="31" t="s">
        <v>30</v>
      </c>
      <c r="E1112" s="21" t="s">
        <v>2857</v>
      </c>
      <c r="F1112" s="19" t="n">
        <v>5491130059179</v>
      </c>
      <c r="G1112" s="31" t="s">
        <v>2858</v>
      </c>
      <c r="H1112" s="21" t="s">
        <v>2859</v>
      </c>
      <c r="I1112" s="31" t="s">
        <v>50</v>
      </c>
      <c r="J1112" s="21" t="s">
        <v>35</v>
      </c>
      <c r="K1112" s="21" t="s">
        <v>36</v>
      </c>
      <c r="L1112" s="21" t="s">
        <v>37</v>
      </c>
      <c r="M1112" s="21" t="s">
        <v>38</v>
      </c>
      <c r="N1112" s="21" t="s">
        <v>965</v>
      </c>
      <c r="O1112" s="21" t="s">
        <v>2135</v>
      </c>
      <c r="P1112" s="21" t="s">
        <v>2135</v>
      </c>
      <c r="Q1112" s="0" t="n">
        <v>-1</v>
      </c>
      <c r="R1112" s="0" t="n">
        <v>4</v>
      </c>
      <c r="S1112" s="0" t="n">
        <v>2026</v>
      </c>
    </row>
    <row r="1113" customFormat="false" ht="14.25" hidden="false" customHeight="false" outlineLevel="0" collapsed="false">
      <c r="A1113" s="17" t="n">
        <v>46127</v>
      </c>
      <c r="B1113" s="21" t="s">
        <v>2861</v>
      </c>
      <c r="C1113" s="22" t="n">
        <v>150</v>
      </c>
      <c r="D1113" s="31" t="s">
        <v>32</v>
      </c>
      <c r="E1113" s="21" t="s">
        <v>2861</v>
      </c>
      <c r="F1113" s="19" t="n">
        <v>554187764013</v>
      </c>
      <c r="G1113" s="31" t="s">
        <v>2862</v>
      </c>
      <c r="H1113" s="21" t="s">
        <v>94</v>
      </c>
      <c r="I1113" s="31" t="s">
        <v>34</v>
      </c>
      <c r="J1113" s="21" t="s">
        <v>1176</v>
      </c>
      <c r="K1113" s="21" t="s">
        <v>1177</v>
      </c>
      <c r="L1113" s="21" t="s">
        <v>1324</v>
      </c>
      <c r="M1113" s="21" t="s">
        <v>1243</v>
      </c>
      <c r="N1113" s="21" t="s">
        <v>965</v>
      </c>
      <c r="O1113" s="21" t="s">
        <v>2159</v>
      </c>
      <c r="P1113" s="21" t="s">
        <v>2089</v>
      </c>
      <c r="Q1113" s="0" t="n">
        <v>0</v>
      </c>
      <c r="R1113" s="0" t="n">
        <v>4</v>
      </c>
      <c r="S1113" s="0" t="n">
        <v>2026</v>
      </c>
    </row>
    <row r="1114" customFormat="false" ht="14.25" hidden="false" customHeight="false" outlineLevel="0" collapsed="false">
      <c r="A1114" s="17" t="n">
        <v>46127</v>
      </c>
      <c r="B1114" s="21" t="s">
        <v>2864</v>
      </c>
      <c r="C1114" s="22" t="n">
        <v>240</v>
      </c>
      <c r="D1114" s="31" t="s">
        <v>21</v>
      </c>
      <c r="E1114" s="21" t="s">
        <v>2865</v>
      </c>
      <c r="F1114" s="19" t="n">
        <v>5511940418338</v>
      </c>
      <c r="G1114" s="31" t="s">
        <v>2866</v>
      </c>
      <c r="H1114" s="21" t="s">
        <v>94</v>
      </c>
      <c r="I1114" s="31" t="s">
        <v>355</v>
      </c>
      <c r="N1114" s="21" t="s">
        <v>965</v>
      </c>
      <c r="O1114" s="21" t="s">
        <v>2867</v>
      </c>
      <c r="P1114" s="21" t="s">
        <v>2129</v>
      </c>
      <c r="Q1114" s="0" t="n">
        <v>13225243949</v>
      </c>
      <c r="R1114" s="0" t="n">
        <v>4</v>
      </c>
      <c r="S1114" s="0" t="n">
        <v>2026</v>
      </c>
    </row>
    <row r="1115" customFormat="false" ht="14.25" hidden="false" customHeight="false" outlineLevel="0" collapsed="false">
      <c r="A1115" s="17" t="n">
        <v>46127</v>
      </c>
      <c r="B1115" s="21" t="s">
        <v>2869</v>
      </c>
      <c r="C1115" s="22" t="n">
        <v>147</v>
      </c>
      <c r="D1115" s="31" t="s">
        <v>21</v>
      </c>
      <c r="E1115" s="21" t="s">
        <v>2870</v>
      </c>
      <c r="F1115" s="19" t="n">
        <v>554792542707</v>
      </c>
      <c r="G1115" s="31" t="s">
        <v>2871</v>
      </c>
      <c r="H1115" s="21" t="s">
        <v>94</v>
      </c>
      <c r="I1115" s="31" t="s">
        <v>355</v>
      </c>
      <c r="N1115" s="21" t="s">
        <v>965</v>
      </c>
      <c r="O1115" s="21" t="s">
        <v>2236</v>
      </c>
      <c r="P1115" s="21" t="s">
        <v>2129</v>
      </c>
      <c r="Q1115" s="0" t="n">
        <v>0</v>
      </c>
      <c r="R1115" s="0" t="n">
        <v>4</v>
      </c>
      <c r="S1115" s="0" t="n">
        <v>2026</v>
      </c>
    </row>
    <row r="1116" customFormat="false" ht="14.25" hidden="false" customHeight="false" outlineLevel="0" collapsed="false">
      <c r="A1116" s="17" t="n">
        <v>46127</v>
      </c>
      <c r="B1116" s="21" t="s">
        <v>2873</v>
      </c>
      <c r="C1116" s="22" t="n">
        <v>294</v>
      </c>
      <c r="D1116" s="31" t="s">
        <v>390</v>
      </c>
      <c r="E1116" s="21" t="s">
        <v>2873</v>
      </c>
      <c r="F1116" s="19" t="n">
        <v>559584379233</v>
      </c>
      <c r="G1116" s="31" t="s">
        <v>2874</v>
      </c>
      <c r="H1116" s="21" t="s">
        <v>94</v>
      </c>
      <c r="I1116" s="31" t="s">
        <v>54</v>
      </c>
      <c r="N1116" s="21" t="s">
        <v>1022</v>
      </c>
      <c r="O1116" s="21" t="s">
        <v>2107</v>
      </c>
      <c r="P1116" s="21" t="s">
        <v>862</v>
      </c>
      <c r="Q1116" s="0" t="n">
        <v>-1</v>
      </c>
      <c r="R1116" s="0" t="n">
        <v>4</v>
      </c>
      <c r="S1116" s="0" t="n">
        <v>2026</v>
      </c>
    </row>
    <row r="1117" customFormat="false" ht="14.25" hidden="false" customHeight="false" outlineLevel="0" collapsed="false">
      <c r="A1117" s="17" t="n">
        <v>46127</v>
      </c>
      <c r="B1117" s="21" t="s">
        <v>205</v>
      </c>
      <c r="C1117" s="22" t="n">
        <v>150</v>
      </c>
      <c r="D1117" s="31" t="s">
        <v>24</v>
      </c>
      <c r="E1117" s="21" t="s">
        <v>205</v>
      </c>
      <c r="F1117" s="19" t="n">
        <v>5511972143364</v>
      </c>
      <c r="G1117" s="31" t="s">
        <v>206</v>
      </c>
      <c r="H1117" s="21" t="s">
        <v>94</v>
      </c>
      <c r="I1117" s="31" t="s">
        <v>54</v>
      </c>
      <c r="N1117" s="21" t="s">
        <v>1022</v>
      </c>
      <c r="O1117" s="21" t="s">
        <v>2107</v>
      </c>
      <c r="P1117" s="21" t="s">
        <v>862</v>
      </c>
      <c r="Q1117" s="0" t="n">
        <v>0</v>
      </c>
      <c r="R1117" s="0" t="n">
        <v>4</v>
      </c>
      <c r="S1117" s="0" t="n">
        <v>2026</v>
      </c>
    </row>
    <row r="1118" customFormat="false" ht="14.25" hidden="false" customHeight="false" outlineLevel="0" collapsed="false">
      <c r="A1118" s="17" t="n">
        <v>46127</v>
      </c>
      <c r="B1118" s="21" t="s">
        <v>1741</v>
      </c>
      <c r="C1118" s="22" t="n">
        <v>120</v>
      </c>
      <c r="D1118" s="31" t="s">
        <v>23</v>
      </c>
      <c r="E1118" s="21" t="s">
        <v>1741</v>
      </c>
      <c r="F1118" s="19" t="n">
        <v>554187387956</v>
      </c>
      <c r="G1118" s="31" t="s">
        <v>1742</v>
      </c>
      <c r="H1118" s="21" t="s">
        <v>94</v>
      </c>
      <c r="I1118" s="31" t="s">
        <v>54</v>
      </c>
      <c r="N1118" s="21" t="s">
        <v>1022</v>
      </c>
      <c r="O1118" s="21" t="s">
        <v>2107</v>
      </c>
      <c r="P1118" s="21" t="s">
        <v>862</v>
      </c>
      <c r="Q1118" s="0" t="n">
        <v>0</v>
      </c>
      <c r="R1118" s="0" t="n">
        <v>4</v>
      </c>
      <c r="S1118" s="0" t="n">
        <v>2026</v>
      </c>
    </row>
    <row r="1119" customFormat="false" ht="14.25" hidden="false" customHeight="false" outlineLevel="0" collapsed="false">
      <c r="A1119" s="17" t="n">
        <v>46127</v>
      </c>
      <c r="B1119" s="21" t="s">
        <v>2878</v>
      </c>
      <c r="C1119" s="22" t="n">
        <v>120</v>
      </c>
      <c r="D1119" s="31" t="s">
        <v>21</v>
      </c>
      <c r="E1119" s="21" t="s">
        <v>2878</v>
      </c>
      <c r="F1119" s="19" t="n">
        <v>556799197437</v>
      </c>
      <c r="G1119" s="31" t="s">
        <v>43</v>
      </c>
      <c r="H1119" s="21" t="s">
        <v>94</v>
      </c>
      <c r="I1119" s="31" t="s">
        <v>50</v>
      </c>
      <c r="N1119" s="21" t="s">
        <v>965</v>
      </c>
      <c r="O1119" s="21" t="s">
        <v>2209</v>
      </c>
      <c r="P1119" s="21" t="s">
        <v>2129</v>
      </c>
      <c r="Q1119" s="0" t="n">
        <v>-1</v>
      </c>
      <c r="R1119" s="0" t="n">
        <v>4</v>
      </c>
      <c r="S1119" s="0" t="n">
        <v>2026</v>
      </c>
    </row>
    <row r="1120" customFormat="false" ht="14.25" hidden="false" customHeight="false" outlineLevel="0" collapsed="false">
      <c r="A1120" s="17" t="n">
        <v>46127</v>
      </c>
      <c r="B1120" s="21" t="s">
        <v>2880</v>
      </c>
      <c r="C1120" s="22" t="n">
        <v>1500</v>
      </c>
      <c r="D1120" s="31" t="s">
        <v>27</v>
      </c>
      <c r="E1120" s="21" t="s">
        <v>2880</v>
      </c>
      <c r="F1120" s="19" t="n">
        <v>559599773288</v>
      </c>
      <c r="G1120" s="31" t="s">
        <v>329</v>
      </c>
      <c r="H1120" s="21" t="s">
        <v>94</v>
      </c>
      <c r="I1120" s="31" t="s">
        <v>54</v>
      </c>
      <c r="N1120" s="21" t="s">
        <v>1022</v>
      </c>
      <c r="O1120" s="21" t="s">
        <v>2159</v>
      </c>
      <c r="P1120" s="21" t="s">
        <v>2089</v>
      </c>
      <c r="Q1120" s="0" t="n">
        <v>-1</v>
      </c>
      <c r="R1120" s="0" t="n">
        <v>4</v>
      </c>
      <c r="S1120" s="0" t="n">
        <v>2026</v>
      </c>
    </row>
    <row r="1121" customFormat="false" ht="14.25" hidden="false" customHeight="false" outlineLevel="0" collapsed="false">
      <c r="A1121" s="17" t="n">
        <v>46127</v>
      </c>
      <c r="B1121" s="21" t="s">
        <v>328</v>
      </c>
      <c r="C1121" s="22" t="n">
        <v>900</v>
      </c>
      <c r="D1121" s="31" t="s">
        <v>24</v>
      </c>
      <c r="E1121" s="21" t="s">
        <v>328</v>
      </c>
      <c r="F1121" s="19" t="n">
        <v>559599773288</v>
      </c>
      <c r="G1121" s="31" t="s">
        <v>329</v>
      </c>
      <c r="H1121" s="21" t="s">
        <v>94</v>
      </c>
      <c r="I1121" s="31" t="s">
        <v>54</v>
      </c>
      <c r="N1121" s="21" t="s">
        <v>1022</v>
      </c>
      <c r="O1121" s="21" t="s">
        <v>2159</v>
      </c>
      <c r="P1121" s="21" t="s">
        <v>2089</v>
      </c>
      <c r="Q1121" s="0" t="n">
        <v>-1</v>
      </c>
      <c r="R1121" s="0" t="n">
        <v>4</v>
      </c>
      <c r="S1121" s="0" t="n">
        <v>2026</v>
      </c>
    </row>
    <row r="1122" customFormat="false" ht="14.25" hidden="false" customHeight="false" outlineLevel="0" collapsed="false">
      <c r="A1122" s="17" t="n">
        <v>46127</v>
      </c>
      <c r="B1122" s="21" t="s">
        <v>1881</v>
      </c>
      <c r="C1122" s="22" t="n">
        <v>294</v>
      </c>
      <c r="D1122" s="31" t="s">
        <v>30</v>
      </c>
      <c r="E1122" s="21" t="s">
        <v>1881</v>
      </c>
      <c r="F1122" s="19" t="n">
        <v>5521965012203</v>
      </c>
      <c r="G1122" s="31" t="s">
        <v>1882</v>
      </c>
      <c r="H1122" s="21" t="s">
        <v>94</v>
      </c>
      <c r="I1122" s="31" t="s">
        <v>54</v>
      </c>
      <c r="N1122" s="21" t="s">
        <v>1022</v>
      </c>
      <c r="O1122" s="21" t="s">
        <v>2107</v>
      </c>
      <c r="P1122" s="21" t="s">
        <v>2718</v>
      </c>
      <c r="Q1122" s="0" t="n">
        <v>-1</v>
      </c>
      <c r="R1122" s="0" t="n">
        <v>4</v>
      </c>
      <c r="S1122" s="0" t="n">
        <v>2026</v>
      </c>
    </row>
    <row r="1123" customFormat="false" ht="14.25" hidden="false" customHeight="false" outlineLevel="0" collapsed="false">
      <c r="A1123" s="17" t="n">
        <v>46127</v>
      </c>
      <c r="B1123" s="21" t="s">
        <v>1881</v>
      </c>
      <c r="C1123" s="22" t="n">
        <v>294</v>
      </c>
      <c r="D1123" s="31" t="s">
        <v>22</v>
      </c>
      <c r="E1123" s="21" t="s">
        <v>1881</v>
      </c>
      <c r="G1123" s="31"/>
      <c r="H1123" s="21" t="s">
        <v>94</v>
      </c>
      <c r="I1123" s="31" t="s">
        <v>54</v>
      </c>
      <c r="N1123" s="21" t="s">
        <v>1022</v>
      </c>
      <c r="O1123" s="21" t="s">
        <v>2107</v>
      </c>
      <c r="P1123" s="21" t="s">
        <v>2718</v>
      </c>
      <c r="Q1123" s="0" t="n">
        <v>-1</v>
      </c>
      <c r="R1123" s="0" t="n">
        <v>4</v>
      </c>
      <c r="S1123" s="0" t="n">
        <v>2026</v>
      </c>
    </row>
    <row r="1124" customFormat="false" ht="14.25" hidden="false" customHeight="false" outlineLevel="0" collapsed="false">
      <c r="A1124" s="17" t="n">
        <v>46127</v>
      </c>
      <c r="B1124" s="21" t="s">
        <v>2885</v>
      </c>
      <c r="C1124" s="22" t="n">
        <v>150</v>
      </c>
      <c r="D1124" s="31" t="s">
        <v>1471</v>
      </c>
      <c r="E1124" s="21" t="s">
        <v>2885</v>
      </c>
      <c r="F1124" s="19" t="n">
        <v>5511989205119</v>
      </c>
      <c r="G1124" s="31" t="s">
        <v>2886</v>
      </c>
      <c r="H1124" s="21" t="s">
        <v>94</v>
      </c>
      <c r="I1124" s="31" t="s">
        <v>355</v>
      </c>
      <c r="N1124" s="21" t="s">
        <v>965</v>
      </c>
      <c r="O1124" s="21" t="s">
        <v>2159</v>
      </c>
      <c r="P1124" s="21" t="s">
        <v>2089</v>
      </c>
      <c r="Q1124" s="0" t="n">
        <v>-1</v>
      </c>
      <c r="R1124" s="0" t="n">
        <v>4</v>
      </c>
      <c r="S1124" s="0" t="n">
        <v>2026</v>
      </c>
    </row>
    <row r="1125" customFormat="false" ht="14.25" hidden="false" customHeight="false" outlineLevel="0" collapsed="false">
      <c r="A1125" s="17" t="n">
        <v>46127</v>
      </c>
      <c r="B1125" s="21" t="s">
        <v>2888</v>
      </c>
      <c r="C1125" s="22" t="n">
        <v>300</v>
      </c>
      <c r="D1125" s="31" t="s">
        <v>2889</v>
      </c>
      <c r="E1125" s="21" t="s">
        <v>2888</v>
      </c>
      <c r="F1125" s="19" t="n">
        <v>554197203642</v>
      </c>
      <c r="G1125" s="31" t="s">
        <v>2890</v>
      </c>
      <c r="H1125" s="21" t="s">
        <v>94</v>
      </c>
      <c r="I1125" s="31" t="s">
        <v>34</v>
      </c>
      <c r="J1125" s="21" t="s">
        <v>35</v>
      </c>
      <c r="K1125" s="21" t="s">
        <v>36</v>
      </c>
      <c r="L1125" s="21" t="s">
        <v>37</v>
      </c>
      <c r="M1125" s="21" t="s">
        <v>38</v>
      </c>
      <c r="N1125" s="21" t="s">
        <v>965</v>
      </c>
      <c r="O1125" s="21" t="s">
        <v>2159</v>
      </c>
      <c r="P1125" s="21" t="s">
        <v>2089</v>
      </c>
      <c r="Q1125" s="0" t="n">
        <v>0</v>
      </c>
      <c r="R1125" s="0" t="n">
        <v>4</v>
      </c>
      <c r="S1125" s="0" t="n">
        <v>2026</v>
      </c>
    </row>
    <row r="1126" customFormat="false" ht="14.25" hidden="false" customHeight="false" outlineLevel="0" collapsed="false">
      <c r="A1126" s="17" t="n">
        <v>46128</v>
      </c>
      <c r="B1126" s="21" t="s">
        <v>2892</v>
      </c>
      <c r="C1126" s="22" t="n">
        <v>300</v>
      </c>
      <c r="D1126" s="31" t="s">
        <v>20</v>
      </c>
      <c r="E1126" s="21" t="s">
        <v>2892</v>
      </c>
      <c r="F1126" s="19" t="n">
        <v>554187832107</v>
      </c>
      <c r="G1126" s="31" t="s">
        <v>2893</v>
      </c>
      <c r="H1126" s="21" t="s">
        <v>94</v>
      </c>
      <c r="I1126" s="31" t="s">
        <v>34</v>
      </c>
      <c r="J1126" s="21" t="s">
        <v>1176</v>
      </c>
      <c r="K1126" s="21" t="s">
        <v>1897</v>
      </c>
      <c r="L1126" s="21" t="s">
        <v>2447</v>
      </c>
      <c r="M1126" s="21" t="s">
        <v>1179</v>
      </c>
      <c r="N1126" s="21" t="s">
        <v>965</v>
      </c>
      <c r="O1126" s="21" t="s">
        <v>2159</v>
      </c>
      <c r="P1126" s="21" t="s">
        <v>2089</v>
      </c>
      <c r="Q1126" s="0" t="n">
        <v>0</v>
      </c>
      <c r="R1126" s="0" t="n">
        <v>4</v>
      </c>
      <c r="S1126" s="0" t="n">
        <v>2026</v>
      </c>
    </row>
    <row r="1127" customFormat="false" ht="14.25" hidden="false" customHeight="false" outlineLevel="0" collapsed="false">
      <c r="A1127" s="17" t="n">
        <v>46127</v>
      </c>
      <c r="B1127" s="21" t="s">
        <v>2895</v>
      </c>
      <c r="C1127" s="22" t="n">
        <v>240</v>
      </c>
      <c r="D1127" s="31" t="s">
        <v>30</v>
      </c>
      <c r="E1127" s="21" t="s">
        <v>2896</v>
      </c>
      <c r="F1127" s="19" t="n">
        <v>559584406323</v>
      </c>
      <c r="G1127" s="31" t="s">
        <v>2897</v>
      </c>
      <c r="H1127" s="21" t="s">
        <v>94</v>
      </c>
      <c r="I1127" s="31" t="s">
        <v>50</v>
      </c>
      <c r="N1127" s="21" t="s">
        <v>965</v>
      </c>
      <c r="O1127" s="21" t="s">
        <v>2898</v>
      </c>
      <c r="P1127" s="21" t="s">
        <v>2135</v>
      </c>
      <c r="Q1127" s="0" t="n">
        <v>-1</v>
      </c>
      <c r="R1127" s="0" t="n">
        <v>4</v>
      </c>
      <c r="S1127" s="0" t="n">
        <v>2026</v>
      </c>
    </row>
    <row r="1128" customFormat="false" ht="14.25" hidden="false" customHeight="false" outlineLevel="0" collapsed="false">
      <c r="A1128" s="17" t="n">
        <v>46128</v>
      </c>
      <c r="B1128" s="21" t="s">
        <v>2900</v>
      </c>
      <c r="C1128" s="22" t="n">
        <v>150</v>
      </c>
      <c r="D1128" s="31" t="s">
        <v>32</v>
      </c>
      <c r="E1128" s="21" t="s">
        <v>2900</v>
      </c>
      <c r="F1128" s="19" t="n">
        <v>554420023673</v>
      </c>
      <c r="G1128" s="31" t="s">
        <v>2901</v>
      </c>
      <c r="H1128" s="21" t="s">
        <v>94</v>
      </c>
      <c r="I1128" s="31" t="s">
        <v>50</v>
      </c>
      <c r="J1128" s="21" t="s">
        <v>1176</v>
      </c>
      <c r="K1128" s="21" t="s">
        <v>1177</v>
      </c>
      <c r="L1128" s="21" t="s">
        <v>1242</v>
      </c>
      <c r="M1128" s="21" t="s">
        <v>1243</v>
      </c>
      <c r="N1128" s="21" t="s">
        <v>965</v>
      </c>
      <c r="O1128" s="21" t="s">
        <v>2107</v>
      </c>
      <c r="P1128" s="21" t="s">
        <v>862</v>
      </c>
      <c r="Q1128" s="0" t="n">
        <v>-1</v>
      </c>
      <c r="R1128" s="0" t="n">
        <v>4</v>
      </c>
      <c r="S1128" s="0" t="n">
        <v>2026</v>
      </c>
    </row>
    <row r="1129" customFormat="false" ht="14.25" hidden="false" customHeight="false" outlineLevel="0" collapsed="false">
      <c r="A1129" s="17" t="n">
        <v>46128</v>
      </c>
      <c r="B1129" s="21" t="s">
        <v>2903</v>
      </c>
      <c r="C1129" s="22" t="n">
        <v>97</v>
      </c>
      <c r="D1129" s="31" t="s">
        <v>20</v>
      </c>
      <c r="E1129" s="21" t="s">
        <v>2903</v>
      </c>
      <c r="F1129" s="19" t="n">
        <v>554188170690</v>
      </c>
      <c r="G1129" s="31" t="s">
        <v>2904</v>
      </c>
      <c r="H1129" s="21" t="s">
        <v>94</v>
      </c>
      <c r="I1129" s="31" t="s">
        <v>50</v>
      </c>
      <c r="N1129" s="21" t="s">
        <v>965</v>
      </c>
      <c r="O1129" s="21" t="s">
        <v>2088</v>
      </c>
      <c r="P1129" s="21" t="s">
        <v>2089</v>
      </c>
      <c r="Q1129" s="0" t="n">
        <v>-1</v>
      </c>
      <c r="R1129" s="0" t="n">
        <v>4</v>
      </c>
      <c r="S1129" s="0" t="n">
        <v>2026</v>
      </c>
    </row>
    <row r="1130" customFormat="false" ht="14.25" hidden="false" customHeight="false" outlineLevel="0" collapsed="false">
      <c r="A1130" s="17" t="n">
        <v>46128</v>
      </c>
      <c r="B1130" s="21" t="s">
        <v>2906</v>
      </c>
      <c r="C1130" s="22" t="n">
        <v>150</v>
      </c>
      <c r="D1130" s="31" t="s">
        <v>32</v>
      </c>
      <c r="E1130" s="21" t="s">
        <v>2906</v>
      </c>
      <c r="F1130" s="19" t="n">
        <v>5521983506624</v>
      </c>
      <c r="G1130" s="31" t="s">
        <v>2907</v>
      </c>
      <c r="H1130" s="21" t="s">
        <v>94</v>
      </c>
      <c r="I1130" s="31" t="s">
        <v>50</v>
      </c>
      <c r="J1130" s="21" t="s">
        <v>35</v>
      </c>
      <c r="K1130" s="21" t="s">
        <v>36</v>
      </c>
      <c r="L1130" s="21" t="s">
        <v>37</v>
      </c>
      <c r="M1130" s="21" t="s">
        <v>38</v>
      </c>
      <c r="N1130" s="21" t="s">
        <v>965</v>
      </c>
      <c r="O1130" s="21" t="s">
        <v>2107</v>
      </c>
      <c r="P1130" s="21" t="s">
        <v>862</v>
      </c>
      <c r="Q1130" s="0" t="n">
        <v>-1</v>
      </c>
      <c r="R1130" s="0" t="n">
        <v>4</v>
      </c>
      <c r="S1130" s="0" t="n">
        <v>2026</v>
      </c>
    </row>
    <row r="1131" customFormat="false" ht="14.25" hidden="false" customHeight="false" outlineLevel="0" collapsed="false">
      <c r="A1131" s="17" t="n">
        <v>46128</v>
      </c>
      <c r="B1131" s="21" t="s">
        <v>1652</v>
      </c>
      <c r="C1131" s="22" t="n">
        <v>100</v>
      </c>
      <c r="D1131" s="31" t="s">
        <v>390</v>
      </c>
      <c r="E1131" s="21" t="s">
        <v>2909</v>
      </c>
      <c r="F1131" s="19" t="n">
        <v>556281066019</v>
      </c>
      <c r="G1131" s="31" t="s">
        <v>1653</v>
      </c>
      <c r="H1131" s="21" t="s">
        <v>94</v>
      </c>
      <c r="I1131" s="31" t="s">
        <v>54</v>
      </c>
      <c r="N1131" s="21" t="s">
        <v>1022</v>
      </c>
      <c r="O1131" s="21" t="s">
        <v>2280</v>
      </c>
      <c r="P1131" s="21" t="s">
        <v>2281</v>
      </c>
      <c r="Q1131" s="0" t="n">
        <v>-1</v>
      </c>
      <c r="R1131" s="0" t="n">
        <v>4</v>
      </c>
      <c r="S1131" s="0" t="n">
        <v>2026</v>
      </c>
    </row>
    <row r="1132" customFormat="false" ht="14.25" hidden="false" customHeight="false" outlineLevel="0" collapsed="false">
      <c r="A1132" s="17" t="n">
        <v>46128</v>
      </c>
      <c r="B1132" s="21" t="s">
        <v>2911</v>
      </c>
      <c r="C1132" s="22" t="n">
        <v>300</v>
      </c>
      <c r="D1132" s="31" t="s">
        <v>106</v>
      </c>
      <c r="E1132" s="21" t="s">
        <v>2911</v>
      </c>
      <c r="F1132" s="19" t="n">
        <v>555496829535</v>
      </c>
      <c r="G1132" s="31" t="s">
        <v>2912</v>
      </c>
      <c r="H1132" s="21" t="s">
        <v>94</v>
      </c>
      <c r="I1132" s="31" t="s">
        <v>355</v>
      </c>
      <c r="N1132" s="21" t="s">
        <v>965</v>
      </c>
      <c r="O1132" s="21" t="s">
        <v>2107</v>
      </c>
      <c r="P1132" s="21" t="s">
        <v>862</v>
      </c>
      <c r="Q1132" s="0" t="n">
        <v>0</v>
      </c>
      <c r="R1132" s="0" t="n">
        <v>4</v>
      </c>
      <c r="S1132" s="0" t="n">
        <v>2026</v>
      </c>
    </row>
    <row r="1133" customFormat="false" ht="14.25" hidden="false" customHeight="false" outlineLevel="0" collapsed="false">
      <c r="A1133" s="17" t="n">
        <v>46128</v>
      </c>
      <c r="B1133" s="21" t="s">
        <v>2914</v>
      </c>
      <c r="C1133" s="22" t="n">
        <v>150</v>
      </c>
      <c r="D1133" s="31" t="s">
        <v>32</v>
      </c>
      <c r="E1133" s="21" t="s">
        <v>2914</v>
      </c>
      <c r="F1133" s="19" t="n">
        <v>559584256973</v>
      </c>
      <c r="G1133" s="31" t="s">
        <v>2915</v>
      </c>
      <c r="H1133" s="21" t="s">
        <v>94</v>
      </c>
      <c r="I1133" s="31" t="s">
        <v>54</v>
      </c>
      <c r="N1133" s="21" t="s">
        <v>1022</v>
      </c>
      <c r="O1133" s="21" t="s">
        <v>2107</v>
      </c>
      <c r="P1133" s="21" t="s">
        <v>862</v>
      </c>
      <c r="Q1133" s="0" t="n">
        <v>-1</v>
      </c>
      <c r="R1133" s="0" t="n">
        <v>4</v>
      </c>
      <c r="S1133" s="0" t="n">
        <v>2026</v>
      </c>
    </row>
    <row r="1134" customFormat="false" ht="14.25" hidden="false" customHeight="false" outlineLevel="0" collapsed="false">
      <c r="A1134" s="17" t="n">
        <v>46128</v>
      </c>
      <c r="B1134" s="21" t="s">
        <v>2917</v>
      </c>
      <c r="C1134" s="22" t="n">
        <v>97</v>
      </c>
      <c r="D1134" s="31" t="s">
        <v>16</v>
      </c>
      <c r="E1134" s="21" t="s">
        <v>2918</v>
      </c>
      <c r="F1134" s="19" t="n">
        <v>554899378524</v>
      </c>
      <c r="G1134" s="31" t="s">
        <v>2919</v>
      </c>
      <c r="H1134" s="21" t="s">
        <v>94</v>
      </c>
      <c r="I1134" s="31" t="s">
        <v>54</v>
      </c>
      <c r="N1134" s="21" t="s">
        <v>1022</v>
      </c>
      <c r="O1134" s="21" t="s">
        <v>2107</v>
      </c>
      <c r="P1134" s="21" t="s">
        <v>2129</v>
      </c>
      <c r="Q1134" s="0" t="n">
        <v>-1</v>
      </c>
      <c r="R1134" s="0" t="n">
        <v>4</v>
      </c>
      <c r="S1134" s="0" t="n">
        <v>2026</v>
      </c>
    </row>
    <row r="1135" customFormat="false" ht="14.25" hidden="false" customHeight="false" outlineLevel="0" collapsed="false">
      <c r="A1135" s="17" t="n">
        <v>46128</v>
      </c>
      <c r="B1135" s="21" t="s">
        <v>2921</v>
      </c>
      <c r="C1135" s="22" t="n">
        <v>120</v>
      </c>
      <c r="D1135" s="31" t="s">
        <v>862</v>
      </c>
      <c r="E1135" s="21" t="s">
        <v>906</v>
      </c>
      <c r="F1135" s="19" t="n">
        <v>559584227041</v>
      </c>
      <c r="G1135" s="31" t="s">
        <v>907</v>
      </c>
      <c r="H1135" s="21" t="s">
        <v>94</v>
      </c>
      <c r="I1135" s="31" t="s">
        <v>54</v>
      </c>
      <c r="N1135" s="21" t="s">
        <v>1022</v>
      </c>
      <c r="O1135" s="21" t="s">
        <v>2107</v>
      </c>
      <c r="P1135" s="21" t="s">
        <v>862</v>
      </c>
      <c r="Q1135" s="0" t="n">
        <v>0</v>
      </c>
      <c r="R1135" s="0" t="n">
        <v>4</v>
      </c>
      <c r="S1135" s="0" t="n">
        <v>2026</v>
      </c>
    </row>
    <row r="1136" customFormat="false" ht="14.25" hidden="false" customHeight="false" outlineLevel="0" collapsed="false">
      <c r="A1136" s="17" t="n">
        <v>46128</v>
      </c>
      <c r="B1136" s="21" t="s">
        <v>2923</v>
      </c>
      <c r="C1136" s="22" t="n">
        <v>240</v>
      </c>
      <c r="D1136" s="31" t="s">
        <v>20</v>
      </c>
      <c r="E1136" s="21" t="s">
        <v>2924</v>
      </c>
      <c r="F1136" s="19" t="n">
        <v>554192858366</v>
      </c>
      <c r="G1136" s="31" t="s">
        <v>2925</v>
      </c>
      <c r="H1136" s="21" t="s">
        <v>94</v>
      </c>
      <c r="I1136" s="31" t="s">
        <v>34</v>
      </c>
      <c r="J1136" s="21" t="s">
        <v>35</v>
      </c>
      <c r="K1136" s="21" t="s">
        <v>69</v>
      </c>
      <c r="L1136" s="21" t="s">
        <v>70</v>
      </c>
      <c r="M1136" s="21" t="s">
        <v>38</v>
      </c>
      <c r="N1136" s="21" t="s">
        <v>965</v>
      </c>
      <c r="O1136" s="21" t="s">
        <v>2159</v>
      </c>
      <c r="P1136" s="21" t="s">
        <v>2089</v>
      </c>
      <c r="Q1136" s="0" t="n">
        <v>0</v>
      </c>
      <c r="R1136" s="0" t="n">
        <v>4</v>
      </c>
      <c r="S1136" s="0" t="n">
        <v>2026</v>
      </c>
    </row>
    <row r="1137" customFormat="false" ht="14.25" hidden="false" customHeight="false" outlineLevel="0" collapsed="false">
      <c r="A1137" s="17" t="n">
        <v>46128</v>
      </c>
      <c r="B1137" s="21" t="s">
        <v>2927</v>
      </c>
      <c r="C1137" s="22" t="n">
        <v>147</v>
      </c>
      <c r="D1137" s="31" t="s">
        <v>390</v>
      </c>
      <c r="E1137" s="21" t="s">
        <v>2927</v>
      </c>
      <c r="F1137" s="19" t="n">
        <v>554588413388</v>
      </c>
      <c r="G1137" s="31" t="s">
        <v>519</v>
      </c>
      <c r="H1137" s="21" t="s">
        <v>94</v>
      </c>
      <c r="I1137" s="31" t="s">
        <v>34</v>
      </c>
      <c r="N1137" s="21" t="s">
        <v>965</v>
      </c>
      <c r="O1137" s="21" t="s">
        <v>2708</v>
      </c>
      <c r="P1137" s="21" t="s">
        <v>2089</v>
      </c>
      <c r="Q1137" s="0" t="n">
        <v>0</v>
      </c>
      <c r="R1137" s="0" t="n">
        <v>4</v>
      </c>
      <c r="S1137" s="0" t="n">
        <v>2026</v>
      </c>
    </row>
    <row r="1138" customFormat="false" ht="14.25" hidden="false" customHeight="false" outlineLevel="0" collapsed="false">
      <c r="A1138" s="17" t="n">
        <v>46127</v>
      </c>
      <c r="B1138" s="21" t="s">
        <v>605</v>
      </c>
      <c r="C1138" s="22" t="n">
        <v>250</v>
      </c>
      <c r="D1138" s="31" t="s">
        <v>106</v>
      </c>
      <c r="E1138" s="21" t="s">
        <v>605</v>
      </c>
      <c r="F1138" s="19" t="n">
        <v>554396374743</v>
      </c>
      <c r="G1138" s="31" t="s">
        <v>43</v>
      </c>
      <c r="H1138" s="21" t="s">
        <v>94</v>
      </c>
      <c r="I1138" s="31" t="s">
        <v>50</v>
      </c>
      <c r="J1138" s="21" t="s">
        <v>60</v>
      </c>
      <c r="K1138" s="21" t="s">
        <v>27</v>
      </c>
      <c r="L1138" s="21" t="s">
        <v>606</v>
      </c>
      <c r="M1138" s="21" t="s">
        <v>62</v>
      </c>
      <c r="N1138" s="21" t="s">
        <v>965</v>
      </c>
      <c r="R1138" s="0" t="n">
        <v>4</v>
      </c>
      <c r="S1138" s="0" t="n">
        <v>2026</v>
      </c>
    </row>
    <row r="1139" customFormat="false" ht="14.25" hidden="false" customHeight="false" outlineLevel="0" collapsed="false">
      <c r="A1139" s="17" t="n">
        <v>46128</v>
      </c>
      <c r="B1139" s="21" t="s">
        <v>2930</v>
      </c>
      <c r="C1139" s="22" t="n">
        <v>120</v>
      </c>
      <c r="D1139" s="31" t="s">
        <v>30</v>
      </c>
      <c r="E1139" s="21" t="s">
        <v>2930</v>
      </c>
      <c r="F1139" s="19" t="n">
        <v>5511926331610</v>
      </c>
      <c r="G1139" s="31" t="s">
        <v>2931</v>
      </c>
      <c r="H1139" s="21" t="s">
        <v>94</v>
      </c>
      <c r="I1139" s="31" t="s">
        <v>355</v>
      </c>
      <c r="J1139" s="21" t="s">
        <v>1176</v>
      </c>
      <c r="K1139" s="21" t="s">
        <v>1897</v>
      </c>
      <c r="L1139" s="21" t="s">
        <v>1898</v>
      </c>
      <c r="M1139" s="21" t="s">
        <v>1179</v>
      </c>
      <c r="N1139" s="21" t="s">
        <v>965</v>
      </c>
      <c r="O1139" s="21" t="s">
        <v>2107</v>
      </c>
      <c r="P1139" s="21" t="s">
        <v>2135</v>
      </c>
      <c r="Q1139" s="0" t="n">
        <v>5505550991</v>
      </c>
      <c r="R1139" s="0" t="n">
        <v>4</v>
      </c>
      <c r="S1139" s="0" t="n">
        <v>2026</v>
      </c>
    </row>
    <row r="1140" customFormat="false" ht="14.25" hidden="false" customHeight="false" outlineLevel="0" collapsed="false">
      <c r="A1140" s="17" t="n">
        <v>46128</v>
      </c>
      <c r="B1140" s="21" t="s">
        <v>2933</v>
      </c>
      <c r="C1140" s="22" t="n">
        <v>150</v>
      </c>
      <c r="D1140" s="31" t="s">
        <v>21</v>
      </c>
      <c r="E1140" s="21" t="s">
        <v>2934</v>
      </c>
      <c r="F1140" s="19" t="n">
        <v>554892114578</v>
      </c>
      <c r="G1140" s="31" t="s">
        <v>2935</v>
      </c>
      <c r="H1140" s="21" t="s">
        <v>94</v>
      </c>
      <c r="I1140" s="31" t="s">
        <v>355</v>
      </c>
      <c r="J1140" s="21" t="s">
        <v>35</v>
      </c>
      <c r="K1140" s="21" t="s">
        <v>36</v>
      </c>
      <c r="L1140" s="21" t="s">
        <v>37</v>
      </c>
      <c r="M1140" s="21" t="s">
        <v>38</v>
      </c>
      <c r="N1140" s="21" t="s">
        <v>965</v>
      </c>
      <c r="O1140" s="21" t="s">
        <v>2128</v>
      </c>
      <c r="P1140" s="21" t="s">
        <v>2129</v>
      </c>
      <c r="Q1140" s="0" t="n">
        <v>11604335262</v>
      </c>
      <c r="R1140" s="0" t="n">
        <v>4</v>
      </c>
      <c r="S1140" s="0" t="n">
        <v>2026</v>
      </c>
    </row>
    <row r="1141" customFormat="false" ht="14.25" hidden="false" customHeight="false" outlineLevel="0" collapsed="false">
      <c r="A1141" s="17" t="n">
        <v>46128</v>
      </c>
      <c r="B1141" s="21" t="s">
        <v>2937</v>
      </c>
      <c r="C1141" s="22" t="n">
        <v>197</v>
      </c>
      <c r="D1141" s="31" t="s">
        <v>390</v>
      </c>
      <c r="E1141" s="21" t="s">
        <v>2937</v>
      </c>
      <c r="F1141" s="19" t="n">
        <v>559584066875</v>
      </c>
      <c r="G1141" s="31" t="s">
        <v>2938</v>
      </c>
      <c r="H1141" s="21" t="s">
        <v>94</v>
      </c>
      <c r="I1141" s="31" t="s">
        <v>50</v>
      </c>
      <c r="N1141" s="21" t="s">
        <v>965</v>
      </c>
      <c r="O1141" s="21" t="s">
        <v>2939</v>
      </c>
      <c r="P1141" s="21" t="s">
        <v>2320</v>
      </c>
      <c r="Q1141" s="0" t="n">
        <v>-1</v>
      </c>
      <c r="R1141" s="0" t="n">
        <v>4</v>
      </c>
      <c r="S1141" s="0" t="n">
        <v>2026</v>
      </c>
    </row>
    <row r="1142" customFormat="false" ht="14.25" hidden="false" customHeight="false" outlineLevel="0" collapsed="false">
      <c r="A1142" s="17" t="n">
        <v>46128</v>
      </c>
      <c r="B1142" s="21" t="s">
        <v>2941</v>
      </c>
      <c r="C1142" s="22" t="n">
        <v>120</v>
      </c>
      <c r="D1142" s="31" t="s">
        <v>23</v>
      </c>
      <c r="E1142" s="21" t="s">
        <v>2942</v>
      </c>
      <c r="F1142" s="19" t="n">
        <v>554991633193</v>
      </c>
      <c r="G1142" s="31" t="s">
        <v>2943</v>
      </c>
      <c r="H1142" s="21" t="s">
        <v>94</v>
      </c>
      <c r="I1142" s="31" t="s">
        <v>54</v>
      </c>
      <c r="J1142" s="21" t="s">
        <v>35</v>
      </c>
      <c r="K1142" s="21" t="s">
        <v>36</v>
      </c>
      <c r="L1142" s="21" t="s">
        <v>37</v>
      </c>
      <c r="M1142" s="21" t="s">
        <v>38</v>
      </c>
      <c r="N1142" s="21" t="s">
        <v>965</v>
      </c>
      <c r="O1142" s="21" t="s">
        <v>2107</v>
      </c>
      <c r="P1142" s="21" t="s">
        <v>862</v>
      </c>
      <c r="Q1142" s="0" t="n">
        <v>-1</v>
      </c>
      <c r="R1142" s="0" t="n">
        <v>4</v>
      </c>
      <c r="S1142" s="0" t="n">
        <v>2026</v>
      </c>
    </row>
    <row r="1143" customFormat="false" ht="14.25" hidden="false" customHeight="false" outlineLevel="0" collapsed="false">
      <c r="A1143" s="17" t="n">
        <v>46128</v>
      </c>
      <c r="B1143" s="21" t="s">
        <v>2945</v>
      </c>
      <c r="C1143" s="22" t="n">
        <v>197</v>
      </c>
      <c r="D1143" s="31" t="s">
        <v>28</v>
      </c>
      <c r="E1143" s="21" t="s">
        <v>2946</v>
      </c>
      <c r="F1143" s="19" t="n">
        <v>554184534419</v>
      </c>
      <c r="G1143" s="31" t="s">
        <v>2947</v>
      </c>
      <c r="H1143" s="21" t="s">
        <v>94</v>
      </c>
      <c r="I1143" s="31" t="s">
        <v>355</v>
      </c>
      <c r="N1143" s="21" t="s">
        <v>965</v>
      </c>
      <c r="O1143" s="21" t="s">
        <v>2159</v>
      </c>
      <c r="P1143" s="21" t="s">
        <v>2089</v>
      </c>
      <c r="Q1143" s="0" t="n">
        <v>70776962</v>
      </c>
      <c r="R1143" s="0" t="n">
        <v>4</v>
      </c>
      <c r="S1143" s="0" t="n">
        <v>2026</v>
      </c>
    </row>
    <row r="1144" customFormat="false" ht="14.25" hidden="false" customHeight="false" outlineLevel="0" collapsed="false">
      <c r="A1144" s="17" t="n">
        <v>46128</v>
      </c>
      <c r="B1144" s="21" t="s">
        <v>628</v>
      </c>
      <c r="C1144" s="22" t="n">
        <v>120</v>
      </c>
      <c r="D1144" s="31" t="s">
        <v>18</v>
      </c>
      <c r="E1144" s="21" t="s">
        <v>2949</v>
      </c>
      <c r="F1144" s="19" t="n">
        <v>555180212892</v>
      </c>
      <c r="G1144" s="31" t="s">
        <v>629</v>
      </c>
      <c r="H1144" s="21" t="s">
        <v>94</v>
      </c>
      <c r="I1144" s="31" t="s">
        <v>54</v>
      </c>
      <c r="N1144" s="21" t="s">
        <v>1022</v>
      </c>
      <c r="O1144" s="21" t="s">
        <v>2226</v>
      </c>
      <c r="P1144" s="21" t="s">
        <v>2121</v>
      </c>
      <c r="Q1144" s="0" t="n">
        <v>-1</v>
      </c>
      <c r="R1144" s="0" t="n">
        <v>4</v>
      </c>
      <c r="S1144" s="0" t="n">
        <v>2026</v>
      </c>
    </row>
    <row r="1145" customFormat="false" ht="14.25" hidden="false" customHeight="false" outlineLevel="0" collapsed="false">
      <c r="A1145" s="17" t="n">
        <v>46128</v>
      </c>
      <c r="B1145" s="21" t="s">
        <v>2950</v>
      </c>
      <c r="C1145" s="22" t="n">
        <v>150</v>
      </c>
      <c r="D1145" s="31" t="s">
        <v>32</v>
      </c>
      <c r="E1145" s="21" t="s">
        <v>2951</v>
      </c>
      <c r="F1145" s="19" t="n">
        <v>555492173217</v>
      </c>
      <c r="G1145" s="31" t="s">
        <v>2952</v>
      </c>
      <c r="H1145" s="21" t="s">
        <v>94</v>
      </c>
      <c r="I1145" s="31" t="s">
        <v>355</v>
      </c>
      <c r="J1145" s="21" t="s">
        <v>1176</v>
      </c>
      <c r="K1145" s="21" t="s">
        <v>1177</v>
      </c>
      <c r="L1145" s="21" t="s">
        <v>1178</v>
      </c>
      <c r="M1145" s="21" t="s">
        <v>1179</v>
      </c>
      <c r="N1145" s="21" t="s">
        <v>965</v>
      </c>
      <c r="O1145" s="21" t="s">
        <v>2107</v>
      </c>
      <c r="P1145" s="21" t="s">
        <v>862</v>
      </c>
      <c r="Q1145" s="0" t="n">
        <v>0</v>
      </c>
      <c r="R1145" s="0" t="n">
        <v>4</v>
      </c>
      <c r="S1145" s="0" t="n">
        <v>2026</v>
      </c>
    </row>
    <row r="1146" customFormat="false" ht="14.25" hidden="false" customHeight="false" outlineLevel="0" collapsed="false">
      <c r="A1146" s="17" t="n">
        <v>46128</v>
      </c>
      <c r="B1146" s="21" t="s">
        <v>628</v>
      </c>
      <c r="C1146" s="22" t="n">
        <v>120</v>
      </c>
      <c r="D1146" s="31" t="s">
        <v>30</v>
      </c>
      <c r="E1146" s="21" t="s">
        <v>628</v>
      </c>
      <c r="F1146" s="19" t="n">
        <v>555180212892</v>
      </c>
      <c r="G1146" s="31" t="s">
        <v>629</v>
      </c>
      <c r="H1146" s="21" t="s">
        <v>94</v>
      </c>
      <c r="I1146" s="31" t="s">
        <v>54</v>
      </c>
      <c r="N1146" s="21" t="s">
        <v>1022</v>
      </c>
      <c r="O1146" s="21" t="s">
        <v>2120</v>
      </c>
      <c r="P1146" s="21" t="s">
        <v>2121</v>
      </c>
      <c r="Q1146" s="0" t="n">
        <v>-1</v>
      </c>
      <c r="R1146" s="0" t="n">
        <v>4</v>
      </c>
      <c r="S1146" s="0" t="n">
        <v>2026</v>
      </c>
    </row>
    <row r="1147" customFormat="false" ht="14.25" hidden="false" customHeight="false" outlineLevel="0" collapsed="false">
      <c r="A1147" s="17" t="n">
        <v>46129</v>
      </c>
      <c r="B1147" s="21" t="s">
        <v>2955</v>
      </c>
      <c r="C1147" s="22" t="n">
        <v>147</v>
      </c>
      <c r="D1147" s="31" t="s">
        <v>21</v>
      </c>
      <c r="E1147" s="21" t="s">
        <v>2956</v>
      </c>
      <c r="F1147" s="19" t="n">
        <v>559584077454</v>
      </c>
      <c r="G1147" s="31" t="s">
        <v>2957</v>
      </c>
      <c r="H1147" s="21" t="s">
        <v>94</v>
      </c>
      <c r="I1147" s="31" t="s">
        <v>34</v>
      </c>
      <c r="J1147" s="21" t="s">
        <v>35</v>
      </c>
      <c r="K1147" s="21" t="s">
        <v>36</v>
      </c>
      <c r="L1147" s="21" t="s">
        <v>37</v>
      </c>
      <c r="M1147" s="21" t="s">
        <v>38</v>
      </c>
      <c r="N1147" s="21" t="s">
        <v>965</v>
      </c>
      <c r="O1147" s="21" t="s">
        <v>2345</v>
      </c>
      <c r="P1147" s="21" t="s">
        <v>2129</v>
      </c>
      <c r="Q1147" s="0" t="n">
        <v>0</v>
      </c>
      <c r="R1147" s="0" t="n">
        <v>4</v>
      </c>
      <c r="S1147" s="0" t="n">
        <v>2026</v>
      </c>
    </row>
    <row r="1148" customFormat="false" ht="14.25" hidden="false" customHeight="false" outlineLevel="0" collapsed="false">
      <c r="A1148" s="17" t="n">
        <v>46129</v>
      </c>
      <c r="B1148" s="21" t="s">
        <v>1577</v>
      </c>
      <c r="C1148" s="22" t="n">
        <v>60</v>
      </c>
      <c r="D1148" s="31" t="s">
        <v>25</v>
      </c>
      <c r="E1148" s="21" t="s">
        <v>1577</v>
      </c>
      <c r="F1148" s="19" t="n">
        <v>559591750294</v>
      </c>
      <c r="G1148" s="31" t="s">
        <v>1578</v>
      </c>
      <c r="H1148" s="21" t="s">
        <v>94</v>
      </c>
      <c r="I1148" s="31" t="s">
        <v>54</v>
      </c>
      <c r="N1148" s="21" t="s">
        <v>1022</v>
      </c>
      <c r="O1148" s="21" t="s">
        <v>2135</v>
      </c>
      <c r="P1148" s="21" t="s">
        <v>2135</v>
      </c>
      <c r="Q1148" s="0" t="n">
        <v>-1</v>
      </c>
      <c r="R1148" s="0" t="n">
        <v>4</v>
      </c>
      <c r="S1148" s="0" t="n">
        <v>2026</v>
      </c>
    </row>
    <row r="1149" customFormat="false" ht="14.25" hidden="false" customHeight="false" outlineLevel="0" collapsed="false">
      <c r="A1149" s="17" t="n">
        <v>46129</v>
      </c>
      <c r="B1149" s="21" t="s">
        <v>2960</v>
      </c>
      <c r="C1149" s="22" t="n">
        <v>367</v>
      </c>
      <c r="D1149" s="31" t="s">
        <v>21</v>
      </c>
      <c r="E1149" s="21" t="s">
        <v>2960</v>
      </c>
      <c r="F1149" s="19" t="n">
        <v>556791940687</v>
      </c>
      <c r="G1149" s="31" t="s">
        <v>2960</v>
      </c>
      <c r="H1149" s="21" t="s">
        <v>94</v>
      </c>
      <c r="I1149" s="31" t="s">
        <v>34</v>
      </c>
      <c r="N1149" s="21" t="s">
        <v>965</v>
      </c>
      <c r="O1149" s="21" t="s">
        <v>2676</v>
      </c>
      <c r="P1149" s="21" t="s">
        <v>2129</v>
      </c>
      <c r="Q1149" s="0" t="n">
        <v>0</v>
      </c>
      <c r="R1149" s="0" t="n">
        <v>4</v>
      </c>
      <c r="S1149" s="0" t="n">
        <v>2026</v>
      </c>
    </row>
    <row r="1150" customFormat="false" ht="14.25" hidden="false" customHeight="false" outlineLevel="0" collapsed="false">
      <c r="A1150" s="17" t="n">
        <v>46128</v>
      </c>
      <c r="B1150" s="21" t="s">
        <v>1652</v>
      </c>
      <c r="C1150" s="22" t="n">
        <v>74</v>
      </c>
      <c r="D1150" s="31" t="s">
        <v>18</v>
      </c>
      <c r="E1150" s="21" t="s">
        <v>2909</v>
      </c>
      <c r="F1150" s="19" t="n">
        <v>556281066019</v>
      </c>
      <c r="G1150" s="31" t="s">
        <v>1653</v>
      </c>
      <c r="H1150" s="21" t="s">
        <v>94</v>
      </c>
      <c r="I1150" s="31" t="s">
        <v>54</v>
      </c>
      <c r="N1150" s="21" t="s">
        <v>1022</v>
      </c>
      <c r="O1150" s="21" t="s">
        <v>2280</v>
      </c>
      <c r="P1150" s="21" t="s">
        <v>2281</v>
      </c>
      <c r="Q1150" s="0" t="n">
        <v>-1</v>
      </c>
      <c r="R1150" s="0" t="n">
        <v>4</v>
      </c>
      <c r="S1150" s="0" t="n">
        <v>2026</v>
      </c>
    </row>
    <row r="1151" customFormat="false" ht="14.25" hidden="false" customHeight="false" outlineLevel="0" collapsed="false">
      <c r="A1151" s="17" t="n">
        <v>46128</v>
      </c>
      <c r="B1151" s="21" t="s">
        <v>219</v>
      </c>
      <c r="C1151" s="22" t="n">
        <v>600</v>
      </c>
      <c r="D1151" s="31" t="s">
        <v>27</v>
      </c>
      <c r="E1151" s="21" t="s">
        <v>219</v>
      </c>
      <c r="F1151" s="19" t="n">
        <v>556284270683</v>
      </c>
      <c r="G1151" s="31" t="s">
        <v>220</v>
      </c>
      <c r="H1151" s="21" t="s">
        <v>94</v>
      </c>
      <c r="I1151" s="31" t="s">
        <v>54</v>
      </c>
      <c r="N1151" s="21" t="s">
        <v>1022</v>
      </c>
      <c r="R1151" s="0" t="n">
        <v>4</v>
      </c>
      <c r="S1151" s="0" t="n">
        <v>2026</v>
      </c>
    </row>
    <row r="1152" customFormat="false" ht="14.25" hidden="false" customHeight="false" outlineLevel="0" collapsed="false">
      <c r="A1152" s="17" t="n">
        <v>46128</v>
      </c>
      <c r="B1152" s="21" t="s">
        <v>364</v>
      </c>
      <c r="C1152" s="22" t="n">
        <v>250</v>
      </c>
      <c r="D1152" s="31" t="s">
        <v>27</v>
      </c>
      <c r="E1152" s="21" t="s">
        <v>364</v>
      </c>
      <c r="F1152" s="19" t="n">
        <v>554198700879</v>
      </c>
      <c r="G1152" s="31" t="s">
        <v>33</v>
      </c>
      <c r="H1152" s="21" t="s">
        <v>94</v>
      </c>
      <c r="I1152" s="31" t="s">
        <v>34</v>
      </c>
      <c r="J1152" s="21" t="s">
        <v>60</v>
      </c>
      <c r="K1152" s="21" t="s">
        <v>27</v>
      </c>
      <c r="L1152" s="21" t="s">
        <v>365</v>
      </c>
      <c r="M1152" s="21" t="s">
        <v>62</v>
      </c>
      <c r="N1152" s="21" t="s">
        <v>965</v>
      </c>
      <c r="R1152" s="0" t="n">
        <v>4</v>
      </c>
      <c r="S1152" s="0" t="n">
        <v>2026</v>
      </c>
    </row>
    <row r="1153" customFormat="false" ht="14.25" hidden="false" customHeight="false" outlineLevel="0" collapsed="false">
      <c r="A1153" s="17" t="n">
        <v>46128</v>
      </c>
      <c r="B1153" s="21" t="s">
        <v>2961</v>
      </c>
      <c r="C1153" s="22" t="n">
        <v>150</v>
      </c>
      <c r="D1153" s="31" t="s">
        <v>32</v>
      </c>
      <c r="E1153" s="21" t="s">
        <v>2961</v>
      </c>
      <c r="F1153" s="19" t="n">
        <v>559584270895</v>
      </c>
      <c r="G1153" s="31" t="s">
        <v>2962</v>
      </c>
      <c r="H1153" s="21" t="s">
        <v>94</v>
      </c>
      <c r="I1153" s="31" t="s">
        <v>34</v>
      </c>
      <c r="R1153" s="0" t="n">
        <v>4</v>
      </c>
      <c r="S1153" s="0" t="n">
        <v>2026</v>
      </c>
    </row>
    <row r="1154" customFormat="false" ht="14.25" hidden="false" customHeight="false" outlineLevel="0" collapsed="false">
      <c r="A1154" s="17" t="n">
        <v>46129</v>
      </c>
      <c r="B1154" s="21" t="s">
        <v>1306</v>
      </c>
      <c r="C1154" s="22" t="n">
        <v>150</v>
      </c>
      <c r="D1154" s="31" t="s">
        <v>29</v>
      </c>
      <c r="E1154" s="21" t="s">
        <v>1306</v>
      </c>
      <c r="F1154" s="19" t="n">
        <v>556599736852</v>
      </c>
      <c r="G1154" s="31" t="s">
        <v>2525</v>
      </c>
      <c r="H1154" s="21" t="s">
        <v>94</v>
      </c>
      <c r="I1154" s="31" t="s">
        <v>54</v>
      </c>
      <c r="N1154" s="21" t="s">
        <v>1022</v>
      </c>
      <c r="O1154" s="21" t="s">
        <v>2107</v>
      </c>
      <c r="P1154" s="21" t="s">
        <v>862</v>
      </c>
      <c r="Q1154" s="0" t="n">
        <v>-1</v>
      </c>
      <c r="R1154" s="0" t="n">
        <v>4</v>
      </c>
      <c r="S1154" s="0" t="n">
        <v>2026</v>
      </c>
    </row>
    <row r="1155" customFormat="false" ht="14.25" hidden="false" customHeight="false" outlineLevel="0" collapsed="false">
      <c r="A1155" s="17" t="n">
        <v>46129</v>
      </c>
      <c r="B1155" s="21" t="s">
        <v>2622</v>
      </c>
      <c r="C1155" s="22" t="n">
        <v>394</v>
      </c>
      <c r="D1155" s="31" t="s">
        <v>390</v>
      </c>
      <c r="E1155" s="21" t="s">
        <v>2622</v>
      </c>
      <c r="F1155" s="19" t="n">
        <v>554892089032</v>
      </c>
      <c r="G1155" s="31" t="s">
        <v>2623</v>
      </c>
      <c r="H1155" s="21" t="s">
        <v>94</v>
      </c>
      <c r="I1155" s="31" t="s">
        <v>34</v>
      </c>
      <c r="N1155" s="21" t="s">
        <v>1022</v>
      </c>
      <c r="O1155" s="21" t="s">
        <v>2128</v>
      </c>
      <c r="P1155" s="21" t="s">
        <v>2129</v>
      </c>
      <c r="Q1155" s="0" t="n">
        <v>0</v>
      </c>
      <c r="R1155" s="0" t="n">
        <v>4</v>
      </c>
      <c r="S1155" s="0" t="n">
        <v>2026</v>
      </c>
    </row>
    <row r="1156" customFormat="false" ht="14.25" hidden="false" customHeight="false" outlineLevel="0" collapsed="false">
      <c r="A1156" s="17" t="n">
        <v>46129</v>
      </c>
      <c r="B1156" s="21" t="s">
        <v>2966</v>
      </c>
      <c r="C1156" s="22" t="n">
        <v>360</v>
      </c>
      <c r="D1156" s="31" t="s">
        <v>21</v>
      </c>
      <c r="E1156" s="21" t="s">
        <v>2967</v>
      </c>
      <c r="F1156" s="19" t="n">
        <v>554797187024</v>
      </c>
      <c r="G1156" s="31" t="s">
        <v>2968</v>
      </c>
      <c r="H1156" s="21" t="s">
        <v>94</v>
      </c>
      <c r="I1156" s="31" t="s">
        <v>34</v>
      </c>
      <c r="N1156" s="21" t="s">
        <v>965</v>
      </c>
      <c r="O1156" s="21" t="s">
        <v>2345</v>
      </c>
      <c r="P1156" s="21" t="s">
        <v>2129</v>
      </c>
      <c r="Q1156" s="0" t="n">
        <v>0</v>
      </c>
      <c r="R1156" s="0" t="n">
        <v>4</v>
      </c>
      <c r="S1156" s="0" t="n">
        <v>2026</v>
      </c>
    </row>
    <row r="1157" customFormat="false" ht="14.25" hidden="false" customHeight="false" outlineLevel="0" collapsed="false">
      <c r="A1157" s="17" t="n">
        <v>46129</v>
      </c>
      <c r="B1157" s="21" t="s">
        <v>2970</v>
      </c>
      <c r="C1157" s="22" t="n">
        <v>400</v>
      </c>
      <c r="D1157" s="31" t="s">
        <v>27</v>
      </c>
      <c r="E1157" s="21" t="s">
        <v>2971</v>
      </c>
      <c r="F1157" s="19" t="n">
        <v>554187487769</v>
      </c>
      <c r="G1157" s="31" t="s">
        <v>33</v>
      </c>
      <c r="H1157" s="21" t="s">
        <v>94</v>
      </c>
      <c r="I1157" s="31" t="s">
        <v>34</v>
      </c>
      <c r="J1157" s="21" t="s">
        <v>60</v>
      </c>
      <c r="K1157" s="21" t="s">
        <v>27</v>
      </c>
      <c r="L1157" s="21" t="s">
        <v>61</v>
      </c>
      <c r="M1157" s="21" t="s">
        <v>62</v>
      </c>
      <c r="N1157" s="21" t="s">
        <v>965</v>
      </c>
      <c r="O1157" s="21" t="s">
        <v>2107</v>
      </c>
      <c r="P1157" s="21" t="s">
        <v>862</v>
      </c>
      <c r="Q1157" s="0" t="n">
        <v>0</v>
      </c>
      <c r="R1157" s="0" t="n">
        <v>4</v>
      </c>
      <c r="S1157" s="0" t="n">
        <v>2026</v>
      </c>
    </row>
    <row r="1158" customFormat="false" ht="14.25" hidden="false" customHeight="false" outlineLevel="0" collapsed="false">
      <c r="A1158" s="17" t="n">
        <v>46129</v>
      </c>
      <c r="B1158" s="21" t="s">
        <v>64</v>
      </c>
      <c r="C1158" s="22" t="n">
        <v>150</v>
      </c>
      <c r="D1158" s="31" t="s">
        <v>29</v>
      </c>
      <c r="E1158" s="21" t="s">
        <v>64</v>
      </c>
      <c r="F1158" s="19" t="n">
        <v>559584276647</v>
      </c>
      <c r="G1158" s="31" t="s">
        <v>65</v>
      </c>
      <c r="H1158" s="21" t="s">
        <v>94</v>
      </c>
      <c r="I1158" s="31" t="s">
        <v>54</v>
      </c>
      <c r="N1158" s="21" t="s">
        <v>1022</v>
      </c>
      <c r="O1158" s="21" t="s">
        <v>2107</v>
      </c>
      <c r="P1158" s="21" t="s">
        <v>862</v>
      </c>
      <c r="Q1158" s="0" t="n">
        <v>-1</v>
      </c>
      <c r="R1158" s="0" t="n">
        <v>4</v>
      </c>
      <c r="S1158" s="0" t="n">
        <v>2026</v>
      </c>
    </row>
    <row r="1159" customFormat="false" ht="14.25" hidden="false" customHeight="false" outlineLevel="0" collapsed="false">
      <c r="A1159" s="17" t="n">
        <v>46129</v>
      </c>
      <c r="B1159" s="21" t="s">
        <v>2974</v>
      </c>
      <c r="C1159" s="22" t="n">
        <v>480</v>
      </c>
      <c r="D1159" s="31" t="s">
        <v>30</v>
      </c>
      <c r="E1159" s="21" t="s">
        <v>2974</v>
      </c>
      <c r="F1159" s="19" t="n">
        <v>559584280086</v>
      </c>
      <c r="G1159" s="31" t="s">
        <v>2975</v>
      </c>
      <c r="H1159" s="21" t="s">
        <v>94</v>
      </c>
      <c r="I1159" s="31" t="s">
        <v>355</v>
      </c>
      <c r="J1159" s="21" t="s">
        <v>1176</v>
      </c>
      <c r="K1159" s="21" t="s">
        <v>1897</v>
      </c>
      <c r="L1159" s="21" t="s">
        <v>2447</v>
      </c>
      <c r="M1159" s="21" t="s">
        <v>1179</v>
      </c>
      <c r="N1159" s="21" t="s">
        <v>965</v>
      </c>
      <c r="O1159" s="21" t="s">
        <v>2107</v>
      </c>
      <c r="P1159" s="21" t="s">
        <v>2135</v>
      </c>
      <c r="Q1159" s="0" t="n">
        <v>-1</v>
      </c>
      <c r="R1159" s="0" t="n">
        <v>4</v>
      </c>
      <c r="S1159" s="0" t="n">
        <v>2026</v>
      </c>
    </row>
    <row r="1160" customFormat="false" ht="14.25" hidden="false" customHeight="false" outlineLevel="0" collapsed="false">
      <c r="A1160" s="17" t="n">
        <v>46129</v>
      </c>
      <c r="B1160" s="21" t="s">
        <v>2977</v>
      </c>
      <c r="C1160" s="22" t="n">
        <v>450</v>
      </c>
      <c r="D1160" s="31" t="s">
        <v>18</v>
      </c>
      <c r="E1160" s="21" t="s">
        <v>2977</v>
      </c>
      <c r="F1160" s="19" t="n">
        <v>554896993334</v>
      </c>
      <c r="G1160" s="31" t="s">
        <v>2978</v>
      </c>
      <c r="H1160" s="21" t="s">
        <v>94</v>
      </c>
      <c r="I1160" s="31" t="s">
        <v>355</v>
      </c>
      <c r="J1160" s="21" t="s">
        <v>1176</v>
      </c>
      <c r="K1160" s="21" t="s">
        <v>1861</v>
      </c>
      <c r="L1160" s="21" t="s">
        <v>1862</v>
      </c>
      <c r="M1160" s="21" t="s">
        <v>1179</v>
      </c>
      <c r="N1160" s="21" t="s">
        <v>965</v>
      </c>
      <c r="O1160" s="21" t="s">
        <v>2107</v>
      </c>
      <c r="P1160" s="21" t="s">
        <v>862</v>
      </c>
      <c r="Q1160" s="0" t="n">
        <v>-1</v>
      </c>
      <c r="R1160" s="0" t="n">
        <v>4</v>
      </c>
      <c r="S1160" s="0" t="n">
        <v>2026</v>
      </c>
    </row>
    <row r="1161" customFormat="false" ht="14.25" hidden="false" customHeight="false" outlineLevel="0" collapsed="false">
      <c r="A1161" s="17" t="n">
        <v>46130</v>
      </c>
      <c r="B1161" s="21" t="s">
        <v>2980</v>
      </c>
      <c r="C1161" s="22" t="n">
        <v>150</v>
      </c>
      <c r="D1161" s="31" t="s">
        <v>32</v>
      </c>
      <c r="E1161" s="21" t="s">
        <v>2981</v>
      </c>
      <c r="F1161" s="19" t="n">
        <v>559591121594</v>
      </c>
      <c r="G1161" s="31" t="s">
        <v>2982</v>
      </c>
      <c r="H1161" s="21" t="s">
        <v>94</v>
      </c>
      <c r="I1161" s="31" t="s">
        <v>355</v>
      </c>
      <c r="N1161" s="21" t="s">
        <v>965</v>
      </c>
      <c r="O1161" s="21" t="s">
        <v>2107</v>
      </c>
      <c r="P1161" s="21" t="s">
        <v>862</v>
      </c>
      <c r="Q1161" s="0" t="n">
        <v>-1</v>
      </c>
      <c r="R1161" s="0" t="n">
        <v>4</v>
      </c>
      <c r="S1161" s="0" t="n">
        <v>2026</v>
      </c>
    </row>
    <row r="1162" customFormat="false" ht="14.25" hidden="false" customHeight="false" outlineLevel="0" collapsed="false">
      <c r="A1162" s="17" t="n">
        <v>46130</v>
      </c>
      <c r="B1162" s="21" t="s">
        <v>2984</v>
      </c>
      <c r="C1162" s="22" t="n">
        <v>240</v>
      </c>
      <c r="D1162" s="31" t="s">
        <v>30</v>
      </c>
      <c r="E1162" s="21" t="s">
        <v>2984</v>
      </c>
      <c r="F1162" s="19" t="n">
        <v>5511961169983</v>
      </c>
      <c r="G1162" s="31" t="s">
        <v>2985</v>
      </c>
      <c r="H1162" s="21" t="s">
        <v>94</v>
      </c>
      <c r="I1162" s="31" t="s">
        <v>54</v>
      </c>
      <c r="N1162" s="21" t="s">
        <v>1022</v>
      </c>
      <c r="O1162" s="21" t="s">
        <v>2986</v>
      </c>
      <c r="P1162" s="21" t="s">
        <v>2135</v>
      </c>
      <c r="Q1162" s="0" t="n">
        <v>-1</v>
      </c>
      <c r="R1162" s="0" t="n">
        <v>4</v>
      </c>
      <c r="S1162" s="0" t="n">
        <v>2026</v>
      </c>
    </row>
    <row r="1163" customFormat="false" ht="14.25" hidden="false" customHeight="false" outlineLevel="0" collapsed="false">
      <c r="A1163" s="17" t="n">
        <v>46130</v>
      </c>
      <c r="B1163" s="21" t="s">
        <v>2988</v>
      </c>
      <c r="C1163" s="22" t="n">
        <v>150</v>
      </c>
      <c r="D1163" s="31" t="s">
        <v>32</v>
      </c>
      <c r="E1163" s="21" t="s">
        <v>2988</v>
      </c>
      <c r="F1163" s="19" t="n">
        <v>5358358101</v>
      </c>
      <c r="G1163" s="31" t="s">
        <v>2989</v>
      </c>
      <c r="H1163" s="21" t="s">
        <v>94</v>
      </c>
      <c r="I1163" s="31" t="s">
        <v>355</v>
      </c>
      <c r="N1163" s="21" t="s">
        <v>965</v>
      </c>
      <c r="O1163" s="21" t="s">
        <v>2107</v>
      </c>
      <c r="P1163" s="21" t="s">
        <v>862</v>
      </c>
      <c r="Q1163" s="0" t="n">
        <v>-1</v>
      </c>
      <c r="R1163" s="0" t="n">
        <v>4</v>
      </c>
      <c r="S1163" s="0" t="n">
        <v>2026</v>
      </c>
    </row>
    <row r="1164" customFormat="false" ht="14.25" hidden="false" customHeight="false" outlineLevel="0" collapsed="false">
      <c r="A1164" s="17" t="n">
        <v>46130</v>
      </c>
      <c r="B1164" s="21" t="s">
        <v>2991</v>
      </c>
      <c r="C1164" s="22" t="n">
        <v>147</v>
      </c>
      <c r="D1164" s="31" t="s">
        <v>21</v>
      </c>
      <c r="E1164" s="21" t="s">
        <v>2991</v>
      </c>
      <c r="F1164" s="19" t="n">
        <v>554899362867</v>
      </c>
      <c r="G1164" s="31" t="s">
        <v>2992</v>
      </c>
      <c r="H1164" s="21" t="s">
        <v>94</v>
      </c>
      <c r="I1164" s="31" t="s">
        <v>54</v>
      </c>
      <c r="N1164" s="21" t="s">
        <v>965</v>
      </c>
      <c r="O1164" s="21" t="s">
        <v>2261</v>
      </c>
      <c r="P1164" s="21" t="s">
        <v>2129</v>
      </c>
      <c r="Q1164" s="0" t="n">
        <v>-1</v>
      </c>
      <c r="R1164" s="0" t="n">
        <v>4</v>
      </c>
      <c r="S1164" s="0" t="n">
        <v>2026</v>
      </c>
    </row>
    <row r="1165" customFormat="false" ht="14.25" hidden="false" customHeight="false" outlineLevel="0" collapsed="false">
      <c r="A1165" s="17" t="n">
        <v>46130</v>
      </c>
      <c r="B1165" s="21" t="s">
        <v>2994</v>
      </c>
      <c r="C1165" s="22" t="n">
        <v>150</v>
      </c>
      <c r="D1165" s="31" t="s">
        <v>32</v>
      </c>
      <c r="E1165" s="21" t="s">
        <v>2994</v>
      </c>
      <c r="F1165" s="19" t="n">
        <v>555591460601</v>
      </c>
      <c r="G1165" s="31" t="s">
        <v>2995</v>
      </c>
      <c r="H1165" s="21" t="s">
        <v>94</v>
      </c>
      <c r="I1165" s="31" t="s">
        <v>54</v>
      </c>
      <c r="J1165" s="21" t="s">
        <v>35</v>
      </c>
      <c r="K1165" s="21" t="s">
        <v>36</v>
      </c>
      <c r="L1165" s="21" t="s">
        <v>37</v>
      </c>
      <c r="M1165" s="21" t="s">
        <v>38</v>
      </c>
      <c r="N1165" s="21" t="s">
        <v>965</v>
      </c>
      <c r="O1165" s="21" t="s">
        <v>2107</v>
      </c>
      <c r="P1165" s="21" t="s">
        <v>862</v>
      </c>
      <c r="Q1165" s="0" t="n">
        <v>-1</v>
      </c>
      <c r="R1165" s="0" t="n">
        <v>4</v>
      </c>
      <c r="S1165" s="0" t="n">
        <v>2026</v>
      </c>
    </row>
    <row r="1166" customFormat="false" ht="14.25" hidden="false" customHeight="false" outlineLevel="0" collapsed="false">
      <c r="A1166" s="17" t="n">
        <v>46130</v>
      </c>
      <c r="B1166" s="21" t="s">
        <v>2997</v>
      </c>
      <c r="C1166" s="22" t="n">
        <v>120</v>
      </c>
      <c r="D1166" s="31" t="s">
        <v>21</v>
      </c>
      <c r="E1166" s="21" t="s">
        <v>2997</v>
      </c>
      <c r="F1166" s="19" t="n">
        <v>554198217657</v>
      </c>
      <c r="G1166" s="31" t="s">
        <v>2998</v>
      </c>
      <c r="H1166" s="21" t="s">
        <v>94</v>
      </c>
      <c r="I1166" s="31" t="s">
        <v>355</v>
      </c>
      <c r="N1166" s="21" t="s">
        <v>965</v>
      </c>
      <c r="O1166" s="21" t="s">
        <v>2128</v>
      </c>
      <c r="P1166" s="21" t="s">
        <v>2129</v>
      </c>
      <c r="Q1166" s="0" t="n">
        <v>-1</v>
      </c>
      <c r="R1166" s="0" t="n">
        <v>4</v>
      </c>
      <c r="S1166" s="0" t="n">
        <v>2026</v>
      </c>
    </row>
    <row r="1167" customFormat="false" ht="14.25" hidden="false" customHeight="false" outlineLevel="0" collapsed="false">
      <c r="A1167" s="17" t="n">
        <v>46130</v>
      </c>
      <c r="B1167" s="21" t="s">
        <v>470</v>
      </c>
      <c r="C1167" s="22" t="n">
        <v>800</v>
      </c>
      <c r="D1167" s="31" t="s">
        <v>106</v>
      </c>
      <c r="E1167" s="21" t="s">
        <v>470</v>
      </c>
      <c r="F1167" s="19" t="n">
        <v>5554999456197</v>
      </c>
      <c r="G1167" s="31" t="s">
        <v>33</v>
      </c>
      <c r="H1167" s="21" t="s">
        <v>94</v>
      </c>
      <c r="I1167" s="31" t="s">
        <v>355</v>
      </c>
      <c r="N1167" s="21" t="s">
        <v>965</v>
      </c>
      <c r="O1167" s="21" t="s">
        <v>2107</v>
      </c>
      <c r="P1167" s="21" t="s">
        <v>862</v>
      </c>
      <c r="Q1167" s="0" t="n">
        <v>-1</v>
      </c>
      <c r="R1167" s="0" t="n">
        <v>4</v>
      </c>
      <c r="S1167" s="0" t="n">
        <v>2026</v>
      </c>
    </row>
    <row r="1168" customFormat="false" ht="14.25" hidden="false" customHeight="false" outlineLevel="0" collapsed="false">
      <c r="A1168" s="17" t="n">
        <v>46130</v>
      </c>
      <c r="B1168" s="21" t="s">
        <v>3001</v>
      </c>
      <c r="C1168" s="22" t="n">
        <v>147</v>
      </c>
      <c r="D1168" s="31" t="s">
        <v>390</v>
      </c>
      <c r="E1168" s="21" t="s">
        <v>3001</v>
      </c>
      <c r="F1168" s="19" t="n">
        <v>554184060700</v>
      </c>
      <c r="G1168" s="31" t="s">
        <v>43</v>
      </c>
      <c r="H1168" s="21" t="s">
        <v>94</v>
      </c>
      <c r="I1168" s="31" t="s">
        <v>54</v>
      </c>
      <c r="J1168" s="21" t="s">
        <v>35</v>
      </c>
      <c r="K1168" s="21" t="s">
        <v>69</v>
      </c>
      <c r="L1168" s="21" t="s">
        <v>70</v>
      </c>
      <c r="M1168" s="21" t="s">
        <v>38</v>
      </c>
      <c r="N1168" s="21" t="s">
        <v>965</v>
      </c>
      <c r="O1168" s="21" t="s">
        <v>2159</v>
      </c>
      <c r="P1168" s="21" t="s">
        <v>2089</v>
      </c>
      <c r="Q1168" s="0" t="n">
        <v>-1</v>
      </c>
      <c r="R1168" s="0" t="n">
        <v>4</v>
      </c>
      <c r="S1168" s="0" t="n">
        <v>2026</v>
      </c>
    </row>
    <row r="1169" customFormat="false" ht="14.25" hidden="false" customHeight="false" outlineLevel="0" collapsed="false">
      <c r="A1169" s="17" t="n">
        <v>46131</v>
      </c>
      <c r="B1169" s="21" t="s">
        <v>509</v>
      </c>
      <c r="C1169" s="22" t="n">
        <v>290</v>
      </c>
      <c r="D1169" s="31" t="s">
        <v>21</v>
      </c>
      <c r="E1169" s="21" t="s">
        <v>509</v>
      </c>
      <c r="F1169" s="19" t="n">
        <v>558899155871</v>
      </c>
      <c r="G1169" s="31" t="s">
        <v>510</v>
      </c>
      <c r="H1169" s="21" t="s">
        <v>94</v>
      </c>
      <c r="I1169" s="31" t="s">
        <v>54</v>
      </c>
      <c r="N1169" s="21" t="s">
        <v>1022</v>
      </c>
      <c r="O1169" s="21" t="s">
        <v>2236</v>
      </c>
      <c r="P1169" s="21" t="s">
        <v>2129</v>
      </c>
      <c r="Q1169" s="0" t="n">
        <v>-1</v>
      </c>
      <c r="R1169" s="0" t="n">
        <v>4</v>
      </c>
      <c r="S1169" s="0" t="n">
        <v>2026</v>
      </c>
    </row>
    <row r="1170" customFormat="false" ht="14.25" hidden="false" customHeight="false" outlineLevel="0" collapsed="false">
      <c r="A1170" s="17" t="n">
        <v>46131</v>
      </c>
      <c r="B1170" s="21" t="s">
        <v>1821</v>
      </c>
      <c r="C1170" s="22" t="n">
        <v>200</v>
      </c>
      <c r="D1170" s="31" t="s">
        <v>1699</v>
      </c>
      <c r="E1170" s="21" t="s">
        <v>1821</v>
      </c>
      <c r="F1170" s="19" t="n">
        <v>554888684882</v>
      </c>
      <c r="G1170" s="31" t="s">
        <v>1822</v>
      </c>
      <c r="H1170" s="21" t="s">
        <v>94</v>
      </c>
      <c r="I1170" s="31" t="s">
        <v>54</v>
      </c>
      <c r="N1170" s="21" t="s">
        <v>1022</v>
      </c>
      <c r="O1170" s="21" t="s">
        <v>2128</v>
      </c>
      <c r="P1170" s="21" t="s">
        <v>2129</v>
      </c>
      <c r="Q1170" s="0" t="n">
        <v>-1</v>
      </c>
      <c r="R1170" s="0" t="n">
        <v>4</v>
      </c>
      <c r="S1170" s="0" t="n">
        <v>2026</v>
      </c>
    </row>
    <row r="1171" customFormat="false" ht="14.25" hidden="false" customHeight="false" outlineLevel="0" collapsed="false">
      <c r="A1171" s="17" t="n">
        <v>46131</v>
      </c>
      <c r="B1171" s="21" t="s">
        <v>3005</v>
      </c>
      <c r="C1171" s="22" t="n">
        <v>294</v>
      </c>
      <c r="D1171" s="31" t="s">
        <v>390</v>
      </c>
      <c r="E1171" s="21" t="s">
        <v>3005</v>
      </c>
      <c r="F1171" s="19" t="n">
        <v>555499158578</v>
      </c>
      <c r="G1171" s="31" t="s">
        <v>3006</v>
      </c>
      <c r="H1171" s="21" t="s">
        <v>94</v>
      </c>
      <c r="I1171" s="31" t="s">
        <v>54</v>
      </c>
      <c r="N1171" s="21" t="s">
        <v>1022</v>
      </c>
      <c r="O1171" s="21" t="s">
        <v>2107</v>
      </c>
      <c r="P1171" s="21" t="s">
        <v>862</v>
      </c>
      <c r="Q1171" s="0" t="n">
        <v>-1</v>
      </c>
      <c r="R1171" s="0" t="n">
        <v>4</v>
      </c>
      <c r="S1171" s="0" t="n">
        <v>2026</v>
      </c>
    </row>
    <row r="1172" customFormat="false" ht="14.25" hidden="false" customHeight="false" outlineLevel="0" collapsed="false">
      <c r="A1172" s="17" t="n">
        <v>46129</v>
      </c>
      <c r="B1172" s="21" t="s">
        <v>3008</v>
      </c>
      <c r="C1172" s="22" t="n">
        <v>147</v>
      </c>
      <c r="D1172" s="31" t="s">
        <v>18</v>
      </c>
      <c r="E1172" s="21" t="s">
        <v>3008</v>
      </c>
      <c r="F1172" s="19" t="n">
        <v>559188237892</v>
      </c>
      <c r="G1172" s="31" t="s">
        <v>3009</v>
      </c>
      <c r="H1172" s="21" t="s">
        <v>94</v>
      </c>
      <c r="I1172" s="31" t="s">
        <v>54</v>
      </c>
      <c r="N1172" s="21" t="s">
        <v>1022</v>
      </c>
      <c r="O1172" s="21" t="s">
        <v>2107</v>
      </c>
      <c r="P1172" s="21" t="s">
        <v>2350</v>
      </c>
      <c r="Q1172" s="0" t="n">
        <v>-1</v>
      </c>
      <c r="R1172" s="0" t="n">
        <v>4</v>
      </c>
      <c r="S1172" s="0" t="n">
        <v>2026</v>
      </c>
    </row>
    <row r="1173" customFormat="false" ht="14.25" hidden="false" customHeight="false" outlineLevel="0" collapsed="false">
      <c r="A1173" s="17" t="n">
        <v>46131</v>
      </c>
      <c r="B1173" s="21" t="s">
        <v>3011</v>
      </c>
      <c r="C1173" s="22" t="n">
        <v>400</v>
      </c>
      <c r="D1173" s="31" t="s">
        <v>1471</v>
      </c>
      <c r="E1173" s="21" t="s">
        <v>3011</v>
      </c>
      <c r="F1173" s="19" t="n">
        <v>554199243938</v>
      </c>
      <c r="G1173" s="31" t="s">
        <v>3012</v>
      </c>
      <c r="H1173" s="21" t="s">
        <v>94</v>
      </c>
      <c r="I1173" s="31" t="s">
        <v>54</v>
      </c>
      <c r="N1173" s="21" t="s">
        <v>965</v>
      </c>
      <c r="O1173" s="21" t="s">
        <v>2159</v>
      </c>
      <c r="P1173" s="21" t="s">
        <v>2089</v>
      </c>
      <c r="Q1173" s="0" t="n">
        <v>-1</v>
      </c>
      <c r="R1173" s="0" t="n">
        <v>4</v>
      </c>
      <c r="S1173" s="0" t="n">
        <v>2026</v>
      </c>
    </row>
    <row r="1174" customFormat="false" ht="14.25" hidden="false" customHeight="false" outlineLevel="0" collapsed="false">
      <c r="A1174" s="17" t="n">
        <v>46129</v>
      </c>
      <c r="B1174" s="21" t="s">
        <v>3014</v>
      </c>
      <c r="C1174" s="22" t="n">
        <v>147</v>
      </c>
      <c r="D1174" s="31" t="s">
        <v>21</v>
      </c>
      <c r="E1174" s="21" t="s">
        <v>3015</v>
      </c>
      <c r="F1174" s="19" t="n">
        <v>554720039077</v>
      </c>
      <c r="G1174" s="31" t="s">
        <v>3016</v>
      </c>
      <c r="H1174" s="21" t="s">
        <v>94</v>
      </c>
      <c r="I1174" s="31" t="s">
        <v>355</v>
      </c>
      <c r="N1174" s="21" t="s">
        <v>965</v>
      </c>
      <c r="O1174" s="21" t="s">
        <v>3017</v>
      </c>
      <c r="P1174" s="21" t="s">
        <v>2129</v>
      </c>
      <c r="Q1174" s="0" t="n">
        <v>12013426275</v>
      </c>
      <c r="R1174" s="0" t="n">
        <v>4</v>
      </c>
      <c r="S1174" s="0" t="n">
        <v>2026</v>
      </c>
    </row>
    <row r="1175" customFormat="false" ht="14.25" hidden="false" customHeight="false" outlineLevel="0" collapsed="false">
      <c r="A1175" s="17" t="n">
        <v>46130</v>
      </c>
      <c r="B1175" s="21" t="s">
        <v>3019</v>
      </c>
      <c r="C1175" s="22" t="n">
        <v>147</v>
      </c>
      <c r="D1175" s="31" t="s">
        <v>18</v>
      </c>
      <c r="E1175" s="21" t="s">
        <v>3019</v>
      </c>
      <c r="F1175" s="19" t="n">
        <v>5541999436517</v>
      </c>
      <c r="G1175" s="31" t="s">
        <v>3020</v>
      </c>
      <c r="H1175" s="21" t="s">
        <v>94</v>
      </c>
      <c r="I1175" s="31" t="s">
        <v>50</v>
      </c>
      <c r="J1175" s="21" t="s">
        <v>3021</v>
      </c>
      <c r="M1175" s="21" t="s">
        <v>303</v>
      </c>
      <c r="N1175" s="21" t="s">
        <v>965</v>
      </c>
      <c r="O1175" s="21" t="s">
        <v>2159</v>
      </c>
      <c r="P1175" s="21" t="s">
        <v>2089</v>
      </c>
      <c r="Q1175" s="0" t="n">
        <v>-1</v>
      </c>
      <c r="R1175" s="0" t="n">
        <v>4</v>
      </c>
      <c r="S1175" s="0" t="n">
        <v>2026</v>
      </c>
    </row>
    <row r="1176" customFormat="false" ht="14.25" hidden="false" customHeight="false" outlineLevel="0" collapsed="false">
      <c r="A1176" s="17" t="n">
        <v>46131</v>
      </c>
      <c r="B1176" s="21" t="s">
        <v>3023</v>
      </c>
      <c r="C1176" s="22" t="n">
        <v>240</v>
      </c>
      <c r="D1176" s="31" t="s">
        <v>20</v>
      </c>
      <c r="E1176" s="21" t="s">
        <v>3024</v>
      </c>
      <c r="F1176" s="19" t="n">
        <v>5511922769090</v>
      </c>
      <c r="G1176" s="31" t="s">
        <v>43</v>
      </c>
      <c r="H1176" s="21" t="s">
        <v>94</v>
      </c>
      <c r="I1176" s="31" t="s">
        <v>54</v>
      </c>
      <c r="N1176" s="21" t="s">
        <v>965</v>
      </c>
      <c r="O1176" s="21" t="s">
        <v>2135</v>
      </c>
      <c r="P1176" s="21" t="s">
        <v>2135</v>
      </c>
      <c r="Q1176" s="0" t="n">
        <v>-1</v>
      </c>
      <c r="R1176" s="0" t="n">
        <v>4</v>
      </c>
      <c r="S1176" s="0" t="n">
        <v>2026</v>
      </c>
    </row>
    <row r="1177" customFormat="false" ht="14.25" hidden="false" customHeight="false" outlineLevel="0" collapsed="false">
      <c r="A1177" s="17" t="n">
        <v>46130</v>
      </c>
      <c r="B1177" s="21" t="s">
        <v>3026</v>
      </c>
      <c r="C1177" s="22" t="n">
        <v>120</v>
      </c>
      <c r="D1177" s="31" t="s">
        <v>20</v>
      </c>
      <c r="E1177" s="21" t="s">
        <v>3026</v>
      </c>
      <c r="F1177" s="19" t="n">
        <v>559584145214</v>
      </c>
      <c r="G1177" s="31" t="s">
        <v>3027</v>
      </c>
      <c r="H1177" s="21" t="s">
        <v>94</v>
      </c>
      <c r="I1177" s="31" t="s">
        <v>34</v>
      </c>
      <c r="J1177" s="21" t="s">
        <v>35</v>
      </c>
      <c r="K1177" s="21" t="s">
        <v>36</v>
      </c>
      <c r="L1177" s="21" t="s">
        <v>37</v>
      </c>
      <c r="M1177" s="21" t="s">
        <v>38</v>
      </c>
      <c r="N1177" s="21" t="s">
        <v>965</v>
      </c>
      <c r="O1177" s="21" t="s">
        <v>2159</v>
      </c>
      <c r="P1177" s="21" t="s">
        <v>2089</v>
      </c>
      <c r="Q1177" s="0" t="n">
        <v>0</v>
      </c>
      <c r="R1177" s="0" t="n">
        <v>4</v>
      </c>
      <c r="S1177" s="0" t="n">
        <v>2026</v>
      </c>
    </row>
    <row r="1178" customFormat="false" ht="14.25" hidden="false" customHeight="false" outlineLevel="0" collapsed="false">
      <c r="A1178" s="17" t="n">
        <v>46131</v>
      </c>
      <c r="B1178" s="21" t="s">
        <v>3029</v>
      </c>
      <c r="C1178" s="22" t="n">
        <v>147</v>
      </c>
      <c r="D1178" s="31" t="s">
        <v>22</v>
      </c>
      <c r="E1178" s="21" t="s">
        <v>3029</v>
      </c>
      <c r="F1178" s="19" t="n">
        <v>554796044414</v>
      </c>
      <c r="G1178" s="31" t="s">
        <v>3030</v>
      </c>
      <c r="H1178" s="21" t="s">
        <v>94</v>
      </c>
      <c r="I1178" s="31" t="s">
        <v>50</v>
      </c>
      <c r="N1178" s="21" t="s">
        <v>965</v>
      </c>
      <c r="O1178" s="21" t="s">
        <v>2236</v>
      </c>
      <c r="P1178" s="21" t="s">
        <v>2129</v>
      </c>
      <c r="Q1178" s="0" t="n">
        <v>-1</v>
      </c>
      <c r="R1178" s="0" t="n">
        <v>4</v>
      </c>
      <c r="S1178" s="0" t="n">
        <v>2026</v>
      </c>
    </row>
    <row r="1179" customFormat="false" ht="14.25" hidden="false" customHeight="false" outlineLevel="0" collapsed="false">
      <c r="A1179" s="17" t="n">
        <v>46129</v>
      </c>
      <c r="B1179" s="21" t="s">
        <v>3032</v>
      </c>
      <c r="C1179" s="22" t="n">
        <v>294</v>
      </c>
      <c r="D1179" s="31" t="s">
        <v>390</v>
      </c>
      <c r="E1179" s="21" t="s">
        <v>3032</v>
      </c>
      <c r="F1179" s="19" t="n">
        <v>554198157513</v>
      </c>
      <c r="G1179" s="31" t="s">
        <v>3033</v>
      </c>
      <c r="H1179" s="21" t="s">
        <v>94</v>
      </c>
      <c r="I1179" s="31" t="s">
        <v>355</v>
      </c>
      <c r="J1179" s="21" t="s">
        <v>35</v>
      </c>
      <c r="K1179" s="21" t="s">
        <v>69</v>
      </c>
      <c r="L1179" s="21" t="s">
        <v>70</v>
      </c>
      <c r="M1179" s="21" t="s">
        <v>38</v>
      </c>
      <c r="N1179" s="21" t="s">
        <v>965</v>
      </c>
      <c r="O1179" s="21" t="s">
        <v>2159</v>
      </c>
      <c r="P1179" s="21" t="s">
        <v>2089</v>
      </c>
      <c r="Q1179" s="0" t="n">
        <v>0</v>
      </c>
      <c r="R1179" s="0" t="n">
        <v>4</v>
      </c>
      <c r="S1179" s="0" t="n">
        <v>2026</v>
      </c>
    </row>
    <row r="1180" customFormat="false" ht="14.25" hidden="false" customHeight="false" outlineLevel="0" collapsed="false">
      <c r="A1180" s="17" t="n">
        <v>46129</v>
      </c>
      <c r="B1180" s="21" t="s">
        <v>3035</v>
      </c>
      <c r="C1180" s="22" t="n">
        <v>147</v>
      </c>
      <c r="D1180" s="31" t="s">
        <v>18</v>
      </c>
      <c r="E1180" s="21" t="s">
        <v>3036</v>
      </c>
      <c r="F1180" s="19" t="n">
        <v>556581378556</v>
      </c>
      <c r="G1180" s="31" t="s">
        <v>3037</v>
      </c>
      <c r="H1180" s="21" t="s">
        <v>94</v>
      </c>
      <c r="I1180" s="31" t="s">
        <v>50</v>
      </c>
      <c r="J1180" s="21" t="s">
        <v>35</v>
      </c>
      <c r="K1180" s="21" t="s">
        <v>69</v>
      </c>
      <c r="L1180" s="21" t="s">
        <v>70</v>
      </c>
      <c r="M1180" s="21" t="s">
        <v>38</v>
      </c>
      <c r="N1180" s="21" t="s">
        <v>965</v>
      </c>
      <c r="O1180" s="21" t="s">
        <v>3038</v>
      </c>
      <c r="P1180" s="21" t="s">
        <v>2320</v>
      </c>
      <c r="Q1180" s="0" t="n">
        <v>-1</v>
      </c>
      <c r="R1180" s="0" t="n">
        <v>4</v>
      </c>
      <c r="S1180" s="0" t="n">
        <v>2026</v>
      </c>
    </row>
    <row r="1181" customFormat="false" ht="14.25" hidden="false" customHeight="false" outlineLevel="0" collapsed="false">
      <c r="A1181" s="17" t="n">
        <v>46132</v>
      </c>
      <c r="B1181" s="21" t="s">
        <v>3040</v>
      </c>
      <c r="C1181" s="22" t="n">
        <v>240</v>
      </c>
      <c r="D1181" s="31" t="s">
        <v>21</v>
      </c>
      <c r="E1181" s="21" t="s">
        <v>3040</v>
      </c>
      <c r="F1181" s="19" t="n">
        <v>559584176828</v>
      </c>
      <c r="G1181" s="31" t="s">
        <v>3041</v>
      </c>
      <c r="H1181" s="21" t="s">
        <v>94</v>
      </c>
      <c r="I1181" s="31" t="s">
        <v>355</v>
      </c>
      <c r="J1181" s="21" t="s">
        <v>35</v>
      </c>
      <c r="K1181" s="21" t="s">
        <v>272</v>
      </c>
      <c r="L1181" s="21" t="s">
        <v>273</v>
      </c>
      <c r="M1181" s="21" t="s">
        <v>38</v>
      </c>
      <c r="N1181" s="21" t="s">
        <v>965</v>
      </c>
      <c r="O1181" s="21" t="s">
        <v>2252</v>
      </c>
      <c r="P1181" s="21" t="s">
        <v>2129</v>
      </c>
      <c r="Q1181" s="0" t="n">
        <v>11683391209</v>
      </c>
      <c r="R1181" s="0" t="n">
        <v>4</v>
      </c>
      <c r="S1181" s="0" t="n">
        <v>2026</v>
      </c>
    </row>
    <row r="1182" customFormat="false" ht="14.25" hidden="false" customHeight="false" outlineLevel="0" collapsed="false">
      <c r="A1182" s="17" t="n">
        <v>46132</v>
      </c>
      <c r="B1182" s="21" t="s">
        <v>3043</v>
      </c>
      <c r="C1182" s="22" t="n">
        <v>60</v>
      </c>
      <c r="D1182" s="31" t="s">
        <v>30</v>
      </c>
      <c r="E1182" s="21" t="s">
        <v>3044</v>
      </c>
      <c r="F1182" s="19" t="n">
        <v>5511914950427</v>
      </c>
      <c r="G1182" s="31" t="s">
        <v>3045</v>
      </c>
      <c r="H1182" s="21" t="s">
        <v>94</v>
      </c>
      <c r="I1182" s="31" t="s">
        <v>355</v>
      </c>
      <c r="N1182" s="21" t="s">
        <v>965</v>
      </c>
      <c r="O1182" s="21" t="s">
        <v>3046</v>
      </c>
      <c r="P1182" s="21" t="s">
        <v>2135</v>
      </c>
      <c r="Q1182" s="0" t="n">
        <v>0</v>
      </c>
      <c r="R1182" s="0" t="n">
        <v>4</v>
      </c>
      <c r="S1182" s="0" t="n">
        <v>2026</v>
      </c>
    </row>
    <row r="1183" customFormat="false" ht="14.25" hidden="false" customHeight="false" outlineLevel="0" collapsed="false">
      <c r="A1183" s="17" t="n">
        <v>46132</v>
      </c>
      <c r="B1183" s="21" t="s">
        <v>3043</v>
      </c>
      <c r="C1183" s="22" t="n">
        <v>60</v>
      </c>
      <c r="D1183" s="31" t="s">
        <v>30</v>
      </c>
      <c r="E1183" s="21" t="s">
        <v>3048</v>
      </c>
      <c r="F1183" s="19" t="n">
        <v>5511914996906</v>
      </c>
      <c r="G1183" s="31" t="s">
        <v>3049</v>
      </c>
      <c r="H1183" s="21" t="s">
        <v>94</v>
      </c>
      <c r="I1183" s="31" t="s">
        <v>34</v>
      </c>
      <c r="N1183" s="21" t="s">
        <v>965</v>
      </c>
      <c r="O1183" s="21" t="s">
        <v>2135</v>
      </c>
      <c r="P1183" s="21" t="s">
        <v>2135</v>
      </c>
      <c r="Q1183" s="0" t="n">
        <v>0</v>
      </c>
      <c r="R1183" s="0" t="n">
        <v>4</v>
      </c>
      <c r="S1183" s="0" t="n">
        <v>2026</v>
      </c>
    </row>
    <row r="1184" customFormat="false" ht="14.25" hidden="false" customHeight="false" outlineLevel="0" collapsed="false">
      <c r="A1184" s="17" t="n">
        <v>46132</v>
      </c>
      <c r="B1184" s="21" t="s">
        <v>3051</v>
      </c>
      <c r="C1184" s="22" t="n">
        <v>394</v>
      </c>
      <c r="D1184" s="31" t="s">
        <v>390</v>
      </c>
      <c r="E1184" s="21" t="s">
        <v>3052</v>
      </c>
      <c r="F1184" s="19" t="n">
        <v>554196222257</v>
      </c>
      <c r="G1184" s="31" t="s">
        <v>3053</v>
      </c>
      <c r="H1184" s="21" t="s">
        <v>94</v>
      </c>
      <c r="I1184" s="31" t="s">
        <v>50</v>
      </c>
      <c r="J1184" s="21" t="s">
        <v>1176</v>
      </c>
      <c r="K1184" s="21" t="s">
        <v>1897</v>
      </c>
      <c r="L1184" s="21" t="s">
        <v>1898</v>
      </c>
      <c r="M1184" s="21" t="s">
        <v>1179</v>
      </c>
      <c r="N1184" s="21" t="s">
        <v>965</v>
      </c>
      <c r="O1184" s="21" t="s">
        <v>2159</v>
      </c>
      <c r="P1184" s="21" t="s">
        <v>2089</v>
      </c>
      <c r="Q1184" s="0" t="n">
        <v>-1</v>
      </c>
      <c r="R1184" s="0" t="n">
        <v>4</v>
      </c>
      <c r="S1184" s="0" t="n">
        <v>2026</v>
      </c>
    </row>
    <row r="1185" customFormat="false" ht="14.25" hidden="false" customHeight="false" outlineLevel="0" collapsed="false">
      <c r="A1185" s="17" t="n">
        <v>46132</v>
      </c>
      <c r="B1185" s="21" t="s">
        <v>3055</v>
      </c>
      <c r="C1185" s="22" t="n">
        <v>150</v>
      </c>
      <c r="D1185" s="31" t="s">
        <v>32</v>
      </c>
      <c r="E1185" s="21" t="s">
        <v>3055</v>
      </c>
      <c r="F1185" s="19" t="n">
        <v>559584270396</v>
      </c>
      <c r="G1185" s="31" t="s">
        <v>3056</v>
      </c>
      <c r="H1185" s="21" t="s">
        <v>94</v>
      </c>
      <c r="I1185" s="31" t="s">
        <v>54</v>
      </c>
      <c r="N1185" s="21" t="s">
        <v>1022</v>
      </c>
      <c r="O1185" s="21" t="s">
        <v>3057</v>
      </c>
      <c r="P1185" s="21" t="s">
        <v>2129</v>
      </c>
      <c r="Q1185" s="0" t="n">
        <v>-1</v>
      </c>
      <c r="R1185" s="0" t="n">
        <v>4</v>
      </c>
      <c r="S1185" s="0" t="n">
        <v>2026</v>
      </c>
    </row>
    <row r="1186" customFormat="false" ht="14.25" hidden="false" customHeight="false" outlineLevel="0" collapsed="false">
      <c r="A1186" s="17" t="n">
        <v>46132</v>
      </c>
      <c r="B1186" s="21" t="s">
        <v>3059</v>
      </c>
      <c r="C1186" s="22" t="n">
        <v>150</v>
      </c>
      <c r="D1186" s="31" t="s">
        <v>32</v>
      </c>
      <c r="E1186" s="21" t="s">
        <v>3060</v>
      </c>
      <c r="F1186" s="19" t="n">
        <v>554196185150</v>
      </c>
      <c r="G1186" s="31" t="s">
        <v>3061</v>
      </c>
      <c r="H1186" s="21" t="s">
        <v>94</v>
      </c>
      <c r="I1186" s="31" t="s">
        <v>355</v>
      </c>
      <c r="J1186" s="21" t="s">
        <v>1176</v>
      </c>
      <c r="K1186" s="21" t="s">
        <v>1177</v>
      </c>
      <c r="L1186" s="21" t="s">
        <v>1324</v>
      </c>
      <c r="M1186" s="21" t="s">
        <v>1243</v>
      </c>
      <c r="N1186" s="21" t="s">
        <v>965</v>
      </c>
      <c r="O1186" s="21" t="s">
        <v>2159</v>
      </c>
      <c r="P1186" s="21" t="s">
        <v>2089</v>
      </c>
      <c r="Q1186" s="0" t="n">
        <v>0</v>
      </c>
      <c r="R1186" s="0" t="n">
        <v>4</v>
      </c>
      <c r="S1186" s="0" t="n">
        <v>2026</v>
      </c>
    </row>
    <row r="1187" customFormat="false" ht="14.25" hidden="false" customHeight="false" outlineLevel="0" collapsed="false">
      <c r="A1187" s="17" t="n">
        <v>46132</v>
      </c>
      <c r="B1187" s="21" t="s">
        <v>3063</v>
      </c>
      <c r="C1187" s="22" t="n">
        <v>800</v>
      </c>
      <c r="D1187" s="31" t="s">
        <v>106</v>
      </c>
      <c r="E1187" s="21" t="s">
        <v>3063</v>
      </c>
      <c r="F1187" s="19" t="n">
        <v>5511972698113</v>
      </c>
      <c r="G1187" s="31" t="s">
        <v>3064</v>
      </c>
      <c r="H1187" s="21" t="s">
        <v>94</v>
      </c>
      <c r="I1187" s="31" t="s">
        <v>50</v>
      </c>
      <c r="J1187" s="21" t="s">
        <v>60</v>
      </c>
      <c r="K1187" s="21" t="s">
        <v>27</v>
      </c>
      <c r="L1187" s="21" t="s">
        <v>3065</v>
      </c>
      <c r="M1187" s="21" t="s">
        <v>62</v>
      </c>
      <c r="N1187" s="21" t="s">
        <v>965</v>
      </c>
      <c r="O1187" s="21" t="s">
        <v>2135</v>
      </c>
      <c r="P1187" s="21" t="s">
        <v>2135</v>
      </c>
      <c r="Q1187" s="0" t="n">
        <v>-1</v>
      </c>
      <c r="R1187" s="0" t="n">
        <v>4</v>
      </c>
      <c r="S1187" s="0" t="n">
        <v>2026</v>
      </c>
    </row>
    <row r="1188" customFormat="false" ht="14.25" hidden="false" customHeight="false" outlineLevel="0" collapsed="false">
      <c r="A1188" s="17" t="n">
        <v>46132</v>
      </c>
      <c r="B1188" s="21" t="s">
        <v>3067</v>
      </c>
      <c r="C1188" s="22" t="n">
        <v>780</v>
      </c>
      <c r="D1188" s="31" t="s">
        <v>24</v>
      </c>
      <c r="E1188" s="21" t="s">
        <v>104</v>
      </c>
      <c r="F1188" s="19" t="n">
        <v>554888124202</v>
      </c>
      <c r="G1188" s="31" t="s">
        <v>1935</v>
      </c>
      <c r="H1188" s="21" t="s">
        <v>94</v>
      </c>
      <c r="I1188" s="31" t="s">
        <v>54</v>
      </c>
      <c r="N1188" s="21" t="s">
        <v>1022</v>
      </c>
      <c r="O1188" s="21" t="s">
        <v>2128</v>
      </c>
      <c r="P1188" s="21" t="s">
        <v>2129</v>
      </c>
      <c r="Q1188" s="0" t="n">
        <v>-1</v>
      </c>
      <c r="R1188" s="0" t="n">
        <v>4</v>
      </c>
      <c r="S1188" s="0" t="n">
        <v>2026</v>
      </c>
    </row>
    <row r="1189" customFormat="false" ht="14.25" hidden="false" customHeight="false" outlineLevel="0" collapsed="false">
      <c r="A1189" s="17" t="n">
        <v>46132</v>
      </c>
      <c r="B1189" s="21" t="s">
        <v>3067</v>
      </c>
      <c r="C1189" s="22" t="n">
        <v>1000</v>
      </c>
      <c r="D1189" s="31" t="s">
        <v>27</v>
      </c>
      <c r="E1189" s="21" t="s">
        <v>104</v>
      </c>
      <c r="F1189" s="19" t="n">
        <v>554888124202</v>
      </c>
      <c r="G1189" s="31" t="s">
        <v>1935</v>
      </c>
      <c r="H1189" s="21" t="s">
        <v>94</v>
      </c>
      <c r="I1189" s="31" t="s">
        <v>54</v>
      </c>
      <c r="N1189" s="21" t="s">
        <v>1022</v>
      </c>
      <c r="O1189" s="21" t="s">
        <v>2128</v>
      </c>
      <c r="P1189" s="21" t="s">
        <v>2129</v>
      </c>
      <c r="Q1189" s="0" t="n">
        <v>-1</v>
      </c>
      <c r="R1189" s="0" t="n">
        <v>4</v>
      </c>
      <c r="S1189" s="0" t="n">
        <v>2026</v>
      </c>
    </row>
    <row r="1190" customFormat="false" ht="14.25" hidden="false" customHeight="false" outlineLevel="0" collapsed="false">
      <c r="A1190" s="17" t="n">
        <v>46120</v>
      </c>
      <c r="B1190" s="21" t="s">
        <v>3070</v>
      </c>
      <c r="C1190" s="22" t="n">
        <v>150</v>
      </c>
      <c r="D1190" s="31" t="s">
        <v>390</v>
      </c>
      <c r="E1190" s="21" t="s">
        <v>3071</v>
      </c>
      <c r="F1190" s="19" t="n">
        <v>555496101264</v>
      </c>
      <c r="G1190" s="31" t="s">
        <v>3072</v>
      </c>
      <c r="H1190" s="21" t="s">
        <v>94</v>
      </c>
      <c r="I1190" s="31" t="s">
        <v>54</v>
      </c>
      <c r="N1190" s="21" t="s">
        <v>1022</v>
      </c>
      <c r="O1190" s="21" t="s">
        <v>2107</v>
      </c>
      <c r="P1190" s="21" t="s">
        <v>2121</v>
      </c>
      <c r="Q1190" s="0" t="n">
        <v>-1</v>
      </c>
      <c r="R1190" s="0" t="n">
        <v>4</v>
      </c>
      <c r="S1190" s="0" t="n">
        <v>2026</v>
      </c>
    </row>
    <row r="1191" customFormat="false" ht="14.25" hidden="false" customHeight="false" outlineLevel="0" collapsed="false">
      <c r="A1191" s="17" t="n">
        <v>46132</v>
      </c>
      <c r="B1191" s="21" t="s">
        <v>3074</v>
      </c>
      <c r="C1191" s="22" t="n">
        <v>249</v>
      </c>
      <c r="D1191" s="31" t="s">
        <v>18</v>
      </c>
      <c r="E1191" s="21" t="s">
        <v>3074</v>
      </c>
      <c r="F1191" s="19" t="n">
        <v>555199071192</v>
      </c>
      <c r="G1191" s="31" t="s">
        <v>3075</v>
      </c>
      <c r="H1191" s="21" t="s">
        <v>94</v>
      </c>
      <c r="I1191" s="31" t="s">
        <v>355</v>
      </c>
      <c r="J1191" s="21" t="s">
        <v>1176</v>
      </c>
      <c r="K1191" s="21" t="s">
        <v>1955</v>
      </c>
      <c r="L1191" s="21" t="s">
        <v>1956</v>
      </c>
      <c r="M1191" s="21" t="s">
        <v>1179</v>
      </c>
      <c r="N1191" s="21" t="s">
        <v>965</v>
      </c>
      <c r="O1191" s="21" t="s">
        <v>2760</v>
      </c>
      <c r="P1191" s="21" t="s">
        <v>2121</v>
      </c>
      <c r="Q1191" s="0" t="n">
        <v>80266235921</v>
      </c>
      <c r="R1191" s="0" t="n">
        <v>4</v>
      </c>
      <c r="S1191" s="0" t="n">
        <v>2026</v>
      </c>
    </row>
    <row r="1192" customFormat="false" ht="14.25" hidden="false" customHeight="false" outlineLevel="0" collapsed="false">
      <c r="A1192" s="17" t="n">
        <v>46132</v>
      </c>
      <c r="B1192" s="21" t="s">
        <v>3077</v>
      </c>
      <c r="C1192" s="22" t="n">
        <v>500</v>
      </c>
      <c r="D1192" s="31" t="s">
        <v>30</v>
      </c>
      <c r="E1192" s="21" t="s">
        <v>3078</v>
      </c>
      <c r="F1192" s="19" t="n">
        <v>5516993705903</v>
      </c>
      <c r="G1192" s="31" t="s">
        <v>3079</v>
      </c>
      <c r="H1192" s="21" t="s">
        <v>94</v>
      </c>
      <c r="I1192" s="31" t="s">
        <v>34</v>
      </c>
      <c r="J1192" s="21" t="s">
        <v>1176</v>
      </c>
      <c r="K1192" s="21" t="s">
        <v>1897</v>
      </c>
      <c r="L1192" s="21" t="s">
        <v>2828</v>
      </c>
      <c r="M1192" s="21" t="s">
        <v>1179</v>
      </c>
      <c r="N1192" s="21" t="s">
        <v>965</v>
      </c>
      <c r="O1192" s="21" t="s">
        <v>2107</v>
      </c>
      <c r="P1192" s="21" t="s">
        <v>2135</v>
      </c>
      <c r="Q1192" s="0" t="n">
        <v>0</v>
      </c>
      <c r="R1192" s="0" t="n">
        <v>4</v>
      </c>
      <c r="S1192" s="0" t="n">
        <v>2026</v>
      </c>
    </row>
    <row r="1193" customFormat="false" ht="14.25" hidden="false" customHeight="false" outlineLevel="0" collapsed="false">
      <c r="A1193" s="17" t="n">
        <v>46132</v>
      </c>
      <c r="B1193" s="21" t="s">
        <v>3081</v>
      </c>
      <c r="C1193" s="22" t="n">
        <v>147</v>
      </c>
      <c r="D1193" s="31" t="s">
        <v>18</v>
      </c>
      <c r="E1193" s="21" t="s">
        <v>3081</v>
      </c>
      <c r="F1193" s="19" t="n">
        <v>555496712062</v>
      </c>
      <c r="G1193" s="31" t="s">
        <v>3082</v>
      </c>
      <c r="H1193" s="21" t="s">
        <v>94</v>
      </c>
      <c r="I1193" s="31" t="s">
        <v>34</v>
      </c>
      <c r="J1193" s="21" t="s">
        <v>35</v>
      </c>
      <c r="K1193" s="21" t="s">
        <v>69</v>
      </c>
      <c r="L1193" s="21" t="s">
        <v>70</v>
      </c>
      <c r="M1193" s="21" t="s">
        <v>38</v>
      </c>
      <c r="N1193" s="21" t="s">
        <v>965</v>
      </c>
      <c r="O1193" s="21" t="s">
        <v>2107</v>
      </c>
      <c r="P1193" s="21" t="s">
        <v>2121</v>
      </c>
      <c r="Q1193" s="0" t="n">
        <v>0</v>
      </c>
      <c r="R1193" s="0" t="n">
        <v>4</v>
      </c>
      <c r="S1193" s="0" t="n">
        <v>2026</v>
      </c>
    </row>
    <row r="1194" customFormat="false" ht="14.25" hidden="false" customHeight="false" outlineLevel="0" collapsed="false">
      <c r="A1194" s="17" t="n">
        <v>46132</v>
      </c>
      <c r="B1194" s="21" t="s">
        <v>3084</v>
      </c>
      <c r="C1194" s="22" t="n">
        <v>120</v>
      </c>
      <c r="D1194" s="31" t="s">
        <v>20</v>
      </c>
      <c r="E1194" s="21" t="s">
        <v>3084</v>
      </c>
      <c r="F1194" s="19" t="n">
        <v>559584393882</v>
      </c>
      <c r="G1194" s="31" t="s">
        <v>3085</v>
      </c>
      <c r="H1194" s="21" t="s">
        <v>94</v>
      </c>
      <c r="I1194" s="31" t="s">
        <v>355</v>
      </c>
      <c r="N1194" s="21" t="s">
        <v>965</v>
      </c>
      <c r="O1194" s="21" t="s">
        <v>2280</v>
      </c>
      <c r="P1194" s="21" t="s">
        <v>2281</v>
      </c>
      <c r="Q1194" s="0" t="n">
        <v>11953040217</v>
      </c>
      <c r="R1194" s="0" t="n">
        <v>4</v>
      </c>
      <c r="S1194" s="0" t="n">
        <v>2026</v>
      </c>
    </row>
    <row r="1195" customFormat="false" ht="14.25" hidden="false" customHeight="false" outlineLevel="0" collapsed="false">
      <c r="A1195" s="17" t="n">
        <v>46132</v>
      </c>
      <c r="B1195" s="21" t="s">
        <v>3087</v>
      </c>
      <c r="C1195" s="22" t="n">
        <v>120</v>
      </c>
      <c r="D1195" s="31" t="s">
        <v>21</v>
      </c>
      <c r="E1195" s="21" t="s">
        <v>3087</v>
      </c>
      <c r="F1195" s="19" t="n">
        <v>554899757333</v>
      </c>
      <c r="G1195" s="31" t="s">
        <v>3088</v>
      </c>
      <c r="H1195" s="21" t="s">
        <v>94</v>
      </c>
      <c r="I1195" s="31" t="s">
        <v>50</v>
      </c>
      <c r="J1195" s="21" t="s">
        <v>97</v>
      </c>
      <c r="K1195" s="21" t="s">
        <v>20</v>
      </c>
      <c r="L1195" s="21" t="s">
        <v>469</v>
      </c>
      <c r="M1195" s="21" t="s">
        <v>99</v>
      </c>
      <c r="N1195" s="21" t="s">
        <v>965</v>
      </c>
      <c r="O1195" s="21" t="s">
        <v>2128</v>
      </c>
      <c r="P1195" s="21" t="s">
        <v>2129</v>
      </c>
      <c r="Q1195" s="0" t="n">
        <v>-1</v>
      </c>
      <c r="R1195" s="0" t="n">
        <v>4</v>
      </c>
      <c r="S1195" s="0" t="n">
        <v>2026</v>
      </c>
    </row>
    <row r="1196" customFormat="false" ht="14.25" hidden="false" customHeight="false" outlineLevel="0" collapsed="false">
      <c r="A1196" s="17" t="n">
        <v>46133</v>
      </c>
      <c r="B1196" s="21" t="s">
        <v>3090</v>
      </c>
      <c r="C1196" s="22" t="n">
        <v>240</v>
      </c>
      <c r="D1196" s="31" t="s">
        <v>30</v>
      </c>
      <c r="E1196" s="21" t="s">
        <v>3090</v>
      </c>
      <c r="F1196" s="19" t="n">
        <v>554892042767</v>
      </c>
      <c r="G1196" s="31" t="s">
        <v>3091</v>
      </c>
      <c r="H1196" s="21" t="s">
        <v>94</v>
      </c>
      <c r="I1196" s="31" t="s">
        <v>355</v>
      </c>
      <c r="J1196" s="21" t="s">
        <v>97</v>
      </c>
      <c r="K1196" s="21" t="s">
        <v>20</v>
      </c>
      <c r="L1196" s="21" t="s">
        <v>469</v>
      </c>
      <c r="M1196" s="21" t="s">
        <v>99</v>
      </c>
      <c r="N1196" s="21" t="s">
        <v>965</v>
      </c>
      <c r="O1196" s="21" t="s">
        <v>3092</v>
      </c>
      <c r="P1196" s="21" t="s">
        <v>2129</v>
      </c>
      <c r="Q1196" s="0" t="n">
        <v>11888879203</v>
      </c>
      <c r="R1196" s="0" t="n">
        <v>4</v>
      </c>
      <c r="S1196" s="0" t="n">
        <v>2026</v>
      </c>
    </row>
    <row r="1197" customFormat="false" ht="14.25" hidden="false" customHeight="false" outlineLevel="0" collapsed="false">
      <c r="A1197" s="17" t="n">
        <v>46133</v>
      </c>
      <c r="B1197" s="21" t="s">
        <v>3094</v>
      </c>
      <c r="C1197" s="22" t="n">
        <v>120</v>
      </c>
      <c r="D1197" s="31" t="s">
        <v>20</v>
      </c>
      <c r="E1197" s="21" t="s">
        <v>3094</v>
      </c>
      <c r="F1197" s="19" t="n">
        <v>559584293648</v>
      </c>
      <c r="G1197" s="31" t="s">
        <v>3095</v>
      </c>
      <c r="H1197" s="21" t="s">
        <v>94</v>
      </c>
      <c r="I1197" s="31" t="s">
        <v>50</v>
      </c>
      <c r="J1197" s="21" t="s">
        <v>35</v>
      </c>
      <c r="K1197" s="21" t="s">
        <v>272</v>
      </c>
      <c r="L1197" s="21" t="s">
        <v>273</v>
      </c>
      <c r="M1197" s="21" t="s">
        <v>38</v>
      </c>
      <c r="N1197" s="21" t="s">
        <v>965</v>
      </c>
      <c r="O1197" s="21" t="s">
        <v>2107</v>
      </c>
      <c r="P1197" s="21" t="s">
        <v>2089</v>
      </c>
      <c r="Q1197" s="0" t="n">
        <v>-1</v>
      </c>
      <c r="R1197" s="0" t="n">
        <v>4</v>
      </c>
      <c r="S1197" s="0" t="n">
        <v>2026</v>
      </c>
    </row>
    <row r="1198" customFormat="false" ht="14.25" hidden="false" customHeight="false" outlineLevel="0" collapsed="false">
      <c r="A1198" s="17" t="n">
        <v>46132</v>
      </c>
      <c r="B1198" s="21" t="s">
        <v>3097</v>
      </c>
      <c r="C1198" s="22" t="n">
        <v>180</v>
      </c>
      <c r="D1198" s="31" t="s">
        <v>30</v>
      </c>
      <c r="E1198" s="21" t="s">
        <v>2726</v>
      </c>
      <c r="F1198" s="19" t="n">
        <v>554899673194</v>
      </c>
      <c r="G1198" s="31" t="s">
        <v>2727</v>
      </c>
      <c r="H1198" s="21" t="s">
        <v>94</v>
      </c>
      <c r="I1198" s="31" t="s">
        <v>54</v>
      </c>
      <c r="N1198" s="21" t="s">
        <v>1022</v>
      </c>
      <c r="O1198" s="21" t="s">
        <v>3098</v>
      </c>
      <c r="P1198" s="21" t="s">
        <v>2129</v>
      </c>
      <c r="Q1198" s="0" t="n">
        <v>0</v>
      </c>
      <c r="R1198" s="0" t="n">
        <v>4</v>
      </c>
      <c r="S1198" s="0" t="n">
        <v>2026</v>
      </c>
    </row>
    <row r="1199" customFormat="false" ht="14.25" hidden="false" customHeight="false" outlineLevel="0" collapsed="false">
      <c r="A1199" s="17" t="n">
        <v>46133</v>
      </c>
      <c r="B1199" s="21" t="s">
        <v>3100</v>
      </c>
      <c r="C1199" s="22" t="n">
        <v>120</v>
      </c>
      <c r="D1199" s="31" t="s">
        <v>23</v>
      </c>
      <c r="E1199" s="21" t="s">
        <v>3100</v>
      </c>
      <c r="F1199" s="19" t="n">
        <v>554196893842</v>
      </c>
      <c r="G1199" s="31" t="s">
        <v>43</v>
      </c>
      <c r="H1199" s="21" t="s">
        <v>94</v>
      </c>
      <c r="I1199" s="31" t="s">
        <v>50</v>
      </c>
      <c r="N1199" s="21" t="s">
        <v>965</v>
      </c>
      <c r="O1199" s="21" t="s">
        <v>2107</v>
      </c>
      <c r="P1199" s="21" t="s">
        <v>862</v>
      </c>
      <c r="Q1199" s="0" t="n">
        <v>-1</v>
      </c>
      <c r="R1199" s="0" t="n">
        <v>4</v>
      </c>
      <c r="S1199" s="0" t="n">
        <v>2026</v>
      </c>
    </row>
    <row r="1200" customFormat="false" ht="14.25" hidden="false" customHeight="false" outlineLevel="0" collapsed="false">
      <c r="A1200" s="17" t="n">
        <v>46133</v>
      </c>
      <c r="B1200" s="21" t="s">
        <v>3102</v>
      </c>
      <c r="C1200" s="22" t="n">
        <v>120</v>
      </c>
      <c r="D1200" s="31" t="s">
        <v>2214</v>
      </c>
      <c r="E1200" s="21" t="s">
        <v>3102</v>
      </c>
      <c r="F1200" s="19" t="n">
        <v>554197121323</v>
      </c>
      <c r="G1200" s="31" t="s">
        <v>3103</v>
      </c>
      <c r="H1200" s="21" t="s">
        <v>94</v>
      </c>
      <c r="I1200" s="31" t="s">
        <v>34</v>
      </c>
      <c r="N1200" s="21" t="s">
        <v>965</v>
      </c>
      <c r="O1200" s="21" t="s">
        <v>2159</v>
      </c>
      <c r="P1200" s="21" t="s">
        <v>2089</v>
      </c>
      <c r="Q1200" s="0" t="n">
        <v>0</v>
      </c>
      <c r="R1200" s="0" t="n">
        <v>4</v>
      </c>
      <c r="S1200" s="0" t="n">
        <v>2026</v>
      </c>
    </row>
    <row r="1201" customFormat="false" ht="14.25" hidden="false" customHeight="false" outlineLevel="0" collapsed="false">
      <c r="A1201" s="17" t="n">
        <v>46133</v>
      </c>
      <c r="B1201" s="21" t="s">
        <v>3105</v>
      </c>
      <c r="C1201" s="22" t="n">
        <v>300</v>
      </c>
      <c r="D1201" s="31" t="s">
        <v>106</v>
      </c>
      <c r="E1201" s="21" t="s">
        <v>3105</v>
      </c>
      <c r="F1201" s="19" t="n">
        <v>554499393941</v>
      </c>
      <c r="G1201" s="31" t="s">
        <v>3106</v>
      </c>
      <c r="H1201" s="21" t="s">
        <v>94</v>
      </c>
      <c r="I1201" s="31" t="s">
        <v>54</v>
      </c>
      <c r="N1201" s="21" t="s">
        <v>1022</v>
      </c>
      <c r="O1201" s="21" t="s">
        <v>2107</v>
      </c>
      <c r="P1201" s="21" t="s">
        <v>2089</v>
      </c>
      <c r="Q1201" s="0" t="n">
        <v>-1</v>
      </c>
      <c r="R1201" s="0" t="n">
        <v>4</v>
      </c>
      <c r="S1201" s="0" t="n">
        <v>2026</v>
      </c>
    </row>
    <row r="1202" customFormat="false" ht="14.25" hidden="false" customHeight="false" outlineLevel="0" collapsed="false">
      <c r="A1202" s="17" t="n">
        <v>46133</v>
      </c>
      <c r="B1202" s="21" t="s">
        <v>3108</v>
      </c>
      <c r="C1202" s="22" t="n">
        <v>120</v>
      </c>
      <c r="D1202" s="31" t="s">
        <v>30</v>
      </c>
      <c r="E1202" s="21" t="s">
        <v>3108</v>
      </c>
      <c r="F1202" s="19" t="n">
        <v>559584290986</v>
      </c>
      <c r="G1202" s="31" t="s">
        <v>3109</v>
      </c>
      <c r="H1202" s="21" t="s">
        <v>94</v>
      </c>
      <c r="I1202" s="31" t="s">
        <v>34</v>
      </c>
      <c r="N1202" s="21" t="s">
        <v>965</v>
      </c>
      <c r="O1202" s="21" t="s">
        <v>2135</v>
      </c>
      <c r="P1202" s="21" t="s">
        <v>2135</v>
      </c>
      <c r="Q1202" s="0" t="n">
        <v>0</v>
      </c>
      <c r="R1202" s="0" t="n">
        <v>4</v>
      </c>
      <c r="S1202" s="0" t="n">
        <v>2026</v>
      </c>
    </row>
    <row r="1203" customFormat="false" ht="14.25" hidden="false" customHeight="false" outlineLevel="0" collapsed="false">
      <c r="A1203" s="17" t="n">
        <v>46133</v>
      </c>
      <c r="B1203" s="21" t="s">
        <v>3111</v>
      </c>
      <c r="C1203" s="22" t="n">
        <v>150</v>
      </c>
      <c r="D1203" s="31" t="s">
        <v>24</v>
      </c>
      <c r="E1203" s="21" t="s">
        <v>3112</v>
      </c>
      <c r="F1203" s="19" t="n">
        <v>5511979682047</v>
      </c>
      <c r="G1203" s="31" t="s">
        <v>3113</v>
      </c>
      <c r="H1203" s="21" t="s">
        <v>94</v>
      </c>
      <c r="I1203" s="31" t="s">
        <v>355</v>
      </c>
      <c r="J1203" s="21" t="s">
        <v>35</v>
      </c>
      <c r="K1203" s="21" t="s">
        <v>36</v>
      </c>
      <c r="L1203" s="21" t="s">
        <v>37</v>
      </c>
      <c r="M1203" s="21" t="s">
        <v>38</v>
      </c>
      <c r="N1203" s="21" t="s">
        <v>965</v>
      </c>
      <c r="O1203" s="21" t="s">
        <v>2107</v>
      </c>
      <c r="P1203" s="21" t="s">
        <v>862</v>
      </c>
      <c r="Q1203" s="0" t="n">
        <v>0</v>
      </c>
      <c r="R1203" s="0" t="n">
        <v>4</v>
      </c>
      <c r="S1203" s="0" t="n">
        <v>2026</v>
      </c>
    </row>
    <row r="1204" customFormat="false" ht="14.25" hidden="false" customHeight="false" outlineLevel="0" collapsed="false">
      <c r="A1204" s="17" t="n">
        <v>46132</v>
      </c>
      <c r="B1204" s="21" t="s">
        <v>2091</v>
      </c>
      <c r="C1204" s="22" t="n">
        <v>300</v>
      </c>
      <c r="D1204" s="31" t="s">
        <v>106</v>
      </c>
      <c r="E1204" s="21" t="s">
        <v>2091</v>
      </c>
      <c r="F1204" s="19" t="n">
        <v>554187657319</v>
      </c>
      <c r="G1204" s="31" t="s">
        <v>2092</v>
      </c>
      <c r="H1204" s="21" t="s">
        <v>94</v>
      </c>
      <c r="I1204" s="31" t="s">
        <v>50</v>
      </c>
      <c r="N1204" s="21" t="s">
        <v>965</v>
      </c>
      <c r="O1204" s="21" t="s">
        <v>2088</v>
      </c>
      <c r="P1204" s="21" t="s">
        <v>2089</v>
      </c>
      <c r="R1204" s="0" t="n">
        <v>4</v>
      </c>
      <c r="S1204" s="0" t="n">
        <v>2026</v>
      </c>
    </row>
    <row r="1205" customFormat="false" ht="14.25" hidden="false" customHeight="false" outlineLevel="0" collapsed="false">
      <c r="A1205" s="17" t="n">
        <v>46133</v>
      </c>
      <c r="B1205" s="21" t="s">
        <v>3116</v>
      </c>
      <c r="C1205" s="22" t="n">
        <v>120</v>
      </c>
      <c r="D1205" s="31" t="s">
        <v>27</v>
      </c>
      <c r="E1205" s="21" t="s">
        <v>3117</v>
      </c>
      <c r="F1205" s="19" t="n">
        <v>554195225216</v>
      </c>
      <c r="G1205" s="31" t="s">
        <v>3118</v>
      </c>
      <c r="H1205" s="21" t="s">
        <v>94</v>
      </c>
      <c r="I1205" s="31" t="s">
        <v>355</v>
      </c>
      <c r="J1205" s="21" t="s">
        <v>35</v>
      </c>
      <c r="K1205" s="21" t="s">
        <v>69</v>
      </c>
      <c r="L1205" s="21" t="s">
        <v>70</v>
      </c>
      <c r="M1205" s="21" t="s">
        <v>38</v>
      </c>
      <c r="N1205" s="21" t="s">
        <v>965</v>
      </c>
      <c r="O1205" s="21" t="s">
        <v>2159</v>
      </c>
      <c r="P1205" s="21" t="s">
        <v>2089</v>
      </c>
      <c r="Q1205" s="0" t="n">
        <v>0</v>
      </c>
      <c r="R1205" s="0" t="n">
        <v>4</v>
      </c>
      <c r="S1205" s="0" t="n">
        <v>2026</v>
      </c>
    </row>
    <row r="1206" customFormat="false" ht="14.25" hidden="false" customHeight="false" outlineLevel="0" collapsed="false">
      <c r="A1206" s="17" t="n">
        <v>46133</v>
      </c>
      <c r="B1206" s="21" t="s">
        <v>3120</v>
      </c>
      <c r="C1206" s="22" t="n">
        <v>180</v>
      </c>
      <c r="D1206" s="31" t="s">
        <v>26</v>
      </c>
      <c r="E1206" s="21" t="s">
        <v>3120</v>
      </c>
      <c r="F1206" s="19" t="n">
        <v>556799952165</v>
      </c>
      <c r="G1206" s="31" t="s">
        <v>33</v>
      </c>
      <c r="H1206" s="21" t="s">
        <v>94</v>
      </c>
      <c r="I1206" s="31" t="s">
        <v>54</v>
      </c>
      <c r="N1206" s="21" t="s">
        <v>1022</v>
      </c>
      <c r="O1206" s="21" t="s">
        <v>2107</v>
      </c>
      <c r="P1206" s="21" t="s">
        <v>862</v>
      </c>
      <c r="Q1206" s="0" t="n">
        <v>0</v>
      </c>
      <c r="R1206" s="0" t="n">
        <v>4</v>
      </c>
      <c r="S1206" s="0" t="n">
        <v>2026</v>
      </c>
    </row>
    <row r="1207" customFormat="false" ht="14.25" hidden="false" customHeight="false" outlineLevel="0" collapsed="false">
      <c r="A1207" s="17" t="n">
        <v>46133</v>
      </c>
      <c r="B1207" s="21" t="s">
        <v>3122</v>
      </c>
      <c r="C1207" s="22" t="n">
        <v>240</v>
      </c>
      <c r="D1207" s="31" t="s">
        <v>20</v>
      </c>
      <c r="E1207" s="21" t="s">
        <v>3123</v>
      </c>
      <c r="F1207" s="19" t="n">
        <v>559584229250</v>
      </c>
      <c r="G1207" s="31" t="s">
        <v>3124</v>
      </c>
      <c r="H1207" s="21" t="s">
        <v>94</v>
      </c>
      <c r="I1207" s="31" t="s">
        <v>50</v>
      </c>
      <c r="N1207" s="21" t="s">
        <v>965</v>
      </c>
      <c r="O1207" s="21" t="s">
        <v>2128</v>
      </c>
      <c r="P1207" s="21" t="s">
        <v>2129</v>
      </c>
      <c r="Q1207" s="0" t="n">
        <v>-1</v>
      </c>
      <c r="R1207" s="0" t="n">
        <v>4</v>
      </c>
      <c r="S1207" s="0" t="n">
        <v>2026</v>
      </c>
    </row>
    <row r="1208" customFormat="false" ht="14.25" hidden="false" customHeight="false" outlineLevel="0" collapsed="false">
      <c r="A1208" s="17" t="n">
        <v>46133</v>
      </c>
      <c r="B1208" s="21" t="s">
        <v>3125</v>
      </c>
      <c r="C1208" s="22" t="n">
        <v>197</v>
      </c>
      <c r="D1208" s="31" t="s">
        <v>390</v>
      </c>
      <c r="E1208" s="21" t="s">
        <v>3125</v>
      </c>
      <c r="F1208" s="19" t="n">
        <v>559591403308</v>
      </c>
      <c r="G1208" s="31" t="s">
        <v>3126</v>
      </c>
      <c r="H1208" s="21" t="s">
        <v>94</v>
      </c>
      <c r="I1208" s="31" t="s">
        <v>355</v>
      </c>
      <c r="J1208" s="21" t="s">
        <v>97</v>
      </c>
      <c r="K1208" s="21" t="s">
        <v>20</v>
      </c>
      <c r="L1208" s="21" t="s">
        <v>230</v>
      </c>
      <c r="M1208" s="21" t="s">
        <v>99</v>
      </c>
      <c r="N1208" s="21" t="s">
        <v>965</v>
      </c>
      <c r="O1208" s="21" t="s">
        <v>2159</v>
      </c>
      <c r="P1208" s="21" t="s">
        <v>2089</v>
      </c>
      <c r="Q1208" s="0" t="n">
        <v>11463353260</v>
      </c>
      <c r="R1208" s="0" t="n">
        <v>4</v>
      </c>
      <c r="S1208" s="0" t="n">
        <v>2026</v>
      </c>
    </row>
    <row r="1209" customFormat="false" ht="14.25" hidden="false" customHeight="false" outlineLevel="0" collapsed="false">
      <c r="A1209" s="17" t="n">
        <v>46133</v>
      </c>
      <c r="B1209" s="21" t="s">
        <v>3128</v>
      </c>
      <c r="C1209" s="22" t="n">
        <v>300</v>
      </c>
      <c r="D1209" s="31" t="s">
        <v>30</v>
      </c>
      <c r="E1209" s="21" t="s">
        <v>3128</v>
      </c>
      <c r="F1209" s="19" t="n">
        <v>5511947875395</v>
      </c>
      <c r="G1209" s="31" t="s">
        <v>43</v>
      </c>
      <c r="H1209" s="21" t="s">
        <v>94</v>
      </c>
      <c r="I1209" s="31" t="s">
        <v>34</v>
      </c>
      <c r="J1209" s="21" t="s">
        <v>35</v>
      </c>
      <c r="K1209" s="21" t="s">
        <v>36</v>
      </c>
      <c r="L1209" s="21" t="s">
        <v>37</v>
      </c>
      <c r="M1209" s="21" t="s">
        <v>38</v>
      </c>
      <c r="N1209" s="21" t="s">
        <v>965</v>
      </c>
      <c r="O1209" s="21" t="s">
        <v>2898</v>
      </c>
      <c r="P1209" s="21" t="s">
        <v>2135</v>
      </c>
      <c r="Q1209" s="0" t="n">
        <v>-1</v>
      </c>
      <c r="R1209" s="0" t="n">
        <v>4</v>
      </c>
      <c r="S1209" s="0" t="n">
        <v>2026</v>
      </c>
    </row>
    <row r="1210" customFormat="false" ht="14.25" hidden="false" customHeight="false" outlineLevel="0" collapsed="false">
      <c r="A1210" s="17" t="n">
        <v>46134</v>
      </c>
      <c r="B1210" s="21" t="s">
        <v>3130</v>
      </c>
      <c r="C1210" s="22" t="n">
        <v>500</v>
      </c>
      <c r="D1210" s="31" t="s">
        <v>27</v>
      </c>
      <c r="E1210" s="21" t="s">
        <v>3131</v>
      </c>
      <c r="F1210" s="19" t="n">
        <v>559584130470</v>
      </c>
      <c r="G1210" s="31" t="s">
        <v>3132</v>
      </c>
      <c r="H1210" s="21" t="s">
        <v>94</v>
      </c>
      <c r="I1210" s="31" t="s">
        <v>355</v>
      </c>
      <c r="J1210" s="21" t="s">
        <v>1176</v>
      </c>
      <c r="K1210" s="21" t="s">
        <v>1752</v>
      </c>
      <c r="L1210" s="21" t="s">
        <v>3133</v>
      </c>
      <c r="M1210" s="21" t="s">
        <v>1179</v>
      </c>
      <c r="N1210" s="21" t="s">
        <v>965</v>
      </c>
      <c r="O1210" s="21" t="s">
        <v>2159</v>
      </c>
      <c r="P1210" s="21" t="s">
        <v>2089</v>
      </c>
      <c r="Q1210" s="0" t="n">
        <v>11891946277</v>
      </c>
      <c r="R1210" s="0" t="n">
        <v>4</v>
      </c>
      <c r="S1210" s="0" t="n">
        <v>2026</v>
      </c>
    </row>
    <row r="1211" customFormat="false" ht="14.25" hidden="false" customHeight="false" outlineLevel="0" collapsed="false">
      <c r="A1211" s="17" t="n">
        <v>46134</v>
      </c>
      <c r="B1211" s="21" t="s">
        <v>3135</v>
      </c>
      <c r="C1211" s="22" t="n">
        <v>147</v>
      </c>
      <c r="D1211" s="31" t="s">
        <v>21</v>
      </c>
      <c r="E1211" s="21" t="s">
        <v>3135</v>
      </c>
      <c r="F1211" s="19" t="n">
        <v>5519991928299</v>
      </c>
      <c r="G1211" s="31" t="s">
        <v>3136</v>
      </c>
      <c r="H1211" s="21" t="s">
        <v>94</v>
      </c>
      <c r="I1211" s="31" t="s">
        <v>355</v>
      </c>
      <c r="N1211" s="21" t="s">
        <v>965</v>
      </c>
      <c r="O1211" s="21" t="s">
        <v>2236</v>
      </c>
      <c r="P1211" s="21" t="s">
        <v>2129</v>
      </c>
      <c r="Q1211" s="0" t="n">
        <v>11606849280</v>
      </c>
      <c r="R1211" s="0" t="n">
        <v>4</v>
      </c>
      <c r="S1211" s="0" t="n">
        <v>2026</v>
      </c>
    </row>
    <row r="1212" customFormat="false" ht="14.25" hidden="false" customHeight="false" outlineLevel="0" collapsed="false">
      <c r="A1212" s="17" t="n">
        <v>46133</v>
      </c>
      <c r="B1212" s="21" t="s">
        <v>2044</v>
      </c>
      <c r="C1212" s="22" t="n">
        <v>300</v>
      </c>
      <c r="D1212" s="31" t="s">
        <v>2889</v>
      </c>
      <c r="E1212" s="21" t="s">
        <v>2044</v>
      </c>
      <c r="F1212" s="19" t="n">
        <v>556581182225</v>
      </c>
      <c r="G1212" s="31" t="s">
        <v>2045</v>
      </c>
      <c r="H1212" s="21" t="s">
        <v>94</v>
      </c>
      <c r="I1212" s="31" t="s">
        <v>54</v>
      </c>
      <c r="N1212" s="21" t="s">
        <v>1022</v>
      </c>
      <c r="O1212" s="21" t="s">
        <v>2520</v>
      </c>
      <c r="P1212" s="21" t="s">
        <v>2320</v>
      </c>
      <c r="Q1212" s="0" t="n">
        <v>-1</v>
      </c>
      <c r="R1212" s="0" t="n">
        <v>4</v>
      </c>
      <c r="S1212" s="0" t="n">
        <v>2026</v>
      </c>
    </row>
    <row r="1213" customFormat="false" ht="14.25" hidden="false" customHeight="false" outlineLevel="0" collapsed="false">
      <c r="A1213" s="17" t="n">
        <v>46134</v>
      </c>
      <c r="B1213" s="21" t="s">
        <v>1294</v>
      </c>
      <c r="C1213" s="22" t="n">
        <v>53</v>
      </c>
      <c r="D1213" s="31" t="s">
        <v>21</v>
      </c>
      <c r="E1213" s="21" t="s">
        <v>854</v>
      </c>
      <c r="F1213" s="19" t="n">
        <v>559584081146</v>
      </c>
      <c r="G1213" s="31" t="s">
        <v>1295</v>
      </c>
      <c r="H1213" s="21" t="s">
        <v>94</v>
      </c>
      <c r="I1213" s="31" t="s">
        <v>54</v>
      </c>
      <c r="N1213" s="21" t="s">
        <v>1022</v>
      </c>
      <c r="O1213" s="21" t="s">
        <v>2562</v>
      </c>
      <c r="P1213" s="21" t="s">
        <v>2129</v>
      </c>
      <c r="Q1213" s="0" t="n">
        <v>-1</v>
      </c>
      <c r="R1213" s="0" t="n">
        <v>4</v>
      </c>
      <c r="S1213" s="0" t="n">
        <v>2026</v>
      </c>
    </row>
    <row r="1214" customFormat="false" ht="14.25" hidden="false" customHeight="false" outlineLevel="0" collapsed="false">
      <c r="A1214" s="17" t="n">
        <v>46134</v>
      </c>
      <c r="B1214" s="21" t="s">
        <v>3140</v>
      </c>
      <c r="C1214" s="22" t="n">
        <v>147</v>
      </c>
      <c r="D1214" s="31" t="s">
        <v>21</v>
      </c>
      <c r="E1214" s="21" t="s">
        <v>3141</v>
      </c>
      <c r="F1214" s="19" t="n">
        <v>559581020941</v>
      </c>
      <c r="G1214" s="31" t="s">
        <v>3142</v>
      </c>
      <c r="H1214" s="21" t="s">
        <v>94</v>
      </c>
      <c r="I1214" s="31" t="s">
        <v>50</v>
      </c>
      <c r="N1214" s="21" t="s">
        <v>965</v>
      </c>
      <c r="O1214" s="21" t="s">
        <v>3143</v>
      </c>
      <c r="P1214" s="21" t="s">
        <v>2129</v>
      </c>
      <c r="Q1214" s="0" t="n">
        <v>6648622687</v>
      </c>
      <c r="R1214" s="0" t="n">
        <v>4</v>
      </c>
      <c r="S1214" s="0" t="n">
        <v>2026</v>
      </c>
    </row>
    <row r="1215" customFormat="false" ht="14.25" hidden="false" customHeight="false" outlineLevel="0" collapsed="false">
      <c r="A1215" s="17" t="n">
        <v>46134</v>
      </c>
      <c r="B1215" s="21" t="s">
        <v>3145</v>
      </c>
      <c r="C1215" s="22" t="n">
        <v>147</v>
      </c>
      <c r="D1215" s="31" t="s">
        <v>18</v>
      </c>
      <c r="E1215" s="21" t="s">
        <v>3145</v>
      </c>
      <c r="F1215" s="19" t="n">
        <v>553387028836</v>
      </c>
      <c r="G1215" s="31" t="s">
        <v>3146</v>
      </c>
      <c r="H1215" s="21" t="s">
        <v>94</v>
      </c>
      <c r="I1215" s="31" t="s">
        <v>355</v>
      </c>
      <c r="N1215" s="21" t="s">
        <v>965</v>
      </c>
      <c r="O1215" s="21" t="s">
        <v>2107</v>
      </c>
      <c r="P1215" s="21" t="s">
        <v>862</v>
      </c>
      <c r="Q1215" s="0" t="n">
        <v>1129537609</v>
      </c>
      <c r="R1215" s="0" t="n">
        <v>4</v>
      </c>
      <c r="S1215" s="0" t="n">
        <v>2026</v>
      </c>
    </row>
    <row r="1216" customFormat="false" ht="14.25" hidden="false" customHeight="false" outlineLevel="0" collapsed="false">
      <c r="A1216" s="17" t="n">
        <v>46134</v>
      </c>
      <c r="B1216" s="21" t="s">
        <v>3148</v>
      </c>
      <c r="C1216" s="22" t="n">
        <v>60</v>
      </c>
      <c r="D1216" s="31" t="s">
        <v>30</v>
      </c>
      <c r="E1216" s="21" t="s">
        <v>3148</v>
      </c>
      <c r="F1216" s="19" t="n">
        <v>5511996897904</v>
      </c>
      <c r="G1216" s="31" t="s">
        <v>3149</v>
      </c>
      <c r="H1216" s="21" t="s">
        <v>94</v>
      </c>
      <c r="I1216" s="31" t="s">
        <v>355</v>
      </c>
      <c r="N1216" s="21" t="s">
        <v>965</v>
      </c>
      <c r="O1216" s="21" t="s">
        <v>2139</v>
      </c>
      <c r="P1216" s="21" t="s">
        <v>2135</v>
      </c>
      <c r="Q1216" s="0" t="n">
        <v>0</v>
      </c>
      <c r="R1216" s="0" t="n">
        <v>4</v>
      </c>
      <c r="S1216" s="0" t="n">
        <v>2026</v>
      </c>
    </row>
    <row r="1217" customFormat="false" ht="14.25" hidden="false" customHeight="false" outlineLevel="0" collapsed="false">
      <c r="A1217" s="17" t="n">
        <v>46134</v>
      </c>
      <c r="B1217" s="21" t="s">
        <v>3151</v>
      </c>
      <c r="C1217" s="22" t="n">
        <v>150</v>
      </c>
      <c r="D1217" s="31" t="s">
        <v>29</v>
      </c>
      <c r="E1217" s="21" t="s">
        <v>3151</v>
      </c>
      <c r="F1217" s="19" t="n">
        <v>556293420458</v>
      </c>
      <c r="G1217" s="31" t="s">
        <v>3152</v>
      </c>
      <c r="H1217" s="21" t="s">
        <v>94</v>
      </c>
      <c r="I1217" s="31" t="s">
        <v>34</v>
      </c>
      <c r="N1217" s="21" t="s">
        <v>965</v>
      </c>
      <c r="O1217" s="21" t="s">
        <v>2107</v>
      </c>
      <c r="P1217" s="21" t="s">
        <v>862</v>
      </c>
      <c r="Q1217" s="0" t="n">
        <v>0</v>
      </c>
      <c r="R1217" s="0" t="n">
        <v>4</v>
      </c>
      <c r="S1217" s="0" t="n">
        <v>2026</v>
      </c>
    </row>
    <row r="1218" customFormat="false" ht="14.25" hidden="false" customHeight="false" outlineLevel="0" collapsed="false">
      <c r="A1218" s="17" t="n">
        <v>46134</v>
      </c>
      <c r="B1218" s="21" t="s">
        <v>3154</v>
      </c>
      <c r="C1218" s="22" t="n">
        <v>120</v>
      </c>
      <c r="D1218" s="31" t="s">
        <v>20</v>
      </c>
      <c r="E1218" s="21" t="s">
        <v>3154</v>
      </c>
      <c r="F1218" s="19" t="n">
        <v>5595984107266</v>
      </c>
      <c r="G1218" s="31" t="s">
        <v>3155</v>
      </c>
      <c r="H1218" s="21" t="s">
        <v>94</v>
      </c>
      <c r="I1218" s="31" t="s">
        <v>34</v>
      </c>
      <c r="J1218" s="21" t="s">
        <v>3021</v>
      </c>
      <c r="M1218" s="21" t="s">
        <v>303</v>
      </c>
      <c r="N1218" s="21" t="s">
        <v>965</v>
      </c>
      <c r="O1218" s="21" t="s">
        <v>2107</v>
      </c>
      <c r="P1218" s="21" t="s">
        <v>862</v>
      </c>
      <c r="Q1218" s="0" t="n">
        <v>0</v>
      </c>
      <c r="R1218" s="0" t="n">
        <v>4</v>
      </c>
      <c r="S1218" s="0" t="n">
        <v>2026</v>
      </c>
    </row>
    <row r="1219" customFormat="false" ht="14.25" hidden="false" customHeight="false" outlineLevel="0" collapsed="false">
      <c r="A1219" s="17" t="n">
        <v>46134</v>
      </c>
      <c r="B1219" s="21" t="s">
        <v>3157</v>
      </c>
      <c r="C1219" s="22" t="n">
        <v>120</v>
      </c>
      <c r="D1219" s="31" t="s">
        <v>20</v>
      </c>
      <c r="E1219" s="21" t="s">
        <v>3157</v>
      </c>
      <c r="F1219" s="19" t="n">
        <v>559584091065</v>
      </c>
      <c r="G1219" s="31" t="s">
        <v>3158</v>
      </c>
      <c r="H1219" s="21" t="s">
        <v>94</v>
      </c>
      <c r="I1219" s="31" t="s">
        <v>34</v>
      </c>
      <c r="J1219" s="21" t="s">
        <v>35</v>
      </c>
      <c r="K1219" s="21" t="s">
        <v>36</v>
      </c>
      <c r="L1219" s="21" t="s">
        <v>37</v>
      </c>
      <c r="M1219" s="21" t="s">
        <v>38</v>
      </c>
      <c r="N1219" s="21" t="s">
        <v>965</v>
      </c>
      <c r="O1219" s="21" t="s">
        <v>2659</v>
      </c>
      <c r="P1219" s="21" t="s">
        <v>2245</v>
      </c>
      <c r="Q1219" s="0" t="n">
        <v>0</v>
      </c>
      <c r="R1219" s="0" t="n">
        <v>4</v>
      </c>
      <c r="S1219" s="0" t="n">
        <v>2026</v>
      </c>
    </row>
    <row r="1220" customFormat="false" ht="14.25" hidden="false" customHeight="false" outlineLevel="0" collapsed="false">
      <c r="A1220" s="17" t="n">
        <v>46134</v>
      </c>
      <c r="B1220" s="21" t="s">
        <v>3160</v>
      </c>
      <c r="C1220" s="22" t="n">
        <v>147</v>
      </c>
      <c r="D1220" s="31" t="s">
        <v>18</v>
      </c>
      <c r="E1220" s="21" t="s">
        <v>3160</v>
      </c>
      <c r="F1220" s="19" t="n">
        <v>554896027847</v>
      </c>
      <c r="G1220" s="31" t="s">
        <v>3161</v>
      </c>
      <c r="H1220" s="21" t="s">
        <v>94</v>
      </c>
      <c r="I1220" s="31" t="s">
        <v>355</v>
      </c>
      <c r="N1220" s="21" t="s">
        <v>965</v>
      </c>
      <c r="O1220" s="21" t="s">
        <v>3162</v>
      </c>
      <c r="P1220" s="21" t="s">
        <v>2129</v>
      </c>
      <c r="Q1220" s="0" t="n">
        <v>2058995953</v>
      </c>
      <c r="R1220" s="0" t="n">
        <v>4</v>
      </c>
      <c r="S1220" s="0" t="n">
        <v>2026</v>
      </c>
    </row>
    <row r="1221" customFormat="false" ht="14.25" hidden="false" customHeight="false" outlineLevel="0" collapsed="false">
      <c r="A1221" s="17" t="n">
        <v>46133</v>
      </c>
      <c r="B1221" s="21" t="s">
        <v>421</v>
      </c>
      <c r="C1221" s="22" t="n">
        <v>500</v>
      </c>
      <c r="D1221" s="31" t="s">
        <v>27</v>
      </c>
      <c r="E1221" s="21" t="s">
        <v>422</v>
      </c>
      <c r="F1221" s="19" t="n">
        <v>554891612707</v>
      </c>
      <c r="G1221" s="31" t="s">
        <v>423</v>
      </c>
      <c r="H1221" s="21" t="s">
        <v>94</v>
      </c>
      <c r="I1221" s="31" t="s">
        <v>34</v>
      </c>
      <c r="N1221" s="21" t="s">
        <v>965</v>
      </c>
      <c r="R1221" s="0" t="n">
        <v>4</v>
      </c>
      <c r="S1221" s="0" t="n">
        <v>2026</v>
      </c>
    </row>
    <row r="1222" customFormat="false" ht="14.25" hidden="false" customHeight="false" outlineLevel="0" collapsed="false">
      <c r="A1222" s="17" t="n">
        <v>46133</v>
      </c>
      <c r="B1222" s="21" t="s">
        <v>3163</v>
      </c>
      <c r="C1222" s="22" t="n">
        <v>97</v>
      </c>
      <c r="D1222" s="31" t="s">
        <v>20</v>
      </c>
      <c r="E1222" s="21" t="s">
        <v>3163</v>
      </c>
      <c r="F1222" s="19" t="n">
        <v>554188177502</v>
      </c>
      <c r="G1222" s="31" t="s">
        <v>3164</v>
      </c>
      <c r="H1222" s="21" t="s">
        <v>94</v>
      </c>
      <c r="I1222" s="31" t="s">
        <v>50</v>
      </c>
      <c r="N1222" s="21" t="s">
        <v>965</v>
      </c>
      <c r="O1222" s="21" t="s">
        <v>2159</v>
      </c>
      <c r="P1222" s="21" t="s">
        <v>2089</v>
      </c>
      <c r="R1222" s="0" t="n">
        <v>4</v>
      </c>
      <c r="S1222" s="0" t="n">
        <v>2026</v>
      </c>
    </row>
    <row r="1223" customFormat="false" ht="14.25" hidden="false" customHeight="false" outlineLevel="0" collapsed="false">
      <c r="A1223" s="17" t="n">
        <v>46134</v>
      </c>
      <c r="B1223" s="21" t="s">
        <v>602</v>
      </c>
      <c r="C1223" s="22" t="n">
        <v>150</v>
      </c>
      <c r="D1223" s="31" t="s">
        <v>32</v>
      </c>
      <c r="E1223" s="21" t="s">
        <v>602</v>
      </c>
      <c r="F1223" s="19" t="s">
        <v>3166</v>
      </c>
      <c r="G1223" s="31" t="s">
        <v>603</v>
      </c>
      <c r="H1223" s="21" t="s">
        <v>94</v>
      </c>
      <c r="I1223" s="31" t="s">
        <v>54</v>
      </c>
      <c r="N1223" s="21" t="s">
        <v>1022</v>
      </c>
      <c r="O1223" s="21" t="s">
        <v>2159</v>
      </c>
      <c r="P1223" s="21" t="s">
        <v>2089</v>
      </c>
      <c r="Q1223" s="0" t="n">
        <v>-1</v>
      </c>
      <c r="R1223" s="0" t="n">
        <v>4</v>
      </c>
      <c r="S1223" s="0" t="n">
        <v>2026</v>
      </c>
    </row>
    <row r="1224" customFormat="false" ht="14.25" hidden="false" customHeight="false" outlineLevel="0" collapsed="false">
      <c r="A1224" s="17" t="n">
        <v>46134</v>
      </c>
      <c r="B1224" s="21" t="s">
        <v>3168</v>
      </c>
      <c r="C1224" s="22" t="n">
        <v>147</v>
      </c>
      <c r="D1224" s="31" t="s">
        <v>21</v>
      </c>
      <c r="E1224" s="21" t="s">
        <v>3169</v>
      </c>
      <c r="F1224" s="19" t="n">
        <v>5978331307</v>
      </c>
      <c r="G1224" s="31" t="s">
        <v>3170</v>
      </c>
      <c r="H1224" s="21" t="s">
        <v>94</v>
      </c>
      <c r="I1224" s="31" t="s">
        <v>355</v>
      </c>
      <c r="N1224" s="21" t="s">
        <v>965</v>
      </c>
      <c r="O1224" s="21" t="s">
        <v>2236</v>
      </c>
      <c r="P1224" s="21" t="s">
        <v>2129</v>
      </c>
      <c r="Q1224" s="0" t="n">
        <v>12986585949</v>
      </c>
      <c r="R1224" s="0" t="n">
        <v>4</v>
      </c>
      <c r="S1224" s="0" t="n">
        <v>2026</v>
      </c>
    </row>
    <row r="1225" customFormat="false" ht="14.25" hidden="false" customHeight="false" outlineLevel="0" collapsed="false">
      <c r="A1225" s="17" t="n">
        <v>46134</v>
      </c>
      <c r="B1225" s="21" t="s">
        <v>3172</v>
      </c>
      <c r="C1225" s="22" t="n">
        <v>294</v>
      </c>
      <c r="D1225" s="31" t="s">
        <v>22</v>
      </c>
      <c r="E1225" s="21" t="s">
        <v>3173</v>
      </c>
      <c r="F1225" s="19" t="n">
        <v>554192657040</v>
      </c>
      <c r="G1225" s="31" t="s">
        <v>3174</v>
      </c>
      <c r="H1225" s="21" t="s">
        <v>94</v>
      </c>
      <c r="I1225" s="31" t="s">
        <v>34</v>
      </c>
      <c r="J1225" s="21" t="s">
        <v>35</v>
      </c>
      <c r="K1225" s="21" t="s">
        <v>69</v>
      </c>
      <c r="L1225" s="21" t="s">
        <v>70</v>
      </c>
      <c r="M1225" s="21" t="s">
        <v>38</v>
      </c>
      <c r="N1225" s="21" t="s">
        <v>965</v>
      </c>
      <c r="O1225" s="21" t="s">
        <v>2159</v>
      </c>
      <c r="P1225" s="21" t="s">
        <v>2089</v>
      </c>
      <c r="Q1225" s="0" t="n">
        <v>0</v>
      </c>
      <c r="R1225" s="0" t="n">
        <v>4</v>
      </c>
      <c r="S1225" s="0" t="n">
        <v>2026</v>
      </c>
    </row>
    <row r="1226" customFormat="false" ht="14.25" hidden="false" customHeight="false" outlineLevel="0" collapsed="false">
      <c r="A1226" s="17" t="n">
        <v>46134</v>
      </c>
      <c r="B1226" s="21" t="s">
        <v>3176</v>
      </c>
      <c r="C1226" s="22" t="n">
        <v>150</v>
      </c>
      <c r="D1226" s="31" t="s">
        <v>32</v>
      </c>
      <c r="E1226" s="21" t="s">
        <v>3176</v>
      </c>
      <c r="F1226" s="19" t="n">
        <v>554120006005</v>
      </c>
      <c r="G1226" s="31" t="s">
        <v>519</v>
      </c>
      <c r="H1226" s="21" t="s">
        <v>94</v>
      </c>
      <c r="I1226" s="31" t="s">
        <v>34</v>
      </c>
      <c r="N1226" s="21" t="s">
        <v>965</v>
      </c>
      <c r="O1226" s="21" t="s">
        <v>2107</v>
      </c>
      <c r="P1226" s="21" t="s">
        <v>862</v>
      </c>
      <c r="Q1226" s="0" t="n">
        <v>0</v>
      </c>
      <c r="R1226" s="0" t="n">
        <v>4</v>
      </c>
      <c r="S1226" s="0" t="n">
        <v>2026</v>
      </c>
    </row>
    <row r="1227" customFormat="false" ht="14.25" hidden="false" customHeight="false" outlineLevel="0" collapsed="false">
      <c r="A1227" s="17" t="n">
        <v>46135</v>
      </c>
      <c r="B1227" s="21" t="s">
        <v>46</v>
      </c>
      <c r="C1227" s="22" t="n">
        <v>420</v>
      </c>
      <c r="D1227" s="31" t="s">
        <v>21</v>
      </c>
      <c r="E1227" s="21" t="s">
        <v>3178</v>
      </c>
      <c r="F1227" s="19" t="n">
        <v>553198470552</v>
      </c>
      <c r="G1227" s="31" t="s">
        <v>3179</v>
      </c>
      <c r="H1227" s="21" t="s">
        <v>94</v>
      </c>
      <c r="I1227" s="31" t="s">
        <v>34</v>
      </c>
      <c r="J1227" s="21" t="s">
        <v>1176</v>
      </c>
      <c r="K1227" s="21" t="s">
        <v>1897</v>
      </c>
      <c r="L1227" s="21" t="s">
        <v>2828</v>
      </c>
      <c r="M1227" s="21" t="s">
        <v>1179</v>
      </c>
      <c r="N1227" s="21" t="s">
        <v>965</v>
      </c>
      <c r="O1227" s="21" t="s">
        <v>2345</v>
      </c>
      <c r="P1227" s="21" t="s">
        <v>2129</v>
      </c>
      <c r="Q1227" s="0" t="n">
        <v>0</v>
      </c>
      <c r="R1227" s="0" t="n">
        <v>4</v>
      </c>
      <c r="S1227" s="0" t="n">
        <v>2026</v>
      </c>
    </row>
    <row r="1228" customFormat="false" ht="14.25" hidden="false" customHeight="false" outlineLevel="0" collapsed="false">
      <c r="A1228" s="17" t="n">
        <v>46134</v>
      </c>
      <c r="B1228" s="21" t="s">
        <v>3181</v>
      </c>
      <c r="C1228" s="22" t="n">
        <v>200</v>
      </c>
      <c r="D1228" s="31" t="s">
        <v>23</v>
      </c>
      <c r="E1228" s="21" t="s">
        <v>3182</v>
      </c>
      <c r="F1228" s="19" t="n">
        <v>5977148130</v>
      </c>
      <c r="G1228" s="31" t="s">
        <v>43</v>
      </c>
      <c r="H1228" s="21" t="s">
        <v>94</v>
      </c>
      <c r="I1228" s="31" t="s">
        <v>54</v>
      </c>
      <c r="N1228" s="21" t="s">
        <v>965</v>
      </c>
      <c r="O1228" s="21" t="s">
        <v>2107</v>
      </c>
      <c r="P1228" s="21" t="s">
        <v>862</v>
      </c>
      <c r="Q1228" s="0" t="n">
        <v>-1</v>
      </c>
      <c r="R1228" s="0" t="n">
        <v>4</v>
      </c>
      <c r="S1228" s="0" t="n">
        <v>2026</v>
      </c>
    </row>
    <row r="1229" customFormat="false" ht="14.25" hidden="false" customHeight="false" outlineLevel="0" collapsed="false">
      <c r="A1229" s="17" t="n">
        <v>46135</v>
      </c>
      <c r="B1229" s="21" t="s">
        <v>3184</v>
      </c>
      <c r="C1229" s="22" t="n">
        <v>150</v>
      </c>
      <c r="D1229" s="31" t="s">
        <v>32</v>
      </c>
      <c r="E1229" s="21" t="s">
        <v>3184</v>
      </c>
      <c r="F1229" s="19" t="n">
        <v>556793272381</v>
      </c>
      <c r="G1229" s="31" t="s">
        <v>3185</v>
      </c>
      <c r="H1229" s="21" t="s">
        <v>94</v>
      </c>
      <c r="I1229" s="31" t="s">
        <v>50</v>
      </c>
      <c r="J1229" s="21" t="s">
        <v>35</v>
      </c>
      <c r="K1229" s="21" t="s">
        <v>36</v>
      </c>
      <c r="L1229" s="21" t="s">
        <v>37</v>
      </c>
      <c r="M1229" s="21" t="s">
        <v>38</v>
      </c>
      <c r="N1229" s="21" t="s">
        <v>965</v>
      </c>
      <c r="O1229" s="21" t="s">
        <v>2107</v>
      </c>
      <c r="P1229" s="21" t="s">
        <v>862</v>
      </c>
      <c r="Q1229" s="0" t="n">
        <v>-1</v>
      </c>
      <c r="R1229" s="0" t="n">
        <v>4</v>
      </c>
      <c r="S1229" s="0" t="n">
        <v>2026</v>
      </c>
    </row>
    <row r="1230" customFormat="false" ht="14.25" hidden="false" customHeight="false" outlineLevel="0" collapsed="false">
      <c r="A1230" s="17" t="n">
        <v>46135</v>
      </c>
      <c r="B1230" s="21" t="s">
        <v>3187</v>
      </c>
      <c r="C1230" s="22" t="n">
        <v>300</v>
      </c>
      <c r="D1230" s="31" t="s">
        <v>20</v>
      </c>
      <c r="E1230" s="21" t="s">
        <v>3188</v>
      </c>
      <c r="F1230" s="19" t="n">
        <v>5511915303477</v>
      </c>
      <c r="G1230" s="31" t="s">
        <v>3189</v>
      </c>
      <c r="H1230" s="21" t="s">
        <v>94</v>
      </c>
      <c r="I1230" s="31" t="s">
        <v>50</v>
      </c>
      <c r="J1230" s="21" t="s">
        <v>35</v>
      </c>
      <c r="K1230" s="21" t="s">
        <v>36</v>
      </c>
      <c r="L1230" s="21" t="s">
        <v>37</v>
      </c>
      <c r="M1230" s="21" t="s">
        <v>38</v>
      </c>
      <c r="N1230" s="21" t="s">
        <v>965</v>
      </c>
      <c r="O1230" s="21" t="s">
        <v>2107</v>
      </c>
      <c r="P1230" s="21" t="s">
        <v>2135</v>
      </c>
      <c r="Q1230" s="0" t="n">
        <v>-1</v>
      </c>
      <c r="R1230" s="0" t="n">
        <v>4</v>
      </c>
      <c r="S1230" s="0" t="n">
        <v>2026</v>
      </c>
    </row>
    <row r="1231" customFormat="false" ht="14.25" hidden="false" customHeight="false" outlineLevel="0" collapsed="false">
      <c r="A1231" s="17" t="n">
        <v>46134</v>
      </c>
      <c r="B1231" s="21" t="s">
        <v>2636</v>
      </c>
      <c r="C1231" s="22" t="n">
        <v>300</v>
      </c>
      <c r="D1231" s="31" t="s">
        <v>24</v>
      </c>
      <c r="E1231" s="21" t="s">
        <v>2637</v>
      </c>
      <c r="F1231" s="19" t="n">
        <v>5511944895016</v>
      </c>
      <c r="G1231" s="31" t="s">
        <v>2638</v>
      </c>
      <c r="H1231" s="21" t="s">
        <v>94</v>
      </c>
      <c r="I1231" s="31" t="s">
        <v>54</v>
      </c>
      <c r="N1231" s="21" t="s">
        <v>1022</v>
      </c>
      <c r="O1231" s="21" t="s">
        <v>2135</v>
      </c>
      <c r="P1231" s="21" t="s">
        <v>2135</v>
      </c>
      <c r="Q1231" s="0" t="n">
        <v>-1</v>
      </c>
      <c r="R1231" s="0" t="n">
        <v>4</v>
      </c>
      <c r="S1231" s="0" t="n">
        <v>2026</v>
      </c>
    </row>
    <row r="1232" customFormat="false" ht="14.25" hidden="false" customHeight="false" outlineLevel="0" collapsed="false">
      <c r="A1232" s="17" t="n">
        <v>46134</v>
      </c>
      <c r="B1232" s="21" t="s">
        <v>1681</v>
      </c>
      <c r="C1232" s="22" t="n">
        <v>150</v>
      </c>
      <c r="D1232" s="31" t="s">
        <v>30</v>
      </c>
      <c r="E1232" s="21" t="s">
        <v>3192</v>
      </c>
      <c r="F1232" s="19" t="n">
        <v>5512981378624</v>
      </c>
      <c r="G1232" s="31" t="s">
        <v>2315</v>
      </c>
      <c r="H1232" s="21" t="s">
        <v>94</v>
      </c>
      <c r="I1232" s="31" t="s">
        <v>54</v>
      </c>
      <c r="N1232" s="21" t="s">
        <v>1022</v>
      </c>
      <c r="O1232" s="21" t="s">
        <v>2280</v>
      </c>
      <c r="P1232" s="21" t="s">
        <v>2281</v>
      </c>
      <c r="Q1232" s="0" t="n">
        <v>-1</v>
      </c>
      <c r="R1232" s="0" t="n">
        <v>4</v>
      </c>
      <c r="S1232" s="0" t="n">
        <v>2026</v>
      </c>
    </row>
    <row r="1233" customFormat="false" ht="14.25" hidden="false" customHeight="false" outlineLevel="0" collapsed="false">
      <c r="A1233" s="17" t="n">
        <v>46135</v>
      </c>
      <c r="B1233" s="21" t="s">
        <v>3194</v>
      </c>
      <c r="C1233" s="22" t="n">
        <v>120</v>
      </c>
      <c r="D1233" s="31" t="s">
        <v>30</v>
      </c>
      <c r="E1233" s="21" t="s">
        <v>3194</v>
      </c>
      <c r="F1233" s="19" t="n">
        <v>554196630785</v>
      </c>
      <c r="G1233" s="31" t="s">
        <v>3195</v>
      </c>
      <c r="H1233" s="21" t="s">
        <v>94</v>
      </c>
      <c r="I1233" s="31" t="s">
        <v>50</v>
      </c>
      <c r="N1233" s="21" t="s">
        <v>965</v>
      </c>
      <c r="O1233" s="21" t="s">
        <v>2135</v>
      </c>
      <c r="P1233" s="21" t="s">
        <v>2135</v>
      </c>
      <c r="Q1233" s="0" t="n">
        <v>-1</v>
      </c>
      <c r="R1233" s="0" t="n">
        <v>4</v>
      </c>
      <c r="S1233" s="0" t="n">
        <v>2026</v>
      </c>
    </row>
    <row r="1234" customFormat="false" ht="14.25" hidden="false" customHeight="false" outlineLevel="0" collapsed="false">
      <c r="A1234" s="17" t="n">
        <v>46135</v>
      </c>
      <c r="B1234" s="21" t="s">
        <v>3197</v>
      </c>
      <c r="C1234" s="22" t="n">
        <v>120</v>
      </c>
      <c r="D1234" s="31" t="s">
        <v>23</v>
      </c>
      <c r="E1234" s="21" t="s">
        <v>3198</v>
      </c>
      <c r="F1234" s="19" t="n">
        <v>554192449900</v>
      </c>
      <c r="G1234" s="31" t="s">
        <v>3199</v>
      </c>
      <c r="H1234" s="21" t="s">
        <v>94</v>
      </c>
      <c r="I1234" s="31" t="s">
        <v>50</v>
      </c>
      <c r="J1234" s="21" t="s">
        <v>1176</v>
      </c>
      <c r="K1234" s="21" t="s">
        <v>1752</v>
      </c>
      <c r="L1234" s="21" t="s">
        <v>3200</v>
      </c>
      <c r="M1234" s="21" t="s">
        <v>1179</v>
      </c>
      <c r="N1234" s="21" t="s">
        <v>965</v>
      </c>
      <c r="O1234" s="21" t="s">
        <v>2107</v>
      </c>
      <c r="P1234" s="21" t="s">
        <v>862</v>
      </c>
      <c r="Q1234" s="0" t="n">
        <v>-1</v>
      </c>
      <c r="R1234" s="0" t="n">
        <v>4</v>
      </c>
      <c r="S1234" s="0" t="n">
        <v>2026</v>
      </c>
    </row>
    <row r="1235" customFormat="false" ht="14.25" hidden="false" customHeight="false" outlineLevel="0" collapsed="false">
      <c r="A1235" s="17" t="n">
        <v>46135</v>
      </c>
      <c r="B1235" s="21" t="s">
        <v>3202</v>
      </c>
      <c r="C1235" s="22" t="n">
        <v>240</v>
      </c>
      <c r="D1235" s="31" t="s">
        <v>20</v>
      </c>
      <c r="E1235" s="21" t="s">
        <v>3203</v>
      </c>
      <c r="F1235" s="19" t="n">
        <v>554184391627</v>
      </c>
      <c r="G1235" s="31" t="s">
        <v>3204</v>
      </c>
      <c r="H1235" s="21" t="s">
        <v>94</v>
      </c>
      <c r="I1235" s="31" t="s">
        <v>355</v>
      </c>
      <c r="J1235" s="21" t="s">
        <v>35</v>
      </c>
      <c r="K1235" s="21" t="s">
        <v>272</v>
      </c>
      <c r="L1235" s="21" t="s">
        <v>273</v>
      </c>
      <c r="M1235" s="21" t="s">
        <v>38</v>
      </c>
      <c r="N1235" s="21" t="s">
        <v>965</v>
      </c>
      <c r="O1235" s="21" t="s">
        <v>2236</v>
      </c>
      <c r="P1235" s="21" t="s">
        <v>2129</v>
      </c>
      <c r="Q1235" s="0" t="n">
        <v>11908589248</v>
      </c>
      <c r="R1235" s="0" t="n">
        <v>4</v>
      </c>
      <c r="S1235" s="0" t="n">
        <v>2026</v>
      </c>
    </row>
    <row r="1236" customFormat="false" ht="14.25" hidden="false" customHeight="false" outlineLevel="0" collapsed="false">
      <c r="A1236" s="17" t="n">
        <v>46135</v>
      </c>
      <c r="B1236" s="21" t="s">
        <v>3206</v>
      </c>
      <c r="C1236" s="22" t="n">
        <v>300</v>
      </c>
      <c r="D1236" s="31" t="s">
        <v>30</v>
      </c>
      <c r="E1236" s="21" t="s">
        <v>3207</v>
      </c>
      <c r="F1236" s="19" t="n">
        <v>5515997945687</v>
      </c>
      <c r="G1236" s="31" t="s">
        <v>3208</v>
      </c>
      <c r="H1236" s="21" t="s">
        <v>94</v>
      </c>
      <c r="I1236" s="31" t="s">
        <v>34</v>
      </c>
      <c r="N1236" s="21" t="s">
        <v>965</v>
      </c>
      <c r="O1236" s="21" t="s">
        <v>2183</v>
      </c>
      <c r="P1236" s="21" t="s">
        <v>2135</v>
      </c>
      <c r="Q1236" s="0" t="n">
        <v>0</v>
      </c>
      <c r="R1236" s="0" t="n">
        <v>4</v>
      </c>
      <c r="S1236" s="0" t="n">
        <v>2026</v>
      </c>
    </row>
    <row r="1237" customFormat="false" ht="14.25" hidden="false" customHeight="false" outlineLevel="0" collapsed="false">
      <c r="A1237" s="17" t="n">
        <v>46135</v>
      </c>
      <c r="B1237" s="21" t="s">
        <v>2507</v>
      </c>
      <c r="C1237" s="22" t="n">
        <v>150</v>
      </c>
      <c r="D1237" s="31" t="s">
        <v>24</v>
      </c>
      <c r="E1237" s="21" t="s">
        <v>2507</v>
      </c>
      <c r="F1237" s="19" t="s">
        <v>3210</v>
      </c>
      <c r="G1237" s="31" t="s">
        <v>2508</v>
      </c>
      <c r="H1237" s="21" t="s">
        <v>94</v>
      </c>
      <c r="I1237" s="31" t="s">
        <v>54</v>
      </c>
      <c r="N1237" s="21" t="s">
        <v>1022</v>
      </c>
      <c r="O1237" s="21" t="s">
        <v>2159</v>
      </c>
      <c r="P1237" s="21" t="s">
        <v>2089</v>
      </c>
      <c r="R1237" s="0" t="n">
        <v>4</v>
      </c>
      <c r="S1237" s="0" t="n">
        <v>2026</v>
      </c>
    </row>
    <row r="1238" customFormat="false" ht="14.25" hidden="false" customHeight="false" outlineLevel="0" collapsed="false">
      <c r="A1238" s="17" t="n">
        <v>46135</v>
      </c>
      <c r="B1238" s="21" t="s">
        <v>43</v>
      </c>
      <c r="C1238" s="22" t="n">
        <v>-1</v>
      </c>
      <c r="D1238" s="31" t="s">
        <v>30</v>
      </c>
      <c r="E1238" s="21" t="s">
        <v>2564</v>
      </c>
      <c r="F1238" s="19" t="n">
        <v>5511981288679</v>
      </c>
      <c r="G1238" s="31" t="s">
        <v>2565</v>
      </c>
      <c r="H1238" s="21" t="s">
        <v>94</v>
      </c>
      <c r="I1238" s="31" t="s">
        <v>54</v>
      </c>
      <c r="N1238" s="21" t="s">
        <v>1022</v>
      </c>
      <c r="O1238" s="21" t="s">
        <v>2142</v>
      </c>
      <c r="P1238" s="21" t="s">
        <v>2129</v>
      </c>
      <c r="R1238" s="0" t="n">
        <v>4</v>
      </c>
      <c r="S1238" s="0" t="n">
        <v>2026</v>
      </c>
    </row>
    <row r="1239" customFormat="false" ht="14.25" hidden="false" customHeight="false" outlineLevel="0" collapsed="false">
      <c r="A1239" s="17" t="n">
        <v>46136</v>
      </c>
      <c r="B1239" s="21" t="s">
        <v>3213</v>
      </c>
      <c r="C1239" s="22" t="n">
        <v>120</v>
      </c>
      <c r="D1239" s="31" t="s">
        <v>30</v>
      </c>
      <c r="E1239" s="21" t="s">
        <v>3214</v>
      </c>
      <c r="F1239" s="19" t="n">
        <v>554896405461</v>
      </c>
      <c r="G1239" s="31" t="s">
        <v>3215</v>
      </c>
      <c r="H1239" s="21" t="s">
        <v>94</v>
      </c>
      <c r="I1239" s="31" t="s">
        <v>50</v>
      </c>
      <c r="J1239" s="21" t="s">
        <v>35</v>
      </c>
      <c r="K1239" s="21" t="s">
        <v>69</v>
      </c>
      <c r="L1239" s="21" t="s">
        <v>70</v>
      </c>
      <c r="M1239" s="21" t="s">
        <v>38</v>
      </c>
      <c r="N1239" s="21" t="s">
        <v>965</v>
      </c>
      <c r="O1239" s="21" t="s">
        <v>2128</v>
      </c>
      <c r="P1239" s="21" t="s">
        <v>2129</v>
      </c>
      <c r="R1239" s="0" t="n">
        <v>4</v>
      </c>
      <c r="S1239" s="0" t="n">
        <v>2026</v>
      </c>
    </row>
    <row r="1240" customFormat="false" ht="14.25" hidden="false" customHeight="false" outlineLevel="0" collapsed="false">
      <c r="A1240" s="17" t="n">
        <v>46136</v>
      </c>
      <c r="B1240" s="21" t="s">
        <v>1652</v>
      </c>
      <c r="C1240" s="22" t="n">
        <v>100</v>
      </c>
      <c r="D1240" s="31" t="s">
        <v>22</v>
      </c>
      <c r="E1240" s="21" t="s">
        <v>1652</v>
      </c>
      <c r="F1240" s="19" t="n">
        <v>556281066019</v>
      </c>
      <c r="G1240" s="31" t="s">
        <v>1653</v>
      </c>
      <c r="H1240" s="21" t="s">
        <v>94</v>
      </c>
      <c r="I1240" s="31" t="s">
        <v>54</v>
      </c>
      <c r="N1240" s="21" t="s">
        <v>1022</v>
      </c>
      <c r="O1240" s="21" t="s">
        <v>2280</v>
      </c>
      <c r="P1240" s="21" t="s">
        <v>2281</v>
      </c>
      <c r="R1240" s="0" t="n">
        <v>4</v>
      </c>
      <c r="S1240" s="0" t="n">
        <v>2026</v>
      </c>
    </row>
    <row r="1241" customFormat="false" ht="14.25" hidden="false" customHeight="false" outlineLevel="0" collapsed="false">
      <c r="A1241" s="17" t="n">
        <v>46136</v>
      </c>
      <c r="B1241" s="21" t="s">
        <v>3217</v>
      </c>
      <c r="C1241" s="22" t="n">
        <v>360</v>
      </c>
      <c r="D1241" s="31" t="s">
        <v>30</v>
      </c>
      <c r="E1241" s="21" t="s">
        <v>3218</v>
      </c>
      <c r="F1241" s="19" t="n">
        <v>5511975322786</v>
      </c>
      <c r="G1241" s="31" t="s">
        <v>3219</v>
      </c>
      <c r="H1241" s="21" t="s">
        <v>94</v>
      </c>
      <c r="I1241" s="31" t="s">
        <v>355</v>
      </c>
      <c r="N1241" s="21" t="s">
        <v>965</v>
      </c>
      <c r="O1241" s="21" t="s">
        <v>2135</v>
      </c>
      <c r="P1241" s="21" t="s">
        <v>2135</v>
      </c>
      <c r="R1241" s="0" t="n">
        <v>4</v>
      </c>
      <c r="S1241" s="0" t="n">
        <v>2026</v>
      </c>
    </row>
    <row r="1242" customFormat="false" ht="14.25" hidden="false" customHeight="false" outlineLevel="0" collapsed="false">
      <c r="A1242" s="17" t="n">
        <v>46136</v>
      </c>
      <c r="B1242" s="21" t="s">
        <v>3221</v>
      </c>
      <c r="C1242" s="22" t="n">
        <v>1650</v>
      </c>
      <c r="D1242" s="31" t="s">
        <v>24</v>
      </c>
      <c r="E1242" s="21" t="s">
        <v>3222</v>
      </c>
      <c r="F1242" s="19" t="n">
        <v>554198317851</v>
      </c>
      <c r="G1242" s="31" t="s">
        <v>33</v>
      </c>
      <c r="H1242" s="21" t="s">
        <v>94</v>
      </c>
      <c r="I1242" s="31" t="s">
        <v>54</v>
      </c>
      <c r="N1242" s="21" t="s">
        <v>1022</v>
      </c>
      <c r="O1242" s="21" t="s">
        <v>2159</v>
      </c>
      <c r="P1242" s="21" t="s">
        <v>2089</v>
      </c>
      <c r="R1242" s="0" t="n">
        <v>4</v>
      </c>
      <c r="S1242" s="0" t="n">
        <v>2026</v>
      </c>
    </row>
    <row r="1243" customFormat="false" ht="14.25" hidden="false" customHeight="false" outlineLevel="0" collapsed="false">
      <c r="A1243" s="17" t="n">
        <v>46136</v>
      </c>
      <c r="B1243" s="21" t="s">
        <v>3224</v>
      </c>
      <c r="C1243" s="22" t="n">
        <v>147</v>
      </c>
      <c r="D1243" s="31" t="s">
        <v>30</v>
      </c>
      <c r="E1243" s="21" t="s">
        <v>3225</v>
      </c>
      <c r="F1243" s="19" t="n">
        <v>5511914978143</v>
      </c>
      <c r="G1243" s="31" t="s">
        <v>3226</v>
      </c>
      <c r="H1243" s="21" t="s">
        <v>94</v>
      </c>
      <c r="I1243" s="31" t="s">
        <v>34</v>
      </c>
      <c r="N1243" s="21" t="s">
        <v>965</v>
      </c>
      <c r="O1243" s="21" t="s">
        <v>2135</v>
      </c>
      <c r="P1243" s="21" t="s">
        <v>2135</v>
      </c>
      <c r="R1243" s="0" t="n">
        <v>4</v>
      </c>
      <c r="S1243" s="0" t="n">
        <v>2026</v>
      </c>
    </row>
    <row r="1244" customFormat="false" ht="14.25" hidden="false" customHeight="false" outlineLevel="0" collapsed="false">
      <c r="A1244" s="17" t="n">
        <v>46136</v>
      </c>
      <c r="B1244" s="21" t="s">
        <v>3228</v>
      </c>
      <c r="C1244" s="22" t="n">
        <v>1200</v>
      </c>
      <c r="D1244" s="31" t="s">
        <v>27</v>
      </c>
      <c r="E1244" s="21" t="s">
        <v>3228</v>
      </c>
      <c r="F1244" s="19" t="n">
        <v>554196177288</v>
      </c>
      <c r="G1244" s="31" t="s">
        <v>3229</v>
      </c>
      <c r="H1244" s="21" t="s">
        <v>94</v>
      </c>
      <c r="I1244" s="31" t="s">
        <v>34</v>
      </c>
      <c r="N1244" s="21" t="s">
        <v>965</v>
      </c>
      <c r="O1244" s="21" t="s">
        <v>2159</v>
      </c>
      <c r="P1244" s="21" t="s">
        <v>2089</v>
      </c>
      <c r="R1244" s="0" t="n">
        <v>4</v>
      </c>
      <c r="S1244" s="0" t="n">
        <v>2026</v>
      </c>
    </row>
    <row r="1245" customFormat="false" ht="14.25" hidden="false" customHeight="false" outlineLevel="0" collapsed="false">
      <c r="A1245" s="17" t="n">
        <v>46136</v>
      </c>
      <c r="B1245" s="21" t="s">
        <v>3231</v>
      </c>
      <c r="C1245" s="22" t="n">
        <v>150</v>
      </c>
      <c r="D1245" s="31" t="s">
        <v>1471</v>
      </c>
      <c r="E1245" s="21" t="s">
        <v>3231</v>
      </c>
      <c r="F1245" s="19" t="n">
        <v>555195167967</v>
      </c>
      <c r="G1245" s="31" t="s">
        <v>3232</v>
      </c>
      <c r="H1245" s="21" t="s">
        <v>94</v>
      </c>
      <c r="I1245" s="31" t="s">
        <v>50</v>
      </c>
      <c r="N1245" s="21" t="s">
        <v>965</v>
      </c>
      <c r="O1245" s="21" t="s">
        <v>2107</v>
      </c>
      <c r="P1245" s="21" t="s">
        <v>2121</v>
      </c>
      <c r="R1245" s="0" t="n">
        <v>4</v>
      </c>
      <c r="S1245" s="0" t="n">
        <v>2026</v>
      </c>
    </row>
    <row r="1246" customFormat="false" ht="14.25" hidden="false" customHeight="false" outlineLevel="0" collapsed="false">
      <c r="A1246" s="17" t="n">
        <v>46136</v>
      </c>
      <c r="B1246" s="21" t="s">
        <v>3234</v>
      </c>
      <c r="C1246" s="22" t="n">
        <v>197</v>
      </c>
      <c r="D1246" s="31" t="s">
        <v>390</v>
      </c>
      <c r="E1246" s="21" t="s">
        <v>3234</v>
      </c>
      <c r="F1246" s="19" t="n">
        <v>5599984004588</v>
      </c>
      <c r="G1246" s="31" t="s">
        <v>3235</v>
      </c>
      <c r="H1246" s="21" t="s">
        <v>94</v>
      </c>
      <c r="I1246" s="31" t="s">
        <v>34</v>
      </c>
      <c r="N1246" s="21" t="s">
        <v>965</v>
      </c>
      <c r="O1246" s="21" t="s">
        <v>2107</v>
      </c>
      <c r="P1246" s="21" t="s">
        <v>3236</v>
      </c>
      <c r="R1246" s="0" t="n">
        <v>4</v>
      </c>
      <c r="S1246" s="0" t="n">
        <v>2026</v>
      </c>
    </row>
    <row r="1247" customFormat="false" ht="14.25" hidden="false" customHeight="false" outlineLevel="0" collapsed="false">
      <c r="A1247" s="17" t="n">
        <v>46135</v>
      </c>
      <c r="B1247" s="21" t="s">
        <v>3238</v>
      </c>
      <c r="C1247" s="22" t="n">
        <v>400</v>
      </c>
      <c r="D1247" s="31" t="s">
        <v>106</v>
      </c>
      <c r="E1247" s="21" t="s">
        <v>3238</v>
      </c>
      <c r="F1247" s="19" t="n">
        <v>554396351109</v>
      </c>
      <c r="G1247" s="31" t="s">
        <v>3239</v>
      </c>
      <c r="H1247" s="21" t="s">
        <v>94</v>
      </c>
      <c r="I1247" s="31" t="s">
        <v>50</v>
      </c>
      <c r="N1247" s="21" t="s">
        <v>965</v>
      </c>
      <c r="O1247" s="21" t="s">
        <v>2107</v>
      </c>
      <c r="P1247" s="21" t="s">
        <v>2089</v>
      </c>
      <c r="R1247" s="0" t="n">
        <v>4</v>
      </c>
      <c r="S1247" s="0" t="n">
        <v>2026</v>
      </c>
    </row>
    <row r="1248" customFormat="false" ht="14.25" hidden="false" customHeight="false" outlineLevel="0" collapsed="false">
      <c r="A1248" s="17" t="n">
        <v>46135</v>
      </c>
      <c r="B1248" s="21" t="s">
        <v>3241</v>
      </c>
      <c r="C1248" s="22" t="n">
        <v>300</v>
      </c>
      <c r="D1248" s="31" t="s">
        <v>32</v>
      </c>
      <c r="E1248" s="21" t="s">
        <v>2426</v>
      </c>
      <c r="F1248" s="19" t="n">
        <v>559584038633</v>
      </c>
      <c r="G1248" s="31" t="s">
        <v>43</v>
      </c>
      <c r="H1248" s="21" t="s">
        <v>1304</v>
      </c>
      <c r="I1248" s="31" t="s">
        <v>54</v>
      </c>
      <c r="N1248" s="21" t="s">
        <v>1022</v>
      </c>
      <c r="O1248" s="21" t="s">
        <v>2427</v>
      </c>
      <c r="P1248" s="21" t="s">
        <v>2734</v>
      </c>
      <c r="R1248" s="0" t="n">
        <v>4</v>
      </c>
      <c r="S1248" s="0" t="n">
        <v>2026</v>
      </c>
    </row>
    <row r="1249" customFormat="false" ht="14.25" hidden="false" customHeight="false" outlineLevel="0" collapsed="false">
      <c r="A1249" s="17" t="n">
        <v>46136</v>
      </c>
      <c r="B1249" s="21" t="s">
        <v>2317</v>
      </c>
      <c r="C1249" s="22" t="n">
        <v>150</v>
      </c>
      <c r="D1249" s="31" t="s">
        <v>24</v>
      </c>
      <c r="E1249" s="21" t="s">
        <v>2318</v>
      </c>
      <c r="F1249" s="19" t="n">
        <v>5515998541153</v>
      </c>
      <c r="G1249" s="31" t="s">
        <v>485</v>
      </c>
      <c r="H1249" s="21" t="s">
        <v>94</v>
      </c>
      <c r="I1249" s="31" t="s">
        <v>54</v>
      </c>
      <c r="N1249" s="21" t="s">
        <v>1022</v>
      </c>
      <c r="O1249" s="21" t="s">
        <v>2183</v>
      </c>
      <c r="P1249" s="21" t="s">
        <v>2135</v>
      </c>
      <c r="R1249" s="0" t="n">
        <v>4</v>
      </c>
      <c r="S1249" s="0" t="n">
        <v>2026</v>
      </c>
    </row>
    <row r="1250" customFormat="false" ht="14.25" hidden="false" customHeight="false" outlineLevel="0" collapsed="false">
      <c r="A1250" s="17" t="n">
        <v>46136</v>
      </c>
      <c r="B1250" s="21" t="s">
        <v>3244</v>
      </c>
      <c r="C1250" s="22" t="n">
        <v>194</v>
      </c>
      <c r="D1250" s="31" t="s">
        <v>20</v>
      </c>
      <c r="E1250" s="21" t="s">
        <v>3245</v>
      </c>
      <c r="F1250" s="19" t="n">
        <v>559584108420</v>
      </c>
      <c r="G1250" s="31" t="s">
        <v>3246</v>
      </c>
      <c r="H1250" s="21" t="s">
        <v>94</v>
      </c>
      <c r="I1250" s="31" t="s">
        <v>34</v>
      </c>
      <c r="J1250" s="21" t="s">
        <v>35</v>
      </c>
      <c r="K1250" s="21" t="s">
        <v>69</v>
      </c>
      <c r="L1250" s="21" t="s">
        <v>70</v>
      </c>
      <c r="M1250" s="21" t="s">
        <v>38</v>
      </c>
      <c r="N1250" s="21" t="s">
        <v>965</v>
      </c>
      <c r="O1250" s="21" t="s">
        <v>2749</v>
      </c>
      <c r="P1250" s="21" t="s">
        <v>2320</v>
      </c>
      <c r="R1250" s="0" t="n">
        <v>4</v>
      </c>
      <c r="S1250" s="0" t="n">
        <v>2026</v>
      </c>
    </row>
    <row r="1251" customFormat="false" ht="14.25" hidden="false" customHeight="false" outlineLevel="0" collapsed="false">
      <c r="A1251" s="17" t="n">
        <v>46136</v>
      </c>
      <c r="B1251" s="21" t="s">
        <v>3248</v>
      </c>
      <c r="C1251" s="22" t="n">
        <v>120</v>
      </c>
      <c r="D1251" s="31" t="s">
        <v>30</v>
      </c>
      <c r="E1251" s="21" t="s">
        <v>3248</v>
      </c>
      <c r="F1251" s="19" t="n">
        <v>559591572378</v>
      </c>
      <c r="G1251" s="31" t="s">
        <v>3249</v>
      </c>
      <c r="H1251" s="21" t="s">
        <v>94</v>
      </c>
      <c r="I1251" s="31" t="s">
        <v>355</v>
      </c>
      <c r="J1251" s="21" t="s">
        <v>35</v>
      </c>
      <c r="K1251" s="21" t="s">
        <v>36</v>
      </c>
      <c r="L1251" s="21" t="s">
        <v>37</v>
      </c>
      <c r="M1251" s="21" t="s">
        <v>38</v>
      </c>
      <c r="N1251" s="21" t="s">
        <v>965</v>
      </c>
      <c r="O1251" s="21" t="s">
        <v>2107</v>
      </c>
      <c r="P1251" s="21" t="s">
        <v>2135</v>
      </c>
      <c r="R1251" s="0" t="n">
        <v>4</v>
      </c>
      <c r="S1251" s="0" t="n">
        <v>2026</v>
      </c>
    </row>
    <row r="1252" customFormat="false" ht="14.25" hidden="false" customHeight="false" outlineLevel="0" collapsed="false">
      <c r="A1252" s="17" t="n">
        <v>46136</v>
      </c>
      <c r="B1252" s="21" t="s">
        <v>3251</v>
      </c>
      <c r="C1252" s="22" t="n">
        <v>240</v>
      </c>
      <c r="D1252" s="31" t="s">
        <v>20</v>
      </c>
      <c r="E1252" s="21" t="s">
        <v>3251</v>
      </c>
      <c r="F1252" s="19" t="n">
        <v>554733863796</v>
      </c>
      <c r="G1252" s="31" t="s">
        <v>3252</v>
      </c>
      <c r="H1252" s="21" t="s">
        <v>94</v>
      </c>
      <c r="I1252" s="31" t="s">
        <v>50</v>
      </c>
      <c r="N1252" s="21" t="s">
        <v>965</v>
      </c>
      <c r="O1252" s="21" t="s">
        <v>2760</v>
      </c>
      <c r="P1252" s="21" t="s">
        <v>2121</v>
      </c>
      <c r="R1252" s="0" t="n">
        <v>4</v>
      </c>
      <c r="S1252" s="0" t="n">
        <v>2026</v>
      </c>
    </row>
    <row r="1253" customFormat="false" ht="14.25" hidden="false" customHeight="false" outlineLevel="0" collapsed="false">
      <c r="A1253" s="17" t="n">
        <v>46136</v>
      </c>
      <c r="B1253" s="21" t="s">
        <v>3254</v>
      </c>
      <c r="C1253" s="22" t="n">
        <v>294</v>
      </c>
      <c r="D1253" s="31" t="s">
        <v>21</v>
      </c>
      <c r="E1253" s="21" t="s">
        <v>3254</v>
      </c>
      <c r="F1253" s="19" t="n">
        <v>559584394421</v>
      </c>
      <c r="G1253" s="31" t="s">
        <v>3255</v>
      </c>
      <c r="H1253" s="21" t="s">
        <v>94</v>
      </c>
      <c r="I1253" s="31" t="s">
        <v>50</v>
      </c>
      <c r="J1253" s="21" t="s">
        <v>35</v>
      </c>
      <c r="K1253" s="21" t="s">
        <v>36</v>
      </c>
      <c r="L1253" s="21" t="s">
        <v>37</v>
      </c>
      <c r="M1253" s="21" t="s">
        <v>38</v>
      </c>
      <c r="N1253" s="21" t="s">
        <v>965</v>
      </c>
      <c r="O1253" s="21" t="s">
        <v>2261</v>
      </c>
      <c r="P1253" s="21" t="s">
        <v>2129</v>
      </c>
      <c r="R1253" s="0" t="n">
        <v>4</v>
      </c>
      <c r="S1253" s="0" t="n">
        <v>2026</v>
      </c>
    </row>
    <row r="1254" customFormat="false" ht="14.25" hidden="false" customHeight="false" outlineLevel="0" collapsed="false">
      <c r="A1254" s="17" t="n">
        <v>46135</v>
      </c>
      <c r="B1254" s="21" t="s">
        <v>3257</v>
      </c>
      <c r="C1254" s="22" t="n">
        <v>394</v>
      </c>
      <c r="D1254" s="31" t="s">
        <v>390</v>
      </c>
      <c r="E1254" s="21" t="s">
        <v>3257</v>
      </c>
      <c r="F1254" s="19" t="n">
        <v>559584027060</v>
      </c>
      <c r="G1254" s="31" t="s">
        <v>3258</v>
      </c>
      <c r="H1254" s="21" t="s">
        <v>94</v>
      </c>
      <c r="I1254" s="31" t="s">
        <v>54</v>
      </c>
      <c r="N1254" s="21" t="s">
        <v>1022</v>
      </c>
      <c r="O1254" s="21" t="s">
        <v>2107</v>
      </c>
      <c r="P1254" s="21" t="s">
        <v>862</v>
      </c>
      <c r="R1254" s="0" t="n">
        <v>4</v>
      </c>
      <c r="S1254" s="0" t="n">
        <v>2026</v>
      </c>
    </row>
    <row r="1255" customFormat="false" ht="14.25" hidden="false" customHeight="false" outlineLevel="0" collapsed="false">
      <c r="A1255" s="17" t="n">
        <v>46136</v>
      </c>
      <c r="B1255" s="21" t="s">
        <v>2706</v>
      </c>
      <c r="C1255" s="22" t="n">
        <v>240</v>
      </c>
      <c r="D1255" s="31" t="s">
        <v>30</v>
      </c>
      <c r="E1255" s="21" t="s">
        <v>2706</v>
      </c>
      <c r="F1255" s="19" t="n">
        <v>559584407526</v>
      </c>
      <c r="G1255" s="31" t="s">
        <v>2707</v>
      </c>
      <c r="H1255" s="21" t="s">
        <v>94</v>
      </c>
      <c r="I1255" s="31" t="s">
        <v>54</v>
      </c>
      <c r="N1255" s="21" t="s">
        <v>1022</v>
      </c>
      <c r="O1255" s="21" t="s">
        <v>2708</v>
      </c>
      <c r="P1255" s="21" t="s">
        <v>2089</v>
      </c>
      <c r="R1255" s="0" t="n">
        <v>4</v>
      </c>
      <c r="S1255" s="0" t="n">
        <v>2026</v>
      </c>
    </row>
    <row r="1256" customFormat="false" ht="14.25" hidden="false" customHeight="false" outlineLevel="0" collapsed="false">
      <c r="A1256" s="17" t="n">
        <v>46136</v>
      </c>
      <c r="B1256" s="21" t="s">
        <v>3261</v>
      </c>
      <c r="C1256" s="22" t="n">
        <v>120</v>
      </c>
      <c r="D1256" s="31" t="s">
        <v>22</v>
      </c>
      <c r="E1256" s="21" t="s">
        <v>3262</v>
      </c>
      <c r="F1256" s="19" t="n">
        <v>555191771677</v>
      </c>
      <c r="G1256" s="31" t="s">
        <v>3263</v>
      </c>
      <c r="H1256" s="21" t="s">
        <v>94</v>
      </c>
      <c r="I1256" s="31" t="s">
        <v>355</v>
      </c>
      <c r="J1256" s="21" t="s">
        <v>35</v>
      </c>
      <c r="K1256" s="21" t="s">
        <v>36</v>
      </c>
      <c r="L1256" s="21" t="s">
        <v>37</v>
      </c>
      <c r="M1256" s="21" t="s">
        <v>38</v>
      </c>
      <c r="N1256" s="21" t="s">
        <v>965</v>
      </c>
      <c r="O1256" s="21" t="s">
        <v>2107</v>
      </c>
      <c r="P1256" s="21" t="s">
        <v>2121</v>
      </c>
      <c r="R1256" s="0" t="n">
        <v>4</v>
      </c>
      <c r="S1256" s="0" t="n">
        <v>2026</v>
      </c>
    </row>
    <row r="1257" customFormat="false" ht="14.25" hidden="false" customHeight="false" outlineLevel="0" collapsed="false">
      <c r="A1257" s="17" t="n">
        <v>46136</v>
      </c>
      <c r="B1257" s="21" t="s">
        <v>2752</v>
      </c>
      <c r="C1257" s="22" t="n">
        <v>145</v>
      </c>
      <c r="D1257" s="31" t="s">
        <v>390</v>
      </c>
      <c r="E1257" s="21" t="s">
        <v>2752</v>
      </c>
      <c r="F1257" s="19" t="n">
        <v>554198735582</v>
      </c>
      <c r="G1257" s="31" t="s">
        <v>2753</v>
      </c>
      <c r="H1257" s="21" t="s">
        <v>94</v>
      </c>
      <c r="I1257" s="31" t="s">
        <v>54</v>
      </c>
      <c r="N1257" s="21" t="s">
        <v>1022</v>
      </c>
      <c r="O1257" s="21" t="s">
        <v>2159</v>
      </c>
      <c r="P1257" s="21" t="s">
        <v>2089</v>
      </c>
      <c r="R1257" s="0" t="n">
        <v>4</v>
      </c>
      <c r="S1257" s="0" t="n">
        <v>2026</v>
      </c>
    </row>
    <row r="1258" customFormat="false" ht="14.25" hidden="false" customHeight="false" outlineLevel="0" collapsed="false">
      <c r="A1258" s="17" t="n">
        <v>46137</v>
      </c>
      <c r="B1258" s="21" t="s">
        <v>3266</v>
      </c>
      <c r="C1258" s="22" t="n">
        <v>150</v>
      </c>
      <c r="D1258" s="31" t="s">
        <v>30</v>
      </c>
      <c r="E1258" s="21" t="s">
        <v>3266</v>
      </c>
      <c r="F1258" s="19" t="n">
        <v>554896115041</v>
      </c>
      <c r="G1258" s="31" t="s">
        <v>3267</v>
      </c>
      <c r="H1258" s="21" t="s">
        <v>94</v>
      </c>
      <c r="I1258" s="31" t="s">
        <v>50</v>
      </c>
      <c r="N1258" s="21" t="s">
        <v>965</v>
      </c>
      <c r="O1258" s="21" t="s">
        <v>2128</v>
      </c>
      <c r="P1258" s="21" t="s">
        <v>2129</v>
      </c>
      <c r="R1258" s="0" t="n">
        <v>4</v>
      </c>
      <c r="S1258" s="0" t="n">
        <v>2026</v>
      </c>
    </row>
    <row r="1259" customFormat="false" ht="14.25" hidden="false" customHeight="false" outlineLevel="0" collapsed="false">
      <c r="A1259" s="17" t="n">
        <v>46137</v>
      </c>
      <c r="B1259" s="21" t="s">
        <v>3269</v>
      </c>
      <c r="C1259" s="22" t="n">
        <v>300</v>
      </c>
      <c r="D1259" s="31" t="s">
        <v>2889</v>
      </c>
      <c r="E1259" s="21" t="s">
        <v>3269</v>
      </c>
      <c r="F1259" s="19" t="n">
        <v>554896708679</v>
      </c>
      <c r="G1259" s="31" t="s">
        <v>3270</v>
      </c>
      <c r="H1259" s="21" t="s">
        <v>94</v>
      </c>
      <c r="I1259" s="31" t="s">
        <v>50</v>
      </c>
      <c r="J1259" s="21" t="s">
        <v>35</v>
      </c>
      <c r="K1259" s="21" t="s">
        <v>36</v>
      </c>
      <c r="L1259" s="21" t="s">
        <v>37</v>
      </c>
      <c r="M1259" s="21" t="s">
        <v>38</v>
      </c>
      <c r="N1259" s="21" t="s">
        <v>965</v>
      </c>
      <c r="O1259" s="21" t="s">
        <v>3143</v>
      </c>
      <c r="P1259" s="21" t="s">
        <v>2129</v>
      </c>
      <c r="R1259" s="0" t="n">
        <v>4</v>
      </c>
      <c r="S1259" s="0" t="n">
        <v>2026</v>
      </c>
    </row>
    <row r="1260" customFormat="false" ht="14.25" hidden="false" customHeight="false" outlineLevel="0" collapsed="false">
      <c r="A1260" s="17" t="n">
        <v>46137</v>
      </c>
      <c r="B1260" s="21" t="s">
        <v>3272</v>
      </c>
      <c r="C1260" s="22" t="n">
        <v>394</v>
      </c>
      <c r="D1260" s="31" t="s">
        <v>390</v>
      </c>
      <c r="E1260" s="21" t="s">
        <v>3272</v>
      </c>
      <c r="F1260" s="19" t="n">
        <v>559684065516</v>
      </c>
      <c r="G1260" s="31" t="s">
        <v>3273</v>
      </c>
      <c r="H1260" s="21" t="s">
        <v>94</v>
      </c>
      <c r="I1260" s="31" t="s">
        <v>34</v>
      </c>
      <c r="J1260" s="21" t="s">
        <v>35</v>
      </c>
      <c r="K1260" s="21" t="s">
        <v>69</v>
      </c>
      <c r="L1260" s="21" t="s">
        <v>70</v>
      </c>
      <c r="M1260" s="21" t="s">
        <v>38</v>
      </c>
      <c r="N1260" s="21" t="s">
        <v>965</v>
      </c>
      <c r="O1260" s="21" t="s">
        <v>2159</v>
      </c>
      <c r="P1260" s="21" t="s">
        <v>2089</v>
      </c>
      <c r="R1260" s="0" t="n">
        <v>4</v>
      </c>
      <c r="S1260" s="0" t="n">
        <v>2026</v>
      </c>
    </row>
    <row r="1261" customFormat="false" ht="14.25" hidden="false" customHeight="false" outlineLevel="0" collapsed="false">
      <c r="A1261" s="17" t="n">
        <v>46137</v>
      </c>
      <c r="B1261" s="21" t="s">
        <v>3275</v>
      </c>
      <c r="C1261" s="22" t="n">
        <v>150</v>
      </c>
      <c r="D1261" s="31" t="s">
        <v>30</v>
      </c>
      <c r="E1261" s="21" t="s">
        <v>3275</v>
      </c>
      <c r="F1261" s="19" t="n">
        <v>554197327053</v>
      </c>
      <c r="G1261" s="31" t="s">
        <v>3276</v>
      </c>
      <c r="H1261" s="21" t="s">
        <v>94</v>
      </c>
      <c r="I1261" s="31" t="s">
        <v>54</v>
      </c>
      <c r="N1261" s="21" t="s">
        <v>965</v>
      </c>
      <c r="O1261" s="21" t="s">
        <v>2159</v>
      </c>
      <c r="P1261" s="21" t="s">
        <v>2089</v>
      </c>
      <c r="R1261" s="0" t="n">
        <v>4</v>
      </c>
      <c r="S1261" s="0" t="n">
        <v>2026</v>
      </c>
    </row>
    <row r="1262" customFormat="false" ht="14.25" hidden="false" customHeight="false" outlineLevel="0" collapsed="false">
      <c r="A1262" s="17" t="n">
        <v>46137</v>
      </c>
      <c r="B1262" s="21" t="s">
        <v>3278</v>
      </c>
      <c r="C1262" s="22" t="n">
        <v>150</v>
      </c>
      <c r="D1262" s="31" t="s">
        <v>32</v>
      </c>
      <c r="E1262" s="21" t="s">
        <v>3279</v>
      </c>
      <c r="F1262" s="19" t="n">
        <v>554374005439</v>
      </c>
      <c r="G1262" s="31" t="s">
        <v>43</v>
      </c>
      <c r="H1262" s="21" t="s">
        <v>94</v>
      </c>
      <c r="I1262" s="31" t="s">
        <v>34</v>
      </c>
      <c r="J1262" s="21" t="s">
        <v>1176</v>
      </c>
      <c r="K1262" s="21" t="s">
        <v>1177</v>
      </c>
      <c r="L1262" s="21" t="s">
        <v>1324</v>
      </c>
      <c r="M1262" s="21" t="s">
        <v>1243</v>
      </c>
      <c r="N1262" s="21" t="s">
        <v>965</v>
      </c>
      <c r="O1262" s="21" t="s">
        <v>3280</v>
      </c>
      <c r="P1262" s="21" t="s">
        <v>2089</v>
      </c>
      <c r="R1262" s="0" t="n">
        <v>4</v>
      </c>
      <c r="S1262" s="0" t="n">
        <v>2026</v>
      </c>
    </row>
    <row r="1263" customFormat="false" ht="14.25" hidden="false" customHeight="false" outlineLevel="0" collapsed="false">
      <c r="A1263" s="17" t="n">
        <v>46137</v>
      </c>
      <c r="B1263" s="21" t="s">
        <v>3282</v>
      </c>
      <c r="C1263" s="22" t="n">
        <v>197</v>
      </c>
      <c r="D1263" s="31" t="s">
        <v>390</v>
      </c>
      <c r="E1263" s="21" t="s">
        <v>3282</v>
      </c>
      <c r="F1263" s="19" t="n">
        <v>5517920006718</v>
      </c>
      <c r="G1263" s="31" t="s">
        <v>3283</v>
      </c>
      <c r="H1263" s="21" t="s">
        <v>94</v>
      </c>
      <c r="I1263" s="31" t="s">
        <v>50</v>
      </c>
      <c r="J1263" s="21" t="s">
        <v>1176</v>
      </c>
      <c r="K1263" s="21" t="s">
        <v>1897</v>
      </c>
      <c r="L1263" s="21" t="s">
        <v>2447</v>
      </c>
      <c r="M1263" s="21" t="s">
        <v>1179</v>
      </c>
      <c r="N1263" s="21" t="s">
        <v>965</v>
      </c>
      <c r="O1263" s="21" t="s">
        <v>3284</v>
      </c>
      <c r="P1263" s="21" t="s">
        <v>2135</v>
      </c>
      <c r="R1263" s="0" t="n">
        <v>4</v>
      </c>
      <c r="S1263" s="0" t="n">
        <v>2026</v>
      </c>
    </row>
    <row r="1264" customFormat="false" ht="14.25" hidden="false" customHeight="false" outlineLevel="0" collapsed="false">
      <c r="A1264" s="17" t="n">
        <v>46138</v>
      </c>
      <c r="B1264" s="21" t="s">
        <v>3286</v>
      </c>
      <c r="C1264" s="22" t="n">
        <v>800</v>
      </c>
      <c r="D1264" s="31" t="s">
        <v>106</v>
      </c>
      <c r="E1264" s="21" t="s">
        <v>3287</v>
      </c>
      <c r="F1264" s="19" t="n">
        <v>554299407537</v>
      </c>
      <c r="G1264" s="31" t="s">
        <v>3288</v>
      </c>
      <c r="H1264" s="21" t="s">
        <v>94</v>
      </c>
      <c r="I1264" s="31" t="s">
        <v>355</v>
      </c>
      <c r="N1264" s="21" t="s">
        <v>965</v>
      </c>
      <c r="O1264" s="21" t="s">
        <v>2107</v>
      </c>
      <c r="P1264" s="21" t="s">
        <v>862</v>
      </c>
      <c r="R1264" s="0" t="n">
        <v>4</v>
      </c>
      <c r="S1264" s="0" t="n">
        <v>2026</v>
      </c>
    </row>
    <row r="1265" customFormat="false" ht="14.25" hidden="false" customHeight="false" outlineLevel="0" collapsed="false">
      <c r="A1265" s="17" t="n">
        <v>46136</v>
      </c>
      <c r="B1265" s="21" t="s">
        <v>3290</v>
      </c>
      <c r="C1265" s="22" t="n">
        <v>400</v>
      </c>
      <c r="D1265" s="31" t="s">
        <v>106</v>
      </c>
      <c r="E1265" s="21" t="s">
        <v>3291</v>
      </c>
      <c r="F1265" s="19" t="n">
        <v>554784251030</v>
      </c>
      <c r="G1265" s="31" t="s">
        <v>3292</v>
      </c>
      <c r="H1265" s="21" t="s">
        <v>94</v>
      </c>
      <c r="I1265" s="31" t="s">
        <v>355</v>
      </c>
      <c r="N1265" s="21" t="s">
        <v>965</v>
      </c>
      <c r="O1265" s="21" t="s">
        <v>2107</v>
      </c>
      <c r="P1265" s="21" t="s">
        <v>862</v>
      </c>
      <c r="R1265" s="0" t="n">
        <v>4</v>
      </c>
      <c r="S1265" s="0" t="n">
        <v>2026</v>
      </c>
    </row>
    <row r="1266" customFormat="false" ht="14.25" hidden="false" customHeight="false" outlineLevel="0" collapsed="false">
      <c r="A1266" s="17" t="n">
        <v>46138</v>
      </c>
      <c r="B1266" s="21" t="s">
        <v>3294</v>
      </c>
      <c r="C1266" s="22" t="n">
        <v>120</v>
      </c>
      <c r="D1266" s="31" t="s">
        <v>30</v>
      </c>
      <c r="E1266" s="21" t="s">
        <v>3294</v>
      </c>
      <c r="F1266" s="19" t="n">
        <v>5511974300728</v>
      </c>
      <c r="G1266" s="31" t="s">
        <v>43</v>
      </c>
      <c r="H1266" s="21" t="s">
        <v>94</v>
      </c>
      <c r="I1266" s="31" t="s">
        <v>34</v>
      </c>
      <c r="J1266" s="21" t="s">
        <v>1176</v>
      </c>
      <c r="K1266" s="21" t="s">
        <v>1897</v>
      </c>
      <c r="L1266" s="21" t="s">
        <v>2828</v>
      </c>
      <c r="M1266" s="21" t="s">
        <v>1179</v>
      </c>
      <c r="N1266" s="21" t="s">
        <v>965</v>
      </c>
      <c r="O1266" s="21" t="s">
        <v>2276</v>
      </c>
      <c r="P1266" s="21" t="s">
        <v>2135</v>
      </c>
      <c r="R1266" s="0" t="n">
        <v>4</v>
      </c>
      <c r="S1266" s="0" t="n">
        <v>2026</v>
      </c>
    </row>
    <row r="1267" customFormat="false" ht="14.25" hidden="false" customHeight="false" outlineLevel="0" collapsed="false">
      <c r="A1267" s="17" t="n">
        <v>46137</v>
      </c>
      <c r="B1267" s="21" t="s">
        <v>3296</v>
      </c>
      <c r="C1267" s="22" t="n">
        <v>147</v>
      </c>
      <c r="D1267" s="31" t="s">
        <v>22</v>
      </c>
      <c r="E1267" s="21" t="s">
        <v>3296</v>
      </c>
      <c r="F1267" s="19" t="n">
        <v>554192524215</v>
      </c>
      <c r="G1267" s="31" t="s">
        <v>3297</v>
      </c>
      <c r="H1267" s="21" t="s">
        <v>94</v>
      </c>
      <c r="I1267" s="31" t="s">
        <v>54</v>
      </c>
      <c r="N1267" s="21" t="s">
        <v>1022</v>
      </c>
      <c r="O1267" s="21" t="s">
        <v>2159</v>
      </c>
      <c r="P1267" s="21" t="s">
        <v>2089</v>
      </c>
      <c r="R1267" s="0" t="n">
        <v>4</v>
      </c>
      <c r="S1267" s="0" t="n">
        <v>2026</v>
      </c>
    </row>
    <row r="1268" customFormat="false" ht="14.25" hidden="false" customHeight="false" outlineLevel="0" collapsed="false">
      <c r="A1268" s="17" t="n">
        <v>46137</v>
      </c>
      <c r="B1268" s="21" t="s">
        <v>3296</v>
      </c>
      <c r="C1268" s="22" t="n">
        <v>53</v>
      </c>
      <c r="D1268" s="31" t="s">
        <v>862</v>
      </c>
      <c r="E1268" s="21" t="s">
        <v>3296</v>
      </c>
      <c r="F1268" s="19" t="n">
        <v>554192524215</v>
      </c>
      <c r="G1268" s="31" t="s">
        <v>3297</v>
      </c>
      <c r="H1268" s="21" t="s">
        <v>94</v>
      </c>
      <c r="I1268" s="31" t="s">
        <v>54</v>
      </c>
      <c r="N1268" s="21" t="s">
        <v>1022</v>
      </c>
      <c r="O1268" s="21" t="s">
        <v>2159</v>
      </c>
      <c r="P1268" s="21" t="s">
        <v>2089</v>
      </c>
      <c r="R1268" s="0" t="n">
        <v>4</v>
      </c>
      <c r="S1268" s="0" t="n">
        <v>2026</v>
      </c>
    </row>
    <row r="1269" customFormat="false" ht="14.25" hidden="false" customHeight="false" outlineLevel="0" collapsed="false">
      <c r="A1269" s="17" t="n">
        <v>46139</v>
      </c>
      <c r="B1269" s="21" t="s">
        <v>3300</v>
      </c>
      <c r="C1269" s="22" t="n">
        <v>150</v>
      </c>
      <c r="D1269" s="31" t="s">
        <v>32</v>
      </c>
      <c r="E1269" s="21" t="s">
        <v>3301</v>
      </c>
      <c r="F1269" s="19" t="n">
        <v>558398148019</v>
      </c>
      <c r="G1269" s="31" t="s">
        <v>3302</v>
      </c>
      <c r="H1269" s="21" t="s">
        <v>94</v>
      </c>
      <c r="I1269" s="31" t="s">
        <v>50</v>
      </c>
      <c r="N1269" s="21" t="s">
        <v>965</v>
      </c>
      <c r="O1269" s="21" t="s">
        <v>2107</v>
      </c>
      <c r="P1269" s="21" t="s">
        <v>862</v>
      </c>
      <c r="R1269" s="0" t="n">
        <v>4</v>
      </c>
      <c r="S1269" s="0" t="n">
        <v>2026</v>
      </c>
    </row>
    <row r="1270" customFormat="false" ht="14.25" hidden="false" customHeight="false" outlineLevel="0" collapsed="false">
      <c r="A1270" s="17" t="n">
        <v>46138</v>
      </c>
      <c r="B1270" s="21" t="s">
        <v>3304</v>
      </c>
      <c r="C1270" s="22" t="n">
        <v>437</v>
      </c>
      <c r="D1270" s="31" t="s">
        <v>390</v>
      </c>
      <c r="E1270" s="21" t="s">
        <v>3305</v>
      </c>
      <c r="F1270" s="19" t="n">
        <v>559584037292</v>
      </c>
      <c r="G1270" s="31" t="s">
        <v>3306</v>
      </c>
      <c r="H1270" s="21" t="s">
        <v>94</v>
      </c>
      <c r="I1270" s="31" t="s">
        <v>50</v>
      </c>
      <c r="J1270" s="21" t="s">
        <v>97</v>
      </c>
      <c r="K1270" s="21" t="s">
        <v>20</v>
      </c>
      <c r="L1270" s="21" t="s">
        <v>230</v>
      </c>
      <c r="M1270" s="21" t="s">
        <v>99</v>
      </c>
      <c r="N1270" s="21" t="s">
        <v>965</v>
      </c>
      <c r="O1270" s="21" t="s">
        <v>2107</v>
      </c>
      <c r="P1270" s="21" t="s">
        <v>2135</v>
      </c>
      <c r="R1270" s="0" t="n">
        <v>4</v>
      </c>
      <c r="S1270" s="0" t="n">
        <v>2026</v>
      </c>
    </row>
    <row r="1271" customFormat="false" ht="14.25" hidden="false" customHeight="false" outlineLevel="0" collapsed="false">
      <c r="A1271" s="17" t="n">
        <v>46138</v>
      </c>
      <c r="B1271" s="21" t="s">
        <v>3308</v>
      </c>
      <c r="C1271" s="22" t="n">
        <v>150</v>
      </c>
      <c r="D1271" s="31" t="s">
        <v>32</v>
      </c>
      <c r="E1271" s="21" t="s">
        <v>3308</v>
      </c>
      <c r="F1271" s="19" t="n">
        <v>559584133906</v>
      </c>
      <c r="G1271" s="31" t="s">
        <v>3309</v>
      </c>
      <c r="H1271" s="21" t="s">
        <v>94</v>
      </c>
      <c r="I1271" s="31" t="s">
        <v>54</v>
      </c>
      <c r="N1271" s="21" t="s">
        <v>965</v>
      </c>
      <c r="O1271" s="21" t="s">
        <v>2107</v>
      </c>
      <c r="P1271" s="21" t="s">
        <v>862</v>
      </c>
      <c r="R1271" s="0" t="n">
        <v>4</v>
      </c>
      <c r="S1271" s="0" t="n">
        <v>2026</v>
      </c>
    </row>
    <row r="1272" customFormat="false" ht="14.25" hidden="false" customHeight="false" outlineLevel="0" collapsed="false">
      <c r="A1272" s="17" t="n">
        <v>46138</v>
      </c>
      <c r="B1272" s="21" t="s">
        <v>3311</v>
      </c>
      <c r="C1272" s="22" t="n">
        <v>200</v>
      </c>
      <c r="D1272" s="31" t="s">
        <v>21</v>
      </c>
      <c r="E1272" s="21" t="s">
        <v>3312</v>
      </c>
      <c r="F1272" s="19" t="n">
        <v>559584381108</v>
      </c>
      <c r="G1272" s="31" t="s">
        <v>3313</v>
      </c>
      <c r="H1272" s="21" t="s">
        <v>94</v>
      </c>
      <c r="I1272" s="31" t="s">
        <v>50</v>
      </c>
      <c r="J1272" s="21" t="s">
        <v>1176</v>
      </c>
      <c r="K1272" s="21" t="s">
        <v>1752</v>
      </c>
      <c r="L1272" s="21" t="s">
        <v>3200</v>
      </c>
      <c r="M1272" s="21" t="s">
        <v>1179</v>
      </c>
      <c r="N1272" s="21" t="s">
        <v>965</v>
      </c>
      <c r="O1272" s="21" t="s">
        <v>2288</v>
      </c>
      <c r="P1272" s="21" t="s">
        <v>2129</v>
      </c>
      <c r="R1272" s="0" t="n">
        <v>4</v>
      </c>
      <c r="S1272" s="0" t="n">
        <v>2026</v>
      </c>
    </row>
    <row r="1273" customFormat="false" ht="14.25" hidden="false" customHeight="false" outlineLevel="0" collapsed="false">
      <c r="A1273" s="17" t="n">
        <v>46139</v>
      </c>
      <c r="B1273" s="21" t="s">
        <v>3315</v>
      </c>
      <c r="C1273" s="22" t="n">
        <v>394</v>
      </c>
      <c r="D1273" s="31" t="s">
        <v>390</v>
      </c>
      <c r="E1273" s="21" t="s">
        <v>3315</v>
      </c>
      <c r="F1273" s="19" t="n">
        <v>554196698636</v>
      </c>
      <c r="G1273" s="31" t="s">
        <v>3316</v>
      </c>
      <c r="H1273" s="21" t="s">
        <v>94</v>
      </c>
      <c r="I1273" s="31" t="s">
        <v>355</v>
      </c>
      <c r="N1273" s="21" t="s">
        <v>965</v>
      </c>
      <c r="O1273" s="21" t="s">
        <v>2159</v>
      </c>
      <c r="P1273" s="21" t="s">
        <v>2089</v>
      </c>
      <c r="R1273" s="0" t="n">
        <v>4</v>
      </c>
      <c r="S1273" s="0" t="n">
        <v>2026</v>
      </c>
    </row>
    <row r="1274" customFormat="false" ht="14.25" hidden="false" customHeight="false" outlineLevel="0" collapsed="false">
      <c r="A1274" s="17" t="n">
        <v>46139</v>
      </c>
      <c r="B1274" s="21" t="s">
        <v>3318</v>
      </c>
      <c r="C1274" s="22" t="n">
        <v>150</v>
      </c>
      <c r="D1274" s="31" t="s">
        <v>24</v>
      </c>
      <c r="E1274" s="21" t="s">
        <v>3318</v>
      </c>
      <c r="F1274" s="19" t="n">
        <v>554796953769</v>
      </c>
      <c r="G1274" s="31" t="s">
        <v>3319</v>
      </c>
      <c r="H1274" s="21" t="s">
        <v>1304</v>
      </c>
      <c r="I1274" s="31" t="s">
        <v>34</v>
      </c>
      <c r="N1274" s="21" t="s">
        <v>965</v>
      </c>
      <c r="O1274" s="21" t="s">
        <v>2128</v>
      </c>
      <c r="P1274" s="21" t="s">
        <v>2129</v>
      </c>
      <c r="R1274" s="0" t="n">
        <v>4</v>
      </c>
      <c r="S1274" s="0" t="n">
        <v>2026</v>
      </c>
    </row>
    <row r="1275" customFormat="false" ht="14.25" hidden="false" customHeight="false" outlineLevel="0" collapsed="false">
      <c r="A1275" s="17" t="n">
        <v>46139</v>
      </c>
      <c r="B1275" s="21" t="s">
        <v>3321</v>
      </c>
      <c r="C1275" s="22" t="n">
        <v>120</v>
      </c>
      <c r="D1275" s="31" t="s">
        <v>30</v>
      </c>
      <c r="E1275" s="21" t="s">
        <v>3321</v>
      </c>
      <c r="F1275" s="19" t="n">
        <v>555197095550</v>
      </c>
      <c r="G1275" s="31" t="s">
        <v>3322</v>
      </c>
      <c r="H1275" s="21" t="s">
        <v>94</v>
      </c>
      <c r="I1275" s="31" t="s">
        <v>50</v>
      </c>
      <c r="N1275" s="21" t="s">
        <v>965</v>
      </c>
      <c r="O1275" s="21" t="s">
        <v>2107</v>
      </c>
      <c r="P1275" s="21" t="s">
        <v>2121</v>
      </c>
      <c r="R1275" s="0" t="n">
        <v>4</v>
      </c>
      <c r="S1275" s="0" t="n">
        <v>2026</v>
      </c>
    </row>
    <row r="1276" customFormat="false" ht="14.25" hidden="false" customHeight="false" outlineLevel="0" collapsed="false">
      <c r="A1276" s="17" t="n">
        <v>46139</v>
      </c>
      <c r="B1276" s="21" t="s">
        <v>3324</v>
      </c>
      <c r="C1276" s="22" t="n">
        <v>600</v>
      </c>
      <c r="D1276" s="31" t="s">
        <v>106</v>
      </c>
      <c r="E1276" s="21" t="s">
        <v>3324</v>
      </c>
      <c r="F1276" s="19" t="n">
        <v>554991718851</v>
      </c>
      <c r="G1276" s="31" t="s">
        <v>3325</v>
      </c>
      <c r="H1276" s="21" t="s">
        <v>94</v>
      </c>
      <c r="I1276" s="31" t="s">
        <v>355</v>
      </c>
      <c r="J1276" s="21" t="s">
        <v>908</v>
      </c>
      <c r="N1276" s="21" t="s">
        <v>965</v>
      </c>
      <c r="O1276" s="21" t="s">
        <v>2107</v>
      </c>
      <c r="P1276" s="21" t="s">
        <v>862</v>
      </c>
      <c r="R1276" s="0" t="n">
        <v>4</v>
      </c>
      <c r="S1276" s="0" t="n">
        <v>2026</v>
      </c>
    </row>
    <row r="1277" customFormat="false" ht="14.25" hidden="false" customHeight="false" outlineLevel="0" collapsed="false">
      <c r="A1277" s="17" t="n">
        <v>46139</v>
      </c>
      <c r="B1277" s="21" t="s">
        <v>43</v>
      </c>
      <c r="C1277" s="22" t="n">
        <v>-1</v>
      </c>
      <c r="D1277" s="31" t="s">
        <v>390</v>
      </c>
      <c r="E1277" s="21" t="s">
        <v>3327</v>
      </c>
      <c r="F1277" s="19" t="n">
        <v>559584202265</v>
      </c>
      <c r="G1277" s="31" t="s">
        <v>3328</v>
      </c>
      <c r="H1277" s="21" t="s">
        <v>94</v>
      </c>
      <c r="I1277" s="31" t="s">
        <v>54</v>
      </c>
      <c r="N1277" s="21" t="s">
        <v>1022</v>
      </c>
      <c r="O1277" s="21" t="s">
        <v>2159</v>
      </c>
      <c r="P1277" s="21" t="s">
        <v>2089</v>
      </c>
      <c r="R1277" s="0" t="n">
        <v>4</v>
      </c>
      <c r="S1277" s="0" t="n">
        <v>2026</v>
      </c>
    </row>
    <row r="1278" customFormat="false" ht="14.25" hidden="false" customHeight="false" outlineLevel="0" collapsed="false">
      <c r="A1278" s="17" t="n">
        <v>46139</v>
      </c>
      <c r="B1278" s="21" t="s">
        <v>3330</v>
      </c>
      <c r="C1278" s="22" t="n">
        <v>500</v>
      </c>
      <c r="D1278" s="31" t="s">
        <v>27</v>
      </c>
      <c r="E1278" s="21" t="s">
        <v>3330</v>
      </c>
      <c r="F1278" s="19" t="n">
        <v>559591384506</v>
      </c>
      <c r="G1278" s="31" t="s">
        <v>3331</v>
      </c>
      <c r="H1278" s="21" t="s">
        <v>94</v>
      </c>
      <c r="I1278" s="31" t="s">
        <v>34</v>
      </c>
      <c r="N1278" s="21" t="s">
        <v>965</v>
      </c>
      <c r="O1278" s="21" t="s">
        <v>2867</v>
      </c>
      <c r="P1278" s="21" t="s">
        <v>2129</v>
      </c>
      <c r="R1278" s="0" t="n">
        <v>4</v>
      </c>
      <c r="S1278" s="0" t="n">
        <v>2026</v>
      </c>
    </row>
    <row r="1279" customFormat="false" ht="14.25" hidden="false" customHeight="false" outlineLevel="0" collapsed="false">
      <c r="A1279" s="17" t="n">
        <v>46139</v>
      </c>
      <c r="B1279" s="21" t="s">
        <v>3330</v>
      </c>
      <c r="C1279" s="22" t="n">
        <v>750</v>
      </c>
      <c r="D1279" s="31" t="s">
        <v>24</v>
      </c>
      <c r="E1279" s="21" t="s">
        <v>3330</v>
      </c>
      <c r="F1279" s="19" t="n">
        <v>559591384506</v>
      </c>
      <c r="G1279" s="31" t="s">
        <v>3331</v>
      </c>
      <c r="H1279" s="21" t="s">
        <v>94</v>
      </c>
      <c r="I1279" s="31" t="s">
        <v>34</v>
      </c>
      <c r="N1279" s="21" t="s">
        <v>965</v>
      </c>
      <c r="O1279" s="21" t="s">
        <v>2867</v>
      </c>
      <c r="P1279" s="21" t="s">
        <v>2129</v>
      </c>
      <c r="R1279" s="0" t="n">
        <v>4</v>
      </c>
      <c r="S1279" s="0" t="n">
        <v>2026</v>
      </c>
    </row>
    <row r="1280" customFormat="false" ht="14.25" hidden="false" customHeight="false" outlineLevel="0" collapsed="false">
      <c r="A1280" s="17" t="n">
        <v>46139</v>
      </c>
      <c r="B1280" s="21" t="s">
        <v>3334</v>
      </c>
      <c r="C1280" s="22" t="n">
        <v>147</v>
      </c>
      <c r="D1280" s="31" t="s">
        <v>21</v>
      </c>
      <c r="E1280" s="21" t="s">
        <v>3335</v>
      </c>
      <c r="F1280" s="19" t="n">
        <v>554796725733</v>
      </c>
      <c r="G1280" s="31" t="s">
        <v>3336</v>
      </c>
      <c r="H1280" s="21" t="s">
        <v>94</v>
      </c>
      <c r="I1280" s="31" t="s">
        <v>54</v>
      </c>
      <c r="N1280" s="21" t="s">
        <v>1022</v>
      </c>
      <c r="O1280" s="21" t="s">
        <v>2288</v>
      </c>
      <c r="P1280" s="21" t="s">
        <v>2129</v>
      </c>
      <c r="R1280" s="0" t="n">
        <v>4</v>
      </c>
      <c r="S1280" s="0" t="n">
        <v>2026</v>
      </c>
    </row>
    <row r="1281" customFormat="false" ht="14.25" hidden="false" customHeight="false" outlineLevel="0" collapsed="false">
      <c r="A1281" s="17" t="n">
        <v>46139</v>
      </c>
      <c r="B1281" s="21" t="s">
        <v>3334</v>
      </c>
      <c r="C1281" s="22" t="n">
        <v>97</v>
      </c>
      <c r="D1281" s="31" t="s">
        <v>16</v>
      </c>
      <c r="E1281" s="21" t="s">
        <v>3335</v>
      </c>
      <c r="F1281" s="19" t="n">
        <v>554796725733</v>
      </c>
      <c r="G1281" s="31" t="s">
        <v>3336</v>
      </c>
      <c r="H1281" s="21" t="s">
        <v>94</v>
      </c>
      <c r="I1281" s="31" t="s">
        <v>54</v>
      </c>
      <c r="N1281" s="21" t="s">
        <v>1022</v>
      </c>
      <c r="O1281" s="21" t="s">
        <v>2288</v>
      </c>
      <c r="P1281" s="21" t="s">
        <v>2129</v>
      </c>
      <c r="R1281" s="0" t="n">
        <v>4</v>
      </c>
      <c r="S1281" s="0" t="n">
        <v>2026</v>
      </c>
    </row>
    <row r="1282" customFormat="false" ht="14.25" hidden="false" customHeight="false" outlineLevel="0" collapsed="false">
      <c r="A1282" s="17" t="n">
        <v>46139</v>
      </c>
      <c r="B1282" s="21" t="s">
        <v>328</v>
      </c>
      <c r="C1282" s="22" t="n">
        <v>90</v>
      </c>
      <c r="D1282" s="31" t="s">
        <v>16</v>
      </c>
      <c r="E1282" s="21" t="s">
        <v>3339</v>
      </c>
      <c r="F1282" s="19" t="n">
        <v>559599773288</v>
      </c>
      <c r="G1282" s="31" t="s">
        <v>329</v>
      </c>
      <c r="H1282" s="21" t="s">
        <v>94</v>
      </c>
      <c r="I1282" s="31" t="s">
        <v>54</v>
      </c>
      <c r="N1282" s="21" t="s">
        <v>1022</v>
      </c>
      <c r="O1282" s="21" t="s">
        <v>2159</v>
      </c>
      <c r="P1282" s="21" t="s">
        <v>2089</v>
      </c>
      <c r="R1282" s="0" t="n">
        <v>4</v>
      </c>
      <c r="S1282" s="0" t="n">
        <v>2026</v>
      </c>
    </row>
    <row r="1283" customFormat="false" ht="14.25" hidden="false" customHeight="false" outlineLevel="0" collapsed="false">
      <c r="A1283" s="17" t="n">
        <v>46138</v>
      </c>
      <c r="B1283" s="21" t="s">
        <v>3341</v>
      </c>
      <c r="C1283" s="22" t="n">
        <v>147</v>
      </c>
      <c r="D1283" s="31" t="s">
        <v>22</v>
      </c>
      <c r="E1283" s="21" t="s">
        <v>3342</v>
      </c>
      <c r="F1283" s="19" t="n">
        <v>59172330170</v>
      </c>
      <c r="G1283" s="31" t="s">
        <v>3343</v>
      </c>
      <c r="H1283" s="21" t="s">
        <v>94</v>
      </c>
      <c r="I1283" s="31" t="s">
        <v>34</v>
      </c>
      <c r="N1283" s="21" t="s">
        <v>965</v>
      </c>
      <c r="O1283" s="21" t="s">
        <v>2159</v>
      </c>
      <c r="P1283" s="21" t="s">
        <v>2089</v>
      </c>
      <c r="R1283" s="0" t="n">
        <v>4</v>
      </c>
      <c r="S1283" s="0" t="n">
        <v>2026</v>
      </c>
    </row>
    <row r="1284" customFormat="false" ht="14.25" hidden="false" customHeight="false" outlineLevel="0" collapsed="false">
      <c r="A1284" s="17" t="n">
        <v>46138</v>
      </c>
      <c r="B1284" s="21" t="s">
        <v>3345</v>
      </c>
      <c r="C1284" s="22" t="n">
        <v>950</v>
      </c>
      <c r="D1284" s="31" t="s">
        <v>30</v>
      </c>
      <c r="E1284" s="21" t="s">
        <v>3345</v>
      </c>
      <c r="F1284" s="19" t="n">
        <v>5511925345059</v>
      </c>
      <c r="G1284" s="31" t="s">
        <v>3346</v>
      </c>
      <c r="H1284" s="21" t="s">
        <v>94</v>
      </c>
      <c r="I1284" s="31" t="s">
        <v>34</v>
      </c>
      <c r="N1284" s="21" t="s">
        <v>965</v>
      </c>
      <c r="O1284" s="21" t="s">
        <v>2276</v>
      </c>
      <c r="P1284" s="21" t="s">
        <v>2135</v>
      </c>
      <c r="R1284" s="0" t="n">
        <v>4</v>
      </c>
      <c r="S1284" s="0" t="n">
        <v>2026</v>
      </c>
    </row>
    <row r="1285" customFormat="false" ht="14.25" hidden="false" customHeight="false" outlineLevel="0" collapsed="false">
      <c r="A1285" s="17" t="n">
        <v>46140</v>
      </c>
      <c r="B1285" s="21" t="s">
        <v>3348</v>
      </c>
      <c r="C1285" s="22" t="n">
        <v>150</v>
      </c>
      <c r="D1285" s="31" t="s">
        <v>32</v>
      </c>
      <c r="E1285" s="21" t="s">
        <v>3348</v>
      </c>
      <c r="F1285" s="19" t="n">
        <v>5519981160412</v>
      </c>
      <c r="G1285" s="31" t="s">
        <v>3349</v>
      </c>
      <c r="H1285" s="21" t="s">
        <v>94</v>
      </c>
      <c r="I1285" s="31" t="s">
        <v>34</v>
      </c>
      <c r="N1285" s="21" t="s">
        <v>965</v>
      </c>
      <c r="O1285" s="21" t="s">
        <v>2107</v>
      </c>
      <c r="P1285" s="21" t="s">
        <v>2135</v>
      </c>
      <c r="R1285" s="0" t="n">
        <v>4</v>
      </c>
      <c r="S1285" s="0" t="n">
        <v>2026</v>
      </c>
    </row>
    <row r="1286" customFormat="false" ht="14.25" hidden="false" customHeight="false" outlineLevel="0" collapsed="false">
      <c r="A1286" s="17" t="n">
        <v>46140</v>
      </c>
      <c r="B1286" s="21" t="s">
        <v>2462</v>
      </c>
      <c r="C1286" s="22" t="n">
        <v>150</v>
      </c>
      <c r="D1286" s="31" t="s">
        <v>32</v>
      </c>
      <c r="E1286" s="21" t="s">
        <v>2462</v>
      </c>
      <c r="F1286" s="19" t="n">
        <v>556599813011</v>
      </c>
      <c r="G1286" s="31" t="s">
        <v>2463</v>
      </c>
      <c r="H1286" s="21" t="s">
        <v>94</v>
      </c>
      <c r="I1286" s="31" t="s">
        <v>54</v>
      </c>
      <c r="N1286" s="21" t="s">
        <v>1022</v>
      </c>
      <c r="O1286" s="21" t="s">
        <v>2107</v>
      </c>
      <c r="P1286" s="21" t="s">
        <v>2320</v>
      </c>
      <c r="R1286" s="0" t="n">
        <v>4</v>
      </c>
      <c r="S1286" s="0" t="n">
        <v>2026</v>
      </c>
    </row>
    <row r="1287" customFormat="false" ht="14.25" hidden="false" customHeight="false" outlineLevel="0" collapsed="false">
      <c r="A1287" s="17" t="n">
        <v>46140</v>
      </c>
      <c r="B1287" s="21" t="s">
        <v>3352</v>
      </c>
      <c r="C1287" s="22" t="n">
        <v>150</v>
      </c>
      <c r="D1287" s="31" t="s">
        <v>32</v>
      </c>
      <c r="E1287" s="21" t="s">
        <v>3352</v>
      </c>
      <c r="F1287" s="19" t="n">
        <v>554196250915</v>
      </c>
      <c r="G1287" s="31" t="s">
        <v>43</v>
      </c>
      <c r="H1287" s="21" t="s">
        <v>94</v>
      </c>
      <c r="I1287" s="31" t="s">
        <v>50</v>
      </c>
      <c r="N1287" s="21" t="s">
        <v>965</v>
      </c>
      <c r="O1287" s="21" t="s">
        <v>2088</v>
      </c>
      <c r="P1287" s="21" t="s">
        <v>2089</v>
      </c>
      <c r="R1287" s="0" t="n">
        <v>4</v>
      </c>
      <c r="S1287" s="0" t="n">
        <v>2026</v>
      </c>
    </row>
    <row r="1288" customFormat="false" ht="14.25" hidden="false" customHeight="false" outlineLevel="0" collapsed="false">
      <c r="A1288" s="17" t="n">
        <v>46139</v>
      </c>
      <c r="B1288" s="21" t="s">
        <v>3354</v>
      </c>
      <c r="C1288" s="22" t="n">
        <v>110</v>
      </c>
      <c r="D1288" s="31" t="s">
        <v>21</v>
      </c>
      <c r="E1288" s="21" t="s">
        <v>3354</v>
      </c>
      <c r="F1288" s="19" t="n">
        <v>554899027196</v>
      </c>
      <c r="G1288" s="31" t="s">
        <v>3355</v>
      </c>
      <c r="H1288" s="21" t="s">
        <v>94</v>
      </c>
      <c r="I1288" s="31" t="s">
        <v>50</v>
      </c>
      <c r="N1288" s="21" t="s">
        <v>965</v>
      </c>
      <c r="O1288" s="21" t="s">
        <v>2261</v>
      </c>
      <c r="P1288" s="21" t="s">
        <v>2129</v>
      </c>
      <c r="R1288" s="0" t="n">
        <v>4</v>
      </c>
      <c r="S1288" s="0" t="n">
        <v>2026</v>
      </c>
    </row>
    <row r="1289" customFormat="false" ht="14.25" hidden="false" customHeight="false" outlineLevel="0" collapsed="false">
      <c r="A1289" s="17" t="n">
        <v>46140</v>
      </c>
      <c r="B1289" s="21" t="s">
        <v>43</v>
      </c>
      <c r="C1289" s="22" t="n">
        <v>-1</v>
      </c>
      <c r="D1289" s="31" t="s">
        <v>16</v>
      </c>
      <c r="E1289" s="21" t="s">
        <v>2870</v>
      </c>
      <c r="F1289" s="19" t="n">
        <v>554792542707</v>
      </c>
      <c r="G1289" s="31" t="s">
        <v>2871</v>
      </c>
      <c r="H1289" s="21" t="s">
        <v>94</v>
      </c>
      <c r="I1289" s="31" t="s">
        <v>54</v>
      </c>
      <c r="N1289" s="21" t="s">
        <v>1022</v>
      </c>
      <c r="O1289" s="21" t="s">
        <v>2236</v>
      </c>
      <c r="P1289" s="21" t="s">
        <v>2129</v>
      </c>
      <c r="R1289" s="0" t="n">
        <v>4</v>
      </c>
      <c r="S1289" s="0" t="n">
        <v>2026</v>
      </c>
    </row>
    <row r="1290" customFormat="false" ht="14.25" hidden="false" customHeight="false" outlineLevel="0" collapsed="false">
      <c r="A1290" s="17" t="n">
        <v>46140</v>
      </c>
      <c r="B1290" s="21" t="s">
        <v>3358</v>
      </c>
      <c r="C1290" s="22" t="n">
        <v>120</v>
      </c>
      <c r="D1290" s="31" t="s">
        <v>30</v>
      </c>
      <c r="E1290" s="21" t="s">
        <v>3359</v>
      </c>
      <c r="F1290" s="19" t="n">
        <v>559285842268</v>
      </c>
      <c r="G1290" s="31" t="s">
        <v>3360</v>
      </c>
      <c r="H1290" s="21" t="s">
        <v>94</v>
      </c>
      <c r="I1290" s="31" t="s">
        <v>50</v>
      </c>
      <c r="N1290" s="21" t="s">
        <v>965</v>
      </c>
      <c r="O1290" s="21" t="s">
        <v>3361</v>
      </c>
      <c r="P1290" s="21" t="s">
        <v>2428</v>
      </c>
      <c r="R1290" s="0" t="n">
        <v>4</v>
      </c>
      <c r="S1290" s="0" t="n">
        <v>2026</v>
      </c>
    </row>
    <row r="1291" customFormat="false" ht="14.25" hidden="false" customHeight="false" outlineLevel="0" collapsed="false">
      <c r="A1291" s="17" t="n">
        <v>46140</v>
      </c>
      <c r="B1291" s="21" t="s">
        <v>3363</v>
      </c>
      <c r="C1291" s="22" t="n">
        <v>400</v>
      </c>
      <c r="D1291" s="31" t="s">
        <v>24</v>
      </c>
      <c r="E1291" s="21" t="s">
        <v>495</v>
      </c>
      <c r="F1291" s="19" t="n">
        <v>553799589574</v>
      </c>
      <c r="G1291" s="31" t="s">
        <v>496</v>
      </c>
      <c r="H1291" s="21" t="s">
        <v>94</v>
      </c>
      <c r="I1291" s="31" t="s">
        <v>54</v>
      </c>
      <c r="N1291" s="21" t="s">
        <v>1022</v>
      </c>
      <c r="O1291" s="21" t="s">
        <v>2763</v>
      </c>
      <c r="P1291" s="21" t="s">
        <v>2245</v>
      </c>
      <c r="R1291" s="0" t="n">
        <v>4</v>
      </c>
      <c r="S1291" s="0" t="n">
        <v>2026</v>
      </c>
    </row>
    <row r="1292" customFormat="false" ht="14.25" hidden="false" customHeight="false" outlineLevel="0" collapsed="false">
      <c r="A1292" s="17" t="n">
        <v>46140</v>
      </c>
      <c r="B1292" s="21" t="s">
        <v>3365</v>
      </c>
      <c r="C1292" s="22" t="n">
        <v>150</v>
      </c>
      <c r="D1292" s="31" t="s">
        <v>32</v>
      </c>
      <c r="E1292" s="21" t="s">
        <v>3365</v>
      </c>
      <c r="F1292" s="19" t="n">
        <v>555496939511</v>
      </c>
      <c r="G1292" s="31" t="s">
        <v>3366</v>
      </c>
      <c r="H1292" s="21" t="s">
        <v>94</v>
      </c>
      <c r="I1292" s="31" t="s">
        <v>355</v>
      </c>
      <c r="J1292" s="21" t="s">
        <v>1176</v>
      </c>
      <c r="K1292" s="21" t="s">
        <v>1177</v>
      </c>
      <c r="L1292" s="21" t="s">
        <v>1324</v>
      </c>
      <c r="M1292" s="21" t="s">
        <v>1243</v>
      </c>
      <c r="N1292" s="21" t="s">
        <v>965</v>
      </c>
      <c r="O1292" s="21" t="s">
        <v>2107</v>
      </c>
      <c r="P1292" s="21" t="s">
        <v>862</v>
      </c>
      <c r="R1292" s="0" t="n">
        <v>4</v>
      </c>
      <c r="S1292" s="0" t="n">
        <v>2026</v>
      </c>
    </row>
    <row r="1293" customFormat="false" ht="14.25" hidden="false" customHeight="false" outlineLevel="0" collapsed="false">
      <c r="A1293" s="17" t="n">
        <v>46140</v>
      </c>
      <c r="B1293" s="21" t="s">
        <v>1184</v>
      </c>
      <c r="C1293" s="22" t="n">
        <v>300</v>
      </c>
      <c r="D1293" s="31" t="s">
        <v>24</v>
      </c>
      <c r="E1293" s="21" t="s">
        <v>1184</v>
      </c>
      <c r="F1293" s="19" t="n">
        <v>554184014887</v>
      </c>
      <c r="G1293" s="31" t="s">
        <v>1185</v>
      </c>
      <c r="H1293" s="21" t="s">
        <v>94</v>
      </c>
      <c r="I1293" s="31" t="s">
        <v>54</v>
      </c>
      <c r="N1293" s="21" t="s">
        <v>1022</v>
      </c>
      <c r="O1293" s="21" t="s">
        <v>2159</v>
      </c>
      <c r="P1293" s="21" t="s">
        <v>2089</v>
      </c>
      <c r="R1293" s="0" t="n">
        <v>4</v>
      </c>
      <c r="S1293" s="0" t="n">
        <v>2026</v>
      </c>
    </row>
    <row r="1294" customFormat="false" ht="14.25" hidden="false" customHeight="false" outlineLevel="0" collapsed="false">
      <c r="A1294" s="17" t="n">
        <v>46141</v>
      </c>
      <c r="B1294" s="21" t="s">
        <v>3369</v>
      </c>
      <c r="C1294" s="22" t="n">
        <v>120</v>
      </c>
      <c r="D1294" s="31" t="s">
        <v>23</v>
      </c>
      <c r="E1294" s="21" t="s">
        <v>3369</v>
      </c>
      <c r="F1294" s="19" t="n">
        <v>554197344383</v>
      </c>
      <c r="G1294" s="31" t="s">
        <v>3370</v>
      </c>
      <c r="H1294" s="21" t="s">
        <v>94</v>
      </c>
      <c r="I1294" s="31" t="s">
        <v>355</v>
      </c>
      <c r="N1294" s="21" t="s">
        <v>965</v>
      </c>
      <c r="O1294" s="21" t="s">
        <v>2088</v>
      </c>
      <c r="P1294" s="21" t="s">
        <v>2089</v>
      </c>
      <c r="R1294" s="0" t="n">
        <v>4</v>
      </c>
      <c r="S1294" s="0" t="n">
        <v>2026</v>
      </c>
    </row>
    <row r="1295" customFormat="false" ht="14.25" hidden="false" customHeight="false" outlineLevel="0" collapsed="false">
      <c r="A1295" s="17" t="n">
        <v>46141</v>
      </c>
      <c r="B1295" s="21" t="s">
        <v>3372</v>
      </c>
      <c r="C1295" s="22" t="n">
        <v>294</v>
      </c>
      <c r="D1295" s="31" t="s">
        <v>22</v>
      </c>
      <c r="E1295" s="21" t="s">
        <v>3373</v>
      </c>
      <c r="F1295" s="19" t="n">
        <v>559584408113</v>
      </c>
      <c r="G1295" s="31" t="s">
        <v>3374</v>
      </c>
      <c r="H1295" s="21" t="s">
        <v>94</v>
      </c>
      <c r="I1295" s="31" t="s">
        <v>355</v>
      </c>
      <c r="J1295" s="21" t="s">
        <v>97</v>
      </c>
      <c r="K1295" s="21" t="s">
        <v>20</v>
      </c>
      <c r="L1295" s="21" t="s">
        <v>469</v>
      </c>
      <c r="M1295" s="21" t="s">
        <v>99</v>
      </c>
      <c r="N1295" s="21" t="s">
        <v>965</v>
      </c>
      <c r="O1295" s="21" t="s">
        <v>2128</v>
      </c>
      <c r="P1295" s="21" t="s">
        <v>2129</v>
      </c>
      <c r="R1295" s="0" t="n">
        <v>4</v>
      </c>
      <c r="S1295" s="0" t="n">
        <v>2026</v>
      </c>
    </row>
    <row r="1296" customFormat="false" ht="14.25" hidden="false" customHeight="false" outlineLevel="0" collapsed="false">
      <c r="A1296" s="17" t="n">
        <v>46141</v>
      </c>
      <c r="B1296" s="21" t="s">
        <v>3372</v>
      </c>
      <c r="C1296" s="22" t="n">
        <v>240</v>
      </c>
      <c r="D1296" s="31" t="s">
        <v>30</v>
      </c>
      <c r="E1296" s="21" t="s">
        <v>3373</v>
      </c>
      <c r="F1296" s="19" t="n">
        <v>559584408113</v>
      </c>
      <c r="G1296" s="31" t="s">
        <v>3374</v>
      </c>
      <c r="H1296" s="21" t="s">
        <v>94</v>
      </c>
      <c r="I1296" s="31" t="s">
        <v>355</v>
      </c>
      <c r="N1296" s="21" t="s">
        <v>965</v>
      </c>
      <c r="O1296" s="21" t="s">
        <v>2128</v>
      </c>
      <c r="P1296" s="21" t="s">
        <v>2129</v>
      </c>
      <c r="R1296" s="0" t="n">
        <v>4</v>
      </c>
      <c r="S1296" s="0" t="n">
        <v>2026</v>
      </c>
    </row>
    <row r="1297" customFormat="false" ht="14.25" hidden="false" customHeight="false" outlineLevel="0" collapsed="false">
      <c r="A1297" s="17" t="n">
        <v>46141</v>
      </c>
      <c r="B1297" s="21" t="s">
        <v>3377</v>
      </c>
      <c r="C1297" s="22" t="n">
        <v>394</v>
      </c>
      <c r="D1297" s="31" t="s">
        <v>390</v>
      </c>
      <c r="E1297" s="21" t="s">
        <v>3377</v>
      </c>
      <c r="F1297" s="19" t="n">
        <v>559985281722</v>
      </c>
      <c r="G1297" s="31" t="s">
        <v>3378</v>
      </c>
      <c r="H1297" s="21" t="s">
        <v>94</v>
      </c>
      <c r="I1297" s="31" t="s">
        <v>355</v>
      </c>
      <c r="N1297" s="21" t="s">
        <v>965</v>
      </c>
      <c r="O1297" s="21" t="s">
        <v>3379</v>
      </c>
      <c r="P1297" s="21" t="s">
        <v>3236</v>
      </c>
      <c r="R1297" s="0" t="n">
        <v>4</v>
      </c>
      <c r="S1297" s="0" t="n">
        <v>2026</v>
      </c>
    </row>
    <row r="1298" customFormat="false" ht="14.25" hidden="false" customHeight="false" outlineLevel="0" collapsed="false">
      <c r="A1298" s="17" t="n">
        <v>46141</v>
      </c>
      <c r="B1298" s="21" t="s">
        <v>3381</v>
      </c>
      <c r="C1298" s="22" t="n">
        <v>150</v>
      </c>
      <c r="D1298" s="31" t="s">
        <v>32</v>
      </c>
      <c r="E1298" s="21" t="s">
        <v>3382</v>
      </c>
      <c r="F1298" s="19" t="n">
        <v>5547997462797</v>
      </c>
      <c r="G1298" s="31" t="s">
        <v>3383</v>
      </c>
      <c r="H1298" s="21" t="s">
        <v>94</v>
      </c>
      <c r="I1298" s="31" t="s">
        <v>34</v>
      </c>
      <c r="N1298" s="21" t="s">
        <v>965</v>
      </c>
      <c r="O1298" s="21" t="s">
        <v>3384</v>
      </c>
      <c r="P1298" s="21" t="s">
        <v>2129</v>
      </c>
      <c r="R1298" s="0" t="n">
        <v>4</v>
      </c>
      <c r="S1298" s="0" t="n">
        <v>2026</v>
      </c>
    </row>
    <row r="1299" customFormat="false" ht="14.25" hidden="false" customHeight="false" outlineLevel="0" collapsed="false">
      <c r="A1299" s="17" t="n">
        <v>46141</v>
      </c>
      <c r="B1299" s="21" t="s">
        <v>3386</v>
      </c>
      <c r="C1299" s="22" t="n">
        <v>147</v>
      </c>
      <c r="D1299" s="31" t="s">
        <v>21</v>
      </c>
      <c r="E1299" s="21" t="s">
        <v>3386</v>
      </c>
      <c r="F1299" s="19" t="n">
        <v>554796179219</v>
      </c>
      <c r="G1299" s="31" t="s">
        <v>3387</v>
      </c>
      <c r="H1299" s="21" t="s">
        <v>94</v>
      </c>
      <c r="I1299" s="31" t="s">
        <v>34</v>
      </c>
      <c r="N1299" s="21" t="s">
        <v>965</v>
      </c>
      <c r="O1299" s="21" t="s">
        <v>2236</v>
      </c>
      <c r="P1299" s="21" t="s">
        <v>2129</v>
      </c>
      <c r="R1299" s="0" t="n">
        <v>4</v>
      </c>
      <c r="S1299" s="0" t="n">
        <v>2026</v>
      </c>
    </row>
    <row r="1300" customFormat="false" ht="14.25" hidden="false" customHeight="false" outlineLevel="0" collapsed="false">
      <c r="A1300" s="17" t="n">
        <v>46141</v>
      </c>
      <c r="B1300" s="21" t="s">
        <v>3389</v>
      </c>
      <c r="C1300" s="22" t="n">
        <v>150</v>
      </c>
      <c r="D1300" s="31" t="s">
        <v>32</v>
      </c>
      <c r="E1300" s="21" t="s">
        <v>3389</v>
      </c>
      <c r="F1300" s="19" t="n">
        <v>554184767483</v>
      </c>
      <c r="G1300" s="31" t="s">
        <v>43</v>
      </c>
      <c r="H1300" s="21" t="s">
        <v>94</v>
      </c>
      <c r="I1300" s="31" t="s">
        <v>50</v>
      </c>
      <c r="N1300" s="21" t="s">
        <v>965</v>
      </c>
      <c r="O1300" s="21" t="s">
        <v>2107</v>
      </c>
      <c r="P1300" s="21" t="s">
        <v>862</v>
      </c>
      <c r="R1300" s="0" t="n">
        <v>4</v>
      </c>
      <c r="S1300" s="0" t="n">
        <v>2026</v>
      </c>
    </row>
    <row r="1301" customFormat="false" ht="14.25" hidden="false" customHeight="false" outlineLevel="0" collapsed="false">
      <c r="A1301" s="17" t="n">
        <v>46141</v>
      </c>
      <c r="B1301" s="21" t="s">
        <v>3391</v>
      </c>
      <c r="C1301" s="22" t="n">
        <v>240</v>
      </c>
      <c r="D1301" s="31" t="s">
        <v>30</v>
      </c>
      <c r="E1301" s="21" t="s">
        <v>3391</v>
      </c>
      <c r="F1301" s="19" t="n">
        <v>5511939074534</v>
      </c>
      <c r="G1301" s="31" t="s">
        <v>3392</v>
      </c>
      <c r="H1301" s="21" t="s">
        <v>94</v>
      </c>
      <c r="I1301" s="31" t="s">
        <v>355</v>
      </c>
      <c r="J1301" s="21" t="s">
        <v>1176</v>
      </c>
      <c r="K1301" s="21" t="s">
        <v>1897</v>
      </c>
      <c r="L1301" s="21" t="s">
        <v>2447</v>
      </c>
      <c r="M1301" s="21" t="s">
        <v>1179</v>
      </c>
      <c r="N1301" s="21" t="s">
        <v>965</v>
      </c>
      <c r="O1301" s="21" t="s">
        <v>2135</v>
      </c>
      <c r="P1301" s="21" t="s">
        <v>2135</v>
      </c>
      <c r="R1301" s="0" t="n">
        <v>4</v>
      </c>
      <c r="S1301" s="0" t="n">
        <v>2026</v>
      </c>
    </row>
    <row r="1302" customFormat="false" ht="14.25" hidden="false" customHeight="false" outlineLevel="0" collapsed="false">
      <c r="A1302" s="17" t="n">
        <v>46141</v>
      </c>
      <c r="B1302" s="21" t="s">
        <v>3394</v>
      </c>
      <c r="C1302" s="22" t="n">
        <v>120</v>
      </c>
      <c r="D1302" s="31" t="s">
        <v>30</v>
      </c>
      <c r="E1302" s="21" t="s">
        <v>3394</v>
      </c>
      <c r="F1302" s="19" t="n">
        <v>5511978322734</v>
      </c>
      <c r="G1302" s="31" t="s">
        <v>43</v>
      </c>
      <c r="H1302" s="21" t="s">
        <v>94</v>
      </c>
      <c r="I1302" s="31" t="s">
        <v>50</v>
      </c>
      <c r="J1302" s="21" t="s">
        <v>35</v>
      </c>
      <c r="K1302" s="21" t="s">
        <v>36</v>
      </c>
      <c r="L1302" s="21" t="s">
        <v>37</v>
      </c>
      <c r="M1302" s="21" t="s">
        <v>38</v>
      </c>
      <c r="N1302" s="21" t="s">
        <v>965</v>
      </c>
      <c r="O1302" s="21" t="s">
        <v>2135</v>
      </c>
      <c r="P1302" s="21" t="s">
        <v>2135</v>
      </c>
      <c r="R1302" s="0" t="n">
        <v>4</v>
      </c>
      <c r="S1302" s="0" t="n">
        <v>2026</v>
      </c>
    </row>
    <row r="1303" customFormat="false" ht="14.25" hidden="false" customHeight="false" outlineLevel="0" collapsed="false">
      <c r="A1303" s="17" t="n">
        <v>46141</v>
      </c>
      <c r="B1303" s="21" t="s">
        <v>1821</v>
      </c>
      <c r="C1303" s="22" t="n">
        <v>150</v>
      </c>
      <c r="D1303" s="31" t="s">
        <v>32</v>
      </c>
      <c r="E1303" s="21" t="s">
        <v>1821</v>
      </c>
      <c r="F1303" s="19" t="n">
        <v>554888684882</v>
      </c>
      <c r="G1303" s="31" t="s">
        <v>1822</v>
      </c>
      <c r="H1303" s="21" t="s">
        <v>94</v>
      </c>
      <c r="I1303" s="31" t="s">
        <v>54</v>
      </c>
      <c r="N1303" s="21" t="s">
        <v>1022</v>
      </c>
      <c r="O1303" s="21" t="s">
        <v>2128</v>
      </c>
      <c r="P1303" s="21" t="s">
        <v>2129</v>
      </c>
      <c r="R1303" s="0" t="n">
        <v>4</v>
      </c>
      <c r="S1303" s="0" t="n">
        <v>2026</v>
      </c>
    </row>
    <row r="1304" customFormat="false" ht="14.25" hidden="false" customHeight="false" outlineLevel="0" collapsed="false">
      <c r="A1304" s="17" t="n">
        <v>46141</v>
      </c>
      <c r="B1304" s="21" t="s">
        <v>1821</v>
      </c>
      <c r="C1304" s="22" t="n">
        <v>200</v>
      </c>
      <c r="D1304" s="31" t="s">
        <v>1699</v>
      </c>
      <c r="E1304" s="21" t="s">
        <v>3397</v>
      </c>
      <c r="F1304" s="19" t="n">
        <v>554888684882</v>
      </c>
      <c r="G1304" s="31" t="s">
        <v>1822</v>
      </c>
      <c r="H1304" s="21" t="s">
        <v>94</v>
      </c>
      <c r="I1304" s="31" t="s">
        <v>54</v>
      </c>
      <c r="N1304" s="21" t="s">
        <v>1022</v>
      </c>
      <c r="O1304" s="21" t="s">
        <v>2128</v>
      </c>
      <c r="P1304" s="21" t="s">
        <v>2129</v>
      </c>
      <c r="R1304" s="0" t="n">
        <v>4</v>
      </c>
      <c r="S1304" s="0" t="n">
        <v>2026</v>
      </c>
    </row>
    <row r="1305" customFormat="false" ht="14.25" hidden="false" customHeight="false" outlineLevel="0" collapsed="false">
      <c r="A1305" s="17" t="n">
        <v>46140</v>
      </c>
      <c r="B1305" s="21" t="s">
        <v>647</v>
      </c>
      <c r="C1305" s="22" t="n">
        <v>30</v>
      </c>
      <c r="D1305" s="31" t="s">
        <v>862</v>
      </c>
      <c r="E1305" s="21" t="s">
        <v>647</v>
      </c>
      <c r="F1305" s="19" t="n">
        <v>5511973514388</v>
      </c>
      <c r="G1305" s="31" t="s">
        <v>648</v>
      </c>
      <c r="H1305" s="21" t="s">
        <v>94</v>
      </c>
      <c r="I1305" s="31" t="s">
        <v>54</v>
      </c>
      <c r="N1305" s="21" t="s">
        <v>1022</v>
      </c>
      <c r="R1305" s="0" t="n">
        <v>4</v>
      </c>
      <c r="S1305" s="0" t="n">
        <v>2026</v>
      </c>
    </row>
    <row r="1306" customFormat="false" ht="14.25" hidden="false" customHeight="false" outlineLevel="0" collapsed="false">
      <c r="A1306" s="17" t="n">
        <v>46141</v>
      </c>
      <c r="B1306" s="21" t="s">
        <v>3400</v>
      </c>
      <c r="C1306" s="22" t="n">
        <v>120</v>
      </c>
      <c r="D1306" s="31" t="s">
        <v>30</v>
      </c>
      <c r="E1306" s="21" t="s">
        <v>3400</v>
      </c>
      <c r="F1306" s="19" t="n">
        <v>554198466712</v>
      </c>
      <c r="G1306" s="31" t="s">
        <v>3401</v>
      </c>
      <c r="H1306" s="21" t="s">
        <v>94</v>
      </c>
      <c r="I1306" s="31" t="s">
        <v>50</v>
      </c>
      <c r="N1306" s="21" t="s">
        <v>965</v>
      </c>
      <c r="O1306" s="21" t="s">
        <v>2135</v>
      </c>
      <c r="P1306" s="21" t="s">
        <v>2135</v>
      </c>
      <c r="R1306" s="0" t="n">
        <v>4</v>
      </c>
      <c r="S1306" s="0" t="n">
        <v>2026</v>
      </c>
    </row>
    <row r="1307" customFormat="false" ht="14.25" hidden="false" customHeight="false" outlineLevel="0" collapsed="false">
      <c r="A1307" s="17" t="n">
        <v>46141</v>
      </c>
      <c r="B1307" s="21" t="s">
        <v>3403</v>
      </c>
      <c r="C1307" s="22" t="n">
        <v>400</v>
      </c>
      <c r="D1307" s="31" t="s">
        <v>27</v>
      </c>
      <c r="E1307" s="21" t="s">
        <v>3404</v>
      </c>
      <c r="F1307" s="19" t="n">
        <v>554195228608</v>
      </c>
      <c r="G1307" s="31" t="s">
        <v>33</v>
      </c>
      <c r="H1307" s="21" t="s">
        <v>94</v>
      </c>
      <c r="I1307" s="31" t="s">
        <v>34</v>
      </c>
      <c r="N1307" s="21" t="s">
        <v>965</v>
      </c>
      <c r="O1307" s="21" t="s">
        <v>2159</v>
      </c>
      <c r="P1307" s="21" t="s">
        <v>2089</v>
      </c>
      <c r="R1307" s="0" t="n">
        <v>4</v>
      </c>
      <c r="S1307" s="0" t="n">
        <v>2026</v>
      </c>
    </row>
    <row r="1308" customFormat="false" ht="14.25" hidden="false" customHeight="false" outlineLevel="0" collapsed="false">
      <c r="A1308" s="17" t="n">
        <v>46141</v>
      </c>
      <c r="B1308" s="21" t="s">
        <v>3406</v>
      </c>
      <c r="C1308" s="22" t="n">
        <v>800</v>
      </c>
      <c r="D1308" s="31" t="s">
        <v>27</v>
      </c>
      <c r="E1308" s="21" t="s">
        <v>3407</v>
      </c>
      <c r="F1308" s="19" t="n">
        <v>554796694284</v>
      </c>
      <c r="G1308" s="31" t="s">
        <v>3408</v>
      </c>
      <c r="H1308" s="21" t="s">
        <v>94</v>
      </c>
      <c r="I1308" s="31" t="s">
        <v>34</v>
      </c>
      <c r="N1308" s="21" t="s">
        <v>965</v>
      </c>
      <c r="O1308" s="21" t="s">
        <v>2159</v>
      </c>
      <c r="P1308" s="21" t="s">
        <v>2089</v>
      </c>
      <c r="R1308" s="0" t="n">
        <v>4</v>
      </c>
      <c r="S1308" s="0" t="n">
        <v>2026</v>
      </c>
    </row>
    <row r="1309" customFormat="false" ht="14.25" hidden="false" customHeight="false" outlineLevel="0" collapsed="false">
      <c r="A1309" s="17" t="n">
        <v>46141</v>
      </c>
      <c r="B1309" s="21" t="s">
        <v>130</v>
      </c>
      <c r="C1309" s="22" t="n">
        <v>150</v>
      </c>
      <c r="D1309" s="31" t="s">
        <v>32</v>
      </c>
      <c r="E1309" s="21" t="s">
        <v>130</v>
      </c>
      <c r="F1309" s="19" t="n">
        <v>5519998932978</v>
      </c>
      <c r="G1309" s="31" t="s">
        <v>131</v>
      </c>
      <c r="H1309" s="21" t="s">
        <v>94</v>
      </c>
      <c r="I1309" s="31" t="s">
        <v>54</v>
      </c>
      <c r="N1309" s="21" t="s">
        <v>1022</v>
      </c>
      <c r="O1309" s="21" t="s">
        <v>2276</v>
      </c>
      <c r="P1309" s="21" t="s">
        <v>2135</v>
      </c>
      <c r="R1309" s="0" t="n">
        <v>4</v>
      </c>
      <c r="S1309" s="0" t="n">
        <v>2026</v>
      </c>
    </row>
    <row r="1310" customFormat="false" ht="14.25" hidden="false" customHeight="false" outlineLevel="0" collapsed="false">
      <c r="A1310" s="17" t="n">
        <v>46141</v>
      </c>
      <c r="B1310" s="21" t="s">
        <v>3411</v>
      </c>
      <c r="C1310" s="22" t="n">
        <v>150</v>
      </c>
      <c r="D1310" s="31" t="s">
        <v>32</v>
      </c>
      <c r="E1310" s="21" t="s">
        <v>3412</v>
      </c>
      <c r="F1310" s="19" t="n">
        <v>554888759979</v>
      </c>
      <c r="G1310" s="31" t="s">
        <v>43</v>
      </c>
      <c r="H1310" s="21" t="s">
        <v>94</v>
      </c>
      <c r="I1310" s="31" t="s">
        <v>54</v>
      </c>
      <c r="N1310" s="21" t="s">
        <v>965</v>
      </c>
      <c r="O1310" s="21" t="s">
        <v>2128</v>
      </c>
      <c r="P1310" s="21" t="s">
        <v>2129</v>
      </c>
      <c r="R1310" s="0" t="n">
        <v>4</v>
      </c>
      <c r="S1310" s="0" t="n">
        <v>2026</v>
      </c>
    </row>
    <row r="1311" customFormat="false" ht="14.25" hidden="false" customHeight="false" outlineLevel="0" collapsed="false">
      <c r="A1311" s="17" t="n">
        <v>46141</v>
      </c>
      <c r="B1311" s="21" t="s">
        <v>3414</v>
      </c>
      <c r="C1311" s="22" t="n">
        <v>120</v>
      </c>
      <c r="D1311" s="31" t="s">
        <v>30</v>
      </c>
      <c r="E1311" s="21" t="s">
        <v>3414</v>
      </c>
      <c r="F1311" s="19" t="n">
        <v>5511913367912</v>
      </c>
      <c r="G1311" s="31" t="s">
        <v>3415</v>
      </c>
      <c r="H1311" s="21" t="s">
        <v>94</v>
      </c>
      <c r="I1311" s="31" t="s">
        <v>54</v>
      </c>
      <c r="J1311" s="21" t="s">
        <v>35</v>
      </c>
      <c r="K1311" s="21" t="s">
        <v>69</v>
      </c>
      <c r="L1311" s="21" t="s">
        <v>70</v>
      </c>
      <c r="M1311" s="21" t="s">
        <v>38</v>
      </c>
      <c r="N1311" s="21" t="s">
        <v>965</v>
      </c>
      <c r="O1311" s="21" t="s">
        <v>3416</v>
      </c>
      <c r="P1311" s="21" t="s">
        <v>3417</v>
      </c>
      <c r="R1311" s="0" t="n">
        <v>4</v>
      </c>
      <c r="S1311" s="0" t="n">
        <v>2026</v>
      </c>
    </row>
    <row r="1312" customFormat="false" ht="14.25" hidden="false" customHeight="false" outlineLevel="0" collapsed="false">
      <c r="A1312" s="17" t="n">
        <v>46141</v>
      </c>
      <c r="B1312" s="21" t="s">
        <v>1774</v>
      </c>
      <c r="C1312" s="22" t="n">
        <v>120</v>
      </c>
      <c r="D1312" s="31" t="s">
        <v>30</v>
      </c>
      <c r="E1312" s="21" t="s">
        <v>1774</v>
      </c>
      <c r="F1312" s="19" t="n">
        <v>5515997985942</v>
      </c>
      <c r="G1312" s="31" t="s">
        <v>3419</v>
      </c>
      <c r="H1312" s="21" t="s">
        <v>94</v>
      </c>
      <c r="I1312" s="31" t="s">
        <v>54</v>
      </c>
      <c r="N1312" s="21" t="s">
        <v>1022</v>
      </c>
      <c r="O1312" s="21" t="s">
        <v>2183</v>
      </c>
      <c r="P1312" s="21" t="s">
        <v>2135</v>
      </c>
      <c r="R1312" s="0" t="n">
        <v>4</v>
      </c>
      <c r="S1312" s="0" t="n">
        <v>2026</v>
      </c>
    </row>
    <row r="1313" customFormat="false" ht="14.25" hidden="false" customHeight="false" outlineLevel="0" collapsed="false">
      <c r="A1313" s="17" t="n">
        <v>46142</v>
      </c>
      <c r="B1313" s="21" t="s">
        <v>175</v>
      </c>
      <c r="C1313" s="22" t="n">
        <v>440</v>
      </c>
      <c r="D1313" s="31" t="s">
        <v>22</v>
      </c>
      <c r="E1313" s="21" t="s">
        <v>175</v>
      </c>
      <c r="F1313" s="19" t="n">
        <v>5527999533616</v>
      </c>
      <c r="G1313" s="31" t="s">
        <v>3421</v>
      </c>
      <c r="H1313" s="21" t="s">
        <v>94</v>
      </c>
      <c r="I1313" s="31" t="s">
        <v>54</v>
      </c>
      <c r="N1313" s="21" t="s">
        <v>1022</v>
      </c>
      <c r="O1313" s="21" t="s">
        <v>3422</v>
      </c>
      <c r="P1313" s="21" t="s">
        <v>3423</v>
      </c>
      <c r="R1313" s="0" t="n">
        <v>4</v>
      </c>
      <c r="S1313" s="0" t="n">
        <v>2026</v>
      </c>
    </row>
    <row r="1314" customFormat="false" ht="14.25" hidden="false" customHeight="false" outlineLevel="0" collapsed="false">
      <c r="A1314" s="17" t="n">
        <v>46142</v>
      </c>
      <c r="B1314" s="21" t="s">
        <v>175</v>
      </c>
      <c r="C1314" s="22" t="n">
        <v>360</v>
      </c>
      <c r="D1314" s="31" t="s">
        <v>30</v>
      </c>
      <c r="E1314" s="21" t="s">
        <v>175</v>
      </c>
      <c r="F1314" s="19" t="n">
        <v>5527999533616</v>
      </c>
      <c r="G1314" s="31" t="s">
        <v>3421</v>
      </c>
      <c r="H1314" s="21" t="s">
        <v>94</v>
      </c>
      <c r="I1314" s="31" t="s">
        <v>54</v>
      </c>
      <c r="N1314" s="21" t="s">
        <v>1022</v>
      </c>
      <c r="O1314" s="21" t="s">
        <v>3422</v>
      </c>
      <c r="P1314" s="21" t="s">
        <v>3423</v>
      </c>
      <c r="R1314" s="0" t="n">
        <v>4</v>
      </c>
      <c r="S1314" s="0" t="n">
        <v>2026</v>
      </c>
    </row>
    <row r="1315" customFormat="false" ht="14.25" hidden="false" customHeight="false" outlineLevel="0" collapsed="false">
      <c r="A1315" s="17" t="n">
        <v>46142</v>
      </c>
      <c r="B1315" s="21" t="s">
        <v>3426</v>
      </c>
      <c r="C1315" s="22" t="n">
        <v>240</v>
      </c>
      <c r="D1315" s="31" t="s">
        <v>30</v>
      </c>
      <c r="E1315" s="21" t="s">
        <v>3426</v>
      </c>
      <c r="F1315" s="19" t="n">
        <v>556281696528</v>
      </c>
      <c r="G1315" s="31" t="s">
        <v>3427</v>
      </c>
      <c r="H1315" s="21" t="s">
        <v>94</v>
      </c>
      <c r="I1315" s="31" t="s">
        <v>355</v>
      </c>
      <c r="N1315" s="21" t="s">
        <v>965</v>
      </c>
      <c r="O1315" s="21" t="s">
        <v>2280</v>
      </c>
      <c r="P1315" s="21" t="s">
        <v>2281</v>
      </c>
      <c r="R1315" s="0" t="n">
        <v>4</v>
      </c>
      <c r="S1315" s="0" t="n">
        <v>2026</v>
      </c>
    </row>
    <row r="1316" customFormat="false" ht="14.25" hidden="false" customHeight="false" outlineLevel="0" collapsed="false">
      <c r="A1316" s="17" t="n">
        <v>46142</v>
      </c>
      <c r="B1316" s="21" t="s">
        <v>3429</v>
      </c>
      <c r="C1316" s="22" t="n">
        <v>197</v>
      </c>
      <c r="D1316" s="31" t="s">
        <v>390</v>
      </c>
      <c r="E1316" s="21" t="s">
        <v>3429</v>
      </c>
      <c r="F1316" s="19" t="n">
        <v>553497063853</v>
      </c>
      <c r="G1316" s="31" t="s">
        <v>3430</v>
      </c>
      <c r="H1316" s="21" t="s">
        <v>94</v>
      </c>
      <c r="I1316" s="31" t="s">
        <v>355</v>
      </c>
      <c r="J1316" s="21" t="s">
        <v>1176</v>
      </c>
      <c r="K1316" s="21" t="s">
        <v>1897</v>
      </c>
      <c r="L1316" s="21" t="s">
        <v>2447</v>
      </c>
      <c r="M1316" s="21" t="s">
        <v>1179</v>
      </c>
      <c r="N1316" s="21" t="s">
        <v>965</v>
      </c>
      <c r="O1316" s="21" t="s">
        <v>3431</v>
      </c>
      <c r="P1316" s="21" t="s">
        <v>2245</v>
      </c>
      <c r="R1316" s="0" t="n">
        <v>4</v>
      </c>
      <c r="S1316" s="0" t="n">
        <v>2026</v>
      </c>
    </row>
    <row r="1317" customFormat="false" ht="14.25" hidden="false" customHeight="false" outlineLevel="0" collapsed="false">
      <c r="A1317" s="17" t="n">
        <v>46142</v>
      </c>
      <c r="B1317" s="21" t="s">
        <v>3433</v>
      </c>
      <c r="C1317" s="22" t="n">
        <v>147</v>
      </c>
      <c r="D1317" s="31" t="s">
        <v>22</v>
      </c>
      <c r="E1317" s="21" t="s">
        <v>3434</v>
      </c>
      <c r="F1317" s="19" t="n">
        <v>554892190656</v>
      </c>
      <c r="G1317" s="31" t="s">
        <v>3435</v>
      </c>
      <c r="H1317" s="21" t="s">
        <v>94</v>
      </c>
      <c r="I1317" s="31" t="s">
        <v>34</v>
      </c>
      <c r="N1317" s="21" t="s">
        <v>965</v>
      </c>
      <c r="O1317" s="21" t="s">
        <v>2128</v>
      </c>
      <c r="P1317" s="21" t="s">
        <v>2129</v>
      </c>
      <c r="R1317" s="0" t="n">
        <v>4</v>
      </c>
      <c r="S1317" s="0" t="n">
        <v>2026</v>
      </c>
    </row>
    <row r="1318" customFormat="false" ht="14.25" hidden="false" customHeight="false" outlineLevel="0" collapsed="false">
      <c r="A1318" s="17" t="n">
        <v>46142</v>
      </c>
      <c r="B1318" s="21" t="s">
        <v>3437</v>
      </c>
      <c r="C1318" s="22" t="n">
        <v>400</v>
      </c>
      <c r="D1318" s="31" t="s">
        <v>106</v>
      </c>
      <c r="E1318" s="21" t="s">
        <v>3437</v>
      </c>
      <c r="F1318" s="19" t="n">
        <v>559581263433</v>
      </c>
      <c r="G1318" s="31" t="s">
        <v>33</v>
      </c>
      <c r="H1318" s="21" t="s">
        <v>94</v>
      </c>
      <c r="I1318" s="31" t="s">
        <v>34</v>
      </c>
      <c r="J1318" s="21" t="s">
        <v>35</v>
      </c>
      <c r="K1318" s="21" t="s">
        <v>36</v>
      </c>
      <c r="L1318" s="21" t="s">
        <v>37</v>
      </c>
      <c r="M1318" s="21" t="s">
        <v>38</v>
      </c>
      <c r="N1318" s="21" t="s">
        <v>965</v>
      </c>
      <c r="O1318" s="21" t="s">
        <v>2159</v>
      </c>
      <c r="P1318" s="21" t="s">
        <v>2089</v>
      </c>
      <c r="R1318" s="0" t="n">
        <v>4</v>
      </c>
      <c r="S1318" s="0" t="n">
        <v>2026</v>
      </c>
    </row>
    <row r="1319" customFormat="false" ht="14.25" hidden="false" customHeight="false" outlineLevel="0" collapsed="false">
      <c r="A1319" s="17" t="n">
        <v>46142</v>
      </c>
      <c r="B1319" s="21" t="s">
        <v>3433</v>
      </c>
      <c r="C1319" s="22" t="n">
        <v>147</v>
      </c>
      <c r="D1319" s="31" t="s">
        <v>21</v>
      </c>
      <c r="E1319" s="21" t="s">
        <v>3434</v>
      </c>
      <c r="F1319" s="19" t="n">
        <v>554892190656</v>
      </c>
      <c r="G1319" s="31" t="s">
        <v>3435</v>
      </c>
      <c r="H1319" s="21" t="s">
        <v>94</v>
      </c>
      <c r="I1319" s="31" t="s">
        <v>34</v>
      </c>
      <c r="N1319" s="21" t="s">
        <v>965</v>
      </c>
      <c r="O1319" s="21" t="s">
        <v>2107</v>
      </c>
      <c r="P1319" s="21" t="s">
        <v>2129</v>
      </c>
      <c r="R1319" s="0" t="n">
        <v>4</v>
      </c>
      <c r="S1319" s="0" t="n">
        <v>2026</v>
      </c>
    </row>
    <row r="1320" customFormat="false" ht="14.25" hidden="false" customHeight="false" outlineLevel="0" collapsed="false">
      <c r="A1320" s="17" t="n">
        <v>46142</v>
      </c>
      <c r="B1320" s="21" t="s">
        <v>3437</v>
      </c>
      <c r="C1320" s="22" t="n">
        <v>147</v>
      </c>
      <c r="D1320" s="31" t="s">
        <v>390</v>
      </c>
      <c r="E1320" s="21" t="s">
        <v>3437</v>
      </c>
      <c r="F1320" s="19" t="n">
        <v>559581263433</v>
      </c>
      <c r="G1320" s="31" t="s">
        <v>33</v>
      </c>
      <c r="H1320" s="21" t="s">
        <v>94</v>
      </c>
      <c r="I1320" s="31" t="s">
        <v>34</v>
      </c>
      <c r="N1320" s="21" t="s">
        <v>965</v>
      </c>
      <c r="O1320" s="21" t="s">
        <v>2159</v>
      </c>
      <c r="P1320" s="21" t="s">
        <v>2089</v>
      </c>
      <c r="R1320" s="0" t="n">
        <v>4</v>
      </c>
      <c r="S1320" s="0" t="n">
        <v>2026</v>
      </c>
    </row>
    <row r="1321" customFormat="false" ht="14.25" hidden="false" customHeight="false" outlineLevel="0" collapsed="false">
      <c r="A1321" s="17" t="n">
        <v>46142</v>
      </c>
      <c r="B1321" s="21" t="s">
        <v>3441</v>
      </c>
      <c r="C1321" s="22" t="n">
        <v>120</v>
      </c>
      <c r="D1321" s="31" t="s">
        <v>20</v>
      </c>
      <c r="E1321" s="21" t="s">
        <v>3442</v>
      </c>
      <c r="F1321" s="19" t="n">
        <v>554196371137</v>
      </c>
      <c r="G1321" s="31" t="s">
        <v>3443</v>
      </c>
      <c r="H1321" s="21" t="s">
        <v>94</v>
      </c>
      <c r="I1321" s="31" t="s">
        <v>50</v>
      </c>
      <c r="J1321" s="21" t="s">
        <v>97</v>
      </c>
      <c r="K1321" s="21" t="s">
        <v>20</v>
      </c>
      <c r="L1321" s="21" t="s">
        <v>230</v>
      </c>
      <c r="M1321" s="21" t="s">
        <v>99</v>
      </c>
      <c r="N1321" s="21" t="s">
        <v>965</v>
      </c>
      <c r="O1321" s="21" t="s">
        <v>2159</v>
      </c>
      <c r="P1321" s="21" t="s">
        <v>2089</v>
      </c>
      <c r="R1321" s="0" t="n">
        <v>4</v>
      </c>
      <c r="S1321" s="0" t="n">
        <v>2026</v>
      </c>
    </row>
    <row r="1322" customFormat="false" ht="14.25" hidden="false" customHeight="false" outlineLevel="0" collapsed="false">
      <c r="A1322" s="17" t="n">
        <v>46142</v>
      </c>
      <c r="B1322" s="21" t="s">
        <v>2873</v>
      </c>
      <c r="C1322" s="22" t="n">
        <v>400</v>
      </c>
      <c r="D1322" s="31" t="s">
        <v>27</v>
      </c>
      <c r="E1322" s="21" t="s">
        <v>2873</v>
      </c>
      <c r="F1322" s="19" t="n">
        <v>559584379233</v>
      </c>
      <c r="G1322" s="31" t="s">
        <v>2874</v>
      </c>
      <c r="H1322" s="21" t="s">
        <v>94</v>
      </c>
      <c r="I1322" s="31" t="s">
        <v>54</v>
      </c>
      <c r="N1322" s="21" t="s">
        <v>1022</v>
      </c>
      <c r="O1322" s="21" t="s">
        <v>2107</v>
      </c>
      <c r="P1322" s="21" t="s">
        <v>3417</v>
      </c>
      <c r="R1322" s="0" t="n">
        <v>4</v>
      </c>
      <c r="S1322" s="0" t="n">
        <v>2026</v>
      </c>
    </row>
    <row r="1323" customFormat="false" ht="14.25" hidden="false" customHeight="false" outlineLevel="0" collapsed="false">
      <c r="A1323" s="17" t="n">
        <v>46142</v>
      </c>
      <c r="B1323" s="21" t="s">
        <v>2294</v>
      </c>
      <c r="C1323" s="22" t="n">
        <v>120</v>
      </c>
      <c r="D1323" s="31" t="s">
        <v>20</v>
      </c>
      <c r="E1323" s="21" t="s">
        <v>2294</v>
      </c>
      <c r="F1323" s="19" t="n">
        <v>554197159485</v>
      </c>
      <c r="G1323" s="31" t="s">
        <v>2295</v>
      </c>
      <c r="H1323" s="21" t="s">
        <v>94</v>
      </c>
      <c r="I1323" s="31" t="s">
        <v>54</v>
      </c>
      <c r="N1323" s="21" t="s">
        <v>1022</v>
      </c>
      <c r="O1323" s="21" t="s">
        <v>2159</v>
      </c>
      <c r="P1323" s="21" t="s">
        <v>2089</v>
      </c>
      <c r="R1323" s="0" t="n">
        <v>4</v>
      </c>
      <c r="S1323" s="0" t="n">
        <v>2026</v>
      </c>
    </row>
    <row r="1324" customFormat="false" ht="14.25" hidden="false" customHeight="false" outlineLevel="0" collapsed="false">
      <c r="A1324" s="17" t="n">
        <v>46142</v>
      </c>
      <c r="B1324" s="21" t="s">
        <v>1864</v>
      </c>
      <c r="C1324" s="22" t="n">
        <v>147</v>
      </c>
      <c r="D1324" s="31" t="s">
        <v>21</v>
      </c>
      <c r="E1324" s="21" t="s">
        <v>3447</v>
      </c>
      <c r="F1324" s="19" t="n">
        <v>554791177858</v>
      </c>
      <c r="G1324" s="31" t="s">
        <v>1865</v>
      </c>
      <c r="H1324" s="21" t="s">
        <v>94</v>
      </c>
      <c r="I1324" s="31" t="s">
        <v>54</v>
      </c>
      <c r="N1324" s="21" t="s">
        <v>1022</v>
      </c>
      <c r="O1324" s="21" t="s">
        <v>2236</v>
      </c>
      <c r="P1324" s="21" t="s">
        <v>2129</v>
      </c>
      <c r="R1324" s="0" t="n">
        <v>4</v>
      </c>
      <c r="S1324" s="0" t="n">
        <v>2026</v>
      </c>
    </row>
    <row r="1325" customFormat="false" ht="14.25" hidden="false" customHeight="false" outlineLevel="0" collapsed="false">
      <c r="A1325" s="17" t="n">
        <v>46142</v>
      </c>
      <c r="B1325" s="21" t="s">
        <v>3448</v>
      </c>
      <c r="C1325" s="22" t="n">
        <v>150</v>
      </c>
      <c r="D1325" s="31" t="s">
        <v>32</v>
      </c>
      <c r="E1325" s="21" t="s">
        <v>3449</v>
      </c>
      <c r="F1325" s="19" t="n">
        <v>554799483157</v>
      </c>
      <c r="G1325" s="31" t="s">
        <v>3450</v>
      </c>
      <c r="H1325" s="21" t="s">
        <v>94</v>
      </c>
      <c r="I1325" s="31" t="s">
        <v>355</v>
      </c>
      <c r="J1325" s="21" t="s">
        <v>1176</v>
      </c>
      <c r="K1325" s="21" t="s">
        <v>1177</v>
      </c>
      <c r="L1325" s="21" t="s">
        <v>1324</v>
      </c>
      <c r="M1325" s="21" t="s">
        <v>1243</v>
      </c>
      <c r="N1325" s="21" t="s">
        <v>965</v>
      </c>
      <c r="O1325" s="21" t="s">
        <v>2107</v>
      </c>
      <c r="P1325" s="21" t="s">
        <v>2129</v>
      </c>
      <c r="R1325" s="0" t="n">
        <v>4</v>
      </c>
      <c r="S1325" s="0" t="n">
        <v>2026</v>
      </c>
    </row>
    <row r="1326" customFormat="false" ht="14.25" hidden="false" customHeight="false" outlineLevel="0" collapsed="false">
      <c r="A1326" s="17" t="n">
        <v>46142</v>
      </c>
      <c r="B1326" s="21" t="s">
        <v>3452</v>
      </c>
      <c r="C1326" s="22" t="n">
        <v>120</v>
      </c>
      <c r="D1326" s="31" t="s">
        <v>2214</v>
      </c>
      <c r="E1326" s="21" t="s">
        <v>2641</v>
      </c>
      <c r="F1326" s="19" t="n">
        <v>5519988335383</v>
      </c>
      <c r="G1326" s="31" t="s">
        <v>2642</v>
      </c>
      <c r="H1326" s="21" t="s">
        <v>94</v>
      </c>
      <c r="I1326" s="31" t="s">
        <v>54</v>
      </c>
      <c r="N1326" s="21" t="s">
        <v>1022</v>
      </c>
      <c r="O1326" s="21" t="s">
        <v>2643</v>
      </c>
      <c r="P1326" s="21" t="s">
        <v>2135</v>
      </c>
      <c r="R1326" s="0" t="n">
        <v>4</v>
      </c>
      <c r="S1326" s="0" t="n">
        <v>2026</v>
      </c>
    </row>
    <row r="1327" customFormat="false" ht="14.25" hidden="false" customHeight="false" outlineLevel="0" collapsed="false">
      <c r="A1327" s="17" t="n">
        <v>46142</v>
      </c>
      <c r="B1327" s="21" t="s">
        <v>3453</v>
      </c>
      <c r="C1327" s="22" t="n">
        <v>147</v>
      </c>
      <c r="D1327" s="31" t="s">
        <v>22</v>
      </c>
      <c r="E1327" s="21" t="s">
        <v>3453</v>
      </c>
      <c r="F1327" s="19" t="n">
        <v>554891620095</v>
      </c>
      <c r="G1327" s="31" t="s">
        <v>3454</v>
      </c>
      <c r="H1327" s="21" t="s">
        <v>94</v>
      </c>
      <c r="I1327" s="31" t="s">
        <v>355</v>
      </c>
      <c r="N1327" s="21" t="s">
        <v>965</v>
      </c>
      <c r="O1327" s="21" t="s">
        <v>2261</v>
      </c>
      <c r="P1327" s="21" t="s">
        <v>2129</v>
      </c>
      <c r="R1327" s="0" t="n">
        <v>4</v>
      </c>
      <c r="S1327" s="0" t="n">
        <v>2026</v>
      </c>
    </row>
    <row r="1328" customFormat="false" ht="14.25" hidden="false" customHeight="false" outlineLevel="0" collapsed="false">
      <c r="A1328" s="17" t="n">
        <v>46142</v>
      </c>
      <c r="B1328" s="21" t="s">
        <v>3453</v>
      </c>
      <c r="C1328" s="22" t="n">
        <v>147</v>
      </c>
      <c r="D1328" s="31" t="s">
        <v>21</v>
      </c>
      <c r="E1328" s="21" t="s">
        <v>3453</v>
      </c>
      <c r="F1328" s="19" t="n">
        <v>554891620095</v>
      </c>
      <c r="G1328" s="31" t="s">
        <v>3454</v>
      </c>
      <c r="H1328" s="21" t="s">
        <v>94</v>
      </c>
      <c r="I1328" s="31" t="s">
        <v>355</v>
      </c>
      <c r="N1328" s="21" t="s">
        <v>965</v>
      </c>
      <c r="O1328" s="21" t="s">
        <v>2128</v>
      </c>
      <c r="P1328" s="21" t="s">
        <v>2129</v>
      </c>
      <c r="R1328" s="0" t="n">
        <v>4</v>
      </c>
      <c r="S1328" s="0" t="n">
        <v>2026</v>
      </c>
    </row>
    <row r="1329" customFormat="false" ht="14.25" hidden="false" customHeight="false" outlineLevel="0" collapsed="false">
      <c r="A1329" s="17" t="n">
        <v>46142</v>
      </c>
      <c r="B1329" s="21" t="s">
        <v>3456</v>
      </c>
      <c r="C1329" s="22" t="n">
        <v>240</v>
      </c>
      <c r="D1329" s="31" t="s">
        <v>30</v>
      </c>
      <c r="E1329" s="21" t="s">
        <v>3457</v>
      </c>
      <c r="F1329" s="19" t="n">
        <v>5511970838150</v>
      </c>
      <c r="G1329" s="31" t="s">
        <v>3458</v>
      </c>
      <c r="H1329" s="21" t="s">
        <v>94</v>
      </c>
      <c r="I1329" s="31" t="s">
        <v>34</v>
      </c>
      <c r="J1329" s="21" t="s">
        <v>1176</v>
      </c>
      <c r="K1329" s="21" t="s">
        <v>1897</v>
      </c>
      <c r="L1329" s="21" t="s">
        <v>2447</v>
      </c>
      <c r="M1329" s="21" t="s">
        <v>1179</v>
      </c>
      <c r="N1329" s="21" t="s">
        <v>965</v>
      </c>
      <c r="O1329" s="21" t="s">
        <v>3459</v>
      </c>
      <c r="P1329" s="21" t="s">
        <v>2135</v>
      </c>
      <c r="R1329" s="0" t="n">
        <v>4</v>
      </c>
      <c r="S1329" s="0" t="n">
        <v>2026</v>
      </c>
    </row>
    <row r="1330" customFormat="false" ht="14.25" hidden="false" customHeight="false" outlineLevel="0" collapsed="false">
      <c r="A1330" s="17" t="n">
        <v>46142</v>
      </c>
      <c r="B1330" s="21" t="s">
        <v>3461</v>
      </c>
      <c r="C1330" s="22" t="n">
        <v>150</v>
      </c>
      <c r="D1330" s="31" t="s">
        <v>29</v>
      </c>
      <c r="E1330" s="21" t="s">
        <v>3462</v>
      </c>
      <c r="F1330" s="19" t="n">
        <v>554196044273</v>
      </c>
      <c r="G1330" s="31" t="s">
        <v>3463</v>
      </c>
      <c r="H1330" s="21" t="s">
        <v>94</v>
      </c>
      <c r="I1330" s="31" t="s">
        <v>34</v>
      </c>
      <c r="N1330" s="21" t="s">
        <v>965</v>
      </c>
      <c r="O1330" s="21" t="s">
        <v>2107</v>
      </c>
      <c r="P1330" s="21" t="s">
        <v>862</v>
      </c>
      <c r="R1330" s="0" t="n">
        <v>4</v>
      </c>
      <c r="S1330" s="0" t="n">
        <v>2026</v>
      </c>
    </row>
    <row r="1331" customFormat="false" ht="14.25" hidden="false" customHeight="false" outlineLevel="0" collapsed="false">
      <c r="A1331" s="17" t="n">
        <v>46142</v>
      </c>
      <c r="B1331" s="21" t="s">
        <v>3465</v>
      </c>
      <c r="C1331" s="22" t="n">
        <v>120</v>
      </c>
      <c r="D1331" s="31" t="s">
        <v>30</v>
      </c>
      <c r="E1331" s="21" t="s">
        <v>3466</v>
      </c>
      <c r="F1331" s="19" t="n">
        <v>5511969750717</v>
      </c>
      <c r="G1331" s="31" t="s">
        <v>3467</v>
      </c>
      <c r="H1331" s="21" t="s">
        <v>94</v>
      </c>
      <c r="I1331" s="31" t="s">
        <v>355</v>
      </c>
      <c r="J1331" s="21" t="s">
        <v>35</v>
      </c>
      <c r="K1331" s="21" t="s">
        <v>69</v>
      </c>
      <c r="L1331" s="21" t="s">
        <v>70</v>
      </c>
      <c r="M1331" s="21" t="s">
        <v>38</v>
      </c>
      <c r="N1331" s="21" t="s">
        <v>965</v>
      </c>
      <c r="O1331" s="21" t="s">
        <v>2107</v>
      </c>
      <c r="P1331" s="21" t="s">
        <v>2135</v>
      </c>
      <c r="R1331" s="0" t="n">
        <v>4</v>
      </c>
      <c r="S1331" s="0" t="n">
        <v>2026</v>
      </c>
    </row>
    <row r="1332" customFormat="false" ht="14.25" hidden="false" customHeight="false" outlineLevel="0" collapsed="false">
      <c r="A1332" s="17" t="n">
        <v>46140</v>
      </c>
      <c r="B1332" s="21" t="s">
        <v>3469</v>
      </c>
      <c r="C1332" s="22" t="n">
        <v>120</v>
      </c>
      <c r="D1332" s="31" t="s">
        <v>30</v>
      </c>
      <c r="E1332" s="21" t="s">
        <v>3470</v>
      </c>
      <c r="F1332" s="19" t="n">
        <v>55984390336</v>
      </c>
      <c r="G1332" s="31" t="s">
        <v>3471</v>
      </c>
      <c r="H1332" s="21" t="s">
        <v>94</v>
      </c>
      <c r="I1332" s="31" t="s">
        <v>355</v>
      </c>
      <c r="N1332" s="21" t="s">
        <v>965</v>
      </c>
      <c r="O1332" s="21" t="s">
        <v>3472</v>
      </c>
      <c r="P1332" s="21" t="s">
        <v>2089</v>
      </c>
      <c r="R1332" s="0" t="n">
        <v>4</v>
      </c>
      <c r="S1332" s="0" t="n">
        <v>2026</v>
      </c>
    </row>
    <row r="1333" customFormat="false" ht="14.25" hidden="false" customHeight="false" outlineLevel="0" collapsed="false">
      <c r="A1333" s="17" t="n">
        <v>46140</v>
      </c>
      <c r="B1333" s="21" t="s">
        <v>3469</v>
      </c>
      <c r="C1333" s="22" t="n">
        <v>147</v>
      </c>
      <c r="D1333" s="31" t="s">
        <v>22</v>
      </c>
      <c r="E1333" s="21" t="s">
        <v>3474</v>
      </c>
      <c r="F1333" s="19" t="n">
        <v>55984390336</v>
      </c>
      <c r="G1333" s="31" t="s">
        <v>3471</v>
      </c>
      <c r="H1333" s="21" t="s">
        <v>94</v>
      </c>
      <c r="I1333" s="31" t="s">
        <v>355</v>
      </c>
      <c r="J1333" s="21" t="s">
        <v>35</v>
      </c>
      <c r="K1333" s="21" t="s">
        <v>69</v>
      </c>
      <c r="L1333" s="21" t="s">
        <v>70</v>
      </c>
      <c r="M1333" s="21" t="s">
        <v>38</v>
      </c>
      <c r="N1333" s="21" t="s">
        <v>965</v>
      </c>
      <c r="O1333" s="21" t="s">
        <v>3472</v>
      </c>
      <c r="P1333" s="21" t="s">
        <v>2089</v>
      </c>
      <c r="R1333" s="0" t="n">
        <v>4</v>
      </c>
      <c r="S1333" s="0" t="n">
        <v>2026</v>
      </c>
    </row>
    <row r="1334" customFormat="false" ht="14.25" hidden="false" customHeight="false" outlineLevel="0" collapsed="false">
      <c r="A1334" s="17" t="n">
        <v>46143</v>
      </c>
      <c r="B1334" s="21" t="s">
        <v>3476</v>
      </c>
      <c r="C1334" s="22" t="n">
        <v>294</v>
      </c>
      <c r="D1334" s="31" t="s">
        <v>22</v>
      </c>
      <c r="E1334" s="21" t="s">
        <v>3477</v>
      </c>
      <c r="F1334" s="19" t="n">
        <v>59893876880</v>
      </c>
      <c r="G1334" s="31" t="s">
        <v>3478</v>
      </c>
      <c r="H1334" s="21" t="s">
        <v>94</v>
      </c>
      <c r="I1334" s="31" t="s">
        <v>355</v>
      </c>
      <c r="N1334" s="21" t="s">
        <v>965</v>
      </c>
      <c r="O1334" s="21" t="s">
        <v>2760</v>
      </c>
      <c r="P1334" s="21" t="s">
        <v>2121</v>
      </c>
      <c r="R1334" s="0" t="n">
        <v>5</v>
      </c>
      <c r="S1334" s="0" t="n">
        <v>2026</v>
      </c>
    </row>
    <row r="1335" customFormat="false" ht="14.25" hidden="false" customHeight="false" outlineLevel="0" collapsed="false">
      <c r="A1335" s="17" t="n">
        <v>46143</v>
      </c>
      <c r="B1335" s="21" t="s">
        <v>3476</v>
      </c>
      <c r="C1335" s="22" t="n">
        <v>294</v>
      </c>
      <c r="D1335" s="31" t="s">
        <v>30</v>
      </c>
      <c r="E1335" s="21" t="s">
        <v>3477</v>
      </c>
      <c r="F1335" s="19" t="n">
        <v>59893876880</v>
      </c>
      <c r="G1335" s="31" t="s">
        <v>3478</v>
      </c>
      <c r="H1335" s="21" t="s">
        <v>94</v>
      </c>
      <c r="I1335" s="31" t="s">
        <v>355</v>
      </c>
      <c r="N1335" s="21" t="s">
        <v>965</v>
      </c>
      <c r="O1335" s="21" t="s">
        <v>2760</v>
      </c>
      <c r="P1335" s="21" t="s">
        <v>2121</v>
      </c>
      <c r="R1335" s="0" t="n">
        <v>5</v>
      </c>
      <c r="S1335" s="0" t="n">
        <v>2026</v>
      </c>
    </row>
    <row r="1336" customFormat="false" ht="14.25" hidden="false" customHeight="false" outlineLevel="0" collapsed="false">
      <c r="A1336" s="17" t="n">
        <v>46143</v>
      </c>
      <c r="B1336" s="21" t="s">
        <v>3481</v>
      </c>
      <c r="C1336" s="22" t="n">
        <v>147</v>
      </c>
      <c r="D1336" s="31" t="s">
        <v>18</v>
      </c>
      <c r="E1336" s="21" t="s">
        <v>3481</v>
      </c>
      <c r="F1336" s="19" t="n">
        <v>557998794174</v>
      </c>
      <c r="G1336" s="31" t="s">
        <v>3482</v>
      </c>
      <c r="H1336" s="21" t="s">
        <v>94</v>
      </c>
      <c r="I1336" s="31" t="s">
        <v>355</v>
      </c>
      <c r="N1336" s="21" t="s">
        <v>965</v>
      </c>
      <c r="O1336" s="21" t="s">
        <v>2107</v>
      </c>
      <c r="P1336" s="21" t="s">
        <v>862</v>
      </c>
      <c r="R1336" s="0" t="n">
        <v>5</v>
      </c>
      <c r="S1336" s="0" t="n">
        <v>2026</v>
      </c>
    </row>
    <row r="1337" customFormat="false" ht="14.25" hidden="false" customHeight="false" outlineLevel="0" collapsed="false">
      <c r="A1337" s="17" t="n">
        <v>46143</v>
      </c>
      <c r="B1337" s="21" t="s">
        <v>3484</v>
      </c>
      <c r="C1337" s="22" t="n">
        <v>440</v>
      </c>
      <c r="D1337" s="31" t="s">
        <v>390</v>
      </c>
      <c r="E1337" s="21" t="s">
        <v>3485</v>
      </c>
      <c r="F1337" s="19" t="n">
        <v>556296184787</v>
      </c>
      <c r="G1337" s="31" t="s">
        <v>3486</v>
      </c>
      <c r="H1337" s="21" t="s">
        <v>94</v>
      </c>
      <c r="I1337" s="31" t="s">
        <v>54</v>
      </c>
      <c r="N1337" s="21" t="s">
        <v>1022</v>
      </c>
      <c r="O1337" s="21" t="s">
        <v>2280</v>
      </c>
      <c r="P1337" s="21" t="s">
        <v>2281</v>
      </c>
      <c r="R1337" s="0" t="n">
        <v>5</v>
      </c>
      <c r="S1337" s="0" t="n">
        <v>2026</v>
      </c>
    </row>
    <row r="1338" customFormat="false" ht="14.25" hidden="false" customHeight="false" outlineLevel="0" collapsed="false">
      <c r="A1338" s="17" t="n">
        <v>46143</v>
      </c>
      <c r="B1338" s="21" t="s">
        <v>3488</v>
      </c>
      <c r="C1338" s="22" t="n">
        <v>360</v>
      </c>
      <c r="D1338" s="31" t="s">
        <v>20</v>
      </c>
      <c r="E1338" s="21" t="s">
        <v>3489</v>
      </c>
      <c r="F1338" s="19" t="n">
        <v>559584223667</v>
      </c>
      <c r="G1338" s="31" t="s">
        <v>3490</v>
      </c>
      <c r="H1338" s="21" t="s">
        <v>94</v>
      </c>
      <c r="I1338" s="31" t="s">
        <v>34</v>
      </c>
      <c r="J1338" s="21" t="s">
        <v>35</v>
      </c>
      <c r="K1338" s="21" t="s">
        <v>36</v>
      </c>
      <c r="L1338" s="21" t="s">
        <v>37</v>
      </c>
      <c r="M1338" s="21" t="s">
        <v>38</v>
      </c>
      <c r="N1338" s="21" t="s">
        <v>965</v>
      </c>
      <c r="O1338" s="21" t="s">
        <v>2708</v>
      </c>
      <c r="P1338" s="21" t="s">
        <v>2089</v>
      </c>
      <c r="R1338" s="0" t="n">
        <v>5</v>
      </c>
      <c r="S1338" s="0" t="n">
        <v>2026</v>
      </c>
    </row>
    <row r="1339" customFormat="false" ht="15" hidden="false" customHeight="false" outlineLevel="0" collapsed="false"/>
    <row r="1340" customFormat="false" ht="15" hidden="false" customHeight="false" outlineLevel="0" collapsed="false"/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H999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407" activeCellId="0" sqref="C407"/>
    </sheetView>
  </sheetViews>
  <sheetFormatPr defaultColWidth="9.14453125" defaultRowHeight="15" zeroHeight="false" outlineLevelRow="0" outlineLevelCol="0"/>
  <cols>
    <col collapsed="false" customWidth="true" hidden="false" outlineLevel="0" max="1" min="1" style="38" width="14.43"/>
    <col collapsed="false" customWidth="true" hidden="false" outlineLevel="0" max="2" min="2" style="39" width="17.86"/>
    <col collapsed="false" customWidth="true" hidden="false" outlineLevel="0" max="3" min="3" style="38" width="52.43"/>
    <col collapsed="false" customWidth="true" hidden="false" outlineLevel="0" max="4" min="4" style="38" width="15.15"/>
    <col collapsed="false" customWidth="true" hidden="false" outlineLevel="0" max="5" min="5" style="38" width="18.71"/>
    <col collapsed="false" customWidth="true" hidden="false" outlineLevel="0" max="6" min="6" style="38" width="23.28"/>
    <col collapsed="false" customWidth="true" hidden="false" outlineLevel="0" max="7" min="7" style="38" width="9"/>
    <col collapsed="false" customWidth="false" hidden="false" outlineLevel="0" max="8" min="8" style="38" width="9.14"/>
    <col collapsed="false" customWidth="true" hidden="false" outlineLevel="0" max="9" min="9" style="38" width="10.86"/>
    <col collapsed="false" customWidth="false" hidden="false" outlineLevel="0" max="20" min="10" style="38" width="9.14"/>
    <col collapsed="false" customWidth="true" hidden="false" outlineLevel="0" max="21" min="21" style="38" width="14.86"/>
    <col collapsed="false" customWidth="true" hidden="false" outlineLevel="0" max="22" min="22" style="38" width="13.71"/>
    <col collapsed="false" customWidth="true" hidden="false" outlineLevel="0" max="23" min="23" style="38" width="11.86"/>
    <col collapsed="false" customWidth="true" hidden="false" outlineLevel="0" max="24" min="24" style="38" width="10.71"/>
    <col collapsed="false" customWidth="true" hidden="false" outlineLevel="0" max="25" min="25" style="38" width="11.15"/>
    <col collapsed="false" customWidth="true" hidden="false" outlineLevel="0" max="26" min="26" style="38" width="12.43"/>
    <col collapsed="false" customWidth="true" hidden="false" outlineLevel="0" max="27" min="27" style="38" width="14.57"/>
    <col collapsed="false" customWidth="true" hidden="false" outlineLevel="0" max="28" min="28" style="38" width="11.28"/>
    <col collapsed="false" customWidth="true" hidden="false" outlineLevel="0" max="29" min="29" style="38" width="14.57"/>
    <col collapsed="false" customWidth="true" hidden="false" outlineLevel="0" max="30" min="30" style="38" width="14.43"/>
    <col collapsed="false" customWidth="false" hidden="false" outlineLevel="0" max="32" min="31" style="38" width="9.14"/>
    <col collapsed="false" customWidth="true" hidden="false" outlineLevel="0" max="33" min="33" style="38" width="12.43"/>
    <col collapsed="false" customWidth="true" hidden="false" outlineLevel="0" max="34" min="34" style="38" width="10.71"/>
    <col collapsed="false" customWidth="false" hidden="false" outlineLevel="0" max="16384" min="35" style="38" width="9.14"/>
  </cols>
  <sheetData>
    <row r="1" customFormat="false" ht="15" hidden="false" customHeight="false" outlineLevel="0" collapsed="false">
      <c r="A1" s="40" t="s">
        <v>0</v>
      </c>
      <c r="B1" s="40" t="s">
        <v>2</v>
      </c>
      <c r="C1" s="40" t="s">
        <v>3493</v>
      </c>
      <c r="D1" s="40" t="s">
        <v>3494</v>
      </c>
      <c r="E1" s="40" t="s">
        <v>3495</v>
      </c>
      <c r="F1" s="40" t="s">
        <v>3496</v>
      </c>
      <c r="G1" s="40" t="s">
        <v>3497</v>
      </c>
      <c r="H1" s="40" t="s">
        <v>3492</v>
      </c>
      <c r="I1" s="40" t="s">
        <v>3498</v>
      </c>
      <c r="U1" s="38" t="s">
        <v>3499</v>
      </c>
      <c r="V1" s="38" t="s">
        <v>3500</v>
      </c>
      <c r="W1" s="38" t="s">
        <v>3501</v>
      </c>
      <c r="X1" s="38" t="s">
        <v>3502</v>
      </c>
      <c r="Y1" s="38" t="s">
        <v>3503</v>
      </c>
      <c r="Z1" s="38" t="s">
        <v>3504</v>
      </c>
      <c r="AA1" s="38" t="s">
        <v>3505</v>
      </c>
      <c r="AB1" s="38" t="s">
        <v>3506</v>
      </c>
      <c r="AC1" s="38" t="s">
        <v>3507</v>
      </c>
      <c r="AD1" s="38" t="s">
        <v>3508</v>
      </c>
      <c r="AE1" s="38" t="s">
        <v>3509</v>
      </c>
      <c r="AG1" s="40"/>
      <c r="AH1" s="40"/>
    </row>
    <row r="2" customFormat="false" ht="15" hidden="false" customHeight="false" outlineLevel="0" collapsed="false">
      <c r="A2" s="41" t="n">
        <v>46024</v>
      </c>
      <c r="B2" s="39" t="n">
        <v>194</v>
      </c>
      <c r="C2" s="38" t="s">
        <v>3510</v>
      </c>
      <c r="D2" s="38" t="s">
        <v>3500</v>
      </c>
      <c r="E2" s="38" t="s">
        <v>3511</v>
      </c>
      <c r="G2" s="38" t="n">
        <f aca="false">MONTH(A2)</f>
        <v>1</v>
      </c>
      <c r="H2" s="38" t="n">
        <f aca="false">YEAR(Tabela1[[#This Row],[FECHA]])</f>
        <v>2026</v>
      </c>
      <c r="I2" s="38" t="str">
        <f aca="false">IF(OR(Tabela1[[#This Row],[CATEGORIA]]="Estrutura",Tabela1[[#This Row],[CATEGORIA]]="ProLabore",Tabela1[[#This Row],[SUBCATEGORIA]]="Salário",Tabela1[[#This Row],[CATEGORIA]]="Softwares"),"F","V")</f>
        <v>V</v>
      </c>
      <c r="U2" s="38" t="s">
        <v>3512</v>
      </c>
      <c r="V2" s="38" t="s">
        <v>16</v>
      </c>
      <c r="W2" s="38" t="s">
        <v>3513</v>
      </c>
      <c r="X2" s="38" t="s">
        <v>3514</v>
      </c>
      <c r="Y2" s="38" t="s">
        <v>3515</v>
      </c>
      <c r="Z2" s="38" t="s">
        <v>3516</v>
      </c>
      <c r="AA2" s="38" t="s">
        <v>3517</v>
      </c>
      <c r="AB2" s="38" t="s">
        <v>3518</v>
      </c>
      <c r="AC2" s="38" t="s">
        <v>3519</v>
      </c>
      <c r="AD2" s="38" t="s">
        <v>3520</v>
      </c>
      <c r="AE2" s="38" t="s">
        <v>3521</v>
      </c>
    </row>
    <row r="3" customFormat="false" ht="15" hidden="false" customHeight="false" outlineLevel="0" collapsed="false">
      <c r="A3" s="41" t="n">
        <v>46024</v>
      </c>
      <c r="B3" s="39" t="n">
        <v>50</v>
      </c>
      <c r="C3" s="38" t="s">
        <v>3522</v>
      </c>
      <c r="D3" s="38" t="s">
        <v>3507</v>
      </c>
      <c r="E3" s="38" t="s">
        <v>3519</v>
      </c>
      <c r="G3" s="38" t="n">
        <f aca="false">MONTH(A3)</f>
        <v>1</v>
      </c>
      <c r="H3" s="38" t="n">
        <f aca="false">YEAR(Tabela1[[#This Row],[FECHA]])</f>
        <v>2026</v>
      </c>
      <c r="I3" s="38" t="str">
        <f aca="false">IF(OR(Tabela1[[#This Row],[CATEGORIA]]="Estrutura",Tabela1[[#This Row],[CATEGORIA]]="ProLabore",Tabela1[[#This Row],[SUBCATEGORIA]]="Salário",Tabela1[[#This Row],[CATEGORIA]]="Softwares"),"F","V")</f>
        <v>V</v>
      </c>
      <c r="U3" s="38" t="s">
        <v>3523</v>
      </c>
      <c r="V3" s="38" t="s">
        <v>3511</v>
      </c>
      <c r="W3" s="38" t="s">
        <v>3524</v>
      </c>
      <c r="X3" s="38" t="s">
        <v>3525</v>
      </c>
      <c r="Y3" s="38" t="s">
        <v>3526</v>
      </c>
      <c r="Z3" s="38" t="s">
        <v>3527</v>
      </c>
      <c r="AA3" s="38" t="s">
        <v>3528</v>
      </c>
      <c r="AB3" s="38" t="s">
        <v>3529</v>
      </c>
      <c r="AC3" s="38" t="s">
        <v>3530</v>
      </c>
      <c r="AD3" s="38" t="s">
        <v>3531</v>
      </c>
    </row>
    <row r="4" customFormat="false" ht="15" hidden="false" customHeight="false" outlineLevel="0" collapsed="false">
      <c r="A4" s="41" t="n">
        <v>46024</v>
      </c>
      <c r="B4" s="39" t="n">
        <v>50</v>
      </c>
      <c r="C4" s="38" t="s">
        <v>3522</v>
      </c>
      <c r="D4" s="38" t="s">
        <v>3507</v>
      </c>
      <c r="E4" s="38" t="s">
        <v>3519</v>
      </c>
      <c r="G4" s="38" t="n">
        <f aca="false">MONTH(A4)</f>
        <v>1</v>
      </c>
      <c r="H4" s="38" t="n">
        <f aca="false">YEAR(Tabela1[[#This Row],[FECHA]])</f>
        <v>2026</v>
      </c>
      <c r="I4" s="38" t="str">
        <f aca="false">IF(OR(Tabela1[[#This Row],[CATEGORIA]]="Estrutura",Tabela1[[#This Row],[CATEGORIA]]="ProLabore",Tabela1[[#This Row],[SUBCATEGORIA]]="Salário",Tabela1[[#This Row],[CATEGORIA]]="Softwares"),"F","V")</f>
        <v>V</v>
      </c>
      <c r="V4" s="38" t="s">
        <v>3532</v>
      </c>
      <c r="W4" s="38" t="s">
        <v>3533</v>
      </c>
      <c r="Z4" s="38" t="s">
        <v>3534</v>
      </c>
      <c r="AA4" s="38" t="s">
        <v>3535</v>
      </c>
      <c r="AC4" s="38" t="s">
        <v>3536</v>
      </c>
      <c r="AD4" s="38" t="s">
        <v>3537</v>
      </c>
    </row>
    <row r="5" customFormat="false" ht="15" hidden="false" customHeight="false" outlineLevel="0" collapsed="false">
      <c r="A5" s="41" t="n">
        <v>46024</v>
      </c>
      <c r="B5" s="39" t="n">
        <v>50</v>
      </c>
      <c r="C5" s="38" t="s">
        <v>3522</v>
      </c>
      <c r="D5" s="38" t="s">
        <v>3507</v>
      </c>
      <c r="E5" s="38" t="s">
        <v>3519</v>
      </c>
      <c r="G5" s="38" t="n">
        <f aca="false">MONTH(A5)</f>
        <v>1</v>
      </c>
      <c r="H5" s="38" t="n">
        <f aca="false">YEAR(Tabela1[[#This Row],[FECHA]])</f>
        <v>2026</v>
      </c>
      <c r="I5" s="38" t="str">
        <f aca="false">IF(OR(Tabela1[[#This Row],[CATEGORIA]]="Estrutura",Tabela1[[#This Row],[CATEGORIA]]="ProLabore",Tabela1[[#This Row],[SUBCATEGORIA]]="Salário",Tabela1[[#This Row],[CATEGORIA]]="Softwares"),"F","V")</f>
        <v>V</v>
      </c>
      <c r="V5" s="38" t="s">
        <v>3538</v>
      </c>
      <c r="W5" s="38" t="s">
        <v>3539</v>
      </c>
      <c r="Z5" s="38" t="s">
        <v>3540</v>
      </c>
      <c r="AA5" s="38" t="s">
        <v>3541</v>
      </c>
      <c r="AC5" s="38" t="s">
        <v>3542</v>
      </c>
      <c r="AD5" s="38" t="s">
        <v>3543</v>
      </c>
    </row>
    <row r="6" customFormat="false" ht="15" hidden="false" customHeight="false" outlineLevel="0" collapsed="false">
      <c r="A6" s="41" t="n">
        <v>46024</v>
      </c>
      <c r="B6" s="39" t="n">
        <v>95</v>
      </c>
      <c r="C6" s="38" t="s">
        <v>3544</v>
      </c>
      <c r="D6" s="38" t="s">
        <v>3508</v>
      </c>
      <c r="E6" s="38" t="s">
        <v>3531</v>
      </c>
      <c r="G6" s="38" t="n">
        <f aca="false">MONTH(A6)</f>
        <v>1</v>
      </c>
      <c r="H6" s="38" t="n">
        <f aca="false">YEAR(Tabela1[[#This Row],[FECHA]])</f>
        <v>2026</v>
      </c>
      <c r="I6" s="38" t="str">
        <f aca="false">IF(OR(Tabela1[[#This Row],[CATEGORIA]]="Estrutura",Tabela1[[#This Row],[CATEGORIA]]="ProLabore",Tabela1[[#This Row],[SUBCATEGORIA]]="Salário",Tabela1[[#This Row],[CATEGORIA]]="Softwares"),"F","V")</f>
        <v>F</v>
      </c>
      <c r="W6" s="38" t="s">
        <v>3545</v>
      </c>
      <c r="Z6" s="38" t="s">
        <v>3546</v>
      </c>
      <c r="AC6" s="38" t="s">
        <v>16</v>
      </c>
      <c r="AD6" s="38" t="s">
        <v>3547</v>
      </c>
    </row>
    <row r="7" customFormat="false" ht="15" hidden="false" customHeight="false" outlineLevel="0" collapsed="false">
      <c r="A7" s="41" t="n">
        <v>46024</v>
      </c>
      <c r="B7" s="39" t="n">
        <v>184</v>
      </c>
      <c r="C7" s="38" t="s">
        <v>3548</v>
      </c>
      <c r="D7" s="38" t="s">
        <v>3503</v>
      </c>
      <c r="E7" s="38" t="s">
        <v>3515</v>
      </c>
      <c r="G7" s="38" t="n">
        <f aca="false">MONTH(A7)</f>
        <v>1</v>
      </c>
      <c r="H7" s="38" t="n">
        <f aca="false">YEAR(Tabela1[[#This Row],[FECHA]])</f>
        <v>2026</v>
      </c>
      <c r="I7" s="38" t="str">
        <f aca="false">IF(OR(Tabela1[[#This Row],[CATEGORIA]]="Estrutura",Tabela1[[#This Row],[CATEGORIA]]="ProLabore",Tabela1[[#This Row],[SUBCATEGORIA]]="Salário",Tabela1[[#This Row],[CATEGORIA]]="Softwares"),"F","V")</f>
        <v>V</v>
      </c>
      <c r="W7" s="38" t="s">
        <v>3549</v>
      </c>
      <c r="AD7" s="38" t="s">
        <v>3550</v>
      </c>
    </row>
    <row r="8" customFormat="false" ht="15" hidden="false" customHeight="false" outlineLevel="0" collapsed="false">
      <c r="A8" s="41" t="n">
        <v>46024</v>
      </c>
      <c r="B8" s="39" t="n">
        <v>291</v>
      </c>
      <c r="C8" s="38" t="s">
        <v>3548</v>
      </c>
      <c r="D8" s="38" t="s">
        <v>3503</v>
      </c>
      <c r="E8" s="38" t="s">
        <v>3515</v>
      </c>
      <c r="G8" s="38" t="n">
        <f aca="false">MONTH(A8)</f>
        <v>1</v>
      </c>
      <c r="H8" s="38" t="n">
        <f aca="false">YEAR(Tabela1[[#This Row],[FECHA]])</f>
        <v>2026</v>
      </c>
      <c r="I8" s="38" t="str">
        <f aca="false">IF(OR(Tabela1[[#This Row],[CATEGORIA]]="Estrutura",Tabela1[[#This Row],[CATEGORIA]]="ProLabore",Tabela1[[#This Row],[SUBCATEGORIA]]="Salário",Tabela1[[#This Row],[CATEGORIA]]="Softwares"),"F","V")</f>
        <v>V</v>
      </c>
      <c r="AD8" s="38" t="s">
        <v>3551</v>
      </c>
    </row>
    <row r="9" customFormat="false" ht="15" hidden="false" customHeight="false" outlineLevel="0" collapsed="false">
      <c r="A9" s="41" t="n">
        <v>46025</v>
      </c>
      <c r="B9" s="39" t="n">
        <v>50</v>
      </c>
      <c r="C9" s="38" t="s">
        <v>3522</v>
      </c>
      <c r="D9" s="38" t="s">
        <v>3507</v>
      </c>
      <c r="E9" s="38" t="s">
        <v>3519</v>
      </c>
      <c r="G9" s="38" t="n">
        <f aca="false">MONTH(A9)</f>
        <v>1</v>
      </c>
      <c r="H9" s="38" t="n">
        <f aca="false">YEAR(Tabela1[[#This Row],[FECHA]])</f>
        <v>2026</v>
      </c>
      <c r="I9" s="38" t="str">
        <f aca="false">IF(OR(Tabela1[[#This Row],[CATEGORIA]]="Estrutura",Tabela1[[#This Row],[CATEGORIA]]="ProLabore",Tabela1[[#This Row],[SUBCATEGORIA]]="Salário",Tabela1[[#This Row],[CATEGORIA]]="Softwares"),"F","V")</f>
        <v>V</v>
      </c>
      <c r="AD9" s="38" t="s">
        <v>3552</v>
      </c>
    </row>
    <row r="10" customFormat="false" ht="15" hidden="false" customHeight="false" outlineLevel="0" collapsed="false">
      <c r="A10" s="41" t="n">
        <v>46025</v>
      </c>
      <c r="B10" s="39" t="n">
        <v>476</v>
      </c>
      <c r="C10" s="38" t="s">
        <v>3548</v>
      </c>
      <c r="D10" s="38" t="s">
        <v>3503</v>
      </c>
      <c r="E10" s="38" t="s">
        <v>3515</v>
      </c>
      <c r="G10" s="38" t="n">
        <f aca="false">MONTH(A10)</f>
        <v>1</v>
      </c>
      <c r="H10" s="38" t="n">
        <f aca="false">YEAR(Tabela1[[#This Row],[FECHA]])</f>
        <v>2026</v>
      </c>
      <c r="I10" s="38" t="str">
        <f aca="false">IF(OR(Tabela1[[#This Row],[CATEGORIA]]="Estrutura",Tabela1[[#This Row],[CATEGORIA]]="ProLabore",Tabela1[[#This Row],[SUBCATEGORIA]]="Salário",Tabela1[[#This Row],[CATEGORIA]]="Softwares"),"F","V")</f>
        <v>V</v>
      </c>
      <c r="AD10" s="38" t="s">
        <v>3553</v>
      </c>
    </row>
    <row r="11" customFormat="false" ht="15" hidden="false" customHeight="false" outlineLevel="0" collapsed="false">
      <c r="A11" s="41" t="n">
        <v>46026</v>
      </c>
      <c r="B11" s="39" t="n">
        <v>5</v>
      </c>
      <c r="C11" s="38" t="s">
        <v>3554</v>
      </c>
      <c r="D11" s="38" t="s">
        <v>3503</v>
      </c>
      <c r="E11" s="38" t="s">
        <v>3526</v>
      </c>
      <c r="G11" s="38" t="n">
        <f aca="false">MONTH(A11)</f>
        <v>1</v>
      </c>
      <c r="H11" s="38" t="n">
        <f aca="false">YEAR(Tabela1[[#This Row],[FECHA]])</f>
        <v>2026</v>
      </c>
      <c r="I11" s="38" t="str">
        <f aca="false">IF(OR(Tabela1[[#This Row],[CATEGORIA]]="Estrutura",Tabela1[[#This Row],[CATEGORIA]]="ProLabore",Tabela1[[#This Row],[SUBCATEGORIA]]="Salário",Tabela1[[#This Row],[CATEGORIA]]="Softwares"),"F","V")</f>
        <v>V</v>
      </c>
      <c r="AD11" s="38" t="s">
        <v>3555</v>
      </c>
    </row>
    <row r="12" customFormat="false" ht="15" hidden="false" customHeight="false" outlineLevel="0" collapsed="false">
      <c r="A12" s="41" t="n">
        <v>46026</v>
      </c>
      <c r="B12" s="39" t="n">
        <v>20</v>
      </c>
      <c r="C12" s="38" t="s">
        <v>3556</v>
      </c>
      <c r="D12" s="38" t="s">
        <v>3509</v>
      </c>
      <c r="G12" s="38" t="n">
        <f aca="false">MONTH(A12)</f>
        <v>1</v>
      </c>
      <c r="H12" s="38" t="n">
        <f aca="false">YEAR(Tabela1[[#This Row],[FECHA]])</f>
        <v>2026</v>
      </c>
      <c r="I12" s="38" t="str">
        <f aca="false">IF(OR(Tabela1[[#This Row],[CATEGORIA]]="Estrutura",Tabela1[[#This Row],[CATEGORIA]]="ProLabore",Tabela1[[#This Row],[SUBCATEGORIA]]="Salário",Tabela1[[#This Row],[CATEGORIA]]="Softwares"),"F","V")</f>
        <v>V</v>
      </c>
      <c r="AD12" s="38" t="s">
        <v>3557</v>
      </c>
    </row>
    <row r="13" customFormat="false" ht="15" hidden="false" customHeight="false" outlineLevel="0" collapsed="false">
      <c r="A13" s="41" t="n">
        <v>46027</v>
      </c>
      <c r="B13" s="39" t="n">
        <v>50</v>
      </c>
      <c r="C13" s="38" t="s">
        <v>3522</v>
      </c>
      <c r="D13" s="38" t="s">
        <v>3507</v>
      </c>
      <c r="E13" s="38" t="s">
        <v>3519</v>
      </c>
      <c r="G13" s="38" t="n">
        <f aca="false">MONTH(A13)</f>
        <v>1</v>
      </c>
      <c r="H13" s="38" t="n">
        <f aca="false">YEAR(Tabela1[[#This Row],[FECHA]])</f>
        <v>2026</v>
      </c>
      <c r="I13" s="38" t="str">
        <f aca="false">IF(OR(Tabela1[[#This Row],[CATEGORIA]]="Estrutura",Tabela1[[#This Row],[CATEGORIA]]="ProLabore",Tabela1[[#This Row],[SUBCATEGORIA]]="Salário",Tabela1[[#This Row],[CATEGORIA]]="Softwares"),"F","V")</f>
        <v>V</v>
      </c>
      <c r="AD13" s="38" t="s">
        <v>3558</v>
      </c>
    </row>
    <row r="14" customFormat="false" ht="15" hidden="false" customHeight="false" outlineLevel="0" collapsed="false">
      <c r="A14" s="41" t="n">
        <v>46028</v>
      </c>
      <c r="B14" s="39" t="n">
        <v>80</v>
      </c>
      <c r="C14" s="38" t="s">
        <v>3559</v>
      </c>
      <c r="D14" s="38" t="s">
        <v>3500</v>
      </c>
      <c r="E14" s="38" t="s">
        <v>3511</v>
      </c>
      <c r="G14" s="38" t="n">
        <f aca="false">MONTH(A14)</f>
        <v>1</v>
      </c>
      <c r="H14" s="38" t="n">
        <f aca="false">YEAR(Tabela1[[#This Row],[FECHA]])</f>
        <v>2026</v>
      </c>
      <c r="I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" customFormat="false" ht="15" hidden="false" customHeight="false" outlineLevel="0" collapsed="false">
      <c r="A15" s="41" t="n">
        <v>46028</v>
      </c>
      <c r="B15" s="39" t="n">
        <v>542</v>
      </c>
      <c r="C15" s="38" t="s">
        <v>3548</v>
      </c>
      <c r="D15" s="38" t="s">
        <v>3503</v>
      </c>
      <c r="E15" s="38" t="s">
        <v>3515</v>
      </c>
      <c r="G15" s="38" t="n">
        <f aca="false">MONTH(A15)</f>
        <v>1</v>
      </c>
      <c r="H15" s="38" t="n">
        <f aca="false">YEAR(Tabela1[[#This Row],[FECHA]])</f>
        <v>2026</v>
      </c>
      <c r="I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" customFormat="false" ht="15" hidden="false" customHeight="false" outlineLevel="0" collapsed="false">
      <c r="A16" s="41" t="n">
        <v>46028</v>
      </c>
      <c r="B16" s="39" t="n">
        <v>100</v>
      </c>
      <c r="D16" s="38" t="s">
        <v>3507</v>
      </c>
      <c r="E16" s="38" t="s">
        <v>3519</v>
      </c>
      <c r="G16" s="38" t="n">
        <f aca="false">MONTH(A16)</f>
        <v>1</v>
      </c>
      <c r="H16" s="38" t="n">
        <f aca="false">YEAR(Tabela1[[#This Row],[FECHA]])</f>
        <v>2026</v>
      </c>
      <c r="I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" customFormat="false" ht="15" hidden="false" customHeight="false" outlineLevel="0" collapsed="false">
      <c r="A17" s="41" t="n">
        <v>46028</v>
      </c>
      <c r="B17" s="39" t="n">
        <v>270</v>
      </c>
      <c r="D17" s="38" t="s">
        <v>3507</v>
      </c>
      <c r="E17" s="38" t="s">
        <v>3519</v>
      </c>
      <c r="G17" s="38" t="n">
        <f aca="false">MONTH(A17)</f>
        <v>1</v>
      </c>
      <c r="H17" s="38" t="n">
        <f aca="false">YEAR(Tabela1[[#This Row],[FECHA]])</f>
        <v>2026</v>
      </c>
      <c r="I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" customFormat="false" ht="15" hidden="false" customHeight="false" outlineLevel="0" collapsed="false">
      <c r="A18" s="41" t="n">
        <v>46029</v>
      </c>
      <c r="B18" s="39" t="n">
        <v>410.42</v>
      </c>
      <c r="D18" s="38" t="s">
        <v>3501</v>
      </c>
      <c r="E18" s="38" t="s">
        <v>3539</v>
      </c>
      <c r="G18" s="38" t="n">
        <f aca="false">MONTH(A18)</f>
        <v>1</v>
      </c>
      <c r="H18" s="38" t="n">
        <f aca="false">YEAR(Tabela1[[#This Row],[FECHA]])</f>
        <v>2026</v>
      </c>
      <c r="I18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19" customFormat="false" ht="15" hidden="false" customHeight="false" outlineLevel="0" collapsed="false">
      <c r="A19" s="41" t="n">
        <v>46029</v>
      </c>
      <c r="B19" s="39" t="n">
        <v>50</v>
      </c>
      <c r="C19" s="38" t="s">
        <v>3522</v>
      </c>
      <c r="D19" s="38" t="s">
        <v>3507</v>
      </c>
      <c r="E19" s="38" t="s">
        <v>3519</v>
      </c>
      <c r="G19" s="38" t="n">
        <f aca="false">MONTH(A19)</f>
        <v>1</v>
      </c>
      <c r="H19" s="38" t="n">
        <f aca="false">YEAR(Tabela1[[#This Row],[FECHA]])</f>
        <v>2026</v>
      </c>
      <c r="I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" customFormat="false" ht="15" hidden="false" customHeight="false" outlineLevel="0" collapsed="false">
      <c r="A20" s="41" t="n">
        <v>46029</v>
      </c>
      <c r="B20" s="39" t="n">
        <v>1557.46</v>
      </c>
      <c r="D20" s="38" t="s">
        <v>3501</v>
      </c>
      <c r="E20" s="38" t="s">
        <v>3513</v>
      </c>
      <c r="G20" s="38" t="n">
        <f aca="false">MONTH(A20)</f>
        <v>1</v>
      </c>
      <c r="H20" s="38" t="n">
        <f aca="false">YEAR(Tabela1[[#This Row],[FECHA]])</f>
        <v>2026</v>
      </c>
      <c r="I20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21" customFormat="false" ht="15" hidden="false" customHeight="false" outlineLevel="0" collapsed="false">
      <c r="A21" s="41" t="n">
        <v>46029</v>
      </c>
      <c r="B21" s="39" t="n">
        <v>210.52</v>
      </c>
      <c r="D21" s="38" t="s">
        <v>3501</v>
      </c>
      <c r="E21" s="38" t="s">
        <v>3524</v>
      </c>
      <c r="G21" s="38" t="n">
        <f aca="false">MONTH(A21)</f>
        <v>1</v>
      </c>
      <c r="H21" s="38" t="n">
        <f aca="false">YEAR(Tabela1[[#This Row],[FECHA]])</f>
        <v>2026</v>
      </c>
      <c r="I21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22" customFormat="false" ht="15" hidden="false" customHeight="false" outlineLevel="0" collapsed="false">
      <c r="A22" s="41" t="n">
        <v>46029</v>
      </c>
      <c r="B22" s="39" t="n">
        <v>20</v>
      </c>
      <c r="C22" s="38" t="s">
        <v>3560</v>
      </c>
      <c r="D22" s="38" t="s">
        <v>3500</v>
      </c>
      <c r="E22" s="38" t="s">
        <v>3511</v>
      </c>
      <c r="G22" s="38" t="n">
        <f aca="false">MONTH(A22)</f>
        <v>1</v>
      </c>
      <c r="H22" s="38" t="n">
        <f aca="false">YEAR(Tabela1[[#This Row],[FECHA]])</f>
        <v>2026</v>
      </c>
      <c r="I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" customFormat="false" ht="15" hidden="false" customHeight="false" outlineLevel="0" collapsed="false">
      <c r="A23" s="41" t="n">
        <v>46029</v>
      </c>
      <c r="B23" s="39" t="n">
        <v>50</v>
      </c>
      <c r="C23" s="38" t="s">
        <v>3522</v>
      </c>
      <c r="D23" s="38" t="s">
        <v>3507</v>
      </c>
      <c r="E23" s="38" t="s">
        <v>3519</v>
      </c>
      <c r="G23" s="38" t="n">
        <f aca="false">MONTH(A23)</f>
        <v>1</v>
      </c>
      <c r="H23" s="38" t="n">
        <f aca="false">YEAR(Tabela1[[#This Row],[FECHA]])</f>
        <v>2026</v>
      </c>
      <c r="I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" customFormat="false" ht="15" hidden="false" customHeight="false" outlineLevel="0" collapsed="false">
      <c r="A24" s="41" t="n">
        <v>46029</v>
      </c>
      <c r="B24" s="39" t="n">
        <v>70</v>
      </c>
      <c r="C24" s="38" t="s">
        <v>3522</v>
      </c>
      <c r="D24" s="38" t="s">
        <v>3507</v>
      </c>
      <c r="E24" s="38" t="s">
        <v>3519</v>
      </c>
      <c r="G24" s="38" t="n">
        <f aca="false">MONTH(A24)</f>
        <v>1</v>
      </c>
      <c r="H24" s="38" t="n">
        <f aca="false">YEAR(Tabela1[[#This Row],[FECHA]])</f>
        <v>2026</v>
      </c>
      <c r="I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" customFormat="false" ht="15" hidden="false" customHeight="false" outlineLevel="0" collapsed="false">
      <c r="A25" s="41" t="n">
        <v>46029</v>
      </c>
      <c r="B25" s="39" t="n">
        <v>40</v>
      </c>
      <c r="D25" s="38" t="s">
        <v>3500</v>
      </c>
      <c r="E25" s="38" t="s">
        <v>3511</v>
      </c>
      <c r="G25" s="38" t="n">
        <f aca="false">MONTH(A25)</f>
        <v>1</v>
      </c>
      <c r="H25" s="38" t="n">
        <f aca="false">YEAR(Tabela1[[#This Row],[FECHA]])</f>
        <v>2026</v>
      </c>
      <c r="I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" customFormat="false" ht="15" hidden="false" customHeight="false" outlineLevel="0" collapsed="false">
      <c r="A26" s="41" t="n">
        <v>46030</v>
      </c>
      <c r="B26" s="39" t="n">
        <v>50</v>
      </c>
      <c r="C26" s="38" t="s">
        <v>3522</v>
      </c>
      <c r="D26" s="38" t="s">
        <v>3507</v>
      </c>
      <c r="E26" s="38" t="s">
        <v>3519</v>
      </c>
      <c r="G26" s="38" t="n">
        <f aca="false">MONTH(A26)</f>
        <v>1</v>
      </c>
      <c r="H26" s="38" t="n">
        <f aca="false">YEAR(Tabela1[[#This Row],[FECHA]])</f>
        <v>2026</v>
      </c>
      <c r="I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" customFormat="false" ht="15" hidden="false" customHeight="false" outlineLevel="0" collapsed="false">
      <c r="A27" s="41" t="n">
        <v>46030</v>
      </c>
      <c r="B27" s="39" t="n">
        <v>70</v>
      </c>
      <c r="C27" s="38" t="s">
        <v>3522</v>
      </c>
      <c r="D27" s="38" t="s">
        <v>3507</v>
      </c>
      <c r="E27" s="38" t="s">
        <v>3519</v>
      </c>
      <c r="G27" s="38" t="n">
        <f aca="false">MONTH(A27)</f>
        <v>1</v>
      </c>
      <c r="H27" s="38" t="n">
        <f aca="false">YEAR(Tabela1[[#This Row],[FECHA]])</f>
        <v>2026</v>
      </c>
      <c r="I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" customFormat="false" ht="15" hidden="false" customHeight="false" outlineLevel="0" collapsed="false">
      <c r="A28" s="41" t="n">
        <v>46030</v>
      </c>
      <c r="B28" s="39" t="n">
        <v>40</v>
      </c>
      <c r="D28" s="38" t="s">
        <v>3500</v>
      </c>
      <c r="E28" s="38" t="s">
        <v>3511</v>
      </c>
      <c r="G28" s="38" t="n">
        <f aca="false">MONTH(A28)</f>
        <v>1</v>
      </c>
      <c r="H28" s="38" t="n">
        <f aca="false">YEAR(Tabela1[[#This Row],[FECHA]])</f>
        <v>2026</v>
      </c>
      <c r="I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" customFormat="false" ht="15" hidden="false" customHeight="false" outlineLevel="0" collapsed="false">
      <c r="A29" s="41" t="n">
        <v>46031</v>
      </c>
      <c r="B29" s="39" t="n">
        <v>50</v>
      </c>
      <c r="C29" s="38" t="s">
        <v>3522</v>
      </c>
      <c r="D29" s="38" t="s">
        <v>3507</v>
      </c>
      <c r="E29" s="38" t="s">
        <v>3519</v>
      </c>
      <c r="G29" s="38" t="n">
        <f aca="false">MONTH(A29)</f>
        <v>1</v>
      </c>
      <c r="H29" s="38" t="n">
        <f aca="false">YEAR(Tabela1[[#This Row],[FECHA]])</f>
        <v>2026</v>
      </c>
      <c r="I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" customFormat="false" ht="15" hidden="false" customHeight="false" outlineLevel="0" collapsed="false">
      <c r="A30" s="41" t="n">
        <v>46031</v>
      </c>
      <c r="B30" s="39" t="n">
        <v>50</v>
      </c>
      <c r="C30" s="38" t="s">
        <v>3522</v>
      </c>
      <c r="D30" s="38" t="s">
        <v>3507</v>
      </c>
      <c r="E30" s="38" t="s">
        <v>3519</v>
      </c>
      <c r="G30" s="38" t="n">
        <f aca="false">MONTH(A30)</f>
        <v>1</v>
      </c>
      <c r="H30" s="38" t="n">
        <f aca="false">YEAR(Tabela1[[#This Row],[FECHA]])</f>
        <v>2026</v>
      </c>
      <c r="I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" customFormat="false" ht="15" hidden="false" customHeight="false" outlineLevel="0" collapsed="false">
      <c r="A31" s="41" t="n">
        <v>46031</v>
      </c>
      <c r="B31" s="39" t="n">
        <v>50</v>
      </c>
      <c r="C31" s="38" t="s">
        <v>3522</v>
      </c>
      <c r="D31" s="38" t="s">
        <v>3507</v>
      </c>
      <c r="E31" s="38" t="s">
        <v>3519</v>
      </c>
      <c r="G31" s="38" t="n">
        <f aca="false">MONTH(A31)</f>
        <v>1</v>
      </c>
      <c r="H31" s="38" t="n">
        <f aca="false">YEAR(Tabela1[[#This Row],[FECHA]])</f>
        <v>2026</v>
      </c>
      <c r="I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" customFormat="false" ht="15" hidden="false" customHeight="false" outlineLevel="0" collapsed="false">
      <c r="A32" s="41" t="n">
        <v>46031</v>
      </c>
      <c r="B32" s="39" t="n">
        <v>40</v>
      </c>
      <c r="C32" s="38" t="s">
        <v>1513</v>
      </c>
      <c r="D32" s="38" t="s">
        <v>3500</v>
      </c>
      <c r="E32" s="38" t="s">
        <v>3511</v>
      </c>
      <c r="G32" s="38" t="n">
        <f aca="false">MONTH(A32)</f>
        <v>1</v>
      </c>
      <c r="H32" s="38" t="n">
        <f aca="false">YEAR(Tabela1[[#This Row],[FECHA]])</f>
        <v>2026</v>
      </c>
      <c r="I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" customFormat="false" ht="15" hidden="false" customHeight="false" outlineLevel="0" collapsed="false">
      <c r="A33" s="41" t="n">
        <v>46031</v>
      </c>
      <c r="B33" s="39" t="n">
        <v>100</v>
      </c>
      <c r="C33" s="38" t="s">
        <v>3561</v>
      </c>
      <c r="D33" s="38" t="s">
        <v>3500</v>
      </c>
      <c r="E33" s="38" t="s">
        <v>3511</v>
      </c>
      <c r="G33" s="38" t="n">
        <f aca="false">MONTH(A33)</f>
        <v>1</v>
      </c>
      <c r="H33" s="38" t="n">
        <f aca="false">YEAR(Tabela1[[#This Row],[FECHA]])</f>
        <v>2026</v>
      </c>
      <c r="I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" customFormat="false" ht="15" hidden="false" customHeight="false" outlineLevel="0" collapsed="false">
      <c r="A34" s="41" t="n">
        <v>46031</v>
      </c>
      <c r="B34" s="39" t="n">
        <v>50</v>
      </c>
      <c r="C34" s="38" t="s">
        <v>3522</v>
      </c>
      <c r="D34" s="38" t="s">
        <v>3507</v>
      </c>
      <c r="E34" s="38" t="s">
        <v>3519</v>
      </c>
      <c r="G34" s="38" t="n">
        <f aca="false">MONTH(A34)</f>
        <v>1</v>
      </c>
      <c r="H34" s="38" t="n">
        <f aca="false">YEAR(Tabela1[[#This Row],[FECHA]])</f>
        <v>2026</v>
      </c>
      <c r="I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" customFormat="false" ht="15" hidden="false" customHeight="false" outlineLevel="0" collapsed="false">
      <c r="A35" s="41" t="n">
        <v>46031</v>
      </c>
      <c r="B35" s="39" t="n">
        <v>150</v>
      </c>
      <c r="C35" s="38" t="s">
        <v>3562</v>
      </c>
      <c r="D35" s="38" t="s">
        <v>3507</v>
      </c>
      <c r="E35" s="38" t="s">
        <v>3530</v>
      </c>
      <c r="G35" s="38" t="n">
        <f aca="false">MONTH(A35)</f>
        <v>1</v>
      </c>
      <c r="H35" s="38" t="n">
        <f aca="false">YEAR(Tabela1[[#This Row],[FECHA]])</f>
        <v>2026</v>
      </c>
      <c r="I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" customFormat="false" ht="15" hidden="false" customHeight="false" outlineLevel="0" collapsed="false">
      <c r="A36" s="41" t="n">
        <v>46031</v>
      </c>
      <c r="B36" s="39" t="n">
        <v>50</v>
      </c>
      <c r="C36" s="38" t="s">
        <v>3562</v>
      </c>
      <c r="D36" s="38" t="s">
        <v>3507</v>
      </c>
      <c r="E36" s="38" t="s">
        <v>3530</v>
      </c>
      <c r="G36" s="38" t="n">
        <f aca="false">MONTH(A36)</f>
        <v>1</v>
      </c>
      <c r="H36" s="38" t="n">
        <f aca="false">YEAR(Tabela1[[#This Row],[FECHA]])</f>
        <v>2026</v>
      </c>
      <c r="I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" customFormat="false" ht="15" hidden="false" customHeight="false" outlineLevel="0" collapsed="false">
      <c r="A37" s="41" t="n">
        <v>46031</v>
      </c>
      <c r="B37" s="39" t="n">
        <v>135</v>
      </c>
      <c r="C37" s="38" t="s">
        <v>3522</v>
      </c>
      <c r="D37" s="38" t="s">
        <v>3507</v>
      </c>
      <c r="E37" s="38" t="s">
        <v>3519</v>
      </c>
      <c r="G37" s="38" t="n">
        <f aca="false">MONTH(A37)</f>
        <v>1</v>
      </c>
      <c r="H37" s="38" t="n">
        <f aca="false">YEAR(Tabela1[[#This Row],[FECHA]])</f>
        <v>2026</v>
      </c>
      <c r="I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" customFormat="false" ht="15" hidden="false" customHeight="false" outlineLevel="0" collapsed="false">
      <c r="A38" s="41" t="n">
        <v>46032</v>
      </c>
      <c r="B38" s="39" t="n">
        <v>665</v>
      </c>
      <c r="D38" s="38" t="s">
        <v>3500</v>
      </c>
      <c r="E38" s="38" t="s">
        <v>3511</v>
      </c>
      <c r="G38" s="38" t="n">
        <f aca="false">MONTH(A38)</f>
        <v>1</v>
      </c>
      <c r="H38" s="38" t="n">
        <f aca="false">YEAR(Tabela1[[#This Row],[FECHA]])</f>
        <v>2026</v>
      </c>
      <c r="I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" customFormat="false" ht="15" hidden="false" customHeight="false" outlineLevel="0" collapsed="false">
      <c r="A39" s="41" t="n">
        <v>46032</v>
      </c>
      <c r="B39" s="39" t="n">
        <v>150</v>
      </c>
      <c r="C39" s="38" t="s">
        <v>3563</v>
      </c>
      <c r="D39" s="38" t="s">
        <v>3500</v>
      </c>
      <c r="E39" s="38" t="s">
        <v>3511</v>
      </c>
      <c r="G39" s="38" t="n">
        <f aca="false">MONTH(A39)</f>
        <v>1</v>
      </c>
      <c r="H39" s="38" t="n">
        <f aca="false">YEAR(Tabela1[[#This Row],[FECHA]])</f>
        <v>2026</v>
      </c>
      <c r="I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" customFormat="false" ht="15" hidden="false" customHeight="false" outlineLevel="0" collapsed="false">
      <c r="A40" s="41" t="n">
        <v>46032</v>
      </c>
      <c r="B40" s="39" t="n">
        <v>1334</v>
      </c>
      <c r="D40" s="38" t="s">
        <v>3506</v>
      </c>
      <c r="E40" s="38" t="s">
        <v>3529</v>
      </c>
      <c r="G40" s="38" t="n">
        <f aca="false">MONTH(A40)</f>
        <v>1</v>
      </c>
      <c r="H40" s="38" t="n">
        <f aca="false">YEAR(Tabela1[[#This Row],[FECHA]])</f>
        <v>2026</v>
      </c>
      <c r="I40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41" customFormat="false" ht="15" hidden="false" customHeight="false" outlineLevel="0" collapsed="false">
      <c r="A41" s="41" t="n">
        <v>46032</v>
      </c>
      <c r="B41" s="39" t="n">
        <v>50</v>
      </c>
      <c r="C41" s="38" t="s">
        <v>3522</v>
      </c>
      <c r="D41" s="38" t="s">
        <v>3507</v>
      </c>
      <c r="E41" s="38" t="s">
        <v>3519</v>
      </c>
      <c r="G41" s="38" t="n">
        <f aca="false">MONTH(A41)</f>
        <v>1</v>
      </c>
      <c r="H41" s="38" t="n">
        <f aca="false">YEAR(Tabela1[[#This Row],[FECHA]])</f>
        <v>2026</v>
      </c>
      <c r="I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" customFormat="false" ht="15" hidden="false" customHeight="false" outlineLevel="0" collapsed="false">
      <c r="A42" s="41" t="n">
        <v>46033</v>
      </c>
      <c r="B42" s="39" t="n">
        <v>150</v>
      </c>
      <c r="C42" s="38" t="s">
        <v>287</v>
      </c>
      <c r="D42" s="38" t="s">
        <v>3500</v>
      </c>
      <c r="E42" s="38" t="s">
        <v>3511</v>
      </c>
      <c r="G42" s="38" t="n">
        <f aca="false">MONTH(A42)</f>
        <v>1</v>
      </c>
      <c r="H42" s="38" t="n">
        <f aca="false">YEAR(Tabela1[[#This Row],[FECHA]])</f>
        <v>2026</v>
      </c>
      <c r="I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" customFormat="false" ht="15" hidden="false" customHeight="false" outlineLevel="0" collapsed="false">
      <c r="A43" s="41" t="n">
        <v>46033</v>
      </c>
      <c r="B43" s="39" t="n">
        <v>542</v>
      </c>
      <c r="C43" s="38" t="s">
        <v>3548</v>
      </c>
      <c r="D43" s="38" t="s">
        <v>3503</v>
      </c>
      <c r="E43" s="38" t="s">
        <v>3515</v>
      </c>
      <c r="G43" s="38" t="n">
        <f aca="false">MONTH(A43)</f>
        <v>1</v>
      </c>
      <c r="H43" s="38" t="n">
        <f aca="false">YEAR(Tabela1[[#This Row],[FECHA]])</f>
        <v>2026</v>
      </c>
      <c r="I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" customFormat="false" ht="15" hidden="false" customHeight="false" outlineLevel="0" collapsed="false">
      <c r="A44" s="41" t="n">
        <v>46034</v>
      </c>
      <c r="B44" s="39" t="n">
        <v>100</v>
      </c>
      <c r="D44" s="38" t="s">
        <v>3507</v>
      </c>
      <c r="E44" s="38" t="s">
        <v>3519</v>
      </c>
      <c r="G44" s="38" t="n">
        <f aca="false">MONTH(A44)</f>
        <v>1</v>
      </c>
      <c r="H44" s="38" t="n">
        <f aca="false">YEAR(Tabela1[[#This Row],[FECHA]])</f>
        <v>2026</v>
      </c>
      <c r="I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" customFormat="false" ht="15" hidden="false" customHeight="false" outlineLevel="0" collapsed="false">
      <c r="A45" s="41" t="n">
        <v>46034</v>
      </c>
      <c r="B45" s="39" t="n">
        <v>50</v>
      </c>
      <c r="D45" s="38" t="s">
        <v>3507</v>
      </c>
      <c r="E45" s="38" t="s">
        <v>3519</v>
      </c>
      <c r="G45" s="38" t="n">
        <f aca="false">MONTH(A45)</f>
        <v>1</v>
      </c>
      <c r="H45" s="38" t="n">
        <f aca="false">YEAR(Tabela1[[#This Row],[FECHA]])</f>
        <v>2026</v>
      </c>
      <c r="I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" customFormat="false" ht="15" hidden="false" customHeight="false" outlineLevel="0" collapsed="false">
      <c r="A46" s="41" t="n">
        <v>46034</v>
      </c>
      <c r="B46" s="39" t="n">
        <v>50</v>
      </c>
      <c r="D46" s="38" t="s">
        <v>3507</v>
      </c>
      <c r="E46" s="38" t="s">
        <v>3519</v>
      </c>
      <c r="G46" s="38" t="n">
        <f aca="false">MONTH(A46)</f>
        <v>1</v>
      </c>
      <c r="H46" s="38" t="n">
        <f aca="false">YEAR(Tabela1[[#This Row],[FECHA]])</f>
        <v>2026</v>
      </c>
      <c r="I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" customFormat="false" ht="15" hidden="false" customHeight="false" outlineLevel="0" collapsed="false">
      <c r="A47" s="41" t="n">
        <v>46034</v>
      </c>
      <c r="B47" s="39" t="n">
        <v>200</v>
      </c>
      <c r="C47" s="38" t="s">
        <v>3562</v>
      </c>
      <c r="D47" s="38" t="s">
        <v>3507</v>
      </c>
      <c r="E47" s="38" t="s">
        <v>3530</v>
      </c>
      <c r="G47" s="38" t="n">
        <f aca="false">MONTH(A47)</f>
        <v>1</v>
      </c>
      <c r="H47" s="38" t="n">
        <f aca="false">YEAR(Tabela1[[#This Row],[FECHA]])</f>
        <v>2026</v>
      </c>
      <c r="I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" customFormat="false" ht="15" hidden="false" customHeight="false" outlineLevel="0" collapsed="false">
      <c r="A48" s="41" t="n">
        <v>46034</v>
      </c>
      <c r="B48" s="39" t="n">
        <v>50</v>
      </c>
      <c r="D48" s="38" t="s">
        <v>3507</v>
      </c>
      <c r="E48" s="38" t="s">
        <v>3519</v>
      </c>
      <c r="G48" s="38" t="n">
        <f aca="false">MONTH(A48)</f>
        <v>1</v>
      </c>
      <c r="H48" s="38" t="n">
        <f aca="false">YEAR(Tabela1[[#This Row],[FECHA]])</f>
        <v>2026</v>
      </c>
      <c r="I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" customFormat="false" ht="15" hidden="false" customHeight="false" outlineLevel="0" collapsed="false">
      <c r="A49" s="41" t="n">
        <v>46034</v>
      </c>
      <c r="B49" s="39" t="n">
        <v>50</v>
      </c>
      <c r="D49" s="38" t="s">
        <v>3507</v>
      </c>
      <c r="E49" s="38" t="s">
        <v>3519</v>
      </c>
      <c r="G49" s="38" t="n">
        <f aca="false">MONTH(A49)</f>
        <v>1</v>
      </c>
      <c r="H49" s="38" t="n">
        <f aca="false">YEAR(Tabela1[[#This Row],[FECHA]])</f>
        <v>2026</v>
      </c>
      <c r="I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" customFormat="false" ht="15" hidden="false" customHeight="false" outlineLevel="0" collapsed="false">
      <c r="A50" s="41" t="n">
        <v>46034</v>
      </c>
      <c r="B50" s="39" t="n">
        <v>50</v>
      </c>
      <c r="C50" s="38" t="s">
        <v>3562</v>
      </c>
      <c r="D50" s="38" t="s">
        <v>3507</v>
      </c>
      <c r="E50" s="38" t="s">
        <v>3530</v>
      </c>
      <c r="G50" s="38" t="n">
        <f aca="false">MONTH(A50)</f>
        <v>1</v>
      </c>
      <c r="H50" s="38" t="n">
        <f aca="false">YEAR(Tabela1[[#This Row],[FECHA]])</f>
        <v>2026</v>
      </c>
      <c r="I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" customFormat="false" ht="15" hidden="false" customHeight="false" outlineLevel="0" collapsed="false">
      <c r="A51" s="41" t="n">
        <v>46035</v>
      </c>
      <c r="B51" s="39" t="n">
        <v>15.83</v>
      </c>
      <c r="D51" s="38" t="s">
        <v>3503</v>
      </c>
      <c r="E51" s="38" t="s">
        <v>3515</v>
      </c>
      <c r="G51" s="38" t="n">
        <f aca="false">MONTH(A51)</f>
        <v>1</v>
      </c>
      <c r="H51" s="38" t="n">
        <f aca="false">YEAR(Tabela1[[#This Row],[FECHA]])</f>
        <v>2026</v>
      </c>
      <c r="I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" customFormat="false" ht="15" hidden="false" customHeight="false" outlineLevel="0" collapsed="false">
      <c r="A52" s="41" t="n">
        <v>46035</v>
      </c>
      <c r="B52" s="39" t="n">
        <v>50</v>
      </c>
      <c r="D52" s="38" t="s">
        <v>3507</v>
      </c>
      <c r="E52" s="38" t="s">
        <v>3519</v>
      </c>
      <c r="G52" s="38" t="n">
        <f aca="false">MONTH(A52)</f>
        <v>1</v>
      </c>
      <c r="H52" s="38" t="n">
        <f aca="false">YEAR(Tabela1[[#This Row],[FECHA]])</f>
        <v>2026</v>
      </c>
      <c r="I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" customFormat="false" ht="15" hidden="false" customHeight="false" outlineLevel="0" collapsed="false">
      <c r="A53" s="41" t="n">
        <v>46035</v>
      </c>
      <c r="B53" s="39" t="n">
        <v>50</v>
      </c>
      <c r="D53" s="38" t="s">
        <v>3507</v>
      </c>
      <c r="E53" s="38" t="s">
        <v>3519</v>
      </c>
      <c r="G53" s="38" t="n">
        <f aca="false">MONTH(A53)</f>
        <v>1</v>
      </c>
      <c r="H53" s="38" t="n">
        <f aca="false">YEAR(Tabela1[[#This Row],[FECHA]])</f>
        <v>2026</v>
      </c>
      <c r="I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" customFormat="false" ht="15" hidden="false" customHeight="false" outlineLevel="0" collapsed="false">
      <c r="A54" s="41" t="n">
        <v>46035</v>
      </c>
      <c r="B54" s="39" t="n">
        <v>50</v>
      </c>
      <c r="D54" s="38" t="s">
        <v>3507</v>
      </c>
      <c r="E54" s="38" t="s">
        <v>3519</v>
      </c>
      <c r="G54" s="38" t="n">
        <f aca="false">MONTH(A54)</f>
        <v>1</v>
      </c>
      <c r="H54" s="38" t="n">
        <f aca="false">YEAR(Tabela1[[#This Row],[FECHA]])</f>
        <v>2026</v>
      </c>
      <c r="I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" customFormat="false" ht="15" hidden="false" customHeight="false" outlineLevel="0" collapsed="false">
      <c r="A55" s="41" t="n">
        <v>46035</v>
      </c>
      <c r="B55" s="39" t="n">
        <v>50</v>
      </c>
      <c r="D55" s="38" t="s">
        <v>3507</v>
      </c>
      <c r="E55" s="38" t="s">
        <v>3519</v>
      </c>
      <c r="G55" s="38" t="n">
        <f aca="false">MONTH(A55)</f>
        <v>1</v>
      </c>
      <c r="H55" s="38" t="n">
        <f aca="false">YEAR(Tabela1[[#This Row],[FECHA]])</f>
        <v>2026</v>
      </c>
      <c r="I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" customFormat="false" ht="15" hidden="false" customHeight="false" outlineLevel="0" collapsed="false">
      <c r="A56" s="41" t="n">
        <v>46035</v>
      </c>
      <c r="B56" s="39" t="n">
        <v>90</v>
      </c>
      <c r="D56" s="38" t="s">
        <v>3500</v>
      </c>
      <c r="E56" s="38" t="s">
        <v>3511</v>
      </c>
      <c r="G56" s="38" t="n">
        <f aca="false">MONTH(A56)</f>
        <v>1</v>
      </c>
      <c r="H56" s="38" t="n">
        <f aca="false">YEAR(Tabela1[[#This Row],[FECHA]])</f>
        <v>2026</v>
      </c>
      <c r="I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" customFormat="false" ht="15" hidden="false" customHeight="false" outlineLevel="0" collapsed="false">
      <c r="A57" s="41" t="n">
        <v>46035</v>
      </c>
      <c r="B57" s="39" t="n">
        <v>80</v>
      </c>
      <c r="C57" s="38" t="s">
        <v>3564</v>
      </c>
      <c r="D57" s="38" t="s">
        <v>3500</v>
      </c>
      <c r="E57" s="38" t="s">
        <v>3511</v>
      </c>
      <c r="G57" s="38" t="n">
        <f aca="false">MONTH(A57)</f>
        <v>1</v>
      </c>
      <c r="H57" s="38" t="n">
        <f aca="false">YEAR(Tabela1[[#This Row],[FECHA]])</f>
        <v>2026</v>
      </c>
      <c r="I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" customFormat="false" ht="15" hidden="false" customHeight="false" outlineLevel="0" collapsed="false">
      <c r="A58" s="41" t="n">
        <v>46035</v>
      </c>
      <c r="B58" s="39" t="n">
        <v>179.99</v>
      </c>
      <c r="D58" s="38" t="s">
        <v>3504</v>
      </c>
      <c r="E58" s="38" t="s">
        <v>3516</v>
      </c>
      <c r="G58" s="38" t="n">
        <f aca="false">MONTH(A58)</f>
        <v>1</v>
      </c>
      <c r="H58" s="38" t="n">
        <f aca="false">YEAR(Tabela1[[#This Row],[FECHA]])</f>
        <v>2026</v>
      </c>
      <c r="I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" customFormat="false" ht="15" hidden="false" customHeight="false" outlineLevel="0" collapsed="false">
      <c r="A59" s="41" t="n">
        <v>46036</v>
      </c>
      <c r="B59" s="39" t="n">
        <v>70</v>
      </c>
      <c r="D59" s="38" t="s">
        <v>3507</v>
      </c>
      <c r="E59" s="38" t="s">
        <v>3519</v>
      </c>
      <c r="G59" s="38" t="n">
        <f aca="false">MONTH(A59)</f>
        <v>1</v>
      </c>
      <c r="H59" s="38" t="n">
        <f aca="false">YEAR(Tabela1[[#This Row],[FECHA]])</f>
        <v>2026</v>
      </c>
      <c r="I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" customFormat="false" ht="15" hidden="false" customHeight="false" outlineLevel="0" collapsed="false">
      <c r="A60" s="41" t="n">
        <v>46036</v>
      </c>
      <c r="B60" s="39" t="n">
        <v>135</v>
      </c>
      <c r="D60" s="38" t="s">
        <v>3507</v>
      </c>
      <c r="E60" s="38" t="s">
        <v>3519</v>
      </c>
      <c r="G60" s="38" t="n">
        <f aca="false">MONTH(A60)</f>
        <v>1</v>
      </c>
      <c r="H60" s="38" t="n">
        <f aca="false">YEAR(Tabela1[[#This Row],[FECHA]])</f>
        <v>2026</v>
      </c>
      <c r="I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" customFormat="false" ht="15" hidden="false" customHeight="false" outlineLevel="0" collapsed="false">
      <c r="A61" s="41" t="n">
        <v>46036</v>
      </c>
      <c r="B61" s="39" t="n">
        <v>80</v>
      </c>
      <c r="C61" s="38" t="s">
        <v>3565</v>
      </c>
      <c r="D61" s="38" t="s">
        <v>3500</v>
      </c>
      <c r="E61" s="38" t="s">
        <v>3511</v>
      </c>
      <c r="G61" s="38" t="n">
        <f aca="false">MONTH(A61)</f>
        <v>1</v>
      </c>
      <c r="H61" s="38" t="n">
        <f aca="false">YEAR(Tabela1[[#This Row],[FECHA]])</f>
        <v>2026</v>
      </c>
      <c r="I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" customFormat="false" ht="15" hidden="false" customHeight="false" outlineLevel="0" collapsed="false">
      <c r="A62" s="41" t="n">
        <v>46037</v>
      </c>
      <c r="B62" s="39" t="n">
        <v>1000</v>
      </c>
      <c r="C62" s="38" t="s">
        <v>3566</v>
      </c>
      <c r="D62" s="38" t="s">
        <v>3505</v>
      </c>
      <c r="E62" s="38" t="s">
        <v>3541</v>
      </c>
      <c r="G62" s="38" t="n">
        <f aca="false">MONTH(A62)</f>
        <v>1</v>
      </c>
      <c r="H62" s="38" t="n">
        <f aca="false">YEAR(Tabela1[[#This Row],[FECHA]])</f>
        <v>2026</v>
      </c>
      <c r="I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" customFormat="false" ht="15" hidden="false" customHeight="false" outlineLevel="0" collapsed="false">
      <c r="A63" s="41" t="n">
        <v>46037</v>
      </c>
      <c r="B63" s="39" t="n">
        <v>1000</v>
      </c>
      <c r="C63" s="38" t="s">
        <v>3567</v>
      </c>
      <c r="D63" s="38" t="s">
        <v>3505</v>
      </c>
      <c r="E63" s="38" t="s">
        <v>3517</v>
      </c>
      <c r="G63" s="38" t="n">
        <f aca="false">MONTH(A63)</f>
        <v>1</v>
      </c>
      <c r="H63" s="38" t="n">
        <f aca="false">YEAR(Tabela1[[#This Row],[FECHA]])</f>
        <v>2026</v>
      </c>
      <c r="I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" customFormat="false" ht="15" hidden="false" customHeight="false" outlineLevel="0" collapsed="false">
      <c r="A64" s="41" t="n">
        <v>46037</v>
      </c>
      <c r="B64" s="39" t="n">
        <v>543.02</v>
      </c>
      <c r="D64" s="38" t="s">
        <v>3503</v>
      </c>
      <c r="E64" s="38" t="s">
        <v>3515</v>
      </c>
      <c r="G64" s="38" t="n">
        <f aca="false">MONTH(A64)</f>
        <v>1</v>
      </c>
      <c r="H64" s="38" t="n">
        <f aca="false">YEAR(Tabela1[[#This Row],[FECHA]])</f>
        <v>2026</v>
      </c>
      <c r="I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" customFormat="false" ht="15" hidden="false" customHeight="false" outlineLevel="0" collapsed="false">
      <c r="A65" s="41" t="n">
        <v>46037</v>
      </c>
      <c r="B65" s="39" t="n">
        <v>50</v>
      </c>
      <c r="D65" s="38" t="s">
        <v>3507</v>
      </c>
      <c r="E65" s="38" t="s">
        <v>3519</v>
      </c>
      <c r="G65" s="38" t="n">
        <f aca="false">MONTH(A65)</f>
        <v>1</v>
      </c>
      <c r="H65" s="38" t="n">
        <f aca="false">YEAR(Tabela1[[#This Row],[FECHA]])</f>
        <v>2026</v>
      </c>
      <c r="I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" customFormat="false" ht="15" hidden="false" customHeight="false" outlineLevel="0" collapsed="false">
      <c r="A66" s="41" t="n">
        <v>46037</v>
      </c>
      <c r="B66" s="39" t="n">
        <v>50</v>
      </c>
      <c r="D66" s="38" t="s">
        <v>3507</v>
      </c>
      <c r="E66" s="38" t="s">
        <v>3519</v>
      </c>
      <c r="G66" s="38" t="n">
        <f aca="false">MONTH(A66)</f>
        <v>1</v>
      </c>
      <c r="H66" s="38" t="n">
        <f aca="false">YEAR(Tabela1[[#This Row],[FECHA]])</f>
        <v>2026</v>
      </c>
      <c r="I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" customFormat="false" ht="15" hidden="false" customHeight="false" outlineLevel="0" collapsed="false">
      <c r="A67" s="41" t="n">
        <v>46037</v>
      </c>
      <c r="B67" s="39" t="n">
        <v>50</v>
      </c>
      <c r="D67" s="38" t="s">
        <v>3507</v>
      </c>
      <c r="E67" s="38" t="s">
        <v>3519</v>
      </c>
      <c r="G67" s="38" t="n">
        <f aca="false">MONTH(A67)</f>
        <v>1</v>
      </c>
      <c r="H67" s="38" t="n">
        <f aca="false">YEAR(Tabela1[[#This Row],[FECHA]])</f>
        <v>2026</v>
      </c>
      <c r="I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" customFormat="false" ht="15" hidden="false" customHeight="false" outlineLevel="0" collapsed="false">
      <c r="A68" s="41" t="n">
        <v>46037</v>
      </c>
      <c r="B68" s="39" t="n">
        <v>1407</v>
      </c>
      <c r="C68" s="38" t="s">
        <v>3568</v>
      </c>
      <c r="D68" s="38" t="s">
        <v>3505</v>
      </c>
      <c r="E68" s="38" t="s">
        <v>3517</v>
      </c>
      <c r="G68" s="38" t="n">
        <f aca="false">MONTH(A68)</f>
        <v>1</v>
      </c>
      <c r="H68" s="38" t="n">
        <f aca="false">YEAR(Tabela1[[#This Row],[FECHA]])</f>
        <v>2026</v>
      </c>
      <c r="I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" customFormat="false" ht="15" hidden="false" customHeight="false" outlineLevel="0" collapsed="false">
      <c r="A69" s="41" t="n">
        <v>46037</v>
      </c>
      <c r="B69" s="39" t="n">
        <v>300</v>
      </c>
      <c r="C69" s="38" t="s">
        <v>3569</v>
      </c>
      <c r="D69" s="38" t="s">
        <v>3499</v>
      </c>
      <c r="E69" s="38" t="s">
        <v>3512</v>
      </c>
      <c r="G69" s="38" t="n">
        <f aca="false">MONTH(A69)</f>
        <v>1</v>
      </c>
      <c r="H69" s="38" t="n">
        <f aca="false">YEAR(Tabela1[[#This Row],[FECHA]])</f>
        <v>2026</v>
      </c>
      <c r="I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" customFormat="false" ht="15" hidden="false" customHeight="false" outlineLevel="0" collapsed="false">
      <c r="A70" s="41" t="n">
        <v>46038</v>
      </c>
      <c r="B70" s="39" t="n">
        <v>542</v>
      </c>
      <c r="D70" s="38" t="s">
        <v>3503</v>
      </c>
      <c r="E70" s="38" t="s">
        <v>3515</v>
      </c>
      <c r="G70" s="38" t="n">
        <f aca="false">MONTH(A70)</f>
        <v>1</v>
      </c>
      <c r="H70" s="38" t="n">
        <f aca="false">YEAR(Tabela1[[#This Row],[FECHA]])</f>
        <v>2026</v>
      </c>
      <c r="I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" customFormat="false" ht="15" hidden="false" customHeight="false" outlineLevel="0" collapsed="false">
      <c r="A71" s="41" t="n">
        <v>46038</v>
      </c>
      <c r="B71" s="39" t="n">
        <v>100</v>
      </c>
      <c r="C71" s="38" t="s">
        <v>3562</v>
      </c>
      <c r="D71" s="38" t="s">
        <v>3507</v>
      </c>
      <c r="E71" s="38" t="s">
        <v>3530</v>
      </c>
      <c r="G71" s="38" t="n">
        <f aca="false">MONTH(A71)</f>
        <v>1</v>
      </c>
      <c r="H71" s="38" t="n">
        <f aca="false">YEAR(Tabela1[[#This Row],[FECHA]])</f>
        <v>2026</v>
      </c>
      <c r="I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" customFormat="false" ht="15" hidden="false" customHeight="false" outlineLevel="0" collapsed="false">
      <c r="A72" s="41" t="n">
        <v>46038</v>
      </c>
      <c r="B72" s="39" t="n">
        <v>200</v>
      </c>
      <c r="C72" s="38" t="s">
        <v>3562</v>
      </c>
      <c r="D72" s="38" t="s">
        <v>3507</v>
      </c>
      <c r="E72" s="38" t="s">
        <v>3530</v>
      </c>
      <c r="G72" s="38" t="n">
        <f aca="false">MONTH(A72)</f>
        <v>1</v>
      </c>
      <c r="H72" s="38" t="n">
        <f aca="false">YEAR(Tabela1[[#This Row],[FECHA]])</f>
        <v>2026</v>
      </c>
      <c r="I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" customFormat="false" ht="15" hidden="false" customHeight="false" outlineLevel="0" collapsed="false">
      <c r="A73" s="41" t="n">
        <v>46038</v>
      </c>
      <c r="B73" s="39" t="n">
        <v>80</v>
      </c>
      <c r="C73" s="38" t="s">
        <v>3570</v>
      </c>
      <c r="D73" s="38" t="s">
        <v>3500</v>
      </c>
      <c r="E73" s="38" t="s">
        <v>3511</v>
      </c>
      <c r="G73" s="38" t="n">
        <f aca="false">MONTH(A73)</f>
        <v>1</v>
      </c>
      <c r="H73" s="38" t="n">
        <f aca="false">YEAR(Tabela1[[#This Row],[FECHA]])</f>
        <v>2026</v>
      </c>
      <c r="I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" customFormat="false" ht="15" hidden="false" customHeight="false" outlineLevel="0" collapsed="false">
      <c r="A74" s="41" t="n">
        <v>46038</v>
      </c>
      <c r="B74" s="39" t="n">
        <v>50</v>
      </c>
      <c r="D74" s="38" t="s">
        <v>3507</v>
      </c>
      <c r="E74" s="38" t="s">
        <v>3519</v>
      </c>
      <c r="G74" s="38" t="n">
        <f aca="false">MONTH(A74)</f>
        <v>1</v>
      </c>
      <c r="H74" s="38" t="n">
        <f aca="false">YEAR(Tabela1[[#This Row],[FECHA]])</f>
        <v>2026</v>
      </c>
      <c r="I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" customFormat="false" ht="15" hidden="false" customHeight="false" outlineLevel="0" collapsed="false">
      <c r="A75" s="41" t="n">
        <v>46038</v>
      </c>
      <c r="B75" s="39" t="n">
        <v>50</v>
      </c>
      <c r="D75" s="38" t="s">
        <v>3507</v>
      </c>
      <c r="E75" s="38" t="s">
        <v>3519</v>
      </c>
      <c r="G75" s="38" t="n">
        <f aca="false">MONTH(A75)</f>
        <v>1</v>
      </c>
      <c r="H75" s="38" t="n">
        <f aca="false">YEAR(Tabela1[[#This Row],[FECHA]])</f>
        <v>2026</v>
      </c>
      <c r="I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" customFormat="false" ht="15" hidden="false" customHeight="false" outlineLevel="0" collapsed="false">
      <c r="A76" s="41" t="n">
        <v>46038</v>
      </c>
      <c r="B76" s="39" t="n">
        <v>110</v>
      </c>
      <c r="D76" s="38" t="s">
        <v>3507</v>
      </c>
      <c r="E76" s="38" t="s">
        <v>3519</v>
      </c>
      <c r="G76" s="38" t="n">
        <f aca="false">MONTH(A76)</f>
        <v>1</v>
      </c>
      <c r="H76" s="38" t="n">
        <f aca="false">YEAR(Tabela1[[#This Row],[FECHA]])</f>
        <v>2026</v>
      </c>
      <c r="I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" customFormat="false" ht="15" hidden="false" customHeight="false" outlineLevel="0" collapsed="false">
      <c r="A77" s="41" t="n">
        <v>46038</v>
      </c>
      <c r="B77" s="39" t="n">
        <v>50</v>
      </c>
      <c r="D77" s="38" t="s">
        <v>3507</v>
      </c>
      <c r="E77" s="38" t="s">
        <v>3519</v>
      </c>
      <c r="G77" s="38" t="n">
        <f aca="false">MONTH(A77)</f>
        <v>1</v>
      </c>
      <c r="H77" s="38" t="n">
        <f aca="false">YEAR(Tabela1[[#This Row],[FECHA]])</f>
        <v>2026</v>
      </c>
      <c r="I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" customFormat="false" ht="15" hidden="false" customHeight="false" outlineLevel="0" collapsed="false">
      <c r="A78" s="41" t="n">
        <v>46038</v>
      </c>
      <c r="B78" s="39" t="n">
        <v>40</v>
      </c>
      <c r="C78" s="38" t="s">
        <v>3571</v>
      </c>
      <c r="D78" s="38" t="s">
        <v>3500</v>
      </c>
      <c r="E78" s="38" t="s">
        <v>3511</v>
      </c>
      <c r="G78" s="38" t="n">
        <f aca="false">MONTH(A78)</f>
        <v>1</v>
      </c>
      <c r="H78" s="38" t="n">
        <f aca="false">YEAR(Tabela1[[#This Row],[FECHA]])</f>
        <v>2026</v>
      </c>
      <c r="I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" customFormat="false" ht="15" hidden="false" customHeight="false" outlineLevel="0" collapsed="false">
      <c r="A79" s="41" t="n">
        <v>46038</v>
      </c>
      <c r="B79" s="39" t="n">
        <v>600</v>
      </c>
      <c r="D79" s="38" t="s">
        <v>3502</v>
      </c>
      <c r="E79" s="38" t="s">
        <v>3525</v>
      </c>
      <c r="G79" s="38" t="n">
        <f aca="false">MONTH(A79)</f>
        <v>1</v>
      </c>
      <c r="H79" s="38" t="n">
        <f aca="false">YEAR(Tabela1[[#This Row],[FECHA]])</f>
        <v>2026</v>
      </c>
      <c r="I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" customFormat="false" ht="15" hidden="false" customHeight="false" outlineLevel="0" collapsed="false">
      <c r="A80" s="41" t="n">
        <v>46038</v>
      </c>
      <c r="B80" s="39" t="n">
        <v>55.68</v>
      </c>
      <c r="D80" s="38" t="s">
        <v>3508</v>
      </c>
      <c r="E80" s="38" t="s">
        <v>3537</v>
      </c>
      <c r="G80" s="38" t="n">
        <f aca="false">MONTH(A80)</f>
        <v>1</v>
      </c>
      <c r="H80" s="38" t="n">
        <f aca="false">YEAR(Tabela1[[#This Row],[FECHA]])</f>
        <v>2026</v>
      </c>
      <c r="I80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81" customFormat="false" ht="15" hidden="false" customHeight="false" outlineLevel="0" collapsed="false">
      <c r="A81" s="41" t="n">
        <v>46040</v>
      </c>
      <c r="B81" s="39" t="n">
        <v>40</v>
      </c>
      <c r="D81" s="38" t="s">
        <v>3507</v>
      </c>
      <c r="E81" s="38" t="s">
        <v>3536</v>
      </c>
      <c r="G81" s="38" t="n">
        <f aca="false">MONTH(A81)</f>
        <v>1</v>
      </c>
      <c r="H81" s="38" t="n">
        <f aca="false">YEAR(Tabela1[[#This Row],[FECHA]])</f>
        <v>2026</v>
      </c>
      <c r="I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" customFormat="false" ht="15" hidden="false" customHeight="false" outlineLevel="0" collapsed="false">
      <c r="A82" s="41" t="n">
        <v>46041</v>
      </c>
      <c r="B82" s="39" t="n">
        <v>253</v>
      </c>
      <c r="D82" s="38" t="s">
        <v>3501</v>
      </c>
      <c r="E82" s="38" t="s">
        <v>3545</v>
      </c>
      <c r="G82" s="38" t="n">
        <f aca="false">MONTH(A82)</f>
        <v>1</v>
      </c>
      <c r="H82" s="38" t="n">
        <f aca="false">YEAR(Tabela1[[#This Row],[FECHA]])</f>
        <v>2026</v>
      </c>
      <c r="I82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83" customFormat="false" ht="15" hidden="false" customHeight="false" outlineLevel="0" collapsed="false">
      <c r="A83" s="41" t="n">
        <v>46042</v>
      </c>
      <c r="B83" s="39" t="n">
        <v>180</v>
      </c>
      <c r="D83" s="38" t="s">
        <v>3500</v>
      </c>
      <c r="E83" s="38" t="s">
        <v>16</v>
      </c>
      <c r="G83" s="38" t="n">
        <f aca="false">MONTH(A83)</f>
        <v>1</v>
      </c>
      <c r="H83" s="38" t="n">
        <f aca="false">YEAR(Tabela1[[#This Row],[FECHA]])</f>
        <v>2026</v>
      </c>
      <c r="I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" customFormat="false" ht="15" hidden="false" customHeight="false" outlineLevel="0" collapsed="false">
      <c r="A84" s="41" t="n">
        <v>46042</v>
      </c>
      <c r="B84" s="39" t="n">
        <v>80</v>
      </c>
      <c r="D84" s="38" t="s">
        <v>3500</v>
      </c>
      <c r="E84" s="38" t="s">
        <v>16</v>
      </c>
      <c r="G84" s="38" t="n">
        <f aca="false">MONTH(A84)</f>
        <v>1</v>
      </c>
      <c r="H84" s="38" t="n">
        <f aca="false">YEAR(Tabela1[[#This Row],[FECHA]])</f>
        <v>2026</v>
      </c>
      <c r="I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" customFormat="false" ht="15" hidden="false" customHeight="false" outlineLevel="0" collapsed="false">
      <c r="A85" s="41" t="n">
        <v>46042</v>
      </c>
      <c r="B85" s="39" t="n">
        <v>80</v>
      </c>
      <c r="D85" s="38" t="s">
        <v>3500</v>
      </c>
      <c r="E85" s="38" t="s">
        <v>16</v>
      </c>
      <c r="G85" s="38" t="n">
        <f aca="false">MONTH(A85)</f>
        <v>1</v>
      </c>
      <c r="H85" s="38" t="n">
        <f aca="false">YEAR(Tabela1[[#This Row],[FECHA]])</f>
        <v>2026</v>
      </c>
      <c r="I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" customFormat="false" ht="15" hidden="false" customHeight="false" outlineLevel="0" collapsed="false">
      <c r="A86" s="41" t="n">
        <v>46043</v>
      </c>
      <c r="B86" s="39" t="n">
        <v>80</v>
      </c>
      <c r="C86" s="38" t="s">
        <v>3572</v>
      </c>
      <c r="D86" s="38" t="s">
        <v>3500</v>
      </c>
      <c r="E86" s="38" t="s">
        <v>16</v>
      </c>
      <c r="G86" s="38" t="n">
        <f aca="false">MONTH(A86)</f>
        <v>1</v>
      </c>
      <c r="H86" s="38" t="n">
        <f aca="false">YEAR(Tabela1[[#This Row],[FECHA]])</f>
        <v>2026</v>
      </c>
      <c r="I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" customFormat="false" ht="15" hidden="false" customHeight="false" outlineLevel="0" collapsed="false">
      <c r="A87" s="41" t="n">
        <v>46043</v>
      </c>
      <c r="B87" s="39" t="n">
        <v>80</v>
      </c>
      <c r="C87" s="38" t="s">
        <v>3573</v>
      </c>
      <c r="D87" s="38" t="s">
        <v>3500</v>
      </c>
      <c r="E87" s="38" t="s">
        <v>16</v>
      </c>
      <c r="G87" s="38" t="n">
        <f aca="false">MONTH(A87)</f>
        <v>1</v>
      </c>
      <c r="H87" s="38" t="n">
        <f aca="false">YEAR(Tabela1[[#This Row],[FECHA]])</f>
        <v>2026</v>
      </c>
      <c r="I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" customFormat="false" ht="15" hidden="false" customHeight="false" outlineLevel="0" collapsed="false">
      <c r="A88" s="41" t="n">
        <v>46043</v>
      </c>
      <c r="B88" s="39" t="n">
        <v>80</v>
      </c>
      <c r="C88" s="38" t="s">
        <v>3574</v>
      </c>
      <c r="D88" s="38" t="s">
        <v>3500</v>
      </c>
      <c r="E88" s="38" t="s">
        <v>16</v>
      </c>
      <c r="G88" s="38" t="n">
        <f aca="false">MONTH(A88)</f>
        <v>1</v>
      </c>
      <c r="H88" s="38" t="n">
        <f aca="false">YEAR(Tabela1[[#This Row],[FECHA]])</f>
        <v>2026</v>
      </c>
      <c r="I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" customFormat="false" ht="15" hidden="false" customHeight="false" outlineLevel="0" collapsed="false">
      <c r="A89" s="41" t="n">
        <v>46043</v>
      </c>
      <c r="B89" s="39" t="n">
        <v>100</v>
      </c>
      <c r="C89" s="38" t="s">
        <v>3562</v>
      </c>
      <c r="D89" s="38" t="s">
        <v>3507</v>
      </c>
      <c r="E89" s="38" t="s">
        <v>3530</v>
      </c>
      <c r="G89" s="38" t="n">
        <f aca="false">MONTH(A89)</f>
        <v>1</v>
      </c>
      <c r="H89" s="38" t="n">
        <f aca="false">YEAR(Tabela1[[#This Row],[FECHA]])</f>
        <v>2026</v>
      </c>
      <c r="I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" customFormat="false" ht="15" hidden="false" customHeight="false" outlineLevel="0" collapsed="false">
      <c r="A90" s="41" t="n">
        <v>46043</v>
      </c>
      <c r="B90" s="39" t="n">
        <v>45</v>
      </c>
      <c r="C90" s="38" t="s">
        <v>369</v>
      </c>
      <c r="D90" s="38" t="s">
        <v>3509</v>
      </c>
      <c r="G90" s="38" t="n">
        <f aca="false">MONTH(A90)</f>
        <v>1</v>
      </c>
      <c r="H90" s="38" t="n">
        <f aca="false">YEAR(Tabela1[[#This Row],[FECHA]])</f>
        <v>2026</v>
      </c>
      <c r="I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" customFormat="false" ht="15" hidden="false" customHeight="false" outlineLevel="0" collapsed="false">
      <c r="A91" s="41" t="n">
        <v>46043</v>
      </c>
      <c r="B91" s="39" t="n">
        <v>110</v>
      </c>
      <c r="C91" s="38" t="s">
        <v>3575</v>
      </c>
      <c r="D91" s="38" t="s">
        <v>3499</v>
      </c>
      <c r="E91" s="38" t="s">
        <v>3523</v>
      </c>
      <c r="G91" s="38" t="n">
        <f aca="false">MONTH(A91)</f>
        <v>1</v>
      </c>
      <c r="H91" s="38" t="n">
        <f aca="false">YEAR(Tabela1[[#This Row],[FECHA]])</f>
        <v>2026</v>
      </c>
      <c r="I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" customFormat="false" ht="15" hidden="false" customHeight="false" outlineLevel="0" collapsed="false">
      <c r="A92" s="41" t="n">
        <v>46044</v>
      </c>
      <c r="B92" s="39" t="n">
        <v>1551.14</v>
      </c>
      <c r="C92" s="38" t="s">
        <v>3576</v>
      </c>
      <c r="D92" s="38" t="s">
        <v>3503</v>
      </c>
      <c r="E92" s="38" t="s">
        <v>3515</v>
      </c>
      <c r="G92" s="38" t="n">
        <f aca="false">MONTH(A92)</f>
        <v>1</v>
      </c>
      <c r="H92" s="38" t="n">
        <f aca="false">YEAR(Tabela1[[#This Row],[FECHA]])</f>
        <v>2026</v>
      </c>
      <c r="I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" customFormat="false" ht="15" hidden="false" customHeight="false" outlineLevel="0" collapsed="false">
      <c r="A93" s="41" t="n">
        <v>46044</v>
      </c>
      <c r="B93" s="39" t="n">
        <v>80</v>
      </c>
      <c r="C93" s="38" t="s">
        <v>3577</v>
      </c>
      <c r="D93" s="38" t="s">
        <v>3500</v>
      </c>
      <c r="E93" s="38" t="s">
        <v>16</v>
      </c>
      <c r="G93" s="38" t="n">
        <f aca="false">MONTH(A93)</f>
        <v>1</v>
      </c>
      <c r="H93" s="38" t="n">
        <f aca="false">YEAR(Tabela1[[#This Row],[FECHA]])</f>
        <v>2026</v>
      </c>
      <c r="I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" customFormat="false" ht="15" hidden="false" customHeight="false" outlineLevel="0" collapsed="false">
      <c r="A94" s="41" t="n">
        <v>46044</v>
      </c>
      <c r="B94" s="39" t="n">
        <v>124</v>
      </c>
      <c r="C94" s="38" t="s">
        <v>3578</v>
      </c>
      <c r="D94" s="38" t="s">
        <v>3509</v>
      </c>
      <c r="G94" s="38" t="n">
        <f aca="false">MONTH(A94)</f>
        <v>1</v>
      </c>
      <c r="H94" s="38" t="n">
        <f aca="false">YEAR(Tabela1[[#This Row],[FECHA]])</f>
        <v>2026</v>
      </c>
      <c r="I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" customFormat="false" ht="15" hidden="false" customHeight="false" outlineLevel="0" collapsed="false">
      <c r="A95" s="41" t="n">
        <v>46044</v>
      </c>
      <c r="B95" s="39" t="n">
        <v>100</v>
      </c>
      <c r="C95" s="38" t="s">
        <v>3562</v>
      </c>
      <c r="D95" s="38" t="s">
        <v>3507</v>
      </c>
      <c r="E95" s="38" t="s">
        <v>3530</v>
      </c>
      <c r="G95" s="38" t="n">
        <f aca="false">MONTH(A95)</f>
        <v>1</v>
      </c>
      <c r="H95" s="38" t="n">
        <f aca="false">YEAR(Tabela1[[#This Row],[FECHA]])</f>
        <v>2026</v>
      </c>
      <c r="I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" customFormat="false" ht="15" hidden="false" customHeight="false" outlineLevel="0" collapsed="false">
      <c r="A96" s="41" t="n">
        <v>46044</v>
      </c>
      <c r="B96" s="39" t="n">
        <v>50</v>
      </c>
      <c r="C96" s="38" t="s">
        <v>3575</v>
      </c>
      <c r="D96" s="38" t="s">
        <v>3499</v>
      </c>
      <c r="E96" s="38" t="s">
        <v>3523</v>
      </c>
      <c r="G96" s="38" t="n">
        <f aca="false">MONTH(A96)</f>
        <v>1</v>
      </c>
      <c r="H96" s="38" t="n">
        <f aca="false">YEAR(Tabela1[[#This Row],[FECHA]])</f>
        <v>2026</v>
      </c>
      <c r="I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" customFormat="false" ht="15" hidden="false" customHeight="false" outlineLevel="0" collapsed="false">
      <c r="A97" s="41" t="n">
        <v>46044</v>
      </c>
      <c r="B97" s="39" t="n">
        <v>160</v>
      </c>
      <c r="C97" s="38" t="s">
        <v>3579</v>
      </c>
      <c r="D97" s="38" t="s">
        <v>3500</v>
      </c>
      <c r="E97" s="38" t="s">
        <v>16</v>
      </c>
      <c r="G97" s="38" t="n">
        <f aca="false">MONTH(A97)</f>
        <v>1</v>
      </c>
      <c r="H97" s="38" t="n">
        <f aca="false">YEAR(Tabela1[[#This Row],[FECHA]])</f>
        <v>2026</v>
      </c>
      <c r="I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" customFormat="false" ht="15" hidden="false" customHeight="false" outlineLevel="0" collapsed="false">
      <c r="A98" s="41" t="n">
        <v>46044</v>
      </c>
      <c r="B98" s="39" t="n">
        <v>80</v>
      </c>
      <c r="C98" s="38" t="s">
        <v>3580</v>
      </c>
      <c r="D98" s="38" t="s">
        <v>3500</v>
      </c>
      <c r="E98" s="38" t="s">
        <v>16</v>
      </c>
      <c r="G98" s="38" t="n">
        <f aca="false">MONTH(A98)</f>
        <v>1</v>
      </c>
      <c r="H98" s="38" t="n">
        <f aca="false">YEAR(Tabela1[[#This Row],[FECHA]])</f>
        <v>2026</v>
      </c>
      <c r="I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" customFormat="false" ht="15" hidden="false" customHeight="false" outlineLevel="0" collapsed="false">
      <c r="A99" s="41" t="n">
        <v>46044</v>
      </c>
      <c r="B99" s="39" t="n">
        <v>80</v>
      </c>
      <c r="C99" s="38" t="s">
        <v>3581</v>
      </c>
      <c r="D99" s="38" t="s">
        <v>3500</v>
      </c>
      <c r="E99" s="38" t="s">
        <v>16</v>
      </c>
      <c r="G99" s="38" t="n">
        <f aca="false">MONTH(A99)</f>
        <v>1</v>
      </c>
      <c r="H99" s="38" t="n">
        <f aca="false">YEAR(Tabela1[[#This Row],[FECHA]])</f>
        <v>2026</v>
      </c>
      <c r="I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0" customFormat="false" ht="15" hidden="false" customHeight="false" outlineLevel="0" collapsed="false">
      <c r="A100" s="41" t="n">
        <v>46044</v>
      </c>
      <c r="B100" s="39" t="n">
        <v>110</v>
      </c>
      <c r="C100" s="38" t="s">
        <v>3582</v>
      </c>
      <c r="D100" s="38" t="s">
        <v>3499</v>
      </c>
      <c r="E100" s="38" t="s">
        <v>3512</v>
      </c>
      <c r="G100" s="38" t="n">
        <f aca="false">MONTH(A100)</f>
        <v>1</v>
      </c>
      <c r="H100" s="38" t="n">
        <f aca="false">YEAR(Tabela1[[#This Row],[FECHA]])</f>
        <v>2026</v>
      </c>
      <c r="I1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1" customFormat="false" ht="15" hidden="false" customHeight="false" outlineLevel="0" collapsed="false">
      <c r="A101" s="41" t="n">
        <v>46044</v>
      </c>
      <c r="B101" s="39" t="n">
        <v>90</v>
      </c>
      <c r="C101" s="38" t="s">
        <v>3583</v>
      </c>
      <c r="D101" s="38" t="s">
        <v>3500</v>
      </c>
      <c r="E101" s="38" t="s">
        <v>16</v>
      </c>
      <c r="G101" s="38" t="n">
        <f aca="false">MONTH(A101)</f>
        <v>1</v>
      </c>
      <c r="H101" s="38" t="n">
        <f aca="false">YEAR(Tabela1[[#This Row],[FECHA]])</f>
        <v>2026</v>
      </c>
      <c r="I1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2" customFormat="false" ht="15" hidden="false" customHeight="false" outlineLevel="0" collapsed="false">
      <c r="A102" s="41" t="n">
        <v>46044</v>
      </c>
      <c r="B102" s="39" t="n">
        <v>627.51</v>
      </c>
      <c r="C102" s="38" t="s">
        <v>3584</v>
      </c>
      <c r="D102" s="38" t="s">
        <v>3504</v>
      </c>
      <c r="E102" s="38" t="s">
        <v>3516</v>
      </c>
      <c r="G102" s="38" t="n">
        <f aca="false">MONTH(A102)</f>
        <v>1</v>
      </c>
      <c r="H102" s="38" t="n">
        <f aca="false">YEAR(Tabela1[[#This Row],[FECHA]])</f>
        <v>2026</v>
      </c>
      <c r="I1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3" customFormat="false" ht="15" hidden="false" customHeight="false" outlineLevel="0" collapsed="false">
      <c r="A103" s="41" t="n">
        <v>46045</v>
      </c>
      <c r="B103" s="39" t="n">
        <v>160</v>
      </c>
      <c r="D103" s="38" t="s">
        <v>3500</v>
      </c>
      <c r="E103" s="38" t="s">
        <v>16</v>
      </c>
      <c r="G103" s="38" t="n">
        <f aca="false">MONTH(A103)</f>
        <v>1</v>
      </c>
      <c r="H103" s="38" t="n">
        <f aca="false">YEAR(Tabela1[[#This Row],[FECHA]])</f>
        <v>2026</v>
      </c>
      <c r="I1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4" customFormat="false" ht="15" hidden="false" customHeight="false" outlineLevel="0" collapsed="false">
      <c r="A104" s="41" t="n">
        <v>46045</v>
      </c>
      <c r="B104" s="39" t="n">
        <v>20</v>
      </c>
      <c r="D104" s="38" t="s">
        <v>3500</v>
      </c>
      <c r="E104" s="38" t="s">
        <v>16</v>
      </c>
      <c r="G104" s="38" t="n">
        <f aca="false">MONTH(A104)</f>
        <v>1</v>
      </c>
      <c r="H104" s="38" t="n">
        <f aca="false">YEAR(Tabela1[[#This Row],[FECHA]])</f>
        <v>2026</v>
      </c>
      <c r="I1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5" customFormat="false" ht="15" hidden="false" customHeight="false" outlineLevel="0" collapsed="false">
      <c r="A105" s="41" t="n">
        <v>46045</v>
      </c>
      <c r="B105" s="39" t="n">
        <v>80</v>
      </c>
      <c r="D105" s="38" t="s">
        <v>3500</v>
      </c>
      <c r="E105" s="38" t="s">
        <v>16</v>
      </c>
      <c r="G105" s="38" t="n">
        <f aca="false">MONTH(A105)</f>
        <v>1</v>
      </c>
      <c r="H105" s="38" t="n">
        <f aca="false">YEAR(Tabela1[[#This Row],[FECHA]])</f>
        <v>2026</v>
      </c>
      <c r="I1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6" customFormat="false" ht="15" hidden="false" customHeight="false" outlineLevel="0" collapsed="false">
      <c r="A106" s="41" t="n">
        <v>46045</v>
      </c>
      <c r="B106" s="39" t="n">
        <v>80</v>
      </c>
      <c r="D106" s="38" t="s">
        <v>3500</v>
      </c>
      <c r="E106" s="38" t="s">
        <v>16</v>
      </c>
      <c r="G106" s="38" t="n">
        <f aca="false">MONTH(A106)</f>
        <v>1</v>
      </c>
      <c r="H106" s="38" t="n">
        <f aca="false">YEAR(Tabela1[[#This Row],[FECHA]])</f>
        <v>2026</v>
      </c>
      <c r="I1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7" customFormat="false" ht="15" hidden="false" customHeight="false" outlineLevel="0" collapsed="false">
      <c r="A107" s="41" t="n">
        <v>46045</v>
      </c>
      <c r="B107" s="39" t="n">
        <v>180</v>
      </c>
      <c r="D107" s="38" t="s">
        <v>3500</v>
      </c>
      <c r="E107" s="38" t="s">
        <v>16</v>
      </c>
      <c r="G107" s="38" t="n">
        <f aca="false">MONTH(A107)</f>
        <v>1</v>
      </c>
      <c r="H107" s="38" t="n">
        <f aca="false">YEAR(Tabela1[[#This Row],[FECHA]])</f>
        <v>2026</v>
      </c>
      <c r="I1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8" customFormat="false" ht="15" hidden="false" customHeight="false" outlineLevel="0" collapsed="false">
      <c r="A108" s="41" t="n">
        <v>46045</v>
      </c>
      <c r="B108" s="39" t="n">
        <v>360</v>
      </c>
      <c r="D108" s="38" t="s">
        <v>3500</v>
      </c>
      <c r="E108" s="38" t="s">
        <v>16</v>
      </c>
      <c r="G108" s="38" t="n">
        <f aca="false">MONTH(A108)</f>
        <v>1</v>
      </c>
      <c r="H108" s="38" t="n">
        <f aca="false">YEAR(Tabela1[[#This Row],[FECHA]])</f>
        <v>2026</v>
      </c>
      <c r="I1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9" customFormat="false" ht="15" hidden="false" customHeight="false" outlineLevel="0" collapsed="false">
      <c r="A109" s="41" t="n">
        <v>46045</v>
      </c>
      <c r="B109" s="39" t="n">
        <v>320</v>
      </c>
      <c r="D109" s="38" t="s">
        <v>3500</v>
      </c>
      <c r="E109" s="38" t="s">
        <v>16</v>
      </c>
      <c r="G109" s="38" t="n">
        <f aca="false">MONTH(A109)</f>
        <v>1</v>
      </c>
      <c r="H109" s="38" t="n">
        <f aca="false">YEAR(Tabela1[[#This Row],[FECHA]])</f>
        <v>2026</v>
      </c>
      <c r="I1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0" customFormat="false" ht="15" hidden="false" customHeight="false" outlineLevel="0" collapsed="false">
      <c r="A110" s="41" t="n">
        <v>46045</v>
      </c>
      <c r="B110" s="39" t="n">
        <v>50</v>
      </c>
      <c r="C110" s="38" t="s">
        <v>3575</v>
      </c>
      <c r="D110" s="38" t="s">
        <v>3499</v>
      </c>
      <c r="E110" s="38" t="s">
        <v>3523</v>
      </c>
      <c r="G110" s="38" t="n">
        <f aca="false">MONTH(A110)</f>
        <v>1</v>
      </c>
      <c r="H110" s="38" t="n">
        <f aca="false">YEAR(Tabela1[[#This Row],[FECHA]])</f>
        <v>2026</v>
      </c>
      <c r="I1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1" customFormat="false" ht="15" hidden="false" customHeight="false" outlineLevel="0" collapsed="false">
      <c r="A111" s="41" t="n">
        <v>46045</v>
      </c>
      <c r="B111" s="39" t="n">
        <v>1320</v>
      </c>
      <c r="C111" s="38" t="s">
        <v>3585</v>
      </c>
      <c r="D111" s="38" t="s">
        <v>3507</v>
      </c>
      <c r="E111" s="38" t="s">
        <v>3519</v>
      </c>
      <c r="G111" s="38" t="n">
        <f aca="false">MONTH(A111)</f>
        <v>1</v>
      </c>
      <c r="H111" s="38" t="n">
        <f aca="false">YEAR(Tabela1[[#This Row],[FECHA]])</f>
        <v>2026</v>
      </c>
      <c r="I1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2" customFormat="false" ht="15" hidden="false" customHeight="false" outlineLevel="0" collapsed="false">
      <c r="A112" s="41" t="n">
        <v>46045</v>
      </c>
      <c r="B112" s="39" t="n">
        <v>180</v>
      </c>
      <c r="D112" s="38" t="s">
        <v>3500</v>
      </c>
      <c r="E112" s="38" t="s">
        <v>16</v>
      </c>
      <c r="G112" s="38" t="n">
        <f aca="false">MONTH(A112)</f>
        <v>1</v>
      </c>
      <c r="H112" s="38" t="n">
        <f aca="false">YEAR(Tabela1[[#This Row],[FECHA]])</f>
        <v>2026</v>
      </c>
      <c r="I1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3" customFormat="false" ht="15" hidden="false" customHeight="false" outlineLevel="0" collapsed="false">
      <c r="A113" s="41" t="n">
        <v>46045</v>
      </c>
      <c r="B113" s="39" t="n">
        <v>80</v>
      </c>
      <c r="D113" s="38" t="s">
        <v>3500</v>
      </c>
      <c r="E113" s="38" t="s">
        <v>16</v>
      </c>
      <c r="G113" s="38" t="n">
        <f aca="false">MONTH(A113)</f>
        <v>1</v>
      </c>
      <c r="H113" s="38" t="n">
        <f aca="false">YEAR(Tabela1[[#This Row],[FECHA]])</f>
        <v>2026</v>
      </c>
      <c r="I1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4" customFormat="false" ht="15" hidden="false" customHeight="false" outlineLevel="0" collapsed="false">
      <c r="A114" s="41" t="n">
        <v>46045</v>
      </c>
      <c r="B114" s="39" t="n">
        <v>160</v>
      </c>
      <c r="D114" s="38" t="s">
        <v>3500</v>
      </c>
      <c r="E114" s="38" t="s">
        <v>16</v>
      </c>
      <c r="G114" s="38" t="n">
        <f aca="false">MONTH(A114)</f>
        <v>1</v>
      </c>
      <c r="H114" s="38" t="n">
        <f aca="false">YEAR(Tabela1[[#This Row],[FECHA]])</f>
        <v>2026</v>
      </c>
      <c r="I1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5" customFormat="false" ht="15" hidden="false" customHeight="false" outlineLevel="0" collapsed="false">
      <c r="A115" s="41" t="n">
        <v>46045</v>
      </c>
      <c r="B115" s="39" t="n">
        <v>160</v>
      </c>
      <c r="D115" s="38" t="s">
        <v>3500</v>
      </c>
      <c r="E115" s="38" t="s">
        <v>16</v>
      </c>
      <c r="G115" s="38" t="n">
        <f aca="false">MONTH(A115)</f>
        <v>1</v>
      </c>
      <c r="H115" s="38" t="n">
        <f aca="false">YEAR(Tabela1[[#This Row],[FECHA]])</f>
        <v>2026</v>
      </c>
      <c r="I1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6" customFormat="false" ht="15" hidden="false" customHeight="false" outlineLevel="0" collapsed="false">
      <c r="A116" s="41" t="n">
        <v>46048</v>
      </c>
      <c r="B116" s="39" t="n">
        <v>9.9</v>
      </c>
      <c r="D116" s="38" t="s">
        <v>3508</v>
      </c>
      <c r="E116" s="38" t="s">
        <v>3550</v>
      </c>
      <c r="G116" s="38" t="n">
        <f aca="false">MONTH(A116)</f>
        <v>1</v>
      </c>
      <c r="H116" s="38" t="n">
        <f aca="false">YEAR(Tabela1[[#This Row],[FECHA]])</f>
        <v>2026</v>
      </c>
      <c r="I116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117" customFormat="false" ht="15" hidden="false" customHeight="false" outlineLevel="0" collapsed="false">
      <c r="A117" s="41" t="n">
        <v>46048</v>
      </c>
      <c r="B117" s="39" t="n">
        <v>1550.98</v>
      </c>
      <c r="C117" s="38" t="s">
        <v>3576</v>
      </c>
      <c r="D117" s="38" t="s">
        <v>3503</v>
      </c>
      <c r="E117" s="38" t="s">
        <v>3515</v>
      </c>
      <c r="G117" s="38" t="n">
        <f aca="false">MONTH(A117)</f>
        <v>1</v>
      </c>
      <c r="H117" s="38" t="n">
        <f aca="false">YEAR(Tabela1[[#This Row],[FECHA]])</f>
        <v>2026</v>
      </c>
      <c r="I1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8" customFormat="false" ht="15" hidden="false" customHeight="false" outlineLevel="0" collapsed="false">
      <c r="A118" s="41" t="n">
        <v>46048</v>
      </c>
      <c r="B118" s="39" t="n">
        <v>150</v>
      </c>
      <c r="C118" s="38" t="s">
        <v>3562</v>
      </c>
      <c r="D118" s="38" t="s">
        <v>3507</v>
      </c>
      <c r="E118" s="38" t="s">
        <v>3530</v>
      </c>
      <c r="G118" s="38" t="n">
        <f aca="false">MONTH(A118)</f>
        <v>1</v>
      </c>
      <c r="H118" s="38" t="n">
        <f aca="false">YEAR(Tabela1[[#This Row],[FECHA]])</f>
        <v>2026</v>
      </c>
      <c r="I1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9" customFormat="false" ht="15" hidden="false" customHeight="false" outlineLevel="0" collapsed="false">
      <c r="A119" s="41" t="n">
        <v>46048</v>
      </c>
      <c r="B119" s="39" t="n">
        <v>80</v>
      </c>
      <c r="D119" s="38" t="s">
        <v>3500</v>
      </c>
      <c r="E119" s="38" t="s">
        <v>16</v>
      </c>
      <c r="G119" s="38" t="n">
        <f aca="false">MONTH(A119)</f>
        <v>1</v>
      </c>
      <c r="H119" s="38" t="n">
        <f aca="false">YEAR(Tabela1[[#This Row],[FECHA]])</f>
        <v>2026</v>
      </c>
      <c r="I1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0" customFormat="false" ht="15" hidden="false" customHeight="false" outlineLevel="0" collapsed="false">
      <c r="A120" s="41" t="n">
        <v>46048</v>
      </c>
      <c r="B120" s="39" t="n">
        <v>50</v>
      </c>
      <c r="D120" s="38" t="s">
        <v>3499</v>
      </c>
      <c r="E120" s="38" t="s">
        <v>3586</v>
      </c>
      <c r="G120" s="38" t="n">
        <f aca="false">MONTH(A120)</f>
        <v>1</v>
      </c>
      <c r="H120" s="38" t="n">
        <f aca="false">YEAR(Tabela1[[#This Row],[FECHA]])</f>
        <v>2026</v>
      </c>
      <c r="I1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1" customFormat="false" ht="15" hidden="false" customHeight="false" outlineLevel="0" collapsed="false">
      <c r="A121" s="41" t="n">
        <v>46048</v>
      </c>
      <c r="B121" s="39" t="n">
        <v>60</v>
      </c>
      <c r="D121" s="38" t="s">
        <v>3500</v>
      </c>
      <c r="E121" s="38" t="s">
        <v>16</v>
      </c>
      <c r="G121" s="38" t="n">
        <f aca="false">MONTH(A121)</f>
        <v>1</v>
      </c>
      <c r="H121" s="38" t="n">
        <f aca="false">YEAR(Tabela1[[#This Row],[FECHA]])</f>
        <v>2026</v>
      </c>
      <c r="I1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2" customFormat="false" ht="15" hidden="false" customHeight="false" outlineLevel="0" collapsed="false">
      <c r="A122" s="41" t="n">
        <v>46048</v>
      </c>
      <c r="B122" s="39" t="n">
        <v>200</v>
      </c>
      <c r="D122" s="38" t="s">
        <v>3500</v>
      </c>
      <c r="E122" s="38" t="s">
        <v>3511</v>
      </c>
      <c r="G122" s="38" t="n">
        <f aca="false">MONTH(A122)</f>
        <v>1</v>
      </c>
      <c r="H122" s="38" t="n">
        <f aca="false">YEAR(Tabela1[[#This Row],[FECHA]])</f>
        <v>2026</v>
      </c>
      <c r="I1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3" customFormat="false" ht="15" hidden="false" customHeight="false" outlineLevel="0" collapsed="false">
      <c r="A123" s="41" t="n">
        <v>46050</v>
      </c>
      <c r="B123" s="39" t="n">
        <v>150</v>
      </c>
      <c r="C123" s="38" t="s">
        <v>3562</v>
      </c>
      <c r="D123" s="38" t="s">
        <v>3507</v>
      </c>
      <c r="E123" s="38" t="s">
        <v>3530</v>
      </c>
      <c r="G123" s="38" t="n">
        <f aca="false">MONTH(A123)</f>
        <v>1</v>
      </c>
      <c r="H123" s="38" t="n">
        <f aca="false">YEAR(Tabela1[[#This Row],[FECHA]])</f>
        <v>2026</v>
      </c>
      <c r="I1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4" customFormat="false" ht="15" hidden="false" customHeight="false" outlineLevel="0" collapsed="false">
      <c r="A124" s="41" t="n">
        <v>46050</v>
      </c>
      <c r="B124" s="39" t="n">
        <v>50</v>
      </c>
      <c r="D124" s="38" t="s">
        <v>3499</v>
      </c>
      <c r="E124" s="38" t="s">
        <v>3586</v>
      </c>
      <c r="G124" s="38" t="n">
        <f aca="false">MONTH(A124)</f>
        <v>1</v>
      </c>
      <c r="H124" s="38" t="n">
        <f aca="false">YEAR(Tabela1[[#This Row],[FECHA]])</f>
        <v>2026</v>
      </c>
      <c r="I1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5" customFormat="false" ht="15" hidden="false" customHeight="false" outlineLevel="0" collapsed="false">
      <c r="A125" s="41" t="n">
        <v>46050</v>
      </c>
      <c r="B125" s="39" t="n">
        <v>50</v>
      </c>
      <c r="C125" s="38" t="s">
        <v>3562</v>
      </c>
      <c r="D125" s="38" t="s">
        <v>3507</v>
      </c>
      <c r="E125" s="38" t="s">
        <v>3530</v>
      </c>
      <c r="G125" s="38" t="n">
        <f aca="false">MONTH(A125)</f>
        <v>1</v>
      </c>
      <c r="H125" s="38" t="n">
        <f aca="false">YEAR(Tabela1[[#This Row],[FECHA]])</f>
        <v>2026</v>
      </c>
      <c r="I1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6" customFormat="false" ht="15" hidden="false" customHeight="false" outlineLevel="0" collapsed="false">
      <c r="A126" s="41" t="n">
        <v>46051</v>
      </c>
      <c r="B126" s="39" t="n">
        <v>110</v>
      </c>
      <c r="C126" s="38" t="s">
        <v>3562</v>
      </c>
      <c r="D126" s="38" t="s">
        <v>3507</v>
      </c>
      <c r="E126" s="38" t="s">
        <v>3530</v>
      </c>
      <c r="G126" s="38" t="n">
        <f aca="false">MONTH(A126)</f>
        <v>1</v>
      </c>
      <c r="H126" s="38" t="n">
        <f aca="false">YEAR(Tabela1[[#This Row],[FECHA]])</f>
        <v>2026</v>
      </c>
      <c r="I1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7" customFormat="false" ht="15" hidden="false" customHeight="false" outlineLevel="0" collapsed="false">
      <c r="A127" s="41" t="n">
        <v>46051</v>
      </c>
      <c r="B127" s="39" t="n">
        <v>41</v>
      </c>
      <c r="D127" s="38" t="s">
        <v>3499</v>
      </c>
      <c r="E127" s="38" t="s">
        <v>3586</v>
      </c>
      <c r="G127" s="38" t="n">
        <f aca="false">MONTH(A127)</f>
        <v>1</v>
      </c>
      <c r="H127" s="38" t="n">
        <f aca="false">YEAR(Tabela1[[#This Row],[FECHA]])</f>
        <v>2026</v>
      </c>
      <c r="I1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8" customFormat="false" ht="15" hidden="false" customHeight="false" outlineLevel="0" collapsed="false">
      <c r="A128" s="41" t="n">
        <v>46052</v>
      </c>
      <c r="B128" s="39" t="n">
        <v>1010</v>
      </c>
      <c r="D128" s="38" t="s">
        <v>3507</v>
      </c>
      <c r="E128" s="38" t="s">
        <v>3519</v>
      </c>
      <c r="G128" s="38" t="n">
        <f aca="false">MONTH(A128)</f>
        <v>1</v>
      </c>
      <c r="H128" s="38" t="n">
        <f aca="false">YEAR(Tabela1[[#This Row],[FECHA]])</f>
        <v>2026</v>
      </c>
      <c r="I1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9" customFormat="false" ht="15" hidden="false" customHeight="false" outlineLevel="0" collapsed="false">
      <c r="A129" s="41" t="n">
        <v>46052</v>
      </c>
      <c r="B129" s="39" t="n">
        <v>470</v>
      </c>
      <c r="C129" s="38" t="s">
        <v>3562</v>
      </c>
      <c r="D129" s="38" t="s">
        <v>3507</v>
      </c>
      <c r="E129" s="38" t="s">
        <v>3530</v>
      </c>
      <c r="G129" s="38" t="n">
        <f aca="false">MONTH(A129)</f>
        <v>1</v>
      </c>
      <c r="H129" s="38" t="n">
        <f aca="false">YEAR(Tabela1[[#This Row],[FECHA]])</f>
        <v>2026</v>
      </c>
      <c r="I1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0" customFormat="false" ht="15" hidden="false" customHeight="false" outlineLevel="0" collapsed="false">
      <c r="A130" s="41" t="n">
        <v>46053</v>
      </c>
      <c r="B130" s="39" t="n">
        <v>1550</v>
      </c>
      <c r="C130" s="38" t="s">
        <v>3576</v>
      </c>
      <c r="D130" s="38" t="s">
        <v>3503</v>
      </c>
      <c r="E130" s="38" t="s">
        <v>3515</v>
      </c>
      <c r="G130" s="38" t="n">
        <f aca="false">MONTH(A130)</f>
        <v>1</v>
      </c>
      <c r="H130" s="38" t="n">
        <f aca="false">YEAR(Tabela1[[#This Row],[FECHA]])</f>
        <v>2026</v>
      </c>
      <c r="I1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1" customFormat="false" ht="15" hidden="false" customHeight="false" outlineLevel="0" collapsed="false">
      <c r="A131" s="41" t="n">
        <v>46053</v>
      </c>
      <c r="B131" s="39" t="n">
        <v>1330</v>
      </c>
      <c r="C131" s="38" t="s">
        <v>3587</v>
      </c>
      <c r="D131" s="38" t="s">
        <v>3499</v>
      </c>
      <c r="E131" s="38" t="s">
        <v>3512</v>
      </c>
      <c r="G131" s="38" t="n">
        <f aca="false">MONTH(A131)</f>
        <v>1</v>
      </c>
      <c r="H131" s="38" t="n">
        <f aca="false">YEAR(Tabela1[[#This Row],[FECHA]])</f>
        <v>2026</v>
      </c>
      <c r="I1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2" customFormat="false" ht="15" hidden="false" customHeight="false" outlineLevel="0" collapsed="false">
      <c r="A132" s="41" t="n">
        <v>46053</v>
      </c>
      <c r="B132" s="39" t="n">
        <v>1750</v>
      </c>
      <c r="C132" s="38" t="s">
        <v>3567</v>
      </c>
      <c r="D132" s="38" t="s">
        <v>3505</v>
      </c>
      <c r="E132" s="38" t="s">
        <v>3517</v>
      </c>
      <c r="G132" s="38" t="n">
        <f aca="false">MONTH(A132)</f>
        <v>1</v>
      </c>
      <c r="H132" s="38" t="n">
        <f aca="false">YEAR(Tabela1[[#This Row],[FECHA]])</f>
        <v>2026</v>
      </c>
      <c r="I1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3" customFormat="false" ht="15" hidden="false" customHeight="false" outlineLevel="0" collapsed="false">
      <c r="A133" s="41" t="n">
        <v>46053</v>
      </c>
      <c r="B133" s="39" t="n">
        <v>816</v>
      </c>
      <c r="C133" s="38" t="s">
        <v>3568</v>
      </c>
      <c r="D133" s="38" t="s">
        <v>3499</v>
      </c>
      <c r="E133" s="38" t="s">
        <v>3512</v>
      </c>
      <c r="G133" s="38" t="n">
        <f aca="false">MONTH(A133)</f>
        <v>1</v>
      </c>
      <c r="H133" s="38" t="n">
        <f aca="false">YEAR(Tabela1[[#This Row],[FECHA]])</f>
        <v>2026</v>
      </c>
      <c r="I1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4" customFormat="false" ht="15" hidden="false" customHeight="false" outlineLevel="0" collapsed="false">
      <c r="A134" s="41" t="n">
        <v>46053</v>
      </c>
      <c r="B134" s="39" t="n">
        <v>293</v>
      </c>
      <c r="C134" s="38" t="s">
        <v>3568</v>
      </c>
      <c r="D134" s="38" t="s">
        <v>3505</v>
      </c>
      <c r="E134" s="38" t="s">
        <v>3517</v>
      </c>
      <c r="G134" s="38" t="n">
        <f aca="false">MONTH(A134)</f>
        <v>1</v>
      </c>
      <c r="H134" s="38" t="n">
        <f aca="false">YEAR(Tabela1[[#This Row],[FECHA]])</f>
        <v>2026</v>
      </c>
      <c r="I1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5" customFormat="false" ht="15" hidden="false" customHeight="false" outlineLevel="0" collapsed="false">
      <c r="A135" s="41" t="n">
        <v>46053</v>
      </c>
      <c r="B135" s="39" t="n">
        <v>700</v>
      </c>
      <c r="C135" s="38" t="s">
        <v>3566</v>
      </c>
      <c r="D135" s="38" t="s">
        <v>3505</v>
      </c>
      <c r="E135" s="38" t="s">
        <v>3541</v>
      </c>
      <c r="G135" s="38" t="n">
        <f aca="false">MONTH(A135)</f>
        <v>1</v>
      </c>
      <c r="H135" s="38" t="n">
        <f aca="false">YEAR(Tabela1[[#This Row],[FECHA]])</f>
        <v>2026</v>
      </c>
      <c r="I1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6" customFormat="false" ht="15" hidden="false" customHeight="false" outlineLevel="0" collapsed="false">
      <c r="A136" s="41" t="n">
        <v>46053</v>
      </c>
      <c r="B136" s="39" t="n">
        <v>1540</v>
      </c>
      <c r="C136" s="38" t="s">
        <v>3566</v>
      </c>
      <c r="D136" s="38" t="s">
        <v>3499</v>
      </c>
      <c r="E136" s="38" t="s">
        <v>3523</v>
      </c>
      <c r="G136" s="38" t="n">
        <f aca="false">MONTH(A136)</f>
        <v>1</v>
      </c>
      <c r="H136" s="38" t="n">
        <f aca="false">YEAR(Tabela1[[#This Row],[FECHA]])</f>
        <v>2026</v>
      </c>
      <c r="I1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7" customFormat="false" ht="15" hidden="false" customHeight="false" outlineLevel="0" collapsed="false">
      <c r="A137" s="41" t="n">
        <v>46055</v>
      </c>
      <c r="B137" s="39" t="n">
        <v>119.99</v>
      </c>
      <c r="C137" s="38" t="s">
        <v>3588</v>
      </c>
      <c r="D137" s="38" t="s">
        <v>3504</v>
      </c>
      <c r="E137" s="38" t="s">
        <v>3534</v>
      </c>
      <c r="F137" s="38" t="s">
        <v>3589</v>
      </c>
      <c r="G137" s="38" t="n">
        <f aca="false">MONTH(A137)</f>
        <v>2</v>
      </c>
      <c r="H137" s="38" t="n">
        <f aca="false">YEAR(Tabela1[[#This Row],[FECHA]])</f>
        <v>2026</v>
      </c>
      <c r="I1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8" customFormat="false" ht="15" hidden="false" customHeight="false" outlineLevel="0" collapsed="false">
      <c r="A138" s="41" t="n">
        <v>46055</v>
      </c>
      <c r="B138" s="39" t="n">
        <v>250</v>
      </c>
      <c r="C138" s="38" t="s">
        <v>3562</v>
      </c>
      <c r="D138" s="38" t="s">
        <v>3507</v>
      </c>
      <c r="E138" s="38" t="s">
        <v>3530</v>
      </c>
      <c r="G138" s="38" t="n">
        <f aca="false">MONTH(A138)</f>
        <v>2</v>
      </c>
      <c r="H138" s="38" t="n">
        <f aca="false">YEAR(Tabela1[[#This Row],[FECHA]])</f>
        <v>2026</v>
      </c>
      <c r="I1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9" customFormat="false" ht="15" hidden="false" customHeight="false" outlineLevel="0" collapsed="false">
      <c r="A139" s="41" t="n">
        <v>46056</v>
      </c>
      <c r="B139" s="39" t="n">
        <v>100</v>
      </c>
      <c r="C139" s="38" t="s">
        <v>3562</v>
      </c>
      <c r="D139" s="38" t="s">
        <v>3507</v>
      </c>
      <c r="E139" s="38" t="s">
        <v>3530</v>
      </c>
      <c r="G139" s="38" t="n">
        <f aca="false">MONTH(A139)</f>
        <v>2</v>
      </c>
      <c r="H139" s="38" t="n">
        <f aca="false">YEAR(Tabela1[[#This Row],[FECHA]])</f>
        <v>2026</v>
      </c>
      <c r="I1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0" customFormat="false" ht="15" hidden="false" customHeight="false" outlineLevel="0" collapsed="false">
      <c r="A140" s="41" t="n">
        <v>46056</v>
      </c>
      <c r="B140" s="39" t="n">
        <v>100</v>
      </c>
      <c r="C140" s="38" t="s">
        <v>3590</v>
      </c>
      <c r="D140" s="38" t="s">
        <v>3505</v>
      </c>
      <c r="E140" s="38" t="s">
        <v>3541</v>
      </c>
      <c r="G140" s="38" t="n">
        <f aca="false">MONTH(A140)</f>
        <v>2</v>
      </c>
      <c r="H140" s="38" t="n">
        <f aca="false">YEAR(Tabela1[[#This Row],[FECHA]])</f>
        <v>2026</v>
      </c>
      <c r="I1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1" customFormat="false" ht="15" hidden="false" customHeight="false" outlineLevel="0" collapsed="false">
      <c r="A141" s="41" t="n">
        <v>46057</v>
      </c>
      <c r="B141" s="39" t="n">
        <v>50</v>
      </c>
      <c r="C141" s="38" t="s">
        <v>3562</v>
      </c>
      <c r="D141" s="38" t="s">
        <v>3507</v>
      </c>
      <c r="E141" s="38" t="s">
        <v>3530</v>
      </c>
      <c r="G141" s="38" t="n">
        <f aca="false">MONTH(A141)</f>
        <v>2</v>
      </c>
      <c r="H141" s="38" t="n">
        <f aca="false">YEAR(Tabela1[[#This Row],[FECHA]])</f>
        <v>2026</v>
      </c>
      <c r="I1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2" customFormat="false" ht="15" hidden="false" customHeight="false" outlineLevel="0" collapsed="false">
      <c r="A142" s="41" t="n">
        <v>46057</v>
      </c>
      <c r="B142" s="39" t="n">
        <v>150</v>
      </c>
      <c r="C142" s="38" t="s">
        <v>3562</v>
      </c>
      <c r="D142" s="38" t="s">
        <v>3507</v>
      </c>
      <c r="E142" s="38" t="s">
        <v>3530</v>
      </c>
      <c r="G142" s="38" t="n">
        <f aca="false">MONTH(A142)</f>
        <v>2</v>
      </c>
      <c r="H142" s="38" t="n">
        <f aca="false">YEAR(Tabela1[[#This Row],[FECHA]])</f>
        <v>2026</v>
      </c>
      <c r="I1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3" customFormat="false" ht="15" hidden="false" customHeight="false" outlineLevel="0" collapsed="false">
      <c r="A143" s="41" t="n">
        <v>46058</v>
      </c>
      <c r="B143" s="39" t="n">
        <v>1559.26</v>
      </c>
      <c r="C143" s="38" t="s">
        <v>3576</v>
      </c>
      <c r="D143" s="38" t="s">
        <v>3503</v>
      </c>
      <c r="E143" s="38" t="s">
        <v>3515</v>
      </c>
      <c r="G143" s="38" t="n">
        <f aca="false">MONTH(A143)</f>
        <v>2</v>
      </c>
      <c r="H143" s="38" t="n">
        <f aca="false">YEAR(Tabela1[[#This Row],[FECHA]])</f>
        <v>2026</v>
      </c>
      <c r="I1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4" customFormat="false" ht="15" hidden="false" customHeight="false" outlineLevel="0" collapsed="false">
      <c r="A144" s="41" t="n">
        <v>46058</v>
      </c>
      <c r="B144" s="39" t="n">
        <v>404.89</v>
      </c>
      <c r="D144" s="38" t="s">
        <v>3501</v>
      </c>
      <c r="E144" s="38" t="s">
        <v>3539</v>
      </c>
      <c r="G144" s="38" t="n">
        <f aca="false">MONTH(A144)</f>
        <v>2</v>
      </c>
      <c r="H144" s="38" t="n">
        <f aca="false">YEAR(Tabela1[[#This Row],[FECHA]])</f>
        <v>2026</v>
      </c>
      <c r="I144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145" customFormat="false" ht="15" hidden="false" customHeight="false" outlineLevel="0" collapsed="false">
      <c r="A145" s="41" t="n">
        <v>46058</v>
      </c>
      <c r="B145" s="39" t="n">
        <v>1470.21</v>
      </c>
      <c r="D145" s="38" t="s">
        <v>3501</v>
      </c>
      <c r="E145" s="38" t="s">
        <v>3513</v>
      </c>
      <c r="G145" s="38" t="n">
        <f aca="false">MONTH(A145)</f>
        <v>2</v>
      </c>
      <c r="H145" s="38" t="n">
        <f aca="false">YEAR(Tabela1[[#This Row],[FECHA]])</f>
        <v>2026</v>
      </c>
      <c r="I145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146" customFormat="false" ht="15" hidden="false" customHeight="false" outlineLevel="0" collapsed="false">
      <c r="A146" s="41" t="n">
        <v>46058</v>
      </c>
      <c r="B146" s="39" t="n">
        <v>318.4</v>
      </c>
      <c r="D146" s="38" t="s">
        <v>3501</v>
      </c>
      <c r="E146" s="38" t="s">
        <v>3524</v>
      </c>
      <c r="G146" s="38" t="n">
        <f aca="false">MONTH(A146)</f>
        <v>2</v>
      </c>
      <c r="H146" s="38" t="n">
        <f aca="false">YEAR(Tabela1[[#This Row],[FECHA]])</f>
        <v>2026</v>
      </c>
      <c r="I146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147" customFormat="false" ht="15" hidden="false" customHeight="false" outlineLevel="0" collapsed="false">
      <c r="A147" s="41" t="n">
        <v>46058</v>
      </c>
      <c r="B147" s="39" t="n">
        <v>204.92</v>
      </c>
      <c r="D147" s="38" t="s">
        <v>3501</v>
      </c>
      <c r="E147" s="38" t="s">
        <v>3545</v>
      </c>
      <c r="G147" s="38" t="n">
        <f aca="false">MONTH(A147)</f>
        <v>2</v>
      </c>
      <c r="H147" s="38" t="n">
        <f aca="false">YEAR(Tabela1[[#This Row],[FECHA]])</f>
        <v>2026</v>
      </c>
      <c r="I147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148" customFormat="false" ht="15" hidden="false" customHeight="false" outlineLevel="0" collapsed="false">
      <c r="A148" s="41" t="n">
        <v>46059</v>
      </c>
      <c r="B148" s="39" t="n">
        <v>20</v>
      </c>
      <c r="D148" s="38" t="s">
        <v>3501</v>
      </c>
      <c r="E148" s="38" t="s">
        <v>3549</v>
      </c>
      <c r="G148" s="38" t="n">
        <f aca="false">MONTH(A148)</f>
        <v>2</v>
      </c>
      <c r="H148" s="38" t="n">
        <f aca="false">YEAR(Tabela1[[#This Row],[FECHA]])</f>
        <v>2026</v>
      </c>
      <c r="I148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149" customFormat="false" ht="15" hidden="false" customHeight="false" outlineLevel="0" collapsed="false">
      <c r="A149" s="41" t="n">
        <v>46059</v>
      </c>
      <c r="B149" s="39" t="n">
        <v>20</v>
      </c>
      <c r="D149" s="38" t="s">
        <v>3501</v>
      </c>
      <c r="E149" s="38" t="s">
        <v>3549</v>
      </c>
      <c r="G149" s="38" t="n">
        <f aca="false">MONTH(A149)</f>
        <v>2</v>
      </c>
      <c r="H149" s="38" t="n">
        <f aca="false">YEAR(Tabela1[[#This Row],[FECHA]])</f>
        <v>2026</v>
      </c>
      <c r="I149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150" customFormat="false" ht="15" hidden="false" customHeight="false" outlineLevel="0" collapsed="false">
      <c r="A150" s="41" t="n">
        <v>46059</v>
      </c>
      <c r="B150" s="39" t="n">
        <v>220</v>
      </c>
      <c r="C150" s="38" t="s">
        <v>3562</v>
      </c>
      <c r="D150" s="38" t="s">
        <v>3507</v>
      </c>
      <c r="E150" s="38" t="s">
        <v>3530</v>
      </c>
      <c r="G150" s="38" t="n">
        <f aca="false">MONTH(A150)</f>
        <v>2</v>
      </c>
      <c r="H150" s="38" t="n">
        <f aca="false">YEAR(Tabela1[[#This Row],[FECHA]])</f>
        <v>2026</v>
      </c>
      <c r="I1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1" customFormat="false" ht="15" hidden="false" customHeight="false" outlineLevel="0" collapsed="false">
      <c r="A151" s="41" t="n">
        <v>46059</v>
      </c>
      <c r="B151" s="39" t="n">
        <v>39.99</v>
      </c>
      <c r="C151" s="38" t="s">
        <v>3591</v>
      </c>
      <c r="D151" s="38" t="s">
        <v>3508</v>
      </c>
      <c r="E151" s="38" t="s">
        <v>3531</v>
      </c>
      <c r="G151" s="38" t="n">
        <f aca="false">MONTH(A151)</f>
        <v>2</v>
      </c>
      <c r="H151" s="38" t="n">
        <f aca="false">YEAR(Tabela1[[#This Row],[FECHA]])</f>
        <v>2026</v>
      </c>
      <c r="I151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152" customFormat="false" ht="15" hidden="false" customHeight="false" outlineLevel="0" collapsed="false">
      <c r="A152" s="41" t="n">
        <v>46059</v>
      </c>
      <c r="B152" s="39" t="n">
        <v>950</v>
      </c>
      <c r="C152" s="38" t="s">
        <v>3585</v>
      </c>
      <c r="D152" s="38" t="s">
        <v>3507</v>
      </c>
      <c r="E152" s="38" t="s">
        <v>3519</v>
      </c>
      <c r="G152" s="38" t="n">
        <f aca="false">MONTH(A152)</f>
        <v>2</v>
      </c>
      <c r="H152" s="38" t="n">
        <f aca="false">YEAR(Tabela1[[#This Row],[FECHA]])</f>
        <v>2026</v>
      </c>
      <c r="I1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3" customFormat="false" ht="15" hidden="false" customHeight="false" outlineLevel="0" collapsed="false">
      <c r="A153" s="41" t="n">
        <v>46060</v>
      </c>
      <c r="B153" s="39" t="n">
        <v>95.88</v>
      </c>
      <c r="D153" s="38" t="s">
        <v>3508</v>
      </c>
      <c r="E153" s="38" t="s">
        <v>3531</v>
      </c>
      <c r="G153" s="38" t="n">
        <f aca="false">MONTH(A153)</f>
        <v>2</v>
      </c>
      <c r="H153" s="38" t="n">
        <f aca="false">YEAR(Tabela1[[#This Row],[FECHA]])</f>
        <v>2026</v>
      </c>
      <c r="I153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154" customFormat="false" ht="15" hidden="false" customHeight="false" outlineLevel="0" collapsed="false">
      <c r="A154" s="41" t="n">
        <v>46060</v>
      </c>
      <c r="B154" s="39" t="n">
        <v>77.82</v>
      </c>
      <c r="D154" s="38" t="s">
        <v>3504</v>
      </c>
      <c r="E154" s="38" t="s">
        <v>3540</v>
      </c>
      <c r="G154" s="38" t="n">
        <f aca="false">MONTH(A154)</f>
        <v>2</v>
      </c>
      <c r="H154" s="38" t="n">
        <f aca="false">YEAR(Tabela1[[#This Row],[FECHA]])</f>
        <v>2026</v>
      </c>
      <c r="I1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5" customFormat="false" ht="15" hidden="false" customHeight="false" outlineLevel="0" collapsed="false">
      <c r="A155" s="41" t="n">
        <v>46062</v>
      </c>
      <c r="B155" s="39" t="n">
        <v>73.28</v>
      </c>
      <c r="C155" s="38" t="s">
        <v>3552</v>
      </c>
      <c r="D155" s="38" t="s">
        <v>3508</v>
      </c>
      <c r="E155" s="38" t="s">
        <v>3552</v>
      </c>
      <c r="F155" s="38" t="s">
        <v>3592</v>
      </c>
      <c r="G155" s="38" t="n">
        <f aca="false">MONTH(A155)</f>
        <v>2</v>
      </c>
      <c r="H155" s="38" t="n">
        <f aca="false">YEAR(Tabela1[[#This Row],[FECHA]])</f>
        <v>2026</v>
      </c>
      <c r="I155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156" customFormat="false" ht="15" hidden="false" customHeight="false" outlineLevel="0" collapsed="false">
      <c r="A156" s="41" t="n">
        <v>46062</v>
      </c>
      <c r="B156" s="39" t="n">
        <v>200</v>
      </c>
      <c r="C156" s="38" t="s">
        <v>3562</v>
      </c>
      <c r="D156" s="38" t="s">
        <v>3507</v>
      </c>
      <c r="E156" s="38" t="s">
        <v>3530</v>
      </c>
      <c r="G156" s="38" t="n">
        <f aca="false">MONTH(A156)</f>
        <v>2</v>
      </c>
      <c r="H156" s="38" t="n">
        <f aca="false">YEAR(Tabela1[[#This Row],[FECHA]])</f>
        <v>2026</v>
      </c>
      <c r="I1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7" customFormat="false" ht="15" hidden="false" customHeight="false" outlineLevel="0" collapsed="false">
      <c r="A157" s="41" t="n">
        <v>46062</v>
      </c>
      <c r="B157" s="39" t="n">
        <v>1551.66</v>
      </c>
      <c r="C157" s="38" t="s">
        <v>3576</v>
      </c>
      <c r="D157" s="38" t="s">
        <v>3503</v>
      </c>
      <c r="E157" s="38" t="s">
        <v>3515</v>
      </c>
      <c r="G157" s="38" t="n">
        <f aca="false">MONTH(A157)</f>
        <v>2</v>
      </c>
      <c r="H157" s="38" t="n">
        <f aca="false">YEAR(Tabela1[[#This Row],[FECHA]])</f>
        <v>2026</v>
      </c>
      <c r="I1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8" customFormat="false" ht="15" hidden="false" customHeight="false" outlineLevel="0" collapsed="false">
      <c r="A158" s="41" t="n">
        <v>46063</v>
      </c>
      <c r="B158" s="39" t="n">
        <v>197</v>
      </c>
      <c r="C158" s="38" t="s">
        <v>3593</v>
      </c>
      <c r="D158" s="38" t="s">
        <v>3508</v>
      </c>
      <c r="E158" s="38" t="s">
        <v>3543</v>
      </c>
      <c r="G158" s="38" t="n">
        <f aca="false">MONTH(A158)</f>
        <v>2</v>
      </c>
      <c r="H158" s="38" t="n">
        <f aca="false">YEAR(Tabela1[[#This Row],[FECHA]])</f>
        <v>2026</v>
      </c>
      <c r="I158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159" customFormat="false" ht="15" hidden="false" customHeight="false" outlineLevel="0" collapsed="false">
      <c r="A159" s="41" t="n">
        <v>46063</v>
      </c>
      <c r="B159" s="39" t="n">
        <v>100</v>
      </c>
      <c r="C159" s="38" t="s">
        <v>3562</v>
      </c>
      <c r="D159" s="38" t="s">
        <v>3507</v>
      </c>
      <c r="E159" s="38" t="s">
        <v>3530</v>
      </c>
      <c r="G159" s="38" t="n">
        <f aca="false">MONTH(A159)</f>
        <v>2</v>
      </c>
      <c r="H159" s="38" t="n">
        <f aca="false">YEAR(Tabela1[[#This Row],[FECHA]])</f>
        <v>2026</v>
      </c>
      <c r="I1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0" customFormat="false" ht="15" hidden="false" customHeight="false" outlineLevel="0" collapsed="false">
      <c r="A160" s="41" t="n">
        <v>46064</v>
      </c>
      <c r="B160" s="39" t="n">
        <v>5</v>
      </c>
      <c r="C160" s="38" t="s">
        <v>3576</v>
      </c>
      <c r="D160" s="38" t="s">
        <v>3503</v>
      </c>
      <c r="E160" s="38" t="s">
        <v>3515</v>
      </c>
      <c r="G160" s="38" t="n">
        <f aca="false">MONTH(A160)</f>
        <v>2</v>
      </c>
      <c r="H160" s="38" t="n">
        <f aca="false">YEAR(Tabela1[[#This Row],[FECHA]])</f>
        <v>2026</v>
      </c>
      <c r="I1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1" customFormat="false" ht="15" hidden="false" customHeight="false" outlineLevel="0" collapsed="false">
      <c r="A161" s="41" t="n">
        <v>46064</v>
      </c>
      <c r="B161" s="39" t="n">
        <v>200</v>
      </c>
      <c r="C161" s="38" t="s">
        <v>3562</v>
      </c>
      <c r="D161" s="38" t="s">
        <v>3507</v>
      </c>
      <c r="E161" s="38" t="s">
        <v>3530</v>
      </c>
      <c r="G161" s="38" t="n">
        <f aca="false">MONTH(A161)</f>
        <v>2</v>
      </c>
      <c r="H161" s="38" t="n">
        <f aca="false">YEAR(Tabela1[[#This Row],[FECHA]])</f>
        <v>2026</v>
      </c>
      <c r="I1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2" customFormat="false" ht="15" hidden="false" customHeight="false" outlineLevel="0" collapsed="false">
      <c r="A162" s="41" t="n">
        <v>46065</v>
      </c>
      <c r="B162" s="39" t="n">
        <v>15</v>
      </c>
      <c r="C162" s="38" t="s">
        <v>3594</v>
      </c>
      <c r="D162" s="38" t="s">
        <v>3509</v>
      </c>
      <c r="G162" s="38" t="n">
        <f aca="false">MONTH(A162)</f>
        <v>2</v>
      </c>
      <c r="H162" s="38" t="n">
        <f aca="false">YEAR(Tabela1[[#This Row],[FECHA]])</f>
        <v>2026</v>
      </c>
      <c r="I1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3" customFormat="false" ht="15" hidden="false" customHeight="false" outlineLevel="0" collapsed="false">
      <c r="A163" s="41" t="n">
        <v>46065</v>
      </c>
      <c r="B163" s="39" t="n">
        <v>160</v>
      </c>
      <c r="C163" s="38" t="s">
        <v>3562</v>
      </c>
      <c r="D163" s="38" t="s">
        <v>3507</v>
      </c>
      <c r="E163" s="38" t="s">
        <v>3530</v>
      </c>
      <c r="G163" s="38" t="n">
        <f aca="false">MONTH(A163)</f>
        <v>2</v>
      </c>
      <c r="H163" s="38" t="n">
        <f aca="false">YEAR(Tabela1[[#This Row],[FECHA]])</f>
        <v>2026</v>
      </c>
      <c r="I1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4" customFormat="false" ht="15" hidden="false" customHeight="false" outlineLevel="0" collapsed="false">
      <c r="A164" s="41" t="n">
        <v>46066</v>
      </c>
      <c r="B164" s="39" t="n">
        <v>1456.41</v>
      </c>
      <c r="C164" s="38" t="s">
        <v>3576</v>
      </c>
      <c r="D164" s="38" t="s">
        <v>3503</v>
      </c>
      <c r="E164" s="38" t="s">
        <v>3515</v>
      </c>
      <c r="G164" s="38" t="n">
        <f aca="false">MONTH(A164)</f>
        <v>2</v>
      </c>
      <c r="H164" s="38" t="n">
        <f aca="false">YEAR(Tabela1[[#This Row],[FECHA]])</f>
        <v>2026</v>
      </c>
      <c r="I1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5" customFormat="false" ht="15" hidden="false" customHeight="false" outlineLevel="0" collapsed="false">
      <c r="A165" s="41" t="n">
        <v>46066</v>
      </c>
      <c r="B165" s="39" t="n">
        <v>50</v>
      </c>
      <c r="C165" s="38" t="s">
        <v>3562</v>
      </c>
      <c r="D165" s="38" t="s">
        <v>3507</v>
      </c>
      <c r="E165" s="38" t="s">
        <v>3530</v>
      </c>
      <c r="G165" s="38" t="n">
        <f aca="false">MONTH(A165)</f>
        <v>2</v>
      </c>
      <c r="H165" s="38" t="n">
        <f aca="false">YEAR(Tabela1[[#This Row],[FECHA]])</f>
        <v>2026</v>
      </c>
      <c r="I1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6" customFormat="false" ht="15" hidden="false" customHeight="false" outlineLevel="0" collapsed="false">
      <c r="A166" s="41" t="n">
        <v>46066</v>
      </c>
      <c r="B166" s="39" t="n">
        <v>150</v>
      </c>
      <c r="C166" s="38" t="s">
        <v>3562</v>
      </c>
      <c r="D166" s="38" t="s">
        <v>3507</v>
      </c>
      <c r="E166" s="38" t="s">
        <v>3530</v>
      </c>
      <c r="G166" s="38" t="n">
        <f aca="false">MONTH(A166)</f>
        <v>2</v>
      </c>
      <c r="H166" s="38" t="n">
        <f aca="false">YEAR(Tabela1[[#This Row],[FECHA]])</f>
        <v>2026</v>
      </c>
      <c r="I1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7" customFormat="false" ht="15" hidden="false" customHeight="false" outlineLevel="0" collapsed="false">
      <c r="A167" s="41" t="n">
        <v>46066</v>
      </c>
      <c r="B167" s="39" t="n">
        <v>1775</v>
      </c>
      <c r="C167" s="38" t="s">
        <v>3585</v>
      </c>
      <c r="D167" s="38" t="s">
        <v>3507</v>
      </c>
      <c r="E167" s="38" t="s">
        <v>3519</v>
      </c>
      <c r="G167" s="38" t="n">
        <f aca="false">MONTH(A167)</f>
        <v>2</v>
      </c>
      <c r="H167" s="38" t="n">
        <f aca="false">YEAR(Tabela1[[#This Row],[FECHA]])</f>
        <v>2026</v>
      </c>
      <c r="I1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8" customFormat="false" ht="15" hidden="false" customHeight="false" outlineLevel="0" collapsed="false">
      <c r="A168" s="41" t="n">
        <v>46066</v>
      </c>
      <c r="B168" s="39" t="n">
        <v>1000</v>
      </c>
      <c r="C168" s="38" t="s">
        <v>3566</v>
      </c>
      <c r="D168" s="38" t="s">
        <v>3505</v>
      </c>
      <c r="E168" s="38" t="s">
        <v>3541</v>
      </c>
      <c r="G168" s="38" t="n">
        <f aca="false">MONTH(A168)</f>
        <v>2</v>
      </c>
      <c r="H168" s="38" t="n">
        <f aca="false">YEAR(Tabela1[[#This Row],[FECHA]])</f>
        <v>2026</v>
      </c>
      <c r="I1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9" customFormat="false" ht="15" hidden="false" customHeight="false" outlineLevel="0" collapsed="false">
      <c r="A169" s="41" t="n">
        <v>46066</v>
      </c>
      <c r="B169" s="39" t="n">
        <v>1000</v>
      </c>
      <c r="C169" s="38" t="s">
        <v>3567</v>
      </c>
      <c r="D169" s="38" t="s">
        <v>3505</v>
      </c>
      <c r="E169" s="38" t="s">
        <v>3517</v>
      </c>
      <c r="G169" s="38" t="n">
        <f aca="false">MONTH(A169)</f>
        <v>2</v>
      </c>
      <c r="H169" s="38" t="n">
        <f aca="false">YEAR(Tabela1[[#This Row],[FECHA]])</f>
        <v>2026</v>
      </c>
      <c r="I1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0" customFormat="false" ht="15" hidden="false" customHeight="false" outlineLevel="0" collapsed="false">
      <c r="A170" s="41" t="n">
        <v>46066</v>
      </c>
      <c r="B170" s="39" t="n">
        <v>1000</v>
      </c>
      <c r="C170" s="38" t="s">
        <v>3568</v>
      </c>
      <c r="D170" s="38" t="s">
        <v>3505</v>
      </c>
      <c r="E170" s="38" t="s">
        <v>3517</v>
      </c>
      <c r="G170" s="38" t="n">
        <f aca="false">MONTH(A170)</f>
        <v>2</v>
      </c>
      <c r="H170" s="38" t="n">
        <f aca="false">YEAR(Tabela1[[#This Row],[FECHA]])</f>
        <v>2026</v>
      </c>
      <c r="I1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1" customFormat="false" ht="15" hidden="false" customHeight="false" outlineLevel="0" collapsed="false">
      <c r="A171" s="41" t="n">
        <v>46066</v>
      </c>
      <c r="B171" s="39" t="n">
        <v>1442.69</v>
      </c>
      <c r="C171" s="38" t="s">
        <v>3595</v>
      </c>
      <c r="D171" s="38" t="s">
        <v>3506</v>
      </c>
      <c r="E171" s="38" t="s">
        <v>3529</v>
      </c>
      <c r="G171" s="38" t="n">
        <f aca="false">MONTH(A171)</f>
        <v>2</v>
      </c>
      <c r="H171" s="38" t="n">
        <f aca="false">YEAR(Tabela1[[#This Row],[FECHA]])</f>
        <v>2026</v>
      </c>
      <c r="I171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172" customFormat="false" ht="15" hidden="false" customHeight="false" outlineLevel="0" collapsed="false">
      <c r="A172" s="41" t="n">
        <v>46066</v>
      </c>
      <c r="B172" s="39" t="n">
        <v>900</v>
      </c>
      <c r="C172" s="38" t="s">
        <v>3590</v>
      </c>
      <c r="D172" s="38" t="s">
        <v>3505</v>
      </c>
      <c r="E172" s="38" t="s">
        <v>3541</v>
      </c>
      <c r="G172" s="38" t="n">
        <f aca="false">MONTH(A172)</f>
        <v>2</v>
      </c>
      <c r="H172" s="38" t="n">
        <f aca="false">YEAR(Tabela1[[#This Row],[FECHA]])</f>
        <v>2026</v>
      </c>
      <c r="I1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3" customFormat="false" ht="15" hidden="false" customHeight="false" outlineLevel="0" collapsed="false">
      <c r="A173" s="41" t="n">
        <v>46066</v>
      </c>
      <c r="B173" s="39" t="n">
        <v>300</v>
      </c>
      <c r="C173" s="38" t="s">
        <v>3596</v>
      </c>
      <c r="D173" s="38" t="s">
        <v>3499</v>
      </c>
      <c r="E173" s="38" t="s">
        <v>3512</v>
      </c>
      <c r="G173" s="38" t="n">
        <f aca="false">MONTH(A173)</f>
        <v>2</v>
      </c>
      <c r="H173" s="38" t="n">
        <f aca="false">YEAR(Tabela1[[#This Row],[FECHA]])</f>
        <v>2026</v>
      </c>
      <c r="I1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4" customFormat="false" ht="15" hidden="false" customHeight="false" outlineLevel="0" collapsed="false">
      <c r="A174" s="41" t="n">
        <v>46067</v>
      </c>
      <c r="B174" s="39" t="n">
        <v>1000</v>
      </c>
      <c r="C174" s="38" t="s">
        <v>3597</v>
      </c>
      <c r="D174" s="38" t="s">
        <v>3505</v>
      </c>
      <c r="E174" s="38" t="s">
        <v>3517</v>
      </c>
      <c r="G174" s="38" t="n">
        <f aca="false">MONTH(A174)</f>
        <v>2</v>
      </c>
      <c r="H174" s="38" t="n">
        <f aca="false">YEAR(Tabela1[[#This Row],[FECHA]])</f>
        <v>2026</v>
      </c>
      <c r="I1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5" customFormat="false" ht="15" hidden="false" customHeight="false" outlineLevel="0" collapsed="false">
      <c r="A175" s="41" t="n">
        <v>46069</v>
      </c>
      <c r="B175" s="39" t="n">
        <v>50</v>
      </c>
      <c r="C175" s="38" t="s">
        <v>3562</v>
      </c>
      <c r="D175" s="38" t="s">
        <v>3507</v>
      </c>
      <c r="E175" s="38" t="s">
        <v>3530</v>
      </c>
      <c r="G175" s="38" t="n">
        <f aca="false">MONTH(A175)</f>
        <v>2</v>
      </c>
      <c r="H175" s="38" t="n">
        <f aca="false">YEAR(Tabela1[[#This Row],[FECHA]])</f>
        <v>2026</v>
      </c>
      <c r="I1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6" customFormat="false" ht="15" hidden="false" customHeight="false" outlineLevel="0" collapsed="false">
      <c r="A176" s="41" t="n">
        <v>46069</v>
      </c>
      <c r="B176" s="39" t="n">
        <v>58</v>
      </c>
      <c r="C176" s="38" t="s">
        <v>3598</v>
      </c>
      <c r="D176" s="38" t="s">
        <v>3508</v>
      </c>
      <c r="E176" s="38" t="s">
        <v>3537</v>
      </c>
      <c r="G176" s="38" t="n">
        <f aca="false">MONTH(A176)</f>
        <v>2</v>
      </c>
      <c r="H176" s="38" t="n">
        <f aca="false">YEAR(Tabela1[[#This Row],[FECHA]])</f>
        <v>2026</v>
      </c>
      <c r="I176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177" customFormat="false" ht="15" hidden="false" customHeight="false" outlineLevel="0" collapsed="false">
      <c r="A177" s="41" t="n">
        <v>46070</v>
      </c>
      <c r="B177" s="39" t="n">
        <v>1551.14</v>
      </c>
      <c r="C177" s="38" t="s">
        <v>3576</v>
      </c>
      <c r="D177" s="38" t="s">
        <v>3503</v>
      </c>
      <c r="E177" s="38" t="s">
        <v>3515</v>
      </c>
      <c r="G177" s="38" t="n">
        <f aca="false">MONTH(A177)</f>
        <v>2</v>
      </c>
      <c r="H177" s="38" t="n">
        <f aca="false">YEAR(Tabela1[[#This Row],[FECHA]])</f>
        <v>2026</v>
      </c>
      <c r="I1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8" customFormat="false" ht="15" hidden="false" customHeight="false" outlineLevel="0" collapsed="false">
      <c r="A178" s="41" t="n">
        <v>46070</v>
      </c>
      <c r="B178" s="39" t="n">
        <v>50</v>
      </c>
      <c r="C178" s="38" t="s">
        <v>3562</v>
      </c>
      <c r="D178" s="38" t="s">
        <v>3507</v>
      </c>
      <c r="E178" s="38" t="s">
        <v>3530</v>
      </c>
      <c r="G178" s="38" t="n">
        <f aca="false">MONTH(A178)</f>
        <v>2</v>
      </c>
      <c r="H178" s="38" t="n">
        <f aca="false">YEAR(Tabela1[[#This Row],[FECHA]])</f>
        <v>2026</v>
      </c>
      <c r="I1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9" customFormat="false" ht="15" hidden="false" customHeight="false" outlineLevel="0" collapsed="false">
      <c r="A179" s="41" t="n">
        <v>46071</v>
      </c>
      <c r="B179" s="39" t="n">
        <v>1</v>
      </c>
      <c r="C179" s="38" t="s">
        <v>3599</v>
      </c>
      <c r="D179" s="38" t="s">
        <v>3508</v>
      </c>
      <c r="E179" s="38" t="s">
        <v>3551</v>
      </c>
      <c r="G179" s="38" t="n">
        <f aca="false">MONTH(A179)</f>
        <v>2</v>
      </c>
      <c r="H179" s="38" t="n">
        <f aca="false">YEAR(Tabela1[[#This Row],[FECHA]])</f>
        <v>2026</v>
      </c>
      <c r="I179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180" customFormat="false" ht="15" hidden="false" customHeight="false" outlineLevel="0" collapsed="false">
      <c r="A180" s="41" t="n">
        <v>46071</v>
      </c>
      <c r="B180" s="39" t="n">
        <v>3610.8</v>
      </c>
      <c r="D180" s="38" t="s">
        <v>3502</v>
      </c>
      <c r="E180" s="38" t="s">
        <v>3525</v>
      </c>
      <c r="G180" s="38" t="n">
        <f aca="false">MONTH(A180)</f>
        <v>2</v>
      </c>
      <c r="H180" s="38" t="n">
        <f aca="false">YEAR(Tabela1[[#This Row],[FECHA]])</f>
        <v>2026</v>
      </c>
      <c r="I1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1" customFormat="false" ht="15" hidden="false" customHeight="false" outlineLevel="0" collapsed="false">
      <c r="A181" s="41" t="n">
        <v>46072</v>
      </c>
      <c r="B181" s="39" t="n">
        <v>119.99</v>
      </c>
      <c r="C181" s="38" t="s">
        <v>3600</v>
      </c>
      <c r="D181" s="38" t="s">
        <v>3504</v>
      </c>
      <c r="E181" s="38" t="s">
        <v>3534</v>
      </c>
      <c r="G181" s="38" t="n">
        <f aca="false">MONTH(A181)</f>
        <v>2</v>
      </c>
      <c r="H181" s="38" t="n">
        <f aca="false">YEAR(Tabela1[[#This Row],[FECHA]])</f>
        <v>2026</v>
      </c>
      <c r="I1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2" customFormat="false" ht="15" hidden="false" customHeight="false" outlineLevel="0" collapsed="false">
      <c r="A182" s="41" t="n">
        <v>46072</v>
      </c>
      <c r="B182" s="39" t="n">
        <v>100</v>
      </c>
      <c r="C182" s="38" t="s">
        <v>3601</v>
      </c>
      <c r="D182" s="38" t="s">
        <v>3507</v>
      </c>
      <c r="E182" s="38" t="s">
        <v>3542</v>
      </c>
      <c r="G182" s="38" t="n">
        <f aca="false">MONTH(A182)</f>
        <v>2</v>
      </c>
      <c r="H182" s="38" t="n">
        <f aca="false">YEAR(Tabela1[[#This Row],[FECHA]])</f>
        <v>2026</v>
      </c>
      <c r="I1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3" customFormat="false" ht="15" hidden="false" customHeight="false" outlineLevel="0" collapsed="false">
      <c r="A183" s="41" t="n">
        <v>46073</v>
      </c>
      <c r="B183" s="39" t="n">
        <v>150</v>
      </c>
      <c r="C183" s="38" t="s">
        <v>3562</v>
      </c>
      <c r="D183" s="38" t="s">
        <v>3507</v>
      </c>
      <c r="E183" s="38" t="s">
        <v>3530</v>
      </c>
      <c r="G183" s="38" t="n">
        <f aca="false">MONTH(A183)</f>
        <v>2</v>
      </c>
      <c r="H183" s="38" t="n">
        <f aca="false">YEAR(Tabela1[[#This Row],[FECHA]])</f>
        <v>2026</v>
      </c>
      <c r="I1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4" customFormat="false" ht="15" hidden="false" customHeight="false" outlineLevel="0" collapsed="false">
      <c r="A184" s="41" t="n">
        <v>46073</v>
      </c>
      <c r="B184" s="39" t="n">
        <v>10</v>
      </c>
      <c r="C184" s="38" t="s">
        <v>3562</v>
      </c>
      <c r="D184" s="38" t="s">
        <v>3507</v>
      </c>
      <c r="E184" s="38" t="s">
        <v>3530</v>
      </c>
      <c r="G184" s="38" t="n">
        <f aca="false">MONTH(A184)</f>
        <v>2</v>
      </c>
      <c r="H184" s="38" t="n">
        <f aca="false">YEAR(Tabela1[[#This Row],[FECHA]])</f>
        <v>2026</v>
      </c>
      <c r="I1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5" customFormat="false" ht="15" hidden="false" customHeight="false" outlineLevel="0" collapsed="false">
      <c r="A185" s="41" t="n">
        <v>46073</v>
      </c>
      <c r="B185" s="39" t="n">
        <v>150</v>
      </c>
      <c r="C185" s="38" t="s">
        <v>3562</v>
      </c>
      <c r="D185" s="38" t="s">
        <v>3507</v>
      </c>
      <c r="E185" s="38" t="s">
        <v>3530</v>
      </c>
      <c r="G185" s="38" t="n">
        <f aca="false">MONTH(A185)</f>
        <v>2</v>
      </c>
      <c r="H185" s="38" t="n">
        <f aca="false">YEAR(Tabela1[[#This Row],[FECHA]])</f>
        <v>2026</v>
      </c>
      <c r="I1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6" customFormat="false" ht="15" hidden="false" customHeight="false" outlineLevel="0" collapsed="false">
      <c r="A186" s="41" t="n">
        <v>46073</v>
      </c>
      <c r="B186" s="39" t="n">
        <v>80</v>
      </c>
      <c r="C186" s="38" t="s">
        <v>3602</v>
      </c>
      <c r="D186" s="38" t="s">
        <v>3500</v>
      </c>
      <c r="E186" s="38" t="s">
        <v>3511</v>
      </c>
      <c r="G186" s="38" t="n">
        <f aca="false">MONTH(A186)</f>
        <v>2</v>
      </c>
      <c r="H186" s="38" t="n">
        <f aca="false">YEAR(Tabela1[[#This Row],[FECHA]])</f>
        <v>2026</v>
      </c>
      <c r="I1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7" customFormat="false" ht="15" hidden="false" customHeight="false" outlineLevel="0" collapsed="false">
      <c r="A187" s="41" t="n">
        <v>46073</v>
      </c>
      <c r="B187" s="39" t="n">
        <v>970</v>
      </c>
      <c r="C187" s="38" t="s">
        <v>3585</v>
      </c>
      <c r="D187" s="38" t="s">
        <v>3507</v>
      </c>
      <c r="E187" s="38" t="s">
        <v>3519</v>
      </c>
      <c r="G187" s="38" t="n">
        <f aca="false">MONTH(A187)</f>
        <v>2</v>
      </c>
      <c r="H187" s="38" t="n">
        <f aca="false">YEAR(Tabela1[[#This Row],[FECHA]])</f>
        <v>2026</v>
      </c>
      <c r="I1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8" customFormat="false" ht="15" hidden="false" customHeight="false" outlineLevel="0" collapsed="false">
      <c r="A188" s="41" t="n">
        <v>46074</v>
      </c>
      <c r="B188" s="39" t="n">
        <v>1550.94</v>
      </c>
      <c r="C188" s="38" t="s">
        <v>3576</v>
      </c>
      <c r="D188" s="38" t="s">
        <v>3503</v>
      </c>
      <c r="E188" s="38" t="s">
        <v>3515</v>
      </c>
      <c r="G188" s="38" t="n">
        <f aca="false">MONTH(A188)</f>
        <v>2</v>
      </c>
      <c r="H188" s="38" t="n">
        <f aca="false">YEAR(Tabela1[[#This Row],[FECHA]])</f>
        <v>2026</v>
      </c>
      <c r="I1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9" customFormat="false" ht="15" hidden="false" customHeight="false" outlineLevel="0" collapsed="false">
      <c r="A189" s="41" t="n">
        <v>46076</v>
      </c>
      <c r="B189" s="39" t="n">
        <v>171</v>
      </c>
      <c r="C189" s="38" t="s">
        <v>3603</v>
      </c>
      <c r="D189" s="38" t="s">
        <v>3501</v>
      </c>
      <c r="E189" s="38" t="s">
        <v>3524</v>
      </c>
      <c r="G189" s="38" t="n">
        <f aca="false">MONTH(A189)</f>
        <v>2</v>
      </c>
      <c r="H189" s="38" t="n">
        <f aca="false">YEAR(Tabela1[[#This Row],[FECHA]])</f>
        <v>2026</v>
      </c>
      <c r="I189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190" customFormat="false" ht="15" hidden="false" customHeight="false" outlineLevel="0" collapsed="false">
      <c r="A190" s="41" t="n">
        <v>46077</v>
      </c>
      <c r="B190" s="39" t="n">
        <v>60</v>
      </c>
      <c r="C190" s="38" t="s">
        <v>3604</v>
      </c>
      <c r="D190" s="38" t="s">
        <v>3508</v>
      </c>
      <c r="E190" s="38" t="s">
        <v>3555</v>
      </c>
      <c r="G190" s="38" t="n">
        <f aca="false">MONTH(A190)</f>
        <v>2</v>
      </c>
      <c r="H190" s="38" t="n">
        <f aca="false">YEAR(Tabela1[[#This Row],[FECHA]])</f>
        <v>2026</v>
      </c>
      <c r="I190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191" customFormat="false" ht="15" hidden="false" customHeight="false" outlineLevel="0" collapsed="false">
      <c r="A191" s="41" t="n">
        <v>46077</v>
      </c>
      <c r="B191" s="39" t="n">
        <v>80</v>
      </c>
      <c r="C191" s="38" t="s">
        <v>3605</v>
      </c>
      <c r="D191" s="38" t="s">
        <v>3500</v>
      </c>
      <c r="E191" s="38" t="s">
        <v>16</v>
      </c>
      <c r="G191" s="38" t="n">
        <f aca="false">MONTH(A191)</f>
        <v>2</v>
      </c>
      <c r="H191" s="38" t="n">
        <f aca="false">YEAR(Tabela1[[#This Row],[FECHA]])</f>
        <v>2026</v>
      </c>
      <c r="I1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2" customFormat="false" ht="15" hidden="false" customHeight="false" outlineLevel="0" collapsed="false">
      <c r="A192" s="41" t="n">
        <v>46078</v>
      </c>
      <c r="B192" s="39" t="n">
        <v>9.9</v>
      </c>
      <c r="D192" s="38" t="s">
        <v>3508</v>
      </c>
      <c r="E192" s="38" t="s">
        <v>3550</v>
      </c>
      <c r="G192" s="38" t="n">
        <f aca="false">MONTH(A192)</f>
        <v>2</v>
      </c>
      <c r="H192" s="38" t="n">
        <f aca="false">YEAR(Tabela1[[#This Row],[FECHA]])</f>
        <v>2026</v>
      </c>
      <c r="I192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193" customFormat="false" ht="15" hidden="false" customHeight="false" outlineLevel="0" collapsed="false">
      <c r="A193" s="41" t="n">
        <v>46078</v>
      </c>
      <c r="B193" s="39" t="n">
        <v>400</v>
      </c>
      <c r="C193" s="38" t="s">
        <v>3606</v>
      </c>
      <c r="D193" s="38" t="s">
        <v>3500</v>
      </c>
      <c r="E193" s="38" t="s">
        <v>3532</v>
      </c>
      <c r="G193" s="38" t="n">
        <f aca="false">MONTH(A193)</f>
        <v>2</v>
      </c>
      <c r="H193" s="38" t="n">
        <f aca="false">YEAR(Tabela1[[#This Row],[FECHA]])</f>
        <v>2026</v>
      </c>
      <c r="I1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4" customFormat="false" ht="15" hidden="false" customHeight="false" outlineLevel="0" collapsed="false">
      <c r="A194" s="41" t="n">
        <v>46080</v>
      </c>
      <c r="B194" s="39" t="n">
        <v>1550.37</v>
      </c>
      <c r="C194" s="38" t="s">
        <v>3576</v>
      </c>
      <c r="D194" s="38" t="s">
        <v>3503</v>
      </c>
      <c r="E194" s="38" t="s">
        <v>3515</v>
      </c>
      <c r="G194" s="38" t="n">
        <f aca="false">MONTH(A194)</f>
        <v>2</v>
      </c>
      <c r="H194" s="38" t="n">
        <f aca="false">YEAR(Tabela1[[#This Row],[FECHA]])</f>
        <v>2026</v>
      </c>
      <c r="I1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5" customFormat="false" ht="15" hidden="false" customHeight="false" outlineLevel="0" collapsed="false">
      <c r="A195" s="41" t="n">
        <v>46080</v>
      </c>
      <c r="B195" s="39" t="n">
        <v>50</v>
      </c>
      <c r="C195" s="38" t="s">
        <v>3562</v>
      </c>
      <c r="D195" s="38" t="s">
        <v>3507</v>
      </c>
      <c r="E195" s="38" t="s">
        <v>3530</v>
      </c>
      <c r="G195" s="38" t="n">
        <f aca="false">MONTH(A195)</f>
        <v>2</v>
      </c>
      <c r="H195" s="38" t="n">
        <f aca="false">YEAR(Tabela1[[#This Row],[FECHA]])</f>
        <v>2026</v>
      </c>
      <c r="I1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6" customFormat="false" ht="15" hidden="false" customHeight="false" outlineLevel="0" collapsed="false">
      <c r="A196" s="41" t="n">
        <v>46080</v>
      </c>
      <c r="B196" s="39" t="n">
        <v>915</v>
      </c>
      <c r="C196" s="38" t="s">
        <v>3585</v>
      </c>
      <c r="D196" s="38" t="s">
        <v>3507</v>
      </c>
      <c r="E196" s="38" t="s">
        <v>3519</v>
      </c>
      <c r="G196" s="38" t="n">
        <f aca="false">MONTH(A196)</f>
        <v>2</v>
      </c>
      <c r="H196" s="38" t="n">
        <f aca="false">YEAR(Tabela1[[#This Row],[FECHA]])</f>
        <v>2026</v>
      </c>
      <c r="I1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7" customFormat="false" ht="15" hidden="false" customHeight="false" outlineLevel="0" collapsed="false">
      <c r="A197" s="41" t="n">
        <v>46081</v>
      </c>
      <c r="B197" s="39" t="n">
        <v>1750</v>
      </c>
      <c r="C197" s="38" t="s">
        <v>3567</v>
      </c>
      <c r="D197" s="38" t="s">
        <v>3505</v>
      </c>
      <c r="E197" s="38" t="s">
        <v>3517</v>
      </c>
      <c r="G197" s="38" t="n">
        <f aca="false">MONTH(A197)</f>
        <v>2</v>
      </c>
      <c r="H197" s="38" t="n">
        <f aca="false">YEAR(Tabela1[[#This Row],[FECHA]])</f>
        <v>2026</v>
      </c>
      <c r="I1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8" customFormat="false" ht="15" hidden="false" customHeight="false" outlineLevel="0" collapsed="false">
      <c r="A198" s="41" t="n">
        <v>46081</v>
      </c>
      <c r="B198" s="39" t="n">
        <v>1332.6</v>
      </c>
      <c r="C198" s="38" t="s">
        <v>3607</v>
      </c>
      <c r="D198" s="38" t="s">
        <v>3499</v>
      </c>
      <c r="E198" s="38" t="s">
        <v>3512</v>
      </c>
      <c r="G198" s="38" t="n">
        <f aca="false">MONTH(A198)</f>
        <v>2</v>
      </c>
      <c r="H198" s="38" t="n">
        <f aca="false">YEAR(Tabela1[[#This Row],[FECHA]])</f>
        <v>2026</v>
      </c>
      <c r="I1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9" customFormat="false" ht="15" hidden="false" customHeight="false" outlineLevel="0" collapsed="false">
      <c r="A199" s="41" t="n">
        <v>46081</v>
      </c>
      <c r="B199" s="39" t="n">
        <v>800</v>
      </c>
      <c r="C199" s="38" t="s">
        <v>3568</v>
      </c>
      <c r="D199" s="38" t="s">
        <v>3505</v>
      </c>
      <c r="E199" s="38" t="s">
        <v>3517</v>
      </c>
      <c r="G199" s="38" t="n">
        <f aca="false">MONTH(A199)</f>
        <v>2</v>
      </c>
      <c r="H199" s="38" t="n">
        <f aca="false">YEAR(Tabela1[[#This Row],[FECHA]])</f>
        <v>2026</v>
      </c>
      <c r="I1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0" customFormat="false" ht="15" hidden="false" customHeight="false" outlineLevel="0" collapsed="false">
      <c r="A200" s="41" t="n">
        <v>46081</v>
      </c>
      <c r="B200" s="39" t="n">
        <v>887.35</v>
      </c>
      <c r="C200" s="38" t="s">
        <v>3608</v>
      </c>
      <c r="D200" s="38" t="s">
        <v>3499</v>
      </c>
      <c r="E200" s="38" t="s">
        <v>3512</v>
      </c>
      <c r="G200" s="38" t="n">
        <f aca="false">MONTH(A200)</f>
        <v>2</v>
      </c>
      <c r="H200" s="38" t="n">
        <f aca="false">YEAR(Tabela1[[#This Row],[FECHA]])</f>
        <v>2026</v>
      </c>
      <c r="I2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1" customFormat="false" ht="15" hidden="false" customHeight="false" outlineLevel="0" collapsed="false">
      <c r="A201" s="41" t="n">
        <v>46081</v>
      </c>
      <c r="B201" s="39" t="n">
        <v>800</v>
      </c>
      <c r="C201" s="38" t="s">
        <v>3597</v>
      </c>
      <c r="D201" s="38" t="s">
        <v>3505</v>
      </c>
      <c r="E201" s="38" t="s">
        <v>3517</v>
      </c>
      <c r="G201" s="38" t="n">
        <f aca="false">MONTH(A201)</f>
        <v>2</v>
      </c>
      <c r="H201" s="38" t="n">
        <f aca="false">YEAR(Tabela1[[#This Row],[FECHA]])</f>
        <v>2026</v>
      </c>
      <c r="I2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2" customFormat="false" ht="15" hidden="false" customHeight="false" outlineLevel="0" collapsed="false">
      <c r="A202" s="41" t="n">
        <v>46081</v>
      </c>
      <c r="B202" s="39" t="n">
        <v>510.55</v>
      </c>
      <c r="C202" s="38" t="s">
        <v>3609</v>
      </c>
      <c r="D202" s="38" t="s">
        <v>3499</v>
      </c>
      <c r="E202" s="38" t="s">
        <v>3512</v>
      </c>
      <c r="G202" s="38" t="n">
        <f aca="false">MONTH(A202)</f>
        <v>2</v>
      </c>
      <c r="H202" s="38" t="n">
        <f aca="false">YEAR(Tabela1[[#This Row],[FECHA]])</f>
        <v>2026</v>
      </c>
      <c r="I2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3" customFormat="false" ht="15" hidden="false" customHeight="false" outlineLevel="0" collapsed="false">
      <c r="A203" s="41" t="n">
        <v>46081</v>
      </c>
      <c r="B203" s="39" t="n">
        <v>1100</v>
      </c>
      <c r="C203" s="38" t="s">
        <v>3590</v>
      </c>
      <c r="D203" s="38" t="s">
        <v>3505</v>
      </c>
      <c r="E203" s="38" t="s">
        <v>3541</v>
      </c>
      <c r="G203" s="38" t="n">
        <f aca="false">MONTH(A203)</f>
        <v>2</v>
      </c>
      <c r="H203" s="38" t="n">
        <f aca="false">YEAR(Tabela1[[#This Row],[FECHA]])</f>
        <v>2026</v>
      </c>
      <c r="I2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4" customFormat="false" ht="15" hidden="false" customHeight="false" outlineLevel="0" collapsed="false">
      <c r="A204" s="41" t="n">
        <v>46081</v>
      </c>
      <c r="B204" s="39" t="n">
        <v>200</v>
      </c>
      <c r="C204" s="38" t="s">
        <v>3610</v>
      </c>
      <c r="D204" s="38" t="s">
        <v>3499</v>
      </c>
      <c r="E204" s="38" t="s">
        <v>3512</v>
      </c>
      <c r="G204" s="38" t="n">
        <f aca="false">MONTH(A204)</f>
        <v>2</v>
      </c>
      <c r="H204" s="38" t="n">
        <f aca="false">YEAR(Tabela1[[#This Row],[FECHA]])</f>
        <v>2026</v>
      </c>
      <c r="I2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5" customFormat="false" ht="15" hidden="false" customHeight="false" outlineLevel="0" collapsed="false">
      <c r="A205" s="41" t="n">
        <v>46081</v>
      </c>
      <c r="B205" s="39" t="n">
        <v>479</v>
      </c>
      <c r="C205" s="38" t="s">
        <v>3611</v>
      </c>
      <c r="D205" s="38" t="s">
        <v>3499</v>
      </c>
      <c r="E205" s="38" t="s">
        <v>3523</v>
      </c>
      <c r="G205" s="38" t="n">
        <f aca="false">MONTH(A205)</f>
        <v>2</v>
      </c>
      <c r="H205" s="38" t="n">
        <f aca="false">YEAR(Tabela1[[#This Row],[FECHA]])</f>
        <v>2026</v>
      </c>
      <c r="I2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6" customFormat="false" ht="15" hidden="false" customHeight="false" outlineLevel="0" collapsed="false">
      <c r="A206" s="41" t="n">
        <v>46081</v>
      </c>
      <c r="B206" s="39" t="n">
        <v>1321</v>
      </c>
      <c r="C206" s="38" t="s">
        <v>3566</v>
      </c>
      <c r="D206" s="38" t="s">
        <v>3505</v>
      </c>
      <c r="E206" s="38" t="s">
        <v>3541</v>
      </c>
      <c r="G206" s="38" t="n">
        <f aca="false">MONTH(A206)</f>
        <v>2</v>
      </c>
      <c r="H206" s="38" t="n">
        <f aca="false">YEAR(Tabela1[[#This Row],[FECHA]])</f>
        <v>2026</v>
      </c>
      <c r="I2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7" customFormat="false" ht="15" hidden="false" customHeight="false" outlineLevel="0" collapsed="false">
      <c r="A207" s="41" t="n">
        <v>46082</v>
      </c>
      <c r="B207" s="39" t="n">
        <v>71.85</v>
      </c>
      <c r="C207" s="38" t="s">
        <v>3576</v>
      </c>
      <c r="D207" s="38" t="s">
        <v>3503</v>
      </c>
      <c r="E207" s="38" t="s">
        <v>3515</v>
      </c>
      <c r="G207" s="38" t="n">
        <f aca="false">MONTH(A207)</f>
        <v>3</v>
      </c>
      <c r="H207" s="38" t="n">
        <f aca="false">YEAR(Tabela1[[#This Row],[FECHA]])</f>
        <v>2026</v>
      </c>
      <c r="I2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8" customFormat="false" ht="15" hidden="false" customHeight="false" outlineLevel="0" collapsed="false">
      <c r="A208" s="41" t="n">
        <v>46084</v>
      </c>
      <c r="B208" s="39" t="n">
        <v>120</v>
      </c>
      <c r="C208" s="38" t="s">
        <v>3562</v>
      </c>
      <c r="D208" s="38" t="s">
        <v>3507</v>
      </c>
      <c r="E208" s="38" t="s">
        <v>3530</v>
      </c>
      <c r="G208" s="38" t="n">
        <f aca="false">MONTH(A208)</f>
        <v>3</v>
      </c>
      <c r="H208" s="38" t="n">
        <f aca="false">YEAR(Tabela1[[#This Row],[FECHA]])</f>
        <v>2026</v>
      </c>
      <c r="I2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9" customFormat="false" ht="15" hidden="false" customHeight="false" outlineLevel="0" collapsed="false">
      <c r="A209" s="41" t="n">
        <v>46085</v>
      </c>
      <c r="B209" s="39" t="n">
        <v>50</v>
      </c>
      <c r="C209" s="38" t="s">
        <v>3562</v>
      </c>
      <c r="D209" s="38" t="s">
        <v>3507</v>
      </c>
      <c r="E209" s="38" t="s">
        <v>3530</v>
      </c>
      <c r="G209" s="38" t="n">
        <f aca="false">MONTH(A209)</f>
        <v>3</v>
      </c>
      <c r="H209" s="38" t="n">
        <f aca="false">YEAR(Tabela1[[#This Row],[FECHA]])</f>
        <v>2026</v>
      </c>
      <c r="I2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0" customFormat="false" ht="15" hidden="false" customHeight="false" outlineLevel="0" collapsed="false">
      <c r="A210" s="41" t="n">
        <v>46085</v>
      </c>
      <c r="B210" s="39" t="n">
        <v>50</v>
      </c>
      <c r="C210" s="38" t="s">
        <v>3562</v>
      </c>
      <c r="D210" s="38" t="s">
        <v>3507</v>
      </c>
      <c r="E210" s="38" t="s">
        <v>3530</v>
      </c>
      <c r="G210" s="38" t="n">
        <f aca="false">MONTH(A210)</f>
        <v>3</v>
      </c>
      <c r="H210" s="38" t="n">
        <f aca="false">YEAR(Tabela1[[#This Row],[FECHA]])</f>
        <v>2026</v>
      </c>
      <c r="I2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1" customFormat="false" ht="15" hidden="false" customHeight="false" outlineLevel="0" collapsed="false">
      <c r="A211" s="41" t="n">
        <v>46085</v>
      </c>
      <c r="B211" s="39" t="n">
        <v>40</v>
      </c>
      <c r="C211" s="38" t="s">
        <v>3562</v>
      </c>
      <c r="D211" s="38" t="s">
        <v>3507</v>
      </c>
      <c r="E211" s="38" t="s">
        <v>3530</v>
      </c>
      <c r="G211" s="38" t="n">
        <f aca="false">MONTH(A211)</f>
        <v>3</v>
      </c>
      <c r="H211" s="38" t="n">
        <f aca="false">YEAR(Tabela1[[#This Row],[FECHA]])</f>
        <v>2026</v>
      </c>
      <c r="I2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2" customFormat="false" ht="15" hidden="false" customHeight="false" outlineLevel="0" collapsed="false">
      <c r="A212" s="41" t="n">
        <v>46085</v>
      </c>
      <c r="B212" s="39" t="n">
        <v>1552.54</v>
      </c>
      <c r="C212" s="38" t="s">
        <v>3576</v>
      </c>
      <c r="D212" s="38" t="s">
        <v>3503</v>
      </c>
      <c r="E212" s="38" t="s">
        <v>3515</v>
      </c>
      <c r="G212" s="38" t="n">
        <f aca="false">MONTH(A212)</f>
        <v>3</v>
      </c>
      <c r="H212" s="38" t="n">
        <f aca="false">YEAR(Tabela1[[#This Row],[FECHA]])</f>
        <v>2026</v>
      </c>
      <c r="I2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3" customFormat="false" ht="15" hidden="false" customHeight="false" outlineLevel="0" collapsed="false">
      <c r="A213" s="41" t="n">
        <v>46086</v>
      </c>
      <c r="B213" s="39" t="n">
        <v>135</v>
      </c>
      <c r="C213" s="38" t="s">
        <v>520</v>
      </c>
      <c r="D213" s="38" t="s">
        <v>3500</v>
      </c>
      <c r="E213" s="38" t="s">
        <v>3532</v>
      </c>
      <c r="G213" s="38" t="n">
        <f aca="false">MONTH(A213)</f>
        <v>3</v>
      </c>
      <c r="H213" s="38" t="n">
        <f aca="false">YEAR(Tabela1[[#This Row],[FECHA]])</f>
        <v>2026</v>
      </c>
      <c r="I2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4" customFormat="false" ht="15" hidden="false" customHeight="false" outlineLevel="0" collapsed="false">
      <c r="A214" s="41" t="n">
        <v>46087</v>
      </c>
      <c r="B214" s="39" t="n">
        <v>186.51</v>
      </c>
      <c r="D214" s="38" t="s">
        <v>3504</v>
      </c>
      <c r="E214" s="38" t="s">
        <v>3540</v>
      </c>
      <c r="G214" s="38" t="n">
        <f aca="false">MONTH(A214)</f>
        <v>3</v>
      </c>
      <c r="H214" s="38" t="n">
        <f aca="false">YEAR(Tabela1[[#This Row],[FECHA]])</f>
        <v>2026</v>
      </c>
      <c r="I2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5" customFormat="false" ht="15" hidden="false" customHeight="false" outlineLevel="0" collapsed="false">
      <c r="A215" s="41" t="n">
        <v>46087</v>
      </c>
      <c r="B215" s="39" t="n">
        <v>60</v>
      </c>
      <c r="C215" s="38" t="s">
        <v>3562</v>
      </c>
      <c r="D215" s="38" t="s">
        <v>3507</v>
      </c>
      <c r="E215" s="38" t="s">
        <v>3530</v>
      </c>
      <c r="G215" s="38" t="n">
        <f aca="false">MONTH(A215)</f>
        <v>3</v>
      </c>
      <c r="H215" s="38" t="n">
        <f aca="false">YEAR(Tabela1[[#This Row],[FECHA]])</f>
        <v>2026</v>
      </c>
      <c r="I2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6" customFormat="false" ht="15" hidden="false" customHeight="false" outlineLevel="0" collapsed="false">
      <c r="A216" s="41" t="n">
        <v>46087</v>
      </c>
      <c r="B216" s="39" t="n">
        <v>406.6</v>
      </c>
      <c r="D216" s="38" t="s">
        <v>3501</v>
      </c>
      <c r="E216" s="38" t="s">
        <v>3539</v>
      </c>
      <c r="G216" s="38" t="n">
        <f aca="false">MONTH(A216)</f>
        <v>3</v>
      </c>
      <c r="H216" s="38" t="n">
        <f aca="false">YEAR(Tabela1[[#This Row],[FECHA]])</f>
        <v>2026</v>
      </c>
      <c r="I216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217" customFormat="false" ht="15" hidden="false" customHeight="false" outlineLevel="0" collapsed="false">
      <c r="A217" s="41" t="n">
        <v>46087</v>
      </c>
      <c r="B217" s="39" t="n">
        <v>1455</v>
      </c>
      <c r="C217" s="38" t="s">
        <v>3585</v>
      </c>
      <c r="D217" s="38" t="s">
        <v>3507</v>
      </c>
      <c r="E217" s="38" t="s">
        <v>3519</v>
      </c>
      <c r="G217" s="38" t="n">
        <f aca="false">MONTH(A217)</f>
        <v>3</v>
      </c>
      <c r="H217" s="38" t="n">
        <f aca="false">YEAR(Tabela1[[#This Row],[FECHA]])</f>
        <v>2026</v>
      </c>
      <c r="I2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8" customFormat="false" ht="15" hidden="false" customHeight="false" outlineLevel="0" collapsed="false">
      <c r="A218" s="41" t="n">
        <v>46087</v>
      </c>
      <c r="B218" s="39" t="n">
        <v>50</v>
      </c>
      <c r="C218" s="38" t="s">
        <v>3562</v>
      </c>
      <c r="D218" s="38" t="s">
        <v>3507</v>
      </c>
      <c r="E218" s="38" t="s">
        <v>3530</v>
      </c>
      <c r="G218" s="38" t="n">
        <f aca="false">MONTH(A218)</f>
        <v>3</v>
      </c>
      <c r="H218" s="38" t="n">
        <f aca="false">YEAR(Tabela1[[#This Row],[FECHA]])</f>
        <v>2026</v>
      </c>
      <c r="I2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9" customFormat="false" ht="15" hidden="false" customHeight="false" outlineLevel="0" collapsed="false">
      <c r="A219" s="41" t="n">
        <v>46087</v>
      </c>
      <c r="B219" s="39" t="n">
        <v>10</v>
      </c>
      <c r="C219" s="38" t="s">
        <v>3562</v>
      </c>
      <c r="D219" s="38" t="s">
        <v>3507</v>
      </c>
      <c r="E219" s="38" t="s">
        <v>3530</v>
      </c>
      <c r="G219" s="38" t="n">
        <f aca="false">MONTH(A219)</f>
        <v>3</v>
      </c>
      <c r="H219" s="38" t="n">
        <f aca="false">YEAR(Tabela1[[#This Row],[FECHA]])</f>
        <v>2026</v>
      </c>
      <c r="I2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0" customFormat="false" ht="15" hidden="false" customHeight="false" outlineLevel="0" collapsed="false">
      <c r="A220" s="41" t="n">
        <v>46088</v>
      </c>
      <c r="B220" s="39" t="n">
        <v>1550.98</v>
      </c>
      <c r="C220" s="38" t="s">
        <v>3576</v>
      </c>
      <c r="D220" s="38" t="s">
        <v>3503</v>
      </c>
      <c r="E220" s="38" t="s">
        <v>3515</v>
      </c>
      <c r="G220" s="38" t="n">
        <f aca="false">MONTH(A220)</f>
        <v>3</v>
      </c>
      <c r="H220" s="38" t="n">
        <f aca="false">YEAR(Tabela1[[#This Row],[FECHA]])</f>
        <v>2026</v>
      </c>
      <c r="I2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1" customFormat="false" ht="15" hidden="false" customHeight="false" outlineLevel="0" collapsed="false">
      <c r="A221" s="41" t="n">
        <v>46088</v>
      </c>
      <c r="B221" s="39" t="n">
        <v>35</v>
      </c>
      <c r="C221" s="38" t="s">
        <v>3612</v>
      </c>
      <c r="D221" s="38" t="s">
        <v>3508</v>
      </c>
      <c r="E221" s="38" t="s">
        <v>3557</v>
      </c>
      <c r="G221" s="38" t="n">
        <f aca="false">MONTH(A221)</f>
        <v>3</v>
      </c>
      <c r="H221" s="38" t="n">
        <f aca="false">YEAR(Tabela1[[#This Row],[FECHA]])</f>
        <v>2026</v>
      </c>
      <c r="I221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222" customFormat="false" ht="15" hidden="false" customHeight="false" outlineLevel="0" collapsed="false">
      <c r="A222" s="41" t="n">
        <v>46089</v>
      </c>
      <c r="B222" s="39" t="n">
        <v>41</v>
      </c>
      <c r="D222" s="38" t="s">
        <v>3508</v>
      </c>
      <c r="E222" s="38" t="s">
        <v>3531</v>
      </c>
      <c r="G222" s="38" t="n">
        <f aca="false">MONTH(A222)</f>
        <v>3</v>
      </c>
      <c r="H222" s="38" t="n">
        <f aca="false">YEAR(Tabela1[[#This Row],[FECHA]])</f>
        <v>2026</v>
      </c>
      <c r="I222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223" customFormat="false" ht="15" hidden="false" customHeight="false" outlineLevel="0" collapsed="false">
      <c r="A223" s="41" t="n">
        <v>46090</v>
      </c>
      <c r="B223" s="39" t="n">
        <v>1615.21</v>
      </c>
      <c r="D223" s="38" t="s">
        <v>3501</v>
      </c>
      <c r="E223" s="38" t="s">
        <v>3513</v>
      </c>
      <c r="G223" s="38" t="n">
        <f aca="false">MONTH(A223)</f>
        <v>3</v>
      </c>
      <c r="H223" s="38" t="n">
        <f aca="false">YEAR(Tabela1[[#This Row],[FECHA]])</f>
        <v>2026</v>
      </c>
      <c r="I223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224" customFormat="false" ht="15" hidden="false" customHeight="false" outlineLevel="0" collapsed="false">
      <c r="A224" s="41" t="n">
        <v>46090</v>
      </c>
      <c r="B224" s="39" t="n">
        <v>200.88</v>
      </c>
      <c r="D224" s="38" t="s">
        <v>3501</v>
      </c>
      <c r="E224" s="38" t="s">
        <v>3545</v>
      </c>
      <c r="G224" s="38" t="n">
        <f aca="false">MONTH(A224)</f>
        <v>3</v>
      </c>
      <c r="H224" s="38" t="n">
        <f aca="false">YEAR(Tabela1[[#This Row],[FECHA]])</f>
        <v>2026</v>
      </c>
      <c r="I224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225" customFormat="false" ht="15" hidden="false" customHeight="false" outlineLevel="0" collapsed="false">
      <c r="A225" s="41" t="n">
        <v>46090</v>
      </c>
      <c r="B225" s="39" t="n">
        <v>30</v>
      </c>
      <c r="C225" s="38" t="s">
        <v>3562</v>
      </c>
      <c r="D225" s="38" t="s">
        <v>3507</v>
      </c>
      <c r="E225" s="38" t="s">
        <v>3530</v>
      </c>
      <c r="G225" s="38" t="n">
        <f aca="false">MONTH(A225)</f>
        <v>3</v>
      </c>
      <c r="H225" s="38" t="n">
        <f aca="false">YEAR(Tabela1[[#This Row],[FECHA]])</f>
        <v>2026</v>
      </c>
      <c r="I2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6" customFormat="false" ht="15" hidden="false" customHeight="false" outlineLevel="0" collapsed="false">
      <c r="A226" s="41" t="n">
        <v>46090</v>
      </c>
      <c r="B226" s="39" t="n">
        <v>288.3</v>
      </c>
      <c r="D226" s="38" t="s">
        <v>3501</v>
      </c>
      <c r="E226" s="38" t="s">
        <v>3524</v>
      </c>
      <c r="G226" s="38" t="n">
        <f aca="false">MONTH(A226)</f>
        <v>3</v>
      </c>
      <c r="H226" s="38" t="n">
        <f aca="false">YEAR(Tabela1[[#This Row],[FECHA]])</f>
        <v>2026</v>
      </c>
      <c r="I226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227" customFormat="false" ht="15" hidden="false" customHeight="false" outlineLevel="0" collapsed="false">
      <c r="A227" s="41" t="n">
        <v>46090</v>
      </c>
      <c r="B227" s="39" t="n">
        <v>60</v>
      </c>
      <c r="C227" s="38" t="s">
        <v>3562</v>
      </c>
      <c r="D227" s="38" t="s">
        <v>3507</v>
      </c>
      <c r="E227" s="38" t="s">
        <v>3530</v>
      </c>
      <c r="G227" s="38" t="n">
        <f aca="false">MONTH(A227)</f>
        <v>3</v>
      </c>
      <c r="H227" s="38" t="n">
        <f aca="false">YEAR(Tabela1[[#This Row],[FECHA]])</f>
        <v>2026</v>
      </c>
      <c r="I2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8" customFormat="false" ht="15" hidden="false" customHeight="false" outlineLevel="0" collapsed="false">
      <c r="A228" s="41" t="n">
        <v>46090</v>
      </c>
      <c r="B228" s="39" t="n">
        <v>244</v>
      </c>
      <c r="C228" s="38" t="s">
        <v>3130</v>
      </c>
      <c r="D228" s="38" t="s">
        <v>3500</v>
      </c>
      <c r="E228" s="38" t="s">
        <v>3511</v>
      </c>
      <c r="G228" s="38" t="n">
        <f aca="false">MONTH(A228)</f>
        <v>3</v>
      </c>
      <c r="H228" s="38" t="n">
        <f aca="false">YEAR(Tabela1[[#This Row],[FECHA]])</f>
        <v>2026</v>
      </c>
      <c r="I2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9" customFormat="false" ht="15" hidden="false" customHeight="false" outlineLevel="0" collapsed="false">
      <c r="A229" s="41" t="n">
        <v>46091</v>
      </c>
      <c r="B229" s="39" t="n">
        <v>20</v>
      </c>
      <c r="D229" s="38" t="s">
        <v>3501</v>
      </c>
      <c r="E229" s="38" t="s">
        <v>3549</v>
      </c>
      <c r="G229" s="38" t="n">
        <f aca="false">MONTH(A229)</f>
        <v>3</v>
      </c>
      <c r="H229" s="38" t="n">
        <f aca="false">YEAR(Tabela1[[#This Row],[FECHA]])</f>
        <v>2026</v>
      </c>
      <c r="I229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230" customFormat="false" ht="15" hidden="false" customHeight="false" outlineLevel="0" collapsed="false">
      <c r="A230" s="41" t="n">
        <v>46091</v>
      </c>
      <c r="B230" s="39" t="n">
        <v>20</v>
      </c>
      <c r="D230" s="38" t="s">
        <v>3501</v>
      </c>
      <c r="E230" s="38" t="s">
        <v>3549</v>
      </c>
      <c r="G230" s="38" t="n">
        <f aca="false">MONTH(A230)</f>
        <v>3</v>
      </c>
      <c r="H230" s="38" t="n">
        <f aca="false">YEAR(Tabela1[[#This Row],[FECHA]])</f>
        <v>2026</v>
      </c>
      <c r="I230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231" customFormat="false" ht="15" hidden="false" customHeight="false" outlineLevel="0" collapsed="false">
      <c r="A231" s="41" t="n">
        <v>46091</v>
      </c>
      <c r="B231" s="39" t="n">
        <v>20</v>
      </c>
      <c r="D231" s="38" t="s">
        <v>3501</v>
      </c>
      <c r="E231" s="38" t="s">
        <v>3549</v>
      </c>
      <c r="G231" s="38" t="n">
        <f aca="false">MONTH(A231)</f>
        <v>3</v>
      </c>
      <c r="H231" s="38" t="n">
        <f aca="false">YEAR(Tabela1[[#This Row],[FECHA]])</f>
        <v>2026</v>
      </c>
      <c r="I231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232" customFormat="false" ht="15" hidden="false" customHeight="false" outlineLevel="0" collapsed="false">
      <c r="A232" s="41" t="n">
        <v>46091</v>
      </c>
      <c r="B232" s="39" t="n">
        <v>20</v>
      </c>
      <c r="D232" s="38" t="s">
        <v>3501</v>
      </c>
      <c r="E232" s="38" t="s">
        <v>3549</v>
      </c>
      <c r="G232" s="38" t="n">
        <f aca="false">MONTH(A232)</f>
        <v>3</v>
      </c>
      <c r="H232" s="38" t="n">
        <f aca="false">YEAR(Tabela1[[#This Row],[FECHA]])</f>
        <v>2026</v>
      </c>
      <c r="I232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233" customFormat="false" ht="15" hidden="false" customHeight="false" outlineLevel="0" collapsed="false">
      <c r="A233" s="41" t="n">
        <v>46091</v>
      </c>
      <c r="B233" s="39" t="n">
        <v>220</v>
      </c>
      <c r="C233" s="38" t="s">
        <v>3562</v>
      </c>
      <c r="D233" s="38" t="s">
        <v>3507</v>
      </c>
      <c r="E233" s="38" t="s">
        <v>3530</v>
      </c>
      <c r="G233" s="38" t="n">
        <f aca="false">MONTH(A233)</f>
        <v>3</v>
      </c>
      <c r="H233" s="38" t="n">
        <f aca="false">YEAR(Tabela1[[#This Row],[FECHA]])</f>
        <v>2026</v>
      </c>
      <c r="I2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4" customFormat="false" ht="15" hidden="false" customHeight="false" outlineLevel="0" collapsed="false">
      <c r="A234" s="41" t="n">
        <v>46091</v>
      </c>
      <c r="B234" s="39" t="n">
        <v>1550.78</v>
      </c>
      <c r="C234" s="38" t="s">
        <v>3576</v>
      </c>
      <c r="D234" s="38" t="s">
        <v>3503</v>
      </c>
      <c r="E234" s="38" t="s">
        <v>3515</v>
      </c>
      <c r="G234" s="38" t="n">
        <f aca="false">MONTH(A234)</f>
        <v>3</v>
      </c>
      <c r="H234" s="38" t="n">
        <f aca="false">YEAR(Tabela1[[#This Row],[FECHA]])</f>
        <v>2026</v>
      </c>
      <c r="I2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5" customFormat="false" ht="15" hidden="false" customHeight="false" outlineLevel="0" collapsed="false">
      <c r="A235" s="41" t="n">
        <v>46092</v>
      </c>
      <c r="B235" s="39" t="n">
        <v>30</v>
      </c>
      <c r="C235" s="38" t="s">
        <v>3613</v>
      </c>
      <c r="D235" s="38" t="s">
        <v>3507</v>
      </c>
      <c r="E235" s="38" t="s">
        <v>16</v>
      </c>
      <c r="G235" s="38" t="n">
        <f aca="false">MONTH(A235)</f>
        <v>3</v>
      </c>
      <c r="H235" s="38" t="n">
        <f aca="false">YEAR(Tabela1[[#This Row],[FECHA]])</f>
        <v>2026</v>
      </c>
      <c r="I2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6" customFormat="false" ht="15" hidden="false" customHeight="false" outlineLevel="0" collapsed="false">
      <c r="A236" s="41" t="n">
        <v>46093</v>
      </c>
      <c r="B236" s="39" t="n">
        <v>170</v>
      </c>
      <c r="C236" s="38" t="s">
        <v>3562</v>
      </c>
      <c r="D236" s="38" t="s">
        <v>3507</v>
      </c>
      <c r="E236" s="38" t="s">
        <v>3530</v>
      </c>
      <c r="G236" s="38" t="n">
        <f aca="false">MONTH(A236)</f>
        <v>3</v>
      </c>
      <c r="H236" s="38" t="n">
        <f aca="false">YEAR(Tabela1[[#This Row],[FECHA]])</f>
        <v>2026</v>
      </c>
      <c r="I2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7" customFormat="false" ht="15" hidden="false" customHeight="false" outlineLevel="0" collapsed="false">
      <c r="A237" s="41" t="n">
        <v>46094</v>
      </c>
      <c r="B237" s="39" t="n">
        <v>298.98</v>
      </c>
      <c r="C237" s="38" t="s">
        <v>3576</v>
      </c>
      <c r="D237" s="38" t="s">
        <v>3503</v>
      </c>
      <c r="E237" s="38" t="s">
        <v>3515</v>
      </c>
      <c r="G237" s="38" t="n">
        <f aca="false">MONTH(A237)</f>
        <v>3</v>
      </c>
      <c r="H237" s="38" t="n">
        <f aca="false">YEAR(Tabela1[[#This Row],[FECHA]])</f>
        <v>2026</v>
      </c>
      <c r="I2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8" customFormat="false" ht="15" hidden="false" customHeight="false" outlineLevel="0" collapsed="false">
      <c r="A238" s="41" t="n">
        <v>46094</v>
      </c>
      <c r="B238" s="39" t="n">
        <v>1950</v>
      </c>
      <c r="C238" s="38" t="s">
        <v>3585</v>
      </c>
      <c r="D238" s="38" t="s">
        <v>3507</v>
      </c>
      <c r="E238" s="38" t="s">
        <v>3519</v>
      </c>
      <c r="G238" s="38" t="n">
        <f aca="false">MONTH(A238)</f>
        <v>3</v>
      </c>
      <c r="H238" s="38" t="n">
        <f aca="false">YEAR(Tabela1[[#This Row],[FECHA]])</f>
        <v>2026</v>
      </c>
      <c r="I2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9" customFormat="false" ht="15" hidden="false" customHeight="false" outlineLevel="0" collapsed="false">
      <c r="A239" s="41" t="n">
        <v>46095</v>
      </c>
      <c r="B239" s="39" t="n">
        <v>111</v>
      </c>
      <c r="C239" s="38" t="s">
        <v>3614</v>
      </c>
      <c r="D239" s="38" t="s">
        <v>3500</v>
      </c>
      <c r="E239" s="38" t="s">
        <v>3511</v>
      </c>
      <c r="G239" s="38" t="n">
        <f aca="false">MONTH(A239)</f>
        <v>3</v>
      </c>
      <c r="H239" s="38" t="n">
        <f aca="false">YEAR(Tabela1[[#This Row],[FECHA]])</f>
        <v>2026</v>
      </c>
      <c r="I2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0" customFormat="false" ht="15" hidden="false" customHeight="false" outlineLevel="0" collapsed="false">
      <c r="A240" s="41" t="n">
        <v>46096</v>
      </c>
      <c r="B240" s="39" t="n">
        <v>1000</v>
      </c>
      <c r="C240" s="38" t="s">
        <v>3590</v>
      </c>
      <c r="D240" s="38" t="s">
        <v>3505</v>
      </c>
      <c r="E240" s="38" t="s">
        <v>3541</v>
      </c>
      <c r="G240" s="38" t="n">
        <f aca="false">MONTH(A240)</f>
        <v>3</v>
      </c>
      <c r="H240" s="38" t="n">
        <f aca="false">YEAR(Tabela1[[#This Row],[FECHA]])</f>
        <v>2026</v>
      </c>
      <c r="I2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1" customFormat="false" ht="15" hidden="false" customHeight="false" outlineLevel="0" collapsed="false">
      <c r="A241" s="41" t="n">
        <v>46096</v>
      </c>
      <c r="B241" s="39" t="n">
        <v>1000</v>
      </c>
      <c r="C241" s="38" t="s">
        <v>3568</v>
      </c>
      <c r="D241" s="38" t="s">
        <v>3505</v>
      </c>
      <c r="E241" s="38" t="s">
        <v>3517</v>
      </c>
      <c r="G241" s="38" t="n">
        <f aca="false">MONTH(A241)</f>
        <v>3</v>
      </c>
      <c r="H241" s="38" t="n">
        <f aca="false">YEAR(Tabela1[[#This Row],[FECHA]])</f>
        <v>2026</v>
      </c>
      <c r="I2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2" customFormat="false" ht="15" hidden="false" customHeight="false" outlineLevel="0" collapsed="false">
      <c r="A242" s="41" t="n">
        <v>46096</v>
      </c>
      <c r="B242" s="39" t="n">
        <v>1000</v>
      </c>
      <c r="C242" s="38" t="s">
        <v>3597</v>
      </c>
      <c r="D242" s="38" t="s">
        <v>3505</v>
      </c>
      <c r="E242" s="38" t="s">
        <v>3517</v>
      </c>
      <c r="G242" s="38" t="n">
        <f aca="false">MONTH(A242)</f>
        <v>3</v>
      </c>
      <c r="H242" s="38" t="n">
        <f aca="false">YEAR(Tabela1[[#This Row],[FECHA]])</f>
        <v>2026</v>
      </c>
      <c r="I2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3" customFormat="false" ht="15" hidden="false" customHeight="false" outlineLevel="0" collapsed="false">
      <c r="A243" s="41" t="n">
        <v>46096</v>
      </c>
      <c r="B243" s="39" t="n">
        <v>1000</v>
      </c>
      <c r="C243" s="38" t="s">
        <v>632</v>
      </c>
      <c r="D243" s="38" t="s">
        <v>3505</v>
      </c>
      <c r="E243" s="38" t="s">
        <v>3541</v>
      </c>
      <c r="G243" s="38" t="n">
        <f aca="false">MONTH(A243)</f>
        <v>3</v>
      </c>
      <c r="H243" s="38" t="n">
        <f aca="false">YEAR(Tabela1[[#This Row],[FECHA]])</f>
        <v>2026</v>
      </c>
      <c r="I2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4" customFormat="false" ht="15" hidden="false" customHeight="false" outlineLevel="0" collapsed="false">
      <c r="A244" s="41" t="n">
        <v>46096</v>
      </c>
      <c r="B244" s="39" t="n">
        <v>1000</v>
      </c>
      <c r="C244" s="38" t="s">
        <v>3567</v>
      </c>
      <c r="D244" s="38" t="s">
        <v>3505</v>
      </c>
      <c r="E244" s="38" t="s">
        <v>3517</v>
      </c>
      <c r="G244" s="38" t="n">
        <f aca="false">MONTH(A244)</f>
        <v>3</v>
      </c>
      <c r="H244" s="38" t="n">
        <f aca="false">YEAR(Tabela1[[#This Row],[FECHA]])</f>
        <v>2026</v>
      </c>
      <c r="I2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5" customFormat="false" ht="15" hidden="false" customHeight="false" outlineLevel="0" collapsed="false">
      <c r="A245" s="41" t="n">
        <v>46096</v>
      </c>
      <c r="B245" s="39" t="n">
        <v>1551</v>
      </c>
      <c r="C245" s="38" t="s">
        <v>3576</v>
      </c>
      <c r="D245" s="38" t="s">
        <v>3503</v>
      </c>
      <c r="E245" s="38" t="s">
        <v>3515</v>
      </c>
      <c r="G245" s="38" t="n">
        <f aca="false">MONTH(A245)</f>
        <v>3</v>
      </c>
      <c r="H245" s="38" t="n">
        <f aca="false">YEAR(Tabela1[[#This Row],[FECHA]])</f>
        <v>2026</v>
      </c>
      <c r="I2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6" customFormat="false" ht="15" hidden="false" customHeight="false" outlineLevel="0" collapsed="false">
      <c r="A246" s="41" t="n">
        <v>46097</v>
      </c>
      <c r="B246" s="39" t="n">
        <v>3571.66</v>
      </c>
      <c r="D246" s="38" t="s">
        <v>3502</v>
      </c>
      <c r="E246" s="38" t="s">
        <v>3525</v>
      </c>
      <c r="G246" s="38" t="n">
        <f aca="false">MONTH(A246)</f>
        <v>3</v>
      </c>
      <c r="H246" s="38" t="n">
        <f aca="false">YEAR(Tabela1[[#This Row],[FECHA]])</f>
        <v>2026</v>
      </c>
      <c r="I2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7" customFormat="false" ht="15" hidden="false" customHeight="false" outlineLevel="0" collapsed="false">
      <c r="A247" s="41" t="n">
        <v>46097</v>
      </c>
      <c r="B247" s="39" t="n">
        <v>1442.69</v>
      </c>
      <c r="D247" s="38" t="s">
        <v>3506</v>
      </c>
      <c r="E247" s="38" t="s">
        <v>3529</v>
      </c>
      <c r="G247" s="38" t="n">
        <f aca="false">MONTH(A247)</f>
        <v>3</v>
      </c>
      <c r="H247" s="38" t="n">
        <f aca="false">YEAR(Tabela1[[#This Row],[FECHA]])</f>
        <v>2026</v>
      </c>
      <c r="I247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248" customFormat="false" ht="15" hidden="false" customHeight="false" outlineLevel="0" collapsed="false">
      <c r="A248" s="41" t="n">
        <v>46097</v>
      </c>
      <c r="B248" s="39" t="n">
        <v>120</v>
      </c>
      <c r="C248" s="38" t="s">
        <v>3615</v>
      </c>
      <c r="D248" s="38" t="s">
        <v>3504</v>
      </c>
      <c r="E248" s="38" t="s">
        <v>3534</v>
      </c>
      <c r="G248" s="38" t="n">
        <f aca="false">MONTH(A248)</f>
        <v>3</v>
      </c>
      <c r="H248" s="38" t="n">
        <f aca="false">YEAR(Tabela1[[#This Row],[FECHA]])</f>
        <v>2026</v>
      </c>
      <c r="I2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9" customFormat="false" ht="15" hidden="false" customHeight="false" outlineLevel="0" collapsed="false">
      <c r="A249" s="41" t="n">
        <v>46097</v>
      </c>
      <c r="B249" s="39" t="n">
        <v>57.59</v>
      </c>
      <c r="C249" s="38" t="s">
        <v>3616</v>
      </c>
      <c r="D249" s="38" t="s">
        <v>3508</v>
      </c>
      <c r="E249" s="38" t="s">
        <v>3537</v>
      </c>
      <c r="G249" s="38" t="n">
        <f aca="false">MONTH(A249)</f>
        <v>3</v>
      </c>
      <c r="H249" s="38" t="n">
        <f aca="false">YEAR(Tabela1[[#This Row],[FECHA]])</f>
        <v>2026</v>
      </c>
      <c r="I249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250" customFormat="false" ht="15" hidden="false" customHeight="false" outlineLevel="0" collapsed="false">
      <c r="A250" s="41" t="n">
        <v>46097</v>
      </c>
      <c r="B250" s="39" t="n">
        <v>120</v>
      </c>
      <c r="C250" s="38" t="s">
        <v>1511</v>
      </c>
      <c r="D250" s="38" t="s">
        <v>3500</v>
      </c>
      <c r="E250" s="38" t="s">
        <v>3511</v>
      </c>
      <c r="G250" s="38" t="n">
        <f aca="false">MONTH(A250)</f>
        <v>3</v>
      </c>
      <c r="H250" s="38" t="n">
        <f aca="false">YEAR(Tabela1[[#This Row],[FECHA]])</f>
        <v>2026</v>
      </c>
      <c r="I2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1" customFormat="false" ht="15" hidden="false" customHeight="false" outlineLevel="0" collapsed="false">
      <c r="A251" s="41" t="n">
        <v>46097</v>
      </c>
      <c r="B251" s="39" t="n">
        <v>60</v>
      </c>
      <c r="C251" s="38" t="s">
        <v>3613</v>
      </c>
      <c r="D251" s="38" t="s">
        <v>3507</v>
      </c>
      <c r="E251" s="38" t="s">
        <v>16</v>
      </c>
      <c r="G251" s="38" t="n">
        <f aca="false">MONTH(A251)</f>
        <v>3</v>
      </c>
      <c r="H251" s="38" t="n">
        <f aca="false">YEAR(Tabela1[[#This Row],[FECHA]])</f>
        <v>2026</v>
      </c>
      <c r="I2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2" customFormat="false" ht="15" hidden="false" customHeight="false" outlineLevel="0" collapsed="false">
      <c r="A252" s="41" t="n">
        <v>46097</v>
      </c>
      <c r="B252" s="39" t="n">
        <v>1</v>
      </c>
      <c r="D252" s="38" t="s">
        <v>3508</v>
      </c>
      <c r="E252" s="38" t="s">
        <v>3551</v>
      </c>
      <c r="G252" s="38" t="n">
        <f aca="false">MONTH(A252)</f>
        <v>3</v>
      </c>
      <c r="H252" s="38" t="n">
        <f aca="false">YEAR(Tabela1[[#This Row],[FECHA]])</f>
        <v>2026</v>
      </c>
      <c r="I252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253" customFormat="false" ht="15" hidden="false" customHeight="false" outlineLevel="0" collapsed="false">
      <c r="A253" s="41" t="n">
        <v>46097</v>
      </c>
      <c r="B253" s="39" t="n">
        <v>240</v>
      </c>
      <c r="C253" s="38" t="s">
        <v>3562</v>
      </c>
      <c r="D253" s="38" t="s">
        <v>3507</v>
      </c>
      <c r="E253" s="38" t="s">
        <v>3530</v>
      </c>
      <c r="G253" s="38" t="n">
        <f aca="false">MONTH(A253)</f>
        <v>3</v>
      </c>
      <c r="H253" s="38" t="n">
        <f aca="false">YEAR(Tabela1[[#This Row],[FECHA]])</f>
        <v>2026</v>
      </c>
      <c r="I2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4" customFormat="false" ht="15" hidden="false" customHeight="false" outlineLevel="0" collapsed="false">
      <c r="A254" s="41" t="n">
        <v>46097</v>
      </c>
      <c r="B254" s="39" t="n">
        <v>30</v>
      </c>
      <c r="C254" s="38" t="s">
        <v>3562</v>
      </c>
      <c r="D254" s="38" t="s">
        <v>3507</v>
      </c>
      <c r="E254" s="38" t="s">
        <v>3530</v>
      </c>
      <c r="G254" s="38" t="n">
        <f aca="false">MONTH(A254)</f>
        <v>3</v>
      </c>
      <c r="H254" s="38" t="n">
        <f aca="false">YEAR(Tabela1[[#This Row],[FECHA]])</f>
        <v>2026</v>
      </c>
      <c r="I2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5" customFormat="false" ht="15" hidden="false" customHeight="false" outlineLevel="0" collapsed="false">
      <c r="A255" s="41" t="n">
        <v>46097</v>
      </c>
      <c r="B255" s="39" t="n">
        <v>54</v>
      </c>
      <c r="D255" s="38" t="s">
        <v>3508</v>
      </c>
      <c r="E255" s="38" t="s">
        <v>3547</v>
      </c>
      <c r="G255" s="38" t="n">
        <f aca="false">MONTH(A255)</f>
        <v>3</v>
      </c>
      <c r="H255" s="38" t="n">
        <f aca="false">YEAR(Tabela1[[#This Row],[FECHA]])</f>
        <v>2026</v>
      </c>
      <c r="I255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256" customFormat="false" ht="15" hidden="false" customHeight="false" outlineLevel="0" collapsed="false">
      <c r="A256" s="41" t="n">
        <v>46098</v>
      </c>
      <c r="B256" s="39" t="n">
        <v>24.9</v>
      </c>
      <c r="D256" s="38" t="s">
        <v>3504</v>
      </c>
      <c r="E256" s="38" t="s">
        <v>3534</v>
      </c>
      <c r="G256" s="38" t="n">
        <f aca="false">MONTH(A256)</f>
        <v>3</v>
      </c>
      <c r="H256" s="38" t="n">
        <f aca="false">YEAR(Tabela1[[#This Row],[FECHA]])</f>
        <v>2026</v>
      </c>
      <c r="I2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7" customFormat="false" ht="15" hidden="false" customHeight="false" outlineLevel="0" collapsed="false">
      <c r="A257" s="41" t="n">
        <v>46098</v>
      </c>
      <c r="B257" s="39" t="n">
        <v>65.9</v>
      </c>
      <c r="D257" s="38" t="s">
        <v>3508</v>
      </c>
      <c r="E257" s="38" t="s">
        <v>3558</v>
      </c>
      <c r="G257" s="38" t="n">
        <f aca="false">MONTH(A257)</f>
        <v>3</v>
      </c>
      <c r="H257" s="38" t="n">
        <f aca="false">YEAR(Tabela1[[#This Row],[FECHA]])</f>
        <v>2026</v>
      </c>
      <c r="I257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258" customFormat="false" ht="15" hidden="false" customHeight="false" outlineLevel="0" collapsed="false">
      <c r="A258" s="41" t="n">
        <v>46099</v>
      </c>
      <c r="B258" s="39" t="n">
        <v>1550.57</v>
      </c>
      <c r="D258" s="38" t="s">
        <v>3503</v>
      </c>
      <c r="E258" s="38" t="s">
        <v>3515</v>
      </c>
      <c r="G258" s="38" t="n">
        <f aca="false">MONTH(A258)</f>
        <v>3</v>
      </c>
      <c r="H258" s="38" t="n">
        <f aca="false">YEAR(Tabela1[[#This Row],[FECHA]])</f>
        <v>2026</v>
      </c>
      <c r="I2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9" customFormat="false" ht="15" hidden="false" customHeight="false" outlineLevel="0" collapsed="false">
      <c r="A259" s="41" t="n">
        <v>46099</v>
      </c>
      <c r="B259" s="39" t="n">
        <v>220</v>
      </c>
      <c r="C259" s="38" t="s">
        <v>3617</v>
      </c>
      <c r="D259" s="38" t="s">
        <v>3500</v>
      </c>
      <c r="E259" s="38" t="s">
        <v>3511</v>
      </c>
      <c r="G259" s="38" t="n">
        <f aca="false">MONTH(A259)</f>
        <v>3</v>
      </c>
      <c r="H259" s="38" t="n">
        <f aca="false">YEAR(Tabela1[[#This Row],[FECHA]])</f>
        <v>2026</v>
      </c>
      <c r="I2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0" customFormat="false" ht="15" hidden="false" customHeight="false" outlineLevel="0" collapsed="false">
      <c r="A260" s="41" t="n">
        <v>46101</v>
      </c>
      <c r="B260" s="39" t="n">
        <v>30</v>
      </c>
      <c r="C260" s="38" t="s">
        <v>3613</v>
      </c>
      <c r="D260" s="38" t="s">
        <v>3507</v>
      </c>
      <c r="E260" s="38" t="s">
        <v>16</v>
      </c>
      <c r="G260" s="38" t="n">
        <f aca="false">MONTH(A260)</f>
        <v>3</v>
      </c>
      <c r="H260" s="38" t="n">
        <f aca="false">YEAR(Tabela1[[#This Row],[FECHA]])</f>
        <v>2026</v>
      </c>
      <c r="I2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1" customFormat="false" ht="15" hidden="false" customHeight="false" outlineLevel="0" collapsed="false">
      <c r="A261" s="41" t="n">
        <v>46101</v>
      </c>
      <c r="B261" s="39" t="n">
        <v>60</v>
      </c>
      <c r="C261" s="38" t="s">
        <v>3562</v>
      </c>
      <c r="D261" s="38" t="s">
        <v>3507</v>
      </c>
      <c r="E261" s="38" t="s">
        <v>3530</v>
      </c>
      <c r="G261" s="38" t="n">
        <f aca="false">MONTH(A261)</f>
        <v>3</v>
      </c>
      <c r="H261" s="38" t="n">
        <f aca="false">YEAR(Tabela1[[#This Row],[FECHA]])</f>
        <v>2026</v>
      </c>
      <c r="I2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2" customFormat="false" ht="15" hidden="false" customHeight="false" outlineLevel="0" collapsed="false">
      <c r="A262" s="41" t="n">
        <v>46101</v>
      </c>
      <c r="B262" s="39" t="n">
        <v>1320</v>
      </c>
      <c r="C262" s="38" t="s">
        <v>3585</v>
      </c>
      <c r="D262" s="38" t="s">
        <v>3507</v>
      </c>
      <c r="E262" s="38" t="s">
        <v>3519</v>
      </c>
      <c r="G262" s="38" t="n">
        <f aca="false">MONTH(A262)</f>
        <v>3</v>
      </c>
      <c r="H262" s="38" t="n">
        <f aca="false">YEAR(Tabela1[[#This Row],[FECHA]])</f>
        <v>2026</v>
      </c>
      <c r="I2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3" customFormat="false" ht="15" hidden="false" customHeight="false" outlineLevel="0" collapsed="false">
      <c r="A263" s="41" t="n">
        <v>46101</v>
      </c>
      <c r="B263" s="39" t="n">
        <v>1250</v>
      </c>
      <c r="C263" s="38" t="s">
        <v>3585</v>
      </c>
      <c r="D263" s="38" t="s">
        <v>3507</v>
      </c>
      <c r="E263" s="38" t="s">
        <v>3519</v>
      </c>
      <c r="G263" s="38" t="n">
        <f aca="false">MONTH(A263)</f>
        <v>3</v>
      </c>
      <c r="H263" s="38" t="n">
        <f aca="false">YEAR(Tabela1[[#This Row],[FECHA]])</f>
        <v>2026</v>
      </c>
      <c r="I2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4" customFormat="false" ht="15" hidden="false" customHeight="false" outlineLevel="0" collapsed="false">
      <c r="A264" s="41" t="n">
        <v>46101</v>
      </c>
      <c r="B264" s="39" t="n">
        <v>300</v>
      </c>
      <c r="C264" s="38" t="s">
        <v>3618</v>
      </c>
      <c r="D264" s="38" t="s">
        <v>3504</v>
      </c>
      <c r="E264" s="38" t="s">
        <v>3516</v>
      </c>
      <c r="G264" s="38" t="n">
        <f aca="false">MONTH(A264)</f>
        <v>3</v>
      </c>
      <c r="H264" s="38" t="n">
        <f aca="false">YEAR(Tabela1[[#This Row],[FECHA]])</f>
        <v>2026</v>
      </c>
      <c r="I2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5" customFormat="false" ht="15" hidden="false" customHeight="false" outlineLevel="0" collapsed="false">
      <c r="A265" s="41" t="n">
        <v>46101</v>
      </c>
      <c r="B265" s="39" t="n">
        <v>1551.88</v>
      </c>
      <c r="C265" s="38" t="s">
        <v>3576</v>
      </c>
      <c r="D265" s="38" t="s">
        <v>3503</v>
      </c>
      <c r="E265" s="38" t="s">
        <v>3515</v>
      </c>
      <c r="G265" s="38" t="n">
        <f aca="false">MONTH(A265)</f>
        <v>3</v>
      </c>
      <c r="H265" s="38" t="n">
        <f aca="false">YEAR(Tabela1[[#This Row],[FECHA]])</f>
        <v>2026</v>
      </c>
      <c r="I2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6" customFormat="false" ht="15" hidden="false" customHeight="false" outlineLevel="0" collapsed="false">
      <c r="A266" s="41" t="n">
        <v>46103</v>
      </c>
      <c r="B266" s="39" t="n">
        <v>670</v>
      </c>
      <c r="C266" s="38" t="s">
        <v>3619</v>
      </c>
      <c r="D266" s="38" t="s">
        <v>3504</v>
      </c>
      <c r="E266" s="38" t="s">
        <v>3516</v>
      </c>
      <c r="G266" s="38" t="n">
        <f aca="false">MONTH(A266)</f>
        <v>3</v>
      </c>
      <c r="H266" s="38" t="n">
        <f aca="false">YEAR(Tabela1[[#This Row],[FECHA]])</f>
        <v>2026</v>
      </c>
      <c r="I2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7" customFormat="false" ht="15" hidden="false" customHeight="false" outlineLevel="0" collapsed="false">
      <c r="A267" s="41" t="n">
        <v>46105</v>
      </c>
      <c r="B267" s="39" t="n">
        <v>1554.27</v>
      </c>
      <c r="C267" s="38" t="s">
        <v>3576</v>
      </c>
      <c r="D267" s="38" t="s">
        <v>3503</v>
      </c>
      <c r="E267" s="38" t="s">
        <v>3515</v>
      </c>
      <c r="G267" s="38" t="n">
        <f aca="false">MONTH(A267)</f>
        <v>3</v>
      </c>
      <c r="H267" s="38" t="n">
        <f aca="false">YEAR(Tabela1[[#This Row],[FECHA]])</f>
        <v>2026</v>
      </c>
      <c r="I2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8" customFormat="false" ht="15" hidden="false" customHeight="false" outlineLevel="0" collapsed="false">
      <c r="A268" s="41" t="n">
        <v>46106</v>
      </c>
      <c r="B268" s="39" t="n">
        <v>40</v>
      </c>
      <c r="C268" s="38" t="s">
        <v>3588</v>
      </c>
      <c r="D268" s="38" t="s">
        <v>3504</v>
      </c>
      <c r="E268" s="38" t="s">
        <v>3534</v>
      </c>
      <c r="G268" s="38" t="n">
        <f aca="false">MONTH(A268)</f>
        <v>3</v>
      </c>
      <c r="H268" s="38" t="n">
        <f aca="false">YEAR(Tabela1[[#This Row],[FECHA]])</f>
        <v>2026</v>
      </c>
      <c r="I2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9" customFormat="false" ht="15" hidden="false" customHeight="false" outlineLevel="0" collapsed="false">
      <c r="A269" s="41" t="n">
        <v>46106</v>
      </c>
      <c r="B269" s="39" t="n">
        <v>60</v>
      </c>
      <c r="C269" s="38" t="s">
        <v>3562</v>
      </c>
      <c r="D269" s="38" t="s">
        <v>3507</v>
      </c>
      <c r="E269" s="38" t="s">
        <v>3530</v>
      </c>
      <c r="G269" s="38" t="n">
        <f aca="false">MONTH(A269)</f>
        <v>3</v>
      </c>
      <c r="H269" s="38" t="n">
        <f aca="false">YEAR(Tabela1[[#This Row],[FECHA]])</f>
        <v>2026</v>
      </c>
      <c r="I2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0" customFormat="false" ht="15" hidden="false" customHeight="false" outlineLevel="0" collapsed="false">
      <c r="A270" s="41" t="n">
        <v>46106</v>
      </c>
      <c r="B270" s="39" t="n">
        <v>1551.92</v>
      </c>
      <c r="C270" s="38" t="s">
        <v>3576</v>
      </c>
      <c r="D270" s="38" t="s">
        <v>3503</v>
      </c>
      <c r="E270" s="38" t="s">
        <v>3515</v>
      </c>
      <c r="G270" s="38" t="n">
        <f aca="false">MONTH(A270)</f>
        <v>3</v>
      </c>
      <c r="H270" s="38" t="n">
        <f aca="false">YEAR(Tabela1[[#This Row],[FECHA]])</f>
        <v>2026</v>
      </c>
      <c r="I2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1" customFormat="false" ht="15" hidden="false" customHeight="false" outlineLevel="0" collapsed="false">
      <c r="A271" s="41" t="n">
        <v>46107</v>
      </c>
      <c r="B271" s="39" t="n">
        <v>300</v>
      </c>
      <c r="C271" s="38" t="s">
        <v>3562</v>
      </c>
      <c r="D271" s="38" t="s">
        <v>3507</v>
      </c>
      <c r="E271" s="38" t="s">
        <v>3530</v>
      </c>
      <c r="G271" s="38" t="n">
        <f aca="false">MONTH(A271)</f>
        <v>3</v>
      </c>
      <c r="H271" s="38" t="n">
        <f aca="false">YEAR(Tabela1[[#This Row],[FECHA]])</f>
        <v>2026</v>
      </c>
      <c r="I2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2" customFormat="false" ht="15" hidden="false" customHeight="false" outlineLevel="0" collapsed="false">
      <c r="A272" s="41" t="n">
        <v>46108</v>
      </c>
      <c r="B272" s="39" t="n">
        <v>30</v>
      </c>
      <c r="C272" s="38" t="s">
        <v>3562</v>
      </c>
      <c r="D272" s="38" t="s">
        <v>3507</v>
      </c>
      <c r="E272" s="38" t="s">
        <v>3530</v>
      </c>
      <c r="G272" s="38" t="n">
        <f aca="false">MONTH(A272)</f>
        <v>3</v>
      </c>
      <c r="H272" s="38" t="n">
        <f aca="false">YEAR(Tabela1[[#This Row],[FECHA]])</f>
        <v>2026</v>
      </c>
      <c r="I2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3" customFormat="false" ht="15" hidden="false" customHeight="false" outlineLevel="0" collapsed="false">
      <c r="A273" s="41" t="n">
        <v>46108</v>
      </c>
      <c r="B273" s="39" t="n">
        <v>9.9</v>
      </c>
      <c r="D273" s="38" t="s">
        <v>3508</v>
      </c>
      <c r="E273" s="38" t="s">
        <v>3550</v>
      </c>
      <c r="G273" s="38" t="n">
        <f aca="false">MONTH(A273)</f>
        <v>3</v>
      </c>
      <c r="H273" s="38" t="n">
        <f aca="false">YEAR(Tabela1[[#This Row],[FECHA]])</f>
        <v>2026</v>
      </c>
      <c r="I273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274" customFormat="false" ht="15" hidden="false" customHeight="false" outlineLevel="0" collapsed="false">
      <c r="A274" s="41" t="n">
        <v>46108</v>
      </c>
      <c r="B274" s="39" t="n">
        <v>350</v>
      </c>
      <c r="C274" s="38" t="s">
        <v>3585</v>
      </c>
      <c r="D274" s="38" t="s">
        <v>3507</v>
      </c>
      <c r="E274" s="38" t="s">
        <v>3519</v>
      </c>
      <c r="G274" s="38" t="n">
        <f aca="false">MONTH(A274)</f>
        <v>3</v>
      </c>
      <c r="H274" s="38" t="n">
        <f aca="false">YEAR(Tabela1[[#This Row],[FECHA]])</f>
        <v>2026</v>
      </c>
      <c r="I2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5" customFormat="false" ht="15" hidden="false" customHeight="false" outlineLevel="0" collapsed="false">
      <c r="A275" s="41" t="n">
        <v>46110</v>
      </c>
      <c r="B275" s="39" t="n">
        <v>115.36</v>
      </c>
      <c r="D275" s="38" t="s">
        <v>3503</v>
      </c>
      <c r="E275" s="38" t="s">
        <v>3515</v>
      </c>
      <c r="G275" s="38" t="n">
        <f aca="false">MONTH(A275)</f>
        <v>3</v>
      </c>
      <c r="H275" s="38" t="n">
        <f aca="false">YEAR(Tabela1[[#This Row],[FECHA]])</f>
        <v>2026</v>
      </c>
      <c r="I2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6" customFormat="false" ht="15" hidden="false" customHeight="false" outlineLevel="0" collapsed="false">
      <c r="A276" s="41" t="n">
        <v>46110</v>
      </c>
      <c r="B276" s="39" t="n">
        <v>90</v>
      </c>
      <c r="C276" s="38" t="s">
        <v>3562</v>
      </c>
      <c r="D276" s="38" t="s">
        <v>3507</v>
      </c>
      <c r="E276" s="38" t="s">
        <v>3530</v>
      </c>
      <c r="G276" s="38" t="n">
        <f aca="false">MONTH(A276)</f>
        <v>3</v>
      </c>
      <c r="H276" s="38" t="n">
        <f aca="false">YEAR(Tabela1[[#This Row],[FECHA]])</f>
        <v>2026</v>
      </c>
      <c r="I2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7" customFormat="false" ht="15" hidden="false" customHeight="false" outlineLevel="0" collapsed="false">
      <c r="A277" s="41" t="n">
        <v>46111</v>
      </c>
      <c r="B277" s="39" t="n">
        <v>78</v>
      </c>
      <c r="C277" s="38" t="s">
        <v>3620</v>
      </c>
      <c r="D277" s="38" t="s">
        <v>3504</v>
      </c>
      <c r="E277" s="38" t="s">
        <v>3516</v>
      </c>
      <c r="G277" s="38" t="n">
        <f aca="false">MONTH(A277)</f>
        <v>3</v>
      </c>
      <c r="H277" s="38" t="n">
        <f aca="false">YEAR(Tabela1[[#This Row],[FECHA]])</f>
        <v>2026</v>
      </c>
      <c r="I2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8" customFormat="false" ht="15" hidden="false" customHeight="false" outlineLevel="0" collapsed="false">
      <c r="A278" s="41" t="n">
        <v>46111</v>
      </c>
      <c r="B278" s="39" t="n">
        <v>60</v>
      </c>
      <c r="C278" s="38" t="s">
        <v>3562</v>
      </c>
      <c r="D278" s="38" t="s">
        <v>3507</v>
      </c>
      <c r="E278" s="38" t="s">
        <v>3530</v>
      </c>
      <c r="G278" s="38" t="n">
        <f aca="false">MONTH(A278)</f>
        <v>3</v>
      </c>
      <c r="H278" s="38" t="n">
        <f aca="false">YEAR(Tabela1[[#This Row],[FECHA]])</f>
        <v>2026</v>
      </c>
      <c r="I2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9" customFormat="false" ht="15" hidden="false" customHeight="false" outlineLevel="0" collapsed="false">
      <c r="A279" s="41" t="n">
        <v>46111</v>
      </c>
      <c r="B279" s="39" t="n">
        <v>150</v>
      </c>
      <c r="C279" s="38" t="s">
        <v>3562</v>
      </c>
      <c r="D279" s="38" t="s">
        <v>3507</v>
      </c>
      <c r="E279" s="38" t="s">
        <v>3530</v>
      </c>
      <c r="G279" s="38" t="n">
        <f aca="false">MONTH(A279)</f>
        <v>3</v>
      </c>
      <c r="H279" s="38" t="n">
        <f aca="false">YEAR(Tabela1[[#This Row],[FECHA]])</f>
        <v>2026</v>
      </c>
      <c r="I2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0" customFormat="false" ht="15" hidden="false" customHeight="false" outlineLevel="0" collapsed="false">
      <c r="A280" s="41" t="n">
        <v>46112</v>
      </c>
      <c r="B280" s="39" t="n">
        <v>900</v>
      </c>
      <c r="C280" s="38" t="s">
        <v>3590</v>
      </c>
      <c r="D280" s="38" t="s">
        <v>3505</v>
      </c>
      <c r="E280" s="38" t="s">
        <v>3541</v>
      </c>
      <c r="G280" s="38" t="n">
        <f aca="false">MONTH(A280)</f>
        <v>3</v>
      </c>
      <c r="H280" s="38" t="n">
        <f aca="false">YEAR(Tabela1[[#This Row],[FECHA]])</f>
        <v>2026</v>
      </c>
      <c r="I2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1" customFormat="false" ht="15" hidden="false" customHeight="false" outlineLevel="0" collapsed="false">
      <c r="A281" s="41" t="n">
        <v>46112</v>
      </c>
      <c r="B281" s="39" t="n">
        <v>900</v>
      </c>
      <c r="C281" s="38" t="s">
        <v>3568</v>
      </c>
      <c r="D281" s="38" t="s">
        <v>3505</v>
      </c>
      <c r="E281" s="38" t="s">
        <v>3517</v>
      </c>
      <c r="G281" s="38" t="n">
        <f aca="false">MONTH(A281)</f>
        <v>3</v>
      </c>
      <c r="H281" s="38" t="n">
        <f aca="false">YEAR(Tabela1[[#This Row],[FECHA]])</f>
        <v>2026</v>
      </c>
      <c r="I2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2" customFormat="false" ht="15" hidden="false" customHeight="false" outlineLevel="0" collapsed="false">
      <c r="A282" s="41" t="n">
        <v>46112</v>
      </c>
      <c r="B282" s="39" t="n">
        <v>900</v>
      </c>
      <c r="C282" s="38" t="s">
        <v>3597</v>
      </c>
      <c r="D282" s="38" t="s">
        <v>3505</v>
      </c>
      <c r="E282" s="38" t="s">
        <v>3517</v>
      </c>
      <c r="G282" s="38" t="n">
        <f aca="false">MONTH(A282)</f>
        <v>3</v>
      </c>
      <c r="H282" s="38" t="n">
        <f aca="false">YEAR(Tabela1[[#This Row],[FECHA]])</f>
        <v>2026</v>
      </c>
      <c r="I2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3" customFormat="false" ht="15" hidden="false" customHeight="false" outlineLevel="0" collapsed="false">
      <c r="A283" s="41" t="n">
        <v>46112</v>
      </c>
      <c r="B283" s="39" t="n">
        <v>900</v>
      </c>
      <c r="C283" s="38" t="s">
        <v>632</v>
      </c>
      <c r="D283" s="38" t="s">
        <v>3505</v>
      </c>
      <c r="E283" s="38" t="s">
        <v>3541</v>
      </c>
      <c r="G283" s="38" t="n">
        <f aca="false">MONTH(A283)</f>
        <v>3</v>
      </c>
      <c r="H283" s="38" t="n">
        <f aca="false">YEAR(Tabela1[[#This Row],[FECHA]])</f>
        <v>2026</v>
      </c>
      <c r="I2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4" customFormat="false" ht="15" hidden="false" customHeight="false" outlineLevel="0" collapsed="false">
      <c r="A284" s="41" t="n">
        <v>46112</v>
      </c>
      <c r="B284" s="39" t="n">
        <v>1500</v>
      </c>
      <c r="C284" s="38" t="s">
        <v>3567</v>
      </c>
      <c r="D284" s="38" t="s">
        <v>3505</v>
      </c>
      <c r="E284" s="38" t="s">
        <v>3517</v>
      </c>
      <c r="G284" s="38" t="n">
        <f aca="false">MONTH(A284)</f>
        <v>3</v>
      </c>
      <c r="H284" s="38" t="n">
        <f aca="false">YEAR(Tabela1[[#This Row],[FECHA]])</f>
        <v>2026</v>
      </c>
      <c r="I2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5" customFormat="false" ht="15" hidden="false" customHeight="false" outlineLevel="0" collapsed="false">
      <c r="A285" s="41" t="n">
        <v>46112</v>
      </c>
      <c r="B285" s="39" t="n">
        <v>313</v>
      </c>
      <c r="C285" s="38" t="s">
        <v>3590</v>
      </c>
      <c r="D285" s="38" t="s">
        <v>3499</v>
      </c>
      <c r="E285" s="38" t="s">
        <v>3523</v>
      </c>
      <c r="G285" s="38" t="n">
        <f aca="false">MONTH(A285)</f>
        <v>3</v>
      </c>
      <c r="H285" s="38" t="n">
        <f aca="false">YEAR(Tabela1[[#This Row],[FECHA]])</f>
        <v>2026</v>
      </c>
      <c r="I2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6" customFormat="false" ht="15" hidden="false" customHeight="false" outlineLevel="0" collapsed="false">
      <c r="A286" s="41" t="n">
        <v>46112</v>
      </c>
      <c r="B286" s="39" t="n">
        <v>1025</v>
      </c>
      <c r="C286" s="38" t="s">
        <v>3568</v>
      </c>
      <c r="D286" s="38" t="s">
        <v>3499</v>
      </c>
      <c r="E286" s="38" t="s">
        <v>3512</v>
      </c>
      <c r="G286" s="38" t="n">
        <f aca="false">MONTH(A286)</f>
        <v>3</v>
      </c>
      <c r="H286" s="38" t="n">
        <f aca="false">YEAR(Tabela1[[#This Row],[FECHA]])</f>
        <v>2026</v>
      </c>
      <c r="I2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7" customFormat="false" ht="15" hidden="false" customHeight="false" outlineLevel="0" collapsed="false">
      <c r="A287" s="41" t="n">
        <v>46112</v>
      </c>
      <c r="B287" s="39" t="n">
        <v>1061</v>
      </c>
      <c r="C287" s="38" t="s">
        <v>3597</v>
      </c>
      <c r="D287" s="38" t="s">
        <v>3499</v>
      </c>
      <c r="E287" s="38" t="s">
        <v>3512</v>
      </c>
      <c r="G287" s="38" t="n">
        <f aca="false">MONTH(A287)</f>
        <v>3</v>
      </c>
      <c r="H287" s="38" t="n">
        <f aca="false">YEAR(Tabela1[[#This Row],[FECHA]])</f>
        <v>2026</v>
      </c>
      <c r="I2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8" customFormat="false" ht="15" hidden="false" customHeight="false" outlineLevel="0" collapsed="false">
      <c r="A288" s="41" t="n">
        <v>46112</v>
      </c>
      <c r="B288" s="39" t="n">
        <v>1003</v>
      </c>
      <c r="C288" s="38" t="s">
        <v>632</v>
      </c>
      <c r="D288" s="38" t="s">
        <v>3499</v>
      </c>
      <c r="E288" s="38" t="s">
        <v>3523</v>
      </c>
      <c r="G288" s="38" t="n">
        <f aca="false">MONTH(A288)</f>
        <v>3</v>
      </c>
      <c r="H288" s="38" t="n">
        <f aca="false">YEAR(Tabela1[[#This Row],[FECHA]])</f>
        <v>2026</v>
      </c>
      <c r="I2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9" customFormat="false" ht="15" hidden="false" customHeight="false" outlineLevel="0" collapsed="false">
      <c r="A289" s="41" t="n">
        <v>46112</v>
      </c>
      <c r="B289" s="39" t="n">
        <v>826</v>
      </c>
      <c r="C289" s="38" t="s">
        <v>3567</v>
      </c>
      <c r="D289" s="38" t="s">
        <v>3499</v>
      </c>
      <c r="E289" s="38" t="s">
        <v>3512</v>
      </c>
      <c r="G289" s="38" t="n">
        <f aca="false">MONTH(A289)</f>
        <v>3</v>
      </c>
      <c r="H289" s="38" t="n">
        <f aca="false">YEAR(Tabela1[[#This Row],[FECHA]])</f>
        <v>2026</v>
      </c>
      <c r="I2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0" customFormat="false" ht="15" hidden="false" customHeight="false" outlineLevel="0" collapsed="false">
      <c r="A290" s="41" t="n">
        <v>46112</v>
      </c>
      <c r="B290" s="39" t="n">
        <v>1553.69</v>
      </c>
      <c r="C290" s="38" t="s">
        <v>3576</v>
      </c>
      <c r="D290" s="38" t="s">
        <v>3503</v>
      </c>
      <c r="E290" s="38" t="s">
        <v>3515</v>
      </c>
      <c r="G290" s="38" t="n">
        <f aca="false">MONTH(A290)</f>
        <v>3</v>
      </c>
      <c r="H290" s="38" t="n">
        <f aca="false">YEAR(Tabela1[[#This Row],[FECHA]])</f>
        <v>2026</v>
      </c>
      <c r="I2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1" customFormat="false" ht="15" hidden="false" customHeight="false" outlineLevel="0" collapsed="false">
      <c r="A291" s="41" t="n">
        <v>46113</v>
      </c>
      <c r="B291" s="39" t="n">
        <v>26.53</v>
      </c>
      <c r="C291" s="38" t="s">
        <v>3576</v>
      </c>
      <c r="D291" s="38" t="s">
        <v>3503</v>
      </c>
      <c r="E291" s="38" t="s">
        <v>3515</v>
      </c>
      <c r="G291" s="38" t="n">
        <f aca="false">MONTH(A291)</f>
        <v>4</v>
      </c>
      <c r="H291" s="38" t="n">
        <f aca="false">YEAR(Tabela1[[#This Row],[FECHA]])</f>
        <v>2026</v>
      </c>
      <c r="I2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2" customFormat="false" ht="15" hidden="false" customHeight="false" outlineLevel="0" collapsed="false">
      <c r="A292" s="41" t="n">
        <v>46113</v>
      </c>
      <c r="B292" s="39" t="n">
        <v>35</v>
      </c>
      <c r="C292" s="38" t="s">
        <v>3621</v>
      </c>
      <c r="D292" s="38" t="s">
        <v>3504</v>
      </c>
      <c r="E292" s="38" t="s">
        <v>3534</v>
      </c>
      <c r="G292" s="38" t="n">
        <f aca="false">MONTH(A292)</f>
        <v>4</v>
      </c>
      <c r="H292" s="38" t="n">
        <f aca="false">YEAR(Tabela1[[#This Row],[FECHA]])</f>
        <v>2026</v>
      </c>
      <c r="I2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3" customFormat="false" ht="15" hidden="false" customHeight="false" outlineLevel="0" collapsed="false">
      <c r="A293" s="41" t="n">
        <v>46114</v>
      </c>
      <c r="B293" s="39" t="n">
        <v>1553.35</v>
      </c>
      <c r="C293" s="38" t="s">
        <v>3576</v>
      </c>
      <c r="D293" s="38" t="s">
        <v>3503</v>
      </c>
      <c r="E293" s="38" t="s">
        <v>3515</v>
      </c>
      <c r="G293" s="38" t="n">
        <f aca="false">MONTH(A293)</f>
        <v>4</v>
      </c>
      <c r="H293" s="38" t="n">
        <f aca="false">YEAR(Tabela1[[#This Row],[FECHA]])</f>
        <v>2026</v>
      </c>
      <c r="I2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4" customFormat="false" ht="15" hidden="false" customHeight="false" outlineLevel="0" collapsed="false">
      <c r="A294" s="41" t="n">
        <v>46114</v>
      </c>
      <c r="B294" s="39" t="n">
        <v>300</v>
      </c>
      <c r="C294" s="38" t="s">
        <v>1087</v>
      </c>
      <c r="D294" s="38" t="s">
        <v>3500</v>
      </c>
      <c r="E294" s="38" t="s">
        <v>3538</v>
      </c>
      <c r="G294" s="38" t="n">
        <f aca="false">MONTH(A294)</f>
        <v>4</v>
      </c>
      <c r="H294" s="38" t="n">
        <f aca="false">YEAR(Tabela1[[#This Row],[FECHA]])</f>
        <v>2026</v>
      </c>
      <c r="I2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5" customFormat="false" ht="15" hidden="false" customHeight="false" outlineLevel="0" collapsed="false">
      <c r="A295" s="41" t="n">
        <v>46114</v>
      </c>
      <c r="B295" s="39" t="n">
        <v>240</v>
      </c>
      <c r="C295" s="38" t="s">
        <v>3622</v>
      </c>
      <c r="D295" s="38" t="s">
        <v>3500</v>
      </c>
      <c r="E295" s="38" t="s">
        <v>3538</v>
      </c>
      <c r="G295" s="38" t="n">
        <f aca="false">MONTH(A295)</f>
        <v>4</v>
      </c>
      <c r="H295" s="38" t="n">
        <f aca="false">YEAR(Tabela1[[#This Row],[FECHA]])</f>
        <v>2026</v>
      </c>
      <c r="I2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6" customFormat="false" ht="15" hidden="false" customHeight="false" outlineLevel="0" collapsed="false">
      <c r="A296" s="41" t="n">
        <v>46114</v>
      </c>
      <c r="B296" s="39" t="n">
        <v>18.98</v>
      </c>
      <c r="D296" s="38" t="s">
        <v>3504</v>
      </c>
      <c r="E296" s="38" t="s">
        <v>3540</v>
      </c>
      <c r="G296" s="38" t="n">
        <f aca="false">MONTH(A296)</f>
        <v>4</v>
      </c>
      <c r="H296" s="38" t="n">
        <f aca="false">YEAR(Tabela1[[#This Row],[FECHA]])</f>
        <v>2026</v>
      </c>
      <c r="I2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7" customFormat="false" ht="15" hidden="false" customHeight="false" outlineLevel="0" collapsed="false">
      <c r="A297" s="41" t="n">
        <v>46115</v>
      </c>
      <c r="B297" s="39" t="n">
        <v>120</v>
      </c>
      <c r="C297" s="42" t="s">
        <v>1397</v>
      </c>
      <c r="D297" s="38" t="s">
        <v>3500</v>
      </c>
      <c r="E297" s="38" t="s">
        <v>3538</v>
      </c>
      <c r="G297" s="38" t="n">
        <f aca="false">MONTH(A297)</f>
        <v>4</v>
      </c>
      <c r="H297" s="38" t="n">
        <f aca="false">YEAR(Tabela1[[#This Row],[FECHA]])</f>
        <v>2026</v>
      </c>
      <c r="I2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8" customFormat="false" ht="15" hidden="false" customHeight="false" outlineLevel="0" collapsed="false">
      <c r="A298" s="41" t="n">
        <v>46115</v>
      </c>
      <c r="B298" s="39" t="n">
        <v>120</v>
      </c>
      <c r="C298" s="42" t="s">
        <v>2010</v>
      </c>
      <c r="D298" s="38" t="s">
        <v>3500</v>
      </c>
      <c r="E298" s="38" t="s">
        <v>3538</v>
      </c>
      <c r="G298" s="38" t="n">
        <f aca="false">MONTH(A298)</f>
        <v>4</v>
      </c>
      <c r="H298" s="38" t="n">
        <f aca="false">YEAR(Tabela1[[#This Row],[FECHA]])</f>
        <v>2026</v>
      </c>
      <c r="I2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9" customFormat="false" ht="15" hidden="false" customHeight="false" outlineLevel="0" collapsed="false">
      <c r="A299" s="41" t="n">
        <v>46115</v>
      </c>
      <c r="B299" s="39" t="n">
        <v>120</v>
      </c>
      <c r="C299" s="42" t="s">
        <v>1777</v>
      </c>
      <c r="D299" s="38" t="s">
        <v>3500</v>
      </c>
      <c r="E299" s="38" t="s">
        <v>3538</v>
      </c>
      <c r="G299" s="38" t="n">
        <f aca="false">MONTH(A299)</f>
        <v>4</v>
      </c>
      <c r="H299" s="38" t="n">
        <f aca="false">YEAR(Tabela1[[#This Row],[FECHA]])</f>
        <v>2026</v>
      </c>
      <c r="I2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0" customFormat="false" ht="15" hidden="false" customHeight="false" outlineLevel="0" collapsed="false">
      <c r="A300" s="41" t="n">
        <v>46115</v>
      </c>
      <c r="B300" s="39" t="n">
        <v>480</v>
      </c>
      <c r="C300" s="42" t="s">
        <v>1434</v>
      </c>
      <c r="D300" s="38" t="s">
        <v>3500</v>
      </c>
      <c r="E300" s="38" t="s">
        <v>3538</v>
      </c>
      <c r="G300" s="38" t="n">
        <f aca="false">MONTH(A300)</f>
        <v>4</v>
      </c>
      <c r="H300" s="38" t="n">
        <f aca="false">YEAR(Tabela1[[#This Row],[FECHA]])</f>
        <v>2026</v>
      </c>
      <c r="I3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1" customFormat="false" ht="15" hidden="false" customHeight="false" outlineLevel="0" collapsed="false">
      <c r="A301" s="41" t="n">
        <v>46115</v>
      </c>
      <c r="B301" s="39" t="n">
        <v>120</v>
      </c>
      <c r="C301" s="42" t="s">
        <v>1127</v>
      </c>
      <c r="D301" s="38" t="s">
        <v>3500</v>
      </c>
      <c r="E301" s="38" t="s">
        <v>3538</v>
      </c>
      <c r="G301" s="38" t="n">
        <f aca="false">MONTH(A301)</f>
        <v>4</v>
      </c>
      <c r="H301" s="38" t="n">
        <f aca="false">YEAR(Tabela1[[#This Row],[FECHA]])</f>
        <v>2026</v>
      </c>
      <c r="I3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2" customFormat="false" ht="15" hidden="false" customHeight="false" outlineLevel="0" collapsed="false">
      <c r="A302" s="41" t="n">
        <v>46115</v>
      </c>
      <c r="B302" s="39" t="n">
        <v>120</v>
      </c>
      <c r="C302" s="42" t="s">
        <v>1895</v>
      </c>
      <c r="D302" s="38" t="s">
        <v>3500</v>
      </c>
      <c r="E302" s="38" t="s">
        <v>3538</v>
      </c>
      <c r="G302" s="38" t="n">
        <f aca="false">MONTH(A302)</f>
        <v>4</v>
      </c>
      <c r="H302" s="38" t="n">
        <f aca="false">YEAR(Tabela1[[#This Row],[FECHA]])</f>
        <v>2026</v>
      </c>
      <c r="I3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3" customFormat="false" ht="15" hidden="false" customHeight="false" outlineLevel="0" collapsed="false">
      <c r="A303" s="41" t="n">
        <v>46115</v>
      </c>
      <c r="B303" s="39" t="n">
        <v>240</v>
      </c>
      <c r="C303" s="42" t="s">
        <v>2246</v>
      </c>
      <c r="D303" s="38" t="s">
        <v>3500</v>
      </c>
      <c r="E303" s="38" t="s">
        <v>3538</v>
      </c>
      <c r="G303" s="38" t="n">
        <f aca="false">MONTH(A303)</f>
        <v>4</v>
      </c>
      <c r="H303" s="38" t="n">
        <f aca="false">YEAR(Tabela1[[#This Row],[FECHA]])</f>
        <v>2026</v>
      </c>
      <c r="I3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4" customFormat="false" ht="15" hidden="false" customHeight="false" outlineLevel="0" collapsed="false">
      <c r="A304" s="41" t="n">
        <v>46115</v>
      </c>
      <c r="B304" s="39" t="n">
        <v>120</v>
      </c>
      <c r="C304" s="42" t="s">
        <v>2014</v>
      </c>
      <c r="D304" s="38" t="s">
        <v>3500</v>
      </c>
      <c r="E304" s="38" t="s">
        <v>3538</v>
      </c>
      <c r="G304" s="38" t="n">
        <f aca="false">MONTH(A304)</f>
        <v>4</v>
      </c>
      <c r="H304" s="38" t="n">
        <f aca="false">YEAR(Tabela1[[#This Row],[FECHA]])</f>
        <v>2026</v>
      </c>
      <c r="I3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5" customFormat="false" ht="15" hidden="false" customHeight="false" outlineLevel="0" collapsed="false">
      <c r="A305" s="41" t="n">
        <v>46115</v>
      </c>
      <c r="B305" s="39" t="n">
        <v>1555.03</v>
      </c>
      <c r="C305" s="38" t="s">
        <v>3576</v>
      </c>
      <c r="D305" s="38" t="s">
        <v>3503</v>
      </c>
      <c r="E305" s="38" t="s">
        <v>3515</v>
      </c>
      <c r="G305" s="38" t="n">
        <f aca="false">MONTH(A305)</f>
        <v>4</v>
      </c>
      <c r="H305" s="38" t="n">
        <f aca="false">YEAR(Tabela1[[#This Row],[FECHA]])</f>
        <v>2026</v>
      </c>
      <c r="I3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6" customFormat="false" ht="15" hidden="false" customHeight="false" outlineLevel="0" collapsed="false">
      <c r="A306" s="41" t="n">
        <v>46116</v>
      </c>
      <c r="B306" s="39" t="n">
        <v>120</v>
      </c>
      <c r="C306" s="42" t="s">
        <v>1808</v>
      </c>
      <c r="D306" s="38" t="s">
        <v>3500</v>
      </c>
      <c r="E306" s="38" t="s">
        <v>3538</v>
      </c>
      <c r="G306" s="38" t="n">
        <f aca="false">MONTH(A306)</f>
        <v>4</v>
      </c>
      <c r="H306" s="38" t="n">
        <f aca="false">YEAR(Tabela1[[#This Row],[FECHA]])</f>
        <v>2026</v>
      </c>
      <c r="I3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7" customFormat="false" ht="15" hidden="false" customHeight="false" outlineLevel="0" collapsed="false">
      <c r="A307" s="41" t="n">
        <v>46116</v>
      </c>
      <c r="B307" s="39" t="n">
        <v>97</v>
      </c>
      <c r="C307" s="42" t="s">
        <v>3623</v>
      </c>
      <c r="D307" s="38" t="s">
        <v>3500</v>
      </c>
      <c r="E307" s="38" t="s">
        <v>3538</v>
      </c>
      <c r="G307" s="38" t="n">
        <f aca="false">MONTH(A307)</f>
        <v>4</v>
      </c>
      <c r="H307" s="38" t="n">
        <f aca="false">YEAR(Tabela1[[#This Row],[FECHA]])</f>
        <v>2026</v>
      </c>
      <c r="I3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8" customFormat="false" ht="15" hidden="false" customHeight="false" outlineLevel="0" collapsed="false">
      <c r="A308" s="41" t="n">
        <v>46116</v>
      </c>
      <c r="B308" s="39" t="n">
        <v>240</v>
      </c>
      <c r="C308" s="42" t="s">
        <v>753</v>
      </c>
      <c r="D308" s="38" t="s">
        <v>3500</v>
      </c>
      <c r="E308" s="38" t="s">
        <v>3538</v>
      </c>
      <c r="G308" s="38" t="n">
        <f aca="false">MONTH(A308)</f>
        <v>4</v>
      </c>
      <c r="H308" s="38" t="n">
        <f aca="false">YEAR(Tabela1[[#This Row],[FECHA]])</f>
        <v>2026</v>
      </c>
      <c r="I3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9" customFormat="false" ht="15" hidden="false" customHeight="false" outlineLevel="0" collapsed="false">
      <c r="A309" s="41" t="n">
        <v>46116</v>
      </c>
      <c r="B309" s="39" t="n">
        <v>240</v>
      </c>
      <c r="C309" s="42" t="s">
        <v>3624</v>
      </c>
      <c r="D309" s="38" t="s">
        <v>3500</v>
      </c>
      <c r="E309" s="38" t="s">
        <v>3538</v>
      </c>
      <c r="G309" s="38" t="n">
        <f aca="false">MONTH(A309)</f>
        <v>4</v>
      </c>
      <c r="H309" s="38" t="n">
        <f aca="false">YEAR(Tabela1[[#This Row],[FECHA]])</f>
        <v>2026</v>
      </c>
      <c r="I3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0" customFormat="false" ht="15" hidden="false" customHeight="false" outlineLevel="0" collapsed="false">
      <c r="A310" s="41" t="n">
        <v>46116</v>
      </c>
      <c r="B310" s="39" t="n">
        <v>97</v>
      </c>
      <c r="C310" s="42" t="s">
        <v>3625</v>
      </c>
      <c r="D310" s="38" t="s">
        <v>3500</v>
      </c>
      <c r="E310" s="38" t="s">
        <v>3538</v>
      </c>
      <c r="G310" s="38" t="n">
        <f aca="false">MONTH(A310)</f>
        <v>4</v>
      </c>
      <c r="H310" s="38" t="n">
        <f aca="false">YEAR(Tabela1[[#This Row],[FECHA]])</f>
        <v>2026</v>
      </c>
      <c r="I3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1" customFormat="false" ht="15" hidden="false" customHeight="false" outlineLevel="0" collapsed="false">
      <c r="A311" s="41" t="n">
        <v>46117</v>
      </c>
      <c r="B311" s="39" t="n">
        <v>1552.32</v>
      </c>
      <c r="C311" s="38" t="s">
        <v>35</v>
      </c>
      <c r="D311" s="38" t="s">
        <v>3503</v>
      </c>
      <c r="E311" s="38" t="s">
        <v>3515</v>
      </c>
      <c r="G311" s="38" t="n">
        <f aca="false">MONTH(A311)</f>
        <v>4</v>
      </c>
      <c r="H311" s="38" t="n">
        <f aca="false">YEAR(Tabela1[[#This Row],[FECHA]])</f>
        <v>2026</v>
      </c>
      <c r="I3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2" customFormat="false" ht="15" hidden="false" customHeight="false" outlineLevel="0" collapsed="false">
      <c r="A312" s="41" t="n">
        <v>46118</v>
      </c>
      <c r="B312" s="39" t="n">
        <v>120</v>
      </c>
      <c r="C312" s="38" t="s">
        <v>3588</v>
      </c>
      <c r="D312" s="38" t="s">
        <v>3504</v>
      </c>
      <c r="E312" s="38" t="s">
        <v>3534</v>
      </c>
      <c r="G312" s="38" t="n">
        <f aca="false">MONTH(A312)</f>
        <v>4</v>
      </c>
      <c r="H312" s="38" t="n">
        <f aca="false">YEAR(Tabela1[[#This Row],[FECHA]])</f>
        <v>2026</v>
      </c>
      <c r="I3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3" customFormat="false" ht="15" hidden="false" customHeight="false" outlineLevel="0" collapsed="false">
      <c r="A313" s="41" t="n">
        <v>46118</v>
      </c>
      <c r="B313" s="39" t="n">
        <v>407.21</v>
      </c>
      <c r="D313" s="38" t="s">
        <v>3501</v>
      </c>
      <c r="E313" s="38" t="s">
        <v>3539</v>
      </c>
      <c r="G313" s="38" t="n">
        <f aca="false">MONTH(A313)</f>
        <v>4</v>
      </c>
      <c r="H313" s="38" t="n">
        <f aca="false">YEAR(Tabela1[[#This Row],[FECHA]])</f>
        <v>2026</v>
      </c>
      <c r="I313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314" customFormat="false" ht="15" hidden="false" customHeight="false" outlineLevel="0" collapsed="false">
      <c r="A314" s="41" t="n">
        <v>46118</v>
      </c>
      <c r="B314" s="39" t="n">
        <v>1615.42</v>
      </c>
      <c r="D314" s="38" t="s">
        <v>3501</v>
      </c>
      <c r="E314" s="38" t="s">
        <v>3513</v>
      </c>
      <c r="G314" s="38" t="n">
        <f aca="false">MONTH(A314)</f>
        <v>4</v>
      </c>
      <c r="H314" s="38" t="n">
        <f aca="false">YEAR(Tabela1[[#This Row],[FECHA]])</f>
        <v>2026</v>
      </c>
      <c r="I314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315" customFormat="false" ht="15" hidden="false" customHeight="false" outlineLevel="0" collapsed="false">
      <c r="A315" s="41" t="n">
        <v>46118</v>
      </c>
      <c r="B315" s="39" t="n">
        <v>375.42</v>
      </c>
      <c r="D315" s="38" t="s">
        <v>3501</v>
      </c>
      <c r="E315" s="38" t="s">
        <v>3524</v>
      </c>
      <c r="G315" s="38" t="n">
        <f aca="false">MONTH(A315)</f>
        <v>4</v>
      </c>
      <c r="H315" s="38" t="n">
        <f aca="false">YEAR(Tabela1[[#This Row],[FECHA]])</f>
        <v>2026</v>
      </c>
      <c r="I315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316" customFormat="false" ht="15" hidden="false" customHeight="false" outlineLevel="0" collapsed="false">
      <c r="A316" s="41" t="n">
        <v>46118</v>
      </c>
      <c r="B316" s="39" t="n">
        <v>54.95</v>
      </c>
      <c r="D316" s="38" t="s">
        <v>3501</v>
      </c>
      <c r="E316" s="38" t="s">
        <v>3545</v>
      </c>
      <c r="G316" s="38" t="n">
        <f aca="false">MONTH(A316)</f>
        <v>4</v>
      </c>
      <c r="H316" s="38" t="n">
        <f aca="false">YEAR(Tabela1[[#This Row],[FECHA]])</f>
        <v>2026</v>
      </c>
      <c r="I316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317" customFormat="false" ht="15" hidden="false" customHeight="false" outlineLevel="0" collapsed="false">
      <c r="A317" s="41" t="n">
        <v>46118</v>
      </c>
      <c r="B317" s="39" t="n">
        <v>20</v>
      </c>
      <c r="D317" s="38" t="s">
        <v>3501</v>
      </c>
      <c r="E317" s="38" t="s">
        <v>3549</v>
      </c>
      <c r="G317" s="38" t="n">
        <f aca="false">MONTH(A317)</f>
        <v>4</v>
      </c>
      <c r="H317" s="38" t="n">
        <f aca="false">YEAR(Tabela1[[#This Row],[FECHA]])</f>
        <v>2026</v>
      </c>
      <c r="I317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318" customFormat="false" ht="17.25" hidden="false" customHeight="false" outlineLevel="0" collapsed="false">
      <c r="A318" s="41" t="n">
        <v>46118</v>
      </c>
      <c r="B318" s="39" t="n">
        <v>120</v>
      </c>
      <c r="C318" s="43" t="s">
        <v>3626</v>
      </c>
      <c r="D318" s="38" t="s">
        <v>3500</v>
      </c>
      <c r="E318" s="38" t="s">
        <v>3538</v>
      </c>
      <c r="G318" s="38" t="n">
        <f aca="false">MONTH(A318)</f>
        <v>4</v>
      </c>
      <c r="H318" s="38" t="n">
        <f aca="false">YEAR(Tabela1[[#This Row],[FECHA]])</f>
        <v>2026</v>
      </c>
      <c r="I3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9" customFormat="false" ht="15" hidden="false" customHeight="false" outlineLevel="0" collapsed="false">
      <c r="A319" s="41" t="n">
        <v>46118</v>
      </c>
      <c r="B319" s="39" t="n">
        <v>90</v>
      </c>
      <c r="C319" s="38" t="s">
        <v>3562</v>
      </c>
      <c r="D319" s="38" t="s">
        <v>3507</v>
      </c>
      <c r="E319" s="38" t="s">
        <v>3530</v>
      </c>
      <c r="G319" s="38" t="n">
        <f aca="false">MONTH(A319)</f>
        <v>4</v>
      </c>
      <c r="H319" s="38" t="n">
        <f aca="false">YEAR(Tabela1[[#This Row],[FECHA]])</f>
        <v>2026</v>
      </c>
      <c r="I3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0" customFormat="false" ht="15" hidden="false" customHeight="false" outlineLevel="0" collapsed="false">
      <c r="A320" s="41" t="n">
        <v>46119</v>
      </c>
      <c r="B320" s="39" t="n">
        <v>52.07</v>
      </c>
      <c r="D320" s="38" t="s">
        <v>3504</v>
      </c>
      <c r="E320" s="38" t="s">
        <v>3540</v>
      </c>
      <c r="G320" s="38" t="n">
        <f aca="false">MONTH(A320)</f>
        <v>4</v>
      </c>
      <c r="H320" s="38" t="n">
        <f aca="false">YEAR(Tabela1[[#This Row],[FECHA]])</f>
        <v>2026</v>
      </c>
      <c r="I3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1" customFormat="false" ht="15" hidden="false" customHeight="false" outlineLevel="0" collapsed="false">
      <c r="A321" s="41" t="n">
        <v>46119</v>
      </c>
      <c r="B321" s="39" t="n">
        <v>120</v>
      </c>
      <c r="C321" s="44" t="s">
        <v>3627</v>
      </c>
      <c r="D321" s="38" t="s">
        <v>3500</v>
      </c>
      <c r="E321" s="38" t="s">
        <v>3538</v>
      </c>
      <c r="G321" s="38" t="n">
        <f aca="false">MONTH(A321)</f>
        <v>4</v>
      </c>
      <c r="H321" s="38" t="n">
        <f aca="false">YEAR(Tabela1[[#This Row],[FECHA]])</f>
        <v>2026</v>
      </c>
      <c r="I3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2" customFormat="false" ht="15" hidden="false" customHeight="false" outlineLevel="0" collapsed="false">
      <c r="A322" s="41" t="n">
        <v>46119</v>
      </c>
      <c r="B322" s="39" t="n">
        <v>35</v>
      </c>
      <c r="C322" s="38" t="s">
        <v>3628</v>
      </c>
      <c r="D322" s="38" t="s">
        <v>3508</v>
      </c>
      <c r="E322" s="38" t="s">
        <v>3557</v>
      </c>
      <c r="G322" s="38" t="n">
        <f aca="false">MONTH(A322)</f>
        <v>4</v>
      </c>
      <c r="H322" s="38" t="n">
        <f aca="false">YEAR(Tabela1[[#This Row],[FECHA]])</f>
        <v>2026</v>
      </c>
      <c r="I322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323" customFormat="false" ht="15" hidden="false" customHeight="false" outlineLevel="0" collapsed="false">
      <c r="A323" s="41" t="n">
        <v>46120</v>
      </c>
      <c r="B323" s="39" t="n">
        <v>1551.35</v>
      </c>
      <c r="C323" s="38" t="s">
        <v>35</v>
      </c>
      <c r="D323" s="38" t="s">
        <v>3503</v>
      </c>
      <c r="E323" s="38" t="s">
        <v>3515</v>
      </c>
      <c r="G323" s="38" t="n">
        <f aca="false">MONTH(A323)</f>
        <v>4</v>
      </c>
      <c r="H323" s="38" t="n">
        <f aca="false">YEAR(Tabela1[[#This Row],[FECHA]])</f>
        <v>2026</v>
      </c>
      <c r="I3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4" s="47" customFormat="true" ht="15" hidden="false" customHeight="false" outlineLevel="0" collapsed="false">
      <c r="A324" s="45" t="n">
        <v>46121</v>
      </c>
      <c r="B324" s="46" t="n">
        <v>502.77</v>
      </c>
      <c r="C324" s="47" t="s">
        <v>3629</v>
      </c>
      <c r="D324" s="47" t="s">
        <v>3508</v>
      </c>
      <c r="E324" s="47" t="s">
        <v>3553</v>
      </c>
      <c r="G324" s="47" t="n">
        <f aca="false">MONTH(A324)</f>
        <v>4</v>
      </c>
      <c r="H324" s="47" t="n">
        <f aca="false">YEAR(Tabela1[[#This Row],[FECHA]])</f>
        <v>2026</v>
      </c>
      <c r="I324" s="47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325" customFormat="false" ht="15" hidden="false" customHeight="false" outlineLevel="0" collapsed="false">
      <c r="A325" s="41" t="n">
        <v>46121</v>
      </c>
      <c r="B325" s="39" t="n">
        <v>90</v>
      </c>
      <c r="C325" s="38" t="s">
        <v>3562</v>
      </c>
      <c r="D325" s="38" t="s">
        <v>3507</v>
      </c>
      <c r="E325" s="38" t="s">
        <v>3530</v>
      </c>
      <c r="G325" s="38" t="n">
        <f aca="false">MONTH(A325)</f>
        <v>4</v>
      </c>
      <c r="H325" s="38" t="n">
        <f aca="false">YEAR(Tabela1[[#This Row],[FECHA]])</f>
        <v>2026</v>
      </c>
      <c r="I3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6" customFormat="false" ht="15" hidden="false" customHeight="false" outlineLevel="0" collapsed="false">
      <c r="A326" s="41" t="n">
        <v>46122</v>
      </c>
      <c r="B326" s="39" t="n">
        <v>120</v>
      </c>
      <c r="C326" s="38" t="s">
        <v>3613</v>
      </c>
      <c r="D326" s="38" t="s">
        <v>3507</v>
      </c>
      <c r="E326" s="38" t="s">
        <v>16</v>
      </c>
      <c r="G326" s="38" t="n">
        <f aca="false">MONTH(A326)</f>
        <v>4</v>
      </c>
      <c r="H326" s="38" t="n">
        <f aca="false">YEAR(Tabela1[[#This Row],[FECHA]])</f>
        <v>2026</v>
      </c>
      <c r="I3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7" customFormat="false" ht="15" hidden="false" customHeight="false" outlineLevel="0" collapsed="false">
      <c r="A327" s="41" t="n">
        <v>46122</v>
      </c>
      <c r="B327" s="39" t="n">
        <v>541.22</v>
      </c>
      <c r="C327" s="38" t="s">
        <v>3629</v>
      </c>
      <c r="D327" s="38" t="s">
        <v>3508</v>
      </c>
      <c r="E327" s="38" t="s">
        <v>3553</v>
      </c>
      <c r="G327" s="38" t="n">
        <f aca="false">MONTH(A327)</f>
        <v>4</v>
      </c>
      <c r="H327" s="38" t="n">
        <f aca="false">YEAR(Tabela1[[#This Row],[FECHA]])</f>
        <v>2026</v>
      </c>
      <c r="I327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328" customFormat="false" ht="15" hidden="false" customHeight="false" outlineLevel="0" collapsed="false">
      <c r="A328" s="41" t="n">
        <v>46122</v>
      </c>
      <c r="B328" s="39" t="n">
        <v>180</v>
      </c>
      <c r="C328" s="38" t="s">
        <v>3562</v>
      </c>
      <c r="D328" s="38" t="s">
        <v>3507</v>
      </c>
      <c r="E328" s="38" t="s">
        <v>3530</v>
      </c>
      <c r="G328" s="38" t="n">
        <f aca="false">MONTH(A328)</f>
        <v>4</v>
      </c>
      <c r="H328" s="38" t="n">
        <f aca="false">YEAR(Tabela1[[#This Row],[FECHA]])</f>
        <v>2026</v>
      </c>
      <c r="I3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9" customFormat="false" ht="15" hidden="false" customHeight="false" outlineLevel="0" collapsed="false">
      <c r="A329" s="41" t="n">
        <v>46122</v>
      </c>
      <c r="B329" s="39" t="n">
        <v>50</v>
      </c>
      <c r="C329" s="38" t="s">
        <v>3630</v>
      </c>
      <c r="D329" s="38" t="s">
        <v>3500</v>
      </c>
      <c r="E329" s="38" t="s">
        <v>3511</v>
      </c>
      <c r="G329" s="38" t="n">
        <f aca="false">MONTH(A329)</f>
        <v>4</v>
      </c>
      <c r="H329" s="38" t="n">
        <f aca="false">YEAR(Tabela1[[#This Row],[FECHA]])</f>
        <v>2026</v>
      </c>
      <c r="I3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0" customFormat="false" ht="15" hidden="false" customHeight="false" outlineLevel="0" collapsed="false">
      <c r="A330" s="41" t="n">
        <v>46122</v>
      </c>
      <c r="B330" s="39" t="n">
        <v>1545</v>
      </c>
      <c r="C330" s="38" t="s">
        <v>3585</v>
      </c>
      <c r="D330" s="38" t="s">
        <v>3507</v>
      </c>
      <c r="E330" s="38" t="s">
        <v>3519</v>
      </c>
      <c r="G330" s="38" t="n">
        <f aca="false">MONTH(A330)</f>
        <v>4</v>
      </c>
      <c r="H330" s="38" t="n">
        <f aca="false">YEAR(Tabela1[[#This Row],[FECHA]])</f>
        <v>2026</v>
      </c>
      <c r="I3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1" customFormat="false" ht="15" hidden="false" customHeight="false" outlineLevel="0" collapsed="false">
      <c r="A331" s="41" t="n">
        <v>46122</v>
      </c>
      <c r="B331" s="39" t="n">
        <v>129.96</v>
      </c>
      <c r="C331" s="38" t="s">
        <v>35</v>
      </c>
      <c r="D331" s="38" t="s">
        <v>3503</v>
      </c>
      <c r="E331" s="38" t="s">
        <v>3515</v>
      </c>
      <c r="G331" s="38" t="n">
        <f aca="false">MONTH(A331)</f>
        <v>4</v>
      </c>
      <c r="H331" s="38" t="n">
        <f aca="false">YEAR(Tabela1[[#This Row],[FECHA]])</f>
        <v>2026</v>
      </c>
      <c r="I3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2" customFormat="false" ht="15" hidden="false" customHeight="false" outlineLevel="0" collapsed="false">
      <c r="A332" s="41" t="n">
        <v>46123</v>
      </c>
      <c r="B332" s="39" t="n">
        <v>50</v>
      </c>
      <c r="C332" s="38" t="s">
        <v>3631</v>
      </c>
      <c r="D332" s="38" t="s">
        <v>3500</v>
      </c>
      <c r="E332" s="38" t="s">
        <v>3511</v>
      </c>
      <c r="G332" s="38" t="n">
        <f aca="false">MONTH(A332)</f>
        <v>4</v>
      </c>
      <c r="H332" s="38" t="n">
        <f aca="false">YEAR(Tabela1[[#This Row],[FECHA]])</f>
        <v>2026</v>
      </c>
      <c r="I3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3" customFormat="false" ht="15" hidden="false" customHeight="false" outlineLevel="0" collapsed="false">
      <c r="A333" s="41" t="n">
        <v>46125</v>
      </c>
      <c r="B333" s="39" t="n">
        <v>793.54</v>
      </c>
      <c r="C333" s="38" t="s">
        <v>35</v>
      </c>
      <c r="D333" s="38" t="s">
        <v>3503</v>
      </c>
      <c r="E333" s="38" t="s">
        <v>3515</v>
      </c>
      <c r="G333" s="38" t="n">
        <f aca="false">MONTH(A333)</f>
        <v>4</v>
      </c>
      <c r="H333" s="38" t="n">
        <f aca="false">YEAR(Tabela1[[#This Row],[FECHA]])</f>
        <v>2026</v>
      </c>
      <c r="I3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4" customFormat="false" ht="15" hidden="false" customHeight="false" outlineLevel="0" collapsed="false">
      <c r="A334" s="41" t="n">
        <v>46125</v>
      </c>
      <c r="B334" s="39" t="n">
        <v>120</v>
      </c>
      <c r="C334" s="38" t="s">
        <v>3562</v>
      </c>
      <c r="D334" s="38" t="s">
        <v>3507</v>
      </c>
      <c r="E334" s="38" t="s">
        <v>3530</v>
      </c>
      <c r="G334" s="38" t="n">
        <f aca="false">MONTH(A334)</f>
        <v>4</v>
      </c>
      <c r="H334" s="38" t="n">
        <f aca="false">YEAR(Tabela1[[#This Row],[FECHA]])</f>
        <v>2026</v>
      </c>
      <c r="I3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5" customFormat="false" ht="15" hidden="false" customHeight="false" outlineLevel="0" collapsed="false">
      <c r="A335" s="41" t="n">
        <v>46125</v>
      </c>
      <c r="B335" s="39" t="n">
        <v>30</v>
      </c>
      <c r="C335" s="38" t="s">
        <v>3562</v>
      </c>
      <c r="D335" s="38" t="s">
        <v>3507</v>
      </c>
      <c r="E335" s="38" t="s">
        <v>3530</v>
      </c>
      <c r="G335" s="38" t="n">
        <f aca="false">MONTH(A335)</f>
        <v>4</v>
      </c>
      <c r="H335" s="38" t="n">
        <f aca="false">YEAR(Tabela1[[#This Row],[FECHA]])</f>
        <v>2026</v>
      </c>
      <c r="I3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6" customFormat="false" ht="15" hidden="false" customHeight="false" outlineLevel="0" collapsed="false">
      <c r="A336" s="41" t="n">
        <v>46126</v>
      </c>
      <c r="B336" s="39" t="n">
        <v>150</v>
      </c>
      <c r="C336" s="38" t="s">
        <v>3613</v>
      </c>
      <c r="D336" s="38" t="s">
        <v>3507</v>
      </c>
      <c r="E336" s="38" t="s">
        <v>16</v>
      </c>
      <c r="G336" s="38" t="n">
        <f aca="false">MONTH(A336)</f>
        <v>4</v>
      </c>
      <c r="H336" s="38" t="n">
        <f aca="false">YEAR(Tabela1[[#This Row],[FECHA]])</f>
        <v>2026</v>
      </c>
      <c r="I3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7" customFormat="false" ht="15" hidden="false" customHeight="false" outlineLevel="0" collapsed="false">
      <c r="A337" s="41" t="n">
        <v>46127</v>
      </c>
      <c r="B337" s="39" t="n">
        <v>1000</v>
      </c>
      <c r="C337" s="38" t="s">
        <v>3568</v>
      </c>
      <c r="D337" s="38" t="s">
        <v>3505</v>
      </c>
      <c r="E337" s="38" t="s">
        <v>3517</v>
      </c>
      <c r="G337" s="38" t="n">
        <f aca="false">MONTH(A337)</f>
        <v>4</v>
      </c>
      <c r="H337" s="38" t="n">
        <f aca="false">YEAR(Tabela1[[#This Row],[FECHA]])</f>
        <v>2026</v>
      </c>
      <c r="I3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8" customFormat="false" ht="15" hidden="false" customHeight="false" outlineLevel="0" collapsed="false">
      <c r="A338" s="41" t="n">
        <v>46127</v>
      </c>
      <c r="B338" s="39" t="n">
        <v>1000</v>
      </c>
      <c r="C338" s="38" t="s">
        <v>3597</v>
      </c>
      <c r="D338" s="38" t="s">
        <v>3505</v>
      </c>
      <c r="E338" s="38" t="s">
        <v>3517</v>
      </c>
      <c r="G338" s="38" t="n">
        <f aca="false">MONTH(A338)</f>
        <v>4</v>
      </c>
      <c r="H338" s="38" t="n">
        <f aca="false">YEAR(Tabela1[[#This Row],[FECHA]])</f>
        <v>2026</v>
      </c>
      <c r="I3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9" customFormat="false" ht="15" hidden="false" customHeight="false" outlineLevel="0" collapsed="false">
      <c r="A339" s="41" t="n">
        <v>46127</v>
      </c>
      <c r="B339" s="39" t="n">
        <v>1000</v>
      </c>
      <c r="C339" s="38" t="s">
        <v>632</v>
      </c>
      <c r="D339" s="38" t="s">
        <v>3505</v>
      </c>
      <c r="E339" s="38" t="s">
        <v>3541</v>
      </c>
      <c r="G339" s="38" t="n">
        <f aca="false">MONTH(A339)</f>
        <v>4</v>
      </c>
      <c r="H339" s="38" t="n">
        <f aca="false">YEAR(Tabela1[[#This Row],[FECHA]])</f>
        <v>2026</v>
      </c>
      <c r="I3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0" customFormat="false" ht="15" hidden="false" customHeight="false" outlineLevel="0" collapsed="false">
      <c r="A340" s="41" t="n">
        <v>46127</v>
      </c>
      <c r="B340" s="39" t="n">
        <v>1000</v>
      </c>
      <c r="C340" s="38" t="s">
        <v>3567</v>
      </c>
      <c r="D340" s="38" t="s">
        <v>3505</v>
      </c>
      <c r="E340" s="38" t="s">
        <v>3517</v>
      </c>
      <c r="G340" s="38" t="n">
        <f aca="false">MONTH(A340)</f>
        <v>4</v>
      </c>
      <c r="H340" s="38" t="n">
        <f aca="false">YEAR(Tabela1[[#This Row],[FECHA]])</f>
        <v>2026</v>
      </c>
      <c r="I3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1" customFormat="false" ht="15" hidden="false" customHeight="false" outlineLevel="0" collapsed="false">
      <c r="A341" s="41" t="n">
        <v>46127</v>
      </c>
      <c r="B341" s="39" t="n">
        <v>1000</v>
      </c>
      <c r="C341" s="38" t="s">
        <v>3590</v>
      </c>
      <c r="D341" s="38" t="s">
        <v>3505</v>
      </c>
      <c r="E341" s="38" t="s">
        <v>3541</v>
      </c>
      <c r="G341" s="38" t="n">
        <f aca="false">MONTH(A341)</f>
        <v>4</v>
      </c>
      <c r="H341" s="38" t="n">
        <f aca="false">YEAR(Tabela1[[#This Row],[FECHA]])</f>
        <v>2026</v>
      </c>
      <c r="I3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2" customFormat="false" ht="15" hidden="false" customHeight="false" outlineLevel="0" collapsed="false">
      <c r="A342" s="41" t="n">
        <v>46127</v>
      </c>
      <c r="B342" s="39" t="n">
        <v>5917.93</v>
      </c>
      <c r="D342" s="38" t="s">
        <v>3502</v>
      </c>
      <c r="E342" s="38" t="s">
        <v>3525</v>
      </c>
      <c r="G342" s="38" t="n">
        <f aca="false">MONTH(A342)</f>
        <v>4</v>
      </c>
      <c r="H342" s="38" t="n">
        <f aca="false">YEAR(Tabela1[[#This Row],[FECHA]])</f>
        <v>2026</v>
      </c>
      <c r="I3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3" customFormat="false" ht="15" hidden="false" customHeight="false" outlineLevel="0" collapsed="false">
      <c r="A343" s="41" t="n">
        <v>46127</v>
      </c>
      <c r="B343" s="39" t="n">
        <v>1442.69</v>
      </c>
      <c r="D343" s="38" t="s">
        <v>3506</v>
      </c>
      <c r="E343" s="38" t="s">
        <v>3529</v>
      </c>
      <c r="G343" s="38" t="n">
        <f aca="false">MONTH(A343)</f>
        <v>4</v>
      </c>
      <c r="H343" s="38" t="n">
        <f aca="false">YEAR(Tabela1[[#This Row],[FECHA]])</f>
        <v>2026</v>
      </c>
      <c r="I343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344" customFormat="false" ht="15" hidden="false" customHeight="false" outlineLevel="0" collapsed="false">
      <c r="A344" s="41" t="n">
        <v>46127</v>
      </c>
      <c r="B344" s="39" t="n">
        <v>60</v>
      </c>
      <c r="C344" s="38" t="s">
        <v>3613</v>
      </c>
      <c r="D344" s="38" t="s">
        <v>3507</v>
      </c>
      <c r="E344" s="38" t="s">
        <v>16</v>
      </c>
      <c r="G344" s="38" t="n">
        <f aca="false">MONTH(A344)</f>
        <v>4</v>
      </c>
      <c r="H344" s="38" t="n">
        <f aca="false">YEAR(Tabela1[[#This Row],[FECHA]])</f>
        <v>2026</v>
      </c>
      <c r="I3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5" customFormat="false" ht="15" hidden="false" customHeight="false" outlineLevel="0" collapsed="false">
      <c r="A345" s="41" t="n">
        <v>46127</v>
      </c>
      <c r="B345" s="39" t="n">
        <v>530</v>
      </c>
      <c r="C345" s="38" t="s">
        <v>2777</v>
      </c>
      <c r="D345" s="38" t="s">
        <v>3500</v>
      </c>
      <c r="E345" s="38" t="s">
        <v>3511</v>
      </c>
      <c r="G345" s="38" t="n">
        <f aca="false">MONTH(A345)</f>
        <v>4</v>
      </c>
      <c r="H345" s="38" t="n">
        <f aca="false">YEAR(Tabela1[[#This Row],[FECHA]])</f>
        <v>2026</v>
      </c>
      <c r="I3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6" customFormat="false" ht="15" hidden="false" customHeight="false" outlineLevel="0" collapsed="false">
      <c r="A346" s="41" t="n">
        <v>46127</v>
      </c>
      <c r="B346" s="39" t="n">
        <v>60</v>
      </c>
      <c r="C346" s="38" t="s">
        <v>3562</v>
      </c>
      <c r="D346" s="38" t="s">
        <v>3507</v>
      </c>
      <c r="E346" s="38" t="s">
        <v>3530</v>
      </c>
      <c r="G346" s="38" t="n">
        <f aca="false">MONTH(A346)</f>
        <v>4</v>
      </c>
      <c r="H346" s="38" t="n">
        <f aca="false">YEAR(Tabela1[[#This Row],[FECHA]])</f>
        <v>2026</v>
      </c>
      <c r="I3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7" customFormat="false" ht="15" hidden="false" customHeight="false" outlineLevel="0" collapsed="false">
      <c r="A347" s="41" t="n">
        <v>46128</v>
      </c>
      <c r="B347" s="39" t="n">
        <v>65.9</v>
      </c>
      <c r="D347" s="38" t="s">
        <v>3508</v>
      </c>
      <c r="E347" s="38" t="s">
        <v>3558</v>
      </c>
      <c r="G347" s="38" t="n">
        <f aca="false">MONTH(A347)</f>
        <v>4</v>
      </c>
      <c r="H347" s="38" t="n">
        <f aca="false">YEAR(Tabela1[[#This Row],[FECHA]])</f>
        <v>2026</v>
      </c>
      <c r="I347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348" customFormat="false" ht="15" hidden="false" customHeight="false" outlineLevel="0" collapsed="false">
      <c r="A348" s="41" t="n">
        <v>46128</v>
      </c>
      <c r="B348" s="39" t="n">
        <v>54.72</v>
      </c>
      <c r="D348" s="38" t="s">
        <v>3508</v>
      </c>
      <c r="E348" s="38" t="s">
        <v>3537</v>
      </c>
      <c r="G348" s="38" t="n">
        <f aca="false">MONTH(A348)</f>
        <v>4</v>
      </c>
      <c r="H348" s="38" t="n">
        <f aca="false">YEAR(Tabela1[[#This Row],[FECHA]])</f>
        <v>2026</v>
      </c>
      <c r="I348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349" customFormat="false" ht="15" hidden="false" customHeight="false" outlineLevel="0" collapsed="false">
      <c r="A349" s="41" t="n">
        <v>46128</v>
      </c>
      <c r="B349" s="39" t="n">
        <v>30</v>
      </c>
      <c r="C349" s="38" t="s">
        <v>3562</v>
      </c>
      <c r="D349" s="38" t="s">
        <v>3507</v>
      </c>
      <c r="E349" s="38" t="s">
        <v>3530</v>
      </c>
      <c r="G349" s="38" t="n">
        <f aca="false">MONTH(A349)</f>
        <v>4</v>
      </c>
      <c r="H349" s="38" t="n">
        <f aca="false">YEAR(Tabela1[[#This Row],[FECHA]])</f>
        <v>2026</v>
      </c>
      <c r="I3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0" customFormat="false" ht="15" hidden="false" customHeight="false" outlineLevel="0" collapsed="false">
      <c r="A350" s="41" t="n">
        <v>46128</v>
      </c>
      <c r="B350" s="39" t="n">
        <v>30</v>
      </c>
      <c r="C350" s="38" t="s">
        <v>3613</v>
      </c>
      <c r="D350" s="38" t="s">
        <v>3507</v>
      </c>
      <c r="E350" s="38" t="s">
        <v>16</v>
      </c>
      <c r="G350" s="38" t="n">
        <f aca="false">MONTH(A350)</f>
        <v>4</v>
      </c>
      <c r="H350" s="38" t="n">
        <f aca="false">YEAR(Tabela1[[#This Row],[FECHA]])</f>
        <v>2026</v>
      </c>
      <c r="I3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1" customFormat="false" ht="15" hidden="false" customHeight="false" outlineLevel="0" collapsed="false">
      <c r="A351" s="41" t="n">
        <v>46128</v>
      </c>
      <c r="B351" s="39" t="n">
        <v>1562.41</v>
      </c>
      <c r="C351" s="38" t="s">
        <v>35</v>
      </c>
      <c r="D351" s="38" t="s">
        <v>3503</v>
      </c>
      <c r="E351" s="38" t="s">
        <v>3515</v>
      </c>
      <c r="G351" s="38" t="n">
        <f aca="false">MONTH(A351)</f>
        <v>4</v>
      </c>
      <c r="H351" s="38" t="n">
        <f aca="false">YEAR(Tabela1[[#This Row],[FECHA]])</f>
        <v>2026</v>
      </c>
      <c r="I3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2" customFormat="false" ht="15" hidden="false" customHeight="false" outlineLevel="0" collapsed="false">
      <c r="A352" s="41" t="n">
        <v>46128</v>
      </c>
      <c r="B352" s="39" t="n">
        <v>1</v>
      </c>
      <c r="D352" s="38" t="s">
        <v>3508</v>
      </c>
      <c r="E352" s="38" t="s">
        <v>3551</v>
      </c>
      <c r="G352" s="38" t="n">
        <f aca="false">MONTH(A352)</f>
        <v>4</v>
      </c>
      <c r="H352" s="38" t="n">
        <f aca="false">YEAR(Tabela1[[#This Row],[FECHA]])</f>
        <v>2026</v>
      </c>
      <c r="I352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353" customFormat="false" ht="15" hidden="false" customHeight="false" outlineLevel="0" collapsed="false">
      <c r="A353" s="41" t="n">
        <v>46128</v>
      </c>
      <c r="B353" s="39" t="n">
        <v>51.76</v>
      </c>
      <c r="D353" s="38" t="s">
        <v>3508</v>
      </c>
      <c r="E353" s="38" t="s">
        <v>3547</v>
      </c>
      <c r="G353" s="38" t="n">
        <f aca="false">MONTH(A353)</f>
        <v>4</v>
      </c>
      <c r="H353" s="38" t="n">
        <f aca="false">YEAR(Tabela1[[#This Row],[FECHA]])</f>
        <v>2026</v>
      </c>
      <c r="I353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354" customFormat="false" ht="15" hidden="false" customHeight="false" outlineLevel="0" collapsed="false">
      <c r="A354" s="41" t="n">
        <v>46129</v>
      </c>
      <c r="B354" s="39" t="n">
        <v>120</v>
      </c>
      <c r="C354" s="38" t="s">
        <v>3562</v>
      </c>
      <c r="D354" s="38" t="s">
        <v>3507</v>
      </c>
      <c r="E354" s="38" t="s">
        <v>3530</v>
      </c>
      <c r="G354" s="38" t="n">
        <f aca="false">MONTH(A354)</f>
        <v>4</v>
      </c>
      <c r="H354" s="38" t="n">
        <f aca="false">YEAR(Tabela1[[#This Row],[FECHA]])</f>
        <v>2026</v>
      </c>
      <c r="I3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5" customFormat="false" ht="15" hidden="false" customHeight="false" outlineLevel="0" collapsed="false">
      <c r="A355" s="41" t="n">
        <v>46129</v>
      </c>
      <c r="B355" s="39" t="n">
        <v>90</v>
      </c>
      <c r="C355" s="38" t="s">
        <v>3562</v>
      </c>
      <c r="D355" s="38" t="s">
        <v>3507</v>
      </c>
      <c r="E355" s="38" t="s">
        <v>3530</v>
      </c>
      <c r="G355" s="38" t="n">
        <f aca="false">MONTH(A355)</f>
        <v>4</v>
      </c>
      <c r="H355" s="38" t="n">
        <f aca="false">YEAR(Tabela1[[#This Row],[FECHA]])</f>
        <v>2026</v>
      </c>
      <c r="I3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6" customFormat="false" ht="15" hidden="false" customHeight="false" outlineLevel="0" collapsed="false">
      <c r="A356" s="41" t="n">
        <v>46130</v>
      </c>
      <c r="B356" s="39" t="n">
        <v>80</v>
      </c>
      <c r="C356" s="38" t="s">
        <v>3615</v>
      </c>
      <c r="D356" s="38" t="s">
        <v>3504</v>
      </c>
      <c r="E356" s="38" t="s">
        <v>3534</v>
      </c>
      <c r="G356" s="38" t="n">
        <f aca="false">MONTH(A356)</f>
        <v>4</v>
      </c>
      <c r="H356" s="38" t="n">
        <f aca="false">YEAR(Tabela1[[#This Row],[FECHA]])</f>
        <v>2026</v>
      </c>
      <c r="I3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7" customFormat="false" ht="15" hidden="false" customHeight="false" outlineLevel="0" collapsed="false">
      <c r="A357" s="41" t="n">
        <v>46130</v>
      </c>
      <c r="B357" s="39" t="n">
        <v>1550.51</v>
      </c>
      <c r="C357" s="38" t="s">
        <v>35</v>
      </c>
      <c r="D357" s="38" t="s">
        <v>3503</v>
      </c>
      <c r="E357" s="38" t="s">
        <v>3515</v>
      </c>
      <c r="G357" s="38" t="n">
        <f aca="false">MONTH(A357)</f>
        <v>4</v>
      </c>
      <c r="H357" s="38" t="n">
        <f aca="false">YEAR(Tabela1[[#This Row],[FECHA]])</f>
        <v>2026</v>
      </c>
      <c r="I3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8" customFormat="false" ht="15" hidden="false" customHeight="false" outlineLevel="0" collapsed="false">
      <c r="A358" s="41" t="n">
        <v>46130</v>
      </c>
      <c r="B358" s="39" t="n">
        <v>128.59</v>
      </c>
      <c r="C358" s="38" t="s">
        <v>35</v>
      </c>
      <c r="D358" s="38" t="s">
        <v>3503</v>
      </c>
      <c r="E358" s="38" t="s">
        <v>3515</v>
      </c>
      <c r="G358" s="38" t="n">
        <f aca="false">MONTH(A358)</f>
        <v>4</v>
      </c>
      <c r="H358" s="38" t="n">
        <f aca="false">YEAR(Tabela1[[#This Row],[FECHA]])</f>
        <v>2026</v>
      </c>
      <c r="I3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9" customFormat="false" ht="15" hidden="false" customHeight="false" outlineLevel="0" collapsed="false">
      <c r="A359" s="41" t="n">
        <v>46131</v>
      </c>
      <c r="B359" s="39" t="n">
        <v>199</v>
      </c>
      <c r="D359" s="38" t="s">
        <v>3501</v>
      </c>
      <c r="E359" s="38" t="s">
        <v>3545</v>
      </c>
      <c r="G359" s="38" t="n">
        <f aca="false">MONTH(A359)</f>
        <v>4</v>
      </c>
      <c r="H359" s="38" t="n">
        <f aca="false">YEAR(Tabela1[[#This Row],[FECHA]])</f>
        <v>2026</v>
      </c>
      <c r="I359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360" customFormat="false" ht="15" hidden="false" customHeight="false" outlineLevel="0" collapsed="false">
      <c r="A360" s="41" t="n">
        <v>46132</v>
      </c>
      <c r="B360" s="39" t="n">
        <v>1415</v>
      </c>
      <c r="C360" s="38" t="s">
        <v>3585</v>
      </c>
      <c r="D360" s="38" t="s">
        <v>3507</v>
      </c>
      <c r="E360" s="38" t="s">
        <v>3519</v>
      </c>
      <c r="G360" s="38" t="n">
        <f aca="false">MONTH(A360)</f>
        <v>4</v>
      </c>
      <c r="H360" s="38" t="n">
        <f aca="false">YEAR(Tabela1[[#This Row],[FECHA]])</f>
        <v>2026</v>
      </c>
      <c r="I3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1" customFormat="false" ht="15" hidden="false" customHeight="false" outlineLevel="0" collapsed="false">
      <c r="A361" s="41" t="n">
        <v>46132</v>
      </c>
      <c r="B361" s="39" t="n">
        <v>30</v>
      </c>
      <c r="C361" s="38" t="s">
        <v>3613</v>
      </c>
      <c r="D361" s="38" t="s">
        <v>3507</v>
      </c>
      <c r="E361" s="38" t="s">
        <v>16</v>
      </c>
      <c r="G361" s="38" t="n">
        <f aca="false">MONTH(A361)</f>
        <v>4</v>
      </c>
      <c r="H361" s="38" t="n">
        <f aca="false">YEAR(Tabela1[[#This Row],[FECHA]])</f>
        <v>2026</v>
      </c>
      <c r="I3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2" customFormat="false" ht="15" hidden="false" customHeight="false" outlineLevel="0" collapsed="false">
      <c r="A362" s="41" t="n">
        <v>46132</v>
      </c>
      <c r="B362" s="39" t="n">
        <v>100</v>
      </c>
      <c r="C362" s="38" t="s">
        <v>3632</v>
      </c>
      <c r="D362" s="38" t="s">
        <v>3500</v>
      </c>
      <c r="E362" s="38" t="s">
        <v>3511</v>
      </c>
      <c r="G362" s="38" t="n">
        <f aca="false">MONTH(A362)</f>
        <v>4</v>
      </c>
      <c r="H362" s="38" t="n">
        <f aca="false">YEAR(Tabela1[[#This Row],[FECHA]])</f>
        <v>2026</v>
      </c>
      <c r="I3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3" customFormat="false" ht="15" hidden="false" customHeight="false" outlineLevel="0" collapsed="false">
      <c r="A363" s="41" t="n">
        <v>46132</v>
      </c>
      <c r="B363" s="39" t="n">
        <v>250</v>
      </c>
      <c r="C363" s="38" t="s">
        <v>422</v>
      </c>
      <c r="D363" s="38" t="s">
        <v>3500</v>
      </c>
      <c r="E363" s="38" t="s">
        <v>16</v>
      </c>
      <c r="G363" s="38" t="n">
        <f aca="false">MONTH(A363)</f>
        <v>4</v>
      </c>
      <c r="H363" s="38" t="n">
        <f aca="false">YEAR(Tabela1[[#This Row],[FECHA]])</f>
        <v>2026</v>
      </c>
      <c r="I3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4" customFormat="false" ht="15" hidden="false" customHeight="false" outlineLevel="0" collapsed="false">
      <c r="A364" s="41" t="n">
        <v>46133</v>
      </c>
      <c r="B364" s="39" t="n">
        <v>1550.75</v>
      </c>
      <c r="C364" s="38" t="s">
        <v>35</v>
      </c>
      <c r="D364" s="38" t="s">
        <v>3503</v>
      </c>
      <c r="E364" s="38" t="s">
        <v>3515</v>
      </c>
      <c r="G364" s="38" t="n">
        <f aca="false">MONTH(A364)</f>
        <v>4</v>
      </c>
      <c r="H364" s="38" t="n">
        <f aca="false">YEAR(Tabela1[[#This Row],[FECHA]])</f>
        <v>2026</v>
      </c>
      <c r="I3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5" customFormat="false" ht="15" hidden="false" customHeight="false" outlineLevel="0" collapsed="false">
      <c r="A365" s="41" t="n">
        <v>46133</v>
      </c>
      <c r="B365" s="39" t="n">
        <v>50</v>
      </c>
      <c r="C365" s="38" t="s">
        <v>3632</v>
      </c>
      <c r="D365" s="38" t="s">
        <v>3500</v>
      </c>
      <c r="E365" s="38" t="s">
        <v>3511</v>
      </c>
      <c r="G365" s="38" t="n">
        <f aca="false">MONTH(A365)</f>
        <v>4</v>
      </c>
      <c r="H365" s="38" t="n">
        <f aca="false">YEAR(Tabela1[[#This Row],[FECHA]])</f>
        <v>2026</v>
      </c>
      <c r="I3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6" customFormat="false" ht="15" hidden="false" customHeight="false" outlineLevel="0" collapsed="false">
      <c r="A366" s="41" t="n">
        <v>46134</v>
      </c>
      <c r="B366" s="39" t="n">
        <v>104.9</v>
      </c>
      <c r="C366" s="48"/>
      <c r="D366" s="38" t="s">
        <v>3501</v>
      </c>
      <c r="E366" s="38" t="s">
        <v>3545</v>
      </c>
      <c r="G366" s="38" t="n">
        <f aca="false">MONTH(A366)</f>
        <v>4</v>
      </c>
      <c r="H366" s="38" t="n">
        <f aca="false">YEAR(Tabela1[[#This Row],[FECHA]])</f>
        <v>2026</v>
      </c>
      <c r="I366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367" customFormat="false" ht="15" hidden="false" customHeight="false" outlineLevel="0" collapsed="false">
      <c r="A367" s="41" t="n">
        <v>46134</v>
      </c>
      <c r="B367" s="39" t="n">
        <v>180</v>
      </c>
      <c r="C367" s="38" t="s">
        <v>3562</v>
      </c>
      <c r="D367" s="38" t="s">
        <v>3507</v>
      </c>
      <c r="E367" s="38" t="s">
        <v>3530</v>
      </c>
      <c r="G367" s="38" t="n">
        <f aca="false">MONTH(A367)</f>
        <v>4</v>
      </c>
      <c r="H367" s="38" t="n">
        <f aca="false">YEAR(Tabela1[[#This Row],[FECHA]])</f>
        <v>2026</v>
      </c>
      <c r="I3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8" customFormat="false" ht="15" hidden="false" customHeight="false" outlineLevel="0" collapsed="false">
      <c r="A368" s="41" t="n">
        <v>46134</v>
      </c>
      <c r="B368" s="39" t="n">
        <v>140</v>
      </c>
      <c r="C368" s="38" t="s">
        <v>3562</v>
      </c>
      <c r="D368" s="38" t="s">
        <v>3507</v>
      </c>
      <c r="E368" s="38" t="s">
        <v>3530</v>
      </c>
      <c r="G368" s="38" t="n">
        <f aca="false">MONTH(A368)</f>
        <v>4</v>
      </c>
      <c r="H368" s="38" t="n">
        <f aca="false">YEAR(Tabela1[[#This Row],[FECHA]])</f>
        <v>2026</v>
      </c>
      <c r="I3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9" customFormat="false" ht="15" hidden="false" customHeight="false" outlineLevel="0" collapsed="false">
      <c r="A369" s="41" t="n">
        <v>46134</v>
      </c>
      <c r="B369" s="39" t="n">
        <v>120</v>
      </c>
      <c r="C369" s="38" t="s">
        <v>3562</v>
      </c>
      <c r="D369" s="38" t="s">
        <v>3507</v>
      </c>
      <c r="E369" s="38" t="s">
        <v>3530</v>
      </c>
      <c r="G369" s="38" t="n">
        <f aca="false">MONTH(A369)</f>
        <v>4</v>
      </c>
      <c r="H369" s="38" t="n">
        <f aca="false">YEAR(Tabela1[[#This Row],[FECHA]])</f>
        <v>2026</v>
      </c>
      <c r="I3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0" customFormat="false" ht="15" hidden="false" customHeight="false" outlineLevel="0" collapsed="false">
      <c r="A370" s="41" t="n">
        <v>46135</v>
      </c>
      <c r="B370" s="39" t="n">
        <v>90</v>
      </c>
      <c r="C370" s="38" t="s">
        <v>3562</v>
      </c>
      <c r="D370" s="38" t="s">
        <v>3507</v>
      </c>
      <c r="E370" s="38" t="s">
        <v>3530</v>
      </c>
      <c r="G370" s="38" t="n">
        <f aca="false">MONTH(A370)</f>
        <v>4</v>
      </c>
      <c r="H370" s="38" t="n">
        <f aca="false">YEAR(Tabela1[[#This Row],[FECHA]])</f>
        <v>2026</v>
      </c>
      <c r="I3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1" customFormat="false" ht="15" hidden="false" customHeight="false" outlineLevel="0" collapsed="false">
      <c r="A371" s="41" t="n">
        <v>46135</v>
      </c>
      <c r="B371" s="39" t="n">
        <v>50</v>
      </c>
      <c r="C371" s="38" t="s">
        <v>3562</v>
      </c>
      <c r="D371" s="38" t="s">
        <v>3507</v>
      </c>
      <c r="E371" s="38" t="s">
        <v>3530</v>
      </c>
      <c r="G371" s="38" t="n">
        <f aca="false">MONTH(A371)</f>
        <v>4</v>
      </c>
      <c r="H371" s="38" t="n">
        <f aca="false">YEAR(Tabela1[[#This Row],[FECHA]])</f>
        <v>2026</v>
      </c>
      <c r="I3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2" customFormat="false" ht="15" hidden="false" customHeight="false" outlineLevel="0" collapsed="false">
      <c r="A372" s="41" t="n">
        <v>46135</v>
      </c>
      <c r="B372" s="39" t="n">
        <v>30</v>
      </c>
      <c r="C372" s="38" t="s">
        <v>3562</v>
      </c>
      <c r="D372" s="38" t="s">
        <v>3507</v>
      </c>
      <c r="E372" s="38" t="s">
        <v>3530</v>
      </c>
      <c r="G372" s="38" t="n">
        <f aca="false">MONTH(A372)</f>
        <v>4</v>
      </c>
      <c r="H372" s="38" t="n">
        <f aca="false">YEAR(Tabela1[[#This Row],[FECHA]])</f>
        <v>2026</v>
      </c>
      <c r="I3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3" customFormat="false" ht="15" hidden="false" customHeight="false" outlineLevel="0" collapsed="false">
      <c r="A373" s="41" t="n">
        <v>46135</v>
      </c>
      <c r="B373" s="39" t="n">
        <v>1551.29</v>
      </c>
      <c r="C373" s="38" t="s">
        <v>35</v>
      </c>
      <c r="D373" s="38" t="s">
        <v>3503</v>
      </c>
      <c r="E373" s="38" t="s">
        <v>3515</v>
      </c>
      <c r="G373" s="38" t="n">
        <f aca="false">MONTH(A373)</f>
        <v>4</v>
      </c>
      <c r="H373" s="38" t="n">
        <f aca="false">YEAR(Tabela1[[#This Row],[FECHA]])</f>
        <v>2026</v>
      </c>
      <c r="I3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4" customFormat="false" ht="15" hidden="false" customHeight="false" outlineLevel="0" collapsed="false">
      <c r="A374" s="41" t="n">
        <v>46135</v>
      </c>
      <c r="B374" s="39" t="n">
        <v>330</v>
      </c>
      <c r="C374" s="38" t="s">
        <v>2360</v>
      </c>
      <c r="D374" s="38" t="s">
        <v>3500</v>
      </c>
      <c r="E374" s="38" t="s">
        <v>3538</v>
      </c>
      <c r="G374" s="38" t="n">
        <f aca="false">MONTH(A374)</f>
        <v>4</v>
      </c>
      <c r="H374" s="38" t="n">
        <f aca="false">YEAR(Tabela1[[#This Row],[FECHA]])</f>
        <v>2026</v>
      </c>
      <c r="I3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5" customFormat="false" ht="15" hidden="false" customHeight="false" outlineLevel="0" collapsed="false">
      <c r="A375" s="41" t="n">
        <v>46136</v>
      </c>
      <c r="B375" s="39" t="n">
        <v>150</v>
      </c>
      <c r="C375" s="38" t="s">
        <v>3562</v>
      </c>
      <c r="D375" s="38" t="s">
        <v>3507</v>
      </c>
      <c r="E375" s="38" t="s">
        <v>3530</v>
      </c>
      <c r="G375" s="38" t="n">
        <f aca="false">MONTH(A375)</f>
        <v>4</v>
      </c>
      <c r="H375" s="38" t="n">
        <f aca="false">YEAR(Tabela1[[#This Row],[FECHA]])</f>
        <v>2026</v>
      </c>
      <c r="I3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6" customFormat="false" ht="15" hidden="false" customHeight="false" outlineLevel="0" collapsed="false">
      <c r="A376" s="41" t="n">
        <v>46136</v>
      </c>
      <c r="B376" s="39" t="n">
        <v>100</v>
      </c>
      <c r="C376" s="38" t="s">
        <v>3562</v>
      </c>
      <c r="D376" s="38" t="s">
        <v>3507</v>
      </c>
      <c r="E376" s="38" t="s">
        <v>3530</v>
      </c>
      <c r="G376" s="38" t="n">
        <f aca="false">MONTH(A376)</f>
        <v>4</v>
      </c>
      <c r="H376" s="38" t="n">
        <f aca="false">YEAR(Tabela1[[#This Row],[FECHA]])</f>
        <v>2026</v>
      </c>
      <c r="I3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7" customFormat="false" ht="15" hidden="false" customHeight="false" outlineLevel="0" collapsed="false">
      <c r="A377" s="41" t="n">
        <v>46136</v>
      </c>
      <c r="B377" s="39" t="n">
        <v>150</v>
      </c>
      <c r="C377" s="38" t="s">
        <v>3562</v>
      </c>
      <c r="D377" s="38" t="s">
        <v>3507</v>
      </c>
      <c r="E377" s="38" t="s">
        <v>3530</v>
      </c>
      <c r="G377" s="38" t="n">
        <f aca="false">MONTH(A377)</f>
        <v>4</v>
      </c>
      <c r="H377" s="38" t="n">
        <f aca="false">YEAR(Tabela1[[#This Row],[FECHA]])</f>
        <v>2026</v>
      </c>
      <c r="I3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8" customFormat="false" ht="15" hidden="false" customHeight="false" outlineLevel="0" collapsed="false">
      <c r="A378" s="41" t="n">
        <v>46136</v>
      </c>
      <c r="B378" s="39" t="n">
        <v>1175</v>
      </c>
      <c r="C378" s="38" t="s">
        <v>3585</v>
      </c>
      <c r="D378" s="38" t="s">
        <v>3507</v>
      </c>
      <c r="E378" s="38" t="s">
        <v>3519</v>
      </c>
      <c r="G378" s="38" t="n">
        <f aca="false">MONTH(A378)</f>
        <v>4</v>
      </c>
      <c r="H378" s="38" t="n">
        <f aca="false">YEAR(Tabela1[[#This Row],[FECHA]])</f>
        <v>2026</v>
      </c>
      <c r="I3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9" customFormat="false" ht="15" hidden="false" customHeight="false" outlineLevel="0" collapsed="false">
      <c r="A379" s="41" t="n">
        <v>46137</v>
      </c>
      <c r="B379" s="39" t="n">
        <v>1552.32</v>
      </c>
      <c r="C379" s="38" t="s">
        <v>35</v>
      </c>
      <c r="D379" s="38" t="s">
        <v>3503</v>
      </c>
      <c r="E379" s="38" t="s">
        <v>3515</v>
      </c>
      <c r="G379" s="38" t="n">
        <f aca="false">MONTH(A379)</f>
        <v>4</v>
      </c>
      <c r="H379" s="38" t="n">
        <f aca="false">YEAR(Tabela1[[#This Row],[FECHA]])</f>
        <v>2026</v>
      </c>
      <c r="I3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0" customFormat="false" ht="15" hidden="false" customHeight="false" outlineLevel="0" collapsed="false">
      <c r="A380" s="41" t="n">
        <v>46137</v>
      </c>
      <c r="B380" s="39" t="n">
        <v>60</v>
      </c>
      <c r="C380" s="38" t="s">
        <v>3562</v>
      </c>
      <c r="D380" s="38" t="s">
        <v>3507</v>
      </c>
      <c r="E380" s="38" t="s">
        <v>3530</v>
      </c>
      <c r="G380" s="38" t="n">
        <f aca="false">MONTH(A380)</f>
        <v>4</v>
      </c>
      <c r="H380" s="38" t="n">
        <f aca="false">YEAR(Tabela1[[#This Row],[FECHA]])</f>
        <v>2026</v>
      </c>
      <c r="I3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1" customFormat="false" ht="15" hidden="false" customHeight="false" outlineLevel="0" collapsed="false">
      <c r="A381" s="41" t="n">
        <v>46137</v>
      </c>
      <c r="B381" s="39" t="n">
        <v>48</v>
      </c>
      <c r="C381" s="38" t="s">
        <v>3633</v>
      </c>
      <c r="D381" s="38" t="s">
        <v>3504</v>
      </c>
      <c r="E381" s="38" t="s">
        <v>3534</v>
      </c>
      <c r="G381" s="38" t="n">
        <f aca="false">MONTH(A381)</f>
        <v>4</v>
      </c>
      <c r="H381" s="38" t="n">
        <f aca="false">YEAR(Tabela1[[#This Row],[FECHA]])</f>
        <v>2026</v>
      </c>
      <c r="I3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2" customFormat="false" ht="15" hidden="false" customHeight="false" outlineLevel="0" collapsed="false">
      <c r="A382" s="41" t="n">
        <v>46138</v>
      </c>
      <c r="B382" s="39" t="n">
        <v>100</v>
      </c>
      <c r="D382" s="38" t="s">
        <v>3504</v>
      </c>
      <c r="E382" s="38" t="s">
        <v>3546</v>
      </c>
      <c r="G382" s="38" t="n">
        <f aca="false">MONTH(A382)</f>
        <v>4</v>
      </c>
      <c r="H382" s="38" t="n">
        <f aca="false">YEAR(Tabela1[[#This Row],[FECHA]])</f>
        <v>2026</v>
      </c>
      <c r="I3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3" customFormat="false" ht="15" hidden="false" customHeight="false" outlineLevel="0" collapsed="false">
      <c r="A383" s="41" t="n">
        <v>46138</v>
      </c>
      <c r="B383" s="39" t="n">
        <v>9.9</v>
      </c>
      <c r="D383" s="38" t="s">
        <v>3508</v>
      </c>
      <c r="E383" s="38" t="s">
        <v>3550</v>
      </c>
      <c r="G383" s="38" t="n">
        <f aca="false">MONTH(A383)</f>
        <v>4</v>
      </c>
      <c r="H383" s="38" t="n">
        <f aca="false">YEAR(Tabela1[[#This Row],[FECHA]])</f>
        <v>2026</v>
      </c>
      <c r="I383" s="38" t="str">
        <f aca="false">IF(OR(Tabela1[[#This Row],[CATEGORIA]]="Estrutura",Tabela1[[#This Row],[CATEGORIA]]="ProLabore",Tabela1[[#This Row],[SUBCATEGORIA]]="Salário",Tabela1[[#This Row],[CATEGORIA]]="Softwares"),"F","V")</f>
        <v>F</v>
      </c>
    </row>
    <row r="384" customFormat="false" ht="15" hidden="false" customHeight="false" outlineLevel="0" collapsed="false">
      <c r="A384" s="41" t="n">
        <v>46139</v>
      </c>
      <c r="B384" s="39" t="n">
        <v>90</v>
      </c>
      <c r="C384" s="38" t="s">
        <v>3562</v>
      </c>
      <c r="D384" s="38" t="s">
        <v>3507</v>
      </c>
      <c r="E384" s="38" t="s">
        <v>3530</v>
      </c>
      <c r="G384" s="38" t="n">
        <f aca="false">MONTH(A384)</f>
        <v>4</v>
      </c>
      <c r="H384" s="38" t="n">
        <f aca="false">YEAR(Tabela1[[#This Row],[FECHA]])</f>
        <v>2026</v>
      </c>
      <c r="I3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5" customFormat="false" ht="15" hidden="false" customHeight="false" outlineLevel="0" collapsed="false">
      <c r="A385" s="41" t="n">
        <v>46139</v>
      </c>
      <c r="B385" s="39" t="n">
        <v>120</v>
      </c>
      <c r="C385" s="38" t="s">
        <v>3562</v>
      </c>
      <c r="D385" s="38" t="s">
        <v>3507</v>
      </c>
      <c r="E385" s="38" t="s">
        <v>3530</v>
      </c>
      <c r="G385" s="38" t="n">
        <f aca="false">MONTH(A385)</f>
        <v>4</v>
      </c>
      <c r="H385" s="38" t="n">
        <f aca="false">YEAR(Tabela1[[#This Row],[FECHA]])</f>
        <v>2026</v>
      </c>
      <c r="I3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6" customFormat="false" ht="15" hidden="false" customHeight="false" outlineLevel="0" collapsed="false">
      <c r="A386" s="41" t="n">
        <v>46139</v>
      </c>
      <c r="B386" s="39" t="n">
        <v>30</v>
      </c>
      <c r="C386" s="38" t="s">
        <v>3562</v>
      </c>
      <c r="D386" s="38" t="s">
        <v>3507</v>
      </c>
      <c r="E386" s="38" t="s">
        <v>3530</v>
      </c>
      <c r="G386" s="38" t="n">
        <f aca="false">MONTH(A386)</f>
        <v>4</v>
      </c>
      <c r="H386" s="38" t="n">
        <f aca="false">YEAR(Tabela1[[#This Row],[FECHA]])</f>
        <v>2026</v>
      </c>
      <c r="I3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7" customFormat="false" ht="15" hidden="false" customHeight="false" outlineLevel="0" collapsed="false">
      <c r="A387" s="41" t="n">
        <v>46140</v>
      </c>
      <c r="B387" s="39" t="n">
        <v>971.65</v>
      </c>
      <c r="D387" s="38" t="s">
        <v>3504</v>
      </c>
      <c r="E387" s="38" t="s">
        <v>3527</v>
      </c>
      <c r="G387" s="38" t="n">
        <f aca="false">MONTH(A387)</f>
        <v>4</v>
      </c>
      <c r="H387" s="38" t="n">
        <f aca="false">YEAR(Tabela1[[#This Row],[FECHA]])</f>
        <v>2026</v>
      </c>
      <c r="I3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8" customFormat="false" ht="15" hidden="false" customHeight="false" outlineLevel="0" collapsed="false">
      <c r="A388" s="41" t="n">
        <v>46140</v>
      </c>
      <c r="B388" s="39" t="n">
        <v>129.06</v>
      </c>
      <c r="C388" s="38" t="s">
        <v>35</v>
      </c>
      <c r="D388" s="38" t="s">
        <v>3503</v>
      </c>
      <c r="E388" s="38" t="s">
        <v>3515</v>
      </c>
      <c r="G388" s="38" t="n">
        <f aca="false">MONTH(A388)</f>
        <v>4</v>
      </c>
      <c r="H388" s="38" t="n">
        <f aca="false">YEAR(Tabela1[[#This Row],[FECHA]])</f>
        <v>2026</v>
      </c>
      <c r="I3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9" customFormat="false" ht="15" hidden="false" customHeight="false" outlineLevel="0" collapsed="false">
      <c r="A389" s="41" t="n">
        <v>46141</v>
      </c>
      <c r="B389" s="39" t="n">
        <v>785</v>
      </c>
      <c r="C389" s="38" t="s">
        <v>3634</v>
      </c>
      <c r="D389" s="38" t="s">
        <v>3504</v>
      </c>
      <c r="E389" s="38" t="s">
        <v>3516</v>
      </c>
      <c r="G389" s="38" t="n">
        <f aca="false">MONTH(A389)</f>
        <v>4</v>
      </c>
      <c r="H389" s="38" t="n">
        <f aca="false">YEAR(Tabela1[[#This Row],[FECHA]])</f>
        <v>2026</v>
      </c>
      <c r="I3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0" customFormat="false" ht="15" hidden="false" customHeight="false" outlineLevel="0" collapsed="false">
      <c r="A390" s="41" t="n">
        <v>46141</v>
      </c>
      <c r="B390" s="39" t="n">
        <v>90</v>
      </c>
      <c r="C390" s="38" t="s">
        <v>3562</v>
      </c>
      <c r="D390" s="38" t="s">
        <v>3507</v>
      </c>
      <c r="E390" s="38" t="s">
        <v>3530</v>
      </c>
      <c r="G390" s="38" t="n">
        <f aca="false">MONTH(A390)</f>
        <v>4</v>
      </c>
      <c r="H390" s="38" t="n">
        <f aca="false">YEAR(Tabela1[[#This Row],[FECHA]])</f>
        <v>2026</v>
      </c>
      <c r="I3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1" customFormat="false" ht="15" hidden="false" customHeight="false" outlineLevel="0" collapsed="false">
      <c r="A391" s="41" t="n">
        <v>46142</v>
      </c>
      <c r="B391" s="39" t="n">
        <v>60</v>
      </c>
      <c r="C391" s="38" t="s">
        <v>3613</v>
      </c>
      <c r="D391" s="38" t="s">
        <v>3507</v>
      </c>
      <c r="E391" s="38" t="s">
        <v>16</v>
      </c>
      <c r="G391" s="38" t="n">
        <f aca="false">MONTH(A391)</f>
        <v>4</v>
      </c>
      <c r="H391" s="38" t="n">
        <f aca="false">YEAR(Tabela1[[#This Row],[FECHA]])</f>
        <v>2026</v>
      </c>
      <c r="I3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2" customFormat="false" ht="15" hidden="false" customHeight="false" outlineLevel="0" collapsed="false">
      <c r="A392" s="41" t="n">
        <v>46142</v>
      </c>
      <c r="B392" s="39" t="n">
        <v>1885</v>
      </c>
      <c r="C392" s="38" t="s">
        <v>3585</v>
      </c>
      <c r="D392" s="38" t="s">
        <v>3507</v>
      </c>
      <c r="E392" s="38" t="s">
        <v>3519</v>
      </c>
      <c r="G392" s="38" t="n">
        <f aca="false">MONTH(A392)</f>
        <v>4</v>
      </c>
      <c r="H392" s="38" t="n">
        <f aca="false">YEAR(Tabela1[[#This Row],[FECHA]])</f>
        <v>2026</v>
      </c>
      <c r="I3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3" customFormat="false" ht="15" hidden="false" customHeight="false" outlineLevel="0" collapsed="false">
      <c r="A393" s="41" t="n">
        <v>46142</v>
      </c>
      <c r="B393" s="39" t="n">
        <v>900</v>
      </c>
      <c r="C393" s="38" t="s">
        <v>3568</v>
      </c>
      <c r="D393" s="38" t="s">
        <v>3505</v>
      </c>
      <c r="E393" s="38" t="s">
        <v>3517</v>
      </c>
      <c r="G393" s="38" t="n">
        <f aca="false">MONTH(A393)</f>
        <v>4</v>
      </c>
      <c r="H393" s="38" t="n">
        <f aca="false">YEAR(Tabela1[[#This Row],[FECHA]])</f>
        <v>2026</v>
      </c>
      <c r="I3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4" customFormat="false" ht="15" hidden="false" customHeight="false" outlineLevel="0" collapsed="false">
      <c r="A394" s="41" t="n">
        <v>46142</v>
      </c>
      <c r="B394" s="39" t="n">
        <v>900</v>
      </c>
      <c r="C394" s="38" t="s">
        <v>3597</v>
      </c>
      <c r="D394" s="38" t="s">
        <v>3505</v>
      </c>
      <c r="E394" s="38" t="s">
        <v>3517</v>
      </c>
      <c r="G394" s="38" t="n">
        <f aca="false">MONTH(A394)</f>
        <v>4</v>
      </c>
      <c r="H394" s="38" t="n">
        <f aca="false">YEAR(Tabela1[[#This Row],[FECHA]])</f>
        <v>2026</v>
      </c>
      <c r="I3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5" customFormat="false" ht="15" hidden="false" customHeight="false" outlineLevel="0" collapsed="false">
      <c r="A395" s="41" t="n">
        <v>46142</v>
      </c>
      <c r="B395" s="39" t="n">
        <v>900</v>
      </c>
      <c r="C395" s="38" t="s">
        <v>632</v>
      </c>
      <c r="D395" s="38" t="s">
        <v>3505</v>
      </c>
      <c r="E395" s="38" t="s">
        <v>3541</v>
      </c>
      <c r="G395" s="38" t="n">
        <f aca="false">MONTH(A395)</f>
        <v>4</v>
      </c>
      <c r="H395" s="38" t="n">
        <f aca="false">YEAR(Tabela1[[#This Row],[FECHA]])</f>
        <v>2026</v>
      </c>
      <c r="I3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6" customFormat="false" ht="15" hidden="false" customHeight="false" outlineLevel="0" collapsed="false">
      <c r="A396" s="41" t="n">
        <v>46142</v>
      </c>
      <c r="B396" s="39" t="n">
        <v>1500</v>
      </c>
      <c r="C396" s="38" t="s">
        <v>3567</v>
      </c>
      <c r="D396" s="38" t="s">
        <v>3505</v>
      </c>
      <c r="E396" s="38" t="s">
        <v>3517</v>
      </c>
      <c r="G396" s="38" t="n">
        <f aca="false">MONTH(A396)</f>
        <v>4</v>
      </c>
      <c r="H396" s="38" t="n">
        <f aca="false">YEAR(Tabela1[[#This Row],[FECHA]])</f>
        <v>2026</v>
      </c>
      <c r="I3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7" customFormat="false" ht="15" hidden="false" customHeight="false" outlineLevel="0" collapsed="false">
      <c r="A397" s="41" t="n">
        <v>46142</v>
      </c>
      <c r="B397" s="39" t="n">
        <v>900</v>
      </c>
      <c r="C397" s="38" t="s">
        <v>3590</v>
      </c>
      <c r="D397" s="38" t="s">
        <v>3505</v>
      </c>
      <c r="E397" s="38" t="s">
        <v>3541</v>
      </c>
      <c r="G397" s="38" t="n">
        <f aca="false">MONTH(A397)</f>
        <v>4</v>
      </c>
      <c r="H397" s="38" t="n">
        <f aca="false">YEAR(Tabela1[[#This Row],[FECHA]])</f>
        <v>2026</v>
      </c>
      <c r="I3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8" customFormat="false" ht="15" hidden="false" customHeight="false" outlineLevel="0" collapsed="false">
      <c r="A398" s="41" t="n">
        <v>46142</v>
      </c>
      <c r="B398" s="39" t="n">
        <v>771</v>
      </c>
      <c r="C398" s="38" t="s">
        <v>3568</v>
      </c>
      <c r="D398" s="38" t="s">
        <v>3499</v>
      </c>
      <c r="E398" s="38" t="s">
        <v>3512</v>
      </c>
      <c r="G398" s="38" t="n">
        <f aca="false">MONTH(A398)</f>
        <v>4</v>
      </c>
      <c r="H398" s="38" t="n">
        <f aca="false">YEAR(Tabela1[[#This Row],[FECHA]])</f>
        <v>2026</v>
      </c>
      <c r="I3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9" customFormat="false" ht="15" hidden="false" customHeight="false" outlineLevel="0" collapsed="false">
      <c r="A399" s="41" t="n">
        <v>46142</v>
      </c>
      <c r="B399" s="39" t="n">
        <v>1321.9</v>
      </c>
      <c r="C399" s="38" t="s">
        <v>3597</v>
      </c>
      <c r="D399" s="38" t="s">
        <v>3499</v>
      </c>
      <c r="E399" s="38" t="s">
        <v>3512</v>
      </c>
      <c r="G399" s="38" t="n">
        <f aca="false">MONTH(A399)</f>
        <v>4</v>
      </c>
      <c r="H399" s="38" t="n">
        <f aca="false">YEAR(Tabela1[[#This Row],[FECHA]])</f>
        <v>2026</v>
      </c>
      <c r="I3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0" customFormat="false" ht="15" hidden="false" customHeight="false" outlineLevel="0" collapsed="false">
      <c r="A400" s="41" t="n">
        <v>46142</v>
      </c>
      <c r="B400" s="49" t="n">
        <v>848.92</v>
      </c>
      <c r="C400" s="38" t="s">
        <v>632</v>
      </c>
      <c r="D400" s="38" t="s">
        <v>3499</v>
      </c>
      <c r="E400" s="38" t="s">
        <v>3523</v>
      </c>
      <c r="G400" s="38" t="n">
        <f aca="false">MONTH(A400)</f>
        <v>4</v>
      </c>
      <c r="H400" s="38" t="n">
        <f aca="false">YEAR(Tabela1[[#This Row],[FECHA]])</f>
        <v>2026</v>
      </c>
      <c r="I4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1" customFormat="false" ht="15" hidden="false" customHeight="false" outlineLevel="0" collapsed="false">
      <c r="A401" s="41" t="n">
        <v>46142</v>
      </c>
      <c r="B401" s="39" t="n">
        <v>1543.65</v>
      </c>
      <c r="C401" s="38" t="s">
        <v>3567</v>
      </c>
      <c r="D401" s="38" t="s">
        <v>3499</v>
      </c>
      <c r="E401" s="38" t="s">
        <v>3512</v>
      </c>
      <c r="G401" s="38" t="n">
        <f aca="false">MONTH(A401)</f>
        <v>4</v>
      </c>
      <c r="H401" s="38" t="n">
        <f aca="false">YEAR(Tabela1[[#This Row],[FECHA]])</f>
        <v>2026</v>
      </c>
      <c r="I4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2" customFormat="false" ht="15" hidden="false" customHeight="false" outlineLevel="0" collapsed="false">
      <c r="A402" s="41" t="n">
        <v>46142</v>
      </c>
      <c r="B402" s="49" t="n">
        <v>406.18</v>
      </c>
      <c r="C402" s="38" t="s">
        <v>3590</v>
      </c>
      <c r="D402" s="38" t="s">
        <v>3499</v>
      </c>
      <c r="E402" s="38" t="s">
        <v>3523</v>
      </c>
      <c r="G402" s="38" t="n">
        <f aca="false">MONTH(A402)</f>
        <v>4</v>
      </c>
      <c r="H402" s="38" t="n">
        <f aca="false">YEAR(Tabela1[[#This Row],[FECHA]])</f>
        <v>2026</v>
      </c>
      <c r="I4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3" customFormat="false" ht="15" hidden="false" customHeight="false" outlineLevel="0" collapsed="false">
      <c r="A403" s="41" t="n">
        <v>46142</v>
      </c>
      <c r="B403" s="39" t="n">
        <v>20</v>
      </c>
      <c r="C403" s="38" t="s">
        <v>3590</v>
      </c>
      <c r="D403" s="38" t="s">
        <v>3499</v>
      </c>
      <c r="E403" s="38" t="s">
        <v>3523</v>
      </c>
      <c r="G403" s="38" t="n">
        <f aca="false">MONTH(A403)</f>
        <v>4</v>
      </c>
      <c r="H403" s="38" t="n">
        <f aca="false">YEAR(Tabela1[[#This Row],[FECHA]])</f>
        <v>2026</v>
      </c>
      <c r="I4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4" customFormat="false" ht="15" hidden="false" customHeight="false" outlineLevel="0" collapsed="false">
      <c r="A404" s="41" t="n">
        <v>46142</v>
      </c>
      <c r="B404" s="39" t="n">
        <v>150</v>
      </c>
      <c r="C404" s="38" t="s">
        <v>3635</v>
      </c>
      <c r="D404" s="38" t="s">
        <v>3500</v>
      </c>
      <c r="E404" s="38" t="s">
        <v>3511</v>
      </c>
      <c r="G404" s="38" t="n">
        <f aca="false">MONTH(A404)</f>
        <v>4</v>
      </c>
      <c r="H404" s="38" t="n">
        <f aca="false">YEAR(Tabela1[[#This Row],[FECHA]])</f>
        <v>2026</v>
      </c>
      <c r="I4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5" customFormat="false" ht="15" hidden="false" customHeight="false" outlineLevel="0" collapsed="false">
      <c r="A405" s="41" t="n">
        <v>46142</v>
      </c>
      <c r="B405" s="39" t="n">
        <v>180</v>
      </c>
      <c r="C405" s="38" t="s">
        <v>3562</v>
      </c>
      <c r="D405" s="38" t="s">
        <v>3507</v>
      </c>
      <c r="E405" s="38" t="s">
        <v>3530</v>
      </c>
      <c r="G405" s="38" t="n">
        <f aca="false">MONTH(A405)</f>
        <v>4</v>
      </c>
      <c r="H405" s="38" t="n">
        <f aca="false">YEAR(Tabela1[[#This Row],[FECHA]])</f>
        <v>2026</v>
      </c>
      <c r="I4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6" customFormat="false" ht="15" hidden="false" customHeight="false" outlineLevel="0" collapsed="false">
      <c r="A406" s="41" t="n">
        <v>46142</v>
      </c>
      <c r="B406" s="39" t="n">
        <v>1555.03</v>
      </c>
      <c r="C406" s="38" t="s">
        <v>35</v>
      </c>
      <c r="D406" s="38" t="s">
        <v>3503</v>
      </c>
      <c r="E406" s="38" t="s">
        <v>3515</v>
      </c>
      <c r="G406" s="38" t="n">
        <f aca="false">MONTH(A406)</f>
        <v>4</v>
      </c>
      <c r="H406" s="38" t="n">
        <f aca="false">YEAR(Tabela1[[#This Row],[FECHA]])</f>
        <v>2026</v>
      </c>
      <c r="I4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7" customFormat="false" ht="15" hidden="false" customHeight="false" outlineLevel="0" collapsed="false">
      <c r="A407" s="41"/>
      <c r="C407" s="38" t="s">
        <v>3636</v>
      </c>
      <c r="G407" s="38" t="n">
        <f aca="false">MONTH(A407)</f>
        <v>12</v>
      </c>
      <c r="H407" s="38" t="n">
        <f aca="false">YEAR(Tabela1[[#This Row],[FECHA]])</f>
        <v>1900</v>
      </c>
      <c r="I4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8" customFormat="false" ht="15" hidden="false" customHeight="false" outlineLevel="0" collapsed="false">
      <c r="A408" s="41"/>
      <c r="G408" s="38" t="n">
        <f aca="false">MONTH(A408)</f>
        <v>12</v>
      </c>
      <c r="H408" s="38" t="n">
        <f aca="false">YEAR(Tabela1[[#This Row],[FECHA]])</f>
        <v>1900</v>
      </c>
      <c r="I4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9" customFormat="false" ht="15" hidden="false" customHeight="false" outlineLevel="0" collapsed="false">
      <c r="A409" s="41"/>
      <c r="G409" s="38" t="n">
        <f aca="false">MONTH(A409)</f>
        <v>12</v>
      </c>
      <c r="H409" s="38" t="n">
        <f aca="false">YEAR(Tabela1[[#This Row],[FECHA]])</f>
        <v>1900</v>
      </c>
      <c r="I4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0" customFormat="false" ht="15" hidden="false" customHeight="false" outlineLevel="0" collapsed="false">
      <c r="A410" s="41"/>
      <c r="G410" s="38" t="n">
        <f aca="false">MONTH(A410)</f>
        <v>12</v>
      </c>
      <c r="H410" s="38" t="n">
        <f aca="false">YEAR(Tabela1[[#This Row],[FECHA]])</f>
        <v>1900</v>
      </c>
      <c r="I4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1" customFormat="false" ht="15" hidden="false" customHeight="false" outlineLevel="0" collapsed="false">
      <c r="A411" s="41"/>
      <c r="G411" s="38" t="n">
        <f aca="false">MONTH(A411)</f>
        <v>12</v>
      </c>
      <c r="H411" s="38" t="n">
        <f aca="false">YEAR(Tabela1[[#This Row],[FECHA]])</f>
        <v>1900</v>
      </c>
      <c r="I4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2" customFormat="false" ht="15" hidden="false" customHeight="false" outlineLevel="0" collapsed="false">
      <c r="A412" s="41"/>
      <c r="G412" s="38" t="n">
        <f aca="false">MONTH(A412)</f>
        <v>12</v>
      </c>
      <c r="H412" s="38" t="n">
        <f aca="false">YEAR(Tabela1[[#This Row],[FECHA]])</f>
        <v>1900</v>
      </c>
      <c r="I4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3" customFormat="false" ht="15" hidden="false" customHeight="false" outlineLevel="0" collapsed="false">
      <c r="A413" s="41"/>
      <c r="G413" s="38" t="n">
        <f aca="false">MONTH(A413)</f>
        <v>12</v>
      </c>
      <c r="H413" s="38" t="n">
        <f aca="false">YEAR(Tabela1[[#This Row],[FECHA]])</f>
        <v>1900</v>
      </c>
      <c r="I4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4" customFormat="false" ht="15" hidden="false" customHeight="false" outlineLevel="0" collapsed="false">
      <c r="A414" s="41"/>
      <c r="G414" s="38" t="n">
        <f aca="false">MONTH(A414)</f>
        <v>12</v>
      </c>
      <c r="H414" s="38" t="n">
        <f aca="false">YEAR(Tabela1[[#This Row],[FECHA]])</f>
        <v>1900</v>
      </c>
      <c r="I4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5" customFormat="false" ht="15" hidden="false" customHeight="false" outlineLevel="0" collapsed="false">
      <c r="A415" s="41"/>
      <c r="G415" s="38" t="n">
        <f aca="false">MONTH(A415)</f>
        <v>12</v>
      </c>
      <c r="H415" s="38" t="n">
        <f aca="false">YEAR(Tabela1[[#This Row],[FECHA]])</f>
        <v>1900</v>
      </c>
      <c r="I4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6" customFormat="false" ht="15" hidden="false" customHeight="false" outlineLevel="0" collapsed="false">
      <c r="A416" s="41"/>
      <c r="G416" s="38" t="n">
        <f aca="false">MONTH(A416)</f>
        <v>12</v>
      </c>
      <c r="H416" s="38" t="n">
        <f aca="false">YEAR(Tabela1[[#This Row],[FECHA]])</f>
        <v>1900</v>
      </c>
      <c r="I4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7" customFormat="false" ht="15" hidden="false" customHeight="false" outlineLevel="0" collapsed="false">
      <c r="A417" s="41"/>
      <c r="G417" s="38" t="n">
        <f aca="false">MONTH(A417)</f>
        <v>12</v>
      </c>
      <c r="H417" s="38" t="n">
        <f aca="false">YEAR(Tabela1[[#This Row],[FECHA]])</f>
        <v>1900</v>
      </c>
      <c r="I4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8" customFormat="false" ht="15" hidden="false" customHeight="false" outlineLevel="0" collapsed="false">
      <c r="A418" s="41"/>
      <c r="G418" s="38" t="n">
        <f aca="false">MONTH(A418)</f>
        <v>12</v>
      </c>
      <c r="H418" s="38" t="n">
        <f aca="false">YEAR(Tabela1[[#This Row],[FECHA]])</f>
        <v>1900</v>
      </c>
      <c r="I4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9" customFormat="false" ht="15" hidden="false" customHeight="false" outlineLevel="0" collapsed="false">
      <c r="A419" s="41"/>
      <c r="G419" s="38" t="n">
        <f aca="false">MONTH(A419)</f>
        <v>12</v>
      </c>
      <c r="H419" s="38" t="n">
        <f aca="false">YEAR(Tabela1[[#This Row],[FECHA]])</f>
        <v>1900</v>
      </c>
      <c r="I4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0" customFormat="false" ht="15" hidden="false" customHeight="false" outlineLevel="0" collapsed="false">
      <c r="A420" s="41"/>
      <c r="G420" s="38" t="n">
        <f aca="false">MONTH(A420)</f>
        <v>12</v>
      </c>
      <c r="H420" s="38" t="n">
        <f aca="false">YEAR(Tabela1[[#This Row],[FECHA]])</f>
        <v>1900</v>
      </c>
      <c r="I4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1" customFormat="false" ht="15" hidden="false" customHeight="false" outlineLevel="0" collapsed="false">
      <c r="A421" s="41"/>
      <c r="G421" s="38" t="n">
        <f aca="false">MONTH(A421)</f>
        <v>12</v>
      </c>
      <c r="H421" s="38" t="n">
        <f aca="false">YEAR(Tabela1[[#This Row],[FECHA]])</f>
        <v>1900</v>
      </c>
      <c r="I4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2" customFormat="false" ht="15" hidden="false" customHeight="false" outlineLevel="0" collapsed="false">
      <c r="A422" s="41"/>
      <c r="G422" s="38" t="n">
        <f aca="false">MONTH(A422)</f>
        <v>12</v>
      </c>
      <c r="H422" s="38" t="n">
        <f aca="false">YEAR(Tabela1[[#This Row],[FECHA]])</f>
        <v>1900</v>
      </c>
      <c r="I4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3" customFormat="false" ht="15" hidden="false" customHeight="false" outlineLevel="0" collapsed="false">
      <c r="A423" s="41"/>
      <c r="G423" s="38" t="n">
        <f aca="false">MONTH(A423)</f>
        <v>12</v>
      </c>
      <c r="H423" s="38" t="n">
        <f aca="false">YEAR(Tabela1[[#This Row],[FECHA]])</f>
        <v>1900</v>
      </c>
      <c r="I4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4" customFormat="false" ht="15" hidden="false" customHeight="false" outlineLevel="0" collapsed="false">
      <c r="A424" s="41"/>
      <c r="G424" s="38" t="n">
        <f aca="false">MONTH(A424)</f>
        <v>12</v>
      </c>
      <c r="H424" s="38" t="n">
        <f aca="false">YEAR(Tabela1[[#This Row],[FECHA]])</f>
        <v>1900</v>
      </c>
      <c r="I4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5" customFormat="false" ht="15" hidden="false" customHeight="false" outlineLevel="0" collapsed="false">
      <c r="A425" s="41"/>
      <c r="G425" s="38" t="n">
        <f aca="false">MONTH(A425)</f>
        <v>12</v>
      </c>
      <c r="H425" s="38" t="n">
        <f aca="false">YEAR(Tabela1[[#This Row],[FECHA]])</f>
        <v>1900</v>
      </c>
      <c r="I4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6" customFormat="false" ht="15" hidden="false" customHeight="false" outlineLevel="0" collapsed="false">
      <c r="A426" s="41"/>
      <c r="G426" s="38" t="n">
        <f aca="false">MONTH(A426)</f>
        <v>12</v>
      </c>
      <c r="H426" s="38" t="n">
        <f aca="false">YEAR(Tabela1[[#This Row],[FECHA]])</f>
        <v>1900</v>
      </c>
      <c r="I4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7" customFormat="false" ht="15" hidden="false" customHeight="false" outlineLevel="0" collapsed="false">
      <c r="A427" s="41"/>
      <c r="G427" s="38" t="n">
        <f aca="false">MONTH(A427)</f>
        <v>12</v>
      </c>
      <c r="H427" s="38" t="n">
        <f aca="false">YEAR(Tabela1[[#This Row],[FECHA]])</f>
        <v>1900</v>
      </c>
      <c r="I4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8" customFormat="false" ht="15" hidden="false" customHeight="false" outlineLevel="0" collapsed="false">
      <c r="A428" s="41"/>
      <c r="G428" s="38" t="n">
        <f aca="false">MONTH(A428)</f>
        <v>12</v>
      </c>
      <c r="H428" s="38" t="n">
        <f aca="false">YEAR(Tabela1[[#This Row],[FECHA]])</f>
        <v>1900</v>
      </c>
      <c r="I4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9" customFormat="false" ht="15" hidden="false" customHeight="false" outlineLevel="0" collapsed="false">
      <c r="A429" s="41"/>
      <c r="G429" s="38" t="n">
        <f aca="false">MONTH(A429)</f>
        <v>12</v>
      </c>
      <c r="H429" s="38" t="n">
        <f aca="false">YEAR(Tabela1[[#This Row],[FECHA]])</f>
        <v>1900</v>
      </c>
      <c r="I4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0" customFormat="false" ht="15" hidden="false" customHeight="false" outlineLevel="0" collapsed="false">
      <c r="A430" s="41"/>
      <c r="G430" s="38" t="n">
        <f aca="false">MONTH(A430)</f>
        <v>12</v>
      </c>
      <c r="H430" s="38" t="n">
        <f aca="false">YEAR(Tabela1[[#This Row],[FECHA]])</f>
        <v>1900</v>
      </c>
      <c r="I4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1" customFormat="false" ht="15" hidden="false" customHeight="false" outlineLevel="0" collapsed="false">
      <c r="A431" s="41"/>
      <c r="G431" s="38" t="n">
        <f aca="false">MONTH(A431)</f>
        <v>12</v>
      </c>
      <c r="H431" s="38" t="n">
        <f aca="false">YEAR(Tabela1[[#This Row],[FECHA]])</f>
        <v>1900</v>
      </c>
      <c r="I4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2" customFormat="false" ht="15" hidden="false" customHeight="false" outlineLevel="0" collapsed="false">
      <c r="A432" s="41"/>
      <c r="G432" s="38" t="n">
        <f aca="false">MONTH(A432)</f>
        <v>12</v>
      </c>
      <c r="H432" s="38" t="n">
        <f aca="false">YEAR(Tabela1[[#This Row],[FECHA]])</f>
        <v>1900</v>
      </c>
      <c r="I4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3" customFormat="false" ht="15" hidden="false" customHeight="false" outlineLevel="0" collapsed="false">
      <c r="A433" s="41"/>
      <c r="G433" s="38" t="n">
        <f aca="false">MONTH(A433)</f>
        <v>12</v>
      </c>
      <c r="H433" s="38" t="n">
        <f aca="false">YEAR(Tabela1[[#This Row],[FECHA]])</f>
        <v>1900</v>
      </c>
      <c r="I4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4" customFormat="false" ht="15" hidden="false" customHeight="false" outlineLevel="0" collapsed="false">
      <c r="A434" s="41"/>
      <c r="G434" s="38" t="n">
        <f aca="false">MONTH(A434)</f>
        <v>12</v>
      </c>
      <c r="H434" s="38" t="n">
        <f aca="false">YEAR(Tabela1[[#This Row],[FECHA]])</f>
        <v>1900</v>
      </c>
      <c r="I4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5" customFormat="false" ht="15" hidden="false" customHeight="false" outlineLevel="0" collapsed="false">
      <c r="A435" s="41"/>
      <c r="G435" s="38" t="n">
        <f aca="false">MONTH(A435)</f>
        <v>12</v>
      </c>
      <c r="H435" s="38" t="n">
        <f aca="false">YEAR(Tabela1[[#This Row],[FECHA]])</f>
        <v>1900</v>
      </c>
      <c r="I4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6" customFormat="false" ht="15" hidden="false" customHeight="false" outlineLevel="0" collapsed="false">
      <c r="A436" s="41"/>
      <c r="G436" s="38" t="n">
        <f aca="false">MONTH(A436)</f>
        <v>12</v>
      </c>
      <c r="H436" s="38" t="n">
        <f aca="false">YEAR(Tabela1[[#This Row],[FECHA]])</f>
        <v>1900</v>
      </c>
      <c r="I4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7" customFormat="false" ht="15" hidden="false" customHeight="false" outlineLevel="0" collapsed="false">
      <c r="A437" s="41"/>
      <c r="G437" s="38" t="n">
        <f aca="false">MONTH(A437)</f>
        <v>12</v>
      </c>
      <c r="H437" s="38" t="n">
        <f aca="false">YEAR(Tabela1[[#This Row],[FECHA]])</f>
        <v>1900</v>
      </c>
      <c r="I4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8" customFormat="false" ht="15" hidden="false" customHeight="false" outlineLevel="0" collapsed="false">
      <c r="A438" s="41"/>
      <c r="G438" s="38" t="n">
        <f aca="false">MONTH(A438)</f>
        <v>12</v>
      </c>
      <c r="H438" s="38" t="n">
        <f aca="false">YEAR(Tabela1[[#This Row],[FECHA]])</f>
        <v>1900</v>
      </c>
      <c r="I4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9" customFormat="false" ht="15" hidden="false" customHeight="false" outlineLevel="0" collapsed="false">
      <c r="A439" s="41"/>
      <c r="G439" s="38" t="n">
        <f aca="false">MONTH(A439)</f>
        <v>12</v>
      </c>
      <c r="H439" s="38" t="n">
        <f aca="false">YEAR(Tabela1[[#This Row],[FECHA]])</f>
        <v>1900</v>
      </c>
      <c r="I4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0" customFormat="false" ht="15" hidden="false" customHeight="false" outlineLevel="0" collapsed="false">
      <c r="A440" s="41"/>
      <c r="G440" s="38" t="n">
        <f aca="false">MONTH(A440)</f>
        <v>12</v>
      </c>
      <c r="H440" s="38" t="n">
        <f aca="false">YEAR(Tabela1[[#This Row],[FECHA]])</f>
        <v>1900</v>
      </c>
      <c r="I4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1" customFormat="false" ht="15" hidden="false" customHeight="false" outlineLevel="0" collapsed="false">
      <c r="A441" s="41"/>
      <c r="G441" s="38" t="n">
        <f aca="false">MONTH(A441)</f>
        <v>12</v>
      </c>
      <c r="H441" s="38" t="n">
        <f aca="false">YEAR(Tabela1[[#This Row],[FECHA]])</f>
        <v>1900</v>
      </c>
      <c r="I4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2" customFormat="false" ht="15" hidden="false" customHeight="false" outlineLevel="0" collapsed="false">
      <c r="A442" s="41"/>
      <c r="G442" s="38" t="n">
        <f aca="false">MONTH(A442)</f>
        <v>12</v>
      </c>
      <c r="H442" s="38" t="n">
        <f aca="false">YEAR(Tabela1[[#This Row],[FECHA]])</f>
        <v>1900</v>
      </c>
      <c r="I4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3" customFormat="false" ht="15" hidden="false" customHeight="false" outlineLevel="0" collapsed="false">
      <c r="A443" s="41"/>
      <c r="G443" s="38" t="n">
        <f aca="false">MONTH(A443)</f>
        <v>12</v>
      </c>
      <c r="H443" s="38" t="n">
        <f aca="false">YEAR(Tabela1[[#This Row],[FECHA]])</f>
        <v>1900</v>
      </c>
      <c r="I4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4" customFormat="false" ht="15" hidden="false" customHeight="false" outlineLevel="0" collapsed="false">
      <c r="A444" s="41"/>
      <c r="G444" s="38" t="n">
        <f aca="false">MONTH(A444)</f>
        <v>12</v>
      </c>
      <c r="H444" s="38" t="n">
        <f aca="false">YEAR(Tabela1[[#This Row],[FECHA]])</f>
        <v>1900</v>
      </c>
      <c r="I4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5" customFormat="false" ht="15" hidden="false" customHeight="false" outlineLevel="0" collapsed="false">
      <c r="A445" s="41"/>
      <c r="G445" s="38" t="n">
        <f aca="false">MONTH(A445)</f>
        <v>12</v>
      </c>
      <c r="H445" s="38" t="n">
        <f aca="false">YEAR(Tabela1[[#This Row],[FECHA]])</f>
        <v>1900</v>
      </c>
      <c r="I4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6" customFormat="false" ht="15" hidden="false" customHeight="false" outlineLevel="0" collapsed="false">
      <c r="A446" s="41"/>
      <c r="G446" s="38" t="n">
        <f aca="false">MONTH(A446)</f>
        <v>12</v>
      </c>
      <c r="H446" s="38" t="n">
        <f aca="false">YEAR(Tabela1[[#This Row],[FECHA]])</f>
        <v>1900</v>
      </c>
      <c r="I4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7" customFormat="false" ht="15" hidden="false" customHeight="false" outlineLevel="0" collapsed="false">
      <c r="A447" s="41"/>
      <c r="G447" s="38" t="n">
        <f aca="false">MONTH(A447)</f>
        <v>12</v>
      </c>
      <c r="H447" s="38" t="n">
        <f aca="false">YEAR(Tabela1[[#This Row],[FECHA]])</f>
        <v>1900</v>
      </c>
      <c r="I4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8" customFormat="false" ht="15" hidden="false" customHeight="false" outlineLevel="0" collapsed="false">
      <c r="A448" s="41"/>
      <c r="G448" s="38" t="n">
        <f aca="false">MONTH(A448)</f>
        <v>12</v>
      </c>
      <c r="H448" s="38" t="n">
        <f aca="false">YEAR(Tabela1[[#This Row],[FECHA]])</f>
        <v>1900</v>
      </c>
      <c r="I4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9" customFormat="false" ht="15" hidden="false" customHeight="false" outlineLevel="0" collapsed="false">
      <c r="A449" s="41"/>
      <c r="G449" s="38" t="n">
        <f aca="false">MONTH(A449)</f>
        <v>12</v>
      </c>
      <c r="H449" s="38" t="n">
        <f aca="false">YEAR(Tabela1[[#This Row],[FECHA]])</f>
        <v>1900</v>
      </c>
      <c r="I4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0" customFormat="false" ht="15" hidden="false" customHeight="false" outlineLevel="0" collapsed="false">
      <c r="A450" s="41"/>
      <c r="G450" s="38" t="n">
        <f aca="false">MONTH(A450)</f>
        <v>12</v>
      </c>
      <c r="H450" s="38" t="n">
        <f aca="false">YEAR(Tabela1[[#This Row],[FECHA]])</f>
        <v>1900</v>
      </c>
      <c r="I4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1" customFormat="false" ht="15" hidden="false" customHeight="false" outlineLevel="0" collapsed="false">
      <c r="A451" s="41"/>
      <c r="G451" s="38" t="n">
        <f aca="false">MONTH(A451)</f>
        <v>12</v>
      </c>
      <c r="H451" s="38" t="n">
        <f aca="false">YEAR(Tabela1[[#This Row],[FECHA]])</f>
        <v>1900</v>
      </c>
      <c r="I4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2" customFormat="false" ht="15" hidden="false" customHeight="false" outlineLevel="0" collapsed="false">
      <c r="A452" s="41"/>
      <c r="G452" s="38" t="n">
        <f aca="false">MONTH(A452)</f>
        <v>12</v>
      </c>
      <c r="H452" s="38" t="n">
        <f aca="false">YEAR(Tabela1[[#This Row],[FECHA]])</f>
        <v>1900</v>
      </c>
      <c r="I4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3" customFormat="false" ht="15" hidden="false" customHeight="false" outlineLevel="0" collapsed="false">
      <c r="A453" s="41"/>
      <c r="G453" s="38" t="n">
        <f aca="false">MONTH(A453)</f>
        <v>12</v>
      </c>
      <c r="H453" s="38" t="n">
        <f aca="false">YEAR(Tabela1[[#This Row],[FECHA]])</f>
        <v>1900</v>
      </c>
      <c r="I4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4" customFormat="false" ht="15" hidden="false" customHeight="false" outlineLevel="0" collapsed="false">
      <c r="A454" s="41"/>
      <c r="G454" s="38" t="n">
        <f aca="false">MONTH(A454)</f>
        <v>12</v>
      </c>
      <c r="H454" s="38" t="n">
        <f aca="false">YEAR(Tabela1[[#This Row],[FECHA]])</f>
        <v>1900</v>
      </c>
      <c r="I4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5" customFormat="false" ht="15" hidden="false" customHeight="false" outlineLevel="0" collapsed="false">
      <c r="A455" s="41"/>
      <c r="G455" s="38" t="n">
        <f aca="false">MONTH(A455)</f>
        <v>12</v>
      </c>
      <c r="H455" s="38" t="n">
        <f aca="false">YEAR(Tabela1[[#This Row],[FECHA]])</f>
        <v>1900</v>
      </c>
      <c r="I4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6" customFormat="false" ht="15" hidden="false" customHeight="false" outlineLevel="0" collapsed="false">
      <c r="A456" s="41"/>
      <c r="G456" s="38" t="n">
        <f aca="false">MONTH(A456)</f>
        <v>12</v>
      </c>
      <c r="H456" s="38" t="n">
        <f aca="false">YEAR(Tabela1[[#This Row],[FECHA]])</f>
        <v>1900</v>
      </c>
      <c r="I4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7" customFormat="false" ht="15" hidden="false" customHeight="false" outlineLevel="0" collapsed="false">
      <c r="A457" s="41"/>
      <c r="G457" s="38" t="n">
        <f aca="false">MONTH(A457)</f>
        <v>12</v>
      </c>
      <c r="H457" s="38" t="n">
        <f aca="false">YEAR(Tabela1[[#This Row],[FECHA]])</f>
        <v>1900</v>
      </c>
      <c r="I4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8" customFormat="false" ht="15" hidden="false" customHeight="false" outlineLevel="0" collapsed="false">
      <c r="A458" s="41"/>
      <c r="G458" s="38" t="n">
        <f aca="false">MONTH(A458)</f>
        <v>12</v>
      </c>
      <c r="H458" s="38" t="n">
        <f aca="false">YEAR(Tabela1[[#This Row],[FECHA]])</f>
        <v>1900</v>
      </c>
      <c r="I4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9" customFormat="false" ht="15" hidden="false" customHeight="false" outlineLevel="0" collapsed="false">
      <c r="A459" s="41"/>
      <c r="G459" s="38" t="n">
        <f aca="false">MONTH(A459)</f>
        <v>12</v>
      </c>
      <c r="H459" s="38" t="n">
        <f aca="false">YEAR(Tabela1[[#This Row],[FECHA]])</f>
        <v>1900</v>
      </c>
      <c r="I4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0" customFormat="false" ht="15" hidden="false" customHeight="false" outlineLevel="0" collapsed="false">
      <c r="A460" s="41"/>
      <c r="G460" s="38" t="n">
        <f aca="false">MONTH(A460)</f>
        <v>12</v>
      </c>
      <c r="H460" s="38" t="n">
        <f aca="false">YEAR(Tabela1[[#This Row],[FECHA]])</f>
        <v>1900</v>
      </c>
      <c r="I4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1" customFormat="false" ht="15" hidden="false" customHeight="false" outlineLevel="0" collapsed="false">
      <c r="A461" s="41"/>
      <c r="G461" s="38" t="n">
        <f aca="false">MONTH(A461)</f>
        <v>12</v>
      </c>
      <c r="H461" s="38" t="n">
        <f aca="false">YEAR(Tabela1[[#This Row],[FECHA]])</f>
        <v>1900</v>
      </c>
      <c r="I4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2" customFormat="false" ht="15" hidden="false" customHeight="false" outlineLevel="0" collapsed="false">
      <c r="A462" s="41"/>
      <c r="G462" s="38" t="n">
        <f aca="false">MONTH(A462)</f>
        <v>12</v>
      </c>
      <c r="H462" s="38" t="n">
        <f aca="false">YEAR(Tabela1[[#This Row],[FECHA]])</f>
        <v>1900</v>
      </c>
      <c r="I4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3" customFormat="false" ht="15" hidden="false" customHeight="false" outlineLevel="0" collapsed="false">
      <c r="A463" s="41"/>
      <c r="G463" s="38" t="n">
        <f aca="false">MONTH(A463)</f>
        <v>12</v>
      </c>
      <c r="H463" s="38" t="n">
        <f aca="false">YEAR(Tabela1[[#This Row],[FECHA]])</f>
        <v>1900</v>
      </c>
      <c r="I4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4" customFormat="false" ht="15" hidden="false" customHeight="false" outlineLevel="0" collapsed="false">
      <c r="A464" s="41"/>
      <c r="G464" s="38" t="n">
        <f aca="false">MONTH(A464)</f>
        <v>12</v>
      </c>
      <c r="H464" s="38" t="n">
        <f aca="false">YEAR(Tabela1[[#This Row],[FECHA]])</f>
        <v>1900</v>
      </c>
      <c r="I4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5" customFormat="false" ht="15" hidden="false" customHeight="false" outlineLevel="0" collapsed="false">
      <c r="A465" s="41"/>
      <c r="G465" s="38" t="n">
        <f aca="false">MONTH(A465)</f>
        <v>12</v>
      </c>
      <c r="H465" s="38" t="n">
        <f aca="false">YEAR(Tabela1[[#This Row],[FECHA]])</f>
        <v>1900</v>
      </c>
      <c r="I4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6" customFormat="false" ht="15" hidden="false" customHeight="false" outlineLevel="0" collapsed="false">
      <c r="A466" s="41"/>
      <c r="G466" s="38" t="n">
        <f aca="false">MONTH(A466)</f>
        <v>12</v>
      </c>
      <c r="H466" s="38" t="n">
        <f aca="false">YEAR(Tabela1[[#This Row],[FECHA]])</f>
        <v>1900</v>
      </c>
      <c r="I4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7" customFormat="false" ht="15" hidden="false" customHeight="false" outlineLevel="0" collapsed="false">
      <c r="A467" s="41"/>
      <c r="G467" s="38" t="n">
        <f aca="false">MONTH(A467)</f>
        <v>12</v>
      </c>
      <c r="H467" s="38" t="n">
        <f aca="false">YEAR(Tabela1[[#This Row],[FECHA]])</f>
        <v>1900</v>
      </c>
      <c r="I4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8" customFormat="false" ht="15" hidden="false" customHeight="false" outlineLevel="0" collapsed="false">
      <c r="A468" s="41"/>
      <c r="G468" s="38" t="n">
        <f aca="false">MONTH(A468)</f>
        <v>12</v>
      </c>
      <c r="H468" s="38" t="n">
        <f aca="false">YEAR(Tabela1[[#This Row],[FECHA]])</f>
        <v>1900</v>
      </c>
      <c r="I4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9" customFormat="false" ht="15" hidden="false" customHeight="false" outlineLevel="0" collapsed="false">
      <c r="A469" s="41"/>
      <c r="G469" s="38" t="n">
        <f aca="false">MONTH(A469)</f>
        <v>12</v>
      </c>
      <c r="H469" s="38" t="n">
        <f aca="false">YEAR(Tabela1[[#This Row],[FECHA]])</f>
        <v>1900</v>
      </c>
      <c r="I4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0" customFormat="false" ht="15" hidden="false" customHeight="false" outlineLevel="0" collapsed="false">
      <c r="A470" s="41"/>
      <c r="G470" s="38" t="n">
        <f aca="false">MONTH(A470)</f>
        <v>12</v>
      </c>
      <c r="H470" s="38" t="n">
        <f aca="false">YEAR(Tabela1[[#This Row],[FECHA]])</f>
        <v>1900</v>
      </c>
      <c r="I4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1" customFormat="false" ht="15" hidden="false" customHeight="false" outlineLevel="0" collapsed="false">
      <c r="A471" s="41"/>
      <c r="G471" s="38" t="n">
        <f aca="false">MONTH(A471)</f>
        <v>12</v>
      </c>
      <c r="H471" s="38" t="n">
        <f aca="false">YEAR(Tabela1[[#This Row],[FECHA]])</f>
        <v>1900</v>
      </c>
      <c r="I4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2" customFormat="false" ht="15" hidden="false" customHeight="false" outlineLevel="0" collapsed="false">
      <c r="A472" s="41"/>
      <c r="G472" s="38" t="n">
        <f aca="false">MONTH(A472)</f>
        <v>12</v>
      </c>
      <c r="H472" s="38" t="n">
        <f aca="false">YEAR(Tabela1[[#This Row],[FECHA]])</f>
        <v>1900</v>
      </c>
      <c r="I4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3" customFormat="false" ht="15" hidden="false" customHeight="false" outlineLevel="0" collapsed="false">
      <c r="A473" s="41"/>
      <c r="G473" s="38" t="n">
        <f aca="false">MONTH(A473)</f>
        <v>12</v>
      </c>
      <c r="H473" s="38" t="n">
        <f aca="false">YEAR(Tabela1[[#This Row],[FECHA]])</f>
        <v>1900</v>
      </c>
      <c r="I4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4" customFormat="false" ht="15" hidden="false" customHeight="false" outlineLevel="0" collapsed="false">
      <c r="A474" s="41"/>
      <c r="G474" s="38" t="n">
        <f aca="false">MONTH(A474)</f>
        <v>12</v>
      </c>
      <c r="H474" s="38" t="n">
        <f aca="false">YEAR(Tabela1[[#This Row],[FECHA]])</f>
        <v>1900</v>
      </c>
      <c r="I4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5" customFormat="false" ht="15" hidden="false" customHeight="false" outlineLevel="0" collapsed="false">
      <c r="A475" s="41"/>
      <c r="G475" s="38" t="n">
        <f aca="false">MONTH(A475)</f>
        <v>12</v>
      </c>
      <c r="H475" s="38" t="n">
        <f aca="false">YEAR(Tabela1[[#This Row],[FECHA]])</f>
        <v>1900</v>
      </c>
      <c r="I4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6" customFormat="false" ht="15" hidden="false" customHeight="false" outlineLevel="0" collapsed="false">
      <c r="A476" s="41"/>
      <c r="G476" s="38" t="n">
        <f aca="false">MONTH(A476)</f>
        <v>12</v>
      </c>
      <c r="H476" s="38" t="n">
        <f aca="false">YEAR(Tabela1[[#This Row],[FECHA]])</f>
        <v>1900</v>
      </c>
      <c r="I4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7" customFormat="false" ht="15" hidden="false" customHeight="false" outlineLevel="0" collapsed="false">
      <c r="A477" s="41"/>
      <c r="G477" s="38" t="n">
        <f aca="false">MONTH(A477)</f>
        <v>12</v>
      </c>
      <c r="H477" s="38" t="n">
        <f aca="false">YEAR(Tabela1[[#This Row],[FECHA]])</f>
        <v>1900</v>
      </c>
      <c r="I4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8" customFormat="false" ht="15" hidden="false" customHeight="false" outlineLevel="0" collapsed="false">
      <c r="A478" s="41"/>
      <c r="G478" s="38" t="n">
        <f aca="false">MONTH(A478)</f>
        <v>12</v>
      </c>
      <c r="H478" s="38" t="n">
        <f aca="false">YEAR(Tabela1[[#This Row],[FECHA]])</f>
        <v>1900</v>
      </c>
      <c r="I4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9" customFormat="false" ht="15" hidden="false" customHeight="false" outlineLevel="0" collapsed="false">
      <c r="A479" s="41"/>
      <c r="G479" s="38" t="n">
        <f aca="false">MONTH(A479)</f>
        <v>12</v>
      </c>
      <c r="H479" s="38" t="n">
        <f aca="false">YEAR(Tabela1[[#This Row],[FECHA]])</f>
        <v>1900</v>
      </c>
      <c r="I4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0" customFormat="false" ht="15" hidden="false" customHeight="false" outlineLevel="0" collapsed="false">
      <c r="A480" s="41"/>
      <c r="G480" s="38" t="n">
        <f aca="false">MONTH(A480)</f>
        <v>12</v>
      </c>
      <c r="H480" s="38" t="n">
        <f aca="false">YEAR(Tabela1[[#This Row],[FECHA]])</f>
        <v>1900</v>
      </c>
      <c r="I4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1" customFormat="false" ht="15" hidden="false" customHeight="false" outlineLevel="0" collapsed="false">
      <c r="A481" s="41"/>
      <c r="G481" s="38" t="n">
        <f aca="false">MONTH(A481)</f>
        <v>12</v>
      </c>
      <c r="H481" s="38" t="n">
        <f aca="false">YEAR(Tabela1[[#This Row],[FECHA]])</f>
        <v>1900</v>
      </c>
      <c r="I4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2" customFormat="false" ht="15" hidden="false" customHeight="false" outlineLevel="0" collapsed="false">
      <c r="A482" s="41"/>
      <c r="G482" s="38" t="n">
        <f aca="false">MONTH(A482)</f>
        <v>12</v>
      </c>
      <c r="H482" s="38" t="n">
        <f aca="false">YEAR(Tabela1[[#This Row],[FECHA]])</f>
        <v>1900</v>
      </c>
      <c r="I4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3" customFormat="false" ht="15" hidden="false" customHeight="false" outlineLevel="0" collapsed="false">
      <c r="A483" s="41"/>
      <c r="G483" s="38" t="n">
        <f aca="false">MONTH(A483)</f>
        <v>12</v>
      </c>
      <c r="H483" s="38" t="n">
        <f aca="false">YEAR(Tabela1[[#This Row],[FECHA]])</f>
        <v>1900</v>
      </c>
      <c r="I4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4" customFormat="false" ht="15" hidden="false" customHeight="false" outlineLevel="0" collapsed="false">
      <c r="A484" s="41"/>
      <c r="G484" s="38" t="n">
        <f aca="false">MONTH(A484)</f>
        <v>12</v>
      </c>
      <c r="H484" s="38" t="n">
        <f aca="false">YEAR(Tabela1[[#This Row],[FECHA]])</f>
        <v>1900</v>
      </c>
      <c r="I4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5" customFormat="false" ht="15" hidden="false" customHeight="false" outlineLevel="0" collapsed="false">
      <c r="A485" s="41"/>
      <c r="G485" s="38" t="n">
        <f aca="false">MONTH(A485)</f>
        <v>12</v>
      </c>
      <c r="H485" s="38" t="n">
        <f aca="false">YEAR(Tabela1[[#This Row],[FECHA]])</f>
        <v>1900</v>
      </c>
      <c r="I4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6" customFormat="false" ht="15" hidden="false" customHeight="false" outlineLevel="0" collapsed="false">
      <c r="A486" s="41"/>
      <c r="G486" s="38" t="n">
        <f aca="false">MONTH(A486)</f>
        <v>12</v>
      </c>
      <c r="H486" s="38" t="n">
        <f aca="false">YEAR(Tabela1[[#This Row],[FECHA]])</f>
        <v>1900</v>
      </c>
      <c r="I4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7" customFormat="false" ht="15" hidden="false" customHeight="false" outlineLevel="0" collapsed="false">
      <c r="A487" s="41"/>
      <c r="G487" s="38" t="n">
        <f aca="false">MONTH(A487)</f>
        <v>12</v>
      </c>
      <c r="H487" s="38" t="n">
        <f aca="false">YEAR(Tabela1[[#This Row],[FECHA]])</f>
        <v>1900</v>
      </c>
      <c r="I4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8" customFormat="false" ht="15" hidden="false" customHeight="false" outlineLevel="0" collapsed="false">
      <c r="A488" s="41"/>
      <c r="G488" s="38" t="n">
        <f aca="false">MONTH(A488)</f>
        <v>12</v>
      </c>
      <c r="H488" s="38" t="n">
        <f aca="false">YEAR(Tabela1[[#This Row],[FECHA]])</f>
        <v>1900</v>
      </c>
      <c r="I4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9" customFormat="false" ht="15" hidden="false" customHeight="false" outlineLevel="0" collapsed="false">
      <c r="A489" s="41"/>
      <c r="G489" s="38" t="n">
        <f aca="false">MONTH(A489)</f>
        <v>12</v>
      </c>
      <c r="H489" s="38" t="n">
        <f aca="false">YEAR(Tabela1[[#This Row],[FECHA]])</f>
        <v>1900</v>
      </c>
      <c r="I4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0" customFormat="false" ht="15" hidden="false" customHeight="false" outlineLevel="0" collapsed="false">
      <c r="A490" s="41"/>
      <c r="G490" s="38" t="n">
        <f aca="false">MONTH(A490)</f>
        <v>12</v>
      </c>
      <c r="H490" s="38" t="n">
        <f aca="false">YEAR(Tabela1[[#This Row],[FECHA]])</f>
        <v>1900</v>
      </c>
      <c r="I4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1" customFormat="false" ht="15" hidden="false" customHeight="false" outlineLevel="0" collapsed="false">
      <c r="A491" s="41"/>
      <c r="G491" s="38" t="n">
        <f aca="false">MONTH(A491)</f>
        <v>12</v>
      </c>
      <c r="H491" s="38" t="n">
        <f aca="false">YEAR(Tabela1[[#This Row],[FECHA]])</f>
        <v>1900</v>
      </c>
      <c r="I4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2" customFormat="false" ht="15" hidden="false" customHeight="false" outlineLevel="0" collapsed="false">
      <c r="A492" s="41"/>
      <c r="G492" s="38" t="n">
        <f aca="false">MONTH(A492)</f>
        <v>12</v>
      </c>
      <c r="H492" s="38" t="n">
        <f aca="false">YEAR(Tabela1[[#This Row],[FECHA]])</f>
        <v>1900</v>
      </c>
      <c r="I4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3" customFormat="false" ht="15" hidden="false" customHeight="false" outlineLevel="0" collapsed="false">
      <c r="A493" s="41"/>
      <c r="G493" s="38" t="n">
        <f aca="false">MONTH(A493)</f>
        <v>12</v>
      </c>
      <c r="H493" s="38" t="n">
        <f aca="false">YEAR(Tabela1[[#This Row],[FECHA]])</f>
        <v>1900</v>
      </c>
      <c r="I4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4" customFormat="false" ht="15" hidden="false" customHeight="false" outlineLevel="0" collapsed="false">
      <c r="A494" s="41"/>
      <c r="G494" s="38" t="n">
        <f aca="false">MONTH(A494)</f>
        <v>12</v>
      </c>
      <c r="H494" s="38" t="n">
        <f aca="false">YEAR(Tabela1[[#This Row],[FECHA]])</f>
        <v>1900</v>
      </c>
      <c r="I4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5" customFormat="false" ht="15" hidden="false" customHeight="false" outlineLevel="0" collapsed="false">
      <c r="A495" s="41"/>
      <c r="G495" s="38" t="n">
        <f aca="false">MONTH(A495)</f>
        <v>12</v>
      </c>
      <c r="H495" s="38" t="n">
        <f aca="false">YEAR(Tabela1[[#This Row],[FECHA]])</f>
        <v>1900</v>
      </c>
      <c r="I4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6" customFormat="false" ht="15" hidden="false" customHeight="false" outlineLevel="0" collapsed="false">
      <c r="A496" s="41"/>
      <c r="G496" s="38" t="n">
        <f aca="false">MONTH(A496)</f>
        <v>12</v>
      </c>
      <c r="H496" s="38" t="n">
        <f aca="false">YEAR(Tabela1[[#This Row],[FECHA]])</f>
        <v>1900</v>
      </c>
      <c r="I4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7" customFormat="false" ht="15" hidden="false" customHeight="false" outlineLevel="0" collapsed="false">
      <c r="A497" s="41"/>
      <c r="G497" s="38" t="n">
        <f aca="false">MONTH(A497)</f>
        <v>12</v>
      </c>
      <c r="H497" s="38" t="n">
        <f aca="false">YEAR(Tabela1[[#This Row],[FECHA]])</f>
        <v>1900</v>
      </c>
      <c r="I4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8" customFormat="false" ht="15" hidden="false" customHeight="false" outlineLevel="0" collapsed="false">
      <c r="A498" s="41"/>
      <c r="G498" s="38" t="n">
        <f aca="false">MONTH(A498)</f>
        <v>12</v>
      </c>
      <c r="H498" s="38" t="n">
        <f aca="false">YEAR(Tabela1[[#This Row],[FECHA]])</f>
        <v>1900</v>
      </c>
      <c r="I4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9" customFormat="false" ht="15" hidden="false" customHeight="false" outlineLevel="0" collapsed="false">
      <c r="A499" s="41"/>
      <c r="G499" s="38" t="n">
        <f aca="false">MONTH(A499)</f>
        <v>12</v>
      </c>
      <c r="H499" s="38" t="n">
        <f aca="false">YEAR(Tabela1[[#This Row],[FECHA]])</f>
        <v>1900</v>
      </c>
      <c r="I4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0" customFormat="false" ht="15" hidden="false" customHeight="false" outlineLevel="0" collapsed="false">
      <c r="A500" s="41"/>
      <c r="G500" s="38" t="n">
        <f aca="false">MONTH(A500)</f>
        <v>12</v>
      </c>
      <c r="H500" s="38" t="n">
        <f aca="false">YEAR(Tabela1[[#This Row],[FECHA]])</f>
        <v>1900</v>
      </c>
      <c r="I5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1" customFormat="false" ht="15" hidden="false" customHeight="false" outlineLevel="0" collapsed="false">
      <c r="A501" s="41"/>
      <c r="G501" s="38" t="n">
        <f aca="false">MONTH(A501)</f>
        <v>12</v>
      </c>
      <c r="H501" s="38" t="n">
        <f aca="false">YEAR(Tabela1[[#This Row],[FECHA]])</f>
        <v>1900</v>
      </c>
      <c r="I5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2" customFormat="false" ht="15" hidden="false" customHeight="false" outlineLevel="0" collapsed="false">
      <c r="A502" s="41"/>
      <c r="G502" s="38" t="n">
        <f aca="false">MONTH(A502)</f>
        <v>12</v>
      </c>
      <c r="H502" s="38" t="n">
        <f aca="false">YEAR(Tabela1[[#This Row],[FECHA]])</f>
        <v>1900</v>
      </c>
      <c r="I5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3" customFormat="false" ht="15" hidden="false" customHeight="false" outlineLevel="0" collapsed="false">
      <c r="A503" s="41"/>
      <c r="G503" s="38" t="n">
        <f aca="false">MONTH(A503)</f>
        <v>12</v>
      </c>
      <c r="H503" s="38" t="n">
        <f aca="false">YEAR(Tabela1[[#This Row],[FECHA]])</f>
        <v>1900</v>
      </c>
      <c r="I5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4" customFormat="false" ht="15" hidden="false" customHeight="false" outlineLevel="0" collapsed="false">
      <c r="A504" s="41"/>
      <c r="G504" s="38" t="n">
        <f aca="false">MONTH(A504)</f>
        <v>12</v>
      </c>
      <c r="H504" s="38" t="n">
        <f aca="false">YEAR(Tabela1[[#This Row],[FECHA]])</f>
        <v>1900</v>
      </c>
      <c r="I5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5" customFormat="false" ht="15" hidden="false" customHeight="false" outlineLevel="0" collapsed="false">
      <c r="A505" s="41"/>
      <c r="G505" s="38" t="n">
        <f aca="false">MONTH(A505)</f>
        <v>12</v>
      </c>
      <c r="H505" s="38" t="n">
        <f aca="false">YEAR(Tabela1[[#This Row],[FECHA]])</f>
        <v>1900</v>
      </c>
      <c r="I5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6" customFormat="false" ht="15" hidden="false" customHeight="false" outlineLevel="0" collapsed="false">
      <c r="A506" s="41"/>
      <c r="G506" s="38" t="n">
        <f aca="false">MONTH(A506)</f>
        <v>12</v>
      </c>
      <c r="H506" s="38" t="n">
        <f aca="false">YEAR(Tabela1[[#This Row],[FECHA]])</f>
        <v>1900</v>
      </c>
      <c r="I5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7" customFormat="false" ht="15" hidden="false" customHeight="false" outlineLevel="0" collapsed="false">
      <c r="A507" s="41"/>
      <c r="G507" s="38" t="n">
        <f aca="false">MONTH(A507)</f>
        <v>12</v>
      </c>
      <c r="H507" s="38" t="n">
        <f aca="false">YEAR(Tabela1[[#This Row],[FECHA]])</f>
        <v>1900</v>
      </c>
      <c r="I5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8" customFormat="false" ht="15" hidden="false" customHeight="false" outlineLevel="0" collapsed="false">
      <c r="A508" s="41"/>
      <c r="G508" s="38" t="n">
        <f aca="false">MONTH(A508)</f>
        <v>12</v>
      </c>
      <c r="H508" s="38" t="n">
        <f aca="false">YEAR(Tabela1[[#This Row],[FECHA]])</f>
        <v>1900</v>
      </c>
      <c r="I5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9" customFormat="false" ht="15" hidden="false" customHeight="false" outlineLevel="0" collapsed="false">
      <c r="A509" s="41"/>
      <c r="G509" s="38" t="n">
        <f aca="false">MONTH(A509)</f>
        <v>12</v>
      </c>
      <c r="H509" s="38" t="n">
        <f aca="false">YEAR(Tabela1[[#This Row],[FECHA]])</f>
        <v>1900</v>
      </c>
      <c r="I5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0" customFormat="false" ht="15" hidden="false" customHeight="false" outlineLevel="0" collapsed="false">
      <c r="A510" s="41"/>
      <c r="G510" s="38" t="n">
        <f aca="false">MONTH(A510)</f>
        <v>12</v>
      </c>
      <c r="H510" s="38" t="n">
        <f aca="false">YEAR(Tabela1[[#This Row],[FECHA]])</f>
        <v>1900</v>
      </c>
      <c r="I5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1" customFormat="false" ht="15" hidden="false" customHeight="false" outlineLevel="0" collapsed="false">
      <c r="A511" s="41"/>
      <c r="G511" s="38" t="n">
        <f aca="false">MONTH(A511)</f>
        <v>12</v>
      </c>
      <c r="H511" s="38" t="n">
        <f aca="false">YEAR(Tabela1[[#This Row],[FECHA]])</f>
        <v>1900</v>
      </c>
      <c r="I5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2" customFormat="false" ht="15" hidden="false" customHeight="false" outlineLevel="0" collapsed="false">
      <c r="A512" s="41"/>
      <c r="G512" s="38" t="n">
        <f aca="false">MONTH(A512)</f>
        <v>12</v>
      </c>
      <c r="H512" s="38" t="n">
        <f aca="false">YEAR(Tabela1[[#This Row],[FECHA]])</f>
        <v>1900</v>
      </c>
      <c r="I5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3" customFormat="false" ht="15" hidden="false" customHeight="false" outlineLevel="0" collapsed="false">
      <c r="A513" s="41"/>
      <c r="G513" s="38" t="n">
        <f aca="false">MONTH(A513)</f>
        <v>12</v>
      </c>
      <c r="H513" s="38" t="n">
        <f aca="false">YEAR(Tabela1[[#This Row],[FECHA]])</f>
        <v>1900</v>
      </c>
      <c r="I5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4" customFormat="false" ht="15" hidden="false" customHeight="false" outlineLevel="0" collapsed="false">
      <c r="A514" s="41"/>
      <c r="G514" s="38" t="n">
        <f aca="false">MONTH(A514)</f>
        <v>12</v>
      </c>
      <c r="H514" s="38" t="n">
        <f aca="false">YEAR(Tabela1[[#This Row],[FECHA]])</f>
        <v>1900</v>
      </c>
      <c r="I5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5" customFormat="false" ht="15" hidden="false" customHeight="false" outlineLevel="0" collapsed="false">
      <c r="A515" s="41"/>
      <c r="G515" s="38" t="n">
        <f aca="false">MONTH(A515)</f>
        <v>12</v>
      </c>
      <c r="H515" s="38" t="n">
        <f aca="false">YEAR(Tabela1[[#This Row],[FECHA]])</f>
        <v>1900</v>
      </c>
      <c r="I5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6" customFormat="false" ht="15" hidden="false" customHeight="false" outlineLevel="0" collapsed="false">
      <c r="A516" s="41"/>
      <c r="G516" s="38" t="n">
        <f aca="false">MONTH(A516)</f>
        <v>12</v>
      </c>
      <c r="H516" s="38" t="n">
        <f aca="false">YEAR(Tabela1[[#This Row],[FECHA]])</f>
        <v>1900</v>
      </c>
      <c r="I5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7" customFormat="false" ht="15" hidden="false" customHeight="false" outlineLevel="0" collapsed="false">
      <c r="A517" s="41"/>
      <c r="G517" s="38" t="n">
        <f aca="false">MONTH(A517)</f>
        <v>12</v>
      </c>
      <c r="H517" s="38" t="n">
        <f aca="false">YEAR(Tabela1[[#This Row],[FECHA]])</f>
        <v>1900</v>
      </c>
      <c r="I5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8" customFormat="false" ht="15" hidden="false" customHeight="false" outlineLevel="0" collapsed="false">
      <c r="A518" s="41"/>
      <c r="G518" s="38" t="n">
        <f aca="false">MONTH(A518)</f>
        <v>12</v>
      </c>
      <c r="H518" s="38" t="n">
        <f aca="false">YEAR(Tabela1[[#This Row],[FECHA]])</f>
        <v>1900</v>
      </c>
      <c r="I5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9" customFormat="false" ht="15" hidden="false" customHeight="false" outlineLevel="0" collapsed="false">
      <c r="A519" s="41"/>
      <c r="G519" s="38" t="n">
        <f aca="false">MONTH(A519)</f>
        <v>12</v>
      </c>
      <c r="H519" s="38" t="n">
        <f aca="false">YEAR(Tabela1[[#This Row],[FECHA]])</f>
        <v>1900</v>
      </c>
      <c r="I5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0" customFormat="false" ht="15" hidden="false" customHeight="false" outlineLevel="0" collapsed="false">
      <c r="A520" s="41"/>
      <c r="G520" s="38" t="n">
        <f aca="false">MONTH(A520)</f>
        <v>12</v>
      </c>
      <c r="H520" s="38" t="n">
        <f aca="false">YEAR(Tabela1[[#This Row],[FECHA]])</f>
        <v>1900</v>
      </c>
      <c r="I5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1" customFormat="false" ht="15" hidden="false" customHeight="false" outlineLevel="0" collapsed="false">
      <c r="A521" s="41"/>
      <c r="G521" s="38" t="n">
        <f aca="false">MONTH(A521)</f>
        <v>12</v>
      </c>
      <c r="H521" s="38" t="n">
        <f aca="false">YEAR(Tabela1[[#This Row],[FECHA]])</f>
        <v>1900</v>
      </c>
      <c r="I5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2" customFormat="false" ht="15" hidden="false" customHeight="false" outlineLevel="0" collapsed="false">
      <c r="A522" s="41"/>
      <c r="G522" s="38" t="n">
        <f aca="false">MONTH(A522)</f>
        <v>12</v>
      </c>
      <c r="H522" s="38" t="n">
        <f aca="false">YEAR(Tabela1[[#This Row],[FECHA]])</f>
        <v>1900</v>
      </c>
      <c r="I5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3" customFormat="false" ht="15" hidden="false" customHeight="false" outlineLevel="0" collapsed="false">
      <c r="A523" s="41"/>
      <c r="G523" s="38" t="n">
        <f aca="false">MONTH(A523)</f>
        <v>12</v>
      </c>
      <c r="H523" s="38" t="n">
        <f aca="false">YEAR(Tabela1[[#This Row],[FECHA]])</f>
        <v>1900</v>
      </c>
      <c r="I5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4" customFormat="false" ht="15" hidden="false" customHeight="false" outlineLevel="0" collapsed="false">
      <c r="A524" s="41"/>
      <c r="G524" s="38" t="n">
        <f aca="false">MONTH(A524)</f>
        <v>12</v>
      </c>
      <c r="H524" s="38" t="n">
        <f aca="false">YEAR(Tabela1[[#This Row],[FECHA]])</f>
        <v>1900</v>
      </c>
      <c r="I5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5" customFormat="false" ht="15" hidden="false" customHeight="false" outlineLevel="0" collapsed="false">
      <c r="A525" s="41"/>
      <c r="G525" s="38" t="n">
        <f aca="false">MONTH(A525)</f>
        <v>12</v>
      </c>
      <c r="H525" s="38" t="n">
        <f aca="false">YEAR(Tabela1[[#This Row],[FECHA]])</f>
        <v>1900</v>
      </c>
      <c r="I5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6" customFormat="false" ht="15" hidden="false" customHeight="false" outlineLevel="0" collapsed="false">
      <c r="A526" s="41"/>
      <c r="G526" s="38" t="n">
        <f aca="false">MONTH(A526)</f>
        <v>12</v>
      </c>
      <c r="H526" s="38" t="n">
        <f aca="false">YEAR(Tabela1[[#This Row],[FECHA]])</f>
        <v>1900</v>
      </c>
      <c r="I5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7" customFormat="false" ht="15" hidden="false" customHeight="false" outlineLevel="0" collapsed="false">
      <c r="A527" s="41"/>
      <c r="G527" s="38" t="n">
        <f aca="false">MONTH(A527)</f>
        <v>12</v>
      </c>
      <c r="H527" s="38" t="n">
        <f aca="false">YEAR(Tabela1[[#This Row],[FECHA]])</f>
        <v>1900</v>
      </c>
      <c r="I5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8" customFormat="false" ht="15" hidden="false" customHeight="false" outlineLevel="0" collapsed="false">
      <c r="A528" s="41"/>
      <c r="G528" s="38" t="n">
        <f aca="false">MONTH(A528)</f>
        <v>12</v>
      </c>
      <c r="H528" s="38" t="n">
        <f aca="false">YEAR(Tabela1[[#This Row],[FECHA]])</f>
        <v>1900</v>
      </c>
      <c r="I5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9" customFormat="false" ht="15" hidden="false" customHeight="false" outlineLevel="0" collapsed="false">
      <c r="A529" s="41"/>
      <c r="G529" s="38" t="n">
        <f aca="false">MONTH(A529)</f>
        <v>12</v>
      </c>
      <c r="H529" s="38" t="n">
        <f aca="false">YEAR(Tabela1[[#This Row],[FECHA]])</f>
        <v>1900</v>
      </c>
      <c r="I5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0" customFormat="false" ht="15" hidden="false" customHeight="false" outlineLevel="0" collapsed="false">
      <c r="A530" s="41"/>
      <c r="G530" s="38" t="n">
        <f aca="false">MONTH(A530)</f>
        <v>12</v>
      </c>
      <c r="H530" s="38" t="n">
        <f aca="false">YEAR(Tabela1[[#This Row],[FECHA]])</f>
        <v>1900</v>
      </c>
      <c r="I5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1" customFormat="false" ht="15" hidden="false" customHeight="false" outlineLevel="0" collapsed="false">
      <c r="A531" s="41"/>
      <c r="G531" s="38" t="n">
        <f aca="false">MONTH(A531)</f>
        <v>12</v>
      </c>
      <c r="H531" s="38" t="n">
        <f aca="false">YEAR(Tabela1[[#This Row],[FECHA]])</f>
        <v>1900</v>
      </c>
      <c r="I5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2" customFormat="false" ht="15" hidden="false" customHeight="false" outlineLevel="0" collapsed="false">
      <c r="A532" s="41"/>
      <c r="G532" s="38" t="n">
        <f aca="false">MONTH(A532)</f>
        <v>12</v>
      </c>
      <c r="H532" s="38" t="n">
        <f aca="false">YEAR(Tabela1[[#This Row],[FECHA]])</f>
        <v>1900</v>
      </c>
      <c r="I5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3" customFormat="false" ht="15" hidden="false" customHeight="false" outlineLevel="0" collapsed="false">
      <c r="A533" s="41"/>
      <c r="G533" s="38" t="n">
        <f aca="false">MONTH(A533)</f>
        <v>12</v>
      </c>
      <c r="H533" s="38" t="n">
        <f aca="false">YEAR(Tabela1[[#This Row],[FECHA]])</f>
        <v>1900</v>
      </c>
      <c r="I5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4" customFormat="false" ht="15" hidden="false" customHeight="false" outlineLevel="0" collapsed="false">
      <c r="A534" s="41"/>
      <c r="G534" s="38" t="n">
        <f aca="false">MONTH(A534)</f>
        <v>12</v>
      </c>
      <c r="H534" s="38" t="n">
        <f aca="false">YEAR(Tabela1[[#This Row],[FECHA]])</f>
        <v>1900</v>
      </c>
      <c r="I5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5" customFormat="false" ht="15" hidden="false" customHeight="false" outlineLevel="0" collapsed="false">
      <c r="A535" s="41"/>
      <c r="G535" s="38" t="n">
        <f aca="false">MONTH(A535)</f>
        <v>12</v>
      </c>
      <c r="H535" s="38" t="n">
        <f aca="false">YEAR(Tabela1[[#This Row],[FECHA]])</f>
        <v>1900</v>
      </c>
      <c r="I5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6" customFormat="false" ht="15" hidden="false" customHeight="false" outlineLevel="0" collapsed="false">
      <c r="A536" s="41"/>
      <c r="G536" s="38" t="n">
        <f aca="false">MONTH(A536)</f>
        <v>12</v>
      </c>
      <c r="H536" s="38" t="n">
        <f aca="false">YEAR(Tabela1[[#This Row],[FECHA]])</f>
        <v>1900</v>
      </c>
      <c r="I5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7" customFormat="false" ht="15" hidden="false" customHeight="false" outlineLevel="0" collapsed="false">
      <c r="A537" s="41"/>
      <c r="G537" s="38" t="n">
        <f aca="false">MONTH(A537)</f>
        <v>12</v>
      </c>
      <c r="H537" s="38" t="n">
        <f aca="false">YEAR(Tabela1[[#This Row],[FECHA]])</f>
        <v>1900</v>
      </c>
      <c r="I5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8" customFormat="false" ht="15" hidden="false" customHeight="false" outlineLevel="0" collapsed="false">
      <c r="A538" s="41"/>
      <c r="G538" s="38" t="n">
        <f aca="false">MONTH(A538)</f>
        <v>12</v>
      </c>
      <c r="H538" s="38" t="n">
        <f aca="false">YEAR(Tabela1[[#This Row],[FECHA]])</f>
        <v>1900</v>
      </c>
      <c r="I5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9" customFormat="false" ht="15" hidden="false" customHeight="false" outlineLevel="0" collapsed="false">
      <c r="A539" s="41"/>
      <c r="G539" s="38" t="n">
        <f aca="false">MONTH(A539)</f>
        <v>12</v>
      </c>
      <c r="H539" s="38" t="n">
        <f aca="false">YEAR(Tabela1[[#This Row],[FECHA]])</f>
        <v>1900</v>
      </c>
      <c r="I5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0" customFormat="false" ht="15" hidden="false" customHeight="false" outlineLevel="0" collapsed="false">
      <c r="A540" s="41"/>
      <c r="G540" s="38" t="n">
        <f aca="false">MONTH(A540)</f>
        <v>12</v>
      </c>
      <c r="H540" s="38" t="n">
        <f aca="false">YEAR(Tabela1[[#This Row],[FECHA]])</f>
        <v>1900</v>
      </c>
      <c r="I5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1" customFormat="false" ht="15" hidden="false" customHeight="false" outlineLevel="0" collapsed="false">
      <c r="A541" s="41"/>
      <c r="G541" s="38" t="n">
        <f aca="false">MONTH(A541)</f>
        <v>12</v>
      </c>
      <c r="H541" s="38" t="n">
        <f aca="false">YEAR(Tabela1[[#This Row],[FECHA]])</f>
        <v>1900</v>
      </c>
      <c r="I5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2" customFormat="false" ht="15" hidden="false" customHeight="false" outlineLevel="0" collapsed="false">
      <c r="A542" s="41"/>
      <c r="G542" s="38" t="n">
        <f aca="false">MONTH(A542)</f>
        <v>12</v>
      </c>
      <c r="H542" s="38" t="n">
        <f aca="false">YEAR(Tabela1[[#This Row],[FECHA]])</f>
        <v>1900</v>
      </c>
      <c r="I5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3" customFormat="false" ht="15" hidden="false" customHeight="false" outlineLevel="0" collapsed="false">
      <c r="A543" s="41"/>
      <c r="G543" s="38" t="n">
        <f aca="false">MONTH(A543)</f>
        <v>12</v>
      </c>
      <c r="H543" s="38" t="n">
        <f aca="false">YEAR(Tabela1[[#This Row],[FECHA]])</f>
        <v>1900</v>
      </c>
      <c r="I5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4" customFormat="false" ht="15" hidden="false" customHeight="false" outlineLevel="0" collapsed="false">
      <c r="A544" s="41"/>
      <c r="G544" s="38" t="n">
        <f aca="false">MONTH(A544)</f>
        <v>12</v>
      </c>
      <c r="H544" s="38" t="n">
        <f aca="false">YEAR(Tabela1[[#This Row],[FECHA]])</f>
        <v>1900</v>
      </c>
      <c r="I5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5" customFormat="false" ht="15" hidden="false" customHeight="false" outlineLevel="0" collapsed="false">
      <c r="A545" s="41"/>
      <c r="G545" s="38" t="n">
        <f aca="false">MONTH(A545)</f>
        <v>12</v>
      </c>
      <c r="H545" s="38" t="n">
        <f aca="false">YEAR(Tabela1[[#This Row],[FECHA]])</f>
        <v>1900</v>
      </c>
      <c r="I5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6" customFormat="false" ht="15" hidden="false" customHeight="false" outlineLevel="0" collapsed="false">
      <c r="A546" s="41"/>
      <c r="G546" s="38" t="n">
        <f aca="false">MONTH(A546)</f>
        <v>12</v>
      </c>
      <c r="H546" s="38" t="n">
        <f aca="false">YEAR(Tabela1[[#This Row],[FECHA]])</f>
        <v>1900</v>
      </c>
      <c r="I5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7" customFormat="false" ht="15" hidden="false" customHeight="false" outlineLevel="0" collapsed="false">
      <c r="A547" s="41"/>
      <c r="G547" s="38" t="n">
        <f aca="false">MONTH(A547)</f>
        <v>12</v>
      </c>
      <c r="H547" s="38" t="n">
        <f aca="false">YEAR(Tabela1[[#This Row],[FECHA]])</f>
        <v>1900</v>
      </c>
      <c r="I5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8" customFormat="false" ht="15" hidden="false" customHeight="false" outlineLevel="0" collapsed="false">
      <c r="A548" s="41"/>
      <c r="G548" s="38" t="n">
        <f aca="false">MONTH(A548)</f>
        <v>12</v>
      </c>
      <c r="H548" s="38" t="n">
        <f aca="false">YEAR(Tabela1[[#This Row],[FECHA]])</f>
        <v>1900</v>
      </c>
      <c r="I5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9" customFormat="false" ht="15" hidden="false" customHeight="false" outlineLevel="0" collapsed="false">
      <c r="A549" s="41"/>
      <c r="G549" s="38" t="n">
        <f aca="false">MONTH(A549)</f>
        <v>12</v>
      </c>
      <c r="H549" s="38" t="n">
        <f aca="false">YEAR(Tabela1[[#This Row],[FECHA]])</f>
        <v>1900</v>
      </c>
      <c r="I5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0" customFormat="false" ht="15" hidden="false" customHeight="false" outlineLevel="0" collapsed="false">
      <c r="A550" s="41"/>
      <c r="G550" s="38" t="n">
        <f aca="false">MONTH(A550)</f>
        <v>12</v>
      </c>
      <c r="H550" s="38" t="n">
        <f aca="false">YEAR(Tabela1[[#This Row],[FECHA]])</f>
        <v>1900</v>
      </c>
      <c r="I5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1" customFormat="false" ht="15" hidden="false" customHeight="false" outlineLevel="0" collapsed="false">
      <c r="A551" s="41"/>
      <c r="G551" s="38" t="n">
        <f aca="false">MONTH(A551)</f>
        <v>12</v>
      </c>
      <c r="H551" s="38" t="n">
        <f aca="false">YEAR(Tabela1[[#This Row],[FECHA]])</f>
        <v>1900</v>
      </c>
      <c r="I5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2" customFormat="false" ht="15" hidden="false" customHeight="false" outlineLevel="0" collapsed="false">
      <c r="A552" s="41"/>
      <c r="G552" s="38" t="n">
        <f aca="false">MONTH(A552)</f>
        <v>12</v>
      </c>
      <c r="H552" s="38" t="n">
        <f aca="false">YEAR(Tabela1[[#This Row],[FECHA]])</f>
        <v>1900</v>
      </c>
      <c r="I5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3" customFormat="false" ht="15" hidden="false" customHeight="false" outlineLevel="0" collapsed="false">
      <c r="A553" s="41"/>
      <c r="G553" s="38" t="n">
        <f aca="false">MONTH(A553)</f>
        <v>12</v>
      </c>
      <c r="H553" s="38" t="n">
        <f aca="false">YEAR(Tabela1[[#This Row],[FECHA]])</f>
        <v>1900</v>
      </c>
      <c r="I5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4" customFormat="false" ht="15" hidden="false" customHeight="false" outlineLevel="0" collapsed="false">
      <c r="A554" s="41"/>
      <c r="G554" s="38" t="n">
        <f aca="false">MONTH(A554)</f>
        <v>12</v>
      </c>
      <c r="H554" s="38" t="n">
        <f aca="false">YEAR(Tabela1[[#This Row],[FECHA]])</f>
        <v>1900</v>
      </c>
      <c r="I5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5" customFormat="false" ht="15" hidden="false" customHeight="false" outlineLevel="0" collapsed="false">
      <c r="A555" s="41"/>
      <c r="G555" s="38" t="n">
        <f aca="false">MONTH(A555)</f>
        <v>12</v>
      </c>
      <c r="H555" s="38" t="n">
        <f aca="false">YEAR(Tabela1[[#This Row],[FECHA]])</f>
        <v>1900</v>
      </c>
      <c r="I5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6" customFormat="false" ht="15" hidden="false" customHeight="false" outlineLevel="0" collapsed="false">
      <c r="A556" s="41"/>
      <c r="G556" s="38" t="n">
        <f aca="false">MONTH(A556)</f>
        <v>12</v>
      </c>
      <c r="H556" s="38" t="n">
        <f aca="false">YEAR(Tabela1[[#This Row],[FECHA]])</f>
        <v>1900</v>
      </c>
      <c r="I5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7" customFormat="false" ht="15" hidden="false" customHeight="false" outlineLevel="0" collapsed="false">
      <c r="A557" s="41"/>
      <c r="G557" s="38" t="n">
        <f aca="false">MONTH(A557)</f>
        <v>12</v>
      </c>
      <c r="H557" s="38" t="n">
        <f aca="false">YEAR(Tabela1[[#This Row],[FECHA]])</f>
        <v>1900</v>
      </c>
      <c r="I5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8" customFormat="false" ht="15" hidden="false" customHeight="false" outlineLevel="0" collapsed="false">
      <c r="A558" s="41"/>
      <c r="G558" s="38" t="n">
        <f aca="false">MONTH(A558)</f>
        <v>12</v>
      </c>
      <c r="H558" s="38" t="n">
        <f aca="false">YEAR(Tabela1[[#This Row],[FECHA]])</f>
        <v>1900</v>
      </c>
      <c r="I5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9" customFormat="false" ht="15" hidden="false" customHeight="false" outlineLevel="0" collapsed="false">
      <c r="A559" s="41"/>
      <c r="G559" s="38" t="n">
        <f aca="false">MONTH(A559)</f>
        <v>12</v>
      </c>
      <c r="H559" s="38" t="n">
        <f aca="false">YEAR(Tabela1[[#This Row],[FECHA]])</f>
        <v>1900</v>
      </c>
      <c r="I5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0" customFormat="false" ht="15" hidden="false" customHeight="false" outlineLevel="0" collapsed="false">
      <c r="A560" s="41"/>
      <c r="G560" s="38" t="n">
        <f aca="false">MONTH(A560)</f>
        <v>12</v>
      </c>
      <c r="H560" s="38" t="n">
        <f aca="false">YEAR(Tabela1[[#This Row],[FECHA]])</f>
        <v>1900</v>
      </c>
      <c r="I5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1" customFormat="false" ht="15" hidden="false" customHeight="false" outlineLevel="0" collapsed="false">
      <c r="A561" s="41"/>
      <c r="G561" s="38" t="n">
        <f aca="false">MONTH(A561)</f>
        <v>12</v>
      </c>
      <c r="H561" s="38" t="n">
        <f aca="false">YEAR(Tabela1[[#This Row],[FECHA]])</f>
        <v>1900</v>
      </c>
      <c r="I5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2" customFormat="false" ht="15" hidden="false" customHeight="false" outlineLevel="0" collapsed="false">
      <c r="A562" s="41"/>
      <c r="G562" s="38" t="n">
        <f aca="false">MONTH(A562)</f>
        <v>12</v>
      </c>
      <c r="H562" s="38" t="n">
        <f aca="false">YEAR(Tabela1[[#This Row],[FECHA]])</f>
        <v>1900</v>
      </c>
      <c r="I5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3" customFormat="false" ht="15" hidden="false" customHeight="false" outlineLevel="0" collapsed="false">
      <c r="A563" s="41"/>
      <c r="G563" s="38" t="n">
        <f aca="false">MONTH(A563)</f>
        <v>12</v>
      </c>
      <c r="H563" s="38" t="n">
        <f aca="false">YEAR(Tabela1[[#This Row],[FECHA]])</f>
        <v>1900</v>
      </c>
      <c r="I5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4" customFormat="false" ht="15" hidden="false" customHeight="false" outlineLevel="0" collapsed="false">
      <c r="A564" s="41"/>
      <c r="G564" s="38" t="n">
        <f aca="false">MONTH(A564)</f>
        <v>12</v>
      </c>
      <c r="H564" s="38" t="n">
        <f aca="false">YEAR(Tabela1[[#This Row],[FECHA]])</f>
        <v>1900</v>
      </c>
      <c r="I5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5" customFormat="false" ht="15" hidden="false" customHeight="false" outlineLevel="0" collapsed="false">
      <c r="A565" s="41"/>
      <c r="G565" s="38" t="n">
        <f aca="false">MONTH(A565)</f>
        <v>12</v>
      </c>
      <c r="H565" s="38" t="n">
        <f aca="false">YEAR(Tabela1[[#This Row],[FECHA]])</f>
        <v>1900</v>
      </c>
      <c r="I5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6" customFormat="false" ht="15" hidden="false" customHeight="false" outlineLevel="0" collapsed="false">
      <c r="A566" s="41"/>
      <c r="G566" s="38" t="n">
        <f aca="false">MONTH(A566)</f>
        <v>12</v>
      </c>
      <c r="H566" s="38" t="n">
        <f aca="false">YEAR(Tabela1[[#This Row],[FECHA]])</f>
        <v>1900</v>
      </c>
      <c r="I5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7" customFormat="false" ht="15" hidden="false" customHeight="false" outlineLevel="0" collapsed="false">
      <c r="A567" s="41"/>
      <c r="G567" s="38" t="n">
        <f aca="false">MONTH(A567)</f>
        <v>12</v>
      </c>
      <c r="H567" s="38" t="n">
        <f aca="false">YEAR(Tabela1[[#This Row],[FECHA]])</f>
        <v>1900</v>
      </c>
      <c r="I5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8" customFormat="false" ht="15" hidden="false" customHeight="false" outlineLevel="0" collapsed="false">
      <c r="A568" s="41"/>
      <c r="G568" s="38" t="n">
        <f aca="false">MONTH(A568)</f>
        <v>12</v>
      </c>
      <c r="H568" s="38" t="n">
        <f aca="false">YEAR(Tabela1[[#This Row],[FECHA]])</f>
        <v>1900</v>
      </c>
      <c r="I5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9" customFormat="false" ht="15" hidden="false" customHeight="false" outlineLevel="0" collapsed="false">
      <c r="A569" s="41"/>
      <c r="G569" s="38" t="n">
        <f aca="false">MONTH(A569)</f>
        <v>12</v>
      </c>
      <c r="H569" s="38" t="n">
        <f aca="false">YEAR(Tabela1[[#This Row],[FECHA]])</f>
        <v>1900</v>
      </c>
      <c r="I5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0" customFormat="false" ht="15" hidden="false" customHeight="false" outlineLevel="0" collapsed="false">
      <c r="A570" s="41"/>
      <c r="G570" s="38" t="n">
        <f aca="false">MONTH(A570)</f>
        <v>12</v>
      </c>
      <c r="H570" s="38" t="n">
        <f aca="false">YEAR(Tabela1[[#This Row],[FECHA]])</f>
        <v>1900</v>
      </c>
      <c r="I5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1" customFormat="false" ht="15" hidden="false" customHeight="false" outlineLevel="0" collapsed="false">
      <c r="A571" s="41"/>
      <c r="G571" s="38" t="n">
        <f aca="false">MONTH(A571)</f>
        <v>12</v>
      </c>
      <c r="H571" s="38" t="n">
        <f aca="false">YEAR(Tabela1[[#This Row],[FECHA]])</f>
        <v>1900</v>
      </c>
      <c r="I5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2" customFormat="false" ht="15" hidden="false" customHeight="false" outlineLevel="0" collapsed="false">
      <c r="A572" s="41"/>
      <c r="G572" s="38" t="n">
        <f aca="false">MONTH(A572)</f>
        <v>12</v>
      </c>
      <c r="H572" s="38" t="n">
        <f aca="false">YEAR(Tabela1[[#This Row],[FECHA]])</f>
        <v>1900</v>
      </c>
      <c r="I5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3" customFormat="false" ht="15" hidden="false" customHeight="false" outlineLevel="0" collapsed="false">
      <c r="A573" s="41"/>
      <c r="G573" s="38" t="n">
        <f aca="false">MONTH(A573)</f>
        <v>12</v>
      </c>
      <c r="H573" s="38" t="n">
        <f aca="false">YEAR(Tabela1[[#This Row],[FECHA]])</f>
        <v>1900</v>
      </c>
      <c r="I5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4" customFormat="false" ht="15" hidden="false" customHeight="false" outlineLevel="0" collapsed="false">
      <c r="A574" s="41"/>
      <c r="G574" s="38" t="n">
        <f aca="false">MONTH(A574)</f>
        <v>12</v>
      </c>
      <c r="H574" s="38" t="n">
        <f aca="false">YEAR(Tabela1[[#This Row],[FECHA]])</f>
        <v>1900</v>
      </c>
      <c r="I5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5" customFormat="false" ht="15" hidden="false" customHeight="false" outlineLevel="0" collapsed="false">
      <c r="A575" s="41"/>
      <c r="G575" s="38" t="n">
        <f aca="false">MONTH(A575)</f>
        <v>12</v>
      </c>
      <c r="H575" s="38" t="n">
        <f aca="false">YEAR(Tabela1[[#This Row],[FECHA]])</f>
        <v>1900</v>
      </c>
      <c r="I5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6" customFormat="false" ht="15" hidden="false" customHeight="false" outlineLevel="0" collapsed="false">
      <c r="A576" s="41"/>
      <c r="G576" s="38" t="n">
        <f aca="false">MONTH(A576)</f>
        <v>12</v>
      </c>
      <c r="H576" s="38" t="n">
        <f aca="false">YEAR(Tabela1[[#This Row],[FECHA]])</f>
        <v>1900</v>
      </c>
      <c r="I5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7" customFormat="false" ht="15" hidden="false" customHeight="false" outlineLevel="0" collapsed="false">
      <c r="A577" s="41"/>
      <c r="G577" s="38" t="n">
        <f aca="false">MONTH(A577)</f>
        <v>12</v>
      </c>
      <c r="H577" s="38" t="n">
        <f aca="false">YEAR(Tabela1[[#This Row],[FECHA]])</f>
        <v>1900</v>
      </c>
      <c r="I5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8" customFormat="false" ht="15" hidden="false" customHeight="false" outlineLevel="0" collapsed="false">
      <c r="A578" s="41"/>
      <c r="G578" s="38" t="n">
        <f aca="false">MONTH(A578)</f>
        <v>12</v>
      </c>
      <c r="H578" s="38" t="n">
        <f aca="false">YEAR(Tabela1[[#This Row],[FECHA]])</f>
        <v>1900</v>
      </c>
      <c r="I5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9" customFormat="false" ht="15" hidden="false" customHeight="false" outlineLevel="0" collapsed="false">
      <c r="A579" s="41"/>
      <c r="G579" s="38" t="n">
        <f aca="false">MONTH(A579)</f>
        <v>12</v>
      </c>
      <c r="H579" s="38" t="n">
        <f aca="false">YEAR(Tabela1[[#This Row],[FECHA]])</f>
        <v>1900</v>
      </c>
      <c r="I5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0" customFormat="false" ht="15" hidden="false" customHeight="false" outlineLevel="0" collapsed="false">
      <c r="A580" s="41"/>
      <c r="G580" s="38" t="n">
        <f aca="false">MONTH(A580)</f>
        <v>12</v>
      </c>
      <c r="H580" s="38" t="n">
        <f aca="false">YEAR(Tabela1[[#This Row],[FECHA]])</f>
        <v>1900</v>
      </c>
      <c r="I5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1" customFormat="false" ht="15" hidden="false" customHeight="false" outlineLevel="0" collapsed="false">
      <c r="A581" s="41"/>
      <c r="G581" s="38" t="n">
        <f aca="false">MONTH(A581)</f>
        <v>12</v>
      </c>
      <c r="H581" s="38" t="n">
        <f aca="false">YEAR(Tabela1[[#This Row],[FECHA]])</f>
        <v>1900</v>
      </c>
      <c r="I5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2" customFormat="false" ht="15" hidden="false" customHeight="false" outlineLevel="0" collapsed="false">
      <c r="A582" s="41"/>
      <c r="G582" s="38" t="n">
        <f aca="false">MONTH(A582)</f>
        <v>12</v>
      </c>
      <c r="H582" s="38" t="n">
        <f aca="false">YEAR(Tabela1[[#This Row],[FECHA]])</f>
        <v>1900</v>
      </c>
      <c r="I5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3" customFormat="false" ht="15" hidden="false" customHeight="false" outlineLevel="0" collapsed="false">
      <c r="A583" s="41"/>
      <c r="G583" s="38" t="n">
        <f aca="false">MONTH(A583)</f>
        <v>12</v>
      </c>
      <c r="H583" s="38" t="n">
        <f aca="false">YEAR(Tabela1[[#This Row],[FECHA]])</f>
        <v>1900</v>
      </c>
      <c r="I5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4" customFormat="false" ht="15" hidden="false" customHeight="false" outlineLevel="0" collapsed="false">
      <c r="A584" s="41"/>
      <c r="G584" s="38" t="n">
        <f aca="false">MONTH(A584)</f>
        <v>12</v>
      </c>
      <c r="H584" s="38" t="n">
        <f aca="false">YEAR(Tabela1[[#This Row],[FECHA]])</f>
        <v>1900</v>
      </c>
      <c r="I5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5" customFormat="false" ht="15" hidden="false" customHeight="false" outlineLevel="0" collapsed="false">
      <c r="A585" s="41"/>
      <c r="G585" s="38" t="n">
        <f aca="false">MONTH(A585)</f>
        <v>12</v>
      </c>
      <c r="H585" s="38" t="n">
        <f aca="false">YEAR(Tabela1[[#This Row],[FECHA]])</f>
        <v>1900</v>
      </c>
      <c r="I5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6" customFormat="false" ht="15" hidden="false" customHeight="false" outlineLevel="0" collapsed="false">
      <c r="A586" s="41"/>
      <c r="G586" s="38" t="n">
        <f aca="false">MONTH(A586)</f>
        <v>12</v>
      </c>
      <c r="H586" s="38" t="n">
        <f aca="false">YEAR(Tabela1[[#This Row],[FECHA]])</f>
        <v>1900</v>
      </c>
      <c r="I5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7" customFormat="false" ht="15" hidden="false" customHeight="false" outlineLevel="0" collapsed="false">
      <c r="A587" s="41"/>
      <c r="G587" s="38" t="n">
        <f aca="false">MONTH(A587)</f>
        <v>12</v>
      </c>
      <c r="H587" s="38" t="n">
        <f aca="false">YEAR(Tabela1[[#This Row],[FECHA]])</f>
        <v>1900</v>
      </c>
      <c r="I5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8" customFormat="false" ht="15" hidden="false" customHeight="false" outlineLevel="0" collapsed="false">
      <c r="A588" s="41"/>
      <c r="G588" s="38" t="n">
        <f aca="false">MONTH(A588)</f>
        <v>12</v>
      </c>
      <c r="H588" s="38" t="n">
        <f aca="false">YEAR(Tabela1[[#This Row],[FECHA]])</f>
        <v>1900</v>
      </c>
      <c r="I5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9" customFormat="false" ht="15" hidden="false" customHeight="false" outlineLevel="0" collapsed="false">
      <c r="A589" s="41"/>
      <c r="G589" s="38" t="n">
        <f aca="false">MONTH(A589)</f>
        <v>12</v>
      </c>
      <c r="H589" s="38" t="n">
        <f aca="false">YEAR(Tabela1[[#This Row],[FECHA]])</f>
        <v>1900</v>
      </c>
      <c r="I5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0" customFormat="false" ht="15" hidden="false" customHeight="false" outlineLevel="0" collapsed="false">
      <c r="A590" s="41"/>
      <c r="G590" s="38" t="n">
        <f aca="false">MONTH(A590)</f>
        <v>12</v>
      </c>
      <c r="H590" s="38" t="n">
        <f aca="false">YEAR(Tabela1[[#This Row],[FECHA]])</f>
        <v>1900</v>
      </c>
      <c r="I5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1" customFormat="false" ht="15" hidden="false" customHeight="false" outlineLevel="0" collapsed="false">
      <c r="A591" s="41"/>
      <c r="G591" s="38" t="n">
        <f aca="false">MONTH(A591)</f>
        <v>12</v>
      </c>
      <c r="H591" s="38" t="n">
        <f aca="false">YEAR(Tabela1[[#This Row],[FECHA]])</f>
        <v>1900</v>
      </c>
      <c r="I5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2" customFormat="false" ht="15" hidden="false" customHeight="false" outlineLevel="0" collapsed="false">
      <c r="A592" s="41"/>
      <c r="G592" s="38" t="n">
        <f aca="false">MONTH(A592)</f>
        <v>12</v>
      </c>
      <c r="H592" s="38" t="n">
        <f aca="false">YEAR(Tabela1[[#This Row],[FECHA]])</f>
        <v>1900</v>
      </c>
      <c r="I5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3" customFormat="false" ht="15" hidden="false" customHeight="false" outlineLevel="0" collapsed="false">
      <c r="A593" s="41"/>
      <c r="G593" s="38" t="n">
        <f aca="false">MONTH(A593)</f>
        <v>12</v>
      </c>
      <c r="H593" s="38" t="n">
        <f aca="false">YEAR(Tabela1[[#This Row],[FECHA]])</f>
        <v>1900</v>
      </c>
      <c r="I5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4" customFormat="false" ht="15" hidden="false" customHeight="false" outlineLevel="0" collapsed="false">
      <c r="A594" s="41"/>
      <c r="G594" s="38" t="n">
        <f aca="false">MONTH(A594)</f>
        <v>12</v>
      </c>
      <c r="H594" s="38" t="n">
        <f aca="false">YEAR(Tabela1[[#This Row],[FECHA]])</f>
        <v>1900</v>
      </c>
      <c r="I5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5" customFormat="false" ht="15" hidden="false" customHeight="false" outlineLevel="0" collapsed="false">
      <c r="A595" s="41"/>
      <c r="G595" s="38" t="n">
        <f aca="false">MONTH(A595)</f>
        <v>12</v>
      </c>
      <c r="H595" s="38" t="n">
        <f aca="false">YEAR(Tabela1[[#This Row],[FECHA]])</f>
        <v>1900</v>
      </c>
      <c r="I5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6" customFormat="false" ht="15" hidden="false" customHeight="false" outlineLevel="0" collapsed="false">
      <c r="A596" s="41"/>
      <c r="G596" s="38" t="n">
        <f aca="false">MONTH(A596)</f>
        <v>12</v>
      </c>
      <c r="H596" s="38" t="n">
        <f aca="false">YEAR(Tabela1[[#This Row],[FECHA]])</f>
        <v>1900</v>
      </c>
      <c r="I5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7" customFormat="false" ht="15" hidden="false" customHeight="false" outlineLevel="0" collapsed="false">
      <c r="A597" s="41"/>
      <c r="G597" s="38" t="n">
        <f aca="false">MONTH(A597)</f>
        <v>12</v>
      </c>
      <c r="H597" s="38" t="n">
        <f aca="false">YEAR(Tabela1[[#This Row],[FECHA]])</f>
        <v>1900</v>
      </c>
      <c r="I5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8" customFormat="false" ht="15" hidden="false" customHeight="false" outlineLevel="0" collapsed="false">
      <c r="A598" s="41"/>
      <c r="G598" s="38" t="n">
        <f aca="false">MONTH(A598)</f>
        <v>12</v>
      </c>
      <c r="H598" s="38" t="n">
        <f aca="false">YEAR(Tabela1[[#This Row],[FECHA]])</f>
        <v>1900</v>
      </c>
      <c r="I5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9" customFormat="false" ht="15" hidden="false" customHeight="false" outlineLevel="0" collapsed="false">
      <c r="A599" s="41"/>
      <c r="G599" s="38" t="n">
        <f aca="false">MONTH(A599)</f>
        <v>12</v>
      </c>
      <c r="H599" s="38" t="n">
        <f aca="false">YEAR(Tabela1[[#This Row],[FECHA]])</f>
        <v>1900</v>
      </c>
      <c r="I5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0" customFormat="false" ht="15" hidden="false" customHeight="false" outlineLevel="0" collapsed="false">
      <c r="A600" s="41"/>
      <c r="G600" s="38" t="n">
        <f aca="false">MONTH(A600)</f>
        <v>12</v>
      </c>
      <c r="H600" s="38" t="n">
        <f aca="false">YEAR(Tabela1[[#This Row],[FECHA]])</f>
        <v>1900</v>
      </c>
      <c r="I6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1" customFormat="false" ht="15" hidden="false" customHeight="false" outlineLevel="0" collapsed="false">
      <c r="A601" s="41"/>
      <c r="G601" s="38" t="n">
        <f aca="false">MONTH(A601)</f>
        <v>12</v>
      </c>
      <c r="H601" s="38" t="n">
        <f aca="false">YEAR(Tabela1[[#This Row],[FECHA]])</f>
        <v>1900</v>
      </c>
      <c r="I6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2" customFormat="false" ht="15" hidden="false" customHeight="false" outlineLevel="0" collapsed="false">
      <c r="A602" s="41"/>
      <c r="G602" s="38" t="n">
        <f aca="false">MONTH(A602)</f>
        <v>12</v>
      </c>
      <c r="H602" s="38" t="n">
        <f aca="false">YEAR(Tabela1[[#This Row],[FECHA]])</f>
        <v>1900</v>
      </c>
      <c r="I6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3" customFormat="false" ht="15" hidden="false" customHeight="false" outlineLevel="0" collapsed="false">
      <c r="A603" s="41"/>
      <c r="G603" s="38" t="n">
        <f aca="false">MONTH(A603)</f>
        <v>12</v>
      </c>
      <c r="H603" s="38" t="n">
        <f aca="false">YEAR(Tabela1[[#This Row],[FECHA]])</f>
        <v>1900</v>
      </c>
      <c r="I6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4" customFormat="false" ht="15" hidden="false" customHeight="false" outlineLevel="0" collapsed="false">
      <c r="A604" s="41"/>
      <c r="G604" s="38" t="n">
        <f aca="false">MONTH(A604)</f>
        <v>12</v>
      </c>
      <c r="H604" s="38" t="n">
        <f aca="false">YEAR(Tabela1[[#This Row],[FECHA]])</f>
        <v>1900</v>
      </c>
      <c r="I6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5" customFormat="false" ht="15" hidden="false" customHeight="false" outlineLevel="0" collapsed="false">
      <c r="A605" s="41"/>
      <c r="G605" s="38" t="n">
        <f aca="false">MONTH(A605)</f>
        <v>12</v>
      </c>
      <c r="H605" s="38" t="n">
        <f aca="false">YEAR(Tabela1[[#This Row],[FECHA]])</f>
        <v>1900</v>
      </c>
      <c r="I6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6" customFormat="false" ht="15" hidden="false" customHeight="false" outlineLevel="0" collapsed="false">
      <c r="A606" s="41"/>
      <c r="G606" s="38" t="n">
        <f aca="false">MONTH(A606)</f>
        <v>12</v>
      </c>
      <c r="H606" s="38" t="n">
        <f aca="false">YEAR(Tabela1[[#This Row],[FECHA]])</f>
        <v>1900</v>
      </c>
      <c r="I6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7" customFormat="false" ht="15" hidden="false" customHeight="false" outlineLevel="0" collapsed="false">
      <c r="A607" s="41"/>
      <c r="G607" s="38" t="n">
        <f aca="false">MONTH(A607)</f>
        <v>12</v>
      </c>
      <c r="H607" s="38" t="n">
        <f aca="false">YEAR(Tabela1[[#This Row],[FECHA]])</f>
        <v>1900</v>
      </c>
      <c r="I6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8" customFormat="false" ht="15" hidden="false" customHeight="false" outlineLevel="0" collapsed="false">
      <c r="A608" s="41"/>
      <c r="G608" s="38" t="n">
        <f aca="false">MONTH(A608)</f>
        <v>12</v>
      </c>
      <c r="H608" s="38" t="n">
        <f aca="false">YEAR(Tabela1[[#This Row],[FECHA]])</f>
        <v>1900</v>
      </c>
      <c r="I6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9" customFormat="false" ht="15" hidden="false" customHeight="false" outlineLevel="0" collapsed="false">
      <c r="A609" s="41"/>
      <c r="G609" s="38" t="n">
        <f aca="false">MONTH(A609)</f>
        <v>12</v>
      </c>
      <c r="H609" s="38" t="n">
        <f aca="false">YEAR(Tabela1[[#This Row],[FECHA]])</f>
        <v>1900</v>
      </c>
      <c r="I6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0" customFormat="false" ht="15" hidden="false" customHeight="false" outlineLevel="0" collapsed="false">
      <c r="A610" s="41"/>
      <c r="G610" s="38" t="n">
        <f aca="false">MONTH(A610)</f>
        <v>12</v>
      </c>
      <c r="H610" s="38" t="n">
        <f aca="false">YEAR(Tabela1[[#This Row],[FECHA]])</f>
        <v>1900</v>
      </c>
      <c r="I6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1" customFormat="false" ht="15" hidden="false" customHeight="false" outlineLevel="0" collapsed="false">
      <c r="A611" s="41"/>
      <c r="G611" s="38" t="n">
        <f aca="false">MONTH(A611)</f>
        <v>12</v>
      </c>
      <c r="H611" s="38" t="n">
        <f aca="false">YEAR(Tabela1[[#This Row],[FECHA]])</f>
        <v>1900</v>
      </c>
      <c r="I6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2" customFormat="false" ht="15" hidden="false" customHeight="false" outlineLevel="0" collapsed="false">
      <c r="A612" s="41"/>
      <c r="G612" s="38" t="n">
        <f aca="false">MONTH(A612)</f>
        <v>12</v>
      </c>
      <c r="H612" s="38" t="n">
        <f aca="false">YEAR(Tabela1[[#This Row],[FECHA]])</f>
        <v>1900</v>
      </c>
      <c r="I6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3" customFormat="false" ht="15" hidden="false" customHeight="false" outlineLevel="0" collapsed="false">
      <c r="A613" s="41"/>
      <c r="G613" s="38" t="n">
        <f aca="false">MONTH(A613)</f>
        <v>12</v>
      </c>
      <c r="H613" s="38" t="n">
        <f aca="false">YEAR(Tabela1[[#This Row],[FECHA]])</f>
        <v>1900</v>
      </c>
      <c r="I6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4" customFormat="false" ht="15" hidden="false" customHeight="false" outlineLevel="0" collapsed="false">
      <c r="A614" s="41"/>
      <c r="G614" s="38" t="n">
        <f aca="false">MONTH(A614)</f>
        <v>12</v>
      </c>
      <c r="H614" s="38" t="n">
        <f aca="false">YEAR(Tabela1[[#This Row],[FECHA]])</f>
        <v>1900</v>
      </c>
      <c r="I6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5" customFormat="false" ht="15" hidden="false" customHeight="false" outlineLevel="0" collapsed="false">
      <c r="A615" s="41"/>
      <c r="G615" s="38" t="n">
        <f aca="false">MONTH(A615)</f>
        <v>12</v>
      </c>
      <c r="H615" s="38" t="n">
        <f aca="false">YEAR(Tabela1[[#This Row],[FECHA]])</f>
        <v>1900</v>
      </c>
      <c r="I6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6" customFormat="false" ht="15" hidden="false" customHeight="false" outlineLevel="0" collapsed="false">
      <c r="A616" s="41"/>
      <c r="G616" s="38" t="n">
        <f aca="false">MONTH(A616)</f>
        <v>12</v>
      </c>
      <c r="H616" s="38" t="n">
        <f aca="false">YEAR(Tabela1[[#This Row],[FECHA]])</f>
        <v>1900</v>
      </c>
      <c r="I6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7" customFormat="false" ht="15" hidden="false" customHeight="false" outlineLevel="0" collapsed="false">
      <c r="A617" s="41"/>
      <c r="G617" s="38" t="n">
        <f aca="false">MONTH(A617)</f>
        <v>12</v>
      </c>
      <c r="H617" s="38" t="n">
        <f aca="false">YEAR(Tabela1[[#This Row],[FECHA]])</f>
        <v>1900</v>
      </c>
      <c r="I6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8" customFormat="false" ht="15" hidden="false" customHeight="false" outlineLevel="0" collapsed="false">
      <c r="A618" s="41"/>
      <c r="G618" s="38" t="n">
        <f aca="false">MONTH(A618)</f>
        <v>12</v>
      </c>
      <c r="H618" s="38" t="n">
        <f aca="false">YEAR(Tabela1[[#This Row],[FECHA]])</f>
        <v>1900</v>
      </c>
      <c r="I6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9" customFormat="false" ht="15" hidden="false" customHeight="false" outlineLevel="0" collapsed="false">
      <c r="A619" s="41"/>
      <c r="G619" s="38" t="n">
        <f aca="false">MONTH(A619)</f>
        <v>12</v>
      </c>
      <c r="H619" s="38" t="n">
        <f aca="false">YEAR(Tabela1[[#This Row],[FECHA]])</f>
        <v>1900</v>
      </c>
      <c r="I6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0" customFormat="false" ht="15" hidden="false" customHeight="false" outlineLevel="0" collapsed="false">
      <c r="A620" s="41"/>
      <c r="G620" s="38" t="n">
        <f aca="false">MONTH(A620)</f>
        <v>12</v>
      </c>
      <c r="H620" s="38" t="n">
        <f aca="false">YEAR(Tabela1[[#This Row],[FECHA]])</f>
        <v>1900</v>
      </c>
      <c r="I6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1" customFormat="false" ht="15" hidden="false" customHeight="false" outlineLevel="0" collapsed="false">
      <c r="A621" s="41"/>
      <c r="G621" s="38" t="n">
        <f aca="false">MONTH(A621)</f>
        <v>12</v>
      </c>
      <c r="H621" s="38" t="n">
        <f aca="false">YEAR(Tabela1[[#This Row],[FECHA]])</f>
        <v>1900</v>
      </c>
      <c r="I6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2" customFormat="false" ht="15" hidden="false" customHeight="false" outlineLevel="0" collapsed="false">
      <c r="A622" s="41"/>
      <c r="G622" s="38" t="n">
        <f aca="false">MONTH(A622)</f>
        <v>12</v>
      </c>
      <c r="H622" s="38" t="n">
        <f aca="false">YEAR(Tabela1[[#This Row],[FECHA]])</f>
        <v>1900</v>
      </c>
      <c r="I6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3" customFormat="false" ht="15" hidden="false" customHeight="false" outlineLevel="0" collapsed="false">
      <c r="A623" s="41"/>
      <c r="G623" s="38" t="n">
        <f aca="false">MONTH(A623)</f>
        <v>12</v>
      </c>
      <c r="H623" s="38" t="n">
        <f aca="false">YEAR(Tabela1[[#This Row],[FECHA]])</f>
        <v>1900</v>
      </c>
      <c r="I6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4" customFormat="false" ht="15" hidden="false" customHeight="false" outlineLevel="0" collapsed="false">
      <c r="A624" s="41"/>
      <c r="G624" s="38" t="n">
        <f aca="false">MONTH(A624)</f>
        <v>12</v>
      </c>
      <c r="H624" s="38" t="n">
        <f aca="false">YEAR(Tabela1[[#This Row],[FECHA]])</f>
        <v>1900</v>
      </c>
      <c r="I6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5" customFormat="false" ht="15" hidden="false" customHeight="false" outlineLevel="0" collapsed="false">
      <c r="A625" s="41"/>
      <c r="G625" s="38" t="n">
        <f aca="false">MONTH(A625)</f>
        <v>12</v>
      </c>
      <c r="H625" s="38" t="n">
        <f aca="false">YEAR(Tabela1[[#This Row],[FECHA]])</f>
        <v>1900</v>
      </c>
      <c r="I6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6" customFormat="false" ht="15" hidden="false" customHeight="false" outlineLevel="0" collapsed="false">
      <c r="A626" s="41"/>
      <c r="G626" s="38" t="n">
        <f aca="false">MONTH(A626)</f>
        <v>12</v>
      </c>
      <c r="H626" s="38" t="n">
        <f aca="false">YEAR(Tabela1[[#This Row],[FECHA]])</f>
        <v>1900</v>
      </c>
      <c r="I6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7" customFormat="false" ht="15" hidden="false" customHeight="false" outlineLevel="0" collapsed="false">
      <c r="A627" s="41"/>
      <c r="G627" s="38" t="n">
        <f aca="false">MONTH(A627)</f>
        <v>12</v>
      </c>
      <c r="H627" s="38" t="n">
        <f aca="false">YEAR(Tabela1[[#This Row],[FECHA]])</f>
        <v>1900</v>
      </c>
      <c r="I6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8" customFormat="false" ht="15" hidden="false" customHeight="false" outlineLevel="0" collapsed="false">
      <c r="A628" s="41"/>
      <c r="G628" s="38" t="n">
        <f aca="false">MONTH(A628)</f>
        <v>12</v>
      </c>
      <c r="H628" s="38" t="n">
        <f aca="false">YEAR(Tabela1[[#This Row],[FECHA]])</f>
        <v>1900</v>
      </c>
      <c r="I6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9" customFormat="false" ht="15" hidden="false" customHeight="false" outlineLevel="0" collapsed="false">
      <c r="A629" s="41"/>
      <c r="G629" s="38" t="n">
        <f aca="false">MONTH(A629)</f>
        <v>12</v>
      </c>
      <c r="H629" s="38" t="n">
        <f aca="false">YEAR(Tabela1[[#This Row],[FECHA]])</f>
        <v>1900</v>
      </c>
      <c r="I6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0" customFormat="false" ht="15" hidden="false" customHeight="false" outlineLevel="0" collapsed="false">
      <c r="A630" s="41"/>
      <c r="G630" s="38" t="n">
        <f aca="false">MONTH(A630)</f>
        <v>12</v>
      </c>
      <c r="H630" s="38" t="n">
        <f aca="false">YEAR(Tabela1[[#This Row],[FECHA]])</f>
        <v>1900</v>
      </c>
      <c r="I6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1" customFormat="false" ht="15" hidden="false" customHeight="false" outlineLevel="0" collapsed="false">
      <c r="A631" s="41"/>
      <c r="G631" s="38" t="n">
        <f aca="false">MONTH(A631)</f>
        <v>12</v>
      </c>
      <c r="H631" s="38" t="n">
        <f aca="false">YEAR(Tabela1[[#This Row],[FECHA]])</f>
        <v>1900</v>
      </c>
      <c r="I6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2" customFormat="false" ht="15" hidden="false" customHeight="false" outlineLevel="0" collapsed="false">
      <c r="A632" s="41"/>
      <c r="G632" s="38" t="n">
        <f aca="false">MONTH(A632)</f>
        <v>12</v>
      </c>
      <c r="H632" s="38" t="n">
        <f aca="false">YEAR(Tabela1[[#This Row],[FECHA]])</f>
        <v>1900</v>
      </c>
      <c r="I6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3" customFormat="false" ht="15" hidden="false" customHeight="false" outlineLevel="0" collapsed="false">
      <c r="A633" s="41"/>
      <c r="G633" s="38" t="n">
        <f aca="false">MONTH(A633)</f>
        <v>12</v>
      </c>
      <c r="H633" s="38" t="n">
        <f aca="false">YEAR(Tabela1[[#This Row],[FECHA]])</f>
        <v>1900</v>
      </c>
      <c r="I6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4" customFormat="false" ht="15" hidden="false" customHeight="false" outlineLevel="0" collapsed="false">
      <c r="A634" s="41"/>
      <c r="G634" s="38" t="n">
        <f aca="false">MONTH(A634)</f>
        <v>12</v>
      </c>
      <c r="H634" s="38" t="n">
        <f aca="false">YEAR(Tabela1[[#This Row],[FECHA]])</f>
        <v>1900</v>
      </c>
      <c r="I6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5" customFormat="false" ht="15" hidden="false" customHeight="false" outlineLevel="0" collapsed="false">
      <c r="A635" s="41"/>
      <c r="G635" s="38" t="n">
        <f aca="false">MONTH(A635)</f>
        <v>12</v>
      </c>
      <c r="H635" s="38" t="n">
        <f aca="false">YEAR(Tabela1[[#This Row],[FECHA]])</f>
        <v>1900</v>
      </c>
      <c r="I6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6" customFormat="false" ht="15" hidden="false" customHeight="false" outlineLevel="0" collapsed="false">
      <c r="A636" s="41"/>
      <c r="G636" s="38" t="n">
        <f aca="false">MONTH(A636)</f>
        <v>12</v>
      </c>
      <c r="H636" s="38" t="n">
        <f aca="false">YEAR(Tabela1[[#This Row],[FECHA]])</f>
        <v>1900</v>
      </c>
      <c r="I6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7" customFormat="false" ht="15" hidden="false" customHeight="false" outlineLevel="0" collapsed="false">
      <c r="A637" s="41"/>
      <c r="G637" s="38" t="n">
        <f aca="false">MONTH(A637)</f>
        <v>12</v>
      </c>
      <c r="H637" s="38" t="n">
        <f aca="false">YEAR(Tabela1[[#This Row],[FECHA]])</f>
        <v>1900</v>
      </c>
      <c r="I6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8" customFormat="false" ht="15" hidden="false" customHeight="false" outlineLevel="0" collapsed="false">
      <c r="A638" s="41"/>
      <c r="G638" s="38" t="n">
        <f aca="false">MONTH(A638)</f>
        <v>12</v>
      </c>
      <c r="H638" s="38" t="n">
        <f aca="false">YEAR(Tabela1[[#This Row],[FECHA]])</f>
        <v>1900</v>
      </c>
      <c r="I6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9" customFormat="false" ht="15" hidden="false" customHeight="false" outlineLevel="0" collapsed="false">
      <c r="A639" s="41"/>
      <c r="G639" s="38" t="n">
        <f aca="false">MONTH(A639)</f>
        <v>12</v>
      </c>
      <c r="H639" s="38" t="n">
        <f aca="false">YEAR(Tabela1[[#This Row],[FECHA]])</f>
        <v>1900</v>
      </c>
      <c r="I6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0" customFormat="false" ht="15" hidden="false" customHeight="false" outlineLevel="0" collapsed="false">
      <c r="A640" s="41"/>
      <c r="G640" s="38" t="n">
        <f aca="false">MONTH(A640)</f>
        <v>12</v>
      </c>
      <c r="H640" s="38" t="n">
        <f aca="false">YEAR(Tabela1[[#This Row],[FECHA]])</f>
        <v>1900</v>
      </c>
      <c r="I6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1" customFormat="false" ht="15" hidden="false" customHeight="false" outlineLevel="0" collapsed="false">
      <c r="A641" s="41"/>
      <c r="G641" s="38" t="n">
        <f aca="false">MONTH(A641)</f>
        <v>12</v>
      </c>
      <c r="H641" s="38" t="n">
        <f aca="false">YEAR(Tabela1[[#This Row],[FECHA]])</f>
        <v>1900</v>
      </c>
      <c r="I6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2" customFormat="false" ht="15" hidden="false" customHeight="false" outlineLevel="0" collapsed="false">
      <c r="A642" s="41"/>
      <c r="G642" s="38" t="n">
        <f aca="false">MONTH(A642)</f>
        <v>12</v>
      </c>
      <c r="H642" s="38" t="n">
        <f aca="false">YEAR(Tabela1[[#This Row],[FECHA]])</f>
        <v>1900</v>
      </c>
      <c r="I6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3" customFormat="false" ht="15" hidden="false" customHeight="false" outlineLevel="0" collapsed="false">
      <c r="A643" s="41"/>
      <c r="G643" s="38" t="n">
        <f aca="false">MONTH(A643)</f>
        <v>12</v>
      </c>
      <c r="H643" s="38" t="n">
        <f aca="false">YEAR(Tabela1[[#This Row],[FECHA]])</f>
        <v>1900</v>
      </c>
      <c r="I6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4" customFormat="false" ht="15" hidden="false" customHeight="false" outlineLevel="0" collapsed="false">
      <c r="A644" s="41"/>
      <c r="G644" s="38" t="n">
        <f aca="false">MONTH(A644)</f>
        <v>12</v>
      </c>
      <c r="H644" s="38" t="n">
        <f aca="false">YEAR(Tabela1[[#This Row],[FECHA]])</f>
        <v>1900</v>
      </c>
      <c r="I6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5" customFormat="false" ht="15" hidden="false" customHeight="false" outlineLevel="0" collapsed="false">
      <c r="A645" s="41"/>
      <c r="G645" s="38" t="n">
        <f aca="false">MONTH(A645)</f>
        <v>12</v>
      </c>
      <c r="H645" s="38" t="n">
        <f aca="false">YEAR(Tabela1[[#This Row],[FECHA]])</f>
        <v>1900</v>
      </c>
      <c r="I6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6" customFormat="false" ht="15" hidden="false" customHeight="false" outlineLevel="0" collapsed="false">
      <c r="A646" s="41"/>
      <c r="G646" s="38" t="n">
        <f aca="false">MONTH(A646)</f>
        <v>12</v>
      </c>
      <c r="H646" s="38" t="n">
        <f aca="false">YEAR(Tabela1[[#This Row],[FECHA]])</f>
        <v>1900</v>
      </c>
      <c r="I6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7" customFormat="false" ht="15" hidden="false" customHeight="false" outlineLevel="0" collapsed="false">
      <c r="A647" s="41"/>
      <c r="G647" s="38" t="n">
        <f aca="false">MONTH(A647)</f>
        <v>12</v>
      </c>
      <c r="H647" s="38" t="n">
        <f aca="false">YEAR(Tabela1[[#This Row],[FECHA]])</f>
        <v>1900</v>
      </c>
      <c r="I6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8" customFormat="false" ht="15" hidden="false" customHeight="false" outlineLevel="0" collapsed="false">
      <c r="A648" s="41"/>
      <c r="G648" s="38" t="n">
        <f aca="false">MONTH(A648)</f>
        <v>12</v>
      </c>
      <c r="H648" s="38" t="n">
        <f aca="false">YEAR(Tabela1[[#This Row],[FECHA]])</f>
        <v>1900</v>
      </c>
      <c r="I6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9" customFormat="false" ht="15" hidden="false" customHeight="false" outlineLevel="0" collapsed="false">
      <c r="A649" s="41"/>
      <c r="G649" s="38" t="n">
        <f aca="false">MONTH(A649)</f>
        <v>12</v>
      </c>
      <c r="H649" s="38" t="n">
        <f aca="false">YEAR(Tabela1[[#This Row],[FECHA]])</f>
        <v>1900</v>
      </c>
      <c r="I6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0" customFormat="false" ht="15" hidden="false" customHeight="false" outlineLevel="0" collapsed="false">
      <c r="A650" s="41"/>
      <c r="G650" s="38" t="n">
        <f aca="false">MONTH(A650)</f>
        <v>12</v>
      </c>
      <c r="H650" s="38" t="n">
        <f aca="false">YEAR(Tabela1[[#This Row],[FECHA]])</f>
        <v>1900</v>
      </c>
      <c r="I6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1" customFormat="false" ht="15" hidden="false" customHeight="false" outlineLevel="0" collapsed="false">
      <c r="A651" s="41"/>
      <c r="G651" s="38" t="n">
        <f aca="false">MONTH(A651)</f>
        <v>12</v>
      </c>
      <c r="H651" s="38" t="n">
        <f aca="false">YEAR(Tabela1[[#This Row],[FECHA]])</f>
        <v>1900</v>
      </c>
      <c r="I6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2" customFormat="false" ht="15" hidden="false" customHeight="false" outlineLevel="0" collapsed="false">
      <c r="A652" s="41"/>
      <c r="G652" s="38" t="n">
        <f aca="false">MONTH(A652)</f>
        <v>12</v>
      </c>
      <c r="H652" s="38" t="n">
        <f aca="false">YEAR(Tabela1[[#This Row],[FECHA]])</f>
        <v>1900</v>
      </c>
      <c r="I6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3" customFormat="false" ht="15" hidden="false" customHeight="false" outlineLevel="0" collapsed="false">
      <c r="A653" s="41"/>
      <c r="G653" s="38" t="n">
        <f aca="false">MONTH(A653)</f>
        <v>12</v>
      </c>
      <c r="H653" s="38" t="n">
        <f aca="false">YEAR(Tabela1[[#This Row],[FECHA]])</f>
        <v>1900</v>
      </c>
      <c r="I6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4" customFormat="false" ht="15" hidden="false" customHeight="false" outlineLevel="0" collapsed="false">
      <c r="A654" s="41"/>
      <c r="G654" s="38" t="n">
        <f aca="false">MONTH(A654)</f>
        <v>12</v>
      </c>
      <c r="H654" s="38" t="n">
        <f aca="false">YEAR(Tabela1[[#This Row],[FECHA]])</f>
        <v>1900</v>
      </c>
      <c r="I6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5" customFormat="false" ht="15" hidden="false" customHeight="false" outlineLevel="0" collapsed="false">
      <c r="A655" s="41"/>
      <c r="G655" s="38" t="n">
        <f aca="false">MONTH(A655)</f>
        <v>12</v>
      </c>
      <c r="H655" s="38" t="n">
        <f aca="false">YEAR(Tabela1[[#This Row],[FECHA]])</f>
        <v>1900</v>
      </c>
      <c r="I6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6" customFormat="false" ht="15" hidden="false" customHeight="false" outlineLevel="0" collapsed="false">
      <c r="A656" s="41"/>
      <c r="G656" s="38" t="n">
        <f aca="false">MONTH(A656)</f>
        <v>12</v>
      </c>
      <c r="H656" s="38" t="n">
        <f aca="false">YEAR(Tabela1[[#This Row],[FECHA]])</f>
        <v>1900</v>
      </c>
      <c r="I6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7" customFormat="false" ht="15" hidden="false" customHeight="false" outlineLevel="0" collapsed="false">
      <c r="A657" s="41"/>
      <c r="G657" s="38" t="n">
        <f aca="false">MONTH(A657)</f>
        <v>12</v>
      </c>
      <c r="H657" s="38" t="n">
        <f aca="false">YEAR(Tabela1[[#This Row],[FECHA]])</f>
        <v>1900</v>
      </c>
      <c r="I6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8" customFormat="false" ht="15" hidden="false" customHeight="false" outlineLevel="0" collapsed="false">
      <c r="A658" s="41"/>
      <c r="G658" s="38" t="n">
        <f aca="false">MONTH(A658)</f>
        <v>12</v>
      </c>
      <c r="H658" s="38" t="n">
        <f aca="false">YEAR(Tabela1[[#This Row],[FECHA]])</f>
        <v>1900</v>
      </c>
      <c r="I6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9" customFormat="false" ht="15" hidden="false" customHeight="false" outlineLevel="0" collapsed="false">
      <c r="A659" s="41"/>
      <c r="G659" s="38" t="n">
        <f aca="false">MONTH(A659)</f>
        <v>12</v>
      </c>
      <c r="H659" s="38" t="n">
        <f aca="false">YEAR(Tabela1[[#This Row],[FECHA]])</f>
        <v>1900</v>
      </c>
      <c r="I6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0" customFormat="false" ht="15" hidden="false" customHeight="false" outlineLevel="0" collapsed="false">
      <c r="A660" s="41"/>
      <c r="G660" s="38" t="n">
        <f aca="false">MONTH(A660)</f>
        <v>12</v>
      </c>
      <c r="H660" s="38" t="n">
        <f aca="false">YEAR(Tabela1[[#This Row],[FECHA]])</f>
        <v>1900</v>
      </c>
      <c r="I6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1" customFormat="false" ht="15" hidden="false" customHeight="false" outlineLevel="0" collapsed="false">
      <c r="A661" s="41"/>
      <c r="G661" s="38" t="n">
        <f aca="false">MONTH(A661)</f>
        <v>12</v>
      </c>
      <c r="H661" s="38" t="n">
        <f aca="false">YEAR(Tabela1[[#This Row],[FECHA]])</f>
        <v>1900</v>
      </c>
      <c r="I6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2" customFormat="false" ht="15" hidden="false" customHeight="false" outlineLevel="0" collapsed="false">
      <c r="A662" s="41"/>
      <c r="G662" s="38" t="n">
        <f aca="false">MONTH(A662)</f>
        <v>12</v>
      </c>
      <c r="H662" s="38" t="n">
        <f aca="false">YEAR(Tabela1[[#This Row],[FECHA]])</f>
        <v>1900</v>
      </c>
      <c r="I6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3" customFormat="false" ht="15" hidden="false" customHeight="false" outlineLevel="0" collapsed="false">
      <c r="A663" s="41"/>
      <c r="G663" s="38" t="n">
        <f aca="false">MONTH(A663)</f>
        <v>12</v>
      </c>
      <c r="H663" s="38" t="n">
        <f aca="false">YEAR(Tabela1[[#This Row],[FECHA]])</f>
        <v>1900</v>
      </c>
      <c r="I6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4" customFormat="false" ht="15" hidden="false" customHeight="false" outlineLevel="0" collapsed="false">
      <c r="A664" s="41"/>
      <c r="G664" s="38" t="n">
        <f aca="false">MONTH(A664)</f>
        <v>12</v>
      </c>
      <c r="H664" s="38" t="n">
        <f aca="false">YEAR(Tabela1[[#This Row],[FECHA]])</f>
        <v>1900</v>
      </c>
      <c r="I6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5" customFormat="false" ht="15" hidden="false" customHeight="false" outlineLevel="0" collapsed="false">
      <c r="A665" s="41"/>
      <c r="G665" s="38" t="n">
        <f aca="false">MONTH(A665)</f>
        <v>12</v>
      </c>
      <c r="H665" s="38" t="n">
        <f aca="false">YEAR(Tabela1[[#This Row],[FECHA]])</f>
        <v>1900</v>
      </c>
      <c r="I6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6" customFormat="false" ht="15" hidden="false" customHeight="false" outlineLevel="0" collapsed="false">
      <c r="A666" s="41"/>
      <c r="G666" s="38" t="n">
        <f aca="false">MONTH(A666)</f>
        <v>12</v>
      </c>
      <c r="H666" s="38" t="n">
        <f aca="false">YEAR(Tabela1[[#This Row],[FECHA]])</f>
        <v>1900</v>
      </c>
      <c r="I6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7" customFormat="false" ht="15" hidden="false" customHeight="false" outlineLevel="0" collapsed="false">
      <c r="A667" s="41"/>
      <c r="G667" s="38" t="n">
        <f aca="false">MONTH(A667)</f>
        <v>12</v>
      </c>
      <c r="H667" s="38" t="n">
        <f aca="false">YEAR(Tabela1[[#This Row],[FECHA]])</f>
        <v>1900</v>
      </c>
      <c r="I6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8" customFormat="false" ht="15" hidden="false" customHeight="false" outlineLevel="0" collapsed="false">
      <c r="A668" s="41"/>
      <c r="G668" s="38" t="n">
        <f aca="false">MONTH(A668)</f>
        <v>12</v>
      </c>
      <c r="H668" s="38" t="n">
        <f aca="false">YEAR(Tabela1[[#This Row],[FECHA]])</f>
        <v>1900</v>
      </c>
      <c r="I6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9" customFormat="false" ht="15" hidden="false" customHeight="false" outlineLevel="0" collapsed="false">
      <c r="A669" s="41"/>
      <c r="G669" s="38" t="n">
        <f aca="false">MONTH(A669)</f>
        <v>12</v>
      </c>
      <c r="H669" s="38" t="n">
        <f aca="false">YEAR(Tabela1[[#This Row],[FECHA]])</f>
        <v>1900</v>
      </c>
      <c r="I6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0" customFormat="false" ht="15" hidden="false" customHeight="false" outlineLevel="0" collapsed="false">
      <c r="A670" s="41"/>
      <c r="G670" s="38" t="n">
        <f aca="false">MONTH(A670)</f>
        <v>12</v>
      </c>
      <c r="H670" s="38" t="n">
        <f aca="false">YEAR(Tabela1[[#This Row],[FECHA]])</f>
        <v>1900</v>
      </c>
      <c r="I6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1" customFormat="false" ht="15" hidden="false" customHeight="false" outlineLevel="0" collapsed="false">
      <c r="A671" s="41"/>
      <c r="G671" s="38" t="n">
        <f aca="false">MONTH(A671)</f>
        <v>12</v>
      </c>
      <c r="H671" s="38" t="n">
        <f aca="false">YEAR(Tabela1[[#This Row],[FECHA]])</f>
        <v>1900</v>
      </c>
      <c r="I6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2" customFormat="false" ht="15" hidden="false" customHeight="false" outlineLevel="0" collapsed="false">
      <c r="A672" s="41"/>
      <c r="G672" s="38" t="n">
        <f aca="false">MONTH(A672)</f>
        <v>12</v>
      </c>
      <c r="H672" s="38" t="n">
        <f aca="false">YEAR(Tabela1[[#This Row],[FECHA]])</f>
        <v>1900</v>
      </c>
      <c r="I6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3" customFormat="false" ht="15" hidden="false" customHeight="false" outlineLevel="0" collapsed="false">
      <c r="A673" s="41"/>
      <c r="G673" s="38" t="n">
        <f aca="false">MONTH(A673)</f>
        <v>12</v>
      </c>
      <c r="H673" s="38" t="n">
        <f aca="false">YEAR(Tabela1[[#This Row],[FECHA]])</f>
        <v>1900</v>
      </c>
      <c r="I6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4" customFormat="false" ht="15" hidden="false" customHeight="false" outlineLevel="0" collapsed="false">
      <c r="A674" s="41"/>
      <c r="G674" s="38" t="n">
        <f aca="false">MONTH(A674)</f>
        <v>12</v>
      </c>
      <c r="H674" s="38" t="n">
        <f aca="false">YEAR(Tabela1[[#This Row],[FECHA]])</f>
        <v>1900</v>
      </c>
      <c r="I6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5" customFormat="false" ht="15" hidden="false" customHeight="false" outlineLevel="0" collapsed="false">
      <c r="A675" s="41"/>
      <c r="G675" s="38" t="n">
        <f aca="false">MONTH(A675)</f>
        <v>12</v>
      </c>
      <c r="H675" s="38" t="n">
        <f aca="false">YEAR(Tabela1[[#This Row],[FECHA]])</f>
        <v>1900</v>
      </c>
      <c r="I6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6" customFormat="false" ht="15" hidden="false" customHeight="false" outlineLevel="0" collapsed="false">
      <c r="A676" s="41"/>
      <c r="G676" s="38" t="n">
        <f aca="false">MONTH(A676)</f>
        <v>12</v>
      </c>
      <c r="H676" s="38" t="n">
        <f aca="false">YEAR(Tabela1[[#This Row],[FECHA]])</f>
        <v>1900</v>
      </c>
      <c r="I6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7" customFormat="false" ht="15" hidden="false" customHeight="false" outlineLevel="0" collapsed="false">
      <c r="A677" s="41"/>
      <c r="G677" s="38" t="n">
        <f aca="false">MONTH(A677)</f>
        <v>12</v>
      </c>
      <c r="H677" s="38" t="n">
        <f aca="false">YEAR(Tabela1[[#This Row],[FECHA]])</f>
        <v>1900</v>
      </c>
      <c r="I6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8" customFormat="false" ht="15" hidden="false" customHeight="false" outlineLevel="0" collapsed="false">
      <c r="A678" s="41"/>
      <c r="G678" s="38" t="n">
        <f aca="false">MONTH(A678)</f>
        <v>12</v>
      </c>
      <c r="H678" s="38" t="n">
        <f aca="false">YEAR(Tabela1[[#This Row],[FECHA]])</f>
        <v>1900</v>
      </c>
      <c r="I6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9" customFormat="false" ht="15" hidden="false" customHeight="false" outlineLevel="0" collapsed="false">
      <c r="A679" s="41"/>
      <c r="G679" s="38" t="n">
        <f aca="false">MONTH(A679)</f>
        <v>12</v>
      </c>
      <c r="H679" s="38" t="n">
        <f aca="false">YEAR(Tabela1[[#This Row],[FECHA]])</f>
        <v>1900</v>
      </c>
      <c r="I6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0" customFormat="false" ht="15" hidden="false" customHeight="false" outlineLevel="0" collapsed="false">
      <c r="A680" s="41"/>
      <c r="G680" s="38" t="n">
        <f aca="false">MONTH(A680)</f>
        <v>12</v>
      </c>
      <c r="H680" s="38" t="n">
        <f aca="false">YEAR(Tabela1[[#This Row],[FECHA]])</f>
        <v>1900</v>
      </c>
      <c r="I6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1" customFormat="false" ht="15" hidden="false" customHeight="false" outlineLevel="0" collapsed="false">
      <c r="A681" s="41"/>
      <c r="G681" s="38" t="n">
        <f aca="false">MONTH(A681)</f>
        <v>12</v>
      </c>
      <c r="H681" s="38" t="n">
        <f aca="false">YEAR(Tabela1[[#This Row],[FECHA]])</f>
        <v>1900</v>
      </c>
      <c r="I6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2" customFormat="false" ht="15" hidden="false" customHeight="false" outlineLevel="0" collapsed="false">
      <c r="A682" s="41"/>
      <c r="G682" s="38" t="n">
        <f aca="false">MONTH(A682)</f>
        <v>12</v>
      </c>
      <c r="H682" s="38" t="n">
        <f aca="false">YEAR(Tabela1[[#This Row],[FECHA]])</f>
        <v>1900</v>
      </c>
      <c r="I6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3" customFormat="false" ht="15" hidden="false" customHeight="false" outlineLevel="0" collapsed="false">
      <c r="A683" s="41"/>
      <c r="G683" s="38" t="n">
        <f aca="false">MONTH(A683)</f>
        <v>12</v>
      </c>
      <c r="H683" s="38" t="n">
        <f aca="false">YEAR(Tabela1[[#This Row],[FECHA]])</f>
        <v>1900</v>
      </c>
      <c r="I6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4" customFormat="false" ht="15" hidden="false" customHeight="false" outlineLevel="0" collapsed="false">
      <c r="A684" s="41"/>
      <c r="G684" s="38" t="n">
        <f aca="false">MONTH(A684)</f>
        <v>12</v>
      </c>
      <c r="H684" s="38" t="n">
        <f aca="false">YEAR(Tabela1[[#This Row],[FECHA]])</f>
        <v>1900</v>
      </c>
      <c r="I6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5" customFormat="false" ht="15" hidden="false" customHeight="false" outlineLevel="0" collapsed="false">
      <c r="A685" s="41"/>
      <c r="G685" s="38" t="n">
        <f aca="false">MONTH(A685)</f>
        <v>12</v>
      </c>
      <c r="H685" s="38" t="n">
        <f aca="false">YEAR(Tabela1[[#This Row],[FECHA]])</f>
        <v>1900</v>
      </c>
      <c r="I6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6" customFormat="false" ht="15" hidden="false" customHeight="false" outlineLevel="0" collapsed="false">
      <c r="A686" s="41"/>
      <c r="G686" s="38" t="n">
        <f aca="false">MONTH(A686)</f>
        <v>12</v>
      </c>
      <c r="H686" s="38" t="n">
        <f aca="false">YEAR(Tabela1[[#This Row],[FECHA]])</f>
        <v>1900</v>
      </c>
      <c r="I6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7" customFormat="false" ht="15" hidden="false" customHeight="false" outlineLevel="0" collapsed="false">
      <c r="A687" s="41"/>
      <c r="G687" s="38" t="n">
        <f aca="false">MONTH(A687)</f>
        <v>12</v>
      </c>
      <c r="H687" s="38" t="n">
        <f aca="false">YEAR(Tabela1[[#This Row],[FECHA]])</f>
        <v>1900</v>
      </c>
      <c r="I6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8" customFormat="false" ht="15" hidden="false" customHeight="false" outlineLevel="0" collapsed="false">
      <c r="A688" s="41"/>
      <c r="G688" s="38" t="n">
        <f aca="false">MONTH(A688)</f>
        <v>12</v>
      </c>
      <c r="H688" s="38" t="n">
        <f aca="false">YEAR(Tabela1[[#This Row],[FECHA]])</f>
        <v>1900</v>
      </c>
      <c r="I6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9" customFormat="false" ht="15" hidden="false" customHeight="false" outlineLevel="0" collapsed="false">
      <c r="A689" s="41"/>
      <c r="G689" s="38" t="n">
        <f aca="false">MONTH(A689)</f>
        <v>12</v>
      </c>
      <c r="H689" s="38" t="n">
        <f aca="false">YEAR(Tabela1[[#This Row],[FECHA]])</f>
        <v>1900</v>
      </c>
      <c r="I6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0" customFormat="false" ht="15" hidden="false" customHeight="false" outlineLevel="0" collapsed="false">
      <c r="A690" s="41"/>
      <c r="G690" s="38" t="n">
        <f aca="false">MONTH(A690)</f>
        <v>12</v>
      </c>
      <c r="H690" s="38" t="n">
        <f aca="false">YEAR(Tabela1[[#This Row],[FECHA]])</f>
        <v>1900</v>
      </c>
      <c r="I6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1" customFormat="false" ht="15" hidden="false" customHeight="false" outlineLevel="0" collapsed="false">
      <c r="A691" s="41"/>
      <c r="G691" s="38" t="n">
        <f aca="false">MONTH(A691)</f>
        <v>12</v>
      </c>
      <c r="H691" s="38" t="n">
        <f aca="false">YEAR(Tabela1[[#This Row],[FECHA]])</f>
        <v>1900</v>
      </c>
      <c r="I6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2" customFormat="false" ht="15" hidden="false" customHeight="false" outlineLevel="0" collapsed="false">
      <c r="A692" s="41"/>
      <c r="G692" s="38" t="n">
        <f aca="false">MONTH(A692)</f>
        <v>12</v>
      </c>
      <c r="H692" s="38" t="n">
        <f aca="false">YEAR(Tabela1[[#This Row],[FECHA]])</f>
        <v>1900</v>
      </c>
      <c r="I6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3" customFormat="false" ht="15" hidden="false" customHeight="false" outlineLevel="0" collapsed="false">
      <c r="A693" s="41"/>
      <c r="G693" s="38" t="n">
        <f aca="false">MONTH(A693)</f>
        <v>12</v>
      </c>
      <c r="H693" s="38" t="n">
        <f aca="false">YEAR(Tabela1[[#This Row],[FECHA]])</f>
        <v>1900</v>
      </c>
      <c r="I6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4" customFormat="false" ht="15" hidden="false" customHeight="false" outlineLevel="0" collapsed="false">
      <c r="A694" s="41"/>
      <c r="G694" s="38" t="n">
        <f aca="false">MONTH(A694)</f>
        <v>12</v>
      </c>
      <c r="H694" s="38" t="n">
        <f aca="false">YEAR(Tabela1[[#This Row],[FECHA]])</f>
        <v>1900</v>
      </c>
      <c r="I6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5" customFormat="false" ht="15" hidden="false" customHeight="false" outlineLevel="0" collapsed="false">
      <c r="A695" s="41"/>
      <c r="G695" s="38" t="n">
        <f aca="false">MONTH(A695)</f>
        <v>12</v>
      </c>
      <c r="H695" s="38" t="n">
        <f aca="false">YEAR(Tabela1[[#This Row],[FECHA]])</f>
        <v>1900</v>
      </c>
      <c r="I6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6" customFormat="false" ht="15" hidden="false" customHeight="false" outlineLevel="0" collapsed="false">
      <c r="A696" s="41"/>
      <c r="G696" s="38" t="n">
        <f aca="false">MONTH(A696)</f>
        <v>12</v>
      </c>
      <c r="H696" s="38" t="n">
        <f aca="false">YEAR(Tabela1[[#This Row],[FECHA]])</f>
        <v>1900</v>
      </c>
      <c r="I6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7" customFormat="false" ht="15" hidden="false" customHeight="false" outlineLevel="0" collapsed="false">
      <c r="A697" s="41"/>
      <c r="G697" s="38" t="n">
        <f aca="false">MONTH(A697)</f>
        <v>12</v>
      </c>
      <c r="H697" s="38" t="n">
        <f aca="false">YEAR(Tabela1[[#This Row],[FECHA]])</f>
        <v>1900</v>
      </c>
      <c r="I6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8" customFormat="false" ht="15" hidden="false" customHeight="false" outlineLevel="0" collapsed="false">
      <c r="A698" s="41"/>
      <c r="G698" s="38" t="n">
        <f aca="false">MONTH(A698)</f>
        <v>12</v>
      </c>
      <c r="H698" s="38" t="n">
        <f aca="false">YEAR(Tabela1[[#This Row],[FECHA]])</f>
        <v>1900</v>
      </c>
      <c r="I6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9" customFormat="false" ht="15" hidden="false" customHeight="false" outlineLevel="0" collapsed="false">
      <c r="A699" s="41"/>
      <c r="G699" s="38" t="n">
        <f aca="false">MONTH(A699)</f>
        <v>12</v>
      </c>
      <c r="H699" s="38" t="n">
        <f aca="false">YEAR(Tabela1[[#This Row],[FECHA]])</f>
        <v>1900</v>
      </c>
      <c r="I6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0" customFormat="false" ht="15" hidden="false" customHeight="false" outlineLevel="0" collapsed="false">
      <c r="A700" s="41"/>
      <c r="G700" s="38" t="n">
        <f aca="false">MONTH(A700)</f>
        <v>12</v>
      </c>
      <c r="H700" s="38" t="n">
        <f aca="false">YEAR(Tabela1[[#This Row],[FECHA]])</f>
        <v>1900</v>
      </c>
      <c r="I7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1" customFormat="false" ht="15" hidden="false" customHeight="false" outlineLevel="0" collapsed="false">
      <c r="A701" s="41"/>
      <c r="G701" s="38" t="n">
        <f aca="false">MONTH(A701)</f>
        <v>12</v>
      </c>
      <c r="H701" s="38" t="n">
        <f aca="false">YEAR(Tabela1[[#This Row],[FECHA]])</f>
        <v>1900</v>
      </c>
      <c r="I7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2" customFormat="false" ht="15" hidden="false" customHeight="false" outlineLevel="0" collapsed="false">
      <c r="A702" s="41"/>
      <c r="G702" s="38" t="n">
        <f aca="false">MONTH(A702)</f>
        <v>12</v>
      </c>
      <c r="H702" s="38" t="n">
        <f aca="false">YEAR(Tabela1[[#This Row],[FECHA]])</f>
        <v>1900</v>
      </c>
      <c r="I7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3" customFormat="false" ht="15" hidden="false" customHeight="false" outlineLevel="0" collapsed="false">
      <c r="A703" s="41"/>
      <c r="G703" s="38" t="n">
        <f aca="false">MONTH(A703)</f>
        <v>12</v>
      </c>
      <c r="H703" s="38" t="n">
        <f aca="false">YEAR(Tabela1[[#This Row],[FECHA]])</f>
        <v>1900</v>
      </c>
      <c r="I7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4" customFormat="false" ht="15" hidden="false" customHeight="false" outlineLevel="0" collapsed="false">
      <c r="A704" s="41"/>
      <c r="G704" s="38" t="n">
        <f aca="false">MONTH(A704)</f>
        <v>12</v>
      </c>
      <c r="H704" s="38" t="n">
        <f aca="false">YEAR(Tabela1[[#This Row],[FECHA]])</f>
        <v>1900</v>
      </c>
      <c r="I7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5" customFormat="false" ht="15" hidden="false" customHeight="false" outlineLevel="0" collapsed="false">
      <c r="A705" s="41"/>
      <c r="G705" s="38" t="n">
        <f aca="false">MONTH(A705)</f>
        <v>12</v>
      </c>
      <c r="H705" s="38" t="n">
        <f aca="false">YEAR(Tabela1[[#This Row],[FECHA]])</f>
        <v>1900</v>
      </c>
      <c r="I7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6" customFormat="false" ht="15" hidden="false" customHeight="false" outlineLevel="0" collapsed="false">
      <c r="A706" s="41"/>
      <c r="G706" s="38" t="n">
        <f aca="false">MONTH(A706)</f>
        <v>12</v>
      </c>
      <c r="H706" s="38" t="n">
        <f aca="false">YEAR(Tabela1[[#This Row],[FECHA]])</f>
        <v>1900</v>
      </c>
      <c r="I7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7" customFormat="false" ht="15" hidden="false" customHeight="false" outlineLevel="0" collapsed="false">
      <c r="A707" s="41"/>
      <c r="G707" s="38" t="n">
        <f aca="false">MONTH(A707)</f>
        <v>12</v>
      </c>
      <c r="H707" s="38" t="n">
        <f aca="false">YEAR(Tabela1[[#This Row],[FECHA]])</f>
        <v>1900</v>
      </c>
      <c r="I7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8" customFormat="false" ht="15" hidden="false" customHeight="false" outlineLevel="0" collapsed="false">
      <c r="A708" s="41"/>
      <c r="G708" s="38" t="n">
        <f aca="false">MONTH(A708)</f>
        <v>12</v>
      </c>
      <c r="H708" s="38" t="n">
        <f aca="false">YEAR(Tabela1[[#This Row],[FECHA]])</f>
        <v>1900</v>
      </c>
      <c r="I7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9" customFormat="false" ht="15" hidden="false" customHeight="false" outlineLevel="0" collapsed="false">
      <c r="A709" s="41"/>
      <c r="G709" s="38" t="n">
        <f aca="false">MONTH(A709)</f>
        <v>12</v>
      </c>
      <c r="H709" s="38" t="n">
        <f aca="false">YEAR(Tabela1[[#This Row],[FECHA]])</f>
        <v>1900</v>
      </c>
      <c r="I7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0" customFormat="false" ht="15" hidden="false" customHeight="false" outlineLevel="0" collapsed="false">
      <c r="A710" s="41"/>
      <c r="G710" s="38" t="n">
        <f aca="false">MONTH(A710)</f>
        <v>12</v>
      </c>
      <c r="H710" s="38" t="n">
        <f aca="false">YEAR(Tabela1[[#This Row],[FECHA]])</f>
        <v>1900</v>
      </c>
      <c r="I7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1" customFormat="false" ht="15" hidden="false" customHeight="false" outlineLevel="0" collapsed="false">
      <c r="A711" s="41"/>
      <c r="G711" s="38" t="n">
        <f aca="false">MONTH(A711)</f>
        <v>12</v>
      </c>
      <c r="H711" s="38" t="n">
        <f aca="false">YEAR(Tabela1[[#This Row],[FECHA]])</f>
        <v>1900</v>
      </c>
      <c r="I7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2" customFormat="false" ht="15" hidden="false" customHeight="false" outlineLevel="0" collapsed="false">
      <c r="A712" s="41"/>
      <c r="G712" s="38" t="n">
        <f aca="false">MONTH(A712)</f>
        <v>12</v>
      </c>
      <c r="H712" s="38" t="n">
        <f aca="false">YEAR(Tabela1[[#This Row],[FECHA]])</f>
        <v>1900</v>
      </c>
      <c r="I7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3" customFormat="false" ht="15" hidden="false" customHeight="false" outlineLevel="0" collapsed="false">
      <c r="A713" s="41"/>
      <c r="G713" s="38" t="n">
        <f aca="false">MONTH(A713)</f>
        <v>12</v>
      </c>
      <c r="H713" s="38" t="n">
        <f aca="false">YEAR(Tabela1[[#This Row],[FECHA]])</f>
        <v>1900</v>
      </c>
      <c r="I7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4" customFormat="false" ht="15" hidden="false" customHeight="false" outlineLevel="0" collapsed="false">
      <c r="A714" s="41"/>
      <c r="G714" s="38" t="n">
        <f aca="false">MONTH(A714)</f>
        <v>12</v>
      </c>
      <c r="H714" s="38" t="n">
        <f aca="false">YEAR(Tabela1[[#This Row],[FECHA]])</f>
        <v>1900</v>
      </c>
      <c r="I7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5" customFormat="false" ht="15" hidden="false" customHeight="false" outlineLevel="0" collapsed="false">
      <c r="A715" s="41"/>
      <c r="G715" s="38" t="n">
        <f aca="false">MONTH(A715)</f>
        <v>12</v>
      </c>
      <c r="H715" s="38" t="n">
        <f aca="false">YEAR(Tabela1[[#This Row],[FECHA]])</f>
        <v>1900</v>
      </c>
      <c r="I7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6" customFormat="false" ht="15" hidden="false" customHeight="false" outlineLevel="0" collapsed="false">
      <c r="A716" s="41"/>
      <c r="G716" s="38" t="n">
        <f aca="false">MONTH(A716)</f>
        <v>12</v>
      </c>
      <c r="H716" s="38" t="n">
        <f aca="false">YEAR(Tabela1[[#This Row],[FECHA]])</f>
        <v>1900</v>
      </c>
      <c r="I7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7" customFormat="false" ht="15" hidden="false" customHeight="false" outlineLevel="0" collapsed="false">
      <c r="A717" s="41"/>
      <c r="G717" s="38" t="n">
        <f aca="false">MONTH(A717)</f>
        <v>12</v>
      </c>
      <c r="H717" s="38" t="n">
        <f aca="false">YEAR(Tabela1[[#This Row],[FECHA]])</f>
        <v>1900</v>
      </c>
      <c r="I7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8" customFormat="false" ht="15" hidden="false" customHeight="false" outlineLevel="0" collapsed="false">
      <c r="A718" s="41"/>
      <c r="G718" s="38" t="n">
        <f aca="false">MONTH(A718)</f>
        <v>12</v>
      </c>
      <c r="H718" s="38" t="n">
        <f aca="false">YEAR(Tabela1[[#This Row],[FECHA]])</f>
        <v>1900</v>
      </c>
      <c r="I7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9" customFormat="false" ht="15" hidden="false" customHeight="false" outlineLevel="0" collapsed="false">
      <c r="A719" s="41"/>
      <c r="G719" s="38" t="n">
        <f aca="false">MONTH(A719)</f>
        <v>12</v>
      </c>
      <c r="H719" s="38" t="n">
        <f aca="false">YEAR(Tabela1[[#This Row],[FECHA]])</f>
        <v>1900</v>
      </c>
      <c r="I7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0" customFormat="false" ht="15" hidden="false" customHeight="false" outlineLevel="0" collapsed="false">
      <c r="A720" s="41"/>
      <c r="G720" s="38" t="n">
        <f aca="false">MONTH(A720)</f>
        <v>12</v>
      </c>
      <c r="H720" s="38" t="n">
        <f aca="false">YEAR(Tabela1[[#This Row],[FECHA]])</f>
        <v>1900</v>
      </c>
      <c r="I7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1" customFormat="false" ht="15" hidden="false" customHeight="false" outlineLevel="0" collapsed="false">
      <c r="A721" s="41"/>
      <c r="G721" s="38" t="n">
        <f aca="false">MONTH(A721)</f>
        <v>12</v>
      </c>
      <c r="H721" s="38" t="n">
        <f aca="false">YEAR(Tabela1[[#This Row],[FECHA]])</f>
        <v>1900</v>
      </c>
      <c r="I7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2" customFormat="false" ht="15" hidden="false" customHeight="false" outlineLevel="0" collapsed="false">
      <c r="A722" s="41"/>
      <c r="G722" s="38" t="n">
        <f aca="false">MONTH(A722)</f>
        <v>12</v>
      </c>
      <c r="H722" s="38" t="n">
        <f aca="false">YEAR(Tabela1[[#This Row],[FECHA]])</f>
        <v>1900</v>
      </c>
      <c r="I7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3" customFormat="false" ht="15" hidden="false" customHeight="false" outlineLevel="0" collapsed="false">
      <c r="A723" s="41"/>
      <c r="G723" s="38" t="n">
        <f aca="false">MONTH(A723)</f>
        <v>12</v>
      </c>
      <c r="H723" s="38" t="n">
        <f aca="false">YEAR(Tabela1[[#This Row],[FECHA]])</f>
        <v>1900</v>
      </c>
      <c r="I7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4" customFormat="false" ht="15" hidden="false" customHeight="false" outlineLevel="0" collapsed="false">
      <c r="A724" s="41"/>
      <c r="G724" s="38" t="n">
        <f aca="false">MONTH(A724)</f>
        <v>12</v>
      </c>
      <c r="H724" s="38" t="n">
        <f aca="false">YEAR(Tabela1[[#This Row],[FECHA]])</f>
        <v>1900</v>
      </c>
      <c r="I7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5" customFormat="false" ht="15" hidden="false" customHeight="false" outlineLevel="0" collapsed="false">
      <c r="A725" s="41"/>
      <c r="G725" s="38" t="n">
        <f aca="false">MONTH(A725)</f>
        <v>12</v>
      </c>
      <c r="H725" s="38" t="n">
        <f aca="false">YEAR(Tabela1[[#This Row],[FECHA]])</f>
        <v>1900</v>
      </c>
      <c r="I7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6" customFormat="false" ht="15" hidden="false" customHeight="false" outlineLevel="0" collapsed="false">
      <c r="A726" s="41"/>
      <c r="G726" s="38" t="n">
        <f aca="false">MONTH(A726)</f>
        <v>12</v>
      </c>
      <c r="H726" s="38" t="n">
        <f aca="false">YEAR(Tabela1[[#This Row],[FECHA]])</f>
        <v>1900</v>
      </c>
      <c r="I7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7" customFormat="false" ht="15" hidden="false" customHeight="false" outlineLevel="0" collapsed="false">
      <c r="A727" s="41"/>
      <c r="G727" s="38" t="n">
        <f aca="false">MONTH(A727)</f>
        <v>12</v>
      </c>
      <c r="H727" s="38" t="n">
        <f aca="false">YEAR(Tabela1[[#This Row],[FECHA]])</f>
        <v>1900</v>
      </c>
      <c r="I7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8" customFormat="false" ht="15" hidden="false" customHeight="false" outlineLevel="0" collapsed="false">
      <c r="A728" s="41"/>
      <c r="G728" s="38" t="n">
        <f aca="false">MONTH(A728)</f>
        <v>12</v>
      </c>
      <c r="H728" s="38" t="n">
        <f aca="false">YEAR(Tabela1[[#This Row],[FECHA]])</f>
        <v>1900</v>
      </c>
      <c r="I7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9" customFormat="false" ht="15" hidden="false" customHeight="false" outlineLevel="0" collapsed="false">
      <c r="A729" s="41"/>
      <c r="G729" s="38" t="n">
        <f aca="false">MONTH(A729)</f>
        <v>12</v>
      </c>
      <c r="H729" s="38" t="n">
        <f aca="false">YEAR(Tabela1[[#This Row],[FECHA]])</f>
        <v>1900</v>
      </c>
      <c r="I7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0" customFormat="false" ht="15" hidden="false" customHeight="false" outlineLevel="0" collapsed="false">
      <c r="A730" s="41"/>
      <c r="G730" s="38" t="n">
        <f aca="false">MONTH(A730)</f>
        <v>12</v>
      </c>
      <c r="H730" s="38" t="n">
        <f aca="false">YEAR(Tabela1[[#This Row],[FECHA]])</f>
        <v>1900</v>
      </c>
      <c r="I7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1" customFormat="false" ht="15" hidden="false" customHeight="false" outlineLevel="0" collapsed="false">
      <c r="A731" s="41"/>
      <c r="G731" s="38" t="n">
        <f aca="false">MONTH(A731)</f>
        <v>12</v>
      </c>
      <c r="H731" s="38" t="n">
        <f aca="false">YEAR(Tabela1[[#This Row],[FECHA]])</f>
        <v>1900</v>
      </c>
      <c r="I7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2" customFormat="false" ht="15" hidden="false" customHeight="false" outlineLevel="0" collapsed="false">
      <c r="A732" s="41"/>
      <c r="G732" s="38" t="n">
        <f aca="false">MONTH(A732)</f>
        <v>12</v>
      </c>
      <c r="H732" s="38" t="n">
        <f aca="false">YEAR(Tabela1[[#This Row],[FECHA]])</f>
        <v>1900</v>
      </c>
      <c r="I7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3" customFormat="false" ht="15" hidden="false" customHeight="false" outlineLevel="0" collapsed="false">
      <c r="A733" s="41"/>
      <c r="G733" s="38" t="n">
        <f aca="false">MONTH(A733)</f>
        <v>12</v>
      </c>
      <c r="H733" s="38" t="n">
        <f aca="false">YEAR(Tabela1[[#This Row],[FECHA]])</f>
        <v>1900</v>
      </c>
      <c r="I7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4" customFormat="false" ht="15" hidden="false" customHeight="false" outlineLevel="0" collapsed="false">
      <c r="A734" s="41"/>
      <c r="G734" s="38" t="n">
        <f aca="false">MONTH(A734)</f>
        <v>12</v>
      </c>
      <c r="H734" s="38" t="n">
        <f aca="false">YEAR(Tabela1[[#This Row],[FECHA]])</f>
        <v>1900</v>
      </c>
      <c r="I7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5" customFormat="false" ht="15" hidden="false" customHeight="false" outlineLevel="0" collapsed="false">
      <c r="A735" s="41"/>
      <c r="G735" s="38" t="n">
        <f aca="false">MONTH(A735)</f>
        <v>12</v>
      </c>
      <c r="H735" s="38" t="n">
        <f aca="false">YEAR(Tabela1[[#This Row],[FECHA]])</f>
        <v>1900</v>
      </c>
      <c r="I7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6" customFormat="false" ht="15" hidden="false" customHeight="false" outlineLevel="0" collapsed="false">
      <c r="A736" s="41"/>
      <c r="G736" s="38" t="n">
        <f aca="false">MONTH(A736)</f>
        <v>12</v>
      </c>
      <c r="H736" s="38" t="n">
        <f aca="false">YEAR(Tabela1[[#This Row],[FECHA]])</f>
        <v>1900</v>
      </c>
      <c r="I7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7" customFormat="false" ht="15" hidden="false" customHeight="false" outlineLevel="0" collapsed="false">
      <c r="A737" s="41"/>
      <c r="G737" s="38" t="n">
        <f aca="false">MONTH(A737)</f>
        <v>12</v>
      </c>
      <c r="H737" s="38" t="n">
        <f aca="false">YEAR(Tabela1[[#This Row],[FECHA]])</f>
        <v>1900</v>
      </c>
      <c r="I7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8" customFormat="false" ht="15" hidden="false" customHeight="false" outlineLevel="0" collapsed="false">
      <c r="A738" s="41"/>
      <c r="G738" s="38" t="n">
        <f aca="false">MONTH(A738)</f>
        <v>12</v>
      </c>
      <c r="H738" s="38" t="n">
        <f aca="false">YEAR(Tabela1[[#This Row],[FECHA]])</f>
        <v>1900</v>
      </c>
      <c r="I7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9" customFormat="false" ht="15" hidden="false" customHeight="false" outlineLevel="0" collapsed="false">
      <c r="A739" s="41"/>
      <c r="G739" s="38" t="n">
        <f aca="false">MONTH(A739)</f>
        <v>12</v>
      </c>
      <c r="H739" s="38" t="n">
        <f aca="false">YEAR(Tabela1[[#This Row],[FECHA]])</f>
        <v>1900</v>
      </c>
      <c r="I7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0" customFormat="false" ht="15" hidden="false" customHeight="false" outlineLevel="0" collapsed="false">
      <c r="A740" s="41"/>
      <c r="G740" s="38" t="n">
        <f aca="false">MONTH(A740)</f>
        <v>12</v>
      </c>
      <c r="H740" s="38" t="n">
        <f aca="false">YEAR(Tabela1[[#This Row],[FECHA]])</f>
        <v>1900</v>
      </c>
      <c r="I7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1" customFormat="false" ht="15" hidden="false" customHeight="false" outlineLevel="0" collapsed="false">
      <c r="A741" s="41"/>
      <c r="G741" s="38" t="n">
        <f aca="false">MONTH(A741)</f>
        <v>12</v>
      </c>
      <c r="H741" s="38" t="n">
        <f aca="false">YEAR(Tabela1[[#This Row],[FECHA]])</f>
        <v>1900</v>
      </c>
      <c r="I7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2" customFormat="false" ht="15" hidden="false" customHeight="false" outlineLevel="0" collapsed="false">
      <c r="A742" s="41"/>
      <c r="G742" s="38" t="n">
        <f aca="false">MONTH(A742)</f>
        <v>12</v>
      </c>
      <c r="H742" s="38" t="n">
        <f aca="false">YEAR(Tabela1[[#This Row],[FECHA]])</f>
        <v>1900</v>
      </c>
      <c r="I7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3" customFormat="false" ht="15" hidden="false" customHeight="false" outlineLevel="0" collapsed="false">
      <c r="A743" s="41"/>
      <c r="G743" s="38" t="n">
        <f aca="false">MONTH(A743)</f>
        <v>12</v>
      </c>
      <c r="H743" s="38" t="n">
        <f aca="false">YEAR(Tabela1[[#This Row],[FECHA]])</f>
        <v>1900</v>
      </c>
      <c r="I7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4" customFormat="false" ht="15" hidden="false" customHeight="false" outlineLevel="0" collapsed="false">
      <c r="A744" s="41"/>
      <c r="G744" s="38" t="n">
        <f aca="false">MONTH(A744)</f>
        <v>12</v>
      </c>
      <c r="H744" s="38" t="n">
        <f aca="false">YEAR(Tabela1[[#This Row],[FECHA]])</f>
        <v>1900</v>
      </c>
      <c r="I7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5" customFormat="false" ht="15" hidden="false" customHeight="false" outlineLevel="0" collapsed="false">
      <c r="A745" s="41"/>
      <c r="G745" s="38" t="n">
        <f aca="false">MONTH(A745)</f>
        <v>12</v>
      </c>
      <c r="H745" s="38" t="n">
        <f aca="false">YEAR(Tabela1[[#This Row],[FECHA]])</f>
        <v>1900</v>
      </c>
      <c r="I7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6" customFormat="false" ht="15" hidden="false" customHeight="false" outlineLevel="0" collapsed="false">
      <c r="A746" s="41"/>
      <c r="G746" s="38" t="n">
        <f aca="false">MONTH(A746)</f>
        <v>12</v>
      </c>
      <c r="H746" s="38" t="n">
        <f aca="false">YEAR(Tabela1[[#This Row],[FECHA]])</f>
        <v>1900</v>
      </c>
      <c r="I7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7" customFormat="false" ht="15" hidden="false" customHeight="false" outlineLevel="0" collapsed="false">
      <c r="A747" s="41"/>
      <c r="G747" s="38" t="n">
        <f aca="false">MONTH(A747)</f>
        <v>12</v>
      </c>
      <c r="H747" s="38" t="n">
        <f aca="false">YEAR(Tabela1[[#This Row],[FECHA]])</f>
        <v>1900</v>
      </c>
      <c r="I7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8" customFormat="false" ht="15" hidden="false" customHeight="false" outlineLevel="0" collapsed="false">
      <c r="A748" s="41"/>
      <c r="G748" s="38" t="n">
        <f aca="false">MONTH(A748)</f>
        <v>12</v>
      </c>
      <c r="H748" s="38" t="n">
        <f aca="false">YEAR(Tabela1[[#This Row],[FECHA]])</f>
        <v>1900</v>
      </c>
      <c r="I7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9" customFormat="false" ht="15" hidden="false" customHeight="false" outlineLevel="0" collapsed="false">
      <c r="A749" s="41"/>
      <c r="G749" s="38" t="n">
        <f aca="false">MONTH(A749)</f>
        <v>12</v>
      </c>
      <c r="H749" s="38" t="n">
        <f aca="false">YEAR(Tabela1[[#This Row],[FECHA]])</f>
        <v>1900</v>
      </c>
      <c r="I7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0" customFormat="false" ht="15" hidden="false" customHeight="false" outlineLevel="0" collapsed="false">
      <c r="A750" s="41"/>
      <c r="G750" s="38" t="n">
        <f aca="false">MONTH(A750)</f>
        <v>12</v>
      </c>
      <c r="H750" s="38" t="n">
        <f aca="false">YEAR(Tabela1[[#This Row],[FECHA]])</f>
        <v>1900</v>
      </c>
      <c r="I7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1" customFormat="false" ht="15" hidden="false" customHeight="false" outlineLevel="0" collapsed="false">
      <c r="A751" s="41"/>
      <c r="G751" s="38" t="n">
        <f aca="false">MONTH(A751)</f>
        <v>12</v>
      </c>
      <c r="H751" s="38" t="n">
        <f aca="false">YEAR(Tabela1[[#This Row],[FECHA]])</f>
        <v>1900</v>
      </c>
      <c r="I7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2" customFormat="false" ht="15" hidden="false" customHeight="false" outlineLevel="0" collapsed="false">
      <c r="A752" s="41"/>
      <c r="G752" s="38" t="n">
        <f aca="false">MONTH(A752)</f>
        <v>12</v>
      </c>
      <c r="H752" s="38" t="n">
        <f aca="false">YEAR(Tabela1[[#This Row],[FECHA]])</f>
        <v>1900</v>
      </c>
      <c r="I7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3" customFormat="false" ht="15" hidden="false" customHeight="false" outlineLevel="0" collapsed="false">
      <c r="A753" s="41"/>
      <c r="G753" s="38" t="n">
        <f aca="false">MONTH(A753)</f>
        <v>12</v>
      </c>
      <c r="H753" s="38" t="n">
        <f aca="false">YEAR(Tabela1[[#This Row],[FECHA]])</f>
        <v>1900</v>
      </c>
      <c r="I7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4" customFormat="false" ht="15" hidden="false" customHeight="false" outlineLevel="0" collapsed="false">
      <c r="A754" s="41"/>
      <c r="G754" s="38" t="n">
        <f aca="false">MONTH(A754)</f>
        <v>12</v>
      </c>
      <c r="H754" s="38" t="n">
        <f aca="false">YEAR(Tabela1[[#This Row],[FECHA]])</f>
        <v>1900</v>
      </c>
      <c r="I7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5" customFormat="false" ht="15" hidden="false" customHeight="false" outlineLevel="0" collapsed="false">
      <c r="A755" s="41"/>
      <c r="G755" s="38" t="n">
        <f aca="false">MONTH(A755)</f>
        <v>12</v>
      </c>
      <c r="H755" s="38" t="n">
        <f aca="false">YEAR(Tabela1[[#This Row],[FECHA]])</f>
        <v>1900</v>
      </c>
      <c r="I7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6" customFormat="false" ht="15" hidden="false" customHeight="false" outlineLevel="0" collapsed="false">
      <c r="A756" s="41"/>
      <c r="G756" s="38" t="n">
        <f aca="false">MONTH(A756)</f>
        <v>12</v>
      </c>
      <c r="H756" s="38" t="n">
        <f aca="false">YEAR(Tabela1[[#This Row],[FECHA]])</f>
        <v>1900</v>
      </c>
      <c r="I7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7" customFormat="false" ht="15" hidden="false" customHeight="false" outlineLevel="0" collapsed="false">
      <c r="A757" s="41"/>
      <c r="G757" s="38" t="n">
        <f aca="false">MONTH(A757)</f>
        <v>12</v>
      </c>
      <c r="H757" s="38" t="n">
        <f aca="false">YEAR(Tabela1[[#This Row],[FECHA]])</f>
        <v>1900</v>
      </c>
      <c r="I7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8" customFormat="false" ht="15" hidden="false" customHeight="false" outlineLevel="0" collapsed="false">
      <c r="A758" s="41"/>
      <c r="G758" s="38" t="n">
        <f aca="false">MONTH(A758)</f>
        <v>12</v>
      </c>
      <c r="H758" s="38" t="n">
        <f aca="false">YEAR(Tabela1[[#This Row],[FECHA]])</f>
        <v>1900</v>
      </c>
      <c r="I7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9" customFormat="false" ht="15" hidden="false" customHeight="false" outlineLevel="0" collapsed="false">
      <c r="A759" s="41"/>
      <c r="G759" s="38" t="n">
        <f aca="false">MONTH(A759)</f>
        <v>12</v>
      </c>
      <c r="H759" s="38" t="n">
        <f aca="false">YEAR(Tabela1[[#This Row],[FECHA]])</f>
        <v>1900</v>
      </c>
      <c r="I7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0" customFormat="false" ht="15" hidden="false" customHeight="false" outlineLevel="0" collapsed="false">
      <c r="A760" s="41"/>
      <c r="G760" s="38" t="n">
        <f aca="false">MONTH(A760)</f>
        <v>12</v>
      </c>
      <c r="H760" s="38" t="n">
        <f aca="false">YEAR(Tabela1[[#This Row],[FECHA]])</f>
        <v>1900</v>
      </c>
      <c r="I7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1" customFormat="false" ht="15" hidden="false" customHeight="false" outlineLevel="0" collapsed="false">
      <c r="A761" s="41"/>
      <c r="G761" s="38" t="n">
        <f aca="false">MONTH(A761)</f>
        <v>12</v>
      </c>
      <c r="H761" s="38" t="n">
        <f aca="false">YEAR(Tabela1[[#This Row],[FECHA]])</f>
        <v>1900</v>
      </c>
      <c r="I7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2" customFormat="false" ht="15" hidden="false" customHeight="false" outlineLevel="0" collapsed="false">
      <c r="A762" s="41"/>
      <c r="G762" s="38" t="n">
        <f aca="false">MONTH(A762)</f>
        <v>12</v>
      </c>
      <c r="H762" s="38" t="n">
        <f aca="false">YEAR(Tabela1[[#This Row],[FECHA]])</f>
        <v>1900</v>
      </c>
      <c r="I7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3" customFormat="false" ht="15" hidden="false" customHeight="false" outlineLevel="0" collapsed="false">
      <c r="A763" s="41"/>
      <c r="G763" s="38" t="n">
        <f aca="false">MONTH(A763)</f>
        <v>12</v>
      </c>
      <c r="H763" s="38" t="n">
        <f aca="false">YEAR(Tabela1[[#This Row],[FECHA]])</f>
        <v>1900</v>
      </c>
      <c r="I7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4" customFormat="false" ht="15" hidden="false" customHeight="false" outlineLevel="0" collapsed="false">
      <c r="A764" s="41"/>
      <c r="G764" s="38" t="n">
        <f aca="false">MONTH(A764)</f>
        <v>12</v>
      </c>
      <c r="H764" s="38" t="n">
        <f aca="false">YEAR(Tabela1[[#This Row],[FECHA]])</f>
        <v>1900</v>
      </c>
      <c r="I7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5" customFormat="false" ht="15" hidden="false" customHeight="false" outlineLevel="0" collapsed="false">
      <c r="A765" s="41"/>
      <c r="G765" s="38" t="n">
        <f aca="false">MONTH(A765)</f>
        <v>12</v>
      </c>
      <c r="H765" s="38" t="n">
        <f aca="false">YEAR(Tabela1[[#This Row],[FECHA]])</f>
        <v>1900</v>
      </c>
      <c r="I7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6" customFormat="false" ht="15" hidden="false" customHeight="false" outlineLevel="0" collapsed="false">
      <c r="A766" s="41"/>
      <c r="G766" s="38" t="n">
        <f aca="false">MONTH(A766)</f>
        <v>12</v>
      </c>
      <c r="H766" s="38" t="n">
        <f aca="false">YEAR(Tabela1[[#This Row],[FECHA]])</f>
        <v>1900</v>
      </c>
      <c r="I7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7" customFormat="false" ht="15" hidden="false" customHeight="false" outlineLevel="0" collapsed="false">
      <c r="A767" s="41"/>
      <c r="G767" s="38" t="n">
        <f aca="false">MONTH(A767)</f>
        <v>12</v>
      </c>
      <c r="H767" s="38" t="n">
        <f aca="false">YEAR(Tabela1[[#This Row],[FECHA]])</f>
        <v>1900</v>
      </c>
      <c r="I7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8" customFormat="false" ht="15" hidden="false" customHeight="false" outlineLevel="0" collapsed="false">
      <c r="A768" s="41"/>
      <c r="G768" s="38" t="n">
        <f aca="false">MONTH(A768)</f>
        <v>12</v>
      </c>
      <c r="H768" s="38" t="n">
        <f aca="false">YEAR(Tabela1[[#This Row],[FECHA]])</f>
        <v>1900</v>
      </c>
      <c r="I7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9" customFormat="false" ht="15" hidden="false" customHeight="false" outlineLevel="0" collapsed="false">
      <c r="A769" s="41"/>
      <c r="G769" s="38" t="n">
        <f aca="false">MONTH(A769)</f>
        <v>12</v>
      </c>
      <c r="H769" s="38" t="n">
        <f aca="false">YEAR(Tabela1[[#This Row],[FECHA]])</f>
        <v>1900</v>
      </c>
      <c r="I7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0" customFormat="false" ht="15" hidden="false" customHeight="false" outlineLevel="0" collapsed="false">
      <c r="A770" s="41"/>
      <c r="G770" s="38" t="n">
        <f aca="false">MONTH(A770)</f>
        <v>12</v>
      </c>
      <c r="H770" s="38" t="n">
        <f aca="false">YEAR(Tabela1[[#This Row],[FECHA]])</f>
        <v>1900</v>
      </c>
      <c r="I7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1" customFormat="false" ht="15" hidden="false" customHeight="false" outlineLevel="0" collapsed="false">
      <c r="A771" s="41"/>
      <c r="G771" s="38" t="n">
        <f aca="false">MONTH(A771)</f>
        <v>12</v>
      </c>
      <c r="H771" s="38" t="n">
        <f aca="false">YEAR(Tabela1[[#This Row],[FECHA]])</f>
        <v>1900</v>
      </c>
      <c r="I7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2" customFormat="false" ht="15" hidden="false" customHeight="false" outlineLevel="0" collapsed="false">
      <c r="A772" s="41"/>
      <c r="G772" s="38" t="n">
        <f aca="false">MONTH(A772)</f>
        <v>12</v>
      </c>
      <c r="H772" s="38" t="n">
        <f aca="false">YEAR(Tabela1[[#This Row],[FECHA]])</f>
        <v>1900</v>
      </c>
      <c r="I7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3" customFormat="false" ht="15" hidden="false" customHeight="false" outlineLevel="0" collapsed="false">
      <c r="A773" s="41"/>
      <c r="G773" s="38" t="n">
        <f aca="false">MONTH(A773)</f>
        <v>12</v>
      </c>
      <c r="H773" s="38" t="n">
        <f aca="false">YEAR(Tabela1[[#This Row],[FECHA]])</f>
        <v>1900</v>
      </c>
      <c r="I7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4" customFormat="false" ht="15" hidden="false" customHeight="false" outlineLevel="0" collapsed="false">
      <c r="A774" s="41"/>
      <c r="G774" s="38" t="n">
        <f aca="false">MONTH(A774)</f>
        <v>12</v>
      </c>
      <c r="H774" s="38" t="n">
        <f aca="false">YEAR(Tabela1[[#This Row],[FECHA]])</f>
        <v>1900</v>
      </c>
      <c r="I7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5" customFormat="false" ht="15" hidden="false" customHeight="false" outlineLevel="0" collapsed="false">
      <c r="A775" s="41"/>
      <c r="G775" s="38" t="n">
        <f aca="false">MONTH(A775)</f>
        <v>12</v>
      </c>
      <c r="H775" s="38" t="n">
        <f aca="false">YEAR(Tabela1[[#This Row],[FECHA]])</f>
        <v>1900</v>
      </c>
      <c r="I7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6" customFormat="false" ht="15" hidden="false" customHeight="false" outlineLevel="0" collapsed="false">
      <c r="A776" s="41"/>
      <c r="G776" s="38" t="n">
        <f aca="false">MONTH(A776)</f>
        <v>12</v>
      </c>
      <c r="H776" s="38" t="n">
        <f aca="false">YEAR(Tabela1[[#This Row],[FECHA]])</f>
        <v>1900</v>
      </c>
      <c r="I7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7" customFormat="false" ht="15" hidden="false" customHeight="false" outlineLevel="0" collapsed="false">
      <c r="A777" s="41"/>
      <c r="G777" s="38" t="n">
        <f aca="false">MONTH(A777)</f>
        <v>12</v>
      </c>
      <c r="H777" s="38" t="n">
        <f aca="false">YEAR(Tabela1[[#This Row],[FECHA]])</f>
        <v>1900</v>
      </c>
      <c r="I7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8" customFormat="false" ht="15" hidden="false" customHeight="false" outlineLevel="0" collapsed="false">
      <c r="A778" s="41"/>
      <c r="G778" s="38" t="n">
        <f aca="false">MONTH(A778)</f>
        <v>12</v>
      </c>
      <c r="H778" s="38" t="n">
        <f aca="false">YEAR(Tabela1[[#This Row],[FECHA]])</f>
        <v>1900</v>
      </c>
      <c r="I7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9" customFormat="false" ht="15" hidden="false" customHeight="false" outlineLevel="0" collapsed="false">
      <c r="A779" s="41"/>
      <c r="G779" s="38" t="n">
        <f aca="false">MONTH(A779)</f>
        <v>12</v>
      </c>
      <c r="H779" s="38" t="n">
        <f aca="false">YEAR(Tabela1[[#This Row],[FECHA]])</f>
        <v>1900</v>
      </c>
      <c r="I7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0" customFormat="false" ht="15" hidden="false" customHeight="false" outlineLevel="0" collapsed="false">
      <c r="A780" s="41"/>
      <c r="G780" s="38" t="n">
        <f aca="false">MONTH(A780)</f>
        <v>12</v>
      </c>
      <c r="H780" s="38" t="n">
        <f aca="false">YEAR(Tabela1[[#This Row],[FECHA]])</f>
        <v>1900</v>
      </c>
      <c r="I7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1" customFormat="false" ht="15" hidden="false" customHeight="false" outlineLevel="0" collapsed="false">
      <c r="A781" s="41"/>
      <c r="G781" s="38" t="n">
        <f aca="false">MONTH(A781)</f>
        <v>12</v>
      </c>
      <c r="H781" s="38" t="n">
        <f aca="false">YEAR(Tabela1[[#This Row],[FECHA]])</f>
        <v>1900</v>
      </c>
      <c r="I7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2" customFormat="false" ht="15" hidden="false" customHeight="false" outlineLevel="0" collapsed="false">
      <c r="A782" s="41"/>
      <c r="G782" s="38" t="n">
        <f aca="false">MONTH(A782)</f>
        <v>12</v>
      </c>
      <c r="H782" s="38" t="n">
        <f aca="false">YEAR(Tabela1[[#This Row],[FECHA]])</f>
        <v>1900</v>
      </c>
      <c r="I7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3" customFormat="false" ht="15" hidden="false" customHeight="false" outlineLevel="0" collapsed="false">
      <c r="A783" s="41"/>
      <c r="G783" s="38" t="n">
        <f aca="false">MONTH(A783)</f>
        <v>12</v>
      </c>
      <c r="H783" s="38" t="n">
        <f aca="false">YEAR(Tabela1[[#This Row],[FECHA]])</f>
        <v>1900</v>
      </c>
      <c r="I7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4" customFormat="false" ht="15" hidden="false" customHeight="false" outlineLevel="0" collapsed="false">
      <c r="A784" s="41"/>
      <c r="G784" s="38" t="n">
        <f aca="false">MONTH(A784)</f>
        <v>12</v>
      </c>
      <c r="H784" s="38" t="n">
        <f aca="false">YEAR(Tabela1[[#This Row],[FECHA]])</f>
        <v>1900</v>
      </c>
      <c r="I7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5" customFormat="false" ht="15" hidden="false" customHeight="false" outlineLevel="0" collapsed="false">
      <c r="A785" s="41"/>
      <c r="G785" s="38" t="n">
        <f aca="false">MONTH(A785)</f>
        <v>12</v>
      </c>
      <c r="H785" s="38" t="n">
        <f aca="false">YEAR(Tabela1[[#This Row],[FECHA]])</f>
        <v>1900</v>
      </c>
      <c r="I7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6" customFormat="false" ht="15" hidden="false" customHeight="false" outlineLevel="0" collapsed="false">
      <c r="A786" s="41"/>
      <c r="G786" s="38" t="n">
        <f aca="false">MONTH(A786)</f>
        <v>12</v>
      </c>
      <c r="H786" s="38" t="n">
        <f aca="false">YEAR(Tabela1[[#This Row],[FECHA]])</f>
        <v>1900</v>
      </c>
      <c r="I7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7" customFormat="false" ht="15" hidden="false" customHeight="false" outlineLevel="0" collapsed="false">
      <c r="A787" s="41"/>
      <c r="G787" s="38" t="n">
        <f aca="false">MONTH(A787)</f>
        <v>12</v>
      </c>
      <c r="H787" s="38" t="n">
        <f aca="false">YEAR(Tabela1[[#This Row],[FECHA]])</f>
        <v>1900</v>
      </c>
      <c r="I7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8" customFormat="false" ht="15" hidden="false" customHeight="false" outlineLevel="0" collapsed="false">
      <c r="A788" s="41"/>
      <c r="G788" s="38" t="n">
        <f aca="false">MONTH(A788)</f>
        <v>12</v>
      </c>
      <c r="H788" s="38" t="n">
        <f aca="false">YEAR(Tabela1[[#This Row],[FECHA]])</f>
        <v>1900</v>
      </c>
      <c r="I7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9" customFormat="false" ht="15" hidden="false" customHeight="false" outlineLevel="0" collapsed="false">
      <c r="A789" s="41"/>
      <c r="G789" s="38" t="n">
        <f aca="false">MONTH(A789)</f>
        <v>12</v>
      </c>
      <c r="H789" s="38" t="n">
        <f aca="false">YEAR(Tabela1[[#This Row],[FECHA]])</f>
        <v>1900</v>
      </c>
      <c r="I7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0" customFormat="false" ht="15" hidden="false" customHeight="false" outlineLevel="0" collapsed="false">
      <c r="A790" s="41"/>
      <c r="G790" s="38" t="n">
        <f aca="false">MONTH(A790)</f>
        <v>12</v>
      </c>
      <c r="H790" s="38" t="n">
        <f aca="false">YEAR(Tabela1[[#This Row],[FECHA]])</f>
        <v>1900</v>
      </c>
      <c r="I7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1" customFormat="false" ht="15" hidden="false" customHeight="false" outlineLevel="0" collapsed="false">
      <c r="A791" s="41"/>
      <c r="G791" s="38" t="n">
        <f aca="false">MONTH(A791)</f>
        <v>12</v>
      </c>
      <c r="H791" s="38" t="n">
        <f aca="false">YEAR(Tabela1[[#This Row],[FECHA]])</f>
        <v>1900</v>
      </c>
      <c r="I7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2" customFormat="false" ht="15" hidden="false" customHeight="false" outlineLevel="0" collapsed="false">
      <c r="A792" s="41"/>
      <c r="G792" s="38" t="n">
        <f aca="false">MONTH(A792)</f>
        <v>12</v>
      </c>
      <c r="H792" s="38" t="n">
        <f aca="false">YEAR(Tabela1[[#This Row],[FECHA]])</f>
        <v>1900</v>
      </c>
      <c r="I7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3" customFormat="false" ht="15" hidden="false" customHeight="false" outlineLevel="0" collapsed="false">
      <c r="A793" s="41"/>
      <c r="G793" s="38" t="n">
        <f aca="false">MONTH(A793)</f>
        <v>12</v>
      </c>
      <c r="H793" s="38" t="n">
        <f aca="false">YEAR(Tabela1[[#This Row],[FECHA]])</f>
        <v>1900</v>
      </c>
      <c r="I7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4" customFormat="false" ht="15" hidden="false" customHeight="false" outlineLevel="0" collapsed="false">
      <c r="A794" s="41"/>
      <c r="G794" s="38" t="n">
        <f aca="false">MONTH(A794)</f>
        <v>12</v>
      </c>
      <c r="H794" s="38" t="n">
        <f aca="false">YEAR(Tabela1[[#This Row],[FECHA]])</f>
        <v>1900</v>
      </c>
      <c r="I7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5" customFormat="false" ht="15" hidden="false" customHeight="false" outlineLevel="0" collapsed="false">
      <c r="A795" s="41"/>
      <c r="G795" s="38" t="n">
        <f aca="false">MONTH(A795)</f>
        <v>12</v>
      </c>
      <c r="H795" s="38" t="n">
        <f aca="false">YEAR(Tabela1[[#This Row],[FECHA]])</f>
        <v>1900</v>
      </c>
      <c r="I7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6" customFormat="false" ht="15" hidden="false" customHeight="false" outlineLevel="0" collapsed="false">
      <c r="A796" s="41"/>
      <c r="G796" s="38" t="n">
        <f aca="false">MONTH(A796)</f>
        <v>12</v>
      </c>
      <c r="H796" s="38" t="n">
        <f aca="false">YEAR(Tabela1[[#This Row],[FECHA]])</f>
        <v>1900</v>
      </c>
      <c r="I7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7" customFormat="false" ht="15" hidden="false" customHeight="false" outlineLevel="0" collapsed="false">
      <c r="A797" s="41"/>
      <c r="G797" s="38" t="n">
        <f aca="false">MONTH(A797)</f>
        <v>12</v>
      </c>
      <c r="H797" s="38" t="n">
        <f aca="false">YEAR(Tabela1[[#This Row],[FECHA]])</f>
        <v>1900</v>
      </c>
      <c r="I7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8" customFormat="false" ht="15" hidden="false" customHeight="false" outlineLevel="0" collapsed="false">
      <c r="A798" s="41"/>
      <c r="G798" s="38" t="n">
        <f aca="false">MONTH(A798)</f>
        <v>12</v>
      </c>
      <c r="H798" s="38" t="n">
        <f aca="false">YEAR(Tabela1[[#This Row],[FECHA]])</f>
        <v>1900</v>
      </c>
      <c r="I7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9" customFormat="false" ht="15" hidden="false" customHeight="false" outlineLevel="0" collapsed="false">
      <c r="A799" s="41"/>
      <c r="G799" s="38" t="n">
        <f aca="false">MONTH(A799)</f>
        <v>12</v>
      </c>
      <c r="H799" s="38" t="n">
        <f aca="false">YEAR(Tabela1[[#This Row],[FECHA]])</f>
        <v>1900</v>
      </c>
      <c r="I7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0" customFormat="false" ht="15" hidden="false" customHeight="false" outlineLevel="0" collapsed="false">
      <c r="A800" s="41"/>
      <c r="G800" s="38" t="n">
        <f aca="false">MONTH(A800)</f>
        <v>12</v>
      </c>
      <c r="H800" s="38" t="n">
        <f aca="false">YEAR(Tabela1[[#This Row],[FECHA]])</f>
        <v>1900</v>
      </c>
      <c r="I8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1" customFormat="false" ht="15" hidden="false" customHeight="false" outlineLevel="0" collapsed="false">
      <c r="A801" s="41"/>
      <c r="G801" s="38" t="n">
        <f aca="false">MONTH(A801)</f>
        <v>12</v>
      </c>
      <c r="H801" s="38" t="n">
        <f aca="false">YEAR(Tabela1[[#This Row],[FECHA]])</f>
        <v>1900</v>
      </c>
      <c r="I8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2" customFormat="false" ht="15" hidden="false" customHeight="false" outlineLevel="0" collapsed="false">
      <c r="A802" s="41"/>
      <c r="G802" s="38" t="n">
        <f aca="false">MONTH(A802)</f>
        <v>12</v>
      </c>
      <c r="H802" s="38" t="n">
        <f aca="false">YEAR(Tabela1[[#This Row],[FECHA]])</f>
        <v>1900</v>
      </c>
      <c r="I8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3" customFormat="false" ht="15" hidden="false" customHeight="false" outlineLevel="0" collapsed="false">
      <c r="A803" s="41"/>
      <c r="G803" s="38" t="n">
        <f aca="false">MONTH(A803)</f>
        <v>12</v>
      </c>
      <c r="H803" s="38" t="n">
        <f aca="false">YEAR(Tabela1[[#This Row],[FECHA]])</f>
        <v>1900</v>
      </c>
      <c r="I8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4" customFormat="false" ht="15" hidden="false" customHeight="false" outlineLevel="0" collapsed="false">
      <c r="A804" s="41"/>
      <c r="G804" s="38" t="n">
        <f aca="false">MONTH(A804)</f>
        <v>12</v>
      </c>
      <c r="H804" s="38" t="n">
        <f aca="false">YEAR(Tabela1[[#This Row],[FECHA]])</f>
        <v>1900</v>
      </c>
      <c r="I8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5" customFormat="false" ht="15" hidden="false" customHeight="false" outlineLevel="0" collapsed="false">
      <c r="A805" s="41"/>
      <c r="G805" s="38" t="n">
        <f aca="false">MONTH(A805)</f>
        <v>12</v>
      </c>
      <c r="H805" s="38" t="n">
        <f aca="false">YEAR(Tabela1[[#This Row],[FECHA]])</f>
        <v>1900</v>
      </c>
      <c r="I8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6" customFormat="false" ht="15" hidden="false" customHeight="false" outlineLevel="0" collapsed="false">
      <c r="A806" s="41"/>
      <c r="G806" s="38" t="n">
        <f aca="false">MONTH(A806)</f>
        <v>12</v>
      </c>
      <c r="H806" s="38" t="n">
        <f aca="false">YEAR(Tabela1[[#This Row],[FECHA]])</f>
        <v>1900</v>
      </c>
      <c r="I8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7" customFormat="false" ht="15" hidden="false" customHeight="false" outlineLevel="0" collapsed="false">
      <c r="A807" s="41"/>
      <c r="G807" s="38" t="n">
        <f aca="false">MONTH(A807)</f>
        <v>12</v>
      </c>
      <c r="H807" s="38" t="n">
        <f aca="false">YEAR(Tabela1[[#This Row],[FECHA]])</f>
        <v>1900</v>
      </c>
      <c r="I8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8" customFormat="false" ht="15" hidden="false" customHeight="false" outlineLevel="0" collapsed="false">
      <c r="A808" s="41"/>
      <c r="G808" s="38" t="n">
        <f aca="false">MONTH(A808)</f>
        <v>12</v>
      </c>
      <c r="H808" s="38" t="n">
        <f aca="false">YEAR(Tabela1[[#This Row],[FECHA]])</f>
        <v>1900</v>
      </c>
      <c r="I8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9" customFormat="false" ht="15" hidden="false" customHeight="false" outlineLevel="0" collapsed="false">
      <c r="A809" s="41"/>
      <c r="G809" s="38" t="n">
        <f aca="false">MONTH(A809)</f>
        <v>12</v>
      </c>
      <c r="H809" s="38" t="n">
        <f aca="false">YEAR(Tabela1[[#This Row],[FECHA]])</f>
        <v>1900</v>
      </c>
      <c r="I8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0" customFormat="false" ht="15" hidden="false" customHeight="false" outlineLevel="0" collapsed="false">
      <c r="A810" s="41"/>
      <c r="G810" s="38" t="n">
        <f aca="false">MONTH(A810)</f>
        <v>12</v>
      </c>
      <c r="H810" s="38" t="n">
        <f aca="false">YEAR(Tabela1[[#This Row],[FECHA]])</f>
        <v>1900</v>
      </c>
      <c r="I8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1" customFormat="false" ht="15" hidden="false" customHeight="false" outlineLevel="0" collapsed="false">
      <c r="A811" s="41"/>
      <c r="G811" s="38" t="n">
        <f aca="false">MONTH(A811)</f>
        <v>12</v>
      </c>
      <c r="H811" s="38" t="n">
        <f aca="false">YEAR(Tabela1[[#This Row],[FECHA]])</f>
        <v>1900</v>
      </c>
      <c r="I8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2" customFormat="false" ht="15" hidden="false" customHeight="false" outlineLevel="0" collapsed="false">
      <c r="A812" s="41"/>
      <c r="G812" s="38" t="n">
        <f aca="false">MONTH(A812)</f>
        <v>12</v>
      </c>
      <c r="H812" s="38" t="n">
        <f aca="false">YEAR(Tabela1[[#This Row],[FECHA]])</f>
        <v>1900</v>
      </c>
      <c r="I8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3" customFormat="false" ht="15" hidden="false" customHeight="false" outlineLevel="0" collapsed="false">
      <c r="A813" s="41"/>
      <c r="G813" s="38" t="n">
        <f aca="false">MONTH(A813)</f>
        <v>12</v>
      </c>
      <c r="H813" s="38" t="n">
        <f aca="false">YEAR(Tabela1[[#This Row],[FECHA]])</f>
        <v>1900</v>
      </c>
      <c r="I8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4" customFormat="false" ht="15" hidden="false" customHeight="false" outlineLevel="0" collapsed="false">
      <c r="A814" s="41"/>
      <c r="G814" s="38" t="n">
        <f aca="false">MONTH(A814)</f>
        <v>12</v>
      </c>
      <c r="H814" s="38" t="n">
        <f aca="false">YEAR(Tabela1[[#This Row],[FECHA]])</f>
        <v>1900</v>
      </c>
      <c r="I8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5" customFormat="false" ht="15" hidden="false" customHeight="false" outlineLevel="0" collapsed="false">
      <c r="A815" s="41"/>
      <c r="G815" s="38" t="n">
        <f aca="false">MONTH(A815)</f>
        <v>12</v>
      </c>
      <c r="H815" s="38" t="n">
        <f aca="false">YEAR(Tabela1[[#This Row],[FECHA]])</f>
        <v>1900</v>
      </c>
      <c r="I8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6" customFormat="false" ht="15" hidden="false" customHeight="false" outlineLevel="0" collapsed="false">
      <c r="A816" s="41"/>
      <c r="G816" s="38" t="n">
        <f aca="false">MONTH(A816)</f>
        <v>12</v>
      </c>
      <c r="H816" s="38" t="n">
        <f aca="false">YEAR(Tabela1[[#This Row],[FECHA]])</f>
        <v>1900</v>
      </c>
      <c r="I8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7" customFormat="false" ht="15" hidden="false" customHeight="false" outlineLevel="0" collapsed="false">
      <c r="A817" s="41"/>
      <c r="G817" s="38" t="n">
        <f aca="false">MONTH(A817)</f>
        <v>12</v>
      </c>
      <c r="H817" s="38" t="n">
        <f aca="false">YEAR(Tabela1[[#This Row],[FECHA]])</f>
        <v>1900</v>
      </c>
      <c r="I8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8" customFormat="false" ht="15" hidden="false" customHeight="false" outlineLevel="0" collapsed="false">
      <c r="A818" s="41"/>
      <c r="G818" s="38" t="n">
        <f aca="false">MONTH(A818)</f>
        <v>12</v>
      </c>
      <c r="H818" s="38" t="n">
        <f aca="false">YEAR(Tabela1[[#This Row],[FECHA]])</f>
        <v>1900</v>
      </c>
      <c r="I8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9" customFormat="false" ht="15" hidden="false" customHeight="false" outlineLevel="0" collapsed="false">
      <c r="A819" s="41"/>
      <c r="G819" s="38" t="n">
        <f aca="false">MONTH(A819)</f>
        <v>12</v>
      </c>
      <c r="H819" s="38" t="n">
        <f aca="false">YEAR(Tabela1[[#This Row],[FECHA]])</f>
        <v>1900</v>
      </c>
      <c r="I8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0" customFormat="false" ht="15" hidden="false" customHeight="false" outlineLevel="0" collapsed="false">
      <c r="A820" s="41"/>
      <c r="G820" s="38" t="n">
        <f aca="false">MONTH(A820)</f>
        <v>12</v>
      </c>
      <c r="H820" s="38" t="n">
        <f aca="false">YEAR(Tabela1[[#This Row],[FECHA]])</f>
        <v>1900</v>
      </c>
      <c r="I8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1" customFormat="false" ht="15" hidden="false" customHeight="false" outlineLevel="0" collapsed="false">
      <c r="A821" s="41"/>
      <c r="G821" s="38" t="n">
        <f aca="false">MONTH(A821)</f>
        <v>12</v>
      </c>
      <c r="H821" s="38" t="n">
        <f aca="false">YEAR(Tabela1[[#This Row],[FECHA]])</f>
        <v>1900</v>
      </c>
      <c r="I8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2" customFormat="false" ht="15" hidden="false" customHeight="false" outlineLevel="0" collapsed="false">
      <c r="A822" s="41"/>
      <c r="G822" s="38" t="n">
        <f aca="false">MONTH(A822)</f>
        <v>12</v>
      </c>
      <c r="H822" s="38" t="n">
        <f aca="false">YEAR(Tabela1[[#This Row],[FECHA]])</f>
        <v>1900</v>
      </c>
      <c r="I8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3" customFormat="false" ht="15" hidden="false" customHeight="false" outlineLevel="0" collapsed="false">
      <c r="A823" s="41"/>
      <c r="G823" s="38" t="n">
        <f aca="false">MONTH(A823)</f>
        <v>12</v>
      </c>
      <c r="H823" s="38" t="n">
        <f aca="false">YEAR(Tabela1[[#This Row],[FECHA]])</f>
        <v>1900</v>
      </c>
      <c r="I8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4" customFormat="false" ht="15" hidden="false" customHeight="false" outlineLevel="0" collapsed="false">
      <c r="A824" s="41"/>
      <c r="G824" s="38" t="n">
        <f aca="false">MONTH(A824)</f>
        <v>12</v>
      </c>
      <c r="H824" s="38" t="n">
        <f aca="false">YEAR(Tabela1[[#This Row],[FECHA]])</f>
        <v>1900</v>
      </c>
      <c r="I8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5" customFormat="false" ht="15" hidden="false" customHeight="false" outlineLevel="0" collapsed="false">
      <c r="A825" s="41"/>
      <c r="G825" s="38" t="n">
        <f aca="false">MONTH(A825)</f>
        <v>12</v>
      </c>
      <c r="H825" s="38" t="n">
        <f aca="false">YEAR(Tabela1[[#This Row],[FECHA]])</f>
        <v>1900</v>
      </c>
      <c r="I8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6" customFormat="false" ht="15" hidden="false" customHeight="false" outlineLevel="0" collapsed="false">
      <c r="A826" s="41"/>
      <c r="G826" s="38" t="n">
        <f aca="false">MONTH(A826)</f>
        <v>12</v>
      </c>
      <c r="H826" s="38" t="n">
        <f aca="false">YEAR(Tabela1[[#This Row],[FECHA]])</f>
        <v>1900</v>
      </c>
      <c r="I8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7" customFormat="false" ht="15" hidden="false" customHeight="false" outlineLevel="0" collapsed="false">
      <c r="A827" s="41"/>
      <c r="G827" s="38" t="n">
        <f aca="false">MONTH(A827)</f>
        <v>12</v>
      </c>
      <c r="H827" s="38" t="n">
        <f aca="false">YEAR(Tabela1[[#This Row],[FECHA]])</f>
        <v>1900</v>
      </c>
      <c r="I8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8" customFormat="false" ht="15" hidden="false" customHeight="false" outlineLevel="0" collapsed="false">
      <c r="A828" s="41"/>
      <c r="G828" s="38" t="n">
        <f aca="false">MONTH(A828)</f>
        <v>12</v>
      </c>
      <c r="H828" s="38" t="n">
        <f aca="false">YEAR(Tabela1[[#This Row],[FECHA]])</f>
        <v>1900</v>
      </c>
      <c r="I8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9" customFormat="false" ht="15" hidden="false" customHeight="false" outlineLevel="0" collapsed="false">
      <c r="A829" s="41"/>
      <c r="G829" s="38" t="n">
        <f aca="false">MONTH(A829)</f>
        <v>12</v>
      </c>
      <c r="H829" s="38" t="n">
        <f aca="false">YEAR(Tabela1[[#This Row],[FECHA]])</f>
        <v>1900</v>
      </c>
      <c r="I8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0" customFormat="false" ht="15" hidden="false" customHeight="false" outlineLevel="0" collapsed="false">
      <c r="A830" s="41"/>
      <c r="G830" s="38" t="n">
        <f aca="false">MONTH(A830)</f>
        <v>12</v>
      </c>
      <c r="H830" s="38" t="n">
        <f aca="false">YEAR(Tabela1[[#This Row],[FECHA]])</f>
        <v>1900</v>
      </c>
      <c r="I8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1" customFormat="false" ht="15" hidden="false" customHeight="false" outlineLevel="0" collapsed="false">
      <c r="A831" s="41"/>
      <c r="G831" s="38" t="n">
        <f aca="false">MONTH(A831)</f>
        <v>12</v>
      </c>
      <c r="H831" s="38" t="n">
        <f aca="false">YEAR(Tabela1[[#This Row],[FECHA]])</f>
        <v>1900</v>
      </c>
      <c r="I8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2" customFormat="false" ht="15" hidden="false" customHeight="false" outlineLevel="0" collapsed="false">
      <c r="A832" s="41"/>
      <c r="G832" s="38" t="n">
        <f aca="false">MONTH(A832)</f>
        <v>12</v>
      </c>
      <c r="H832" s="38" t="n">
        <f aca="false">YEAR(Tabela1[[#This Row],[FECHA]])</f>
        <v>1900</v>
      </c>
      <c r="I8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3" customFormat="false" ht="15" hidden="false" customHeight="false" outlineLevel="0" collapsed="false">
      <c r="A833" s="41"/>
      <c r="G833" s="38" t="n">
        <f aca="false">MONTH(A833)</f>
        <v>12</v>
      </c>
      <c r="H833" s="38" t="n">
        <f aca="false">YEAR(Tabela1[[#This Row],[FECHA]])</f>
        <v>1900</v>
      </c>
      <c r="I8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4" customFormat="false" ht="15" hidden="false" customHeight="false" outlineLevel="0" collapsed="false">
      <c r="A834" s="41"/>
      <c r="G834" s="38" t="n">
        <f aca="false">MONTH(A834)</f>
        <v>12</v>
      </c>
      <c r="H834" s="38" t="n">
        <f aca="false">YEAR(Tabela1[[#This Row],[FECHA]])</f>
        <v>1900</v>
      </c>
      <c r="I8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5" customFormat="false" ht="15" hidden="false" customHeight="false" outlineLevel="0" collapsed="false">
      <c r="A835" s="41"/>
      <c r="G835" s="38" t="n">
        <f aca="false">MONTH(A835)</f>
        <v>12</v>
      </c>
      <c r="H835" s="38" t="n">
        <f aca="false">YEAR(Tabela1[[#This Row],[FECHA]])</f>
        <v>1900</v>
      </c>
      <c r="I8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6" customFormat="false" ht="15" hidden="false" customHeight="false" outlineLevel="0" collapsed="false">
      <c r="A836" s="41"/>
      <c r="G836" s="38" t="n">
        <f aca="false">MONTH(A836)</f>
        <v>12</v>
      </c>
      <c r="H836" s="38" t="n">
        <f aca="false">YEAR(Tabela1[[#This Row],[FECHA]])</f>
        <v>1900</v>
      </c>
      <c r="I8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7" customFormat="false" ht="15" hidden="false" customHeight="false" outlineLevel="0" collapsed="false">
      <c r="A837" s="41"/>
      <c r="G837" s="38" t="n">
        <f aca="false">MONTH(A837)</f>
        <v>12</v>
      </c>
      <c r="H837" s="38" t="n">
        <f aca="false">YEAR(Tabela1[[#This Row],[FECHA]])</f>
        <v>1900</v>
      </c>
      <c r="I8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8" customFormat="false" ht="15" hidden="false" customHeight="false" outlineLevel="0" collapsed="false">
      <c r="A838" s="41"/>
      <c r="G838" s="38" t="n">
        <f aca="false">MONTH(A838)</f>
        <v>12</v>
      </c>
      <c r="H838" s="38" t="n">
        <f aca="false">YEAR(Tabela1[[#This Row],[FECHA]])</f>
        <v>1900</v>
      </c>
      <c r="I8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9" customFormat="false" ht="15" hidden="false" customHeight="false" outlineLevel="0" collapsed="false">
      <c r="A839" s="41"/>
      <c r="G839" s="38" t="n">
        <f aca="false">MONTH(A839)</f>
        <v>12</v>
      </c>
      <c r="H839" s="38" t="n">
        <f aca="false">YEAR(Tabela1[[#This Row],[FECHA]])</f>
        <v>1900</v>
      </c>
      <c r="I8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0" customFormat="false" ht="15" hidden="false" customHeight="false" outlineLevel="0" collapsed="false">
      <c r="A840" s="41"/>
      <c r="G840" s="38" t="n">
        <f aca="false">MONTH(A840)</f>
        <v>12</v>
      </c>
      <c r="H840" s="38" t="n">
        <f aca="false">YEAR(Tabela1[[#This Row],[FECHA]])</f>
        <v>1900</v>
      </c>
      <c r="I8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1" customFormat="false" ht="15" hidden="false" customHeight="false" outlineLevel="0" collapsed="false">
      <c r="A841" s="41"/>
      <c r="G841" s="38" t="n">
        <f aca="false">MONTH(A841)</f>
        <v>12</v>
      </c>
      <c r="H841" s="38" t="n">
        <f aca="false">YEAR(Tabela1[[#This Row],[FECHA]])</f>
        <v>1900</v>
      </c>
      <c r="I8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2" customFormat="false" ht="15" hidden="false" customHeight="false" outlineLevel="0" collapsed="false">
      <c r="A842" s="41"/>
      <c r="G842" s="38" t="n">
        <f aca="false">MONTH(A842)</f>
        <v>12</v>
      </c>
      <c r="H842" s="38" t="n">
        <f aca="false">YEAR(Tabela1[[#This Row],[FECHA]])</f>
        <v>1900</v>
      </c>
      <c r="I8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3" customFormat="false" ht="15" hidden="false" customHeight="false" outlineLevel="0" collapsed="false">
      <c r="A843" s="41"/>
      <c r="G843" s="38" t="n">
        <f aca="false">MONTH(A843)</f>
        <v>12</v>
      </c>
      <c r="H843" s="38" t="n">
        <f aca="false">YEAR(Tabela1[[#This Row],[FECHA]])</f>
        <v>1900</v>
      </c>
      <c r="I8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4" customFormat="false" ht="15" hidden="false" customHeight="false" outlineLevel="0" collapsed="false">
      <c r="A844" s="41"/>
      <c r="G844" s="38" t="n">
        <f aca="false">MONTH(A844)</f>
        <v>12</v>
      </c>
      <c r="H844" s="38" t="n">
        <f aca="false">YEAR(Tabela1[[#This Row],[FECHA]])</f>
        <v>1900</v>
      </c>
      <c r="I8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5" customFormat="false" ht="15" hidden="false" customHeight="false" outlineLevel="0" collapsed="false">
      <c r="A845" s="41"/>
      <c r="G845" s="38" t="n">
        <f aca="false">MONTH(A845)</f>
        <v>12</v>
      </c>
      <c r="H845" s="38" t="n">
        <f aca="false">YEAR(Tabela1[[#This Row],[FECHA]])</f>
        <v>1900</v>
      </c>
      <c r="I8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6" customFormat="false" ht="15" hidden="false" customHeight="false" outlineLevel="0" collapsed="false">
      <c r="A846" s="41"/>
      <c r="G846" s="38" t="n">
        <f aca="false">MONTH(A846)</f>
        <v>12</v>
      </c>
      <c r="H846" s="38" t="n">
        <f aca="false">YEAR(Tabela1[[#This Row],[FECHA]])</f>
        <v>1900</v>
      </c>
      <c r="I8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7" customFormat="false" ht="15" hidden="false" customHeight="false" outlineLevel="0" collapsed="false">
      <c r="A847" s="41"/>
      <c r="G847" s="38" t="n">
        <f aca="false">MONTH(A847)</f>
        <v>12</v>
      </c>
      <c r="H847" s="38" t="n">
        <f aca="false">YEAR(Tabela1[[#This Row],[FECHA]])</f>
        <v>1900</v>
      </c>
      <c r="I8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8" customFormat="false" ht="15" hidden="false" customHeight="false" outlineLevel="0" collapsed="false">
      <c r="A848" s="41"/>
      <c r="G848" s="38" t="n">
        <f aca="false">MONTH(A848)</f>
        <v>12</v>
      </c>
      <c r="H848" s="38" t="n">
        <f aca="false">YEAR(Tabela1[[#This Row],[FECHA]])</f>
        <v>1900</v>
      </c>
      <c r="I8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9" customFormat="false" ht="15" hidden="false" customHeight="false" outlineLevel="0" collapsed="false">
      <c r="A849" s="41"/>
      <c r="G849" s="38" t="n">
        <f aca="false">MONTH(A849)</f>
        <v>12</v>
      </c>
      <c r="H849" s="38" t="n">
        <f aca="false">YEAR(Tabela1[[#This Row],[FECHA]])</f>
        <v>1900</v>
      </c>
      <c r="I8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0" customFormat="false" ht="15" hidden="false" customHeight="false" outlineLevel="0" collapsed="false">
      <c r="A850" s="41"/>
      <c r="G850" s="38" t="n">
        <f aca="false">MONTH(A850)</f>
        <v>12</v>
      </c>
      <c r="H850" s="38" t="n">
        <f aca="false">YEAR(Tabela1[[#This Row],[FECHA]])</f>
        <v>1900</v>
      </c>
      <c r="I8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1" customFormat="false" ht="15" hidden="false" customHeight="false" outlineLevel="0" collapsed="false">
      <c r="A851" s="41"/>
      <c r="G851" s="38" t="n">
        <f aca="false">MONTH(A851)</f>
        <v>12</v>
      </c>
      <c r="H851" s="38" t="n">
        <f aca="false">YEAR(Tabela1[[#This Row],[FECHA]])</f>
        <v>1900</v>
      </c>
      <c r="I8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2" customFormat="false" ht="15" hidden="false" customHeight="false" outlineLevel="0" collapsed="false">
      <c r="A852" s="41"/>
      <c r="G852" s="38" t="n">
        <f aca="false">MONTH(A852)</f>
        <v>12</v>
      </c>
      <c r="H852" s="38" t="n">
        <f aca="false">YEAR(Tabela1[[#This Row],[FECHA]])</f>
        <v>1900</v>
      </c>
      <c r="I8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3" customFormat="false" ht="15" hidden="false" customHeight="false" outlineLevel="0" collapsed="false">
      <c r="A853" s="41"/>
      <c r="G853" s="38" t="n">
        <f aca="false">MONTH(A853)</f>
        <v>12</v>
      </c>
      <c r="H853" s="38" t="n">
        <f aca="false">YEAR(Tabela1[[#This Row],[FECHA]])</f>
        <v>1900</v>
      </c>
      <c r="I8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4" customFormat="false" ht="15" hidden="false" customHeight="false" outlineLevel="0" collapsed="false">
      <c r="A854" s="41"/>
      <c r="G854" s="38" t="n">
        <f aca="false">MONTH(A854)</f>
        <v>12</v>
      </c>
      <c r="H854" s="38" t="n">
        <f aca="false">YEAR(Tabela1[[#This Row],[FECHA]])</f>
        <v>1900</v>
      </c>
      <c r="I8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5" customFormat="false" ht="15" hidden="false" customHeight="false" outlineLevel="0" collapsed="false">
      <c r="A855" s="41"/>
      <c r="G855" s="38" t="n">
        <f aca="false">MONTH(A855)</f>
        <v>12</v>
      </c>
      <c r="H855" s="38" t="n">
        <f aca="false">YEAR(Tabela1[[#This Row],[FECHA]])</f>
        <v>1900</v>
      </c>
      <c r="I8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6" customFormat="false" ht="15" hidden="false" customHeight="false" outlineLevel="0" collapsed="false">
      <c r="A856" s="41"/>
      <c r="G856" s="38" t="n">
        <f aca="false">MONTH(A856)</f>
        <v>12</v>
      </c>
      <c r="H856" s="38" t="n">
        <f aca="false">YEAR(Tabela1[[#This Row],[FECHA]])</f>
        <v>1900</v>
      </c>
      <c r="I8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7" customFormat="false" ht="15" hidden="false" customHeight="false" outlineLevel="0" collapsed="false">
      <c r="A857" s="41"/>
      <c r="G857" s="38" t="n">
        <f aca="false">MONTH(A857)</f>
        <v>12</v>
      </c>
      <c r="H857" s="38" t="n">
        <f aca="false">YEAR(Tabela1[[#This Row],[FECHA]])</f>
        <v>1900</v>
      </c>
      <c r="I8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8" customFormat="false" ht="15" hidden="false" customHeight="false" outlineLevel="0" collapsed="false">
      <c r="A858" s="41"/>
      <c r="G858" s="38" t="n">
        <f aca="false">MONTH(A858)</f>
        <v>12</v>
      </c>
      <c r="H858" s="38" t="n">
        <f aca="false">YEAR(Tabela1[[#This Row],[FECHA]])</f>
        <v>1900</v>
      </c>
      <c r="I8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9" customFormat="false" ht="15" hidden="false" customHeight="false" outlineLevel="0" collapsed="false">
      <c r="A859" s="41"/>
      <c r="G859" s="38" t="n">
        <f aca="false">MONTH(A859)</f>
        <v>12</v>
      </c>
      <c r="H859" s="38" t="n">
        <f aca="false">YEAR(Tabela1[[#This Row],[FECHA]])</f>
        <v>1900</v>
      </c>
      <c r="I8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0" customFormat="false" ht="15" hidden="false" customHeight="false" outlineLevel="0" collapsed="false">
      <c r="A860" s="41"/>
      <c r="G860" s="38" t="n">
        <f aca="false">MONTH(A860)</f>
        <v>12</v>
      </c>
      <c r="H860" s="38" t="n">
        <f aca="false">YEAR(Tabela1[[#This Row],[FECHA]])</f>
        <v>1900</v>
      </c>
      <c r="I8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1" customFormat="false" ht="15" hidden="false" customHeight="false" outlineLevel="0" collapsed="false">
      <c r="A861" s="41"/>
      <c r="G861" s="38" t="n">
        <f aca="false">MONTH(A861)</f>
        <v>12</v>
      </c>
      <c r="H861" s="38" t="n">
        <f aca="false">YEAR(Tabela1[[#This Row],[FECHA]])</f>
        <v>1900</v>
      </c>
      <c r="I8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2" customFormat="false" ht="15" hidden="false" customHeight="false" outlineLevel="0" collapsed="false">
      <c r="A862" s="41"/>
      <c r="G862" s="38" t="n">
        <f aca="false">MONTH(A862)</f>
        <v>12</v>
      </c>
      <c r="H862" s="38" t="n">
        <f aca="false">YEAR(Tabela1[[#This Row],[FECHA]])</f>
        <v>1900</v>
      </c>
      <c r="I8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3" customFormat="false" ht="15" hidden="false" customHeight="false" outlineLevel="0" collapsed="false">
      <c r="A863" s="41"/>
      <c r="G863" s="38" t="n">
        <f aca="false">MONTH(A863)</f>
        <v>12</v>
      </c>
      <c r="H863" s="38" t="n">
        <f aca="false">YEAR(Tabela1[[#This Row],[FECHA]])</f>
        <v>1900</v>
      </c>
      <c r="I8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4" customFormat="false" ht="15" hidden="false" customHeight="false" outlineLevel="0" collapsed="false">
      <c r="A864" s="41"/>
      <c r="G864" s="38" t="n">
        <f aca="false">MONTH(A864)</f>
        <v>12</v>
      </c>
      <c r="H864" s="38" t="n">
        <f aca="false">YEAR(Tabela1[[#This Row],[FECHA]])</f>
        <v>1900</v>
      </c>
      <c r="I8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5" customFormat="false" ht="15" hidden="false" customHeight="false" outlineLevel="0" collapsed="false">
      <c r="A865" s="41"/>
      <c r="G865" s="38" t="n">
        <f aca="false">MONTH(A865)</f>
        <v>12</v>
      </c>
      <c r="H865" s="38" t="n">
        <f aca="false">YEAR(Tabela1[[#This Row],[FECHA]])</f>
        <v>1900</v>
      </c>
      <c r="I8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6" customFormat="false" ht="15" hidden="false" customHeight="false" outlineLevel="0" collapsed="false">
      <c r="A866" s="41"/>
      <c r="G866" s="38" t="n">
        <f aca="false">MONTH(A866)</f>
        <v>12</v>
      </c>
      <c r="H866" s="38" t="n">
        <f aca="false">YEAR(Tabela1[[#This Row],[FECHA]])</f>
        <v>1900</v>
      </c>
      <c r="I8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7" customFormat="false" ht="15" hidden="false" customHeight="false" outlineLevel="0" collapsed="false">
      <c r="A867" s="41"/>
      <c r="G867" s="38" t="n">
        <f aca="false">MONTH(A867)</f>
        <v>12</v>
      </c>
      <c r="H867" s="38" t="n">
        <f aca="false">YEAR(Tabela1[[#This Row],[FECHA]])</f>
        <v>1900</v>
      </c>
      <c r="I8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8" customFormat="false" ht="15" hidden="false" customHeight="false" outlineLevel="0" collapsed="false">
      <c r="A868" s="41"/>
      <c r="G868" s="38" t="n">
        <f aca="false">MONTH(A868)</f>
        <v>12</v>
      </c>
      <c r="H868" s="38" t="n">
        <f aca="false">YEAR(Tabela1[[#This Row],[FECHA]])</f>
        <v>1900</v>
      </c>
      <c r="I8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9" customFormat="false" ht="15" hidden="false" customHeight="false" outlineLevel="0" collapsed="false">
      <c r="A869" s="41"/>
      <c r="G869" s="38" t="n">
        <f aca="false">MONTH(A869)</f>
        <v>12</v>
      </c>
      <c r="H869" s="38" t="n">
        <f aca="false">YEAR(Tabela1[[#This Row],[FECHA]])</f>
        <v>1900</v>
      </c>
      <c r="I8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0" customFormat="false" ht="15" hidden="false" customHeight="false" outlineLevel="0" collapsed="false">
      <c r="A870" s="41"/>
      <c r="G870" s="38" t="n">
        <f aca="false">MONTH(A870)</f>
        <v>12</v>
      </c>
      <c r="H870" s="38" t="n">
        <f aca="false">YEAR(Tabela1[[#This Row],[FECHA]])</f>
        <v>1900</v>
      </c>
      <c r="I8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1" customFormat="false" ht="15" hidden="false" customHeight="false" outlineLevel="0" collapsed="false">
      <c r="A871" s="41"/>
      <c r="G871" s="38" t="n">
        <f aca="false">MONTH(A871)</f>
        <v>12</v>
      </c>
      <c r="H871" s="38" t="n">
        <f aca="false">YEAR(Tabela1[[#This Row],[FECHA]])</f>
        <v>1900</v>
      </c>
      <c r="I8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2" customFormat="false" ht="15" hidden="false" customHeight="false" outlineLevel="0" collapsed="false">
      <c r="A872" s="41"/>
      <c r="G872" s="38" t="n">
        <f aca="false">MONTH(A872)</f>
        <v>12</v>
      </c>
      <c r="H872" s="38" t="n">
        <f aca="false">YEAR(Tabela1[[#This Row],[FECHA]])</f>
        <v>1900</v>
      </c>
      <c r="I8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3" customFormat="false" ht="15" hidden="false" customHeight="false" outlineLevel="0" collapsed="false">
      <c r="A873" s="41"/>
      <c r="G873" s="38" t="n">
        <f aca="false">MONTH(A873)</f>
        <v>12</v>
      </c>
      <c r="H873" s="38" t="n">
        <f aca="false">YEAR(Tabela1[[#This Row],[FECHA]])</f>
        <v>1900</v>
      </c>
      <c r="I8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4" customFormat="false" ht="15" hidden="false" customHeight="false" outlineLevel="0" collapsed="false">
      <c r="A874" s="41"/>
      <c r="G874" s="38" t="n">
        <f aca="false">MONTH(A874)</f>
        <v>12</v>
      </c>
      <c r="H874" s="38" t="n">
        <f aca="false">YEAR(Tabela1[[#This Row],[FECHA]])</f>
        <v>1900</v>
      </c>
      <c r="I8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5" customFormat="false" ht="15" hidden="false" customHeight="false" outlineLevel="0" collapsed="false">
      <c r="A875" s="41"/>
      <c r="G875" s="38" t="n">
        <f aca="false">MONTH(A875)</f>
        <v>12</v>
      </c>
      <c r="H875" s="38" t="n">
        <f aca="false">YEAR(Tabela1[[#This Row],[FECHA]])</f>
        <v>1900</v>
      </c>
      <c r="I8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6" customFormat="false" ht="15" hidden="false" customHeight="false" outlineLevel="0" collapsed="false">
      <c r="A876" s="41"/>
      <c r="G876" s="38" t="n">
        <f aca="false">MONTH(A876)</f>
        <v>12</v>
      </c>
      <c r="H876" s="38" t="n">
        <f aca="false">YEAR(Tabela1[[#This Row],[FECHA]])</f>
        <v>1900</v>
      </c>
      <c r="I8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7" customFormat="false" ht="15" hidden="false" customHeight="false" outlineLevel="0" collapsed="false">
      <c r="A877" s="41"/>
      <c r="G877" s="38" t="n">
        <f aca="false">MONTH(A877)</f>
        <v>12</v>
      </c>
      <c r="H877" s="38" t="n">
        <f aca="false">YEAR(Tabela1[[#This Row],[FECHA]])</f>
        <v>1900</v>
      </c>
      <c r="I8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8" customFormat="false" ht="15" hidden="false" customHeight="false" outlineLevel="0" collapsed="false">
      <c r="A878" s="41"/>
      <c r="G878" s="38" t="n">
        <f aca="false">MONTH(A878)</f>
        <v>12</v>
      </c>
      <c r="H878" s="38" t="n">
        <f aca="false">YEAR(Tabela1[[#This Row],[FECHA]])</f>
        <v>1900</v>
      </c>
      <c r="I8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9" customFormat="false" ht="15" hidden="false" customHeight="false" outlineLevel="0" collapsed="false">
      <c r="A879" s="41"/>
      <c r="G879" s="38" t="n">
        <f aca="false">MONTH(A879)</f>
        <v>12</v>
      </c>
      <c r="H879" s="38" t="n">
        <f aca="false">YEAR(Tabela1[[#This Row],[FECHA]])</f>
        <v>1900</v>
      </c>
      <c r="I8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0" customFormat="false" ht="15" hidden="false" customHeight="false" outlineLevel="0" collapsed="false">
      <c r="A880" s="41"/>
      <c r="G880" s="38" t="n">
        <f aca="false">MONTH(A880)</f>
        <v>12</v>
      </c>
      <c r="H880" s="38" t="n">
        <f aca="false">YEAR(Tabela1[[#This Row],[FECHA]])</f>
        <v>1900</v>
      </c>
      <c r="I8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1" customFormat="false" ht="15" hidden="false" customHeight="false" outlineLevel="0" collapsed="false">
      <c r="A881" s="41"/>
      <c r="G881" s="38" t="n">
        <f aca="false">MONTH(A881)</f>
        <v>12</v>
      </c>
      <c r="H881" s="38" t="n">
        <f aca="false">YEAR(Tabela1[[#This Row],[FECHA]])</f>
        <v>1900</v>
      </c>
      <c r="I8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2" customFormat="false" ht="15" hidden="false" customHeight="false" outlineLevel="0" collapsed="false">
      <c r="A882" s="41"/>
      <c r="G882" s="38" t="n">
        <f aca="false">MONTH(A882)</f>
        <v>12</v>
      </c>
      <c r="H882" s="38" t="n">
        <f aca="false">YEAR(Tabela1[[#This Row],[FECHA]])</f>
        <v>1900</v>
      </c>
      <c r="I8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3" customFormat="false" ht="15" hidden="false" customHeight="false" outlineLevel="0" collapsed="false">
      <c r="A883" s="41"/>
      <c r="G883" s="38" t="n">
        <f aca="false">MONTH(A883)</f>
        <v>12</v>
      </c>
      <c r="H883" s="38" t="n">
        <f aca="false">YEAR(Tabela1[[#This Row],[FECHA]])</f>
        <v>1900</v>
      </c>
      <c r="I8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4" customFormat="false" ht="15" hidden="false" customHeight="false" outlineLevel="0" collapsed="false">
      <c r="A884" s="41"/>
      <c r="G884" s="38" t="n">
        <f aca="false">MONTH(A884)</f>
        <v>12</v>
      </c>
      <c r="H884" s="38" t="n">
        <f aca="false">YEAR(Tabela1[[#This Row],[FECHA]])</f>
        <v>1900</v>
      </c>
      <c r="I8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5" customFormat="false" ht="15" hidden="false" customHeight="false" outlineLevel="0" collapsed="false">
      <c r="A885" s="41"/>
      <c r="G885" s="38" t="n">
        <f aca="false">MONTH(A885)</f>
        <v>12</v>
      </c>
      <c r="H885" s="38" t="n">
        <f aca="false">YEAR(Tabela1[[#This Row],[FECHA]])</f>
        <v>1900</v>
      </c>
      <c r="I8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6" customFormat="false" ht="15" hidden="false" customHeight="false" outlineLevel="0" collapsed="false">
      <c r="A886" s="41"/>
      <c r="G886" s="38" t="n">
        <f aca="false">MONTH(A886)</f>
        <v>12</v>
      </c>
      <c r="H886" s="38" t="n">
        <f aca="false">YEAR(Tabela1[[#This Row],[FECHA]])</f>
        <v>1900</v>
      </c>
      <c r="I8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7" customFormat="false" ht="15" hidden="false" customHeight="false" outlineLevel="0" collapsed="false">
      <c r="A887" s="41"/>
      <c r="G887" s="38" t="n">
        <f aca="false">MONTH(A887)</f>
        <v>12</v>
      </c>
      <c r="H887" s="38" t="n">
        <f aca="false">YEAR(Tabela1[[#This Row],[FECHA]])</f>
        <v>1900</v>
      </c>
      <c r="I8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8" customFormat="false" ht="15" hidden="false" customHeight="false" outlineLevel="0" collapsed="false">
      <c r="A888" s="41"/>
      <c r="G888" s="38" t="n">
        <f aca="false">MONTH(A888)</f>
        <v>12</v>
      </c>
      <c r="H888" s="38" t="n">
        <f aca="false">YEAR(Tabela1[[#This Row],[FECHA]])</f>
        <v>1900</v>
      </c>
      <c r="I8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9" customFormat="false" ht="15" hidden="false" customHeight="false" outlineLevel="0" collapsed="false">
      <c r="A889" s="41"/>
      <c r="G889" s="38" t="n">
        <f aca="false">MONTH(A889)</f>
        <v>12</v>
      </c>
      <c r="H889" s="38" t="n">
        <f aca="false">YEAR(Tabela1[[#This Row],[FECHA]])</f>
        <v>1900</v>
      </c>
      <c r="I8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0" customFormat="false" ht="15" hidden="false" customHeight="false" outlineLevel="0" collapsed="false">
      <c r="A890" s="41"/>
      <c r="G890" s="38" t="n">
        <f aca="false">MONTH(A890)</f>
        <v>12</v>
      </c>
      <c r="H890" s="38" t="n">
        <f aca="false">YEAR(Tabela1[[#This Row],[FECHA]])</f>
        <v>1900</v>
      </c>
      <c r="I8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1" customFormat="false" ht="15" hidden="false" customHeight="false" outlineLevel="0" collapsed="false">
      <c r="A891" s="41"/>
      <c r="G891" s="38" t="n">
        <f aca="false">MONTH(A891)</f>
        <v>12</v>
      </c>
      <c r="H891" s="38" t="n">
        <f aca="false">YEAR(Tabela1[[#This Row],[FECHA]])</f>
        <v>1900</v>
      </c>
      <c r="I8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2" customFormat="false" ht="15" hidden="false" customHeight="false" outlineLevel="0" collapsed="false">
      <c r="A892" s="41"/>
      <c r="G892" s="38" t="n">
        <f aca="false">MONTH(A892)</f>
        <v>12</v>
      </c>
      <c r="H892" s="38" t="n">
        <f aca="false">YEAR(Tabela1[[#This Row],[FECHA]])</f>
        <v>1900</v>
      </c>
      <c r="I8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3" customFormat="false" ht="15" hidden="false" customHeight="false" outlineLevel="0" collapsed="false">
      <c r="A893" s="41"/>
      <c r="G893" s="38" t="n">
        <f aca="false">MONTH(A893)</f>
        <v>12</v>
      </c>
      <c r="H893" s="38" t="n">
        <f aca="false">YEAR(Tabela1[[#This Row],[FECHA]])</f>
        <v>1900</v>
      </c>
      <c r="I8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4" customFormat="false" ht="15" hidden="false" customHeight="false" outlineLevel="0" collapsed="false">
      <c r="A894" s="41"/>
      <c r="G894" s="38" t="n">
        <f aca="false">MONTH(A894)</f>
        <v>12</v>
      </c>
      <c r="H894" s="38" t="n">
        <f aca="false">YEAR(Tabela1[[#This Row],[FECHA]])</f>
        <v>1900</v>
      </c>
      <c r="I8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5" customFormat="false" ht="15" hidden="false" customHeight="false" outlineLevel="0" collapsed="false">
      <c r="A895" s="41"/>
      <c r="G895" s="38" t="n">
        <f aca="false">MONTH(A895)</f>
        <v>12</v>
      </c>
      <c r="H895" s="38" t="n">
        <f aca="false">YEAR(Tabela1[[#This Row],[FECHA]])</f>
        <v>1900</v>
      </c>
      <c r="I8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6" customFormat="false" ht="15" hidden="false" customHeight="false" outlineLevel="0" collapsed="false">
      <c r="A896" s="41"/>
      <c r="G896" s="38" t="n">
        <f aca="false">MONTH(A896)</f>
        <v>12</v>
      </c>
      <c r="H896" s="38" t="n">
        <f aca="false">YEAR(Tabela1[[#This Row],[FECHA]])</f>
        <v>1900</v>
      </c>
      <c r="I8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7" customFormat="false" ht="15" hidden="false" customHeight="false" outlineLevel="0" collapsed="false">
      <c r="A897" s="41"/>
      <c r="G897" s="38" t="n">
        <f aca="false">MONTH(A897)</f>
        <v>12</v>
      </c>
      <c r="H897" s="38" t="n">
        <f aca="false">YEAR(Tabela1[[#This Row],[FECHA]])</f>
        <v>1900</v>
      </c>
      <c r="I8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8" customFormat="false" ht="15" hidden="false" customHeight="false" outlineLevel="0" collapsed="false">
      <c r="A898" s="41"/>
      <c r="G898" s="38" t="n">
        <f aca="false">MONTH(A898)</f>
        <v>12</v>
      </c>
      <c r="H898" s="38" t="n">
        <f aca="false">YEAR(Tabela1[[#This Row],[FECHA]])</f>
        <v>1900</v>
      </c>
      <c r="I8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9" customFormat="false" ht="15" hidden="false" customHeight="false" outlineLevel="0" collapsed="false">
      <c r="A899" s="41"/>
      <c r="G899" s="38" t="n">
        <f aca="false">MONTH(A899)</f>
        <v>12</v>
      </c>
      <c r="H899" s="38" t="n">
        <f aca="false">YEAR(Tabela1[[#This Row],[FECHA]])</f>
        <v>1900</v>
      </c>
      <c r="I8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0" customFormat="false" ht="15" hidden="false" customHeight="false" outlineLevel="0" collapsed="false">
      <c r="A900" s="41"/>
      <c r="G900" s="38" t="n">
        <f aca="false">MONTH(A900)</f>
        <v>12</v>
      </c>
      <c r="H900" s="38" t="n">
        <f aca="false">YEAR(Tabela1[[#This Row],[FECHA]])</f>
        <v>1900</v>
      </c>
      <c r="I9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1" customFormat="false" ht="15" hidden="false" customHeight="false" outlineLevel="0" collapsed="false">
      <c r="A901" s="41"/>
      <c r="G901" s="38" t="n">
        <f aca="false">MONTH(A901)</f>
        <v>12</v>
      </c>
      <c r="H901" s="38" t="n">
        <f aca="false">YEAR(Tabela1[[#This Row],[FECHA]])</f>
        <v>1900</v>
      </c>
      <c r="I9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2" customFormat="false" ht="15" hidden="false" customHeight="false" outlineLevel="0" collapsed="false">
      <c r="A902" s="41"/>
      <c r="G902" s="38" t="n">
        <f aca="false">MONTH(A902)</f>
        <v>12</v>
      </c>
      <c r="H902" s="38" t="n">
        <f aca="false">YEAR(Tabela1[[#This Row],[FECHA]])</f>
        <v>1900</v>
      </c>
      <c r="I9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3" customFormat="false" ht="15" hidden="false" customHeight="false" outlineLevel="0" collapsed="false">
      <c r="A903" s="41"/>
      <c r="G903" s="38" t="n">
        <f aca="false">MONTH(A903)</f>
        <v>12</v>
      </c>
      <c r="H903" s="38" t="n">
        <f aca="false">YEAR(Tabela1[[#This Row],[FECHA]])</f>
        <v>1900</v>
      </c>
      <c r="I9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4" customFormat="false" ht="15" hidden="false" customHeight="false" outlineLevel="0" collapsed="false">
      <c r="A904" s="41"/>
      <c r="G904" s="38" t="n">
        <f aca="false">MONTH(A904)</f>
        <v>12</v>
      </c>
      <c r="H904" s="38" t="n">
        <f aca="false">YEAR(Tabela1[[#This Row],[FECHA]])</f>
        <v>1900</v>
      </c>
      <c r="I9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5" customFormat="false" ht="15" hidden="false" customHeight="false" outlineLevel="0" collapsed="false">
      <c r="A905" s="41"/>
      <c r="G905" s="38" t="n">
        <f aca="false">MONTH(A905)</f>
        <v>12</v>
      </c>
      <c r="H905" s="38" t="n">
        <f aca="false">YEAR(Tabela1[[#This Row],[FECHA]])</f>
        <v>1900</v>
      </c>
      <c r="I9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6" customFormat="false" ht="15" hidden="false" customHeight="false" outlineLevel="0" collapsed="false">
      <c r="A906" s="41"/>
      <c r="G906" s="38" t="n">
        <f aca="false">MONTH(A906)</f>
        <v>12</v>
      </c>
      <c r="H906" s="38" t="n">
        <f aca="false">YEAR(Tabela1[[#This Row],[FECHA]])</f>
        <v>1900</v>
      </c>
      <c r="I9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7" customFormat="false" ht="15" hidden="false" customHeight="false" outlineLevel="0" collapsed="false">
      <c r="A907" s="41"/>
      <c r="G907" s="38" t="n">
        <f aca="false">MONTH(A907)</f>
        <v>12</v>
      </c>
      <c r="H907" s="38" t="n">
        <f aca="false">YEAR(Tabela1[[#This Row],[FECHA]])</f>
        <v>1900</v>
      </c>
      <c r="I9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8" customFormat="false" ht="15" hidden="false" customHeight="false" outlineLevel="0" collapsed="false">
      <c r="A908" s="41"/>
      <c r="G908" s="38" t="n">
        <f aca="false">MONTH(A908)</f>
        <v>12</v>
      </c>
      <c r="H908" s="38" t="n">
        <f aca="false">YEAR(Tabela1[[#This Row],[FECHA]])</f>
        <v>1900</v>
      </c>
      <c r="I9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9" customFormat="false" ht="15" hidden="false" customHeight="false" outlineLevel="0" collapsed="false">
      <c r="A909" s="41"/>
      <c r="G909" s="38" t="n">
        <f aca="false">MONTH(A909)</f>
        <v>12</v>
      </c>
      <c r="H909" s="38" t="n">
        <f aca="false">YEAR(Tabela1[[#This Row],[FECHA]])</f>
        <v>1900</v>
      </c>
      <c r="I9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0" customFormat="false" ht="15" hidden="false" customHeight="false" outlineLevel="0" collapsed="false">
      <c r="A910" s="41"/>
      <c r="G910" s="38" t="n">
        <f aca="false">MONTH(A910)</f>
        <v>12</v>
      </c>
      <c r="H910" s="38" t="n">
        <f aca="false">YEAR(Tabela1[[#This Row],[FECHA]])</f>
        <v>1900</v>
      </c>
      <c r="I9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1" customFormat="false" ht="15" hidden="false" customHeight="false" outlineLevel="0" collapsed="false">
      <c r="A911" s="41"/>
      <c r="G911" s="38" t="n">
        <f aca="false">MONTH(A911)</f>
        <v>12</v>
      </c>
      <c r="H911" s="38" t="n">
        <f aca="false">YEAR(Tabela1[[#This Row],[FECHA]])</f>
        <v>1900</v>
      </c>
      <c r="I9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2" customFormat="false" ht="15" hidden="false" customHeight="false" outlineLevel="0" collapsed="false">
      <c r="A912" s="41"/>
      <c r="G912" s="38" t="n">
        <f aca="false">MONTH(A912)</f>
        <v>12</v>
      </c>
      <c r="H912" s="38" t="n">
        <f aca="false">YEAR(Tabela1[[#This Row],[FECHA]])</f>
        <v>1900</v>
      </c>
      <c r="I9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3" customFormat="false" ht="15" hidden="false" customHeight="false" outlineLevel="0" collapsed="false">
      <c r="A913" s="41"/>
      <c r="G913" s="38" t="n">
        <f aca="false">MONTH(A913)</f>
        <v>12</v>
      </c>
      <c r="H913" s="38" t="n">
        <f aca="false">YEAR(Tabela1[[#This Row],[FECHA]])</f>
        <v>1900</v>
      </c>
      <c r="I9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4" customFormat="false" ht="15" hidden="false" customHeight="false" outlineLevel="0" collapsed="false">
      <c r="A914" s="41"/>
      <c r="G914" s="38" t="n">
        <f aca="false">MONTH(A914)</f>
        <v>12</v>
      </c>
      <c r="H914" s="38" t="n">
        <f aca="false">YEAR(Tabela1[[#This Row],[FECHA]])</f>
        <v>1900</v>
      </c>
      <c r="I9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5" customFormat="false" ht="15" hidden="false" customHeight="false" outlineLevel="0" collapsed="false">
      <c r="A915" s="41"/>
      <c r="G915" s="38" t="n">
        <f aca="false">MONTH(A915)</f>
        <v>12</v>
      </c>
      <c r="H915" s="38" t="n">
        <f aca="false">YEAR(Tabela1[[#This Row],[FECHA]])</f>
        <v>1900</v>
      </c>
      <c r="I9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6" customFormat="false" ht="15" hidden="false" customHeight="false" outlineLevel="0" collapsed="false">
      <c r="A916" s="41"/>
      <c r="G916" s="38" t="n">
        <f aca="false">MONTH(A916)</f>
        <v>12</v>
      </c>
      <c r="H916" s="38" t="n">
        <f aca="false">YEAR(Tabela1[[#This Row],[FECHA]])</f>
        <v>1900</v>
      </c>
      <c r="I9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7" customFormat="false" ht="15" hidden="false" customHeight="false" outlineLevel="0" collapsed="false">
      <c r="A917" s="41"/>
      <c r="G917" s="38" t="n">
        <f aca="false">MONTH(A917)</f>
        <v>12</v>
      </c>
      <c r="H917" s="38" t="n">
        <f aca="false">YEAR(Tabela1[[#This Row],[FECHA]])</f>
        <v>1900</v>
      </c>
      <c r="I9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8" customFormat="false" ht="15" hidden="false" customHeight="false" outlineLevel="0" collapsed="false">
      <c r="A918" s="41"/>
      <c r="G918" s="38" t="n">
        <f aca="false">MONTH(A918)</f>
        <v>12</v>
      </c>
      <c r="H918" s="38" t="n">
        <f aca="false">YEAR(Tabela1[[#This Row],[FECHA]])</f>
        <v>1900</v>
      </c>
      <c r="I9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9" customFormat="false" ht="15" hidden="false" customHeight="false" outlineLevel="0" collapsed="false">
      <c r="A919" s="41"/>
      <c r="G919" s="38" t="n">
        <f aca="false">MONTH(A919)</f>
        <v>12</v>
      </c>
      <c r="H919" s="38" t="n">
        <f aca="false">YEAR(Tabela1[[#This Row],[FECHA]])</f>
        <v>1900</v>
      </c>
      <c r="I9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0" customFormat="false" ht="15" hidden="false" customHeight="false" outlineLevel="0" collapsed="false">
      <c r="A920" s="41"/>
      <c r="G920" s="38" t="n">
        <f aca="false">MONTH(A920)</f>
        <v>12</v>
      </c>
      <c r="H920" s="38" t="n">
        <f aca="false">YEAR(Tabela1[[#This Row],[FECHA]])</f>
        <v>1900</v>
      </c>
      <c r="I9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1" customFormat="false" ht="15" hidden="false" customHeight="false" outlineLevel="0" collapsed="false">
      <c r="A921" s="41"/>
      <c r="G921" s="38" t="n">
        <f aca="false">MONTH(A921)</f>
        <v>12</v>
      </c>
      <c r="H921" s="38" t="n">
        <f aca="false">YEAR(Tabela1[[#This Row],[FECHA]])</f>
        <v>1900</v>
      </c>
      <c r="I9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2" customFormat="false" ht="15" hidden="false" customHeight="false" outlineLevel="0" collapsed="false">
      <c r="A922" s="41"/>
      <c r="G922" s="38" t="n">
        <f aca="false">MONTH(A922)</f>
        <v>12</v>
      </c>
      <c r="H922" s="38" t="n">
        <f aca="false">YEAR(Tabela1[[#This Row],[FECHA]])</f>
        <v>1900</v>
      </c>
      <c r="I9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3" customFormat="false" ht="15" hidden="false" customHeight="false" outlineLevel="0" collapsed="false">
      <c r="A923" s="41"/>
      <c r="G923" s="38" t="n">
        <f aca="false">MONTH(A923)</f>
        <v>12</v>
      </c>
      <c r="H923" s="38" t="n">
        <f aca="false">YEAR(Tabela1[[#This Row],[FECHA]])</f>
        <v>1900</v>
      </c>
      <c r="I9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4" customFormat="false" ht="15" hidden="false" customHeight="false" outlineLevel="0" collapsed="false">
      <c r="A924" s="41"/>
      <c r="G924" s="38" t="n">
        <f aca="false">MONTH(A924)</f>
        <v>12</v>
      </c>
      <c r="H924" s="38" t="n">
        <f aca="false">YEAR(Tabela1[[#This Row],[FECHA]])</f>
        <v>1900</v>
      </c>
      <c r="I9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5" customFormat="false" ht="15" hidden="false" customHeight="false" outlineLevel="0" collapsed="false">
      <c r="A925" s="41"/>
      <c r="G925" s="38" t="n">
        <f aca="false">MONTH(A925)</f>
        <v>12</v>
      </c>
      <c r="H925" s="38" t="n">
        <f aca="false">YEAR(Tabela1[[#This Row],[FECHA]])</f>
        <v>1900</v>
      </c>
      <c r="I9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6" customFormat="false" ht="15" hidden="false" customHeight="false" outlineLevel="0" collapsed="false">
      <c r="A926" s="41"/>
      <c r="G926" s="38" t="n">
        <f aca="false">MONTH(A926)</f>
        <v>12</v>
      </c>
      <c r="H926" s="38" t="n">
        <f aca="false">YEAR(Tabela1[[#This Row],[FECHA]])</f>
        <v>1900</v>
      </c>
      <c r="I9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7" customFormat="false" ht="15" hidden="false" customHeight="false" outlineLevel="0" collapsed="false">
      <c r="A927" s="41"/>
      <c r="G927" s="38" t="n">
        <f aca="false">MONTH(A927)</f>
        <v>12</v>
      </c>
      <c r="H927" s="38" t="n">
        <f aca="false">YEAR(Tabela1[[#This Row],[FECHA]])</f>
        <v>1900</v>
      </c>
      <c r="I9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8" customFormat="false" ht="15" hidden="false" customHeight="false" outlineLevel="0" collapsed="false">
      <c r="A928" s="41"/>
      <c r="G928" s="38" t="n">
        <f aca="false">MONTH(A928)</f>
        <v>12</v>
      </c>
      <c r="H928" s="38" t="n">
        <f aca="false">YEAR(Tabela1[[#This Row],[FECHA]])</f>
        <v>1900</v>
      </c>
      <c r="I9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9" customFormat="false" ht="15" hidden="false" customHeight="false" outlineLevel="0" collapsed="false">
      <c r="A929" s="41"/>
      <c r="G929" s="38" t="n">
        <f aca="false">MONTH(A929)</f>
        <v>12</v>
      </c>
      <c r="H929" s="38" t="n">
        <f aca="false">YEAR(Tabela1[[#This Row],[FECHA]])</f>
        <v>1900</v>
      </c>
      <c r="I9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0" customFormat="false" ht="15" hidden="false" customHeight="false" outlineLevel="0" collapsed="false">
      <c r="A930" s="41"/>
      <c r="G930" s="38" t="n">
        <f aca="false">MONTH(A930)</f>
        <v>12</v>
      </c>
      <c r="H930" s="38" t="n">
        <f aca="false">YEAR(Tabela1[[#This Row],[FECHA]])</f>
        <v>1900</v>
      </c>
      <c r="I9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1" customFormat="false" ht="15" hidden="false" customHeight="false" outlineLevel="0" collapsed="false">
      <c r="A931" s="41"/>
      <c r="G931" s="38" t="n">
        <f aca="false">MONTH(A931)</f>
        <v>12</v>
      </c>
      <c r="H931" s="38" t="n">
        <f aca="false">YEAR(Tabela1[[#This Row],[FECHA]])</f>
        <v>1900</v>
      </c>
      <c r="I9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2" customFormat="false" ht="15" hidden="false" customHeight="false" outlineLevel="0" collapsed="false">
      <c r="A932" s="41"/>
      <c r="G932" s="38" t="n">
        <f aca="false">MONTH(A932)</f>
        <v>12</v>
      </c>
      <c r="H932" s="38" t="n">
        <f aca="false">YEAR(Tabela1[[#This Row],[FECHA]])</f>
        <v>1900</v>
      </c>
      <c r="I9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3" customFormat="false" ht="15" hidden="false" customHeight="false" outlineLevel="0" collapsed="false">
      <c r="A933" s="41"/>
      <c r="G933" s="38" t="n">
        <f aca="false">MONTH(A933)</f>
        <v>12</v>
      </c>
      <c r="H933" s="38" t="n">
        <f aca="false">YEAR(Tabela1[[#This Row],[FECHA]])</f>
        <v>1900</v>
      </c>
      <c r="I9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4" customFormat="false" ht="15" hidden="false" customHeight="false" outlineLevel="0" collapsed="false">
      <c r="A934" s="41"/>
      <c r="G934" s="38" t="n">
        <f aca="false">MONTH(A934)</f>
        <v>12</v>
      </c>
      <c r="H934" s="38" t="n">
        <f aca="false">YEAR(Tabela1[[#This Row],[FECHA]])</f>
        <v>1900</v>
      </c>
      <c r="I9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5" customFormat="false" ht="15" hidden="false" customHeight="false" outlineLevel="0" collapsed="false">
      <c r="A935" s="41"/>
      <c r="G935" s="38" t="n">
        <f aca="false">MONTH(A935)</f>
        <v>12</v>
      </c>
      <c r="H935" s="38" t="n">
        <f aca="false">YEAR(Tabela1[[#This Row],[FECHA]])</f>
        <v>1900</v>
      </c>
      <c r="I9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6" customFormat="false" ht="15" hidden="false" customHeight="false" outlineLevel="0" collapsed="false">
      <c r="A936" s="41"/>
      <c r="G936" s="38" t="n">
        <f aca="false">MONTH(A936)</f>
        <v>12</v>
      </c>
      <c r="H936" s="38" t="n">
        <f aca="false">YEAR(Tabela1[[#This Row],[FECHA]])</f>
        <v>1900</v>
      </c>
      <c r="I9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7" customFormat="false" ht="15" hidden="false" customHeight="false" outlineLevel="0" collapsed="false">
      <c r="A937" s="41"/>
      <c r="G937" s="38" t="n">
        <f aca="false">MONTH(A937)</f>
        <v>12</v>
      </c>
      <c r="H937" s="38" t="n">
        <f aca="false">YEAR(Tabela1[[#This Row],[FECHA]])</f>
        <v>1900</v>
      </c>
      <c r="I9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8" customFormat="false" ht="15" hidden="false" customHeight="false" outlineLevel="0" collapsed="false">
      <c r="A938" s="41"/>
      <c r="G938" s="38" t="n">
        <f aca="false">MONTH(A938)</f>
        <v>12</v>
      </c>
      <c r="H938" s="38" t="n">
        <f aca="false">YEAR(Tabela1[[#This Row],[FECHA]])</f>
        <v>1900</v>
      </c>
      <c r="I9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9" customFormat="false" ht="15" hidden="false" customHeight="false" outlineLevel="0" collapsed="false">
      <c r="A939" s="41"/>
      <c r="G939" s="38" t="n">
        <f aca="false">MONTH(A939)</f>
        <v>12</v>
      </c>
      <c r="H939" s="38" t="n">
        <f aca="false">YEAR(Tabela1[[#This Row],[FECHA]])</f>
        <v>1900</v>
      </c>
      <c r="I9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0" customFormat="false" ht="15" hidden="false" customHeight="false" outlineLevel="0" collapsed="false">
      <c r="A940" s="41"/>
      <c r="G940" s="38" t="n">
        <f aca="false">MONTH(A940)</f>
        <v>12</v>
      </c>
      <c r="H940" s="38" t="n">
        <f aca="false">YEAR(Tabela1[[#This Row],[FECHA]])</f>
        <v>1900</v>
      </c>
      <c r="I9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1" customFormat="false" ht="15" hidden="false" customHeight="false" outlineLevel="0" collapsed="false">
      <c r="A941" s="41"/>
      <c r="G941" s="38" t="n">
        <f aca="false">MONTH(A941)</f>
        <v>12</v>
      </c>
      <c r="H941" s="38" t="n">
        <f aca="false">YEAR(Tabela1[[#This Row],[FECHA]])</f>
        <v>1900</v>
      </c>
      <c r="I9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2" customFormat="false" ht="15" hidden="false" customHeight="false" outlineLevel="0" collapsed="false">
      <c r="A942" s="41"/>
      <c r="G942" s="38" t="n">
        <f aca="false">MONTH(A942)</f>
        <v>12</v>
      </c>
      <c r="H942" s="38" t="n">
        <f aca="false">YEAR(Tabela1[[#This Row],[FECHA]])</f>
        <v>1900</v>
      </c>
      <c r="I9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3" customFormat="false" ht="15" hidden="false" customHeight="false" outlineLevel="0" collapsed="false">
      <c r="A943" s="41"/>
      <c r="G943" s="38" t="n">
        <f aca="false">MONTH(A943)</f>
        <v>12</v>
      </c>
      <c r="H943" s="38" t="n">
        <f aca="false">YEAR(Tabela1[[#This Row],[FECHA]])</f>
        <v>1900</v>
      </c>
      <c r="I9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4" customFormat="false" ht="15" hidden="false" customHeight="false" outlineLevel="0" collapsed="false">
      <c r="A944" s="41"/>
      <c r="G944" s="38" t="n">
        <f aca="false">MONTH(A944)</f>
        <v>12</v>
      </c>
      <c r="H944" s="38" t="n">
        <f aca="false">YEAR(Tabela1[[#This Row],[FECHA]])</f>
        <v>1900</v>
      </c>
      <c r="I9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5" customFormat="false" ht="15" hidden="false" customHeight="false" outlineLevel="0" collapsed="false">
      <c r="A945" s="41"/>
      <c r="G945" s="38" t="n">
        <f aca="false">MONTH(A945)</f>
        <v>12</v>
      </c>
      <c r="H945" s="38" t="n">
        <f aca="false">YEAR(Tabela1[[#This Row],[FECHA]])</f>
        <v>1900</v>
      </c>
      <c r="I9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6" customFormat="false" ht="15" hidden="false" customHeight="false" outlineLevel="0" collapsed="false">
      <c r="A946" s="41"/>
      <c r="G946" s="38" t="n">
        <f aca="false">MONTH(A946)</f>
        <v>12</v>
      </c>
      <c r="H946" s="38" t="n">
        <f aca="false">YEAR(Tabela1[[#This Row],[FECHA]])</f>
        <v>1900</v>
      </c>
      <c r="I9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7" customFormat="false" ht="15" hidden="false" customHeight="false" outlineLevel="0" collapsed="false">
      <c r="A947" s="41"/>
      <c r="G947" s="38" t="n">
        <f aca="false">MONTH(A947)</f>
        <v>12</v>
      </c>
      <c r="H947" s="38" t="n">
        <f aca="false">YEAR(Tabela1[[#This Row],[FECHA]])</f>
        <v>1900</v>
      </c>
      <c r="I9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8" customFormat="false" ht="15" hidden="false" customHeight="false" outlineLevel="0" collapsed="false">
      <c r="A948" s="41"/>
      <c r="G948" s="38" t="n">
        <f aca="false">MONTH(A948)</f>
        <v>12</v>
      </c>
      <c r="H948" s="38" t="n">
        <f aca="false">YEAR(Tabela1[[#This Row],[FECHA]])</f>
        <v>1900</v>
      </c>
      <c r="I9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9" customFormat="false" ht="15" hidden="false" customHeight="false" outlineLevel="0" collapsed="false">
      <c r="A949" s="41"/>
      <c r="G949" s="38" t="n">
        <f aca="false">MONTH(A949)</f>
        <v>12</v>
      </c>
      <c r="H949" s="38" t="n">
        <f aca="false">YEAR(Tabela1[[#This Row],[FECHA]])</f>
        <v>1900</v>
      </c>
      <c r="I9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0" customFormat="false" ht="15" hidden="false" customHeight="false" outlineLevel="0" collapsed="false">
      <c r="A950" s="41"/>
      <c r="G950" s="38" t="n">
        <f aca="false">MONTH(A950)</f>
        <v>12</v>
      </c>
      <c r="H950" s="38" t="n">
        <f aca="false">YEAR(Tabela1[[#This Row],[FECHA]])</f>
        <v>1900</v>
      </c>
      <c r="I9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1" customFormat="false" ht="15" hidden="false" customHeight="false" outlineLevel="0" collapsed="false">
      <c r="A951" s="41"/>
      <c r="G951" s="38" t="n">
        <f aca="false">MONTH(A951)</f>
        <v>12</v>
      </c>
      <c r="H951" s="38" t="n">
        <f aca="false">YEAR(Tabela1[[#This Row],[FECHA]])</f>
        <v>1900</v>
      </c>
      <c r="I9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2" customFormat="false" ht="15" hidden="false" customHeight="false" outlineLevel="0" collapsed="false">
      <c r="A952" s="41"/>
      <c r="G952" s="38" t="n">
        <f aca="false">MONTH(A952)</f>
        <v>12</v>
      </c>
      <c r="H952" s="38" t="n">
        <f aca="false">YEAR(Tabela1[[#This Row],[FECHA]])</f>
        <v>1900</v>
      </c>
      <c r="I9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3" customFormat="false" ht="15" hidden="false" customHeight="false" outlineLevel="0" collapsed="false">
      <c r="A953" s="41"/>
      <c r="G953" s="38" t="n">
        <f aca="false">MONTH(A953)</f>
        <v>12</v>
      </c>
      <c r="H953" s="38" t="n">
        <f aca="false">YEAR(Tabela1[[#This Row],[FECHA]])</f>
        <v>1900</v>
      </c>
      <c r="I9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4" customFormat="false" ht="15" hidden="false" customHeight="false" outlineLevel="0" collapsed="false">
      <c r="A954" s="41"/>
      <c r="G954" s="38" t="n">
        <f aca="false">MONTH(A954)</f>
        <v>12</v>
      </c>
      <c r="H954" s="38" t="n">
        <f aca="false">YEAR(Tabela1[[#This Row],[FECHA]])</f>
        <v>1900</v>
      </c>
      <c r="I9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5" customFormat="false" ht="15" hidden="false" customHeight="false" outlineLevel="0" collapsed="false">
      <c r="A955" s="41"/>
      <c r="G955" s="38" t="n">
        <f aca="false">MONTH(A955)</f>
        <v>12</v>
      </c>
      <c r="H955" s="38" t="n">
        <f aca="false">YEAR(Tabela1[[#This Row],[FECHA]])</f>
        <v>1900</v>
      </c>
      <c r="I9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6" customFormat="false" ht="15" hidden="false" customHeight="false" outlineLevel="0" collapsed="false">
      <c r="A956" s="41"/>
      <c r="G956" s="38" t="n">
        <f aca="false">MONTH(A956)</f>
        <v>12</v>
      </c>
      <c r="H956" s="38" t="n">
        <f aca="false">YEAR(Tabela1[[#This Row],[FECHA]])</f>
        <v>1900</v>
      </c>
      <c r="I9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7" customFormat="false" ht="15" hidden="false" customHeight="false" outlineLevel="0" collapsed="false">
      <c r="A957" s="41"/>
      <c r="G957" s="38" t="n">
        <f aca="false">MONTH(A957)</f>
        <v>12</v>
      </c>
      <c r="H957" s="38" t="n">
        <f aca="false">YEAR(Tabela1[[#This Row],[FECHA]])</f>
        <v>1900</v>
      </c>
      <c r="I9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8" customFormat="false" ht="15" hidden="false" customHeight="false" outlineLevel="0" collapsed="false">
      <c r="A958" s="41"/>
      <c r="G958" s="38" t="n">
        <f aca="false">MONTH(A958)</f>
        <v>12</v>
      </c>
      <c r="H958" s="38" t="n">
        <f aca="false">YEAR(Tabela1[[#This Row],[FECHA]])</f>
        <v>1900</v>
      </c>
      <c r="I9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9" customFormat="false" ht="15" hidden="false" customHeight="false" outlineLevel="0" collapsed="false">
      <c r="A959" s="41"/>
      <c r="G959" s="38" t="n">
        <f aca="false">MONTH(A959)</f>
        <v>12</v>
      </c>
      <c r="H959" s="38" t="n">
        <f aca="false">YEAR(Tabela1[[#This Row],[FECHA]])</f>
        <v>1900</v>
      </c>
      <c r="I9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0" customFormat="false" ht="15" hidden="false" customHeight="false" outlineLevel="0" collapsed="false">
      <c r="A960" s="41"/>
      <c r="G960" s="38" t="n">
        <f aca="false">MONTH(A960)</f>
        <v>12</v>
      </c>
      <c r="H960" s="38" t="n">
        <f aca="false">YEAR(Tabela1[[#This Row],[FECHA]])</f>
        <v>1900</v>
      </c>
      <c r="I9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1" customFormat="false" ht="15" hidden="false" customHeight="false" outlineLevel="0" collapsed="false">
      <c r="A961" s="41"/>
      <c r="G961" s="38" t="n">
        <f aca="false">MONTH(A961)</f>
        <v>12</v>
      </c>
      <c r="H961" s="38" t="n">
        <f aca="false">YEAR(Tabela1[[#This Row],[FECHA]])</f>
        <v>1900</v>
      </c>
      <c r="I9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2" customFormat="false" ht="15" hidden="false" customHeight="false" outlineLevel="0" collapsed="false">
      <c r="A962" s="41"/>
      <c r="G962" s="38" t="n">
        <f aca="false">MONTH(A962)</f>
        <v>12</v>
      </c>
      <c r="H962" s="38" t="n">
        <f aca="false">YEAR(Tabela1[[#This Row],[FECHA]])</f>
        <v>1900</v>
      </c>
      <c r="I9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3" customFormat="false" ht="15" hidden="false" customHeight="false" outlineLevel="0" collapsed="false">
      <c r="A963" s="41"/>
      <c r="G963" s="38" t="n">
        <f aca="false">MONTH(A963)</f>
        <v>12</v>
      </c>
      <c r="H963" s="38" t="n">
        <f aca="false">YEAR(Tabela1[[#This Row],[FECHA]])</f>
        <v>1900</v>
      </c>
      <c r="I9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4" customFormat="false" ht="15" hidden="false" customHeight="false" outlineLevel="0" collapsed="false">
      <c r="A964" s="41"/>
      <c r="G964" s="38" t="n">
        <f aca="false">MONTH(A964)</f>
        <v>12</v>
      </c>
      <c r="H964" s="38" t="n">
        <f aca="false">YEAR(Tabela1[[#This Row],[FECHA]])</f>
        <v>1900</v>
      </c>
      <c r="I9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5" customFormat="false" ht="15" hidden="false" customHeight="false" outlineLevel="0" collapsed="false">
      <c r="A965" s="41"/>
      <c r="G965" s="38" t="n">
        <f aca="false">MONTH(A965)</f>
        <v>12</v>
      </c>
      <c r="H965" s="38" t="n">
        <f aca="false">YEAR(Tabela1[[#This Row],[FECHA]])</f>
        <v>1900</v>
      </c>
      <c r="I9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6" customFormat="false" ht="15" hidden="false" customHeight="false" outlineLevel="0" collapsed="false">
      <c r="A966" s="41"/>
      <c r="G966" s="38" t="n">
        <f aca="false">MONTH(A966)</f>
        <v>12</v>
      </c>
      <c r="H966" s="38" t="n">
        <f aca="false">YEAR(Tabela1[[#This Row],[FECHA]])</f>
        <v>1900</v>
      </c>
      <c r="I9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7" customFormat="false" ht="15" hidden="false" customHeight="false" outlineLevel="0" collapsed="false">
      <c r="A967" s="41"/>
      <c r="G967" s="38" t="n">
        <f aca="false">MONTH(A967)</f>
        <v>12</v>
      </c>
      <c r="H967" s="38" t="n">
        <f aca="false">YEAR(Tabela1[[#This Row],[FECHA]])</f>
        <v>1900</v>
      </c>
      <c r="I9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8" customFormat="false" ht="15" hidden="false" customHeight="false" outlineLevel="0" collapsed="false">
      <c r="A968" s="41"/>
      <c r="G968" s="38" t="n">
        <f aca="false">MONTH(A968)</f>
        <v>12</v>
      </c>
      <c r="H968" s="38" t="n">
        <f aca="false">YEAR(Tabela1[[#This Row],[FECHA]])</f>
        <v>1900</v>
      </c>
      <c r="I9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9" customFormat="false" ht="15" hidden="false" customHeight="false" outlineLevel="0" collapsed="false">
      <c r="A969" s="41"/>
      <c r="G969" s="38" t="n">
        <f aca="false">MONTH(A969)</f>
        <v>12</v>
      </c>
      <c r="H969" s="38" t="n">
        <f aca="false">YEAR(Tabela1[[#This Row],[FECHA]])</f>
        <v>1900</v>
      </c>
      <c r="I9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0" customFormat="false" ht="15" hidden="false" customHeight="false" outlineLevel="0" collapsed="false">
      <c r="A970" s="41"/>
      <c r="G970" s="38" t="n">
        <f aca="false">MONTH(A970)</f>
        <v>12</v>
      </c>
      <c r="H970" s="38" t="n">
        <f aca="false">YEAR(Tabela1[[#This Row],[FECHA]])</f>
        <v>1900</v>
      </c>
      <c r="I9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1" customFormat="false" ht="15" hidden="false" customHeight="false" outlineLevel="0" collapsed="false">
      <c r="A971" s="41"/>
      <c r="G971" s="38" t="n">
        <f aca="false">MONTH(A971)</f>
        <v>12</v>
      </c>
      <c r="H971" s="38" t="n">
        <f aca="false">YEAR(Tabela1[[#This Row],[FECHA]])</f>
        <v>1900</v>
      </c>
      <c r="I9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2" customFormat="false" ht="15" hidden="false" customHeight="false" outlineLevel="0" collapsed="false">
      <c r="A972" s="41"/>
      <c r="G972" s="38" t="n">
        <f aca="false">MONTH(A972)</f>
        <v>12</v>
      </c>
      <c r="H972" s="38" t="n">
        <f aca="false">YEAR(Tabela1[[#This Row],[FECHA]])</f>
        <v>1900</v>
      </c>
      <c r="I9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3" customFormat="false" ht="15" hidden="false" customHeight="false" outlineLevel="0" collapsed="false">
      <c r="A973" s="41"/>
      <c r="G973" s="38" t="n">
        <f aca="false">MONTH(A973)</f>
        <v>12</v>
      </c>
      <c r="H973" s="38" t="n">
        <f aca="false">YEAR(Tabela1[[#This Row],[FECHA]])</f>
        <v>1900</v>
      </c>
      <c r="I9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4" customFormat="false" ht="15" hidden="false" customHeight="false" outlineLevel="0" collapsed="false">
      <c r="A974" s="41"/>
      <c r="G974" s="38" t="n">
        <f aca="false">MONTH(A974)</f>
        <v>12</v>
      </c>
      <c r="H974" s="38" t="n">
        <f aca="false">YEAR(Tabela1[[#This Row],[FECHA]])</f>
        <v>1900</v>
      </c>
      <c r="I9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5" customFormat="false" ht="15" hidden="false" customHeight="false" outlineLevel="0" collapsed="false">
      <c r="A975" s="41"/>
      <c r="G975" s="38" t="n">
        <f aca="false">MONTH(A975)</f>
        <v>12</v>
      </c>
      <c r="H975" s="38" t="n">
        <f aca="false">YEAR(Tabela1[[#This Row],[FECHA]])</f>
        <v>1900</v>
      </c>
      <c r="I9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6" customFormat="false" ht="15" hidden="false" customHeight="false" outlineLevel="0" collapsed="false">
      <c r="A976" s="41"/>
      <c r="G976" s="38" t="n">
        <f aca="false">MONTH(A976)</f>
        <v>12</v>
      </c>
      <c r="H976" s="38" t="n">
        <f aca="false">YEAR(Tabela1[[#This Row],[FECHA]])</f>
        <v>1900</v>
      </c>
      <c r="I9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7" customFormat="false" ht="15" hidden="false" customHeight="false" outlineLevel="0" collapsed="false">
      <c r="A977" s="41"/>
      <c r="G977" s="38" t="n">
        <f aca="false">MONTH(A977)</f>
        <v>12</v>
      </c>
      <c r="H977" s="38" t="n">
        <f aca="false">YEAR(Tabela1[[#This Row],[FECHA]])</f>
        <v>1900</v>
      </c>
      <c r="I9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8" customFormat="false" ht="15" hidden="false" customHeight="false" outlineLevel="0" collapsed="false">
      <c r="A978" s="41"/>
      <c r="G978" s="38" t="n">
        <f aca="false">MONTH(A978)</f>
        <v>12</v>
      </c>
      <c r="H978" s="38" t="n">
        <f aca="false">YEAR(Tabela1[[#This Row],[FECHA]])</f>
        <v>1900</v>
      </c>
      <c r="I9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9" customFormat="false" ht="15" hidden="false" customHeight="false" outlineLevel="0" collapsed="false">
      <c r="A979" s="41"/>
      <c r="G979" s="38" t="n">
        <f aca="false">MONTH(A979)</f>
        <v>12</v>
      </c>
      <c r="H979" s="38" t="n">
        <f aca="false">YEAR(Tabela1[[#This Row],[FECHA]])</f>
        <v>1900</v>
      </c>
      <c r="I9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0" customFormat="false" ht="15" hidden="false" customHeight="false" outlineLevel="0" collapsed="false">
      <c r="A980" s="41"/>
      <c r="G980" s="38" t="n">
        <f aca="false">MONTH(A980)</f>
        <v>12</v>
      </c>
      <c r="H980" s="38" t="n">
        <f aca="false">YEAR(Tabela1[[#This Row],[FECHA]])</f>
        <v>1900</v>
      </c>
      <c r="I9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1" customFormat="false" ht="15" hidden="false" customHeight="false" outlineLevel="0" collapsed="false">
      <c r="A981" s="41"/>
      <c r="G981" s="38" t="n">
        <f aca="false">MONTH(A981)</f>
        <v>12</v>
      </c>
      <c r="H981" s="38" t="n">
        <f aca="false">YEAR(Tabela1[[#This Row],[FECHA]])</f>
        <v>1900</v>
      </c>
      <c r="I9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2" customFormat="false" ht="15" hidden="false" customHeight="false" outlineLevel="0" collapsed="false">
      <c r="A982" s="41"/>
      <c r="G982" s="38" t="n">
        <f aca="false">MONTH(A982)</f>
        <v>12</v>
      </c>
      <c r="H982" s="38" t="n">
        <f aca="false">YEAR(Tabela1[[#This Row],[FECHA]])</f>
        <v>1900</v>
      </c>
      <c r="I9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3" customFormat="false" ht="15" hidden="false" customHeight="false" outlineLevel="0" collapsed="false">
      <c r="A983" s="41"/>
      <c r="G983" s="38" t="n">
        <f aca="false">MONTH(A983)</f>
        <v>12</v>
      </c>
      <c r="H983" s="38" t="n">
        <f aca="false">YEAR(Tabela1[[#This Row],[FECHA]])</f>
        <v>1900</v>
      </c>
      <c r="I9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4" customFormat="false" ht="15" hidden="false" customHeight="false" outlineLevel="0" collapsed="false">
      <c r="A984" s="41"/>
      <c r="G984" s="38" t="n">
        <f aca="false">MONTH(A984)</f>
        <v>12</v>
      </c>
      <c r="H984" s="38" t="n">
        <f aca="false">YEAR(Tabela1[[#This Row],[FECHA]])</f>
        <v>1900</v>
      </c>
      <c r="I9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5" customFormat="false" ht="15" hidden="false" customHeight="false" outlineLevel="0" collapsed="false">
      <c r="A985" s="41"/>
      <c r="G985" s="38" t="n">
        <f aca="false">MONTH(A985)</f>
        <v>12</v>
      </c>
      <c r="H985" s="38" t="n">
        <f aca="false">YEAR(Tabela1[[#This Row],[FECHA]])</f>
        <v>1900</v>
      </c>
      <c r="I9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6" customFormat="false" ht="15" hidden="false" customHeight="false" outlineLevel="0" collapsed="false">
      <c r="A986" s="41"/>
      <c r="G986" s="38" t="n">
        <f aca="false">MONTH(A986)</f>
        <v>12</v>
      </c>
      <c r="H986" s="38" t="n">
        <f aca="false">YEAR(Tabela1[[#This Row],[FECHA]])</f>
        <v>1900</v>
      </c>
      <c r="I9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7" customFormat="false" ht="15" hidden="false" customHeight="false" outlineLevel="0" collapsed="false">
      <c r="A987" s="41"/>
      <c r="G987" s="38" t="n">
        <f aca="false">MONTH(A987)</f>
        <v>12</v>
      </c>
      <c r="H987" s="38" t="n">
        <f aca="false">YEAR(Tabela1[[#This Row],[FECHA]])</f>
        <v>1900</v>
      </c>
      <c r="I9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8" customFormat="false" ht="15" hidden="false" customHeight="false" outlineLevel="0" collapsed="false">
      <c r="A988" s="41"/>
      <c r="G988" s="38" t="n">
        <f aca="false">MONTH(A988)</f>
        <v>12</v>
      </c>
      <c r="H988" s="38" t="n">
        <f aca="false">YEAR(Tabela1[[#This Row],[FECHA]])</f>
        <v>1900</v>
      </c>
      <c r="I9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9" customFormat="false" ht="15" hidden="false" customHeight="false" outlineLevel="0" collapsed="false">
      <c r="A989" s="41"/>
      <c r="G989" s="38" t="n">
        <f aca="false">MONTH(A989)</f>
        <v>12</v>
      </c>
      <c r="H989" s="38" t="n">
        <f aca="false">YEAR(Tabela1[[#This Row],[FECHA]])</f>
        <v>1900</v>
      </c>
      <c r="I9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0" customFormat="false" ht="15" hidden="false" customHeight="false" outlineLevel="0" collapsed="false">
      <c r="A990" s="41"/>
      <c r="G990" s="38" t="n">
        <f aca="false">MONTH(A990)</f>
        <v>12</v>
      </c>
      <c r="H990" s="38" t="n">
        <f aca="false">YEAR(Tabela1[[#This Row],[FECHA]])</f>
        <v>1900</v>
      </c>
      <c r="I9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1" customFormat="false" ht="15" hidden="false" customHeight="false" outlineLevel="0" collapsed="false">
      <c r="A991" s="41"/>
      <c r="G991" s="38" t="n">
        <f aca="false">MONTH(A991)</f>
        <v>12</v>
      </c>
      <c r="H991" s="38" t="n">
        <f aca="false">YEAR(Tabela1[[#This Row],[FECHA]])</f>
        <v>1900</v>
      </c>
      <c r="I9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2" customFormat="false" ht="15" hidden="false" customHeight="false" outlineLevel="0" collapsed="false">
      <c r="A992" s="41"/>
      <c r="G992" s="38" t="n">
        <f aca="false">MONTH(A992)</f>
        <v>12</v>
      </c>
      <c r="H992" s="38" t="n">
        <f aca="false">YEAR(Tabela1[[#This Row],[FECHA]])</f>
        <v>1900</v>
      </c>
      <c r="I9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3" customFormat="false" ht="15" hidden="false" customHeight="false" outlineLevel="0" collapsed="false">
      <c r="A993" s="41"/>
      <c r="G993" s="38" t="n">
        <f aca="false">MONTH(A993)</f>
        <v>12</v>
      </c>
      <c r="H993" s="38" t="n">
        <f aca="false">YEAR(Tabela1[[#This Row],[FECHA]])</f>
        <v>1900</v>
      </c>
      <c r="I9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4" customFormat="false" ht="15" hidden="false" customHeight="false" outlineLevel="0" collapsed="false">
      <c r="A994" s="41"/>
      <c r="G994" s="38" t="n">
        <f aca="false">MONTH(A994)</f>
        <v>12</v>
      </c>
      <c r="H994" s="38" t="n">
        <f aca="false">YEAR(Tabela1[[#This Row],[FECHA]])</f>
        <v>1900</v>
      </c>
      <c r="I9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5" customFormat="false" ht="15" hidden="false" customHeight="false" outlineLevel="0" collapsed="false">
      <c r="A995" s="41"/>
      <c r="G995" s="38" t="n">
        <f aca="false">MONTH(A995)</f>
        <v>12</v>
      </c>
      <c r="H995" s="38" t="n">
        <f aca="false">YEAR(Tabela1[[#This Row],[FECHA]])</f>
        <v>1900</v>
      </c>
      <c r="I9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6" customFormat="false" ht="15" hidden="false" customHeight="false" outlineLevel="0" collapsed="false">
      <c r="A996" s="41"/>
      <c r="G996" s="38" t="n">
        <f aca="false">MONTH(A996)</f>
        <v>12</v>
      </c>
      <c r="H996" s="38" t="n">
        <f aca="false">YEAR(Tabela1[[#This Row],[FECHA]])</f>
        <v>1900</v>
      </c>
      <c r="I9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7" customFormat="false" ht="15" hidden="false" customHeight="false" outlineLevel="0" collapsed="false">
      <c r="A997" s="41"/>
      <c r="G997" s="38" t="n">
        <f aca="false">MONTH(A997)</f>
        <v>12</v>
      </c>
      <c r="H997" s="38" t="n">
        <f aca="false">YEAR(Tabela1[[#This Row],[FECHA]])</f>
        <v>1900</v>
      </c>
      <c r="I9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8" customFormat="false" ht="15" hidden="false" customHeight="false" outlineLevel="0" collapsed="false">
      <c r="A998" s="41"/>
      <c r="G998" s="38" t="n">
        <f aca="false">MONTH(A998)</f>
        <v>12</v>
      </c>
      <c r="H998" s="38" t="n">
        <f aca="false">YEAR(Tabela1[[#This Row],[FECHA]])</f>
        <v>1900</v>
      </c>
      <c r="I9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9" customFormat="false" ht="15" hidden="false" customHeight="false" outlineLevel="0" collapsed="false">
      <c r="A999" s="41"/>
      <c r="G999" s="38" t="n">
        <f aca="false">MONTH(A999)</f>
        <v>12</v>
      </c>
      <c r="H999" s="38" t="n">
        <f aca="false">YEAR(Tabela1[[#This Row],[FECHA]])</f>
        <v>1900</v>
      </c>
      <c r="I9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00" customFormat="false" ht="15" hidden="false" customHeight="false" outlineLevel="0" collapsed="false">
      <c r="A1000" s="41"/>
      <c r="G1000" s="38" t="n">
        <f aca="false">MONTH(A1000)</f>
        <v>12</v>
      </c>
      <c r="H1000" s="38" t="n">
        <f aca="false">YEAR(Tabela1[[#This Row],[FECHA]])</f>
        <v>1900</v>
      </c>
      <c r="I10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01" customFormat="false" ht="15" hidden="false" customHeight="false" outlineLevel="0" collapsed="false">
      <c r="A1001" s="41"/>
      <c r="G1001" s="38" t="n">
        <f aca="false">MONTH(A1001)</f>
        <v>12</v>
      </c>
      <c r="H1001" s="38" t="n">
        <f aca="false">YEAR(Tabela1[[#This Row],[FECHA]])</f>
        <v>1900</v>
      </c>
      <c r="I10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02" customFormat="false" ht="15" hidden="false" customHeight="false" outlineLevel="0" collapsed="false">
      <c r="A1002" s="41"/>
      <c r="G1002" s="38" t="n">
        <f aca="false">MONTH(A1002)</f>
        <v>12</v>
      </c>
      <c r="H1002" s="38" t="n">
        <f aca="false">YEAR(Tabela1[[#This Row],[FECHA]])</f>
        <v>1900</v>
      </c>
      <c r="I10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03" customFormat="false" ht="15" hidden="false" customHeight="false" outlineLevel="0" collapsed="false">
      <c r="A1003" s="41"/>
      <c r="G1003" s="38" t="n">
        <f aca="false">MONTH(A1003)</f>
        <v>12</v>
      </c>
      <c r="H1003" s="38" t="n">
        <f aca="false">YEAR(Tabela1[[#This Row],[FECHA]])</f>
        <v>1900</v>
      </c>
      <c r="I10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04" customFormat="false" ht="15" hidden="false" customHeight="false" outlineLevel="0" collapsed="false">
      <c r="A1004" s="41"/>
      <c r="G1004" s="38" t="n">
        <f aca="false">MONTH(A1004)</f>
        <v>12</v>
      </c>
      <c r="H1004" s="38" t="n">
        <f aca="false">YEAR(Tabela1[[#This Row],[FECHA]])</f>
        <v>1900</v>
      </c>
      <c r="I10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05" customFormat="false" ht="15" hidden="false" customHeight="false" outlineLevel="0" collapsed="false">
      <c r="A1005" s="41"/>
      <c r="G1005" s="38" t="n">
        <f aca="false">MONTH(A1005)</f>
        <v>12</v>
      </c>
      <c r="H1005" s="38" t="n">
        <f aca="false">YEAR(Tabela1[[#This Row],[FECHA]])</f>
        <v>1900</v>
      </c>
      <c r="I10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06" customFormat="false" ht="15" hidden="false" customHeight="false" outlineLevel="0" collapsed="false">
      <c r="A1006" s="41"/>
      <c r="G1006" s="38" t="n">
        <f aca="false">MONTH(A1006)</f>
        <v>12</v>
      </c>
      <c r="H1006" s="38" t="n">
        <f aca="false">YEAR(Tabela1[[#This Row],[FECHA]])</f>
        <v>1900</v>
      </c>
      <c r="I10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07" customFormat="false" ht="15" hidden="false" customHeight="false" outlineLevel="0" collapsed="false">
      <c r="A1007" s="41"/>
      <c r="G1007" s="38" t="n">
        <f aca="false">MONTH(A1007)</f>
        <v>12</v>
      </c>
      <c r="H1007" s="38" t="n">
        <f aca="false">YEAR(Tabela1[[#This Row],[FECHA]])</f>
        <v>1900</v>
      </c>
      <c r="I10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08" customFormat="false" ht="15" hidden="false" customHeight="false" outlineLevel="0" collapsed="false">
      <c r="A1008" s="41"/>
      <c r="G1008" s="38" t="n">
        <f aca="false">MONTH(A1008)</f>
        <v>12</v>
      </c>
      <c r="H1008" s="38" t="n">
        <f aca="false">YEAR(Tabela1[[#This Row],[FECHA]])</f>
        <v>1900</v>
      </c>
      <c r="I10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09" customFormat="false" ht="15" hidden="false" customHeight="false" outlineLevel="0" collapsed="false">
      <c r="A1009" s="41"/>
      <c r="G1009" s="38" t="n">
        <f aca="false">MONTH(A1009)</f>
        <v>12</v>
      </c>
      <c r="H1009" s="38" t="n">
        <f aca="false">YEAR(Tabela1[[#This Row],[FECHA]])</f>
        <v>1900</v>
      </c>
      <c r="I10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10" customFormat="false" ht="15" hidden="false" customHeight="false" outlineLevel="0" collapsed="false">
      <c r="A1010" s="41"/>
      <c r="G1010" s="38" t="n">
        <f aca="false">MONTH(A1010)</f>
        <v>12</v>
      </c>
      <c r="H1010" s="38" t="n">
        <f aca="false">YEAR(Tabela1[[#This Row],[FECHA]])</f>
        <v>1900</v>
      </c>
      <c r="I10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11" customFormat="false" ht="15" hidden="false" customHeight="false" outlineLevel="0" collapsed="false">
      <c r="A1011" s="41"/>
      <c r="G1011" s="38" t="n">
        <f aca="false">MONTH(A1011)</f>
        <v>12</v>
      </c>
      <c r="H1011" s="38" t="n">
        <f aca="false">YEAR(Tabela1[[#This Row],[FECHA]])</f>
        <v>1900</v>
      </c>
      <c r="I10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12" customFormat="false" ht="15" hidden="false" customHeight="false" outlineLevel="0" collapsed="false">
      <c r="A1012" s="41"/>
      <c r="G1012" s="38" t="n">
        <f aca="false">MONTH(A1012)</f>
        <v>12</v>
      </c>
      <c r="H1012" s="38" t="n">
        <f aca="false">YEAR(Tabela1[[#This Row],[FECHA]])</f>
        <v>1900</v>
      </c>
      <c r="I10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13" customFormat="false" ht="15" hidden="false" customHeight="false" outlineLevel="0" collapsed="false">
      <c r="A1013" s="41"/>
      <c r="G1013" s="38" t="n">
        <f aca="false">MONTH(A1013)</f>
        <v>12</v>
      </c>
      <c r="H1013" s="38" t="n">
        <f aca="false">YEAR(Tabela1[[#This Row],[FECHA]])</f>
        <v>1900</v>
      </c>
      <c r="I10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14" customFormat="false" ht="15" hidden="false" customHeight="false" outlineLevel="0" collapsed="false">
      <c r="A1014" s="41"/>
      <c r="G1014" s="38" t="n">
        <f aca="false">MONTH(A1014)</f>
        <v>12</v>
      </c>
      <c r="H1014" s="38" t="n">
        <f aca="false">YEAR(Tabela1[[#This Row],[FECHA]])</f>
        <v>1900</v>
      </c>
      <c r="I10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15" customFormat="false" ht="15" hidden="false" customHeight="false" outlineLevel="0" collapsed="false">
      <c r="A1015" s="41"/>
      <c r="G1015" s="38" t="n">
        <f aca="false">MONTH(A1015)</f>
        <v>12</v>
      </c>
      <c r="H1015" s="38" t="n">
        <f aca="false">YEAR(Tabela1[[#This Row],[FECHA]])</f>
        <v>1900</v>
      </c>
      <c r="I10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16" customFormat="false" ht="15" hidden="false" customHeight="false" outlineLevel="0" collapsed="false">
      <c r="A1016" s="41"/>
      <c r="G1016" s="38" t="n">
        <f aca="false">MONTH(A1016)</f>
        <v>12</v>
      </c>
      <c r="H1016" s="38" t="n">
        <f aca="false">YEAR(Tabela1[[#This Row],[FECHA]])</f>
        <v>1900</v>
      </c>
      <c r="I10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17" customFormat="false" ht="15" hidden="false" customHeight="false" outlineLevel="0" collapsed="false">
      <c r="A1017" s="41"/>
      <c r="G1017" s="38" t="n">
        <f aca="false">MONTH(A1017)</f>
        <v>12</v>
      </c>
      <c r="H1017" s="38" t="n">
        <f aca="false">YEAR(Tabela1[[#This Row],[FECHA]])</f>
        <v>1900</v>
      </c>
      <c r="I10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18" customFormat="false" ht="15" hidden="false" customHeight="false" outlineLevel="0" collapsed="false">
      <c r="A1018" s="41"/>
      <c r="G1018" s="38" t="n">
        <f aca="false">MONTH(A1018)</f>
        <v>12</v>
      </c>
      <c r="H1018" s="38" t="n">
        <f aca="false">YEAR(Tabela1[[#This Row],[FECHA]])</f>
        <v>1900</v>
      </c>
      <c r="I10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19" customFormat="false" ht="15" hidden="false" customHeight="false" outlineLevel="0" collapsed="false">
      <c r="A1019" s="41"/>
      <c r="G1019" s="38" t="n">
        <f aca="false">MONTH(A1019)</f>
        <v>12</v>
      </c>
      <c r="H1019" s="38" t="n">
        <f aca="false">YEAR(Tabela1[[#This Row],[FECHA]])</f>
        <v>1900</v>
      </c>
      <c r="I10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20" customFormat="false" ht="15" hidden="false" customHeight="false" outlineLevel="0" collapsed="false">
      <c r="A1020" s="41"/>
      <c r="G1020" s="38" t="n">
        <f aca="false">MONTH(A1020)</f>
        <v>12</v>
      </c>
      <c r="H1020" s="38" t="n">
        <f aca="false">YEAR(Tabela1[[#This Row],[FECHA]])</f>
        <v>1900</v>
      </c>
      <c r="I10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21" customFormat="false" ht="15" hidden="false" customHeight="false" outlineLevel="0" collapsed="false">
      <c r="A1021" s="41"/>
      <c r="G1021" s="38" t="n">
        <f aca="false">MONTH(A1021)</f>
        <v>12</v>
      </c>
      <c r="H1021" s="38" t="n">
        <f aca="false">YEAR(Tabela1[[#This Row],[FECHA]])</f>
        <v>1900</v>
      </c>
      <c r="I10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22" customFormat="false" ht="15" hidden="false" customHeight="false" outlineLevel="0" collapsed="false">
      <c r="A1022" s="41"/>
      <c r="G1022" s="38" t="n">
        <f aca="false">MONTH(A1022)</f>
        <v>12</v>
      </c>
      <c r="H1022" s="38" t="n">
        <f aca="false">YEAR(Tabela1[[#This Row],[FECHA]])</f>
        <v>1900</v>
      </c>
      <c r="I10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23" customFormat="false" ht="15" hidden="false" customHeight="false" outlineLevel="0" collapsed="false">
      <c r="A1023" s="41"/>
      <c r="G1023" s="38" t="n">
        <f aca="false">MONTH(A1023)</f>
        <v>12</v>
      </c>
      <c r="H1023" s="38" t="n">
        <f aca="false">YEAR(Tabela1[[#This Row],[FECHA]])</f>
        <v>1900</v>
      </c>
      <c r="I10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24" customFormat="false" ht="15" hidden="false" customHeight="false" outlineLevel="0" collapsed="false">
      <c r="A1024" s="41"/>
      <c r="G1024" s="38" t="n">
        <f aca="false">MONTH(A1024)</f>
        <v>12</v>
      </c>
      <c r="H1024" s="38" t="n">
        <f aca="false">YEAR(Tabela1[[#This Row],[FECHA]])</f>
        <v>1900</v>
      </c>
      <c r="I10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25" customFormat="false" ht="15" hidden="false" customHeight="false" outlineLevel="0" collapsed="false">
      <c r="A1025" s="41"/>
      <c r="G1025" s="38" t="n">
        <f aca="false">MONTH(A1025)</f>
        <v>12</v>
      </c>
      <c r="H1025" s="38" t="n">
        <f aca="false">YEAR(Tabela1[[#This Row],[FECHA]])</f>
        <v>1900</v>
      </c>
      <c r="I10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26" customFormat="false" ht="15" hidden="false" customHeight="false" outlineLevel="0" collapsed="false">
      <c r="A1026" s="41"/>
      <c r="G1026" s="38" t="n">
        <f aca="false">MONTH(A1026)</f>
        <v>12</v>
      </c>
      <c r="H1026" s="38" t="n">
        <f aca="false">YEAR(Tabela1[[#This Row],[FECHA]])</f>
        <v>1900</v>
      </c>
      <c r="I10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27" customFormat="false" ht="15" hidden="false" customHeight="false" outlineLevel="0" collapsed="false">
      <c r="A1027" s="41"/>
      <c r="G1027" s="38" t="n">
        <f aca="false">MONTH(A1027)</f>
        <v>12</v>
      </c>
      <c r="H1027" s="38" t="n">
        <f aca="false">YEAR(Tabela1[[#This Row],[FECHA]])</f>
        <v>1900</v>
      </c>
      <c r="I10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28" customFormat="false" ht="15" hidden="false" customHeight="false" outlineLevel="0" collapsed="false">
      <c r="A1028" s="41"/>
      <c r="G1028" s="38" t="n">
        <f aca="false">MONTH(A1028)</f>
        <v>12</v>
      </c>
      <c r="H1028" s="38" t="n">
        <f aca="false">YEAR(Tabela1[[#This Row],[FECHA]])</f>
        <v>1900</v>
      </c>
      <c r="I10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29" customFormat="false" ht="15" hidden="false" customHeight="false" outlineLevel="0" collapsed="false">
      <c r="A1029" s="41"/>
      <c r="G1029" s="38" t="n">
        <f aca="false">MONTH(A1029)</f>
        <v>12</v>
      </c>
      <c r="H1029" s="38" t="n">
        <f aca="false">YEAR(Tabela1[[#This Row],[FECHA]])</f>
        <v>1900</v>
      </c>
      <c r="I10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30" customFormat="false" ht="15" hidden="false" customHeight="false" outlineLevel="0" collapsed="false">
      <c r="A1030" s="41"/>
      <c r="G1030" s="38" t="n">
        <f aca="false">MONTH(A1030)</f>
        <v>12</v>
      </c>
      <c r="H1030" s="38" t="n">
        <f aca="false">YEAR(Tabela1[[#This Row],[FECHA]])</f>
        <v>1900</v>
      </c>
      <c r="I10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31" customFormat="false" ht="15" hidden="false" customHeight="false" outlineLevel="0" collapsed="false">
      <c r="A1031" s="41"/>
      <c r="G1031" s="38" t="n">
        <f aca="false">MONTH(A1031)</f>
        <v>12</v>
      </c>
      <c r="H1031" s="38" t="n">
        <f aca="false">YEAR(Tabela1[[#This Row],[FECHA]])</f>
        <v>1900</v>
      </c>
      <c r="I10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32" customFormat="false" ht="15" hidden="false" customHeight="false" outlineLevel="0" collapsed="false">
      <c r="A1032" s="41"/>
      <c r="G1032" s="38" t="n">
        <f aca="false">MONTH(A1032)</f>
        <v>12</v>
      </c>
      <c r="H1032" s="38" t="n">
        <f aca="false">YEAR(Tabela1[[#This Row],[FECHA]])</f>
        <v>1900</v>
      </c>
      <c r="I10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33" customFormat="false" ht="15" hidden="false" customHeight="false" outlineLevel="0" collapsed="false">
      <c r="A1033" s="41"/>
      <c r="G1033" s="38" t="n">
        <f aca="false">MONTH(A1033)</f>
        <v>12</v>
      </c>
      <c r="H1033" s="38" t="n">
        <f aca="false">YEAR(Tabela1[[#This Row],[FECHA]])</f>
        <v>1900</v>
      </c>
      <c r="I10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34" customFormat="false" ht="15" hidden="false" customHeight="false" outlineLevel="0" collapsed="false">
      <c r="A1034" s="41"/>
      <c r="G1034" s="38" t="n">
        <f aca="false">MONTH(A1034)</f>
        <v>12</v>
      </c>
      <c r="H1034" s="38" t="n">
        <f aca="false">YEAR(Tabela1[[#This Row],[FECHA]])</f>
        <v>1900</v>
      </c>
      <c r="I10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35" customFormat="false" ht="15" hidden="false" customHeight="false" outlineLevel="0" collapsed="false">
      <c r="A1035" s="41"/>
      <c r="G1035" s="38" t="n">
        <f aca="false">MONTH(A1035)</f>
        <v>12</v>
      </c>
      <c r="H1035" s="38" t="n">
        <f aca="false">YEAR(Tabela1[[#This Row],[FECHA]])</f>
        <v>1900</v>
      </c>
      <c r="I10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36" customFormat="false" ht="15" hidden="false" customHeight="false" outlineLevel="0" collapsed="false">
      <c r="A1036" s="41"/>
      <c r="G1036" s="38" t="n">
        <f aca="false">MONTH(A1036)</f>
        <v>12</v>
      </c>
      <c r="H1036" s="38" t="n">
        <f aca="false">YEAR(Tabela1[[#This Row],[FECHA]])</f>
        <v>1900</v>
      </c>
      <c r="I10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37" customFormat="false" ht="15" hidden="false" customHeight="false" outlineLevel="0" collapsed="false">
      <c r="A1037" s="41"/>
      <c r="G1037" s="38" t="n">
        <f aca="false">MONTH(A1037)</f>
        <v>12</v>
      </c>
      <c r="H1037" s="38" t="n">
        <f aca="false">YEAR(Tabela1[[#This Row],[FECHA]])</f>
        <v>1900</v>
      </c>
      <c r="I10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38" customFormat="false" ht="15" hidden="false" customHeight="false" outlineLevel="0" collapsed="false">
      <c r="A1038" s="41"/>
      <c r="G1038" s="38" t="n">
        <f aca="false">MONTH(A1038)</f>
        <v>12</v>
      </c>
      <c r="H1038" s="38" t="n">
        <f aca="false">YEAR(Tabela1[[#This Row],[FECHA]])</f>
        <v>1900</v>
      </c>
      <c r="I10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39" customFormat="false" ht="15" hidden="false" customHeight="false" outlineLevel="0" collapsed="false">
      <c r="A1039" s="41"/>
      <c r="G1039" s="38" t="n">
        <f aca="false">MONTH(A1039)</f>
        <v>12</v>
      </c>
      <c r="H1039" s="38" t="n">
        <f aca="false">YEAR(Tabela1[[#This Row],[FECHA]])</f>
        <v>1900</v>
      </c>
      <c r="I10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40" customFormat="false" ht="15" hidden="false" customHeight="false" outlineLevel="0" collapsed="false">
      <c r="A1040" s="41"/>
      <c r="G1040" s="38" t="n">
        <f aca="false">MONTH(A1040)</f>
        <v>12</v>
      </c>
      <c r="H1040" s="38" t="n">
        <f aca="false">YEAR(Tabela1[[#This Row],[FECHA]])</f>
        <v>1900</v>
      </c>
      <c r="I10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41" customFormat="false" ht="15" hidden="false" customHeight="false" outlineLevel="0" collapsed="false">
      <c r="A1041" s="41"/>
      <c r="G1041" s="38" t="n">
        <f aca="false">MONTH(A1041)</f>
        <v>12</v>
      </c>
      <c r="H1041" s="38" t="n">
        <f aca="false">YEAR(Tabela1[[#This Row],[FECHA]])</f>
        <v>1900</v>
      </c>
      <c r="I10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42" customFormat="false" ht="15" hidden="false" customHeight="false" outlineLevel="0" collapsed="false">
      <c r="A1042" s="41"/>
      <c r="G1042" s="38" t="n">
        <f aca="false">MONTH(A1042)</f>
        <v>12</v>
      </c>
      <c r="H1042" s="38" t="n">
        <f aca="false">YEAR(Tabela1[[#This Row],[FECHA]])</f>
        <v>1900</v>
      </c>
      <c r="I10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43" customFormat="false" ht="15" hidden="false" customHeight="false" outlineLevel="0" collapsed="false">
      <c r="A1043" s="41"/>
      <c r="G1043" s="38" t="n">
        <f aca="false">MONTH(A1043)</f>
        <v>12</v>
      </c>
      <c r="H1043" s="38" t="n">
        <f aca="false">YEAR(Tabela1[[#This Row],[FECHA]])</f>
        <v>1900</v>
      </c>
      <c r="I10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44" customFormat="false" ht="15" hidden="false" customHeight="false" outlineLevel="0" collapsed="false">
      <c r="A1044" s="41"/>
      <c r="G1044" s="38" t="n">
        <f aca="false">MONTH(A1044)</f>
        <v>12</v>
      </c>
      <c r="H1044" s="38" t="n">
        <f aca="false">YEAR(Tabela1[[#This Row],[FECHA]])</f>
        <v>1900</v>
      </c>
      <c r="I10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45" customFormat="false" ht="15" hidden="false" customHeight="false" outlineLevel="0" collapsed="false">
      <c r="A1045" s="41"/>
      <c r="G1045" s="38" t="n">
        <f aca="false">MONTH(A1045)</f>
        <v>12</v>
      </c>
      <c r="H1045" s="38" t="n">
        <f aca="false">YEAR(Tabela1[[#This Row],[FECHA]])</f>
        <v>1900</v>
      </c>
      <c r="I10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46" customFormat="false" ht="15" hidden="false" customHeight="false" outlineLevel="0" collapsed="false">
      <c r="A1046" s="41"/>
      <c r="G1046" s="38" t="n">
        <f aca="false">MONTH(A1046)</f>
        <v>12</v>
      </c>
      <c r="H1046" s="38" t="n">
        <f aca="false">YEAR(Tabela1[[#This Row],[FECHA]])</f>
        <v>1900</v>
      </c>
      <c r="I10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47" customFormat="false" ht="15" hidden="false" customHeight="false" outlineLevel="0" collapsed="false">
      <c r="A1047" s="41"/>
      <c r="G1047" s="38" t="n">
        <f aca="false">MONTH(A1047)</f>
        <v>12</v>
      </c>
      <c r="H1047" s="38" t="n">
        <f aca="false">YEAR(Tabela1[[#This Row],[FECHA]])</f>
        <v>1900</v>
      </c>
      <c r="I10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48" customFormat="false" ht="15" hidden="false" customHeight="false" outlineLevel="0" collapsed="false">
      <c r="A1048" s="41"/>
      <c r="G1048" s="38" t="n">
        <f aca="false">MONTH(A1048)</f>
        <v>12</v>
      </c>
      <c r="H1048" s="38" t="n">
        <f aca="false">YEAR(Tabela1[[#This Row],[FECHA]])</f>
        <v>1900</v>
      </c>
      <c r="I10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49" customFormat="false" ht="15" hidden="false" customHeight="false" outlineLevel="0" collapsed="false">
      <c r="A1049" s="41"/>
      <c r="G1049" s="38" t="n">
        <f aca="false">MONTH(A1049)</f>
        <v>12</v>
      </c>
      <c r="H1049" s="38" t="n">
        <f aca="false">YEAR(Tabela1[[#This Row],[FECHA]])</f>
        <v>1900</v>
      </c>
      <c r="I10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50" customFormat="false" ht="15" hidden="false" customHeight="false" outlineLevel="0" collapsed="false">
      <c r="A1050" s="41"/>
      <c r="G1050" s="38" t="n">
        <f aca="false">MONTH(A1050)</f>
        <v>12</v>
      </c>
      <c r="H1050" s="38" t="n">
        <f aca="false">YEAR(Tabela1[[#This Row],[FECHA]])</f>
        <v>1900</v>
      </c>
      <c r="I10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51" customFormat="false" ht="15" hidden="false" customHeight="false" outlineLevel="0" collapsed="false">
      <c r="A1051" s="41"/>
      <c r="G1051" s="38" t="n">
        <f aca="false">MONTH(A1051)</f>
        <v>12</v>
      </c>
      <c r="H1051" s="38" t="n">
        <f aca="false">YEAR(Tabela1[[#This Row],[FECHA]])</f>
        <v>1900</v>
      </c>
      <c r="I10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52" customFormat="false" ht="15" hidden="false" customHeight="false" outlineLevel="0" collapsed="false">
      <c r="A1052" s="41"/>
      <c r="G1052" s="38" t="n">
        <f aca="false">MONTH(A1052)</f>
        <v>12</v>
      </c>
      <c r="H1052" s="38" t="n">
        <f aca="false">YEAR(Tabela1[[#This Row],[FECHA]])</f>
        <v>1900</v>
      </c>
      <c r="I10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53" customFormat="false" ht="15" hidden="false" customHeight="false" outlineLevel="0" collapsed="false">
      <c r="A1053" s="41"/>
      <c r="G1053" s="38" t="n">
        <f aca="false">MONTH(A1053)</f>
        <v>12</v>
      </c>
      <c r="H1053" s="38" t="n">
        <f aca="false">YEAR(Tabela1[[#This Row],[FECHA]])</f>
        <v>1900</v>
      </c>
      <c r="I10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54" customFormat="false" ht="15" hidden="false" customHeight="false" outlineLevel="0" collapsed="false">
      <c r="A1054" s="41"/>
      <c r="G1054" s="38" t="n">
        <f aca="false">MONTH(A1054)</f>
        <v>12</v>
      </c>
      <c r="H1054" s="38" t="n">
        <f aca="false">YEAR(Tabela1[[#This Row],[FECHA]])</f>
        <v>1900</v>
      </c>
      <c r="I10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55" customFormat="false" ht="15" hidden="false" customHeight="false" outlineLevel="0" collapsed="false">
      <c r="A1055" s="41"/>
      <c r="G1055" s="38" t="n">
        <f aca="false">MONTH(A1055)</f>
        <v>12</v>
      </c>
      <c r="H1055" s="38" t="n">
        <f aca="false">YEAR(Tabela1[[#This Row],[FECHA]])</f>
        <v>1900</v>
      </c>
      <c r="I10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56" customFormat="false" ht="15" hidden="false" customHeight="false" outlineLevel="0" collapsed="false">
      <c r="A1056" s="41"/>
      <c r="G1056" s="38" t="n">
        <f aca="false">MONTH(A1056)</f>
        <v>12</v>
      </c>
      <c r="H1056" s="38" t="n">
        <f aca="false">YEAR(Tabela1[[#This Row],[FECHA]])</f>
        <v>1900</v>
      </c>
      <c r="I10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57" customFormat="false" ht="15" hidden="false" customHeight="false" outlineLevel="0" collapsed="false">
      <c r="A1057" s="41"/>
      <c r="G1057" s="38" t="n">
        <f aca="false">MONTH(A1057)</f>
        <v>12</v>
      </c>
      <c r="H1057" s="38" t="n">
        <f aca="false">YEAR(Tabela1[[#This Row],[FECHA]])</f>
        <v>1900</v>
      </c>
      <c r="I10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58" customFormat="false" ht="15" hidden="false" customHeight="false" outlineLevel="0" collapsed="false">
      <c r="A1058" s="41"/>
      <c r="G1058" s="38" t="n">
        <f aca="false">MONTH(A1058)</f>
        <v>12</v>
      </c>
      <c r="H1058" s="38" t="n">
        <f aca="false">YEAR(Tabela1[[#This Row],[FECHA]])</f>
        <v>1900</v>
      </c>
      <c r="I10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59" customFormat="false" ht="15" hidden="false" customHeight="false" outlineLevel="0" collapsed="false">
      <c r="A1059" s="41"/>
      <c r="G1059" s="38" t="n">
        <f aca="false">MONTH(A1059)</f>
        <v>12</v>
      </c>
      <c r="H1059" s="38" t="n">
        <f aca="false">YEAR(Tabela1[[#This Row],[FECHA]])</f>
        <v>1900</v>
      </c>
      <c r="I10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60" customFormat="false" ht="15" hidden="false" customHeight="false" outlineLevel="0" collapsed="false">
      <c r="A1060" s="41"/>
      <c r="G1060" s="38" t="n">
        <f aca="false">MONTH(A1060)</f>
        <v>12</v>
      </c>
      <c r="H1060" s="38" t="n">
        <f aca="false">YEAR(Tabela1[[#This Row],[FECHA]])</f>
        <v>1900</v>
      </c>
      <c r="I10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61" customFormat="false" ht="15" hidden="false" customHeight="false" outlineLevel="0" collapsed="false">
      <c r="A1061" s="41"/>
      <c r="G1061" s="38" t="n">
        <f aca="false">MONTH(A1061)</f>
        <v>12</v>
      </c>
      <c r="H1061" s="38" t="n">
        <f aca="false">YEAR(Tabela1[[#This Row],[FECHA]])</f>
        <v>1900</v>
      </c>
      <c r="I10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62" customFormat="false" ht="15" hidden="false" customHeight="false" outlineLevel="0" collapsed="false">
      <c r="A1062" s="41"/>
      <c r="G1062" s="38" t="n">
        <f aca="false">MONTH(A1062)</f>
        <v>12</v>
      </c>
      <c r="H1062" s="38" t="n">
        <f aca="false">YEAR(Tabela1[[#This Row],[FECHA]])</f>
        <v>1900</v>
      </c>
      <c r="I10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63" customFormat="false" ht="15" hidden="false" customHeight="false" outlineLevel="0" collapsed="false">
      <c r="A1063" s="41"/>
      <c r="G1063" s="38" t="n">
        <f aca="false">MONTH(A1063)</f>
        <v>12</v>
      </c>
      <c r="H1063" s="38" t="n">
        <f aca="false">YEAR(Tabela1[[#This Row],[FECHA]])</f>
        <v>1900</v>
      </c>
      <c r="I10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64" customFormat="false" ht="15" hidden="false" customHeight="false" outlineLevel="0" collapsed="false">
      <c r="A1064" s="41"/>
      <c r="G1064" s="38" t="n">
        <f aca="false">MONTH(A1064)</f>
        <v>12</v>
      </c>
      <c r="H1064" s="38" t="n">
        <f aca="false">YEAR(Tabela1[[#This Row],[FECHA]])</f>
        <v>1900</v>
      </c>
      <c r="I10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65" customFormat="false" ht="15" hidden="false" customHeight="false" outlineLevel="0" collapsed="false">
      <c r="A1065" s="41"/>
      <c r="G1065" s="38" t="n">
        <f aca="false">MONTH(A1065)</f>
        <v>12</v>
      </c>
      <c r="H1065" s="38" t="n">
        <f aca="false">YEAR(Tabela1[[#This Row],[FECHA]])</f>
        <v>1900</v>
      </c>
      <c r="I10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66" customFormat="false" ht="15" hidden="false" customHeight="false" outlineLevel="0" collapsed="false">
      <c r="A1066" s="41"/>
      <c r="G1066" s="38" t="n">
        <f aca="false">MONTH(A1066)</f>
        <v>12</v>
      </c>
      <c r="H1066" s="38" t="n">
        <f aca="false">YEAR(Tabela1[[#This Row],[FECHA]])</f>
        <v>1900</v>
      </c>
      <c r="I10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67" customFormat="false" ht="15" hidden="false" customHeight="false" outlineLevel="0" collapsed="false">
      <c r="A1067" s="41"/>
      <c r="G1067" s="38" t="n">
        <f aca="false">MONTH(A1067)</f>
        <v>12</v>
      </c>
      <c r="H1067" s="38" t="n">
        <f aca="false">YEAR(Tabela1[[#This Row],[FECHA]])</f>
        <v>1900</v>
      </c>
      <c r="I10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68" customFormat="false" ht="15" hidden="false" customHeight="false" outlineLevel="0" collapsed="false">
      <c r="A1068" s="41"/>
      <c r="G1068" s="38" t="n">
        <f aca="false">MONTH(A1068)</f>
        <v>12</v>
      </c>
      <c r="H1068" s="38" t="n">
        <f aca="false">YEAR(Tabela1[[#This Row],[FECHA]])</f>
        <v>1900</v>
      </c>
      <c r="I10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69" customFormat="false" ht="15" hidden="false" customHeight="false" outlineLevel="0" collapsed="false">
      <c r="A1069" s="41"/>
      <c r="G1069" s="38" t="n">
        <f aca="false">MONTH(A1069)</f>
        <v>12</v>
      </c>
      <c r="H1069" s="38" t="n">
        <f aca="false">YEAR(Tabela1[[#This Row],[FECHA]])</f>
        <v>1900</v>
      </c>
      <c r="I10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70" customFormat="false" ht="15" hidden="false" customHeight="false" outlineLevel="0" collapsed="false">
      <c r="A1070" s="41"/>
      <c r="G1070" s="38" t="n">
        <f aca="false">MONTH(A1070)</f>
        <v>12</v>
      </c>
      <c r="H1070" s="38" t="n">
        <f aca="false">YEAR(Tabela1[[#This Row],[FECHA]])</f>
        <v>1900</v>
      </c>
      <c r="I10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71" customFormat="false" ht="15" hidden="false" customHeight="false" outlineLevel="0" collapsed="false">
      <c r="A1071" s="41"/>
      <c r="G1071" s="38" t="n">
        <f aca="false">MONTH(A1071)</f>
        <v>12</v>
      </c>
      <c r="H1071" s="38" t="n">
        <f aca="false">YEAR(Tabela1[[#This Row],[FECHA]])</f>
        <v>1900</v>
      </c>
      <c r="I10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72" customFormat="false" ht="15" hidden="false" customHeight="false" outlineLevel="0" collapsed="false">
      <c r="A1072" s="41"/>
      <c r="G1072" s="38" t="n">
        <f aca="false">MONTH(A1072)</f>
        <v>12</v>
      </c>
      <c r="H1072" s="38" t="n">
        <f aca="false">YEAR(Tabela1[[#This Row],[FECHA]])</f>
        <v>1900</v>
      </c>
      <c r="I10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73" customFormat="false" ht="15" hidden="false" customHeight="false" outlineLevel="0" collapsed="false">
      <c r="A1073" s="41"/>
      <c r="G1073" s="38" t="n">
        <f aca="false">MONTH(A1073)</f>
        <v>12</v>
      </c>
      <c r="H1073" s="38" t="n">
        <f aca="false">YEAR(Tabela1[[#This Row],[FECHA]])</f>
        <v>1900</v>
      </c>
      <c r="I10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74" customFormat="false" ht="15" hidden="false" customHeight="false" outlineLevel="0" collapsed="false">
      <c r="A1074" s="41"/>
      <c r="G1074" s="38" t="n">
        <f aca="false">MONTH(A1074)</f>
        <v>12</v>
      </c>
      <c r="H1074" s="38" t="n">
        <f aca="false">YEAR(Tabela1[[#This Row],[FECHA]])</f>
        <v>1900</v>
      </c>
      <c r="I10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75" customFormat="false" ht="15" hidden="false" customHeight="false" outlineLevel="0" collapsed="false">
      <c r="A1075" s="41"/>
      <c r="G1075" s="38" t="n">
        <f aca="false">MONTH(A1075)</f>
        <v>12</v>
      </c>
      <c r="H1075" s="38" t="n">
        <f aca="false">YEAR(Tabela1[[#This Row],[FECHA]])</f>
        <v>1900</v>
      </c>
      <c r="I10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76" customFormat="false" ht="15" hidden="false" customHeight="false" outlineLevel="0" collapsed="false">
      <c r="A1076" s="41"/>
      <c r="G1076" s="38" t="n">
        <f aca="false">MONTH(A1076)</f>
        <v>12</v>
      </c>
      <c r="H1076" s="38" t="n">
        <f aca="false">YEAR(Tabela1[[#This Row],[FECHA]])</f>
        <v>1900</v>
      </c>
      <c r="I10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77" customFormat="false" ht="15" hidden="false" customHeight="false" outlineLevel="0" collapsed="false">
      <c r="A1077" s="41"/>
      <c r="G1077" s="38" t="n">
        <f aca="false">MONTH(A1077)</f>
        <v>12</v>
      </c>
      <c r="H1077" s="38" t="n">
        <f aca="false">YEAR(Tabela1[[#This Row],[FECHA]])</f>
        <v>1900</v>
      </c>
      <c r="I10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78" customFormat="false" ht="15" hidden="false" customHeight="false" outlineLevel="0" collapsed="false">
      <c r="A1078" s="41"/>
      <c r="G1078" s="38" t="n">
        <f aca="false">MONTH(A1078)</f>
        <v>12</v>
      </c>
      <c r="H1078" s="38" t="n">
        <f aca="false">YEAR(Tabela1[[#This Row],[FECHA]])</f>
        <v>1900</v>
      </c>
      <c r="I10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79" customFormat="false" ht="15" hidden="false" customHeight="false" outlineLevel="0" collapsed="false">
      <c r="A1079" s="41"/>
      <c r="G1079" s="38" t="n">
        <f aca="false">MONTH(A1079)</f>
        <v>12</v>
      </c>
      <c r="H1079" s="38" t="n">
        <f aca="false">YEAR(Tabela1[[#This Row],[FECHA]])</f>
        <v>1900</v>
      </c>
      <c r="I10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80" customFormat="false" ht="15" hidden="false" customHeight="false" outlineLevel="0" collapsed="false">
      <c r="A1080" s="41"/>
      <c r="G1080" s="38" t="n">
        <f aca="false">MONTH(A1080)</f>
        <v>12</v>
      </c>
      <c r="H1080" s="38" t="n">
        <f aca="false">YEAR(Tabela1[[#This Row],[FECHA]])</f>
        <v>1900</v>
      </c>
      <c r="I10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81" customFormat="false" ht="15" hidden="false" customHeight="false" outlineLevel="0" collapsed="false">
      <c r="A1081" s="41"/>
      <c r="G1081" s="38" t="n">
        <f aca="false">MONTH(A1081)</f>
        <v>12</v>
      </c>
      <c r="H1081" s="38" t="n">
        <f aca="false">YEAR(Tabela1[[#This Row],[FECHA]])</f>
        <v>1900</v>
      </c>
      <c r="I10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82" customFormat="false" ht="15" hidden="false" customHeight="false" outlineLevel="0" collapsed="false">
      <c r="A1082" s="41"/>
      <c r="G1082" s="38" t="n">
        <f aca="false">MONTH(A1082)</f>
        <v>12</v>
      </c>
      <c r="H1082" s="38" t="n">
        <f aca="false">YEAR(Tabela1[[#This Row],[FECHA]])</f>
        <v>1900</v>
      </c>
      <c r="I10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83" customFormat="false" ht="15" hidden="false" customHeight="false" outlineLevel="0" collapsed="false">
      <c r="A1083" s="41"/>
      <c r="G1083" s="38" t="n">
        <f aca="false">MONTH(A1083)</f>
        <v>12</v>
      </c>
      <c r="H1083" s="38" t="n">
        <f aca="false">YEAR(Tabela1[[#This Row],[FECHA]])</f>
        <v>1900</v>
      </c>
      <c r="I10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84" customFormat="false" ht="15" hidden="false" customHeight="false" outlineLevel="0" collapsed="false">
      <c r="A1084" s="41"/>
      <c r="G1084" s="38" t="n">
        <f aca="false">MONTH(A1084)</f>
        <v>12</v>
      </c>
      <c r="H1084" s="38" t="n">
        <f aca="false">YEAR(Tabela1[[#This Row],[FECHA]])</f>
        <v>1900</v>
      </c>
      <c r="I10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85" customFormat="false" ht="15" hidden="false" customHeight="false" outlineLevel="0" collapsed="false">
      <c r="A1085" s="41"/>
      <c r="G1085" s="38" t="n">
        <f aca="false">MONTH(A1085)</f>
        <v>12</v>
      </c>
      <c r="H1085" s="38" t="n">
        <f aca="false">YEAR(Tabela1[[#This Row],[FECHA]])</f>
        <v>1900</v>
      </c>
      <c r="I10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86" customFormat="false" ht="15" hidden="false" customHeight="false" outlineLevel="0" collapsed="false">
      <c r="A1086" s="41"/>
      <c r="G1086" s="38" t="n">
        <f aca="false">MONTH(A1086)</f>
        <v>12</v>
      </c>
      <c r="H1086" s="38" t="n">
        <f aca="false">YEAR(Tabela1[[#This Row],[FECHA]])</f>
        <v>1900</v>
      </c>
      <c r="I10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87" customFormat="false" ht="15" hidden="false" customHeight="false" outlineLevel="0" collapsed="false">
      <c r="A1087" s="41"/>
      <c r="G1087" s="38" t="n">
        <f aca="false">MONTH(A1087)</f>
        <v>12</v>
      </c>
      <c r="H1087" s="38" t="n">
        <f aca="false">YEAR(Tabela1[[#This Row],[FECHA]])</f>
        <v>1900</v>
      </c>
      <c r="I10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88" customFormat="false" ht="15" hidden="false" customHeight="false" outlineLevel="0" collapsed="false">
      <c r="A1088" s="41"/>
      <c r="G1088" s="38" t="n">
        <f aca="false">MONTH(A1088)</f>
        <v>12</v>
      </c>
      <c r="H1088" s="38" t="n">
        <f aca="false">YEAR(Tabela1[[#This Row],[FECHA]])</f>
        <v>1900</v>
      </c>
      <c r="I10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89" customFormat="false" ht="15" hidden="false" customHeight="false" outlineLevel="0" collapsed="false">
      <c r="A1089" s="41"/>
      <c r="G1089" s="38" t="n">
        <f aca="false">MONTH(A1089)</f>
        <v>12</v>
      </c>
      <c r="H1089" s="38" t="n">
        <f aca="false">YEAR(Tabela1[[#This Row],[FECHA]])</f>
        <v>1900</v>
      </c>
      <c r="I10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90" customFormat="false" ht="15" hidden="false" customHeight="false" outlineLevel="0" collapsed="false">
      <c r="A1090" s="41"/>
      <c r="G1090" s="38" t="n">
        <f aca="false">MONTH(A1090)</f>
        <v>12</v>
      </c>
      <c r="H1090" s="38" t="n">
        <f aca="false">YEAR(Tabela1[[#This Row],[FECHA]])</f>
        <v>1900</v>
      </c>
      <c r="I10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91" customFormat="false" ht="15" hidden="false" customHeight="false" outlineLevel="0" collapsed="false">
      <c r="A1091" s="41"/>
      <c r="G1091" s="38" t="n">
        <f aca="false">MONTH(A1091)</f>
        <v>12</v>
      </c>
      <c r="H1091" s="38" t="n">
        <f aca="false">YEAR(Tabela1[[#This Row],[FECHA]])</f>
        <v>1900</v>
      </c>
      <c r="I10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92" customFormat="false" ht="15" hidden="false" customHeight="false" outlineLevel="0" collapsed="false">
      <c r="A1092" s="41"/>
      <c r="G1092" s="38" t="n">
        <f aca="false">MONTH(A1092)</f>
        <v>12</v>
      </c>
      <c r="H1092" s="38" t="n">
        <f aca="false">YEAR(Tabela1[[#This Row],[FECHA]])</f>
        <v>1900</v>
      </c>
      <c r="I10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93" customFormat="false" ht="15" hidden="false" customHeight="false" outlineLevel="0" collapsed="false">
      <c r="A1093" s="41"/>
      <c r="G1093" s="38" t="n">
        <f aca="false">MONTH(A1093)</f>
        <v>12</v>
      </c>
      <c r="H1093" s="38" t="n">
        <f aca="false">YEAR(Tabela1[[#This Row],[FECHA]])</f>
        <v>1900</v>
      </c>
      <c r="I10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94" customFormat="false" ht="15" hidden="false" customHeight="false" outlineLevel="0" collapsed="false">
      <c r="A1094" s="41"/>
      <c r="G1094" s="38" t="n">
        <f aca="false">MONTH(A1094)</f>
        <v>12</v>
      </c>
      <c r="H1094" s="38" t="n">
        <f aca="false">YEAR(Tabela1[[#This Row],[FECHA]])</f>
        <v>1900</v>
      </c>
      <c r="I10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95" customFormat="false" ht="15" hidden="false" customHeight="false" outlineLevel="0" collapsed="false">
      <c r="A1095" s="41"/>
      <c r="G1095" s="38" t="n">
        <f aca="false">MONTH(A1095)</f>
        <v>12</v>
      </c>
      <c r="H1095" s="38" t="n">
        <f aca="false">YEAR(Tabela1[[#This Row],[FECHA]])</f>
        <v>1900</v>
      </c>
      <c r="I10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96" customFormat="false" ht="15" hidden="false" customHeight="false" outlineLevel="0" collapsed="false">
      <c r="A1096" s="41"/>
      <c r="G1096" s="38" t="n">
        <f aca="false">MONTH(A1096)</f>
        <v>12</v>
      </c>
      <c r="H1096" s="38" t="n">
        <f aca="false">YEAR(Tabela1[[#This Row],[FECHA]])</f>
        <v>1900</v>
      </c>
      <c r="I10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97" customFormat="false" ht="15" hidden="false" customHeight="false" outlineLevel="0" collapsed="false">
      <c r="A1097" s="41"/>
      <c r="G1097" s="38" t="n">
        <f aca="false">MONTH(A1097)</f>
        <v>12</v>
      </c>
      <c r="H1097" s="38" t="n">
        <f aca="false">YEAR(Tabela1[[#This Row],[FECHA]])</f>
        <v>1900</v>
      </c>
      <c r="I10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98" customFormat="false" ht="15" hidden="false" customHeight="false" outlineLevel="0" collapsed="false">
      <c r="A1098" s="41"/>
      <c r="G1098" s="38" t="n">
        <f aca="false">MONTH(A1098)</f>
        <v>12</v>
      </c>
      <c r="H1098" s="38" t="n">
        <f aca="false">YEAR(Tabela1[[#This Row],[FECHA]])</f>
        <v>1900</v>
      </c>
      <c r="I10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099" customFormat="false" ht="15" hidden="false" customHeight="false" outlineLevel="0" collapsed="false">
      <c r="A1099" s="41"/>
      <c r="G1099" s="38" t="n">
        <f aca="false">MONTH(A1099)</f>
        <v>12</v>
      </c>
      <c r="H1099" s="38" t="n">
        <f aca="false">YEAR(Tabela1[[#This Row],[FECHA]])</f>
        <v>1900</v>
      </c>
      <c r="I10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00" customFormat="false" ht="15" hidden="false" customHeight="false" outlineLevel="0" collapsed="false">
      <c r="A1100" s="41"/>
      <c r="G1100" s="38" t="n">
        <f aca="false">MONTH(A1100)</f>
        <v>12</v>
      </c>
      <c r="H1100" s="38" t="n">
        <f aca="false">YEAR(Tabela1[[#This Row],[FECHA]])</f>
        <v>1900</v>
      </c>
      <c r="I11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01" customFormat="false" ht="15" hidden="false" customHeight="false" outlineLevel="0" collapsed="false">
      <c r="A1101" s="41"/>
      <c r="G1101" s="38" t="n">
        <f aca="false">MONTH(A1101)</f>
        <v>12</v>
      </c>
      <c r="H1101" s="38" t="n">
        <f aca="false">YEAR(Tabela1[[#This Row],[FECHA]])</f>
        <v>1900</v>
      </c>
      <c r="I11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02" customFormat="false" ht="15" hidden="false" customHeight="false" outlineLevel="0" collapsed="false">
      <c r="A1102" s="41"/>
      <c r="G1102" s="38" t="n">
        <f aca="false">MONTH(A1102)</f>
        <v>12</v>
      </c>
      <c r="H1102" s="38" t="n">
        <f aca="false">YEAR(Tabela1[[#This Row],[FECHA]])</f>
        <v>1900</v>
      </c>
      <c r="I11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03" customFormat="false" ht="15" hidden="false" customHeight="false" outlineLevel="0" collapsed="false">
      <c r="A1103" s="41"/>
      <c r="G1103" s="38" t="n">
        <f aca="false">MONTH(A1103)</f>
        <v>12</v>
      </c>
      <c r="H1103" s="38" t="n">
        <f aca="false">YEAR(Tabela1[[#This Row],[FECHA]])</f>
        <v>1900</v>
      </c>
      <c r="I11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04" customFormat="false" ht="15" hidden="false" customHeight="false" outlineLevel="0" collapsed="false">
      <c r="A1104" s="41"/>
      <c r="G1104" s="38" t="n">
        <f aca="false">MONTH(A1104)</f>
        <v>12</v>
      </c>
      <c r="H1104" s="38" t="n">
        <f aca="false">YEAR(Tabela1[[#This Row],[FECHA]])</f>
        <v>1900</v>
      </c>
      <c r="I11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05" customFormat="false" ht="15" hidden="false" customHeight="false" outlineLevel="0" collapsed="false">
      <c r="A1105" s="41"/>
      <c r="G1105" s="38" t="n">
        <f aca="false">MONTH(A1105)</f>
        <v>12</v>
      </c>
      <c r="H1105" s="38" t="n">
        <f aca="false">YEAR(Tabela1[[#This Row],[FECHA]])</f>
        <v>1900</v>
      </c>
      <c r="I11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06" customFormat="false" ht="15" hidden="false" customHeight="false" outlineLevel="0" collapsed="false">
      <c r="A1106" s="41"/>
      <c r="G1106" s="38" t="n">
        <f aca="false">MONTH(A1106)</f>
        <v>12</v>
      </c>
      <c r="H1106" s="38" t="n">
        <f aca="false">YEAR(Tabela1[[#This Row],[FECHA]])</f>
        <v>1900</v>
      </c>
      <c r="I11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07" customFormat="false" ht="15" hidden="false" customHeight="false" outlineLevel="0" collapsed="false">
      <c r="A1107" s="41"/>
      <c r="G1107" s="38" t="n">
        <f aca="false">MONTH(A1107)</f>
        <v>12</v>
      </c>
      <c r="H1107" s="38" t="n">
        <f aca="false">YEAR(Tabela1[[#This Row],[FECHA]])</f>
        <v>1900</v>
      </c>
      <c r="I11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08" customFormat="false" ht="15" hidden="false" customHeight="false" outlineLevel="0" collapsed="false">
      <c r="A1108" s="41"/>
      <c r="G1108" s="38" t="n">
        <f aca="false">MONTH(A1108)</f>
        <v>12</v>
      </c>
      <c r="H1108" s="38" t="n">
        <f aca="false">YEAR(Tabela1[[#This Row],[FECHA]])</f>
        <v>1900</v>
      </c>
      <c r="I11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09" customFormat="false" ht="15" hidden="false" customHeight="false" outlineLevel="0" collapsed="false">
      <c r="A1109" s="41"/>
      <c r="G1109" s="38" t="n">
        <f aca="false">MONTH(A1109)</f>
        <v>12</v>
      </c>
      <c r="H1109" s="38" t="n">
        <f aca="false">YEAR(Tabela1[[#This Row],[FECHA]])</f>
        <v>1900</v>
      </c>
      <c r="I11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10" customFormat="false" ht="15" hidden="false" customHeight="false" outlineLevel="0" collapsed="false">
      <c r="A1110" s="41"/>
      <c r="G1110" s="38" t="n">
        <f aca="false">MONTH(A1110)</f>
        <v>12</v>
      </c>
      <c r="H1110" s="38" t="n">
        <f aca="false">YEAR(Tabela1[[#This Row],[FECHA]])</f>
        <v>1900</v>
      </c>
      <c r="I11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11" customFormat="false" ht="15" hidden="false" customHeight="false" outlineLevel="0" collapsed="false">
      <c r="A1111" s="41"/>
      <c r="G1111" s="38" t="n">
        <f aca="false">MONTH(A1111)</f>
        <v>12</v>
      </c>
      <c r="H1111" s="38" t="n">
        <f aca="false">YEAR(Tabela1[[#This Row],[FECHA]])</f>
        <v>1900</v>
      </c>
      <c r="I11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12" customFormat="false" ht="15" hidden="false" customHeight="false" outlineLevel="0" collapsed="false">
      <c r="A1112" s="41"/>
      <c r="G1112" s="38" t="n">
        <f aca="false">MONTH(A1112)</f>
        <v>12</v>
      </c>
      <c r="H1112" s="38" t="n">
        <f aca="false">YEAR(Tabela1[[#This Row],[FECHA]])</f>
        <v>1900</v>
      </c>
      <c r="I11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13" customFormat="false" ht="15" hidden="false" customHeight="false" outlineLevel="0" collapsed="false">
      <c r="A1113" s="41"/>
      <c r="G1113" s="38" t="n">
        <f aca="false">MONTH(A1113)</f>
        <v>12</v>
      </c>
      <c r="H1113" s="38" t="n">
        <f aca="false">YEAR(Tabela1[[#This Row],[FECHA]])</f>
        <v>1900</v>
      </c>
      <c r="I11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14" customFormat="false" ht="15" hidden="false" customHeight="false" outlineLevel="0" collapsed="false">
      <c r="A1114" s="41"/>
      <c r="G1114" s="38" t="n">
        <f aca="false">MONTH(A1114)</f>
        <v>12</v>
      </c>
      <c r="H1114" s="38" t="n">
        <f aca="false">YEAR(Tabela1[[#This Row],[FECHA]])</f>
        <v>1900</v>
      </c>
      <c r="I11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15" customFormat="false" ht="15" hidden="false" customHeight="false" outlineLevel="0" collapsed="false">
      <c r="A1115" s="41"/>
      <c r="G1115" s="38" t="n">
        <f aca="false">MONTH(A1115)</f>
        <v>12</v>
      </c>
      <c r="H1115" s="38" t="n">
        <f aca="false">YEAR(Tabela1[[#This Row],[FECHA]])</f>
        <v>1900</v>
      </c>
      <c r="I11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16" customFormat="false" ht="15" hidden="false" customHeight="false" outlineLevel="0" collapsed="false">
      <c r="A1116" s="41"/>
      <c r="G1116" s="38" t="n">
        <f aca="false">MONTH(A1116)</f>
        <v>12</v>
      </c>
      <c r="H1116" s="38" t="n">
        <f aca="false">YEAR(Tabela1[[#This Row],[FECHA]])</f>
        <v>1900</v>
      </c>
      <c r="I11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17" customFormat="false" ht="15" hidden="false" customHeight="false" outlineLevel="0" collapsed="false">
      <c r="A1117" s="41"/>
      <c r="G1117" s="38" t="n">
        <f aca="false">MONTH(A1117)</f>
        <v>12</v>
      </c>
      <c r="H1117" s="38" t="n">
        <f aca="false">YEAR(Tabela1[[#This Row],[FECHA]])</f>
        <v>1900</v>
      </c>
      <c r="I11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18" customFormat="false" ht="15" hidden="false" customHeight="false" outlineLevel="0" collapsed="false">
      <c r="A1118" s="41"/>
      <c r="G1118" s="38" t="n">
        <f aca="false">MONTH(A1118)</f>
        <v>12</v>
      </c>
      <c r="H1118" s="38" t="n">
        <f aca="false">YEAR(Tabela1[[#This Row],[FECHA]])</f>
        <v>1900</v>
      </c>
      <c r="I11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19" customFormat="false" ht="15" hidden="false" customHeight="false" outlineLevel="0" collapsed="false">
      <c r="A1119" s="41"/>
      <c r="G1119" s="38" t="n">
        <f aca="false">MONTH(A1119)</f>
        <v>12</v>
      </c>
      <c r="H1119" s="38" t="n">
        <f aca="false">YEAR(Tabela1[[#This Row],[FECHA]])</f>
        <v>1900</v>
      </c>
      <c r="I11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20" customFormat="false" ht="15" hidden="false" customHeight="false" outlineLevel="0" collapsed="false">
      <c r="A1120" s="41"/>
      <c r="G1120" s="38" t="n">
        <f aca="false">MONTH(A1120)</f>
        <v>12</v>
      </c>
      <c r="H1120" s="38" t="n">
        <f aca="false">YEAR(Tabela1[[#This Row],[FECHA]])</f>
        <v>1900</v>
      </c>
      <c r="I11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21" customFormat="false" ht="15" hidden="false" customHeight="false" outlineLevel="0" collapsed="false">
      <c r="A1121" s="41"/>
      <c r="G1121" s="38" t="n">
        <f aca="false">MONTH(A1121)</f>
        <v>12</v>
      </c>
      <c r="H1121" s="38" t="n">
        <f aca="false">YEAR(Tabela1[[#This Row],[FECHA]])</f>
        <v>1900</v>
      </c>
      <c r="I11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22" customFormat="false" ht="15" hidden="false" customHeight="false" outlineLevel="0" collapsed="false">
      <c r="A1122" s="41"/>
      <c r="G1122" s="38" t="n">
        <f aca="false">MONTH(A1122)</f>
        <v>12</v>
      </c>
      <c r="H1122" s="38" t="n">
        <f aca="false">YEAR(Tabela1[[#This Row],[FECHA]])</f>
        <v>1900</v>
      </c>
      <c r="I11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23" customFormat="false" ht="15" hidden="false" customHeight="false" outlineLevel="0" collapsed="false">
      <c r="A1123" s="41"/>
      <c r="G1123" s="38" t="n">
        <f aca="false">MONTH(A1123)</f>
        <v>12</v>
      </c>
      <c r="H1123" s="38" t="n">
        <f aca="false">YEAR(Tabela1[[#This Row],[FECHA]])</f>
        <v>1900</v>
      </c>
      <c r="I11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24" customFormat="false" ht="15" hidden="false" customHeight="false" outlineLevel="0" collapsed="false">
      <c r="A1124" s="41"/>
      <c r="G1124" s="38" t="n">
        <f aca="false">MONTH(A1124)</f>
        <v>12</v>
      </c>
      <c r="H1124" s="38" t="n">
        <f aca="false">YEAR(Tabela1[[#This Row],[FECHA]])</f>
        <v>1900</v>
      </c>
      <c r="I11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25" customFormat="false" ht="15" hidden="false" customHeight="false" outlineLevel="0" collapsed="false">
      <c r="A1125" s="41"/>
      <c r="G1125" s="38" t="n">
        <f aca="false">MONTH(A1125)</f>
        <v>12</v>
      </c>
      <c r="H1125" s="38" t="n">
        <f aca="false">YEAR(Tabela1[[#This Row],[FECHA]])</f>
        <v>1900</v>
      </c>
      <c r="I11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26" customFormat="false" ht="15" hidden="false" customHeight="false" outlineLevel="0" collapsed="false">
      <c r="A1126" s="41"/>
      <c r="G1126" s="38" t="n">
        <f aca="false">MONTH(A1126)</f>
        <v>12</v>
      </c>
      <c r="H1126" s="38" t="n">
        <f aca="false">YEAR(Tabela1[[#This Row],[FECHA]])</f>
        <v>1900</v>
      </c>
      <c r="I11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27" customFormat="false" ht="15" hidden="false" customHeight="false" outlineLevel="0" collapsed="false">
      <c r="A1127" s="41"/>
      <c r="G1127" s="38" t="n">
        <f aca="false">MONTH(A1127)</f>
        <v>12</v>
      </c>
      <c r="H1127" s="38" t="n">
        <f aca="false">YEAR(Tabela1[[#This Row],[FECHA]])</f>
        <v>1900</v>
      </c>
      <c r="I11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28" customFormat="false" ht="15" hidden="false" customHeight="false" outlineLevel="0" collapsed="false">
      <c r="A1128" s="41"/>
      <c r="G1128" s="38" t="n">
        <f aca="false">MONTH(A1128)</f>
        <v>12</v>
      </c>
      <c r="H1128" s="38" t="n">
        <f aca="false">YEAR(Tabela1[[#This Row],[FECHA]])</f>
        <v>1900</v>
      </c>
      <c r="I11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29" customFormat="false" ht="15" hidden="false" customHeight="false" outlineLevel="0" collapsed="false">
      <c r="A1129" s="41"/>
      <c r="G1129" s="38" t="n">
        <f aca="false">MONTH(A1129)</f>
        <v>12</v>
      </c>
      <c r="H1129" s="38" t="n">
        <f aca="false">YEAR(Tabela1[[#This Row],[FECHA]])</f>
        <v>1900</v>
      </c>
      <c r="I11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30" customFormat="false" ht="15" hidden="false" customHeight="false" outlineLevel="0" collapsed="false">
      <c r="A1130" s="41"/>
      <c r="G1130" s="38" t="n">
        <f aca="false">MONTH(A1130)</f>
        <v>12</v>
      </c>
      <c r="H1130" s="38" t="n">
        <f aca="false">YEAR(Tabela1[[#This Row],[FECHA]])</f>
        <v>1900</v>
      </c>
      <c r="I11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31" customFormat="false" ht="15" hidden="false" customHeight="false" outlineLevel="0" collapsed="false">
      <c r="A1131" s="41"/>
      <c r="G1131" s="38" t="n">
        <f aca="false">MONTH(A1131)</f>
        <v>12</v>
      </c>
      <c r="H1131" s="38" t="n">
        <f aca="false">YEAR(Tabela1[[#This Row],[FECHA]])</f>
        <v>1900</v>
      </c>
      <c r="I11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32" customFormat="false" ht="15" hidden="false" customHeight="false" outlineLevel="0" collapsed="false">
      <c r="A1132" s="41"/>
      <c r="G1132" s="38" t="n">
        <f aca="false">MONTH(A1132)</f>
        <v>12</v>
      </c>
      <c r="H1132" s="38" t="n">
        <f aca="false">YEAR(Tabela1[[#This Row],[FECHA]])</f>
        <v>1900</v>
      </c>
      <c r="I11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33" customFormat="false" ht="15" hidden="false" customHeight="false" outlineLevel="0" collapsed="false">
      <c r="A1133" s="41"/>
      <c r="G1133" s="38" t="n">
        <f aca="false">MONTH(A1133)</f>
        <v>12</v>
      </c>
      <c r="H1133" s="38" t="n">
        <f aca="false">YEAR(Tabela1[[#This Row],[FECHA]])</f>
        <v>1900</v>
      </c>
      <c r="I11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34" customFormat="false" ht="15" hidden="false" customHeight="false" outlineLevel="0" collapsed="false">
      <c r="A1134" s="41"/>
      <c r="G1134" s="38" t="n">
        <f aca="false">MONTH(A1134)</f>
        <v>12</v>
      </c>
      <c r="H1134" s="38" t="n">
        <f aca="false">YEAR(Tabela1[[#This Row],[FECHA]])</f>
        <v>1900</v>
      </c>
      <c r="I11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35" customFormat="false" ht="15" hidden="false" customHeight="false" outlineLevel="0" collapsed="false">
      <c r="A1135" s="41"/>
      <c r="G1135" s="38" t="n">
        <f aca="false">MONTH(A1135)</f>
        <v>12</v>
      </c>
      <c r="H1135" s="38" t="n">
        <f aca="false">YEAR(Tabela1[[#This Row],[FECHA]])</f>
        <v>1900</v>
      </c>
      <c r="I11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36" customFormat="false" ht="15" hidden="false" customHeight="false" outlineLevel="0" collapsed="false">
      <c r="A1136" s="41"/>
      <c r="G1136" s="38" t="n">
        <f aca="false">MONTH(A1136)</f>
        <v>12</v>
      </c>
      <c r="H1136" s="38" t="n">
        <f aca="false">YEAR(Tabela1[[#This Row],[FECHA]])</f>
        <v>1900</v>
      </c>
      <c r="I11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37" customFormat="false" ht="15" hidden="false" customHeight="false" outlineLevel="0" collapsed="false">
      <c r="A1137" s="41"/>
      <c r="G1137" s="38" t="n">
        <f aca="false">MONTH(A1137)</f>
        <v>12</v>
      </c>
      <c r="H1137" s="38" t="n">
        <f aca="false">YEAR(Tabela1[[#This Row],[FECHA]])</f>
        <v>1900</v>
      </c>
      <c r="I11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38" customFormat="false" ht="15" hidden="false" customHeight="false" outlineLevel="0" collapsed="false">
      <c r="A1138" s="41"/>
      <c r="G1138" s="38" t="n">
        <f aca="false">MONTH(A1138)</f>
        <v>12</v>
      </c>
      <c r="H1138" s="38" t="n">
        <f aca="false">YEAR(Tabela1[[#This Row],[FECHA]])</f>
        <v>1900</v>
      </c>
      <c r="I11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39" customFormat="false" ht="15" hidden="false" customHeight="false" outlineLevel="0" collapsed="false">
      <c r="A1139" s="41"/>
      <c r="G1139" s="38" t="n">
        <f aca="false">MONTH(A1139)</f>
        <v>12</v>
      </c>
      <c r="H1139" s="38" t="n">
        <f aca="false">YEAR(Tabela1[[#This Row],[FECHA]])</f>
        <v>1900</v>
      </c>
      <c r="I11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40" customFormat="false" ht="15" hidden="false" customHeight="false" outlineLevel="0" collapsed="false">
      <c r="A1140" s="41"/>
      <c r="G1140" s="38" t="n">
        <f aca="false">MONTH(A1140)</f>
        <v>12</v>
      </c>
      <c r="H1140" s="38" t="n">
        <f aca="false">YEAR(Tabela1[[#This Row],[FECHA]])</f>
        <v>1900</v>
      </c>
      <c r="I11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41" customFormat="false" ht="15" hidden="false" customHeight="false" outlineLevel="0" collapsed="false">
      <c r="A1141" s="41"/>
      <c r="G1141" s="38" t="n">
        <f aca="false">MONTH(A1141)</f>
        <v>12</v>
      </c>
      <c r="H1141" s="38" t="n">
        <f aca="false">YEAR(Tabela1[[#This Row],[FECHA]])</f>
        <v>1900</v>
      </c>
      <c r="I11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42" customFormat="false" ht="15" hidden="false" customHeight="false" outlineLevel="0" collapsed="false">
      <c r="A1142" s="41"/>
      <c r="G1142" s="38" t="n">
        <f aca="false">MONTH(A1142)</f>
        <v>12</v>
      </c>
      <c r="H1142" s="38" t="n">
        <f aca="false">YEAR(Tabela1[[#This Row],[FECHA]])</f>
        <v>1900</v>
      </c>
      <c r="I11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43" customFormat="false" ht="15" hidden="false" customHeight="false" outlineLevel="0" collapsed="false">
      <c r="A1143" s="41"/>
      <c r="G1143" s="38" t="n">
        <f aca="false">MONTH(A1143)</f>
        <v>12</v>
      </c>
      <c r="H1143" s="38" t="n">
        <f aca="false">YEAR(Tabela1[[#This Row],[FECHA]])</f>
        <v>1900</v>
      </c>
      <c r="I11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44" customFormat="false" ht="15" hidden="false" customHeight="false" outlineLevel="0" collapsed="false">
      <c r="A1144" s="41"/>
      <c r="G1144" s="38" t="n">
        <f aca="false">MONTH(A1144)</f>
        <v>12</v>
      </c>
      <c r="H1144" s="38" t="n">
        <f aca="false">YEAR(Tabela1[[#This Row],[FECHA]])</f>
        <v>1900</v>
      </c>
      <c r="I11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45" customFormat="false" ht="15" hidden="false" customHeight="false" outlineLevel="0" collapsed="false">
      <c r="A1145" s="41"/>
      <c r="G1145" s="38" t="n">
        <f aca="false">MONTH(A1145)</f>
        <v>12</v>
      </c>
      <c r="H1145" s="38" t="n">
        <f aca="false">YEAR(Tabela1[[#This Row],[FECHA]])</f>
        <v>1900</v>
      </c>
      <c r="I11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46" customFormat="false" ht="15" hidden="false" customHeight="false" outlineLevel="0" collapsed="false">
      <c r="A1146" s="41"/>
      <c r="G1146" s="38" t="n">
        <f aca="false">MONTH(A1146)</f>
        <v>12</v>
      </c>
      <c r="H1146" s="38" t="n">
        <f aca="false">YEAR(Tabela1[[#This Row],[FECHA]])</f>
        <v>1900</v>
      </c>
      <c r="I11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47" customFormat="false" ht="15" hidden="false" customHeight="false" outlineLevel="0" collapsed="false">
      <c r="A1147" s="41"/>
      <c r="G1147" s="38" t="n">
        <f aca="false">MONTH(A1147)</f>
        <v>12</v>
      </c>
      <c r="H1147" s="38" t="n">
        <f aca="false">YEAR(Tabela1[[#This Row],[FECHA]])</f>
        <v>1900</v>
      </c>
      <c r="I11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48" customFormat="false" ht="15" hidden="false" customHeight="false" outlineLevel="0" collapsed="false">
      <c r="A1148" s="41"/>
      <c r="G1148" s="38" t="n">
        <f aca="false">MONTH(A1148)</f>
        <v>12</v>
      </c>
      <c r="H1148" s="38" t="n">
        <f aca="false">YEAR(Tabela1[[#This Row],[FECHA]])</f>
        <v>1900</v>
      </c>
      <c r="I11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49" customFormat="false" ht="15" hidden="false" customHeight="false" outlineLevel="0" collapsed="false">
      <c r="A1149" s="41"/>
      <c r="G1149" s="38" t="n">
        <f aca="false">MONTH(A1149)</f>
        <v>12</v>
      </c>
      <c r="H1149" s="38" t="n">
        <f aca="false">YEAR(Tabela1[[#This Row],[FECHA]])</f>
        <v>1900</v>
      </c>
      <c r="I11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50" customFormat="false" ht="15" hidden="false" customHeight="false" outlineLevel="0" collapsed="false">
      <c r="A1150" s="41"/>
      <c r="G1150" s="38" t="n">
        <f aca="false">MONTH(A1150)</f>
        <v>12</v>
      </c>
      <c r="H1150" s="38" t="n">
        <f aca="false">YEAR(Tabela1[[#This Row],[FECHA]])</f>
        <v>1900</v>
      </c>
      <c r="I11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51" customFormat="false" ht="15" hidden="false" customHeight="false" outlineLevel="0" collapsed="false">
      <c r="A1151" s="41"/>
      <c r="G1151" s="38" t="n">
        <f aca="false">MONTH(A1151)</f>
        <v>12</v>
      </c>
      <c r="H1151" s="38" t="n">
        <f aca="false">YEAR(Tabela1[[#This Row],[FECHA]])</f>
        <v>1900</v>
      </c>
      <c r="I11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52" customFormat="false" ht="15" hidden="false" customHeight="false" outlineLevel="0" collapsed="false">
      <c r="A1152" s="41"/>
      <c r="G1152" s="38" t="n">
        <f aca="false">MONTH(A1152)</f>
        <v>12</v>
      </c>
      <c r="H1152" s="38" t="n">
        <f aca="false">YEAR(Tabela1[[#This Row],[FECHA]])</f>
        <v>1900</v>
      </c>
      <c r="I11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53" customFormat="false" ht="15" hidden="false" customHeight="false" outlineLevel="0" collapsed="false">
      <c r="A1153" s="41"/>
      <c r="G1153" s="38" t="n">
        <f aca="false">MONTH(A1153)</f>
        <v>12</v>
      </c>
      <c r="H1153" s="38" t="n">
        <f aca="false">YEAR(Tabela1[[#This Row],[FECHA]])</f>
        <v>1900</v>
      </c>
      <c r="I11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54" customFormat="false" ht="15" hidden="false" customHeight="false" outlineLevel="0" collapsed="false">
      <c r="A1154" s="41"/>
      <c r="G1154" s="38" t="n">
        <f aca="false">MONTH(A1154)</f>
        <v>12</v>
      </c>
      <c r="H1154" s="38" t="n">
        <f aca="false">YEAR(Tabela1[[#This Row],[FECHA]])</f>
        <v>1900</v>
      </c>
      <c r="I11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55" customFormat="false" ht="15" hidden="false" customHeight="false" outlineLevel="0" collapsed="false">
      <c r="A1155" s="41"/>
      <c r="G1155" s="38" t="n">
        <f aca="false">MONTH(A1155)</f>
        <v>12</v>
      </c>
      <c r="H1155" s="38" t="n">
        <f aca="false">YEAR(Tabela1[[#This Row],[FECHA]])</f>
        <v>1900</v>
      </c>
      <c r="I11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56" customFormat="false" ht="15" hidden="false" customHeight="false" outlineLevel="0" collapsed="false">
      <c r="A1156" s="41"/>
      <c r="G1156" s="38" t="n">
        <f aca="false">MONTH(A1156)</f>
        <v>12</v>
      </c>
      <c r="H1156" s="38" t="n">
        <f aca="false">YEAR(Tabela1[[#This Row],[FECHA]])</f>
        <v>1900</v>
      </c>
      <c r="I11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57" customFormat="false" ht="15" hidden="false" customHeight="false" outlineLevel="0" collapsed="false">
      <c r="A1157" s="41"/>
      <c r="G1157" s="38" t="n">
        <f aca="false">MONTH(A1157)</f>
        <v>12</v>
      </c>
      <c r="H1157" s="38" t="n">
        <f aca="false">YEAR(Tabela1[[#This Row],[FECHA]])</f>
        <v>1900</v>
      </c>
      <c r="I11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58" customFormat="false" ht="15" hidden="false" customHeight="false" outlineLevel="0" collapsed="false">
      <c r="A1158" s="41"/>
      <c r="G1158" s="38" t="n">
        <f aca="false">MONTH(A1158)</f>
        <v>12</v>
      </c>
      <c r="H1158" s="38" t="n">
        <f aca="false">YEAR(Tabela1[[#This Row],[FECHA]])</f>
        <v>1900</v>
      </c>
      <c r="I11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59" customFormat="false" ht="15" hidden="false" customHeight="false" outlineLevel="0" collapsed="false">
      <c r="A1159" s="41"/>
      <c r="G1159" s="38" t="n">
        <f aca="false">MONTH(A1159)</f>
        <v>12</v>
      </c>
      <c r="H1159" s="38" t="n">
        <f aca="false">YEAR(Tabela1[[#This Row],[FECHA]])</f>
        <v>1900</v>
      </c>
      <c r="I11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60" customFormat="false" ht="15" hidden="false" customHeight="false" outlineLevel="0" collapsed="false">
      <c r="A1160" s="41"/>
      <c r="G1160" s="38" t="n">
        <f aca="false">MONTH(A1160)</f>
        <v>12</v>
      </c>
      <c r="H1160" s="38" t="n">
        <f aca="false">YEAR(Tabela1[[#This Row],[FECHA]])</f>
        <v>1900</v>
      </c>
      <c r="I11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61" customFormat="false" ht="15" hidden="false" customHeight="false" outlineLevel="0" collapsed="false">
      <c r="A1161" s="41"/>
      <c r="G1161" s="38" t="n">
        <f aca="false">MONTH(A1161)</f>
        <v>12</v>
      </c>
      <c r="H1161" s="38" t="n">
        <f aca="false">YEAR(Tabela1[[#This Row],[FECHA]])</f>
        <v>1900</v>
      </c>
      <c r="I11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62" customFormat="false" ht="15" hidden="false" customHeight="false" outlineLevel="0" collapsed="false">
      <c r="A1162" s="41"/>
      <c r="G1162" s="38" t="n">
        <f aca="false">MONTH(A1162)</f>
        <v>12</v>
      </c>
      <c r="H1162" s="38" t="n">
        <f aca="false">YEAR(Tabela1[[#This Row],[FECHA]])</f>
        <v>1900</v>
      </c>
      <c r="I11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63" customFormat="false" ht="15" hidden="false" customHeight="false" outlineLevel="0" collapsed="false">
      <c r="A1163" s="41"/>
      <c r="G1163" s="38" t="n">
        <f aca="false">MONTH(A1163)</f>
        <v>12</v>
      </c>
      <c r="H1163" s="38" t="n">
        <f aca="false">YEAR(Tabela1[[#This Row],[FECHA]])</f>
        <v>1900</v>
      </c>
      <c r="I11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64" customFormat="false" ht="15" hidden="false" customHeight="false" outlineLevel="0" collapsed="false">
      <c r="A1164" s="41"/>
      <c r="G1164" s="38" t="n">
        <f aca="false">MONTH(A1164)</f>
        <v>12</v>
      </c>
      <c r="H1164" s="38" t="n">
        <f aca="false">YEAR(Tabela1[[#This Row],[FECHA]])</f>
        <v>1900</v>
      </c>
      <c r="I11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65" customFormat="false" ht="15" hidden="false" customHeight="false" outlineLevel="0" collapsed="false">
      <c r="A1165" s="41"/>
      <c r="G1165" s="38" t="n">
        <f aca="false">MONTH(A1165)</f>
        <v>12</v>
      </c>
      <c r="H1165" s="38" t="n">
        <f aca="false">YEAR(Tabela1[[#This Row],[FECHA]])</f>
        <v>1900</v>
      </c>
      <c r="I11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66" customFormat="false" ht="15" hidden="false" customHeight="false" outlineLevel="0" collapsed="false">
      <c r="A1166" s="41"/>
      <c r="G1166" s="38" t="n">
        <f aca="false">MONTH(A1166)</f>
        <v>12</v>
      </c>
      <c r="H1166" s="38" t="n">
        <f aca="false">YEAR(Tabela1[[#This Row],[FECHA]])</f>
        <v>1900</v>
      </c>
      <c r="I11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67" customFormat="false" ht="15" hidden="false" customHeight="false" outlineLevel="0" collapsed="false">
      <c r="A1167" s="41"/>
      <c r="G1167" s="38" t="n">
        <f aca="false">MONTH(A1167)</f>
        <v>12</v>
      </c>
      <c r="H1167" s="38" t="n">
        <f aca="false">YEAR(Tabela1[[#This Row],[FECHA]])</f>
        <v>1900</v>
      </c>
      <c r="I11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68" customFormat="false" ht="15" hidden="false" customHeight="false" outlineLevel="0" collapsed="false">
      <c r="A1168" s="41"/>
      <c r="G1168" s="38" t="n">
        <f aca="false">MONTH(A1168)</f>
        <v>12</v>
      </c>
      <c r="H1168" s="38" t="n">
        <f aca="false">YEAR(Tabela1[[#This Row],[FECHA]])</f>
        <v>1900</v>
      </c>
      <c r="I11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69" customFormat="false" ht="15" hidden="false" customHeight="false" outlineLevel="0" collapsed="false">
      <c r="A1169" s="41"/>
      <c r="G1169" s="38" t="n">
        <f aca="false">MONTH(A1169)</f>
        <v>12</v>
      </c>
      <c r="H1169" s="38" t="n">
        <f aca="false">YEAR(Tabela1[[#This Row],[FECHA]])</f>
        <v>1900</v>
      </c>
      <c r="I11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70" customFormat="false" ht="15" hidden="false" customHeight="false" outlineLevel="0" collapsed="false">
      <c r="A1170" s="41"/>
      <c r="G1170" s="38" t="n">
        <f aca="false">MONTH(A1170)</f>
        <v>12</v>
      </c>
      <c r="H1170" s="38" t="n">
        <f aca="false">YEAR(Tabela1[[#This Row],[FECHA]])</f>
        <v>1900</v>
      </c>
      <c r="I11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71" customFormat="false" ht="15" hidden="false" customHeight="false" outlineLevel="0" collapsed="false">
      <c r="A1171" s="41"/>
      <c r="G1171" s="38" t="n">
        <f aca="false">MONTH(A1171)</f>
        <v>12</v>
      </c>
      <c r="H1171" s="38" t="n">
        <f aca="false">YEAR(Tabela1[[#This Row],[FECHA]])</f>
        <v>1900</v>
      </c>
      <c r="I11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72" customFormat="false" ht="15" hidden="false" customHeight="false" outlineLevel="0" collapsed="false">
      <c r="A1172" s="41"/>
      <c r="G1172" s="38" t="n">
        <f aca="false">MONTH(A1172)</f>
        <v>12</v>
      </c>
      <c r="H1172" s="38" t="n">
        <f aca="false">YEAR(Tabela1[[#This Row],[FECHA]])</f>
        <v>1900</v>
      </c>
      <c r="I11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73" customFormat="false" ht="15" hidden="false" customHeight="false" outlineLevel="0" collapsed="false">
      <c r="A1173" s="41"/>
      <c r="G1173" s="38" t="n">
        <f aca="false">MONTH(A1173)</f>
        <v>12</v>
      </c>
      <c r="H1173" s="38" t="n">
        <f aca="false">YEAR(Tabela1[[#This Row],[FECHA]])</f>
        <v>1900</v>
      </c>
      <c r="I11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74" customFormat="false" ht="15" hidden="false" customHeight="false" outlineLevel="0" collapsed="false">
      <c r="A1174" s="41"/>
      <c r="G1174" s="38" t="n">
        <f aca="false">MONTH(A1174)</f>
        <v>12</v>
      </c>
      <c r="H1174" s="38" t="n">
        <f aca="false">YEAR(Tabela1[[#This Row],[FECHA]])</f>
        <v>1900</v>
      </c>
      <c r="I11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75" customFormat="false" ht="15" hidden="false" customHeight="false" outlineLevel="0" collapsed="false">
      <c r="A1175" s="41"/>
      <c r="G1175" s="38" t="n">
        <f aca="false">MONTH(A1175)</f>
        <v>12</v>
      </c>
      <c r="H1175" s="38" t="n">
        <f aca="false">YEAR(Tabela1[[#This Row],[FECHA]])</f>
        <v>1900</v>
      </c>
      <c r="I11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76" customFormat="false" ht="15" hidden="false" customHeight="false" outlineLevel="0" collapsed="false">
      <c r="A1176" s="41"/>
      <c r="G1176" s="38" t="n">
        <f aca="false">MONTH(A1176)</f>
        <v>12</v>
      </c>
      <c r="H1176" s="38" t="n">
        <f aca="false">YEAR(Tabela1[[#This Row],[FECHA]])</f>
        <v>1900</v>
      </c>
      <c r="I11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77" customFormat="false" ht="15" hidden="false" customHeight="false" outlineLevel="0" collapsed="false">
      <c r="A1177" s="41"/>
      <c r="G1177" s="38" t="n">
        <f aca="false">MONTH(A1177)</f>
        <v>12</v>
      </c>
      <c r="H1177" s="38" t="n">
        <f aca="false">YEAR(Tabela1[[#This Row],[FECHA]])</f>
        <v>1900</v>
      </c>
      <c r="I11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78" customFormat="false" ht="15" hidden="false" customHeight="false" outlineLevel="0" collapsed="false">
      <c r="A1178" s="41"/>
      <c r="G1178" s="38" t="n">
        <f aca="false">MONTH(A1178)</f>
        <v>12</v>
      </c>
      <c r="H1178" s="38" t="n">
        <f aca="false">YEAR(Tabela1[[#This Row],[FECHA]])</f>
        <v>1900</v>
      </c>
      <c r="I11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79" customFormat="false" ht="15" hidden="false" customHeight="false" outlineLevel="0" collapsed="false">
      <c r="A1179" s="41"/>
      <c r="G1179" s="38" t="n">
        <f aca="false">MONTH(A1179)</f>
        <v>12</v>
      </c>
      <c r="H1179" s="38" t="n">
        <f aca="false">YEAR(Tabela1[[#This Row],[FECHA]])</f>
        <v>1900</v>
      </c>
      <c r="I11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80" customFormat="false" ht="15" hidden="false" customHeight="false" outlineLevel="0" collapsed="false">
      <c r="A1180" s="41"/>
      <c r="G1180" s="38" t="n">
        <f aca="false">MONTH(A1180)</f>
        <v>12</v>
      </c>
      <c r="H1180" s="38" t="n">
        <f aca="false">YEAR(Tabela1[[#This Row],[FECHA]])</f>
        <v>1900</v>
      </c>
      <c r="I11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81" customFormat="false" ht="15" hidden="false" customHeight="false" outlineLevel="0" collapsed="false">
      <c r="A1181" s="41"/>
      <c r="G1181" s="38" t="n">
        <f aca="false">MONTH(A1181)</f>
        <v>12</v>
      </c>
      <c r="H1181" s="38" t="n">
        <f aca="false">YEAR(Tabela1[[#This Row],[FECHA]])</f>
        <v>1900</v>
      </c>
      <c r="I11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82" customFormat="false" ht="15" hidden="false" customHeight="false" outlineLevel="0" collapsed="false">
      <c r="A1182" s="41"/>
      <c r="G1182" s="38" t="n">
        <f aca="false">MONTH(A1182)</f>
        <v>12</v>
      </c>
      <c r="H1182" s="38" t="n">
        <f aca="false">YEAR(Tabela1[[#This Row],[FECHA]])</f>
        <v>1900</v>
      </c>
      <c r="I11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83" customFormat="false" ht="15" hidden="false" customHeight="false" outlineLevel="0" collapsed="false">
      <c r="A1183" s="41"/>
      <c r="G1183" s="38" t="n">
        <f aca="false">MONTH(A1183)</f>
        <v>12</v>
      </c>
      <c r="H1183" s="38" t="n">
        <f aca="false">YEAR(Tabela1[[#This Row],[FECHA]])</f>
        <v>1900</v>
      </c>
      <c r="I11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84" customFormat="false" ht="15" hidden="false" customHeight="false" outlineLevel="0" collapsed="false">
      <c r="A1184" s="41"/>
      <c r="G1184" s="38" t="n">
        <f aca="false">MONTH(A1184)</f>
        <v>12</v>
      </c>
      <c r="H1184" s="38" t="n">
        <f aca="false">YEAR(Tabela1[[#This Row],[FECHA]])</f>
        <v>1900</v>
      </c>
      <c r="I11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85" customFormat="false" ht="15" hidden="false" customHeight="false" outlineLevel="0" collapsed="false">
      <c r="A1185" s="41"/>
      <c r="G1185" s="38" t="n">
        <f aca="false">MONTH(A1185)</f>
        <v>12</v>
      </c>
      <c r="H1185" s="38" t="n">
        <f aca="false">YEAR(Tabela1[[#This Row],[FECHA]])</f>
        <v>1900</v>
      </c>
      <c r="I11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86" customFormat="false" ht="15" hidden="false" customHeight="false" outlineLevel="0" collapsed="false">
      <c r="A1186" s="41"/>
      <c r="G1186" s="38" t="n">
        <f aca="false">MONTH(A1186)</f>
        <v>12</v>
      </c>
      <c r="H1186" s="38" t="n">
        <f aca="false">YEAR(Tabela1[[#This Row],[FECHA]])</f>
        <v>1900</v>
      </c>
      <c r="I11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87" customFormat="false" ht="15" hidden="false" customHeight="false" outlineLevel="0" collapsed="false">
      <c r="A1187" s="41"/>
      <c r="G1187" s="38" t="n">
        <f aca="false">MONTH(A1187)</f>
        <v>12</v>
      </c>
      <c r="H1187" s="38" t="n">
        <f aca="false">YEAR(Tabela1[[#This Row],[FECHA]])</f>
        <v>1900</v>
      </c>
      <c r="I11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88" customFormat="false" ht="15" hidden="false" customHeight="false" outlineLevel="0" collapsed="false">
      <c r="A1188" s="41"/>
      <c r="G1188" s="38" t="n">
        <f aca="false">MONTH(A1188)</f>
        <v>12</v>
      </c>
      <c r="H1188" s="38" t="n">
        <f aca="false">YEAR(Tabela1[[#This Row],[FECHA]])</f>
        <v>1900</v>
      </c>
      <c r="I11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89" customFormat="false" ht="15" hidden="false" customHeight="false" outlineLevel="0" collapsed="false">
      <c r="A1189" s="41"/>
      <c r="G1189" s="38" t="n">
        <f aca="false">MONTH(A1189)</f>
        <v>12</v>
      </c>
      <c r="H1189" s="38" t="n">
        <f aca="false">YEAR(Tabela1[[#This Row],[FECHA]])</f>
        <v>1900</v>
      </c>
      <c r="I11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90" customFormat="false" ht="15" hidden="false" customHeight="false" outlineLevel="0" collapsed="false">
      <c r="A1190" s="41"/>
      <c r="G1190" s="38" t="n">
        <f aca="false">MONTH(A1190)</f>
        <v>12</v>
      </c>
      <c r="H1190" s="38" t="n">
        <f aca="false">YEAR(Tabela1[[#This Row],[FECHA]])</f>
        <v>1900</v>
      </c>
      <c r="I11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91" customFormat="false" ht="15" hidden="false" customHeight="false" outlineLevel="0" collapsed="false">
      <c r="A1191" s="41"/>
      <c r="G1191" s="38" t="n">
        <f aca="false">MONTH(A1191)</f>
        <v>12</v>
      </c>
      <c r="H1191" s="38" t="n">
        <f aca="false">YEAR(Tabela1[[#This Row],[FECHA]])</f>
        <v>1900</v>
      </c>
      <c r="I11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92" customFormat="false" ht="15" hidden="false" customHeight="false" outlineLevel="0" collapsed="false">
      <c r="A1192" s="41"/>
      <c r="G1192" s="38" t="n">
        <f aca="false">MONTH(A1192)</f>
        <v>12</v>
      </c>
      <c r="H1192" s="38" t="n">
        <f aca="false">YEAR(Tabela1[[#This Row],[FECHA]])</f>
        <v>1900</v>
      </c>
      <c r="I11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93" customFormat="false" ht="15" hidden="false" customHeight="false" outlineLevel="0" collapsed="false">
      <c r="A1193" s="41"/>
      <c r="G1193" s="38" t="n">
        <f aca="false">MONTH(A1193)</f>
        <v>12</v>
      </c>
      <c r="H1193" s="38" t="n">
        <f aca="false">YEAR(Tabela1[[#This Row],[FECHA]])</f>
        <v>1900</v>
      </c>
      <c r="I11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94" customFormat="false" ht="15" hidden="false" customHeight="false" outlineLevel="0" collapsed="false">
      <c r="A1194" s="41"/>
      <c r="G1194" s="38" t="n">
        <f aca="false">MONTH(A1194)</f>
        <v>12</v>
      </c>
      <c r="H1194" s="38" t="n">
        <f aca="false">YEAR(Tabela1[[#This Row],[FECHA]])</f>
        <v>1900</v>
      </c>
      <c r="I11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95" customFormat="false" ht="15" hidden="false" customHeight="false" outlineLevel="0" collapsed="false">
      <c r="A1195" s="41"/>
      <c r="G1195" s="38" t="n">
        <f aca="false">MONTH(A1195)</f>
        <v>12</v>
      </c>
      <c r="H1195" s="38" t="n">
        <f aca="false">YEAR(Tabela1[[#This Row],[FECHA]])</f>
        <v>1900</v>
      </c>
      <c r="I11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96" customFormat="false" ht="15" hidden="false" customHeight="false" outlineLevel="0" collapsed="false">
      <c r="A1196" s="41"/>
      <c r="G1196" s="38" t="n">
        <f aca="false">MONTH(A1196)</f>
        <v>12</v>
      </c>
      <c r="H1196" s="38" t="n">
        <f aca="false">YEAR(Tabela1[[#This Row],[FECHA]])</f>
        <v>1900</v>
      </c>
      <c r="I11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97" customFormat="false" ht="15" hidden="false" customHeight="false" outlineLevel="0" collapsed="false">
      <c r="A1197" s="41"/>
      <c r="G1197" s="38" t="n">
        <f aca="false">MONTH(A1197)</f>
        <v>12</v>
      </c>
      <c r="H1197" s="38" t="n">
        <f aca="false">YEAR(Tabela1[[#This Row],[FECHA]])</f>
        <v>1900</v>
      </c>
      <c r="I11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98" customFormat="false" ht="15" hidden="false" customHeight="false" outlineLevel="0" collapsed="false">
      <c r="A1198" s="41"/>
      <c r="G1198" s="38" t="n">
        <f aca="false">MONTH(A1198)</f>
        <v>12</v>
      </c>
      <c r="H1198" s="38" t="n">
        <f aca="false">YEAR(Tabela1[[#This Row],[FECHA]])</f>
        <v>1900</v>
      </c>
      <c r="I11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199" customFormat="false" ht="15" hidden="false" customHeight="false" outlineLevel="0" collapsed="false">
      <c r="A1199" s="41"/>
      <c r="G1199" s="38" t="n">
        <f aca="false">MONTH(A1199)</f>
        <v>12</v>
      </c>
      <c r="H1199" s="38" t="n">
        <f aca="false">YEAR(Tabela1[[#This Row],[FECHA]])</f>
        <v>1900</v>
      </c>
      <c r="I11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00" customFormat="false" ht="15" hidden="false" customHeight="false" outlineLevel="0" collapsed="false">
      <c r="A1200" s="41"/>
      <c r="G1200" s="38" t="n">
        <f aca="false">MONTH(A1200)</f>
        <v>12</v>
      </c>
      <c r="H1200" s="38" t="n">
        <f aca="false">YEAR(Tabela1[[#This Row],[FECHA]])</f>
        <v>1900</v>
      </c>
      <c r="I12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01" customFormat="false" ht="15" hidden="false" customHeight="false" outlineLevel="0" collapsed="false">
      <c r="A1201" s="41"/>
      <c r="G1201" s="38" t="n">
        <f aca="false">MONTH(A1201)</f>
        <v>12</v>
      </c>
      <c r="H1201" s="38" t="n">
        <f aca="false">YEAR(Tabela1[[#This Row],[FECHA]])</f>
        <v>1900</v>
      </c>
      <c r="I12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02" customFormat="false" ht="15" hidden="false" customHeight="false" outlineLevel="0" collapsed="false">
      <c r="A1202" s="41"/>
      <c r="G1202" s="38" t="n">
        <f aca="false">MONTH(A1202)</f>
        <v>12</v>
      </c>
      <c r="H1202" s="38" t="n">
        <f aca="false">YEAR(Tabela1[[#This Row],[FECHA]])</f>
        <v>1900</v>
      </c>
      <c r="I12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03" customFormat="false" ht="15" hidden="false" customHeight="false" outlineLevel="0" collapsed="false">
      <c r="A1203" s="41"/>
      <c r="G1203" s="38" t="n">
        <f aca="false">MONTH(A1203)</f>
        <v>12</v>
      </c>
      <c r="H1203" s="38" t="n">
        <f aca="false">YEAR(Tabela1[[#This Row],[FECHA]])</f>
        <v>1900</v>
      </c>
      <c r="I12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04" customFormat="false" ht="15" hidden="false" customHeight="false" outlineLevel="0" collapsed="false">
      <c r="A1204" s="41"/>
      <c r="G1204" s="38" t="n">
        <f aca="false">MONTH(A1204)</f>
        <v>12</v>
      </c>
      <c r="H1204" s="38" t="n">
        <f aca="false">YEAR(Tabela1[[#This Row],[FECHA]])</f>
        <v>1900</v>
      </c>
      <c r="I12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05" customFormat="false" ht="15" hidden="false" customHeight="false" outlineLevel="0" collapsed="false">
      <c r="A1205" s="41"/>
      <c r="G1205" s="38" t="n">
        <f aca="false">MONTH(A1205)</f>
        <v>12</v>
      </c>
      <c r="H1205" s="38" t="n">
        <f aca="false">YEAR(Tabela1[[#This Row],[FECHA]])</f>
        <v>1900</v>
      </c>
      <c r="I12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06" customFormat="false" ht="15" hidden="false" customHeight="false" outlineLevel="0" collapsed="false">
      <c r="A1206" s="41"/>
      <c r="G1206" s="38" t="n">
        <f aca="false">MONTH(A1206)</f>
        <v>12</v>
      </c>
      <c r="H1206" s="38" t="n">
        <f aca="false">YEAR(Tabela1[[#This Row],[FECHA]])</f>
        <v>1900</v>
      </c>
      <c r="I12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07" customFormat="false" ht="15" hidden="false" customHeight="false" outlineLevel="0" collapsed="false">
      <c r="A1207" s="41"/>
      <c r="G1207" s="38" t="n">
        <f aca="false">MONTH(A1207)</f>
        <v>12</v>
      </c>
      <c r="H1207" s="38" t="n">
        <f aca="false">YEAR(Tabela1[[#This Row],[FECHA]])</f>
        <v>1900</v>
      </c>
      <c r="I12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08" customFormat="false" ht="15" hidden="false" customHeight="false" outlineLevel="0" collapsed="false">
      <c r="A1208" s="41"/>
      <c r="G1208" s="38" t="n">
        <f aca="false">MONTH(A1208)</f>
        <v>12</v>
      </c>
      <c r="H1208" s="38" t="n">
        <f aca="false">YEAR(Tabela1[[#This Row],[FECHA]])</f>
        <v>1900</v>
      </c>
      <c r="I12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09" customFormat="false" ht="15" hidden="false" customHeight="false" outlineLevel="0" collapsed="false">
      <c r="A1209" s="41"/>
      <c r="G1209" s="38" t="n">
        <f aca="false">MONTH(A1209)</f>
        <v>12</v>
      </c>
      <c r="H1209" s="38" t="n">
        <f aca="false">YEAR(Tabela1[[#This Row],[FECHA]])</f>
        <v>1900</v>
      </c>
      <c r="I12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10" customFormat="false" ht="15" hidden="false" customHeight="false" outlineLevel="0" collapsed="false">
      <c r="A1210" s="41"/>
      <c r="G1210" s="38" t="n">
        <f aca="false">MONTH(A1210)</f>
        <v>12</v>
      </c>
      <c r="H1210" s="38" t="n">
        <f aca="false">YEAR(Tabela1[[#This Row],[FECHA]])</f>
        <v>1900</v>
      </c>
      <c r="I12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11" customFormat="false" ht="15" hidden="false" customHeight="false" outlineLevel="0" collapsed="false">
      <c r="A1211" s="41"/>
      <c r="G1211" s="38" t="n">
        <f aca="false">MONTH(A1211)</f>
        <v>12</v>
      </c>
      <c r="H1211" s="38" t="n">
        <f aca="false">YEAR(Tabela1[[#This Row],[FECHA]])</f>
        <v>1900</v>
      </c>
      <c r="I12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12" customFormat="false" ht="15" hidden="false" customHeight="false" outlineLevel="0" collapsed="false">
      <c r="A1212" s="41"/>
      <c r="G1212" s="38" t="n">
        <f aca="false">MONTH(A1212)</f>
        <v>12</v>
      </c>
      <c r="H1212" s="38" t="n">
        <f aca="false">YEAR(Tabela1[[#This Row],[FECHA]])</f>
        <v>1900</v>
      </c>
      <c r="I12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13" customFormat="false" ht="15" hidden="false" customHeight="false" outlineLevel="0" collapsed="false">
      <c r="A1213" s="41"/>
      <c r="G1213" s="38" t="n">
        <f aca="false">MONTH(A1213)</f>
        <v>12</v>
      </c>
      <c r="H1213" s="38" t="n">
        <f aca="false">YEAR(Tabela1[[#This Row],[FECHA]])</f>
        <v>1900</v>
      </c>
      <c r="I12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14" customFormat="false" ht="15" hidden="false" customHeight="false" outlineLevel="0" collapsed="false">
      <c r="A1214" s="41"/>
      <c r="G1214" s="38" t="n">
        <f aca="false">MONTH(A1214)</f>
        <v>12</v>
      </c>
      <c r="H1214" s="38" t="n">
        <f aca="false">YEAR(Tabela1[[#This Row],[FECHA]])</f>
        <v>1900</v>
      </c>
      <c r="I12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15" customFormat="false" ht="15" hidden="false" customHeight="false" outlineLevel="0" collapsed="false">
      <c r="A1215" s="41"/>
      <c r="G1215" s="38" t="n">
        <f aca="false">MONTH(A1215)</f>
        <v>12</v>
      </c>
      <c r="H1215" s="38" t="n">
        <f aca="false">YEAR(Tabela1[[#This Row],[FECHA]])</f>
        <v>1900</v>
      </c>
      <c r="I12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16" customFormat="false" ht="15" hidden="false" customHeight="false" outlineLevel="0" collapsed="false">
      <c r="A1216" s="41"/>
      <c r="G1216" s="38" t="n">
        <f aca="false">MONTH(A1216)</f>
        <v>12</v>
      </c>
      <c r="H1216" s="38" t="n">
        <f aca="false">YEAR(Tabela1[[#This Row],[FECHA]])</f>
        <v>1900</v>
      </c>
      <c r="I12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17" customFormat="false" ht="15" hidden="false" customHeight="false" outlineLevel="0" collapsed="false">
      <c r="A1217" s="41"/>
      <c r="G1217" s="38" t="n">
        <f aca="false">MONTH(A1217)</f>
        <v>12</v>
      </c>
      <c r="H1217" s="38" t="n">
        <f aca="false">YEAR(Tabela1[[#This Row],[FECHA]])</f>
        <v>1900</v>
      </c>
      <c r="I12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18" customFormat="false" ht="15" hidden="false" customHeight="false" outlineLevel="0" collapsed="false">
      <c r="A1218" s="41"/>
      <c r="G1218" s="38" t="n">
        <f aca="false">MONTH(A1218)</f>
        <v>12</v>
      </c>
      <c r="H1218" s="38" t="n">
        <f aca="false">YEAR(Tabela1[[#This Row],[FECHA]])</f>
        <v>1900</v>
      </c>
      <c r="I12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19" customFormat="false" ht="15" hidden="false" customHeight="false" outlineLevel="0" collapsed="false">
      <c r="A1219" s="41"/>
      <c r="G1219" s="38" t="n">
        <f aca="false">MONTH(A1219)</f>
        <v>12</v>
      </c>
      <c r="H1219" s="38" t="n">
        <f aca="false">YEAR(Tabela1[[#This Row],[FECHA]])</f>
        <v>1900</v>
      </c>
      <c r="I12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20" customFormat="false" ht="15" hidden="false" customHeight="false" outlineLevel="0" collapsed="false">
      <c r="A1220" s="41"/>
      <c r="G1220" s="38" t="n">
        <f aca="false">MONTH(A1220)</f>
        <v>12</v>
      </c>
      <c r="H1220" s="38" t="n">
        <f aca="false">YEAR(Tabela1[[#This Row],[FECHA]])</f>
        <v>1900</v>
      </c>
      <c r="I12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21" customFormat="false" ht="15" hidden="false" customHeight="false" outlineLevel="0" collapsed="false">
      <c r="A1221" s="41"/>
      <c r="G1221" s="38" t="n">
        <f aca="false">MONTH(A1221)</f>
        <v>12</v>
      </c>
      <c r="H1221" s="38" t="n">
        <f aca="false">YEAR(Tabela1[[#This Row],[FECHA]])</f>
        <v>1900</v>
      </c>
      <c r="I12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22" customFormat="false" ht="15" hidden="false" customHeight="false" outlineLevel="0" collapsed="false">
      <c r="A1222" s="41"/>
      <c r="G1222" s="38" t="n">
        <f aca="false">MONTH(A1222)</f>
        <v>12</v>
      </c>
      <c r="H1222" s="38" t="n">
        <f aca="false">YEAR(Tabela1[[#This Row],[FECHA]])</f>
        <v>1900</v>
      </c>
      <c r="I12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23" customFormat="false" ht="15" hidden="false" customHeight="false" outlineLevel="0" collapsed="false">
      <c r="A1223" s="41"/>
      <c r="G1223" s="38" t="n">
        <f aca="false">MONTH(A1223)</f>
        <v>12</v>
      </c>
      <c r="H1223" s="38" t="n">
        <f aca="false">YEAR(Tabela1[[#This Row],[FECHA]])</f>
        <v>1900</v>
      </c>
      <c r="I12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24" customFormat="false" ht="15" hidden="false" customHeight="false" outlineLevel="0" collapsed="false">
      <c r="A1224" s="41"/>
      <c r="G1224" s="38" t="n">
        <f aca="false">MONTH(A1224)</f>
        <v>12</v>
      </c>
      <c r="H1224" s="38" t="n">
        <f aca="false">YEAR(Tabela1[[#This Row],[FECHA]])</f>
        <v>1900</v>
      </c>
      <c r="I12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25" customFormat="false" ht="15" hidden="false" customHeight="false" outlineLevel="0" collapsed="false">
      <c r="A1225" s="41"/>
      <c r="G1225" s="38" t="n">
        <f aca="false">MONTH(A1225)</f>
        <v>12</v>
      </c>
      <c r="H1225" s="38" t="n">
        <f aca="false">YEAR(Tabela1[[#This Row],[FECHA]])</f>
        <v>1900</v>
      </c>
      <c r="I12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26" customFormat="false" ht="15" hidden="false" customHeight="false" outlineLevel="0" collapsed="false">
      <c r="A1226" s="41"/>
      <c r="G1226" s="38" t="n">
        <f aca="false">MONTH(A1226)</f>
        <v>12</v>
      </c>
      <c r="H1226" s="38" t="n">
        <f aca="false">YEAR(Tabela1[[#This Row],[FECHA]])</f>
        <v>1900</v>
      </c>
      <c r="I12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27" customFormat="false" ht="15" hidden="false" customHeight="false" outlineLevel="0" collapsed="false">
      <c r="A1227" s="41"/>
      <c r="G1227" s="38" t="n">
        <f aca="false">MONTH(A1227)</f>
        <v>12</v>
      </c>
      <c r="H1227" s="38" t="n">
        <f aca="false">YEAR(Tabela1[[#This Row],[FECHA]])</f>
        <v>1900</v>
      </c>
      <c r="I12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28" customFormat="false" ht="15" hidden="false" customHeight="false" outlineLevel="0" collapsed="false">
      <c r="A1228" s="41"/>
      <c r="G1228" s="38" t="n">
        <f aca="false">MONTH(A1228)</f>
        <v>12</v>
      </c>
      <c r="H1228" s="38" t="n">
        <f aca="false">YEAR(Tabela1[[#This Row],[FECHA]])</f>
        <v>1900</v>
      </c>
      <c r="I12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29" customFormat="false" ht="15" hidden="false" customHeight="false" outlineLevel="0" collapsed="false">
      <c r="A1229" s="41"/>
      <c r="G1229" s="38" t="n">
        <f aca="false">MONTH(A1229)</f>
        <v>12</v>
      </c>
      <c r="H1229" s="38" t="n">
        <f aca="false">YEAR(Tabela1[[#This Row],[FECHA]])</f>
        <v>1900</v>
      </c>
      <c r="I12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30" customFormat="false" ht="15" hidden="false" customHeight="false" outlineLevel="0" collapsed="false">
      <c r="A1230" s="41"/>
      <c r="G1230" s="38" t="n">
        <f aca="false">MONTH(A1230)</f>
        <v>12</v>
      </c>
      <c r="H1230" s="38" t="n">
        <f aca="false">YEAR(Tabela1[[#This Row],[FECHA]])</f>
        <v>1900</v>
      </c>
      <c r="I12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31" customFormat="false" ht="15" hidden="false" customHeight="false" outlineLevel="0" collapsed="false">
      <c r="A1231" s="41"/>
      <c r="G1231" s="38" t="n">
        <f aca="false">MONTH(A1231)</f>
        <v>12</v>
      </c>
      <c r="H1231" s="38" t="n">
        <f aca="false">YEAR(Tabela1[[#This Row],[FECHA]])</f>
        <v>1900</v>
      </c>
      <c r="I12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32" customFormat="false" ht="15" hidden="false" customHeight="false" outlineLevel="0" collapsed="false">
      <c r="A1232" s="41"/>
      <c r="G1232" s="38" t="n">
        <f aca="false">MONTH(A1232)</f>
        <v>12</v>
      </c>
      <c r="H1232" s="38" t="n">
        <f aca="false">YEAR(Tabela1[[#This Row],[FECHA]])</f>
        <v>1900</v>
      </c>
      <c r="I12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33" customFormat="false" ht="15" hidden="false" customHeight="false" outlineLevel="0" collapsed="false">
      <c r="A1233" s="41"/>
      <c r="G1233" s="38" t="n">
        <f aca="false">MONTH(A1233)</f>
        <v>12</v>
      </c>
      <c r="H1233" s="38" t="n">
        <f aca="false">YEAR(Tabela1[[#This Row],[FECHA]])</f>
        <v>1900</v>
      </c>
      <c r="I12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34" customFormat="false" ht="15" hidden="false" customHeight="false" outlineLevel="0" collapsed="false">
      <c r="A1234" s="41"/>
      <c r="G1234" s="38" t="n">
        <f aca="false">MONTH(A1234)</f>
        <v>12</v>
      </c>
      <c r="H1234" s="38" t="n">
        <f aca="false">YEAR(Tabela1[[#This Row],[FECHA]])</f>
        <v>1900</v>
      </c>
      <c r="I12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35" customFormat="false" ht="15" hidden="false" customHeight="false" outlineLevel="0" collapsed="false">
      <c r="A1235" s="41"/>
      <c r="G1235" s="38" t="n">
        <f aca="false">MONTH(A1235)</f>
        <v>12</v>
      </c>
      <c r="H1235" s="38" t="n">
        <f aca="false">YEAR(Tabela1[[#This Row],[FECHA]])</f>
        <v>1900</v>
      </c>
      <c r="I12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36" customFormat="false" ht="15" hidden="false" customHeight="false" outlineLevel="0" collapsed="false">
      <c r="A1236" s="41"/>
      <c r="G1236" s="38" t="n">
        <f aca="false">MONTH(A1236)</f>
        <v>12</v>
      </c>
      <c r="H1236" s="38" t="n">
        <f aca="false">YEAR(Tabela1[[#This Row],[FECHA]])</f>
        <v>1900</v>
      </c>
      <c r="I12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37" customFormat="false" ht="15" hidden="false" customHeight="false" outlineLevel="0" collapsed="false">
      <c r="A1237" s="41"/>
      <c r="G1237" s="38" t="n">
        <f aca="false">MONTH(A1237)</f>
        <v>12</v>
      </c>
      <c r="H1237" s="38" t="n">
        <f aca="false">YEAR(Tabela1[[#This Row],[FECHA]])</f>
        <v>1900</v>
      </c>
      <c r="I12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38" customFormat="false" ht="15" hidden="false" customHeight="false" outlineLevel="0" collapsed="false">
      <c r="A1238" s="41"/>
      <c r="G1238" s="38" t="n">
        <f aca="false">MONTH(A1238)</f>
        <v>12</v>
      </c>
      <c r="H1238" s="38" t="n">
        <f aca="false">YEAR(Tabela1[[#This Row],[FECHA]])</f>
        <v>1900</v>
      </c>
      <c r="I12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39" customFormat="false" ht="15" hidden="false" customHeight="false" outlineLevel="0" collapsed="false">
      <c r="A1239" s="41"/>
      <c r="G1239" s="38" t="n">
        <f aca="false">MONTH(A1239)</f>
        <v>12</v>
      </c>
      <c r="H1239" s="38" t="n">
        <f aca="false">YEAR(Tabela1[[#This Row],[FECHA]])</f>
        <v>1900</v>
      </c>
      <c r="I12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40" customFormat="false" ht="15" hidden="false" customHeight="false" outlineLevel="0" collapsed="false">
      <c r="A1240" s="41"/>
      <c r="G1240" s="38" t="n">
        <f aca="false">MONTH(A1240)</f>
        <v>12</v>
      </c>
      <c r="H1240" s="38" t="n">
        <f aca="false">YEAR(Tabela1[[#This Row],[FECHA]])</f>
        <v>1900</v>
      </c>
      <c r="I12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41" customFormat="false" ht="15" hidden="false" customHeight="false" outlineLevel="0" collapsed="false">
      <c r="A1241" s="41"/>
      <c r="G1241" s="38" t="n">
        <f aca="false">MONTH(A1241)</f>
        <v>12</v>
      </c>
      <c r="H1241" s="38" t="n">
        <f aca="false">YEAR(Tabela1[[#This Row],[FECHA]])</f>
        <v>1900</v>
      </c>
      <c r="I12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42" customFormat="false" ht="15" hidden="false" customHeight="false" outlineLevel="0" collapsed="false">
      <c r="A1242" s="41"/>
      <c r="G1242" s="38" t="n">
        <f aca="false">MONTH(A1242)</f>
        <v>12</v>
      </c>
      <c r="H1242" s="38" t="n">
        <f aca="false">YEAR(Tabela1[[#This Row],[FECHA]])</f>
        <v>1900</v>
      </c>
      <c r="I12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43" customFormat="false" ht="15" hidden="false" customHeight="false" outlineLevel="0" collapsed="false">
      <c r="A1243" s="41"/>
      <c r="G1243" s="38" t="n">
        <f aca="false">MONTH(A1243)</f>
        <v>12</v>
      </c>
      <c r="H1243" s="38" t="n">
        <f aca="false">YEAR(Tabela1[[#This Row],[FECHA]])</f>
        <v>1900</v>
      </c>
      <c r="I12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44" customFormat="false" ht="15" hidden="false" customHeight="false" outlineLevel="0" collapsed="false">
      <c r="A1244" s="41"/>
      <c r="G1244" s="38" t="n">
        <f aca="false">MONTH(A1244)</f>
        <v>12</v>
      </c>
      <c r="H1244" s="38" t="n">
        <f aca="false">YEAR(Tabela1[[#This Row],[FECHA]])</f>
        <v>1900</v>
      </c>
      <c r="I12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45" customFormat="false" ht="15" hidden="false" customHeight="false" outlineLevel="0" collapsed="false">
      <c r="A1245" s="41"/>
      <c r="G1245" s="38" t="n">
        <f aca="false">MONTH(A1245)</f>
        <v>12</v>
      </c>
      <c r="H1245" s="38" t="n">
        <f aca="false">YEAR(Tabela1[[#This Row],[FECHA]])</f>
        <v>1900</v>
      </c>
      <c r="I12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46" customFormat="false" ht="15" hidden="false" customHeight="false" outlineLevel="0" collapsed="false">
      <c r="A1246" s="41"/>
      <c r="G1246" s="38" t="n">
        <f aca="false">MONTH(A1246)</f>
        <v>12</v>
      </c>
      <c r="H1246" s="38" t="n">
        <f aca="false">YEAR(Tabela1[[#This Row],[FECHA]])</f>
        <v>1900</v>
      </c>
      <c r="I12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47" customFormat="false" ht="15" hidden="false" customHeight="false" outlineLevel="0" collapsed="false">
      <c r="A1247" s="41"/>
      <c r="G1247" s="38" t="n">
        <f aca="false">MONTH(A1247)</f>
        <v>12</v>
      </c>
      <c r="H1247" s="38" t="n">
        <f aca="false">YEAR(Tabela1[[#This Row],[FECHA]])</f>
        <v>1900</v>
      </c>
      <c r="I12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48" customFormat="false" ht="15" hidden="false" customHeight="false" outlineLevel="0" collapsed="false">
      <c r="A1248" s="41"/>
      <c r="G1248" s="38" t="n">
        <f aca="false">MONTH(A1248)</f>
        <v>12</v>
      </c>
      <c r="H1248" s="38" t="n">
        <f aca="false">YEAR(Tabela1[[#This Row],[FECHA]])</f>
        <v>1900</v>
      </c>
      <c r="I12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49" customFormat="false" ht="15" hidden="false" customHeight="false" outlineLevel="0" collapsed="false">
      <c r="A1249" s="41"/>
      <c r="G1249" s="38" t="n">
        <f aca="false">MONTH(A1249)</f>
        <v>12</v>
      </c>
      <c r="H1249" s="38" t="n">
        <f aca="false">YEAR(Tabela1[[#This Row],[FECHA]])</f>
        <v>1900</v>
      </c>
      <c r="I12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50" customFormat="false" ht="15" hidden="false" customHeight="false" outlineLevel="0" collapsed="false">
      <c r="A1250" s="41"/>
      <c r="G1250" s="38" t="n">
        <f aca="false">MONTH(A1250)</f>
        <v>12</v>
      </c>
      <c r="H1250" s="38" t="n">
        <f aca="false">YEAR(Tabela1[[#This Row],[FECHA]])</f>
        <v>1900</v>
      </c>
      <c r="I12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51" customFormat="false" ht="15" hidden="false" customHeight="false" outlineLevel="0" collapsed="false">
      <c r="A1251" s="41"/>
      <c r="G1251" s="38" t="n">
        <f aca="false">MONTH(A1251)</f>
        <v>12</v>
      </c>
      <c r="H1251" s="38" t="n">
        <f aca="false">YEAR(Tabela1[[#This Row],[FECHA]])</f>
        <v>1900</v>
      </c>
      <c r="I12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52" customFormat="false" ht="15" hidden="false" customHeight="false" outlineLevel="0" collapsed="false">
      <c r="A1252" s="41"/>
      <c r="G1252" s="38" t="n">
        <f aca="false">MONTH(A1252)</f>
        <v>12</v>
      </c>
      <c r="H1252" s="38" t="n">
        <f aca="false">YEAR(Tabela1[[#This Row],[FECHA]])</f>
        <v>1900</v>
      </c>
      <c r="I12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53" customFormat="false" ht="15" hidden="false" customHeight="false" outlineLevel="0" collapsed="false">
      <c r="A1253" s="41"/>
      <c r="G1253" s="38" t="n">
        <f aca="false">MONTH(A1253)</f>
        <v>12</v>
      </c>
      <c r="H1253" s="38" t="n">
        <f aca="false">YEAR(Tabela1[[#This Row],[FECHA]])</f>
        <v>1900</v>
      </c>
      <c r="I12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54" customFormat="false" ht="15" hidden="false" customHeight="false" outlineLevel="0" collapsed="false">
      <c r="A1254" s="41"/>
      <c r="G1254" s="38" t="n">
        <f aca="false">MONTH(A1254)</f>
        <v>12</v>
      </c>
      <c r="H1254" s="38" t="n">
        <f aca="false">YEAR(Tabela1[[#This Row],[FECHA]])</f>
        <v>1900</v>
      </c>
      <c r="I12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55" customFormat="false" ht="15" hidden="false" customHeight="false" outlineLevel="0" collapsed="false">
      <c r="A1255" s="41"/>
      <c r="G1255" s="38" t="n">
        <f aca="false">MONTH(A1255)</f>
        <v>12</v>
      </c>
      <c r="H1255" s="38" t="n">
        <f aca="false">YEAR(Tabela1[[#This Row],[FECHA]])</f>
        <v>1900</v>
      </c>
      <c r="I12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56" customFormat="false" ht="15" hidden="false" customHeight="false" outlineLevel="0" collapsed="false">
      <c r="A1256" s="41"/>
      <c r="G1256" s="38" t="n">
        <f aca="false">MONTH(A1256)</f>
        <v>12</v>
      </c>
      <c r="H1256" s="38" t="n">
        <f aca="false">YEAR(Tabela1[[#This Row],[FECHA]])</f>
        <v>1900</v>
      </c>
      <c r="I12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57" customFormat="false" ht="15" hidden="false" customHeight="false" outlineLevel="0" collapsed="false">
      <c r="A1257" s="41"/>
      <c r="G1257" s="38" t="n">
        <f aca="false">MONTH(A1257)</f>
        <v>12</v>
      </c>
      <c r="H1257" s="38" t="n">
        <f aca="false">YEAR(Tabela1[[#This Row],[FECHA]])</f>
        <v>1900</v>
      </c>
      <c r="I12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58" customFormat="false" ht="15" hidden="false" customHeight="false" outlineLevel="0" collapsed="false">
      <c r="A1258" s="41"/>
      <c r="G1258" s="38" t="n">
        <f aca="false">MONTH(A1258)</f>
        <v>12</v>
      </c>
      <c r="H1258" s="38" t="n">
        <f aca="false">YEAR(Tabela1[[#This Row],[FECHA]])</f>
        <v>1900</v>
      </c>
      <c r="I12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59" customFormat="false" ht="15" hidden="false" customHeight="false" outlineLevel="0" collapsed="false">
      <c r="A1259" s="41"/>
      <c r="G1259" s="38" t="n">
        <f aca="false">MONTH(A1259)</f>
        <v>12</v>
      </c>
      <c r="H1259" s="38" t="n">
        <f aca="false">YEAR(Tabela1[[#This Row],[FECHA]])</f>
        <v>1900</v>
      </c>
      <c r="I12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60" customFormat="false" ht="15" hidden="false" customHeight="false" outlineLevel="0" collapsed="false">
      <c r="A1260" s="41"/>
      <c r="G1260" s="38" t="n">
        <f aca="false">MONTH(A1260)</f>
        <v>12</v>
      </c>
      <c r="H1260" s="38" t="n">
        <f aca="false">YEAR(Tabela1[[#This Row],[FECHA]])</f>
        <v>1900</v>
      </c>
      <c r="I12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61" customFormat="false" ht="15" hidden="false" customHeight="false" outlineLevel="0" collapsed="false">
      <c r="A1261" s="41"/>
      <c r="G1261" s="38" t="n">
        <f aca="false">MONTH(A1261)</f>
        <v>12</v>
      </c>
      <c r="H1261" s="38" t="n">
        <f aca="false">YEAR(Tabela1[[#This Row],[FECHA]])</f>
        <v>1900</v>
      </c>
      <c r="I12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62" customFormat="false" ht="15" hidden="false" customHeight="false" outlineLevel="0" collapsed="false">
      <c r="A1262" s="41"/>
      <c r="G1262" s="38" t="n">
        <f aca="false">MONTH(A1262)</f>
        <v>12</v>
      </c>
      <c r="H1262" s="38" t="n">
        <f aca="false">YEAR(Tabela1[[#This Row],[FECHA]])</f>
        <v>1900</v>
      </c>
      <c r="I12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63" customFormat="false" ht="15" hidden="false" customHeight="false" outlineLevel="0" collapsed="false">
      <c r="A1263" s="41"/>
      <c r="G1263" s="38" t="n">
        <f aca="false">MONTH(A1263)</f>
        <v>12</v>
      </c>
      <c r="H1263" s="38" t="n">
        <f aca="false">YEAR(Tabela1[[#This Row],[FECHA]])</f>
        <v>1900</v>
      </c>
      <c r="I12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64" customFormat="false" ht="15" hidden="false" customHeight="false" outlineLevel="0" collapsed="false">
      <c r="A1264" s="41"/>
      <c r="G1264" s="38" t="n">
        <f aca="false">MONTH(A1264)</f>
        <v>12</v>
      </c>
      <c r="H1264" s="38" t="n">
        <f aca="false">YEAR(Tabela1[[#This Row],[FECHA]])</f>
        <v>1900</v>
      </c>
      <c r="I12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65" customFormat="false" ht="15" hidden="false" customHeight="false" outlineLevel="0" collapsed="false">
      <c r="A1265" s="41"/>
      <c r="G1265" s="38" t="n">
        <f aca="false">MONTH(A1265)</f>
        <v>12</v>
      </c>
      <c r="H1265" s="38" t="n">
        <f aca="false">YEAR(Tabela1[[#This Row],[FECHA]])</f>
        <v>1900</v>
      </c>
      <c r="I12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66" customFormat="false" ht="15" hidden="false" customHeight="false" outlineLevel="0" collapsed="false">
      <c r="A1266" s="41"/>
      <c r="G1266" s="38" t="n">
        <f aca="false">MONTH(A1266)</f>
        <v>12</v>
      </c>
      <c r="H1266" s="38" t="n">
        <f aca="false">YEAR(Tabela1[[#This Row],[FECHA]])</f>
        <v>1900</v>
      </c>
      <c r="I12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67" customFormat="false" ht="15" hidden="false" customHeight="false" outlineLevel="0" collapsed="false">
      <c r="A1267" s="41"/>
      <c r="G1267" s="38" t="n">
        <f aca="false">MONTH(A1267)</f>
        <v>12</v>
      </c>
      <c r="H1267" s="38" t="n">
        <f aca="false">YEAR(Tabela1[[#This Row],[FECHA]])</f>
        <v>1900</v>
      </c>
      <c r="I12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68" customFormat="false" ht="15" hidden="false" customHeight="false" outlineLevel="0" collapsed="false">
      <c r="A1268" s="41"/>
      <c r="G1268" s="38" t="n">
        <f aca="false">MONTH(A1268)</f>
        <v>12</v>
      </c>
      <c r="H1268" s="38" t="n">
        <f aca="false">YEAR(Tabela1[[#This Row],[FECHA]])</f>
        <v>1900</v>
      </c>
      <c r="I12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69" customFormat="false" ht="15" hidden="false" customHeight="false" outlineLevel="0" collapsed="false">
      <c r="A1269" s="41"/>
      <c r="G1269" s="38" t="n">
        <f aca="false">MONTH(A1269)</f>
        <v>12</v>
      </c>
      <c r="H1269" s="38" t="n">
        <f aca="false">YEAR(Tabela1[[#This Row],[FECHA]])</f>
        <v>1900</v>
      </c>
      <c r="I12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70" customFormat="false" ht="15" hidden="false" customHeight="false" outlineLevel="0" collapsed="false">
      <c r="A1270" s="41"/>
      <c r="G1270" s="38" t="n">
        <f aca="false">MONTH(A1270)</f>
        <v>12</v>
      </c>
      <c r="H1270" s="38" t="n">
        <f aca="false">YEAR(Tabela1[[#This Row],[FECHA]])</f>
        <v>1900</v>
      </c>
      <c r="I12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71" customFormat="false" ht="15" hidden="false" customHeight="false" outlineLevel="0" collapsed="false">
      <c r="A1271" s="41"/>
      <c r="G1271" s="38" t="n">
        <f aca="false">MONTH(A1271)</f>
        <v>12</v>
      </c>
      <c r="H1271" s="38" t="n">
        <f aca="false">YEAR(Tabela1[[#This Row],[FECHA]])</f>
        <v>1900</v>
      </c>
      <c r="I12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72" customFormat="false" ht="15" hidden="false" customHeight="false" outlineLevel="0" collapsed="false">
      <c r="A1272" s="41"/>
      <c r="G1272" s="38" t="n">
        <f aca="false">MONTH(A1272)</f>
        <v>12</v>
      </c>
      <c r="H1272" s="38" t="n">
        <f aca="false">YEAR(Tabela1[[#This Row],[FECHA]])</f>
        <v>1900</v>
      </c>
      <c r="I12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73" customFormat="false" ht="15" hidden="false" customHeight="false" outlineLevel="0" collapsed="false">
      <c r="A1273" s="41"/>
      <c r="G1273" s="38" t="n">
        <f aca="false">MONTH(A1273)</f>
        <v>12</v>
      </c>
      <c r="H1273" s="38" t="n">
        <f aca="false">YEAR(Tabela1[[#This Row],[FECHA]])</f>
        <v>1900</v>
      </c>
      <c r="I12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74" customFormat="false" ht="15" hidden="false" customHeight="false" outlineLevel="0" collapsed="false">
      <c r="A1274" s="41"/>
      <c r="G1274" s="38" t="n">
        <f aca="false">MONTH(A1274)</f>
        <v>12</v>
      </c>
      <c r="H1274" s="38" t="n">
        <f aca="false">YEAR(Tabela1[[#This Row],[FECHA]])</f>
        <v>1900</v>
      </c>
      <c r="I12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75" customFormat="false" ht="15" hidden="false" customHeight="false" outlineLevel="0" collapsed="false">
      <c r="A1275" s="41"/>
      <c r="G1275" s="38" t="n">
        <f aca="false">MONTH(A1275)</f>
        <v>12</v>
      </c>
      <c r="H1275" s="38" t="n">
        <f aca="false">YEAR(Tabela1[[#This Row],[FECHA]])</f>
        <v>1900</v>
      </c>
      <c r="I12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76" customFormat="false" ht="15" hidden="false" customHeight="false" outlineLevel="0" collapsed="false">
      <c r="A1276" s="41"/>
      <c r="G1276" s="38" t="n">
        <f aca="false">MONTH(A1276)</f>
        <v>12</v>
      </c>
      <c r="H1276" s="38" t="n">
        <f aca="false">YEAR(Tabela1[[#This Row],[FECHA]])</f>
        <v>1900</v>
      </c>
      <c r="I12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77" customFormat="false" ht="15" hidden="false" customHeight="false" outlineLevel="0" collapsed="false">
      <c r="A1277" s="41"/>
      <c r="G1277" s="38" t="n">
        <f aca="false">MONTH(A1277)</f>
        <v>12</v>
      </c>
      <c r="H1277" s="38" t="n">
        <f aca="false">YEAR(Tabela1[[#This Row],[FECHA]])</f>
        <v>1900</v>
      </c>
      <c r="I12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78" customFormat="false" ht="15" hidden="false" customHeight="false" outlineLevel="0" collapsed="false">
      <c r="A1278" s="41"/>
      <c r="G1278" s="38" t="n">
        <f aca="false">MONTH(A1278)</f>
        <v>12</v>
      </c>
      <c r="H1278" s="38" t="n">
        <f aca="false">YEAR(Tabela1[[#This Row],[FECHA]])</f>
        <v>1900</v>
      </c>
      <c r="I12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79" customFormat="false" ht="15" hidden="false" customHeight="false" outlineLevel="0" collapsed="false">
      <c r="A1279" s="41"/>
      <c r="G1279" s="38" t="n">
        <f aca="false">MONTH(A1279)</f>
        <v>12</v>
      </c>
      <c r="H1279" s="38" t="n">
        <f aca="false">YEAR(Tabela1[[#This Row],[FECHA]])</f>
        <v>1900</v>
      </c>
      <c r="I12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80" customFormat="false" ht="15" hidden="false" customHeight="false" outlineLevel="0" collapsed="false">
      <c r="A1280" s="41"/>
      <c r="G1280" s="38" t="n">
        <f aca="false">MONTH(A1280)</f>
        <v>12</v>
      </c>
      <c r="H1280" s="38" t="n">
        <f aca="false">YEAR(Tabela1[[#This Row],[FECHA]])</f>
        <v>1900</v>
      </c>
      <c r="I12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81" customFormat="false" ht="15" hidden="false" customHeight="false" outlineLevel="0" collapsed="false">
      <c r="A1281" s="41"/>
      <c r="G1281" s="38" t="n">
        <f aca="false">MONTH(A1281)</f>
        <v>12</v>
      </c>
      <c r="H1281" s="38" t="n">
        <f aca="false">YEAR(Tabela1[[#This Row],[FECHA]])</f>
        <v>1900</v>
      </c>
      <c r="I12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82" customFormat="false" ht="15" hidden="false" customHeight="false" outlineLevel="0" collapsed="false">
      <c r="A1282" s="41"/>
      <c r="G1282" s="38" t="n">
        <f aca="false">MONTH(A1282)</f>
        <v>12</v>
      </c>
      <c r="H1282" s="38" t="n">
        <f aca="false">YEAR(Tabela1[[#This Row],[FECHA]])</f>
        <v>1900</v>
      </c>
      <c r="I12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83" customFormat="false" ht="15" hidden="false" customHeight="false" outlineLevel="0" collapsed="false">
      <c r="A1283" s="41"/>
      <c r="G1283" s="38" t="n">
        <f aca="false">MONTH(A1283)</f>
        <v>12</v>
      </c>
      <c r="H1283" s="38" t="n">
        <f aca="false">YEAR(Tabela1[[#This Row],[FECHA]])</f>
        <v>1900</v>
      </c>
      <c r="I12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84" customFormat="false" ht="15" hidden="false" customHeight="false" outlineLevel="0" collapsed="false">
      <c r="A1284" s="41"/>
      <c r="G1284" s="38" t="n">
        <f aca="false">MONTH(A1284)</f>
        <v>12</v>
      </c>
      <c r="H1284" s="38" t="n">
        <f aca="false">YEAR(Tabela1[[#This Row],[FECHA]])</f>
        <v>1900</v>
      </c>
      <c r="I12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85" customFormat="false" ht="15" hidden="false" customHeight="false" outlineLevel="0" collapsed="false">
      <c r="A1285" s="41"/>
      <c r="G1285" s="38" t="n">
        <f aca="false">MONTH(A1285)</f>
        <v>12</v>
      </c>
      <c r="H1285" s="38" t="n">
        <f aca="false">YEAR(Tabela1[[#This Row],[FECHA]])</f>
        <v>1900</v>
      </c>
      <c r="I12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86" customFormat="false" ht="15" hidden="false" customHeight="false" outlineLevel="0" collapsed="false">
      <c r="A1286" s="41"/>
      <c r="G1286" s="38" t="n">
        <f aca="false">MONTH(A1286)</f>
        <v>12</v>
      </c>
      <c r="H1286" s="38" t="n">
        <f aca="false">YEAR(Tabela1[[#This Row],[FECHA]])</f>
        <v>1900</v>
      </c>
      <c r="I12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87" customFormat="false" ht="15" hidden="false" customHeight="false" outlineLevel="0" collapsed="false">
      <c r="A1287" s="41"/>
      <c r="G1287" s="38" t="n">
        <f aca="false">MONTH(A1287)</f>
        <v>12</v>
      </c>
      <c r="H1287" s="38" t="n">
        <f aca="false">YEAR(Tabela1[[#This Row],[FECHA]])</f>
        <v>1900</v>
      </c>
      <c r="I12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88" customFormat="false" ht="15" hidden="false" customHeight="false" outlineLevel="0" collapsed="false">
      <c r="A1288" s="41"/>
      <c r="G1288" s="38" t="n">
        <f aca="false">MONTH(A1288)</f>
        <v>12</v>
      </c>
      <c r="H1288" s="38" t="n">
        <f aca="false">YEAR(Tabela1[[#This Row],[FECHA]])</f>
        <v>1900</v>
      </c>
      <c r="I12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89" customFormat="false" ht="15" hidden="false" customHeight="false" outlineLevel="0" collapsed="false">
      <c r="A1289" s="41"/>
      <c r="G1289" s="38" t="n">
        <f aca="false">MONTH(A1289)</f>
        <v>12</v>
      </c>
      <c r="H1289" s="38" t="n">
        <f aca="false">YEAR(Tabela1[[#This Row],[FECHA]])</f>
        <v>1900</v>
      </c>
      <c r="I12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90" customFormat="false" ht="15" hidden="false" customHeight="false" outlineLevel="0" collapsed="false">
      <c r="A1290" s="41"/>
      <c r="G1290" s="38" t="n">
        <f aca="false">MONTH(A1290)</f>
        <v>12</v>
      </c>
      <c r="H1290" s="38" t="n">
        <f aca="false">YEAR(Tabela1[[#This Row],[FECHA]])</f>
        <v>1900</v>
      </c>
      <c r="I12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91" customFormat="false" ht="15" hidden="false" customHeight="false" outlineLevel="0" collapsed="false">
      <c r="A1291" s="41"/>
      <c r="G1291" s="38" t="n">
        <f aca="false">MONTH(A1291)</f>
        <v>12</v>
      </c>
      <c r="H1291" s="38" t="n">
        <f aca="false">YEAR(Tabela1[[#This Row],[FECHA]])</f>
        <v>1900</v>
      </c>
      <c r="I12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92" customFormat="false" ht="15" hidden="false" customHeight="false" outlineLevel="0" collapsed="false">
      <c r="A1292" s="41"/>
      <c r="G1292" s="38" t="n">
        <f aca="false">MONTH(A1292)</f>
        <v>12</v>
      </c>
      <c r="H1292" s="38" t="n">
        <f aca="false">YEAR(Tabela1[[#This Row],[FECHA]])</f>
        <v>1900</v>
      </c>
      <c r="I12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93" customFormat="false" ht="15" hidden="false" customHeight="false" outlineLevel="0" collapsed="false">
      <c r="A1293" s="41"/>
      <c r="G1293" s="38" t="n">
        <f aca="false">MONTH(A1293)</f>
        <v>12</v>
      </c>
      <c r="H1293" s="38" t="n">
        <f aca="false">YEAR(Tabela1[[#This Row],[FECHA]])</f>
        <v>1900</v>
      </c>
      <c r="I12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94" customFormat="false" ht="15" hidden="false" customHeight="false" outlineLevel="0" collapsed="false">
      <c r="A1294" s="41"/>
      <c r="G1294" s="38" t="n">
        <f aca="false">MONTH(A1294)</f>
        <v>12</v>
      </c>
      <c r="H1294" s="38" t="n">
        <f aca="false">YEAR(Tabela1[[#This Row],[FECHA]])</f>
        <v>1900</v>
      </c>
      <c r="I12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95" customFormat="false" ht="15" hidden="false" customHeight="false" outlineLevel="0" collapsed="false">
      <c r="A1295" s="41"/>
      <c r="G1295" s="38" t="n">
        <f aca="false">MONTH(A1295)</f>
        <v>12</v>
      </c>
      <c r="H1295" s="38" t="n">
        <f aca="false">YEAR(Tabela1[[#This Row],[FECHA]])</f>
        <v>1900</v>
      </c>
      <c r="I12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96" customFormat="false" ht="15" hidden="false" customHeight="false" outlineLevel="0" collapsed="false">
      <c r="A1296" s="41"/>
      <c r="G1296" s="38" t="n">
        <f aca="false">MONTH(A1296)</f>
        <v>12</v>
      </c>
      <c r="H1296" s="38" t="n">
        <f aca="false">YEAR(Tabela1[[#This Row],[FECHA]])</f>
        <v>1900</v>
      </c>
      <c r="I12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97" customFormat="false" ht="15" hidden="false" customHeight="false" outlineLevel="0" collapsed="false">
      <c r="A1297" s="41"/>
      <c r="G1297" s="38" t="n">
        <f aca="false">MONTH(A1297)</f>
        <v>12</v>
      </c>
      <c r="H1297" s="38" t="n">
        <f aca="false">YEAR(Tabela1[[#This Row],[FECHA]])</f>
        <v>1900</v>
      </c>
      <c r="I12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98" customFormat="false" ht="15" hidden="false" customHeight="false" outlineLevel="0" collapsed="false">
      <c r="A1298" s="41"/>
      <c r="G1298" s="38" t="n">
        <f aca="false">MONTH(A1298)</f>
        <v>12</v>
      </c>
      <c r="H1298" s="38" t="n">
        <f aca="false">YEAR(Tabela1[[#This Row],[FECHA]])</f>
        <v>1900</v>
      </c>
      <c r="I12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299" customFormat="false" ht="15" hidden="false" customHeight="false" outlineLevel="0" collapsed="false">
      <c r="A1299" s="41"/>
      <c r="G1299" s="38" t="n">
        <f aca="false">MONTH(A1299)</f>
        <v>12</v>
      </c>
      <c r="H1299" s="38" t="n">
        <f aca="false">YEAR(Tabela1[[#This Row],[FECHA]])</f>
        <v>1900</v>
      </c>
      <c r="I12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00" customFormat="false" ht="15" hidden="false" customHeight="false" outlineLevel="0" collapsed="false">
      <c r="A1300" s="41"/>
      <c r="G1300" s="38" t="n">
        <f aca="false">MONTH(A1300)</f>
        <v>12</v>
      </c>
      <c r="H1300" s="38" t="n">
        <f aca="false">YEAR(Tabela1[[#This Row],[FECHA]])</f>
        <v>1900</v>
      </c>
      <c r="I13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01" customFormat="false" ht="15" hidden="false" customHeight="false" outlineLevel="0" collapsed="false">
      <c r="A1301" s="41"/>
      <c r="G1301" s="38" t="n">
        <f aca="false">MONTH(A1301)</f>
        <v>12</v>
      </c>
      <c r="H1301" s="38" t="n">
        <f aca="false">YEAR(Tabela1[[#This Row],[FECHA]])</f>
        <v>1900</v>
      </c>
      <c r="I13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02" customFormat="false" ht="15" hidden="false" customHeight="false" outlineLevel="0" collapsed="false">
      <c r="A1302" s="41"/>
      <c r="G1302" s="38" t="n">
        <f aca="false">MONTH(A1302)</f>
        <v>12</v>
      </c>
      <c r="H1302" s="38" t="n">
        <f aca="false">YEAR(Tabela1[[#This Row],[FECHA]])</f>
        <v>1900</v>
      </c>
      <c r="I13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03" customFormat="false" ht="15" hidden="false" customHeight="false" outlineLevel="0" collapsed="false">
      <c r="A1303" s="41"/>
      <c r="G1303" s="38" t="n">
        <f aca="false">MONTH(A1303)</f>
        <v>12</v>
      </c>
      <c r="H1303" s="38" t="n">
        <f aca="false">YEAR(Tabela1[[#This Row],[FECHA]])</f>
        <v>1900</v>
      </c>
      <c r="I13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04" customFormat="false" ht="15" hidden="false" customHeight="false" outlineLevel="0" collapsed="false">
      <c r="A1304" s="41"/>
      <c r="G1304" s="38" t="n">
        <f aca="false">MONTH(A1304)</f>
        <v>12</v>
      </c>
      <c r="H1304" s="38" t="n">
        <f aca="false">YEAR(Tabela1[[#This Row],[FECHA]])</f>
        <v>1900</v>
      </c>
      <c r="I13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05" customFormat="false" ht="15" hidden="false" customHeight="false" outlineLevel="0" collapsed="false">
      <c r="A1305" s="41"/>
      <c r="G1305" s="38" t="n">
        <f aca="false">MONTH(A1305)</f>
        <v>12</v>
      </c>
      <c r="H1305" s="38" t="n">
        <f aca="false">YEAR(Tabela1[[#This Row],[FECHA]])</f>
        <v>1900</v>
      </c>
      <c r="I13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06" customFormat="false" ht="15" hidden="false" customHeight="false" outlineLevel="0" collapsed="false">
      <c r="A1306" s="41"/>
      <c r="G1306" s="38" t="n">
        <f aca="false">MONTH(A1306)</f>
        <v>12</v>
      </c>
      <c r="H1306" s="38" t="n">
        <f aca="false">YEAR(Tabela1[[#This Row],[FECHA]])</f>
        <v>1900</v>
      </c>
      <c r="I13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07" customFormat="false" ht="15" hidden="false" customHeight="false" outlineLevel="0" collapsed="false">
      <c r="A1307" s="41"/>
      <c r="G1307" s="38" t="n">
        <f aca="false">MONTH(A1307)</f>
        <v>12</v>
      </c>
      <c r="H1307" s="38" t="n">
        <f aca="false">YEAR(Tabela1[[#This Row],[FECHA]])</f>
        <v>1900</v>
      </c>
      <c r="I13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08" customFormat="false" ht="15" hidden="false" customHeight="false" outlineLevel="0" collapsed="false">
      <c r="A1308" s="41"/>
      <c r="G1308" s="38" t="n">
        <f aca="false">MONTH(A1308)</f>
        <v>12</v>
      </c>
      <c r="H1308" s="38" t="n">
        <f aca="false">YEAR(Tabela1[[#This Row],[FECHA]])</f>
        <v>1900</v>
      </c>
      <c r="I13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09" customFormat="false" ht="15" hidden="false" customHeight="false" outlineLevel="0" collapsed="false">
      <c r="A1309" s="41"/>
      <c r="G1309" s="38" t="n">
        <f aca="false">MONTH(A1309)</f>
        <v>12</v>
      </c>
      <c r="H1309" s="38" t="n">
        <f aca="false">YEAR(Tabela1[[#This Row],[FECHA]])</f>
        <v>1900</v>
      </c>
      <c r="I13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10" customFormat="false" ht="15" hidden="false" customHeight="false" outlineLevel="0" collapsed="false">
      <c r="A1310" s="41"/>
      <c r="G1310" s="38" t="n">
        <f aca="false">MONTH(A1310)</f>
        <v>12</v>
      </c>
      <c r="H1310" s="38" t="n">
        <f aca="false">YEAR(Tabela1[[#This Row],[FECHA]])</f>
        <v>1900</v>
      </c>
      <c r="I13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11" customFormat="false" ht="15" hidden="false" customHeight="false" outlineLevel="0" collapsed="false">
      <c r="A1311" s="41"/>
      <c r="G1311" s="38" t="n">
        <f aca="false">MONTH(A1311)</f>
        <v>12</v>
      </c>
      <c r="H1311" s="38" t="n">
        <f aca="false">YEAR(Tabela1[[#This Row],[FECHA]])</f>
        <v>1900</v>
      </c>
      <c r="I13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12" customFormat="false" ht="15" hidden="false" customHeight="false" outlineLevel="0" collapsed="false">
      <c r="A1312" s="41"/>
      <c r="G1312" s="38" t="n">
        <f aca="false">MONTH(A1312)</f>
        <v>12</v>
      </c>
      <c r="H1312" s="38" t="n">
        <f aca="false">YEAR(Tabela1[[#This Row],[FECHA]])</f>
        <v>1900</v>
      </c>
      <c r="I13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13" customFormat="false" ht="15" hidden="false" customHeight="false" outlineLevel="0" collapsed="false">
      <c r="A1313" s="41"/>
      <c r="G1313" s="38" t="n">
        <f aca="false">MONTH(A1313)</f>
        <v>12</v>
      </c>
      <c r="H1313" s="38" t="n">
        <f aca="false">YEAR(Tabela1[[#This Row],[FECHA]])</f>
        <v>1900</v>
      </c>
      <c r="I13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14" customFormat="false" ht="15" hidden="false" customHeight="false" outlineLevel="0" collapsed="false">
      <c r="A1314" s="41"/>
      <c r="G1314" s="38" t="n">
        <f aca="false">MONTH(A1314)</f>
        <v>12</v>
      </c>
      <c r="H1314" s="38" t="n">
        <f aca="false">YEAR(Tabela1[[#This Row],[FECHA]])</f>
        <v>1900</v>
      </c>
      <c r="I13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15" customFormat="false" ht="15" hidden="false" customHeight="false" outlineLevel="0" collapsed="false">
      <c r="A1315" s="41"/>
      <c r="G1315" s="38" t="n">
        <f aca="false">MONTH(A1315)</f>
        <v>12</v>
      </c>
      <c r="H1315" s="38" t="n">
        <f aca="false">YEAR(Tabela1[[#This Row],[FECHA]])</f>
        <v>1900</v>
      </c>
      <c r="I13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16" customFormat="false" ht="15" hidden="false" customHeight="false" outlineLevel="0" collapsed="false">
      <c r="A1316" s="41"/>
      <c r="G1316" s="38" t="n">
        <f aca="false">MONTH(A1316)</f>
        <v>12</v>
      </c>
      <c r="H1316" s="38" t="n">
        <f aca="false">YEAR(Tabela1[[#This Row],[FECHA]])</f>
        <v>1900</v>
      </c>
      <c r="I13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17" customFormat="false" ht="15" hidden="false" customHeight="false" outlineLevel="0" collapsed="false">
      <c r="A1317" s="41"/>
      <c r="G1317" s="38" t="n">
        <f aca="false">MONTH(A1317)</f>
        <v>12</v>
      </c>
      <c r="H1317" s="38" t="n">
        <f aca="false">YEAR(Tabela1[[#This Row],[FECHA]])</f>
        <v>1900</v>
      </c>
      <c r="I13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18" customFormat="false" ht="15" hidden="false" customHeight="false" outlineLevel="0" collapsed="false">
      <c r="A1318" s="41"/>
      <c r="G1318" s="38" t="n">
        <f aca="false">MONTH(A1318)</f>
        <v>12</v>
      </c>
      <c r="H1318" s="38" t="n">
        <f aca="false">YEAR(Tabela1[[#This Row],[FECHA]])</f>
        <v>1900</v>
      </c>
      <c r="I13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19" customFormat="false" ht="15" hidden="false" customHeight="false" outlineLevel="0" collapsed="false">
      <c r="A1319" s="41"/>
      <c r="G1319" s="38" t="n">
        <f aca="false">MONTH(A1319)</f>
        <v>12</v>
      </c>
      <c r="H1319" s="38" t="n">
        <f aca="false">YEAR(Tabela1[[#This Row],[FECHA]])</f>
        <v>1900</v>
      </c>
      <c r="I13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20" customFormat="false" ht="15" hidden="false" customHeight="false" outlineLevel="0" collapsed="false">
      <c r="A1320" s="41"/>
      <c r="G1320" s="38" t="n">
        <f aca="false">MONTH(A1320)</f>
        <v>12</v>
      </c>
      <c r="H1320" s="38" t="n">
        <f aca="false">YEAR(Tabela1[[#This Row],[FECHA]])</f>
        <v>1900</v>
      </c>
      <c r="I13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21" customFormat="false" ht="15" hidden="false" customHeight="false" outlineLevel="0" collapsed="false">
      <c r="A1321" s="41"/>
      <c r="G1321" s="38" t="n">
        <f aca="false">MONTH(A1321)</f>
        <v>12</v>
      </c>
      <c r="H1321" s="38" t="n">
        <f aca="false">YEAR(Tabela1[[#This Row],[FECHA]])</f>
        <v>1900</v>
      </c>
      <c r="I13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22" customFormat="false" ht="15" hidden="false" customHeight="false" outlineLevel="0" collapsed="false">
      <c r="A1322" s="41"/>
      <c r="G1322" s="38" t="n">
        <f aca="false">MONTH(A1322)</f>
        <v>12</v>
      </c>
      <c r="H1322" s="38" t="n">
        <f aca="false">YEAR(Tabela1[[#This Row],[FECHA]])</f>
        <v>1900</v>
      </c>
      <c r="I13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23" customFormat="false" ht="15" hidden="false" customHeight="false" outlineLevel="0" collapsed="false">
      <c r="A1323" s="41"/>
      <c r="G1323" s="38" t="n">
        <f aca="false">MONTH(A1323)</f>
        <v>12</v>
      </c>
      <c r="H1323" s="38" t="n">
        <f aca="false">YEAR(Tabela1[[#This Row],[FECHA]])</f>
        <v>1900</v>
      </c>
      <c r="I13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24" customFormat="false" ht="15" hidden="false" customHeight="false" outlineLevel="0" collapsed="false">
      <c r="A1324" s="41"/>
      <c r="G1324" s="38" t="n">
        <f aca="false">MONTH(A1324)</f>
        <v>12</v>
      </c>
      <c r="H1324" s="38" t="n">
        <f aca="false">YEAR(Tabela1[[#This Row],[FECHA]])</f>
        <v>1900</v>
      </c>
      <c r="I13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25" customFormat="false" ht="15" hidden="false" customHeight="false" outlineLevel="0" collapsed="false">
      <c r="A1325" s="41"/>
      <c r="G1325" s="38" t="n">
        <f aca="false">MONTH(A1325)</f>
        <v>12</v>
      </c>
      <c r="H1325" s="38" t="n">
        <f aca="false">YEAR(Tabela1[[#This Row],[FECHA]])</f>
        <v>1900</v>
      </c>
      <c r="I13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26" customFormat="false" ht="15" hidden="false" customHeight="false" outlineLevel="0" collapsed="false">
      <c r="A1326" s="41"/>
      <c r="G1326" s="38" t="n">
        <f aca="false">MONTH(A1326)</f>
        <v>12</v>
      </c>
      <c r="H1326" s="38" t="n">
        <f aca="false">YEAR(Tabela1[[#This Row],[FECHA]])</f>
        <v>1900</v>
      </c>
      <c r="I13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27" customFormat="false" ht="15" hidden="false" customHeight="false" outlineLevel="0" collapsed="false">
      <c r="A1327" s="41"/>
      <c r="G1327" s="38" t="n">
        <f aca="false">MONTH(A1327)</f>
        <v>12</v>
      </c>
      <c r="H1327" s="38" t="n">
        <f aca="false">YEAR(Tabela1[[#This Row],[FECHA]])</f>
        <v>1900</v>
      </c>
      <c r="I13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28" customFormat="false" ht="15" hidden="false" customHeight="false" outlineLevel="0" collapsed="false">
      <c r="A1328" s="41"/>
      <c r="G1328" s="38" t="n">
        <f aca="false">MONTH(A1328)</f>
        <v>12</v>
      </c>
      <c r="H1328" s="38" t="n">
        <f aca="false">YEAR(Tabela1[[#This Row],[FECHA]])</f>
        <v>1900</v>
      </c>
      <c r="I13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29" customFormat="false" ht="15" hidden="false" customHeight="false" outlineLevel="0" collapsed="false">
      <c r="A1329" s="41"/>
      <c r="G1329" s="38" t="n">
        <f aca="false">MONTH(A1329)</f>
        <v>12</v>
      </c>
      <c r="H1329" s="38" t="n">
        <f aca="false">YEAR(Tabela1[[#This Row],[FECHA]])</f>
        <v>1900</v>
      </c>
      <c r="I13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30" customFormat="false" ht="15" hidden="false" customHeight="false" outlineLevel="0" collapsed="false">
      <c r="A1330" s="41"/>
      <c r="G1330" s="38" t="n">
        <f aca="false">MONTH(A1330)</f>
        <v>12</v>
      </c>
      <c r="H1330" s="38" t="n">
        <f aca="false">YEAR(Tabela1[[#This Row],[FECHA]])</f>
        <v>1900</v>
      </c>
      <c r="I13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31" customFormat="false" ht="15" hidden="false" customHeight="false" outlineLevel="0" collapsed="false">
      <c r="A1331" s="41"/>
      <c r="G1331" s="38" t="n">
        <f aca="false">MONTH(A1331)</f>
        <v>12</v>
      </c>
      <c r="H1331" s="38" t="n">
        <f aca="false">YEAR(Tabela1[[#This Row],[FECHA]])</f>
        <v>1900</v>
      </c>
      <c r="I13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32" customFormat="false" ht="15" hidden="false" customHeight="false" outlineLevel="0" collapsed="false">
      <c r="A1332" s="41"/>
      <c r="G1332" s="38" t="n">
        <f aca="false">MONTH(A1332)</f>
        <v>12</v>
      </c>
      <c r="H1332" s="38" t="n">
        <f aca="false">YEAR(Tabela1[[#This Row],[FECHA]])</f>
        <v>1900</v>
      </c>
      <c r="I13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33" customFormat="false" ht="15" hidden="false" customHeight="false" outlineLevel="0" collapsed="false">
      <c r="A1333" s="41"/>
      <c r="G1333" s="38" t="n">
        <f aca="false">MONTH(A1333)</f>
        <v>12</v>
      </c>
      <c r="H1333" s="38" t="n">
        <f aca="false">YEAR(Tabela1[[#This Row],[FECHA]])</f>
        <v>1900</v>
      </c>
      <c r="I13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34" customFormat="false" ht="15" hidden="false" customHeight="false" outlineLevel="0" collapsed="false">
      <c r="A1334" s="41"/>
      <c r="G1334" s="38" t="n">
        <f aca="false">MONTH(A1334)</f>
        <v>12</v>
      </c>
      <c r="H1334" s="38" t="n">
        <f aca="false">YEAR(Tabela1[[#This Row],[FECHA]])</f>
        <v>1900</v>
      </c>
      <c r="I13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35" customFormat="false" ht="15" hidden="false" customHeight="false" outlineLevel="0" collapsed="false">
      <c r="A1335" s="41"/>
      <c r="G1335" s="38" t="n">
        <f aca="false">MONTH(A1335)</f>
        <v>12</v>
      </c>
      <c r="H1335" s="38" t="n">
        <f aca="false">YEAR(Tabela1[[#This Row],[FECHA]])</f>
        <v>1900</v>
      </c>
      <c r="I13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36" customFormat="false" ht="15" hidden="false" customHeight="false" outlineLevel="0" collapsed="false">
      <c r="A1336" s="41"/>
      <c r="G1336" s="38" t="n">
        <f aca="false">MONTH(A1336)</f>
        <v>12</v>
      </c>
      <c r="H1336" s="38" t="n">
        <f aca="false">YEAR(Tabela1[[#This Row],[FECHA]])</f>
        <v>1900</v>
      </c>
      <c r="I13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37" customFormat="false" ht="15" hidden="false" customHeight="false" outlineLevel="0" collapsed="false">
      <c r="A1337" s="41"/>
      <c r="G1337" s="38" t="n">
        <f aca="false">MONTH(A1337)</f>
        <v>12</v>
      </c>
      <c r="H1337" s="38" t="n">
        <f aca="false">YEAR(Tabela1[[#This Row],[FECHA]])</f>
        <v>1900</v>
      </c>
      <c r="I13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38" customFormat="false" ht="15" hidden="false" customHeight="false" outlineLevel="0" collapsed="false">
      <c r="A1338" s="41"/>
      <c r="G1338" s="38" t="n">
        <f aca="false">MONTH(A1338)</f>
        <v>12</v>
      </c>
      <c r="H1338" s="38" t="n">
        <f aca="false">YEAR(Tabela1[[#This Row],[FECHA]])</f>
        <v>1900</v>
      </c>
      <c r="I13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39" customFormat="false" ht="15" hidden="false" customHeight="false" outlineLevel="0" collapsed="false">
      <c r="A1339" s="41"/>
      <c r="G1339" s="38" t="n">
        <f aca="false">MONTH(A1339)</f>
        <v>12</v>
      </c>
      <c r="H1339" s="38" t="n">
        <f aca="false">YEAR(Tabela1[[#This Row],[FECHA]])</f>
        <v>1900</v>
      </c>
      <c r="I13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40" customFormat="false" ht="15" hidden="false" customHeight="false" outlineLevel="0" collapsed="false">
      <c r="A1340" s="41"/>
      <c r="G1340" s="38" t="n">
        <f aca="false">MONTH(A1340)</f>
        <v>12</v>
      </c>
      <c r="H1340" s="38" t="n">
        <f aca="false">YEAR(Tabela1[[#This Row],[FECHA]])</f>
        <v>1900</v>
      </c>
      <c r="I13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41" customFormat="false" ht="15" hidden="false" customHeight="false" outlineLevel="0" collapsed="false">
      <c r="A1341" s="41"/>
      <c r="G1341" s="38" t="n">
        <f aca="false">MONTH(A1341)</f>
        <v>12</v>
      </c>
      <c r="H1341" s="38" t="n">
        <f aca="false">YEAR(Tabela1[[#This Row],[FECHA]])</f>
        <v>1900</v>
      </c>
      <c r="I13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42" customFormat="false" ht="15" hidden="false" customHeight="false" outlineLevel="0" collapsed="false">
      <c r="A1342" s="41"/>
      <c r="G1342" s="38" t="n">
        <f aca="false">MONTH(A1342)</f>
        <v>12</v>
      </c>
      <c r="H1342" s="38" t="n">
        <f aca="false">YEAR(Tabela1[[#This Row],[FECHA]])</f>
        <v>1900</v>
      </c>
      <c r="I13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43" customFormat="false" ht="15" hidden="false" customHeight="false" outlineLevel="0" collapsed="false">
      <c r="A1343" s="41"/>
      <c r="G1343" s="38" t="n">
        <f aca="false">MONTH(A1343)</f>
        <v>12</v>
      </c>
      <c r="H1343" s="38" t="n">
        <f aca="false">YEAR(Tabela1[[#This Row],[FECHA]])</f>
        <v>1900</v>
      </c>
      <c r="I13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44" customFormat="false" ht="15" hidden="false" customHeight="false" outlineLevel="0" collapsed="false">
      <c r="A1344" s="41"/>
      <c r="G1344" s="38" t="n">
        <f aca="false">MONTH(A1344)</f>
        <v>12</v>
      </c>
      <c r="H1344" s="38" t="n">
        <f aca="false">YEAR(Tabela1[[#This Row],[FECHA]])</f>
        <v>1900</v>
      </c>
      <c r="I13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45" customFormat="false" ht="15" hidden="false" customHeight="false" outlineLevel="0" collapsed="false">
      <c r="A1345" s="41"/>
      <c r="G1345" s="38" t="n">
        <f aca="false">MONTH(A1345)</f>
        <v>12</v>
      </c>
      <c r="H1345" s="38" t="n">
        <f aca="false">YEAR(Tabela1[[#This Row],[FECHA]])</f>
        <v>1900</v>
      </c>
      <c r="I13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46" customFormat="false" ht="15" hidden="false" customHeight="false" outlineLevel="0" collapsed="false">
      <c r="A1346" s="41"/>
      <c r="G1346" s="38" t="n">
        <f aca="false">MONTH(A1346)</f>
        <v>12</v>
      </c>
      <c r="H1346" s="38" t="n">
        <f aca="false">YEAR(Tabela1[[#This Row],[FECHA]])</f>
        <v>1900</v>
      </c>
      <c r="I13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47" customFormat="false" ht="15" hidden="false" customHeight="false" outlineLevel="0" collapsed="false">
      <c r="A1347" s="41"/>
      <c r="G1347" s="38" t="n">
        <f aca="false">MONTH(A1347)</f>
        <v>12</v>
      </c>
      <c r="H1347" s="38" t="n">
        <f aca="false">YEAR(Tabela1[[#This Row],[FECHA]])</f>
        <v>1900</v>
      </c>
      <c r="I13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48" customFormat="false" ht="15" hidden="false" customHeight="false" outlineLevel="0" collapsed="false">
      <c r="A1348" s="41"/>
      <c r="G1348" s="38" t="n">
        <f aca="false">MONTH(A1348)</f>
        <v>12</v>
      </c>
      <c r="H1348" s="38" t="n">
        <f aca="false">YEAR(Tabela1[[#This Row],[FECHA]])</f>
        <v>1900</v>
      </c>
      <c r="I13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49" customFormat="false" ht="15" hidden="false" customHeight="false" outlineLevel="0" collapsed="false">
      <c r="A1349" s="41"/>
      <c r="G1349" s="38" t="n">
        <f aca="false">MONTH(A1349)</f>
        <v>12</v>
      </c>
      <c r="H1349" s="38" t="n">
        <f aca="false">YEAR(Tabela1[[#This Row],[FECHA]])</f>
        <v>1900</v>
      </c>
      <c r="I13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50" customFormat="false" ht="15" hidden="false" customHeight="false" outlineLevel="0" collapsed="false">
      <c r="A1350" s="41"/>
      <c r="G1350" s="38" t="n">
        <f aca="false">MONTH(A1350)</f>
        <v>12</v>
      </c>
      <c r="H1350" s="38" t="n">
        <f aca="false">YEAR(Tabela1[[#This Row],[FECHA]])</f>
        <v>1900</v>
      </c>
      <c r="I13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51" customFormat="false" ht="15" hidden="false" customHeight="false" outlineLevel="0" collapsed="false">
      <c r="A1351" s="41"/>
      <c r="G1351" s="38" t="n">
        <f aca="false">MONTH(A1351)</f>
        <v>12</v>
      </c>
      <c r="H1351" s="38" t="n">
        <f aca="false">YEAR(Tabela1[[#This Row],[FECHA]])</f>
        <v>1900</v>
      </c>
      <c r="I13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52" customFormat="false" ht="15" hidden="false" customHeight="false" outlineLevel="0" collapsed="false">
      <c r="A1352" s="41"/>
      <c r="G1352" s="38" t="n">
        <f aca="false">MONTH(A1352)</f>
        <v>12</v>
      </c>
      <c r="H1352" s="38" t="n">
        <f aca="false">YEAR(Tabela1[[#This Row],[FECHA]])</f>
        <v>1900</v>
      </c>
      <c r="I13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53" customFormat="false" ht="15" hidden="false" customHeight="false" outlineLevel="0" collapsed="false">
      <c r="A1353" s="41"/>
      <c r="G1353" s="38" t="n">
        <f aca="false">MONTH(A1353)</f>
        <v>12</v>
      </c>
      <c r="H1353" s="38" t="n">
        <f aca="false">YEAR(Tabela1[[#This Row],[FECHA]])</f>
        <v>1900</v>
      </c>
      <c r="I13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54" customFormat="false" ht="15" hidden="false" customHeight="false" outlineLevel="0" collapsed="false">
      <c r="A1354" s="41"/>
      <c r="G1354" s="38" t="n">
        <f aca="false">MONTH(A1354)</f>
        <v>12</v>
      </c>
      <c r="H1354" s="38" t="n">
        <f aca="false">YEAR(Tabela1[[#This Row],[FECHA]])</f>
        <v>1900</v>
      </c>
      <c r="I13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55" customFormat="false" ht="15" hidden="false" customHeight="false" outlineLevel="0" collapsed="false">
      <c r="A1355" s="41"/>
      <c r="G1355" s="38" t="n">
        <f aca="false">MONTH(A1355)</f>
        <v>12</v>
      </c>
      <c r="H1355" s="38" t="n">
        <f aca="false">YEAR(Tabela1[[#This Row],[FECHA]])</f>
        <v>1900</v>
      </c>
      <c r="I13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56" customFormat="false" ht="15" hidden="false" customHeight="false" outlineLevel="0" collapsed="false">
      <c r="A1356" s="41"/>
      <c r="G1356" s="38" t="n">
        <f aca="false">MONTH(A1356)</f>
        <v>12</v>
      </c>
      <c r="H1356" s="38" t="n">
        <f aca="false">YEAR(Tabela1[[#This Row],[FECHA]])</f>
        <v>1900</v>
      </c>
      <c r="I13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57" customFormat="false" ht="15" hidden="false" customHeight="false" outlineLevel="0" collapsed="false">
      <c r="A1357" s="41"/>
      <c r="G1357" s="38" t="n">
        <f aca="false">MONTH(A1357)</f>
        <v>12</v>
      </c>
      <c r="H1357" s="38" t="n">
        <f aca="false">YEAR(Tabela1[[#This Row],[FECHA]])</f>
        <v>1900</v>
      </c>
      <c r="I13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58" customFormat="false" ht="15" hidden="false" customHeight="false" outlineLevel="0" collapsed="false">
      <c r="A1358" s="41"/>
      <c r="G1358" s="38" t="n">
        <f aca="false">MONTH(A1358)</f>
        <v>12</v>
      </c>
      <c r="H1358" s="38" t="n">
        <f aca="false">YEAR(Tabela1[[#This Row],[FECHA]])</f>
        <v>1900</v>
      </c>
      <c r="I13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59" customFormat="false" ht="15" hidden="false" customHeight="false" outlineLevel="0" collapsed="false">
      <c r="A1359" s="41"/>
      <c r="G1359" s="38" t="n">
        <f aca="false">MONTH(A1359)</f>
        <v>12</v>
      </c>
      <c r="H1359" s="38" t="n">
        <f aca="false">YEAR(Tabela1[[#This Row],[FECHA]])</f>
        <v>1900</v>
      </c>
      <c r="I13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60" customFormat="false" ht="15" hidden="false" customHeight="false" outlineLevel="0" collapsed="false">
      <c r="A1360" s="41"/>
      <c r="G1360" s="38" t="n">
        <f aca="false">MONTH(A1360)</f>
        <v>12</v>
      </c>
      <c r="H1360" s="38" t="n">
        <f aca="false">YEAR(Tabela1[[#This Row],[FECHA]])</f>
        <v>1900</v>
      </c>
      <c r="I13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61" customFormat="false" ht="15" hidden="false" customHeight="false" outlineLevel="0" collapsed="false">
      <c r="A1361" s="41"/>
      <c r="G1361" s="38" t="n">
        <f aca="false">MONTH(A1361)</f>
        <v>12</v>
      </c>
      <c r="H1361" s="38" t="n">
        <f aca="false">YEAR(Tabela1[[#This Row],[FECHA]])</f>
        <v>1900</v>
      </c>
      <c r="I13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62" customFormat="false" ht="15" hidden="false" customHeight="false" outlineLevel="0" collapsed="false">
      <c r="A1362" s="41"/>
      <c r="G1362" s="38" t="n">
        <f aca="false">MONTH(A1362)</f>
        <v>12</v>
      </c>
      <c r="H1362" s="38" t="n">
        <f aca="false">YEAR(Tabela1[[#This Row],[FECHA]])</f>
        <v>1900</v>
      </c>
      <c r="I13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63" customFormat="false" ht="15" hidden="false" customHeight="false" outlineLevel="0" collapsed="false">
      <c r="A1363" s="41"/>
      <c r="G1363" s="38" t="n">
        <f aca="false">MONTH(A1363)</f>
        <v>12</v>
      </c>
      <c r="H1363" s="38" t="n">
        <f aca="false">YEAR(Tabela1[[#This Row],[FECHA]])</f>
        <v>1900</v>
      </c>
      <c r="I13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64" customFormat="false" ht="15" hidden="false" customHeight="false" outlineLevel="0" collapsed="false">
      <c r="A1364" s="41"/>
      <c r="G1364" s="38" t="n">
        <f aca="false">MONTH(A1364)</f>
        <v>12</v>
      </c>
      <c r="H1364" s="38" t="n">
        <f aca="false">YEAR(Tabela1[[#This Row],[FECHA]])</f>
        <v>1900</v>
      </c>
      <c r="I13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65" customFormat="false" ht="15" hidden="false" customHeight="false" outlineLevel="0" collapsed="false">
      <c r="A1365" s="41"/>
      <c r="G1365" s="38" t="n">
        <f aca="false">MONTH(A1365)</f>
        <v>12</v>
      </c>
      <c r="H1365" s="38" t="n">
        <f aca="false">YEAR(Tabela1[[#This Row],[FECHA]])</f>
        <v>1900</v>
      </c>
      <c r="I13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66" customFormat="false" ht="15" hidden="false" customHeight="false" outlineLevel="0" collapsed="false">
      <c r="A1366" s="41"/>
      <c r="G1366" s="38" t="n">
        <f aca="false">MONTH(A1366)</f>
        <v>12</v>
      </c>
      <c r="H1366" s="38" t="n">
        <f aca="false">YEAR(Tabela1[[#This Row],[FECHA]])</f>
        <v>1900</v>
      </c>
      <c r="I13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67" customFormat="false" ht="15" hidden="false" customHeight="false" outlineLevel="0" collapsed="false">
      <c r="A1367" s="41"/>
      <c r="G1367" s="38" t="n">
        <f aca="false">MONTH(A1367)</f>
        <v>12</v>
      </c>
      <c r="H1367" s="38" t="n">
        <f aca="false">YEAR(Tabela1[[#This Row],[FECHA]])</f>
        <v>1900</v>
      </c>
      <c r="I13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68" customFormat="false" ht="15" hidden="false" customHeight="false" outlineLevel="0" collapsed="false">
      <c r="A1368" s="41"/>
      <c r="G1368" s="38" t="n">
        <f aca="false">MONTH(A1368)</f>
        <v>12</v>
      </c>
      <c r="H1368" s="38" t="n">
        <f aca="false">YEAR(Tabela1[[#This Row],[FECHA]])</f>
        <v>1900</v>
      </c>
      <c r="I13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69" customFormat="false" ht="15" hidden="false" customHeight="false" outlineLevel="0" collapsed="false">
      <c r="A1369" s="41"/>
      <c r="G1369" s="38" t="n">
        <f aca="false">MONTH(A1369)</f>
        <v>12</v>
      </c>
      <c r="H1369" s="38" t="n">
        <f aca="false">YEAR(Tabela1[[#This Row],[FECHA]])</f>
        <v>1900</v>
      </c>
      <c r="I13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70" customFormat="false" ht="15" hidden="false" customHeight="false" outlineLevel="0" collapsed="false">
      <c r="A1370" s="41"/>
      <c r="G1370" s="38" t="n">
        <f aca="false">MONTH(A1370)</f>
        <v>12</v>
      </c>
      <c r="H1370" s="38" t="n">
        <f aca="false">YEAR(Tabela1[[#This Row],[FECHA]])</f>
        <v>1900</v>
      </c>
      <c r="I13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71" customFormat="false" ht="15" hidden="false" customHeight="false" outlineLevel="0" collapsed="false">
      <c r="A1371" s="41"/>
      <c r="G1371" s="38" t="n">
        <f aca="false">MONTH(A1371)</f>
        <v>12</v>
      </c>
      <c r="H1371" s="38" t="n">
        <f aca="false">YEAR(Tabela1[[#This Row],[FECHA]])</f>
        <v>1900</v>
      </c>
      <c r="I13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72" customFormat="false" ht="15" hidden="false" customHeight="false" outlineLevel="0" collapsed="false">
      <c r="A1372" s="41"/>
      <c r="G1372" s="38" t="n">
        <f aca="false">MONTH(A1372)</f>
        <v>12</v>
      </c>
      <c r="H1372" s="38" t="n">
        <f aca="false">YEAR(Tabela1[[#This Row],[FECHA]])</f>
        <v>1900</v>
      </c>
      <c r="I13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73" customFormat="false" ht="15" hidden="false" customHeight="false" outlineLevel="0" collapsed="false">
      <c r="A1373" s="41"/>
      <c r="G1373" s="38" t="n">
        <f aca="false">MONTH(A1373)</f>
        <v>12</v>
      </c>
      <c r="H1373" s="38" t="n">
        <f aca="false">YEAR(Tabela1[[#This Row],[FECHA]])</f>
        <v>1900</v>
      </c>
      <c r="I13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74" customFormat="false" ht="15" hidden="false" customHeight="false" outlineLevel="0" collapsed="false">
      <c r="A1374" s="41"/>
      <c r="G1374" s="38" t="n">
        <f aca="false">MONTH(A1374)</f>
        <v>12</v>
      </c>
      <c r="H1374" s="38" t="n">
        <f aca="false">YEAR(Tabela1[[#This Row],[FECHA]])</f>
        <v>1900</v>
      </c>
      <c r="I13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75" customFormat="false" ht="15" hidden="false" customHeight="false" outlineLevel="0" collapsed="false">
      <c r="A1375" s="41"/>
      <c r="G1375" s="38" t="n">
        <f aca="false">MONTH(A1375)</f>
        <v>12</v>
      </c>
      <c r="H1375" s="38" t="n">
        <f aca="false">YEAR(Tabela1[[#This Row],[FECHA]])</f>
        <v>1900</v>
      </c>
      <c r="I13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76" customFormat="false" ht="15" hidden="false" customHeight="false" outlineLevel="0" collapsed="false">
      <c r="A1376" s="41"/>
      <c r="G1376" s="38" t="n">
        <f aca="false">MONTH(A1376)</f>
        <v>12</v>
      </c>
      <c r="H1376" s="38" t="n">
        <f aca="false">YEAR(Tabela1[[#This Row],[FECHA]])</f>
        <v>1900</v>
      </c>
      <c r="I13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77" customFormat="false" ht="15" hidden="false" customHeight="false" outlineLevel="0" collapsed="false">
      <c r="A1377" s="41"/>
      <c r="G1377" s="38" t="n">
        <f aca="false">MONTH(A1377)</f>
        <v>12</v>
      </c>
      <c r="H1377" s="38" t="n">
        <f aca="false">YEAR(Tabela1[[#This Row],[FECHA]])</f>
        <v>1900</v>
      </c>
      <c r="I13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78" customFormat="false" ht="15" hidden="false" customHeight="false" outlineLevel="0" collapsed="false">
      <c r="A1378" s="41"/>
      <c r="G1378" s="38" t="n">
        <f aca="false">MONTH(A1378)</f>
        <v>12</v>
      </c>
      <c r="H1378" s="38" t="n">
        <f aca="false">YEAR(Tabela1[[#This Row],[FECHA]])</f>
        <v>1900</v>
      </c>
      <c r="I13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79" customFormat="false" ht="15" hidden="false" customHeight="false" outlineLevel="0" collapsed="false">
      <c r="A1379" s="41"/>
      <c r="G1379" s="38" t="n">
        <f aca="false">MONTH(A1379)</f>
        <v>12</v>
      </c>
      <c r="H1379" s="38" t="n">
        <f aca="false">YEAR(Tabela1[[#This Row],[FECHA]])</f>
        <v>1900</v>
      </c>
      <c r="I13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80" customFormat="false" ht="15" hidden="false" customHeight="false" outlineLevel="0" collapsed="false">
      <c r="A1380" s="41"/>
      <c r="G1380" s="38" t="n">
        <f aca="false">MONTH(A1380)</f>
        <v>12</v>
      </c>
      <c r="H1380" s="38" t="n">
        <f aca="false">YEAR(Tabela1[[#This Row],[FECHA]])</f>
        <v>1900</v>
      </c>
      <c r="I13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81" customFormat="false" ht="15" hidden="false" customHeight="false" outlineLevel="0" collapsed="false">
      <c r="A1381" s="41"/>
      <c r="G1381" s="38" t="n">
        <f aca="false">MONTH(A1381)</f>
        <v>12</v>
      </c>
      <c r="H1381" s="38" t="n">
        <f aca="false">YEAR(Tabela1[[#This Row],[FECHA]])</f>
        <v>1900</v>
      </c>
      <c r="I13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82" customFormat="false" ht="15" hidden="false" customHeight="false" outlineLevel="0" collapsed="false">
      <c r="A1382" s="41"/>
      <c r="G1382" s="38" t="n">
        <f aca="false">MONTH(A1382)</f>
        <v>12</v>
      </c>
      <c r="H1382" s="38" t="n">
        <f aca="false">YEAR(Tabela1[[#This Row],[FECHA]])</f>
        <v>1900</v>
      </c>
      <c r="I13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83" customFormat="false" ht="15" hidden="false" customHeight="false" outlineLevel="0" collapsed="false">
      <c r="A1383" s="41"/>
      <c r="G1383" s="38" t="n">
        <f aca="false">MONTH(A1383)</f>
        <v>12</v>
      </c>
      <c r="H1383" s="38" t="n">
        <f aca="false">YEAR(Tabela1[[#This Row],[FECHA]])</f>
        <v>1900</v>
      </c>
      <c r="I13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84" customFormat="false" ht="15" hidden="false" customHeight="false" outlineLevel="0" collapsed="false">
      <c r="A1384" s="41"/>
      <c r="G1384" s="38" t="n">
        <f aca="false">MONTH(A1384)</f>
        <v>12</v>
      </c>
      <c r="H1384" s="38" t="n">
        <f aca="false">YEAR(Tabela1[[#This Row],[FECHA]])</f>
        <v>1900</v>
      </c>
      <c r="I13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85" customFormat="false" ht="15" hidden="false" customHeight="false" outlineLevel="0" collapsed="false">
      <c r="A1385" s="41"/>
      <c r="G1385" s="38" t="n">
        <f aca="false">MONTH(A1385)</f>
        <v>12</v>
      </c>
      <c r="H1385" s="38" t="n">
        <f aca="false">YEAR(Tabela1[[#This Row],[FECHA]])</f>
        <v>1900</v>
      </c>
      <c r="I13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86" customFormat="false" ht="15" hidden="false" customHeight="false" outlineLevel="0" collapsed="false">
      <c r="A1386" s="41"/>
      <c r="G1386" s="38" t="n">
        <f aca="false">MONTH(A1386)</f>
        <v>12</v>
      </c>
      <c r="H1386" s="38" t="n">
        <f aca="false">YEAR(Tabela1[[#This Row],[FECHA]])</f>
        <v>1900</v>
      </c>
      <c r="I13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87" customFormat="false" ht="15" hidden="false" customHeight="false" outlineLevel="0" collapsed="false">
      <c r="A1387" s="41"/>
      <c r="G1387" s="38" t="n">
        <f aca="false">MONTH(A1387)</f>
        <v>12</v>
      </c>
      <c r="H1387" s="38" t="n">
        <f aca="false">YEAR(Tabela1[[#This Row],[FECHA]])</f>
        <v>1900</v>
      </c>
      <c r="I13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88" customFormat="false" ht="15" hidden="false" customHeight="false" outlineLevel="0" collapsed="false">
      <c r="A1388" s="41"/>
      <c r="G1388" s="38" t="n">
        <f aca="false">MONTH(A1388)</f>
        <v>12</v>
      </c>
      <c r="H1388" s="38" t="n">
        <f aca="false">YEAR(Tabela1[[#This Row],[FECHA]])</f>
        <v>1900</v>
      </c>
      <c r="I13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89" customFormat="false" ht="15" hidden="false" customHeight="false" outlineLevel="0" collapsed="false">
      <c r="A1389" s="41"/>
      <c r="G1389" s="38" t="n">
        <f aca="false">MONTH(A1389)</f>
        <v>12</v>
      </c>
      <c r="H1389" s="38" t="n">
        <f aca="false">YEAR(Tabela1[[#This Row],[FECHA]])</f>
        <v>1900</v>
      </c>
      <c r="I13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90" customFormat="false" ht="15" hidden="false" customHeight="false" outlineLevel="0" collapsed="false">
      <c r="A1390" s="41"/>
      <c r="G1390" s="38" t="n">
        <f aca="false">MONTH(A1390)</f>
        <v>12</v>
      </c>
      <c r="H1390" s="38" t="n">
        <f aca="false">YEAR(Tabela1[[#This Row],[FECHA]])</f>
        <v>1900</v>
      </c>
      <c r="I13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91" customFormat="false" ht="15" hidden="false" customHeight="false" outlineLevel="0" collapsed="false">
      <c r="A1391" s="41"/>
      <c r="G1391" s="38" t="n">
        <f aca="false">MONTH(A1391)</f>
        <v>12</v>
      </c>
      <c r="H1391" s="38" t="n">
        <f aca="false">YEAR(Tabela1[[#This Row],[FECHA]])</f>
        <v>1900</v>
      </c>
      <c r="I13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92" customFormat="false" ht="15" hidden="false" customHeight="false" outlineLevel="0" collapsed="false">
      <c r="A1392" s="41"/>
      <c r="G1392" s="38" t="n">
        <f aca="false">MONTH(A1392)</f>
        <v>12</v>
      </c>
      <c r="H1392" s="38" t="n">
        <f aca="false">YEAR(Tabela1[[#This Row],[FECHA]])</f>
        <v>1900</v>
      </c>
      <c r="I13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93" customFormat="false" ht="15" hidden="false" customHeight="false" outlineLevel="0" collapsed="false">
      <c r="A1393" s="41"/>
      <c r="G1393" s="38" t="n">
        <f aca="false">MONTH(A1393)</f>
        <v>12</v>
      </c>
      <c r="H1393" s="38" t="n">
        <f aca="false">YEAR(Tabela1[[#This Row],[FECHA]])</f>
        <v>1900</v>
      </c>
      <c r="I13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94" customFormat="false" ht="15" hidden="false" customHeight="false" outlineLevel="0" collapsed="false">
      <c r="A1394" s="41"/>
      <c r="G1394" s="38" t="n">
        <f aca="false">MONTH(A1394)</f>
        <v>12</v>
      </c>
      <c r="H1394" s="38" t="n">
        <f aca="false">YEAR(Tabela1[[#This Row],[FECHA]])</f>
        <v>1900</v>
      </c>
      <c r="I13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95" customFormat="false" ht="15" hidden="false" customHeight="false" outlineLevel="0" collapsed="false">
      <c r="A1395" s="41"/>
      <c r="G1395" s="38" t="n">
        <f aca="false">MONTH(A1395)</f>
        <v>12</v>
      </c>
      <c r="H1395" s="38" t="n">
        <f aca="false">YEAR(Tabela1[[#This Row],[FECHA]])</f>
        <v>1900</v>
      </c>
      <c r="I13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96" customFormat="false" ht="15" hidden="false" customHeight="false" outlineLevel="0" collapsed="false">
      <c r="A1396" s="41"/>
      <c r="G1396" s="38" t="n">
        <f aca="false">MONTH(A1396)</f>
        <v>12</v>
      </c>
      <c r="H1396" s="38" t="n">
        <f aca="false">YEAR(Tabela1[[#This Row],[FECHA]])</f>
        <v>1900</v>
      </c>
      <c r="I13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97" customFormat="false" ht="15" hidden="false" customHeight="false" outlineLevel="0" collapsed="false">
      <c r="A1397" s="41"/>
      <c r="G1397" s="38" t="n">
        <f aca="false">MONTH(A1397)</f>
        <v>12</v>
      </c>
      <c r="H1397" s="38" t="n">
        <f aca="false">YEAR(Tabela1[[#This Row],[FECHA]])</f>
        <v>1900</v>
      </c>
      <c r="I13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98" customFormat="false" ht="15" hidden="false" customHeight="false" outlineLevel="0" collapsed="false">
      <c r="A1398" s="41"/>
      <c r="G1398" s="38" t="n">
        <f aca="false">MONTH(A1398)</f>
        <v>12</v>
      </c>
      <c r="H1398" s="38" t="n">
        <f aca="false">YEAR(Tabela1[[#This Row],[FECHA]])</f>
        <v>1900</v>
      </c>
      <c r="I13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399" customFormat="false" ht="15" hidden="false" customHeight="false" outlineLevel="0" collapsed="false">
      <c r="A1399" s="41"/>
      <c r="G1399" s="38" t="n">
        <f aca="false">MONTH(A1399)</f>
        <v>12</v>
      </c>
      <c r="H1399" s="38" t="n">
        <f aca="false">YEAR(Tabela1[[#This Row],[FECHA]])</f>
        <v>1900</v>
      </c>
      <c r="I13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00" customFormat="false" ht="15" hidden="false" customHeight="false" outlineLevel="0" collapsed="false">
      <c r="A1400" s="41"/>
      <c r="G1400" s="38" t="n">
        <f aca="false">MONTH(A1400)</f>
        <v>12</v>
      </c>
      <c r="H1400" s="38" t="n">
        <f aca="false">YEAR(Tabela1[[#This Row],[FECHA]])</f>
        <v>1900</v>
      </c>
      <c r="I14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01" customFormat="false" ht="15" hidden="false" customHeight="false" outlineLevel="0" collapsed="false">
      <c r="A1401" s="41"/>
      <c r="G1401" s="38" t="n">
        <f aca="false">MONTH(A1401)</f>
        <v>12</v>
      </c>
      <c r="H1401" s="38" t="n">
        <f aca="false">YEAR(Tabela1[[#This Row],[FECHA]])</f>
        <v>1900</v>
      </c>
      <c r="I14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02" customFormat="false" ht="15" hidden="false" customHeight="false" outlineLevel="0" collapsed="false">
      <c r="A1402" s="41"/>
      <c r="G1402" s="38" t="n">
        <f aca="false">MONTH(A1402)</f>
        <v>12</v>
      </c>
      <c r="H1402" s="38" t="n">
        <f aca="false">YEAR(Tabela1[[#This Row],[FECHA]])</f>
        <v>1900</v>
      </c>
      <c r="I14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03" customFormat="false" ht="15" hidden="false" customHeight="false" outlineLevel="0" collapsed="false">
      <c r="A1403" s="41"/>
      <c r="G1403" s="38" t="n">
        <f aca="false">MONTH(A1403)</f>
        <v>12</v>
      </c>
      <c r="H1403" s="38" t="n">
        <f aca="false">YEAR(Tabela1[[#This Row],[FECHA]])</f>
        <v>1900</v>
      </c>
      <c r="I14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04" customFormat="false" ht="15" hidden="false" customHeight="false" outlineLevel="0" collapsed="false">
      <c r="A1404" s="41"/>
      <c r="G1404" s="38" t="n">
        <f aca="false">MONTH(A1404)</f>
        <v>12</v>
      </c>
      <c r="H1404" s="38" t="n">
        <f aca="false">YEAR(Tabela1[[#This Row],[FECHA]])</f>
        <v>1900</v>
      </c>
      <c r="I14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05" customFormat="false" ht="15" hidden="false" customHeight="false" outlineLevel="0" collapsed="false">
      <c r="A1405" s="41"/>
      <c r="G1405" s="38" t="n">
        <f aca="false">MONTH(A1405)</f>
        <v>12</v>
      </c>
      <c r="H1405" s="38" t="n">
        <f aca="false">YEAR(Tabela1[[#This Row],[FECHA]])</f>
        <v>1900</v>
      </c>
      <c r="I14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06" customFormat="false" ht="15" hidden="false" customHeight="false" outlineLevel="0" collapsed="false">
      <c r="A1406" s="41"/>
      <c r="G1406" s="38" t="n">
        <f aca="false">MONTH(A1406)</f>
        <v>12</v>
      </c>
      <c r="H1406" s="38" t="n">
        <f aca="false">YEAR(Tabela1[[#This Row],[FECHA]])</f>
        <v>1900</v>
      </c>
      <c r="I14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07" customFormat="false" ht="15" hidden="false" customHeight="false" outlineLevel="0" collapsed="false">
      <c r="A1407" s="41"/>
      <c r="G1407" s="38" t="n">
        <f aca="false">MONTH(A1407)</f>
        <v>12</v>
      </c>
      <c r="H1407" s="38" t="n">
        <f aca="false">YEAR(Tabela1[[#This Row],[FECHA]])</f>
        <v>1900</v>
      </c>
      <c r="I14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08" customFormat="false" ht="15" hidden="false" customHeight="false" outlineLevel="0" collapsed="false">
      <c r="A1408" s="41"/>
      <c r="G1408" s="38" t="n">
        <f aca="false">MONTH(A1408)</f>
        <v>12</v>
      </c>
      <c r="H1408" s="38" t="n">
        <f aca="false">YEAR(Tabela1[[#This Row],[FECHA]])</f>
        <v>1900</v>
      </c>
      <c r="I14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09" customFormat="false" ht="15" hidden="false" customHeight="false" outlineLevel="0" collapsed="false">
      <c r="A1409" s="41"/>
      <c r="G1409" s="38" t="n">
        <f aca="false">MONTH(A1409)</f>
        <v>12</v>
      </c>
      <c r="H1409" s="38" t="n">
        <f aca="false">YEAR(Tabela1[[#This Row],[FECHA]])</f>
        <v>1900</v>
      </c>
      <c r="I14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10" customFormat="false" ht="15" hidden="false" customHeight="false" outlineLevel="0" collapsed="false">
      <c r="A1410" s="41"/>
      <c r="G1410" s="38" t="n">
        <f aca="false">MONTH(A1410)</f>
        <v>12</v>
      </c>
      <c r="H1410" s="38" t="n">
        <f aca="false">YEAR(Tabela1[[#This Row],[FECHA]])</f>
        <v>1900</v>
      </c>
      <c r="I14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11" customFormat="false" ht="15" hidden="false" customHeight="false" outlineLevel="0" collapsed="false">
      <c r="A1411" s="41"/>
      <c r="G1411" s="38" t="n">
        <f aca="false">MONTH(A1411)</f>
        <v>12</v>
      </c>
      <c r="H1411" s="38" t="n">
        <f aca="false">YEAR(Tabela1[[#This Row],[FECHA]])</f>
        <v>1900</v>
      </c>
      <c r="I14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12" customFormat="false" ht="15" hidden="false" customHeight="false" outlineLevel="0" collapsed="false">
      <c r="A1412" s="41"/>
      <c r="G1412" s="38" t="n">
        <f aca="false">MONTH(A1412)</f>
        <v>12</v>
      </c>
      <c r="H1412" s="38" t="n">
        <f aca="false">YEAR(Tabela1[[#This Row],[FECHA]])</f>
        <v>1900</v>
      </c>
      <c r="I14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13" customFormat="false" ht="15" hidden="false" customHeight="false" outlineLevel="0" collapsed="false">
      <c r="A1413" s="41"/>
      <c r="G1413" s="38" t="n">
        <f aca="false">MONTH(A1413)</f>
        <v>12</v>
      </c>
      <c r="H1413" s="38" t="n">
        <f aca="false">YEAR(Tabela1[[#This Row],[FECHA]])</f>
        <v>1900</v>
      </c>
      <c r="I14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14" customFormat="false" ht="15" hidden="false" customHeight="false" outlineLevel="0" collapsed="false">
      <c r="A1414" s="41"/>
      <c r="G1414" s="38" t="n">
        <f aca="false">MONTH(A1414)</f>
        <v>12</v>
      </c>
      <c r="H1414" s="38" t="n">
        <f aca="false">YEAR(Tabela1[[#This Row],[FECHA]])</f>
        <v>1900</v>
      </c>
      <c r="I14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15" customFormat="false" ht="15" hidden="false" customHeight="false" outlineLevel="0" collapsed="false">
      <c r="A1415" s="41"/>
      <c r="G1415" s="38" t="n">
        <f aca="false">MONTH(A1415)</f>
        <v>12</v>
      </c>
      <c r="H1415" s="38" t="n">
        <f aca="false">YEAR(Tabela1[[#This Row],[FECHA]])</f>
        <v>1900</v>
      </c>
      <c r="I14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16" customFormat="false" ht="15" hidden="false" customHeight="false" outlineLevel="0" collapsed="false">
      <c r="A1416" s="41"/>
      <c r="G1416" s="38" t="n">
        <f aca="false">MONTH(A1416)</f>
        <v>12</v>
      </c>
      <c r="H1416" s="38" t="n">
        <f aca="false">YEAR(Tabela1[[#This Row],[FECHA]])</f>
        <v>1900</v>
      </c>
      <c r="I14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17" customFormat="false" ht="15" hidden="false" customHeight="false" outlineLevel="0" collapsed="false">
      <c r="A1417" s="41"/>
      <c r="G1417" s="38" t="n">
        <f aca="false">MONTH(A1417)</f>
        <v>12</v>
      </c>
      <c r="H1417" s="38" t="n">
        <f aca="false">YEAR(Tabela1[[#This Row],[FECHA]])</f>
        <v>1900</v>
      </c>
      <c r="I14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18" customFormat="false" ht="15" hidden="false" customHeight="false" outlineLevel="0" collapsed="false">
      <c r="A1418" s="41"/>
      <c r="G1418" s="38" t="n">
        <f aca="false">MONTH(A1418)</f>
        <v>12</v>
      </c>
      <c r="H1418" s="38" t="n">
        <f aca="false">YEAR(Tabela1[[#This Row],[FECHA]])</f>
        <v>1900</v>
      </c>
      <c r="I14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19" customFormat="false" ht="15" hidden="false" customHeight="false" outlineLevel="0" collapsed="false">
      <c r="A1419" s="41"/>
      <c r="G1419" s="38" t="n">
        <f aca="false">MONTH(A1419)</f>
        <v>12</v>
      </c>
      <c r="H1419" s="38" t="n">
        <f aca="false">YEAR(Tabela1[[#This Row],[FECHA]])</f>
        <v>1900</v>
      </c>
      <c r="I14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20" customFormat="false" ht="15" hidden="false" customHeight="false" outlineLevel="0" collapsed="false">
      <c r="A1420" s="41"/>
      <c r="G1420" s="38" t="n">
        <f aca="false">MONTH(A1420)</f>
        <v>12</v>
      </c>
      <c r="H1420" s="38" t="n">
        <f aca="false">YEAR(Tabela1[[#This Row],[FECHA]])</f>
        <v>1900</v>
      </c>
      <c r="I14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21" customFormat="false" ht="15" hidden="false" customHeight="false" outlineLevel="0" collapsed="false">
      <c r="A1421" s="41"/>
      <c r="G1421" s="38" t="n">
        <f aca="false">MONTH(A1421)</f>
        <v>12</v>
      </c>
      <c r="H1421" s="38" t="n">
        <f aca="false">YEAR(Tabela1[[#This Row],[FECHA]])</f>
        <v>1900</v>
      </c>
      <c r="I14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22" customFormat="false" ht="15" hidden="false" customHeight="false" outlineLevel="0" collapsed="false">
      <c r="A1422" s="41"/>
      <c r="G1422" s="38" t="n">
        <f aca="false">MONTH(A1422)</f>
        <v>12</v>
      </c>
      <c r="H1422" s="38" t="n">
        <f aca="false">YEAR(Tabela1[[#This Row],[FECHA]])</f>
        <v>1900</v>
      </c>
      <c r="I14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23" customFormat="false" ht="15" hidden="false" customHeight="false" outlineLevel="0" collapsed="false">
      <c r="A1423" s="41"/>
      <c r="G1423" s="38" t="n">
        <f aca="false">MONTH(A1423)</f>
        <v>12</v>
      </c>
      <c r="H1423" s="38" t="n">
        <f aca="false">YEAR(Tabela1[[#This Row],[FECHA]])</f>
        <v>1900</v>
      </c>
      <c r="I14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24" customFormat="false" ht="15" hidden="false" customHeight="false" outlineLevel="0" collapsed="false">
      <c r="A1424" s="41"/>
      <c r="G1424" s="38" t="n">
        <f aca="false">MONTH(A1424)</f>
        <v>12</v>
      </c>
      <c r="H1424" s="38" t="n">
        <f aca="false">YEAR(Tabela1[[#This Row],[FECHA]])</f>
        <v>1900</v>
      </c>
      <c r="I14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25" customFormat="false" ht="15" hidden="false" customHeight="false" outlineLevel="0" collapsed="false">
      <c r="A1425" s="41"/>
      <c r="G1425" s="38" t="n">
        <f aca="false">MONTH(A1425)</f>
        <v>12</v>
      </c>
      <c r="H1425" s="38" t="n">
        <f aca="false">YEAR(Tabela1[[#This Row],[FECHA]])</f>
        <v>1900</v>
      </c>
      <c r="I14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26" customFormat="false" ht="15" hidden="false" customHeight="false" outlineLevel="0" collapsed="false">
      <c r="A1426" s="41"/>
      <c r="G1426" s="38" t="n">
        <f aca="false">MONTH(A1426)</f>
        <v>12</v>
      </c>
      <c r="H1426" s="38" t="n">
        <f aca="false">YEAR(Tabela1[[#This Row],[FECHA]])</f>
        <v>1900</v>
      </c>
      <c r="I14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27" customFormat="false" ht="15" hidden="false" customHeight="false" outlineLevel="0" collapsed="false">
      <c r="A1427" s="41"/>
      <c r="G1427" s="38" t="n">
        <f aca="false">MONTH(A1427)</f>
        <v>12</v>
      </c>
      <c r="H1427" s="38" t="n">
        <f aca="false">YEAR(Tabela1[[#This Row],[FECHA]])</f>
        <v>1900</v>
      </c>
      <c r="I14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28" customFormat="false" ht="15" hidden="false" customHeight="false" outlineLevel="0" collapsed="false">
      <c r="A1428" s="41"/>
      <c r="G1428" s="38" t="n">
        <f aca="false">MONTH(A1428)</f>
        <v>12</v>
      </c>
      <c r="H1428" s="38" t="n">
        <f aca="false">YEAR(Tabela1[[#This Row],[FECHA]])</f>
        <v>1900</v>
      </c>
      <c r="I14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29" customFormat="false" ht="15" hidden="false" customHeight="false" outlineLevel="0" collapsed="false">
      <c r="A1429" s="41"/>
      <c r="G1429" s="38" t="n">
        <f aca="false">MONTH(A1429)</f>
        <v>12</v>
      </c>
      <c r="H1429" s="38" t="n">
        <f aca="false">YEAR(Tabela1[[#This Row],[FECHA]])</f>
        <v>1900</v>
      </c>
      <c r="I14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30" customFormat="false" ht="15" hidden="false" customHeight="false" outlineLevel="0" collapsed="false">
      <c r="A1430" s="41"/>
      <c r="G1430" s="38" t="n">
        <f aca="false">MONTH(A1430)</f>
        <v>12</v>
      </c>
      <c r="H1430" s="38" t="n">
        <f aca="false">YEAR(Tabela1[[#This Row],[FECHA]])</f>
        <v>1900</v>
      </c>
      <c r="I14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31" customFormat="false" ht="15" hidden="false" customHeight="false" outlineLevel="0" collapsed="false">
      <c r="A1431" s="41"/>
      <c r="G1431" s="38" t="n">
        <f aca="false">MONTH(A1431)</f>
        <v>12</v>
      </c>
      <c r="H1431" s="38" t="n">
        <f aca="false">YEAR(Tabela1[[#This Row],[FECHA]])</f>
        <v>1900</v>
      </c>
      <c r="I14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32" customFormat="false" ht="15" hidden="false" customHeight="false" outlineLevel="0" collapsed="false">
      <c r="A1432" s="41"/>
      <c r="G1432" s="38" t="n">
        <f aca="false">MONTH(A1432)</f>
        <v>12</v>
      </c>
      <c r="H1432" s="38" t="n">
        <f aca="false">YEAR(Tabela1[[#This Row],[FECHA]])</f>
        <v>1900</v>
      </c>
      <c r="I14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33" customFormat="false" ht="15" hidden="false" customHeight="false" outlineLevel="0" collapsed="false">
      <c r="A1433" s="41"/>
      <c r="G1433" s="38" t="n">
        <f aca="false">MONTH(A1433)</f>
        <v>12</v>
      </c>
      <c r="H1433" s="38" t="n">
        <f aca="false">YEAR(Tabela1[[#This Row],[FECHA]])</f>
        <v>1900</v>
      </c>
      <c r="I14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34" customFormat="false" ht="15" hidden="false" customHeight="false" outlineLevel="0" collapsed="false">
      <c r="A1434" s="41"/>
      <c r="G1434" s="38" t="n">
        <f aca="false">MONTH(A1434)</f>
        <v>12</v>
      </c>
      <c r="H1434" s="38" t="n">
        <f aca="false">YEAR(Tabela1[[#This Row],[FECHA]])</f>
        <v>1900</v>
      </c>
      <c r="I14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35" customFormat="false" ht="15" hidden="false" customHeight="false" outlineLevel="0" collapsed="false">
      <c r="A1435" s="41"/>
      <c r="G1435" s="38" t="n">
        <f aca="false">MONTH(A1435)</f>
        <v>12</v>
      </c>
      <c r="H1435" s="38" t="n">
        <f aca="false">YEAR(Tabela1[[#This Row],[FECHA]])</f>
        <v>1900</v>
      </c>
      <c r="I14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36" customFormat="false" ht="15" hidden="false" customHeight="false" outlineLevel="0" collapsed="false">
      <c r="A1436" s="41"/>
      <c r="G1436" s="38" t="n">
        <f aca="false">MONTH(A1436)</f>
        <v>12</v>
      </c>
      <c r="H1436" s="38" t="n">
        <f aca="false">YEAR(Tabela1[[#This Row],[FECHA]])</f>
        <v>1900</v>
      </c>
      <c r="I14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37" customFormat="false" ht="15" hidden="false" customHeight="false" outlineLevel="0" collapsed="false">
      <c r="A1437" s="41"/>
      <c r="G1437" s="38" t="n">
        <f aca="false">MONTH(A1437)</f>
        <v>12</v>
      </c>
      <c r="H1437" s="38" t="n">
        <f aca="false">YEAR(Tabela1[[#This Row],[FECHA]])</f>
        <v>1900</v>
      </c>
      <c r="I14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38" customFormat="false" ht="15" hidden="false" customHeight="false" outlineLevel="0" collapsed="false">
      <c r="A1438" s="41"/>
      <c r="G1438" s="38" t="n">
        <f aca="false">MONTH(A1438)</f>
        <v>12</v>
      </c>
      <c r="H1438" s="38" t="n">
        <f aca="false">YEAR(Tabela1[[#This Row],[FECHA]])</f>
        <v>1900</v>
      </c>
      <c r="I14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39" customFormat="false" ht="15" hidden="false" customHeight="false" outlineLevel="0" collapsed="false">
      <c r="A1439" s="41"/>
      <c r="G1439" s="38" t="n">
        <f aca="false">MONTH(A1439)</f>
        <v>12</v>
      </c>
      <c r="H1439" s="38" t="n">
        <f aca="false">YEAR(Tabela1[[#This Row],[FECHA]])</f>
        <v>1900</v>
      </c>
      <c r="I14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40" customFormat="false" ht="15" hidden="false" customHeight="false" outlineLevel="0" collapsed="false">
      <c r="A1440" s="41"/>
      <c r="G1440" s="38" t="n">
        <f aca="false">MONTH(A1440)</f>
        <v>12</v>
      </c>
      <c r="H1440" s="38" t="n">
        <f aca="false">YEAR(Tabela1[[#This Row],[FECHA]])</f>
        <v>1900</v>
      </c>
      <c r="I14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41" customFormat="false" ht="15" hidden="false" customHeight="false" outlineLevel="0" collapsed="false">
      <c r="A1441" s="41"/>
      <c r="G1441" s="38" t="n">
        <f aca="false">MONTH(A1441)</f>
        <v>12</v>
      </c>
      <c r="H1441" s="38" t="n">
        <f aca="false">YEAR(Tabela1[[#This Row],[FECHA]])</f>
        <v>1900</v>
      </c>
      <c r="I14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42" customFormat="false" ht="15" hidden="false" customHeight="false" outlineLevel="0" collapsed="false">
      <c r="A1442" s="41"/>
      <c r="G1442" s="38" t="n">
        <f aca="false">MONTH(A1442)</f>
        <v>12</v>
      </c>
      <c r="H1442" s="38" t="n">
        <f aca="false">YEAR(Tabela1[[#This Row],[FECHA]])</f>
        <v>1900</v>
      </c>
      <c r="I14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43" customFormat="false" ht="15" hidden="false" customHeight="false" outlineLevel="0" collapsed="false">
      <c r="A1443" s="41"/>
      <c r="G1443" s="38" t="n">
        <f aca="false">MONTH(A1443)</f>
        <v>12</v>
      </c>
      <c r="H1443" s="38" t="n">
        <f aca="false">YEAR(Tabela1[[#This Row],[FECHA]])</f>
        <v>1900</v>
      </c>
      <c r="I14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44" customFormat="false" ht="15" hidden="false" customHeight="false" outlineLevel="0" collapsed="false">
      <c r="A1444" s="41"/>
      <c r="G1444" s="38" t="n">
        <f aca="false">MONTH(A1444)</f>
        <v>12</v>
      </c>
      <c r="H1444" s="38" t="n">
        <f aca="false">YEAR(Tabela1[[#This Row],[FECHA]])</f>
        <v>1900</v>
      </c>
      <c r="I14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45" customFormat="false" ht="15" hidden="false" customHeight="false" outlineLevel="0" collapsed="false">
      <c r="A1445" s="41"/>
      <c r="G1445" s="38" t="n">
        <f aca="false">MONTH(A1445)</f>
        <v>12</v>
      </c>
      <c r="H1445" s="38" t="n">
        <f aca="false">YEAR(Tabela1[[#This Row],[FECHA]])</f>
        <v>1900</v>
      </c>
      <c r="I14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46" customFormat="false" ht="15" hidden="false" customHeight="false" outlineLevel="0" collapsed="false">
      <c r="A1446" s="41"/>
      <c r="G1446" s="38" t="n">
        <f aca="false">MONTH(A1446)</f>
        <v>12</v>
      </c>
      <c r="H1446" s="38" t="n">
        <f aca="false">YEAR(Tabela1[[#This Row],[FECHA]])</f>
        <v>1900</v>
      </c>
      <c r="I14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47" customFormat="false" ht="15" hidden="false" customHeight="false" outlineLevel="0" collapsed="false">
      <c r="A1447" s="41"/>
      <c r="G1447" s="38" t="n">
        <f aca="false">MONTH(A1447)</f>
        <v>12</v>
      </c>
      <c r="H1447" s="38" t="n">
        <f aca="false">YEAR(Tabela1[[#This Row],[FECHA]])</f>
        <v>1900</v>
      </c>
      <c r="I14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48" customFormat="false" ht="15" hidden="false" customHeight="false" outlineLevel="0" collapsed="false">
      <c r="A1448" s="41"/>
      <c r="G1448" s="38" t="n">
        <f aca="false">MONTH(A1448)</f>
        <v>12</v>
      </c>
      <c r="H1448" s="38" t="n">
        <f aca="false">YEAR(Tabela1[[#This Row],[FECHA]])</f>
        <v>1900</v>
      </c>
      <c r="I14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49" customFormat="false" ht="15" hidden="false" customHeight="false" outlineLevel="0" collapsed="false">
      <c r="A1449" s="41"/>
      <c r="G1449" s="38" t="n">
        <f aca="false">MONTH(A1449)</f>
        <v>12</v>
      </c>
      <c r="H1449" s="38" t="n">
        <f aca="false">YEAR(Tabela1[[#This Row],[FECHA]])</f>
        <v>1900</v>
      </c>
      <c r="I14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50" customFormat="false" ht="15" hidden="false" customHeight="false" outlineLevel="0" collapsed="false">
      <c r="A1450" s="41"/>
      <c r="G1450" s="38" t="n">
        <f aca="false">MONTH(A1450)</f>
        <v>12</v>
      </c>
      <c r="H1450" s="38" t="n">
        <f aca="false">YEAR(Tabela1[[#This Row],[FECHA]])</f>
        <v>1900</v>
      </c>
      <c r="I14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51" customFormat="false" ht="15" hidden="false" customHeight="false" outlineLevel="0" collapsed="false">
      <c r="A1451" s="41"/>
      <c r="G1451" s="38" t="n">
        <f aca="false">MONTH(A1451)</f>
        <v>12</v>
      </c>
      <c r="H1451" s="38" t="n">
        <f aca="false">YEAR(Tabela1[[#This Row],[FECHA]])</f>
        <v>1900</v>
      </c>
      <c r="I14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52" customFormat="false" ht="15" hidden="false" customHeight="false" outlineLevel="0" collapsed="false">
      <c r="A1452" s="41"/>
      <c r="G1452" s="38" t="n">
        <f aca="false">MONTH(A1452)</f>
        <v>12</v>
      </c>
      <c r="H1452" s="38" t="n">
        <f aca="false">YEAR(Tabela1[[#This Row],[FECHA]])</f>
        <v>1900</v>
      </c>
      <c r="I14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53" customFormat="false" ht="15" hidden="false" customHeight="false" outlineLevel="0" collapsed="false">
      <c r="A1453" s="41"/>
      <c r="G1453" s="38" t="n">
        <f aca="false">MONTH(A1453)</f>
        <v>12</v>
      </c>
      <c r="H1453" s="38" t="n">
        <f aca="false">YEAR(Tabela1[[#This Row],[FECHA]])</f>
        <v>1900</v>
      </c>
      <c r="I14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54" customFormat="false" ht="15" hidden="false" customHeight="false" outlineLevel="0" collapsed="false">
      <c r="A1454" s="41"/>
      <c r="G1454" s="38" t="n">
        <f aca="false">MONTH(A1454)</f>
        <v>12</v>
      </c>
      <c r="H1454" s="38" t="n">
        <f aca="false">YEAR(Tabela1[[#This Row],[FECHA]])</f>
        <v>1900</v>
      </c>
      <c r="I14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55" customFormat="false" ht="15" hidden="false" customHeight="false" outlineLevel="0" collapsed="false">
      <c r="A1455" s="41"/>
      <c r="G1455" s="38" t="n">
        <f aca="false">MONTH(A1455)</f>
        <v>12</v>
      </c>
      <c r="H1455" s="38" t="n">
        <f aca="false">YEAR(Tabela1[[#This Row],[FECHA]])</f>
        <v>1900</v>
      </c>
      <c r="I14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56" customFormat="false" ht="15" hidden="false" customHeight="false" outlineLevel="0" collapsed="false">
      <c r="A1456" s="41"/>
      <c r="G1456" s="38" t="n">
        <f aca="false">MONTH(A1456)</f>
        <v>12</v>
      </c>
      <c r="H1456" s="38" t="n">
        <f aca="false">YEAR(Tabela1[[#This Row],[FECHA]])</f>
        <v>1900</v>
      </c>
      <c r="I14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57" customFormat="false" ht="15" hidden="false" customHeight="false" outlineLevel="0" collapsed="false">
      <c r="A1457" s="41"/>
      <c r="G1457" s="38" t="n">
        <f aca="false">MONTH(A1457)</f>
        <v>12</v>
      </c>
      <c r="H1457" s="38" t="n">
        <f aca="false">YEAR(Tabela1[[#This Row],[FECHA]])</f>
        <v>1900</v>
      </c>
      <c r="I14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58" customFormat="false" ht="15" hidden="false" customHeight="false" outlineLevel="0" collapsed="false">
      <c r="A1458" s="41"/>
      <c r="G1458" s="38" t="n">
        <f aca="false">MONTH(A1458)</f>
        <v>12</v>
      </c>
      <c r="H1458" s="38" t="n">
        <f aca="false">YEAR(Tabela1[[#This Row],[FECHA]])</f>
        <v>1900</v>
      </c>
      <c r="I14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59" customFormat="false" ht="15" hidden="false" customHeight="false" outlineLevel="0" collapsed="false">
      <c r="A1459" s="41"/>
      <c r="G1459" s="38" t="n">
        <f aca="false">MONTH(A1459)</f>
        <v>12</v>
      </c>
      <c r="H1459" s="38" t="n">
        <f aca="false">YEAR(Tabela1[[#This Row],[FECHA]])</f>
        <v>1900</v>
      </c>
      <c r="I14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60" customFormat="false" ht="15" hidden="false" customHeight="false" outlineLevel="0" collapsed="false">
      <c r="A1460" s="41"/>
      <c r="G1460" s="38" t="n">
        <f aca="false">MONTH(A1460)</f>
        <v>12</v>
      </c>
      <c r="H1460" s="38" t="n">
        <f aca="false">YEAR(Tabela1[[#This Row],[FECHA]])</f>
        <v>1900</v>
      </c>
      <c r="I14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61" customFormat="false" ht="15" hidden="false" customHeight="false" outlineLevel="0" collapsed="false">
      <c r="A1461" s="41"/>
      <c r="G1461" s="38" t="n">
        <f aca="false">MONTH(A1461)</f>
        <v>12</v>
      </c>
      <c r="H1461" s="38" t="n">
        <f aca="false">YEAR(Tabela1[[#This Row],[FECHA]])</f>
        <v>1900</v>
      </c>
      <c r="I14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62" customFormat="false" ht="15" hidden="false" customHeight="false" outlineLevel="0" collapsed="false">
      <c r="A1462" s="41"/>
      <c r="G1462" s="38" t="n">
        <f aca="false">MONTH(A1462)</f>
        <v>12</v>
      </c>
      <c r="H1462" s="38" t="n">
        <f aca="false">YEAR(Tabela1[[#This Row],[FECHA]])</f>
        <v>1900</v>
      </c>
      <c r="I14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63" customFormat="false" ht="15" hidden="false" customHeight="false" outlineLevel="0" collapsed="false">
      <c r="A1463" s="41"/>
      <c r="G1463" s="38" t="n">
        <f aca="false">MONTH(A1463)</f>
        <v>12</v>
      </c>
      <c r="H1463" s="38" t="n">
        <f aca="false">YEAR(Tabela1[[#This Row],[FECHA]])</f>
        <v>1900</v>
      </c>
      <c r="I14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64" customFormat="false" ht="15" hidden="false" customHeight="false" outlineLevel="0" collapsed="false">
      <c r="A1464" s="41"/>
      <c r="G1464" s="38" t="n">
        <f aca="false">MONTH(A1464)</f>
        <v>12</v>
      </c>
      <c r="H1464" s="38" t="n">
        <f aca="false">YEAR(Tabela1[[#This Row],[FECHA]])</f>
        <v>1900</v>
      </c>
      <c r="I14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65" customFormat="false" ht="15" hidden="false" customHeight="false" outlineLevel="0" collapsed="false">
      <c r="A1465" s="41"/>
      <c r="G1465" s="38" t="n">
        <f aca="false">MONTH(A1465)</f>
        <v>12</v>
      </c>
      <c r="H1465" s="38" t="n">
        <f aca="false">YEAR(Tabela1[[#This Row],[FECHA]])</f>
        <v>1900</v>
      </c>
      <c r="I14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66" customFormat="false" ht="15" hidden="false" customHeight="false" outlineLevel="0" collapsed="false">
      <c r="A1466" s="41"/>
      <c r="G1466" s="38" t="n">
        <f aca="false">MONTH(A1466)</f>
        <v>12</v>
      </c>
      <c r="H1466" s="38" t="n">
        <f aca="false">YEAR(Tabela1[[#This Row],[FECHA]])</f>
        <v>1900</v>
      </c>
      <c r="I14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67" customFormat="false" ht="15" hidden="false" customHeight="false" outlineLevel="0" collapsed="false">
      <c r="A1467" s="41"/>
      <c r="G1467" s="38" t="n">
        <f aca="false">MONTH(A1467)</f>
        <v>12</v>
      </c>
      <c r="H1467" s="38" t="n">
        <f aca="false">YEAR(Tabela1[[#This Row],[FECHA]])</f>
        <v>1900</v>
      </c>
      <c r="I14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68" customFormat="false" ht="15" hidden="false" customHeight="false" outlineLevel="0" collapsed="false">
      <c r="A1468" s="41"/>
      <c r="G1468" s="38" t="n">
        <f aca="false">MONTH(A1468)</f>
        <v>12</v>
      </c>
      <c r="H1468" s="38" t="n">
        <f aca="false">YEAR(Tabela1[[#This Row],[FECHA]])</f>
        <v>1900</v>
      </c>
      <c r="I14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69" customFormat="false" ht="15" hidden="false" customHeight="false" outlineLevel="0" collapsed="false">
      <c r="A1469" s="41"/>
      <c r="G1469" s="38" t="n">
        <f aca="false">MONTH(A1469)</f>
        <v>12</v>
      </c>
      <c r="H1469" s="38" t="n">
        <f aca="false">YEAR(Tabela1[[#This Row],[FECHA]])</f>
        <v>1900</v>
      </c>
      <c r="I14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70" customFormat="false" ht="15" hidden="false" customHeight="false" outlineLevel="0" collapsed="false">
      <c r="A1470" s="41"/>
      <c r="G1470" s="38" t="n">
        <f aca="false">MONTH(A1470)</f>
        <v>12</v>
      </c>
      <c r="H1470" s="38" t="n">
        <f aca="false">YEAR(Tabela1[[#This Row],[FECHA]])</f>
        <v>1900</v>
      </c>
      <c r="I14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71" customFormat="false" ht="15" hidden="false" customHeight="false" outlineLevel="0" collapsed="false">
      <c r="A1471" s="41"/>
      <c r="G1471" s="38" t="n">
        <f aca="false">MONTH(A1471)</f>
        <v>12</v>
      </c>
      <c r="H1471" s="38" t="n">
        <f aca="false">YEAR(Tabela1[[#This Row],[FECHA]])</f>
        <v>1900</v>
      </c>
      <c r="I14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72" customFormat="false" ht="15" hidden="false" customHeight="false" outlineLevel="0" collapsed="false">
      <c r="A1472" s="41"/>
      <c r="G1472" s="38" t="n">
        <f aca="false">MONTH(A1472)</f>
        <v>12</v>
      </c>
      <c r="H1472" s="38" t="n">
        <f aca="false">YEAR(Tabela1[[#This Row],[FECHA]])</f>
        <v>1900</v>
      </c>
      <c r="I14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73" customFormat="false" ht="15" hidden="false" customHeight="false" outlineLevel="0" collapsed="false">
      <c r="A1473" s="41"/>
      <c r="G1473" s="38" t="n">
        <f aca="false">MONTH(A1473)</f>
        <v>12</v>
      </c>
      <c r="H1473" s="38" t="n">
        <f aca="false">YEAR(Tabela1[[#This Row],[FECHA]])</f>
        <v>1900</v>
      </c>
      <c r="I14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74" customFormat="false" ht="15" hidden="false" customHeight="false" outlineLevel="0" collapsed="false">
      <c r="A1474" s="41"/>
      <c r="G1474" s="38" t="n">
        <f aca="false">MONTH(A1474)</f>
        <v>12</v>
      </c>
      <c r="H1474" s="38" t="n">
        <f aca="false">YEAR(Tabela1[[#This Row],[FECHA]])</f>
        <v>1900</v>
      </c>
      <c r="I14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75" customFormat="false" ht="15" hidden="false" customHeight="false" outlineLevel="0" collapsed="false">
      <c r="A1475" s="41"/>
      <c r="G1475" s="38" t="n">
        <f aca="false">MONTH(A1475)</f>
        <v>12</v>
      </c>
      <c r="H1475" s="38" t="n">
        <f aca="false">YEAR(Tabela1[[#This Row],[FECHA]])</f>
        <v>1900</v>
      </c>
      <c r="I14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76" customFormat="false" ht="15" hidden="false" customHeight="false" outlineLevel="0" collapsed="false">
      <c r="A1476" s="41"/>
      <c r="G1476" s="38" t="n">
        <f aca="false">MONTH(A1476)</f>
        <v>12</v>
      </c>
      <c r="H1476" s="38" t="n">
        <f aca="false">YEAR(Tabela1[[#This Row],[FECHA]])</f>
        <v>1900</v>
      </c>
      <c r="I14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77" customFormat="false" ht="15" hidden="false" customHeight="false" outlineLevel="0" collapsed="false">
      <c r="A1477" s="41"/>
      <c r="G1477" s="38" t="n">
        <f aca="false">MONTH(A1477)</f>
        <v>12</v>
      </c>
      <c r="H1477" s="38" t="n">
        <f aca="false">YEAR(Tabela1[[#This Row],[FECHA]])</f>
        <v>1900</v>
      </c>
      <c r="I14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78" customFormat="false" ht="15" hidden="false" customHeight="false" outlineLevel="0" collapsed="false">
      <c r="A1478" s="41"/>
      <c r="G1478" s="38" t="n">
        <f aca="false">MONTH(A1478)</f>
        <v>12</v>
      </c>
      <c r="H1478" s="38" t="n">
        <f aca="false">YEAR(Tabela1[[#This Row],[FECHA]])</f>
        <v>1900</v>
      </c>
      <c r="I14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79" customFormat="false" ht="15" hidden="false" customHeight="false" outlineLevel="0" collapsed="false">
      <c r="A1479" s="41"/>
      <c r="G1479" s="38" t="n">
        <f aca="false">MONTH(A1479)</f>
        <v>12</v>
      </c>
      <c r="H1479" s="38" t="n">
        <f aca="false">YEAR(Tabela1[[#This Row],[FECHA]])</f>
        <v>1900</v>
      </c>
      <c r="I14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80" customFormat="false" ht="15" hidden="false" customHeight="false" outlineLevel="0" collapsed="false">
      <c r="A1480" s="41"/>
      <c r="G1480" s="38" t="n">
        <f aca="false">MONTH(A1480)</f>
        <v>12</v>
      </c>
      <c r="H1480" s="38" t="n">
        <f aca="false">YEAR(Tabela1[[#This Row],[FECHA]])</f>
        <v>1900</v>
      </c>
      <c r="I14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81" customFormat="false" ht="15" hidden="false" customHeight="false" outlineLevel="0" collapsed="false">
      <c r="A1481" s="41"/>
      <c r="G1481" s="38" t="n">
        <f aca="false">MONTH(A1481)</f>
        <v>12</v>
      </c>
      <c r="H1481" s="38" t="n">
        <f aca="false">YEAR(Tabela1[[#This Row],[FECHA]])</f>
        <v>1900</v>
      </c>
      <c r="I14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82" customFormat="false" ht="15" hidden="false" customHeight="false" outlineLevel="0" collapsed="false">
      <c r="A1482" s="41"/>
      <c r="G1482" s="38" t="n">
        <f aca="false">MONTH(A1482)</f>
        <v>12</v>
      </c>
      <c r="H1482" s="38" t="n">
        <f aca="false">YEAR(Tabela1[[#This Row],[FECHA]])</f>
        <v>1900</v>
      </c>
      <c r="I14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83" customFormat="false" ht="15" hidden="false" customHeight="false" outlineLevel="0" collapsed="false">
      <c r="A1483" s="41"/>
      <c r="G1483" s="38" t="n">
        <f aca="false">MONTH(A1483)</f>
        <v>12</v>
      </c>
      <c r="H1483" s="38" t="n">
        <f aca="false">YEAR(Tabela1[[#This Row],[FECHA]])</f>
        <v>1900</v>
      </c>
      <c r="I14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84" customFormat="false" ht="15" hidden="false" customHeight="false" outlineLevel="0" collapsed="false">
      <c r="A1484" s="41"/>
      <c r="G1484" s="38" t="n">
        <f aca="false">MONTH(A1484)</f>
        <v>12</v>
      </c>
      <c r="H1484" s="38" t="n">
        <f aca="false">YEAR(Tabela1[[#This Row],[FECHA]])</f>
        <v>1900</v>
      </c>
      <c r="I14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85" customFormat="false" ht="15" hidden="false" customHeight="false" outlineLevel="0" collapsed="false">
      <c r="A1485" s="41"/>
      <c r="G1485" s="38" t="n">
        <f aca="false">MONTH(A1485)</f>
        <v>12</v>
      </c>
      <c r="H1485" s="38" t="n">
        <f aca="false">YEAR(Tabela1[[#This Row],[FECHA]])</f>
        <v>1900</v>
      </c>
      <c r="I14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86" customFormat="false" ht="15" hidden="false" customHeight="false" outlineLevel="0" collapsed="false">
      <c r="A1486" s="41"/>
      <c r="G1486" s="38" t="n">
        <f aca="false">MONTH(A1486)</f>
        <v>12</v>
      </c>
      <c r="H1486" s="38" t="n">
        <f aca="false">YEAR(Tabela1[[#This Row],[FECHA]])</f>
        <v>1900</v>
      </c>
      <c r="I14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87" customFormat="false" ht="15" hidden="false" customHeight="false" outlineLevel="0" collapsed="false">
      <c r="A1487" s="41"/>
      <c r="G1487" s="38" t="n">
        <f aca="false">MONTH(A1487)</f>
        <v>12</v>
      </c>
      <c r="H1487" s="38" t="n">
        <f aca="false">YEAR(Tabela1[[#This Row],[FECHA]])</f>
        <v>1900</v>
      </c>
      <c r="I14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88" customFormat="false" ht="15" hidden="false" customHeight="false" outlineLevel="0" collapsed="false">
      <c r="A1488" s="41"/>
      <c r="G1488" s="38" t="n">
        <f aca="false">MONTH(A1488)</f>
        <v>12</v>
      </c>
      <c r="H1488" s="38" t="n">
        <f aca="false">YEAR(Tabela1[[#This Row],[FECHA]])</f>
        <v>1900</v>
      </c>
      <c r="I14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89" customFormat="false" ht="15" hidden="false" customHeight="false" outlineLevel="0" collapsed="false">
      <c r="A1489" s="41"/>
      <c r="G1489" s="38" t="n">
        <f aca="false">MONTH(A1489)</f>
        <v>12</v>
      </c>
      <c r="H1489" s="38" t="n">
        <f aca="false">YEAR(Tabela1[[#This Row],[FECHA]])</f>
        <v>1900</v>
      </c>
      <c r="I14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90" customFormat="false" ht="15" hidden="false" customHeight="false" outlineLevel="0" collapsed="false">
      <c r="A1490" s="41"/>
      <c r="G1490" s="38" t="n">
        <f aca="false">MONTH(A1490)</f>
        <v>12</v>
      </c>
      <c r="H1490" s="38" t="n">
        <f aca="false">YEAR(Tabela1[[#This Row],[FECHA]])</f>
        <v>1900</v>
      </c>
      <c r="I14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91" customFormat="false" ht="15" hidden="false" customHeight="false" outlineLevel="0" collapsed="false">
      <c r="A1491" s="41"/>
      <c r="G1491" s="38" t="n">
        <f aca="false">MONTH(A1491)</f>
        <v>12</v>
      </c>
      <c r="H1491" s="38" t="n">
        <f aca="false">YEAR(Tabela1[[#This Row],[FECHA]])</f>
        <v>1900</v>
      </c>
      <c r="I14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92" customFormat="false" ht="15" hidden="false" customHeight="false" outlineLevel="0" collapsed="false">
      <c r="A1492" s="41"/>
      <c r="G1492" s="38" t="n">
        <f aca="false">MONTH(A1492)</f>
        <v>12</v>
      </c>
      <c r="H1492" s="38" t="n">
        <f aca="false">YEAR(Tabela1[[#This Row],[FECHA]])</f>
        <v>1900</v>
      </c>
      <c r="I14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93" customFormat="false" ht="15" hidden="false" customHeight="false" outlineLevel="0" collapsed="false">
      <c r="A1493" s="41"/>
      <c r="G1493" s="38" t="n">
        <f aca="false">MONTH(A1493)</f>
        <v>12</v>
      </c>
      <c r="H1493" s="38" t="n">
        <f aca="false">YEAR(Tabela1[[#This Row],[FECHA]])</f>
        <v>1900</v>
      </c>
      <c r="I14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94" customFormat="false" ht="15" hidden="false" customHeight="false" outlineLevel="0" collapsed="false">
      <c r="A1494" s="41"/>
      <c r="G1494" s="38" t="n">
        <f aca="false">MONTH(A1494)</f>
        <v>12</v>
      </c>
      <c r="H1494" s="38" t="n">
        <f aca="false">YEAR(Tabela1[[#This Row],[FECHA]])</f>
        <v>1900</v>
      </c>
      <c r="I14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95" customFormat="false" ht="15" hidden="false" customHeight="false" outlineLevel="0" collapsed="false">
      <c r="A1495" s="41"/>
      <c r="G1495" s="38" t="n">
        <f aca="false">MONTH(A1495)</f>
        <v>12</v>
      </c>
      <c r="H1495" s="38" t="n">
        <f aca="false">YEAR(Tabela1[[#This Row],[FECHA]])</f>
        <v>1900</v>
      </c>
      <c r="I14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96" customFormat="false" ht="15" hidden="false" customHeight="false" outlineLevel="0" collapsed="false">
      <c r="A1496" s="41"/>
      <c r="G1496" s="38" t="n">
        <f aca="false">MONTH(A1496)</f>
        <v>12</v>
      </c>
      <c r="H1496" s="38" t="n">
        <f aca="false">YEAR(Tabela1[[#This Row],[FECHA]])</f>
        <v>1900</v>
      </c>
      <c r="I14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97" customFormat="false" ht="15" hidden="false" customHeight="false" outlineLevel="0" collapsed="false">
      <c r="A1497" s="41"/>
      <c r="G1497" s="38" t="n">
        <f aca="false">MONTH(A1497)</f>
        <v>12</v>
      </c>
      <c r="H1497" s="38" t="n">
        <f aca="false">YEAR(Tabela1[[#This Row],[FECHA]])</f>
        <v>1900</v>
      </c>
      <c r="I14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98" customFormat="false" ht="15" hidden="false" customHeight="false" outlineLevel="0" collapsed="false">
      <c r="A1498" s="41"/>
      <c r="G1498" s="38" t="n">
        <f aca="false">MONTH(A1498)</f>
        <v>12</v>
      </c>
      <c r="H1498" s="38" t="n">
        <f aca="false">YEAR(Tabela1[[#This Row],[FECHA]])</f>
        <v>1900</v>
      </c>
      <c r="I14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499" customFormat="false" ht="15" hidden="false" customHeight="false" outlineLevel="0" collapsed="false">
      <c r="A1499" s="41"/>
      <c r="G1499" s="38" t="n">
        <f aca="false">MONTH(A1499)</f>
        <v>12</v>
      </c>
      <c r="H1499" s="38" t="n">
        <f aca="false">YEAR(Tabela1[[#This Row],[FECHA]])</f>
        <v>1900</v>
      </c>
      <c r="I14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00" customFormat="false" ht="15" hidden="false" customHeight="false" outlineLevel="0" collapsed="false">
      <c r="A1500" s="41"/>
      <c r="G1500" s="38" t="n">
        <f aca="false">MONTH(A1500)</f>
        <v>12</v>
      </c>
      <c r="H1500" s="38" t="n">
        <f aca="false">YEAR(Tabela1[[#This Row],[FECHA]])</f>
        <v>1900</v>
      </c>
      <c r="I15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01" customFormat="false" ht="15" hidden="false" customHeight="false" outlineLevel="0" collapsed="false">
      <c r="A1501" s="41"/>
      <c r="G1501" s="38" t="n">
        <f aca="false">MONTH(A1501)</f>
        <v>12</v>
      </c>
      <c r="H1501" s="38" t="n">
        <f aca="false">YEAR(Tabela1[[#This Row],[FECHA]])</f>
        <v>1900</v>
      </c>
      <c r="I15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02" customFormat="false" ht="15" hidden="false" customHeight="false" outlineLevel="0" collapsed="false">
      <c r="A1502" s="41"/>
      <c r="G1502" s="38" t="n">
        <f aca="false">MONTH(A1502)</f>
        <v>12</v>
      </c>
      <c r="H1502" s="38" t="n">
        <f aca="false">YEAR(Tabela1[[#This Row],[FECHA]])</f>
        <v>1900</v>
      </c>
      <c r="I15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03" customFormat="false" ht="15" hidden="false" customHeight="false" outlineLevel="0" collapsed="false">
      <c r="A1503" s="41"/>
      <c r="G1503" s="38" t="n">
        <f aca="false">MONTH(A1503)</f>
        <v>12</v>
      </c>
      <c r="H1503" s="38" t="n">
        <f aca="false">YEAR(Tabela1[[#This Row],[FECHA]])</f>
        <v>1900</v>
      </c>
      <c r="I15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04" customFormat="false" ht="15" hidden="false" customHeight="false" outlineLevel="0" collapsed="false">
      <c r="A1504" s="41"/>
      <c r="G1504" s="38" t="n">
        <f aca="false">MONTH(A1504)</f>
        <v>12</v>
      </c>
      <c r="H1504" s="38" t="n">
        <f aca="false">YEAR(Tabela1[[#This Row],[FECHA]])</f>
        <v>1900</v>
      </c>
      <c r="I15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05" customFormat="false" ht="15" hidden="false" customHeight="false" outlineLevel="0" collapsed="false">
      <c r="A1505" s="41"/>
      <c r="G1505" s="38" t="n">
        <f aca="false">MONTH(A1505)</f>
        <v>12</v>
      </c>
      <c r="H1505" s="38" t="n">
        <f aca="false">YEAR(Tabela1[[#This Row],[FECHA]])</f>
        <v>1900</v>
      </c>
      <c r="I15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06" customFormat="false" ht="15" hidden="false" customHeight="false" outlineLevel="0" collapsed="false">
      <c r="A1506" s="41"/>
      <c r="G1506" s="38" t="n">
        <f aca="false">MONTH(A1506)</f>
        <v>12</v>
      </c>
      <c r="H1506" s="38" t="n">
        <f aca="false">YEAR(Tabela1[[#This Row],[FECHA]])</f>
        <v>1900</v>
      </c>
      <c r="I15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07" customFormat="false" ht="15" hidden="false" customHeight="false" outlineLevel="0" collapsed="false">
      <c r="A1507" s="41"/>
      <c r="G1507" s="38" t="n">
        <f aca="false">MONTH(A1507)</f>
        <v>12</v>
      </c>
      <c r="H1507" s="38" t="n">
        <f aca="false">YEAR(Tabela1[[#This Row],[FECHA]])</f>
        <v>1900</v>
      </c>
      <c r="I15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08" customFormat="false" ht="15" hidden="false" customHeight="false" outlineLevel="0" collapsed="false">
      <c r="A1508" s="41"/>
      <c r="G1508" s="38" t="n">
        <f aca="false">MONTH(A1508)</f>
        <v>12</v>
      </c>
      <c r="H1508" s="38" t="n">
        <f aca="false">YEAR(Tabela1[[#This Row],[FECHA]])</f>
        <v>1900</v>
      </c>
      <c r="I15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09" customFormat="false" ht="15" hidden="false" customHeight="false" outlineLevel="0" collapsed="false">
      <c r="A1509" s="41"/>
      <c r="G1509" s="38" t="n">
        <f aca="false">MONTH(A1509)</f>
        <v>12</v>
      </c>
      <c r="H1509" s="38" t="n">
        <f aca="false">YEAR(Tabela1[[#This Row],[FECHA]])</f>
        <v>1900</v>
      </c>
      <c r="I15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10" customFormat="false" ht="15" hidden="false" customHeight="false" outlineLevel="0" collapsed="false">
      <c r="A1510" s="41"/>
      <c r="G1510" s="38" t="n">
        <f aca="false">MONTH(A1510)</f>
        <v>12</v>
      </c>
      <c r="H1510" s="38" t="n">
        <f aca="false">YEAR(Tabela1[[#This Row],[FECHA]])</f>
        <v>1900</v>
      </c>
      <c r="I15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11" customFormat="false" ht="15" hidden="false" customHeight="false" outlineLevel="0" collapsed="false">
      <c r="A1511" s="41"/>
      <c r="G1511" s="38" t="n">
        <f aca="false">MONTH(A1511)</f>
        <v>12</v>
      </c>
      <c r="H1511" s="38" t="n">
        <f aca="false">YEAR(Tabela1[[#This Row],[FECHA]])</f>
        <v>1900</v>
      </c>
      <c r="I15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12" customFormat="false" ht="15" hidden="false" customHeight="false" outlineLevel="0" collapsed="false">
      <c r="A1512" s="41"/>
      <c r="G1512" s="38" t="n">
        <f aca="false">MONTH(A1512)</f>
        <v>12</v>
      </c>
      <c r="H1512" s="38" t="n">
        <f aca="false">YEAR(Tabela1[[#This Row],[FECHA]])</f>
        <v>1900</v>
      </c>
      <c r="I15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13" customFormat="false" ht="15" hidden="false" customHeight="false" outlineLevel="0" collapsed="false">
      <c r="A1513" s="41"/>
      <c r="G1513" s="38" t="n">
        <f aca="false">MONTH(A1513)</f>
        <v>12</v>
      </c>
      <c r="H1513" s="38" t="n">
        <f aca="false">YEAR(Tabela1[[#This Row],[FECHA]])</f>
        <v>1900</v>
      </c>
      <c r="I15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14" customFormat="false" ht="15" hidden="false" customHeight="false" outlineLevel="0" collapsed="false">
      <c r="A1514" s="41"/>
      <c r="G1514" s="38" t="n">
        <f aca="false">MONTH(A1514)</f>
        <v>12</v>
      </c>
      <c r="H1514" s="38" t="n">
        <f aca="false">YEAR(Tabela1[[#This Row],[FECHA]])</f>
        <v>1900</v>
      </c>
      <c r="I15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15" customFormat="false" ht="15" hidden="false" customHeight="false" outlineLevel="0" collapsed="false">
      <c r="A1515" s="41"/>
      <c r="G1515" s="38" t="n">
        <f aca="false">MONTH(A1515)</f>
        <v>12</v>
      </c>
      <c r="H1515" s="38" t="n">
        <f aca="false">YEAR(Tabela1[[#This Row],[FECHA]])</f>
        <v>1900</v>
      </c>
      <c r="I15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16" customFormat="false" ht="15" hidden="false" customHeight="false" outlineLevel="0" collapsed="false">
      <c r="A1516" s="41"/>
      <c r="G1516" s="38" t="n">
        <f aca="false">MONTH(A1516)</f>
        <v>12</v>
      </c>
      <c r="H1516" s="38" t="n">
        <f aca="false">YEAR(Tabela1[[#This Row],[FECHA]])</f>
        <v>1900</v>
      </c>
      <c r="I15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17" customFormat="false" ht="15" hidden="false" customHeight="false" outlineLevel="0" collapsed="false">
      <c r="A1517" s="41"/>
      <c r="G1517" s="38" t="n">
        <f aca="false">MONTH(A1517)</f>
        <v>12</v>
      </c>
      <c r="H1517" s="38" t="n">
        <f aca="false">YEAR(Tabela1[[#This Row],[FECHA]])</f>
        <v>1900</v>
      </c>
      <c r="I15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18" customFormat="false" ht="15" hidden="false" customHeight="false" outlineLevel="0" collapsed="false">
      <c r="A1518" s="41"/>
      <c r="G1518" s="38" t="n">
        <f aca="false">MONTH(A1518)</f>
        <v>12</v>
      </c>
      <c r="H1518" s="38" t="n">
        <f aca="false">YEAR(Tabela1[[#This Row],[FECHA]])</f>
        <v>1900</v>
      </c>
      <c r="I15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19" customFormat="false" ht="15" hidden="false" customHeight="false" outlineLevel="0" collapsed="false">
      <c r="A1519" s="41"/>
      <c r="G1519" s="38" t="n">
        <f aca="false">MONTH(A1519)</f>
        <v>12</v>
      </c>
      <c r="H1519" s="38" t="n">
        <f aca="false">YEAR(Tabela1[[#This Row],[FECHA]])</f>
        <v>1900</v>
      </c>
      <c r="I15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20" customFormat="false" ht="15" hidden="false" customHeight="false" outlineLevel="0" collapsed="false">
      <c r="A1520" s="41"/>
      <c r="G1520" s="38" t="n">
        <f aca="false">MONTH(A1520)</f>
        <v>12</v>
      </c>
      <c r="H1520" s="38" t="n">
        <f aca="false">YEAR(Tabela1[[#This Row],[FECHA]])</f>
        <v>1900</v>
      </c>
      <c r="I15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21" customFormat="false" ht="15" hidden="false" customHeight="false" outlineLevel="0" collapsed="false">
      <c r="A1521" s="41"/>
      <c r="G1521" s="38" t="n">
        <f aca="false">MONTH(A1521)</f>
        <v>12</v>
      </c>
      <c r="H1521" s="38" t="n">
        <f aca="false">YEAR(Tabela1[[#This Row],[FECHA]])</f>
        <v>1900</v>
      </c>
      <c r="I15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22" customFormat="false" ht="15" hidden="false" customHeight="false" outlineLevel="0" collapsed="false">
      <c r="A1522" s="41"/>
      <c r="G1522" s="38" t="n">
        <f aca="false">MONTH(A1522)</f>
        <v>12</v>
      </c>
      <c r="H1522" s="38" t="n">
        <f aca="false">YEAR(Tabela1[[#This Row],[FECHA]])</f>
        <v>1900</v>
      </c>
      <c r="I15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23" customFormat="false" ht="15" hidden="false" customHeight="false" outlineLevel="0" collapsed="false">
      <c r="A1523" s="41"/>
      <c r="G1523" s="38" t="n">
        <f aca="false">MONTH(A1523)</f>
        <v>12</v>
      </c>
      <c r="H1523" s="38" t="n">
        <f aca="false">YEAR(Tabela1[[#This Row],[FECHA]])</f>
        <v>1900</v>
      </c>
      <c r="I15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24" customFormat="false" ht="15" hidden="false" customHeight="false" outlineLevel="0" collapsed="false">
      <c r="A1524" s="41"/>
      <c r="G1524" s="38" t="n">
        <f aca="false">MONTH(A1524)</f>
        <v>12</v>
      </c>
      <c r="H1524" s="38" t="n">
        <f aca="false">YEAR(Tabela1[[#This Row],[FECHA]])</f>
        <v>1900</v>
      </c>
      <c r="I15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25" customFormat="false" ht="15" hidden="false" customHeight="false" outlineLevel="0" collapsed="false">
      <c r="A1525" s="41"/>
      <c r="G1525" s="38" t="n">
        <f aca="false">MONTH(A1525)</f>
        <v>12</v>
      </c>
      <c r="H1525" s="38" t="n">
        <f aca="false">YEAR(Tabela1[[#This Row],[FECHA]])</f>
        <v>1900</v>
      </c>
      <c r="I15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26" customFormat="false" ht="15" hidden="false" customHeight="false" outlineLevel="0" collapsed="false">
      <c r="A1526" s="41"/>
      <c r="G1526" s="38" t="n">
        <f aca="false">MONTH(A1526)</f>
        <v>12</v>
      </c>
      <c r="H1526" s="38" t="n">
        <f aca="false">YEAR(Tabela1[[#This Row],[FECHA]])</f>
        <v>1900</v>
      </c>
      <c r="I15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27" customFormat="false" ht="15" hidden="false" customHeight="false" outlineLevel="0" collapsed="false">
      <c r="A1527" s="41"/>
      <c r="G1527" s="38" t="n">
        <f aca="false">MONTH(A1527)</f>
        <v>12</v>
      </c>
      <c r="H1527" s="38" t="n">
        <f aca="false">YEAR(Tabela1[[#This Row],[FECHA]])</f>
        <v>1900</v>
      </c>
      <c r="I15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28" customFormat="false" ht="15" hidden="false" customHeight="false" outlineLevel="0" collapsed="false">
      <c r="A1528" s="41"/>
      <c r="G1528" s="38" t="n">
        <f aca="false">MONTH(A1528)</f>
        <v>12</v>
      </c>
      <c r="H1528" s="38" t="n">
        <f aca="false">YEAR(Tabela1[[#This Row],[FECHA]])</f>
        <v>1900</v>
      </c>
      <c r="I15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29" customFormat="false" ht="15" hidden="false" customHeight="false" outlineLevel="0" collapsed="false">
      <c r="A1529" s="41"/>
      <c r="G1529" s="38" t="n">
        <f aca="false">MONTH(A1529)</f>
        <v>12</v>
      </c>
      <c r="H1529" s="38" t="n">
        <f aca="false">YEAR(Tabela1[[#This Row],[FECHA]])</f>
        <v>1900</v>
      </c>
      <c r="I15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30" customFormat="false" ht="15" hidden="false" customHeight="false" outlineLevel="0" collapsed="false">
      <c r="A1530" s="41"/>
      <c r="G1530" s="38" t="n">
        <f aca="false">MONTH(A1530)</f>
        <v>12</v>
      </c>
      <c r="H1530" s="38" t="n">
        <f aca="false">YEAR(Tabela1[[#This Row],[FECHA]])</f>
        <v>1900</v>
      </c>
      <c r="I15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31" customFormat="false" ht="15" hidden="false" customHeight="false" outlineLevel="0" collapsed="false">
      <c r="A1531" s="41"/>
      <c r="G1531" s="38" t="n">
        <f aca="false">MONTH(A1531)</f>
        <v>12</v>
      </c>
      <c r="H1531" s="38" t="n">
        <f aca="false">YEAR(Tabela1[[#This Row],[FECHA]])</f>
        <v>1900</v>
      </c>
      <c r="I15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32" customFormat="false" ht="15" hidden="false" customHeight="false" outlineLevel="0" collapsed="false">
      <c r="A1532" s="41"/>
      <c r="G1532" s="38" t="n">
        <f aca="false">MONTH(A1532)</f>
        <v>12</v>
      </c>
      <c r="H1532" s="38" t="n">
        <f aca="false">YEAR(Tabela1[[#This Row],[FECHA]])</f>
        <v>1900</v>
      </c>
      <c r="I15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33" customFormat="false" ht="15" hidden="false" customHeight="false" outlineLevel="0" collapsed="false">
      <c r="A1533" s="41"/>
      <c r="G1533" s="38" t="n">
        <f aca="false">MONTH(A1533)</f>
        <v>12</v>
      </c>
      <c r="H1533" s="38" t="n">
        <f aca="false">YEAR(Tabela1[[#This Row],[FECHA]])</f>
        <v>1900</v>
      </c>
      <c r="I15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34" customFormat="false" ht="15" hidden="false" customHeight="false" outlineLevel="0" collapsed="false">
      <c r="A1534" s="41"/>
      <c r="G1534" s="38" t="n">
        <f aca="false">MONTH(A1534)</f>
        <v>12</v>
      </c>
      <c r="H1534" s="38" t="n">
        <f aca="false">YEAR(Tabela1[[#This Row],[FECHA]])</f>
        <v>1900</v>
      </c>
      <c r="I15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35" customFormat="false" ht="15" hidden="false" customHeight="false" outlineLevel="0" collapsed="false">
      <c r="A1535" s="41"/>
      <c r="G1535" s="38" t="n">
        <f aca="false">MONTH(A1535)</f>
        <v>12</v>
      </c>
      <c r="H1535" s="38" t="n">
        <f aca="false">YEAR(Tabela1[[#This Row],[FECHA]])</f>
        <v>1900</v>
      </c>
      <c r="I15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36" customFormat="false" ht="15" hidden="false" customHeight="false" outlineLevel="0" collapsed="false">
      <c r="A1536" s="41"/>
      <c r="G1536" s="38" t="n">
        <f aca="false">MONTH(A1536)</f>
        <v>12</v>
      </c>
      <c r="H1536" s="38" t="n">
        <f aca="false">YEAR(Tabela1[[#This Row],[FECHA]])</f>
        <v>1900</v>
      </c>
      <c r="I15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37" customFormat="false" ht="15" hidden="false" customHeight="false" outlineLevel="0" collapsed="false">
      <c r="A1537" s="41"/>
      <c r="G1537" s="38" t="n">
        <f aca="false">MONTH(A1537)</f>
        <v>12</v>
      </c>
      <c r="H1537" s="38" t="n">
        <f aca="false">YEAR(Tabela1[[#This Row],[FECHA]])</f>
        <v>1900</v>
      </c>
      <c r="I15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38" customFormat="false" ht="15" hidden="false" customHeight="false" outlineLevel="0" collapsed="false">
      <c r="A1538" s="41"/>
      <c r="G1538" s="38" t="n">
        <f aca="false">MONTH(A1538)</f>
        <v>12</v>
      </c>
      <c r="H1538" s="38" t="n">
        <f aca="false">YEAR(Tabela1[[#This Row],[FECHA]])</f>
        <v>1900</v>
      </c>
      <c r="I15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39" customFormat="false" ht="15" hidden="false" customHeight="false" outlineLevel="0" collapsed="false">
      <c r="A1539" s="41"/>
      <c r="G1539" s="38" t="n">
        <f aca="false">MONTH(A1539)</f>
        <v>12</v>
      </c>
      <c r="H1539" s="38" t="n">
        <f aca="false">YEAR(Tabela1[[#This Row],[FECHA]])</f>
        <v>1900</v>
      </c>
      <c r="I15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40" customFormat="false" ht="15" hidden="false" customHeight="false" outlineLevel="0" collapsed="false">
      <c r="A1540" s="41"/>
      <c r="G1540" s="38" t="n">
        <f aca="false">MONTH(A1540)</f>
        <v>12</v>
      </c>
      <c r="H1540" s="38" t="n">
        <f aca="false">YEAR(Tabela1[[#This Row],[FECHA]])</f>
        <v>1900</v>
      </c>
      <c r="I15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41" customFormat="false" ht="15" hidden="false" customHeight="false" outlineLevel="0" collapsed="false">
      <c r="A1541" s="41"/>
      <c r="G1541" s="38" t="n">
        <f aca="false">MONTH(A1541)</f>
        <v>12</v>
      </c>
      <c r="H1541" s="38" t="n">
        <f aca="false">YEAR(Tabela1[[#This Row],[FECHA]])</f>
        <v>1900</v>
      </c>
      <c r="I15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42" customFormat="false" ht="15" hidden="false" customHeight="false" outlineLevel="0" collapsed="false">
      <c r="A1542" s="41"/>
      <c r="G1542" s="38" t="n">
        <f aca="false">MONTH(A1542)</f>
        <v>12</v>
      </c>
      <c r="H1542" s="38" t="n">
        <f aca="false">YEAR(Tabela1[[#This Row],[FECHA]])</f>
        <v>1900</v>
      </c>
      <c r="I15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43" customFormat="false" ht="15" hidden="false" customHeight="false" outlineLevel="0" collapsed="false">
      <c r="A1543" s="41"/>
      <c r="G1543" s="38" t="n">
        <f aca="false">MONTH(A1543)</f>
        <v>12</v>
      </c>
      <c r="H1543" s="38" t="n">
        <f aca="false">YEAR(Tabela1[[#This Row],[FECHA]])</f>
        <v>1900</v>
      </c>
      <c r="I15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44" customFormat="false" ht="15" hidden="false" customHeight="false" outlineLevel="0" collapsed="false">
      <c r="A1544" s="41"/>
      <c r="G1544" s="38" t="n">
        <f aca="false">MONTH(A1544)</f>
        <v>12</v>
      </c>
      <c r="H1544" s="38" t="n">
        <f aca="false">YEAR(Tabela1[[#This Row],[FECHA]])</f>
        <v>1900</v>
      </c>
      <c r="I15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45" customFormat="false" ht="15" hidden="false" customHeight="false" outlineLevel="0" collapsed="false">
      <c r="A1545" s="41"/>
      <c r="G1545" s="38" t="n">
        <f aca="false">MONTH(A1545)</f>
        <v>12</v>
      </c>
      <c r="H1545" s="38" t="n">
        <f aca="false">YEAR(Tabela1[[#This Row],[FECHA]])</f>
        <v>1900</v>
      </c>
      <c r="I15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46" customFormat="false" ht="15" hidden="false" customHeight="false" outlineLevel="0" collapsed="false">
      <c r="A1546" s="41"/>
      <c r="G1546" s="38" t="n">
        <f aca="false">MONTH(A1546)</f>
        <v>12</v>
      </c>
      <c r="H1546" s="38" t="n">
        <f aca="false">YEAR(Tabela1[[#This Row],[FECHA]])</f>
        <v>1900</v>
      </c>
      <c r="I15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47" customFormat="false" ht="15" hidden="false" customHeight="false" outlineLevel="0" collapsed="false">
      <c r="A1547" s="41"/>
      <c r="G1547" s="38" t="n">
        <f aca="false">MONTH(A1547)</f>
        <v>12</v>
      </c>
      <c r="H1547" s="38" t="n">
        <f aca="false">YEAR(Tabela1[[#This Row],[FECHA]])</f>
        <v>1900</v>
      </c>
      <c r="I15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48" customFormat="false" ht="15" hidden="false" customHeight="false" outlineLevel="0" collapsed="false">
      <c r="A1548" s="41"/>
      <c r="G1548" s="38" t="n">
        <f aca="false">MONTH(A1548)</f>
        <v>12</v>
      </c>
      <c r="H1548" s="38" t="n">
        <f aca="false">YEAR(Tabela1[[#This Row],[FECHA]])</f>
        <v>1900</v>
      </c>
      <c r="I15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49" customFormat="false" ht="15" hidden="false" customHeight="false" outlineLevel="0" collapsed="false">
      <c r="A1549" s="41"/>
      <c r="G1549" s="38" t="n">
        <f aca="false">MONTH(A1549)</f>
        <v>12</v>
      </c>
      <c r="H1549" s="38" t="n">
        <f aca="false">YEAR(Tabela1[[#This Row],[FECHA]])</f>
        <v>1900</v>
      </c>
      <c r="I15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50" customFormat="false" ht="15" hidden="false" customHeight="false" outlineLevel="0" collapsed="false">
      <c r="A1550" s="41"/>
      <c r="G1550" s="38" t="n">
        <f aca="false">MONTH(A1550)</f>
        <v>12</v>
      </c>
      <c r="H1550" s="38" t="n">
        <f aca="false">YEAR(Tabela1[[#This Row],[FECHA]])</f>
        <v>1900</v>
      </c>
      <c r="I15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51" customFormat="false" ht="15" hidden="false" customHeight="false" outlineLevel="0" collapsed="false">
      <c r="A1551" s="41"/>
      <c r="G1551" s="38" t="n">
        <f aca="false">MONTH(A1551)</f>
        <v>12</v>
      </c>
      <c r="H1551" s="38" t="n">
        <f aca="false">YEAR(Tabela1[[#This Row],[FECHA]])</f>
        <v>1900</v>
      </c>
      <c r="I15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52" customFormat="false" ht="15" hidden="false" customHeight="false" outlineLevel="0" collapsed="false">
      <c r="A1552" s="41"/>
      <c r="G1552" s="38" t="n">
        <f aca="false">MONTH(A1552)</f>
        <v>12</v>
      </c>
      <c r="H1552" s="38" t="n">
        <f aca="false">YEAR(Tabela1[[#This Row],[FECHA]])</f>
        <v>1900</v>
      </c>
      <c r="I15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53" customFormat="false" ht="15" hidden="false" customHeight="false" outlineLevel="0" collapsed="false">
      <c r="A1553" s="41"/>
      <c r="G1553" s="38" t="n">
        <f aca="false">MONTH(A1553)</f>
        <v>12</v>
      </c>
      <c r="H1553" s="38" t="n">
        <f aca="false">YEAR(Tabela1[[#This Row],[FECHA]])</f>
        <v>1900</v>
      </c>
      <c r="I15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54" customFormat="false" ht="15" hidden="false" customHeight="false" outlineLevel="0" collapsed="false">
      <c r="A1554" s="41"/>
      <c r="G1554" s="38" t="n">
        <f aca="false">MONTH(A1554)</f>
        <v>12</v>
      </c>
      <c r="H1554" s="38" t="n">
        <f aca="false">YEAR(Tabela1[[#This Row],[FECHA]])</f>
        <v>1900</v>
      </c>
      <c r="I15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55" customFormat="false" ht="15" hidden="false" customHeight="false" outlineLevel="0" collapsed="false">
      <c r="A1555" s="41"/>
      <c r="G1555" s="38" t="n">
        <f aca="false">MONTH(A1555)</f>
        <v>12</v>
      </c>
      <c r="H1555" s="38" t="n">
        <f aca="false">YEAR(Tabela1[[#This Row],[FECHA]])</f>
        <v>1900</v>
      </c>
      <c r="I15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56" customFormat="false" ht="15" hidden="false" customHeight="false" outlineLevel="0" collapsed="false">
      <c r="A1556" s="41"/>
      <c r="G1556" s="38" t="n">
        <f aca="false">MONTH(A1556)</f>
        <v>12</v>
      </c>
      <c r="H1556" s="38" t="n">
        <f aca="false">YEAR(Tabela1[[#This Row],[FECHA]])</f>
        <v>1900</v>
      </c>
      <c r="I15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57" customFormat="false" ht="15" hidden="false" customHeight="false" outlineLevel="0" collapsed="false">
      <c r="A1557" s="41"/>
      <c r="G1557" s="38" t="n">
        <f aca="false">MONTH(A1557)</f>
        <v>12</v>
      </c>
      <c r="H1557" s="38" t="n">
        <f aca="false">YEAR(Tabela1[[#This Row],[FECHA]])</f>
        <v>1900</v>
      </c>
      <c r="I15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58" customFormat="false" ht="15" hidden="false" customHeight="false" outlineLevel="0" collapsed="false">
      <c r="A1558" s="41"/>
      <c r="G1558" s="38" t="n">
        <f aca="false">MONTH(A1558)</f>
        <v>12</v>
      </c>
      <c r="H1558" s="38" t="n">
        <f aca="false">YEAR(Tabela1[[#This Row],[FECHA]])</f>
        <v>1900</v>
      </c>
      <c r="I15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59" customFormat="false" ht="15" hidden="false" customHeight="false" outlineLevel="0" collapsed="false">
      <c r="A1559" s="41"/>
      <c r="G1559" s="38" t="n">
        <f aca="false">MONTH(A1559)</f>
        <v>12</v>
      </c>
      <c r="H1559" s="38" t="n">
        <f aca="false">YEAR(Tabela1[[#This Row],[FECHA]])</f>
        <v>1900</v>
      </c>
      <c r="I15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60" customFormat="false" ht="15" hidden="false" customHeight="false" outlineLevel="0" collapsed="false">
      <c r="A1560" s="41"/>
      <c r="G1560" s="38" t="n">
        <f aca="false">MONTH(A1560)</f>
        <v>12</v>
      </c>
      <c r="H1560" s="38" t="n">
        <f aca="false">YEAR(Tabela1[[#This Row],[FECHA]])</f>
        <v>1900</v>
      </c>
      <c r="I15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61" customFormat="false" ht="15" hidden="false" customHeight="false" outlineLevel="0" collapsed="false">
      <c r="A1561" s="41"/>
      <c r="G1561" s="38" t="n">
        <f aca="false">MONTH(A1561)</f>
        <v>12</v>
      </c>
      <c r="H1561" s="38" t="n">
        <f aca="false">YEAR(Tabela1[[#This Row],[FECHA]])</f>
        <v>1900</v>
      </c>
      <c r="I15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62" customFormat="false" ht="15" hidden="false" customHeight="false" outlineLevel="0" collapsed="false">
      <c r="A1562" s="41"/>
      <c r="G1562" s="38" t="n">
        <f aca="false">MONTH(A1562)</f>
        <v>12</v>
      </c>
      <c r="H1562" s="38" t="n">
        <f aca="false">YEAR(Tabela1[[#This Row],[FECHA]])</f>
        <v>1900</v>
      </c>
      <c r="I15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63" customFormat="false" ht="15" hidden="false" customHeight="false" outlineLevel="0" collapsed="false">
      <c r="A1563" s="41"/>
      <c r="G1563" s="38" t="n">
        <f aca="false">MONTH(A1563)</f>
        <v>12</v>
      </c>
      <c r="H1563" s="38" t="n">
        <f aca="false">YEAR(Tabela1[[#This Row],[FECHA]])</f>
        <v>1900</v>
      </c>
      <c r="I15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64" customFormat="false" ht="15" hidden="false" customHeight="false" outlineLevel="0" collapsed="false">
      <c r="A1564" s="41"/>
      <c r="G1564" s="38" t="n">
        <f aca="false">MONTH(A1564)</f>
        <v>12</v>
      </c>
      <c r="H1564" s="38" t="n">
        <f aca="false">YEAR(Tabela1[[#This Row],[FECHA]])</f>
        <v>1900</v>
      </c>
      <c r="I15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65" customFormat="false" ht="15" hidden="false" customHeight="false" outlineLevel="0" collapsed="false">
      <c r="A1565" s="41"/>
      <c r="G1565" s="38" t="n">
        <f aca="false">MONTH(A1565)</f>
        <v>12</v>
      </c>
      <c r="H1565" s="38" t="n">
        <f aca="false">YEAR(Tabela1[[#This Row],[FECHA]])</f>
        <v>1900</v>
      </c>
      <c r="I15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66" customFormat="false" ht="15" hidden="false" customHeight="false" outlineLevel="0" collapsed="false">
      <c r="A1566" s="41"/>
      <c r="G1566" s="38" t="n">
        <f aca="false">MONTH(A1566)</f>
        <v>12</v>
      </c>
      <c r="H1566" s="38" t="n">
        <f aca="false">YEAR(Tabela1[[#This Row],[FECHA]])</f>
        <v>1900</v>
      </c>
      <c r="I15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67" customFormat="false" ht="15" hidden="false" customHeight="false" outlineLevel="0" collapsed="false">
      <c r="A1567" s="41"/>
      <c r="G1567" s="38" t="n">
        <f aca="false">MONTH(A1567)</f>
        <v>12</v>
      </c>
      <c r="H1567" s="38" t="n">
        <f aca="false">YEAR(Tabela1[[#This Row],[FECHA]])</f>
        <v>1900</v>
      </c>
      <c r="I15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68" customFormat="false" ht="15" hidden="false" customHeight="false" outlineLevel="0" collapsed="false">
      <c r="A1568" s="41"/>
      <c r="G1568" s="38" t="n">
        <f aca="false">MONTH(A1568)</f>
        <v>12</v>
      </c>
      <c r="H1568" s="38" t="n">
        <f aca="false">YEAR(Tabela1[[#This Row],[FECHA]])</f>
        <v>1900</v>
      </c>
      <c r="I15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69" customFormat="false" ht="15" hidden="false" customHeight="false" outlineLevel="0" collapsed="false">
      <c r="A1569" s="41"/>
      <c r="G1569" s="38" t="n">
        <f aca="false">MONTH(A1569)</f>
        <v>12</v>
      </c>
      <c r="H1569" s="38" t="n">
        <f aca="false">YEAR(Tabela1[[#This Row],[FECHA]])</f>
        <v>1900</v>
      </c>
      <c r="I15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70" customFormat="false" ht="15" hidden="false" customHeight="false" outlineLevel="0" collapsed="false">
      <c r="A1570" s="41"/>
      <c r="G1570" s="38" t="n">
        <f aca="false">MONTH(A1570)</f>
        <v>12</v>
      </c>
      <c r="H1570" s="38" t="n">
        <f aca="false">YEAR(Tabela1[[#This Row],[FECHA]])</f>
        <v>1900</v>
      </c>
      <c r="I15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71" customFormat="false" ht="15" hidden="false" customHeight="false" outlineLevel="0" collapsed="false">
      <c r="A1571" s="41"/>
      <c r="G1571" s="38" t="n">
        <f aca="false">MONTH(A1571)</f>
        <v>12</v>
      </c>
      <c r="H1571" s="38" t="n">
        <f aca="false">YEAR(Tabela1[[#This Row],[FECHA]])</f>
        <v>1900</v>
      </c>
      <c r="I15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72" customFormat="false" ht="15" hidden="false" customHeight="false" outlineLevel="0" collapsed="false">
      <c r="A1572" s="41"/>
      <c r="G1572" s="38" t="n">
        <f aca="false">MONTH(A1572)</f>
        <v>12</v>
      </c>
      <c r="H1572" s="38" t="n">
        <f aca="false">YEAR(Tabela1[[#This Row],[FECHA]])</f>
        <v>1900</v>
      </c>
      <c r="I15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73" customFormat="false" ht="15" hidden="false" customHeight="false" outlineLevel="0" collapsed="false">
      <c r="A1573" s="41"/>
      <c r="G1573" s="38" t="n">
        <f aca="false">MONTH(A1573)</f>
        <v>12</v>
      </c>
      <c r="H1573" s="38" t="n">
        <f aca="false">YEAR(Tabela1[[#This Row],[FECHA]])</f>
        <v>1900</v>
      </c>
      <c r="I15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74" customFormat="false" ht="15" hidden="false" customHeight="false" outlineLevel="0" collapsed="false">
      <c r="A1574" s="41"/>
      <c r="G1574" s="38" t="n">
        <f aca="false">MONTH(A1574)</f>
        <v>12</v>
      </c>
      <c r="H1574" s="38" t="n">
        <f aca="false">YEAR(Tabela1[[#This Row],[FECHA]])</f>
        <v>1900</v>
      </c>
      <c r="I15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75" customFormat="false" ht="15" hidden="false" customHeight="false" outlineLevel="0" collapsed="false">
      <c r="A1575" s="41"/>
      <c r="G1575" s="38" t="n">
        <f aca="false">MONTH(A1575)</f>
        <v>12</v>
      </c>
      <c r="H1575" s="38" t="n">
        <f aca="false">YEAR(Tabela1[[#This Row],[FECHA]])</f>
        <v>1900</v>
      </c>
      <c r="I15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76" customFormat="false" ht="15" hidden="false" customHeight="false" outlineLevel="0" collapsed="false">
      <c r="A1576" s="41"/>
      <c r="G1576" s="38" t="n">
        <f aca="false">MONTH(A1576)</f>
        <v>12</v>
      </c>
      <c r="H1576" s="38" t="n">
        <f aca="false">YEAR(Tabela1[[#This Row],[FECHA]])</f>
        <v>1900</v>
      </c>
      <c r="I15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77" customFormat="false" ht="15" hidden="false" customHeight="false" outlineLevel="0" collapsed="false">
      <c r="A1577" s="41"/>
      <c r="G1577" s="38" t="n">
        <f aca="false">MONTH(A1577)</f>
        <v>12</v>
      </c>
      <c r="H1577" s="38" t="n">
        <f aca="false">YEAR(Tabela1[[#This Row],[FECHA]])</f>
        <v>1900</v>
      </c>
      <c r="I15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78" customFormat="false" ht="15" hidden="false" customHeight="false" outlineLevel="0" collapsed="false">
      <c r="A1578" s="41"/>
      <c r="G1578" s="38" t="n">
        <f aca="false">MONTH(A1578)</f>
        <v>12</v>
      </c>
      <c r="H1578" s="38" t="n">
        <f aca="false">YEAR(Tabela1[[#This Row],[FECHA]])</f>
        <v>1900</v>
      </c>
      <c r="I15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79" customFormat="false" ht="15" hidden="false" customHeight="false" outlineLevel="0" collapsed="false">
      <c r="A1579" s="41"/>
      <c r="G1579" s="38" t="n">
        <f aca="false">MONTH(A1579)</f>
        <v>12</v>
      </c>
      <c r="H1579" s="38" t="n">
        <f aca="false">YEAR(Tabela1[[#This Row],[FECHA]])</f>
        <v>1900</v>
      </c>
      <c r="I15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80" customFormat="false" ht="15" hidden="false" customHeight="false" outlineLevel="0" collapsed="false">
      <c r="A1580" s="41"/>
      <c r="G1580" s="38" t="n">
        <f aca="false">MONTH(A1580)</f>
        <v>12</v>
      </c>
      <c r="H1580" s="38" t="n">
        <f aca="false">YEAR(Tabela1[[#This Row],[FECHA]])</f>
        <v>1900</v>
      </c>
      <c r="I15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81" customFormat="false" ht="15" hidden="false" customHeight="false" outlineLevel="0" collapsed="false">
      <c r="A1581" s="41"/>
      <c r="G1581" s="38" t="n">
        <f aca="false">MONTH(A1581)</f>
        <v>12</v>
      </c>
      <c r="H1581" s="38" t="n">
        <f aca="false">YEAR(Tabela1[[#This Row],[FECHA]])</f>
        <v>1900</v>
      </c>
      <c r="I15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82" customFormat="false" ht="15" hidden="false" customHeight="false" outlineLevel="0" collapsed="false">
      <c r="A1582" s="41"/>
      <c r="G1582" s="38" t="n">
        <f aca="false">MONTH(A1582)</f>
        <v>12</v>
      </c>
      <c r="H1582" s="38" t="n">
        <f aca="false">YEAR(Tabela1[[#This Row],[FECHA]])</f>
        <v>1900</v>
      </c>
      <c r="I15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83" customFormat="false" ht="15" hidden="false" customHeight="false" outlineLevel="0" collapsed="false">
      <c r="A1583" s="41"/>
      <c r="G1583" s="38" t="n">
        <f aca="false">MONTH(A1583)</f>
        <v>12</v>
      </c>
      <c r="H1583" s="38" t="n">
        <f aca="false">YEAR(Tabela1[[#This Row],[FECHA]])</f>
        <v>1900</v>
      </c>
      <c r="I15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84" customFormat="false" ht="15" hidden="false" customHeight="false" outlineLevel="0" collapsed="false">
      <c r="A1584" s="41"/>
      <c r="G1584" s="38" t="n">
        <f aca="false">MONTH(A1584)</f>
        <v>12</v>
      </c>
      <c r="H1584" s="38" t="n">
        <f aca="false">YEAR(Tabela1[[#This Row],[FECHA]])</f>
        <v>1900</v>
      </c>
      <c r="I15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85" customFormat="false" ht="15" hidden="false" customHeight="false" outlineLevel="0" collapsed="false">
      <c r="A1585" s="41"/>
      <c r="G1585" s="38" t="n">
        <f aca="false">MONTH(A1585)</f>
        <v>12</v>
      </c>
      <c r="H1585" s="38" t="n">
        <f aca="false">YEAR(Tabela1[[#This Row],[FECHA]])</f>
        <v>1900</v>
      </c>
      <c r="I15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86" customFormat="false" ht="15" hidden="false" customHeight="false" outlineLevel="0" collapsed="false">
      <c r="A1586" s="41"/>
      <c r="G1586" s="38" t="n">
        <f aca="false">MONTH(A1586)</f>
        <v>12</v>
      </c>
      <c r="H1586" s="38" t="n">
        <f aca="false">YEAR(Tabela1[[#This Row],[FECHA]])</f>
        <v>1900</v>
      </c>
      <c r="I15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87" customFormat="false" ht="15" hidden="false" customHeight="false" outlineLevel="0" collapsed="false">
      <c r="A1587" s="41"/>
      <c r="G1587" s="38" t="n">
        <f aca="false">MONTH(A1587)</f>
        <v>12</v>
      </c>
      <c r="H1587" s="38" t="n">
        <f aca="false">YEAR(Tabela1[[#This Row],[FECHA]])</f>
        <v>1900</v>
      </c>
      <c r="I15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88" customFormat="false" ht="15" hidden="false" customHeight="false" outlineLevel="0" collapsed="false">
      <c r="A1588" s="41"/>
      <c r="G1588" s="38" t="n">
        <f aca="false">MONTH(A1588)</f>
        <v>12</v>
      </c>
      <c r="H1588" s="38" t="n">
        <f aca="false">YEAR(Tabela1[[#This Row],[FECHA]])</f>
        <v>1900</v>
      </c>
      <c r="I15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89" customFormat="false" ht="15" hidden="false" customHeight="false" outlineLevel="0" collapsed="false">
      <c r="A1589" s="41"/>
      <c r="G1589" s="38" t="n">
        <f aca="false">MONTH(A1589)</f>
        <v>12</v>
      </c>
      <c r="H1589" s="38" t="n">
        <f aca="false">YEAR(Tabela1[[#This Row],[FECHA]])</f>
        <v>1900</v>
      </c>
      <c r="I15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90" customFormat="false" ht="15" hidden="false" customHeight="false" outlineLevel="0" collapsed="false">
      <c r="A1590" s="41"/>
      <c r="G1590" s="38" t="n">
        <f aca="false">MONTH(A1590)</f>
        <v>12</v>
      </c>
      <c r="H1590" s="38" t="n">
        <f aca="false">YEAR(Tabela1[[#This Row],[FECHA]])</f>
        <v>1900</v>
      </c>
      <c r="I15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91" customFormat="false" ht="15" hidden="false" customHeight="false" outlineLevel="0" collapsed="false">
      <c r="A1591" s="41"/>
      <c r="G1591" s="38" t="n">
        <f aca="false">MONTH(A1591)</f>
        <v>12</v>
      </c>
      <c r="H1591" s="38" t="n">
        <f aca="false">YEAR(Tabela1[[#This Row],[FECHA]])</f>
        <v>1900</v>
      </c>
      <c r="I15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92" customFormat="false" ht="15" hidden="false" customHeight="false" outlineLevel="0" collapsed="false">
      <c r="A1592" s="41"/>
      <c r="G1592" s="38" t="n">
        <f aca="false">MONTH(A1592)</f>
        <v>12</v>
      </c>
      <c r="H1592" s="38" t="n">
        <f aca="false">YEAR(Tabela1[[#This Row],[FECHA]])</f>
        <v>1900</v>
      </c>
      <c r="I15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93" customFormat="false" ht="15" hidden="false" customHeight="false" outlineLevel="0" collapsed="false">
      <c r="A1593" s="41"/>
      <c r="G1593" s="38" t="n">
        <f aca="false">MONTH(A1593)</f>
        <v>12</v>
      </c>
      <c r="H1593" s="38" t="n">
        <f aca="false">YEAR(Tabela1[[#This Row],[FECHA]])</f>
        <v>1900</v>
      </c>
      <c r="I15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94" customFormat="false" ht="15" hidden="false" customHeight="false" outlineLevel="0" collapsed="false">
      <c r="A1594" s="41"/>
      <c r="G1594" s="38" t="n">
        <f aca="false">MONTH(A1594)</f>
        <v>12</v>
      </c>
      <c r="H1594" s="38" t="n">
        <f aca="false">YEAR(Tabela1[[#This Row],[FECHA]])</f>
        <v>1900</v>
      </c>
      <c r="I15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95" customFormat="false" ht="15" hidden="false" customHeight="false" outlineLevel="0" collapsed="false">
      <c r="A1595" s="41"/>
      <c r="G1595" s="38" t="n">
        <f aca="false">MONTH(A1595)</f>
        <v>12</v>
      </c>
      <c r="H1595" s="38" t="n">
        <f aca="false">YEAR(Tabela1[[#This Row],[FECHA]])</f>
        <v>1900</v>
      </c>
      <c r="I15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96" customFormat="false" ht="15" hidden="false" customHeight="false" outlineLevel="0" collapsed="false">
      <c r="A1596" s="41"/>
      <c r="G1596" s="38" t="n">
        <f aca="false">MONTH(A1596)</f>
        <v>12</v>
      </c>
      <c r="H1596" s="38" t="n">
        <f aca="false">YEAR(Tabela1[[#This Row],[FECHA]])</f>
        <v>1900</v>
      </c>
      <c r="I15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97" customFormat="false" ht="15" hidden="false" customHeight="false" outlineLevel="0" collapsed="false">
      <c r="A1597" s="41"/>
      <c r="G1597" s="38" t="n">
        <f aca="false">MONTH(A1597)</f>
        <v>12</v>
      </c>
      <c r="H1597" s="38" t="n">
        <f aca="false">YEAR(Tabela1[[#This Row],[FECHA]])</f>
        <v>1900</v>
      </c>
      <c r="I15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98" customFormat="false" ht="15" hidden="false" customHeight="false" outlineLevel="0" collapsed="false">
      <c r="A1598" s="41"/>
      <c r="G1598" s="38" t="n">
        <f aca="false">MONTH(A1598)</f>
        <v>12</v>
      </c>
      <c r="H1598" s="38" t="n">
        <f aca="false">YEAR(Tabela1[[#This Row],[FECHA]])</f>
        <v>1900</v>
      </c>
      <c r="I15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599" customFormat="false" ht="15" hidden="false" customHeight="false" outlineLevel="0" collapsed="false">
      <c r="A1599" s="41"/>
      <c r="G1599" s="38" t="n">
        <f aca="false">MONTH(A1599)</f>
        <v>12</v>
      </c>
      <c r="H1599" s="38" t="n">
        <f aca="false">YEAR(Tabela1[[#This Row],[FECHA]])</f>
        <v>1900</v>
      </c>
      <c r="I15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00" customFormat="false" ht="15" hidden="false" customHeight="false" outlineLevel="0" collapsed="false">
      <c r="A1600" s="41"/>
      <c r="G1600" s="38" t="n">
        <f aca="false">MONTH(A1600)</f>
        <v>12</v>
      </c>
      <c r="H1600" s="38" t="n">
        <f aca="false">YEAR(Tabela1[[#This Row],[FECHA]])</f>
        <v>1900</v>
      </c>
      <c r="I16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01" customFormat="false" ht="15" hidden="false" customHeight="false" outlineLevel="0" collapsed="false">
      <c r="A1601" s="41"/>
      <c r="G1601" s="38" t="n">
        <f aca="false">MONTH(A1601)</f>
        <v>12</v>
      </c>
      <c r="H1601" s="38" t="n">
        <f aca="false">YEAR(Tabela1[[#This Row],[FECHA]])</f>
        <v>1900</v>
      </c>
      <c r="I16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02" customFormat="false" ht="15" hidden="false" customHeight="false" outlineLevel="0" collapsed="false">
      <c r="A1602" s="41"/>
      <c r="G1602" s="38" t="n">
        <f aca="false">MONTH(A1602)</f>
        <v>12</v>
      </c>
      <c r="H1602" s="38" t="n">
        <f aca="false">YEAR(Tabela1[[#This Row],[FECHA]])</f>
        <v>1900</v>
      </c>
      <c r="I16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03" customFormat="false" ht="15" hidden="false" customHeight="false" outlineLevel="0" collapsed="false">
      <c r="A1603" s="41"/>
      <c r="G1603" s="38" t="n">
        <f aca="false">MONTH(A1603)</f>
        <v>12</v>
      </c>
      <c r="H1603" s="38" t="n">
        <f aca="false">YEAR(Tabela1[[#This Row],[FECHA]])</f>
        <v>1900</v>
      </c>
      <c r="I16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04" customFormat="false" ht="15" hidden="false" customHeight="false" outlineLevel="0" collapsed="false">
      <c r="A1604" s="41"/>
      <c r="G1604" s="38" t="n">
        <f aca="false">MONTH(A1604)</f>
        <v>12</v>
      </c>
      <c r="H1604" s="38" t="n">
        <f aca="false">YEAR(Tabela1[[#This Row],[FECHA]])</f>
        <v>1900</v>
      </c>
      <c r="I16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05" customFormat="false" ht="15" hidden="false" customHeight="false" outlineLevel="0" collapsed="false">
      <c r="A1605" s="41"/>
      <c r="G1605" s="38" t="n">
        <f aca="false">MONTH(A1605)</f>
        <v>12</v>
      </c>
      <c r="H1605" s="38" t="n">
        <f aca="false">YEAR(Tabela1[[#This Row],[FECHA]])</f>
        <v>1900</v>
      </c>
      <c r="I16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06" customFormat="false" ht="15" hidden="false" customHeight="false" outlineLevel="0" collapsed="false">
      <c r="A1606" s="41"/>
      <c r="G1606" s="38" t="n">
        <f aca="false">MONTH(A1606)</f>
        <v>12</v>
      </c>
      <c r="H1606" s="38" t="n">
        <f aca="false">YEAR(Tabela1[[#This Row],[FECHA]])</f>
        <v>1900</v>
      </c>
      <c r="I16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07" customFormat="false" ht="15" hidden="false" customHeight="false" outlineLevel="0" collapsed="false">
      <c r="A1607" s="41"/>
      <c r="G1607" s="38" t="n">
        <f aca="false">MONTH(A1607)</f>
        <v>12</v>
      </c>
      <c r="H1607" s="38" t="n">
        <f aca="false">YEAR(Tabela1[[#This Row],[FECHA]])</f>
        <v>1900</v>
      </c>
      <c r="I16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08" customFormat="false" ht="15" hidden="false" customHeight="false" outlineLevel="0" collapsed="false">
      <c r="A1608" s="41"/>
      <c r="G1608" s="38" t="n">
        <f aca="false">MONTH(A1608)</f>
        <v>12</v>
      </c>
      <c r="H1608" s="38" t="n">
        <f aca="false">YEAR(Tabela1[[#This Row],[FECHA]])</f>
        <v>1900</v>
      </c>
      <c r="I16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09" customFormat="false" ht="15" hidden="false" customHeight="false" outlineLevel="0" collapsed="false">
      <c r="A1609" s="41"/>
      <c r="G1609" s="38" t="n">
        <f aca="false">MONTH(A1609)</f>
        <v>12</v>
      </c>
      <c r="H1609" s="38" t="n">
        <f aca="false">YEAR(Tabela1[[#This Row],[FECHA]])</f>
        <v>1900</v>
      </c>
      <c r="I16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10" customFormat="false" ht="15" hidden="false" customHeight="false" outlineLevel="0" collapsed="false">
      <c r="A1610" s="41"/>
      <c r="G1610" s="38" t="n">
        <f aca="false">MONTH(A1610)</f>
        <v>12</v>
      </c>
      <c r="H1610" s="38" t="n">
        <f aca="false">YEAR(Tabela1[[#This Row],[FECHA]])</f>
        <v>1900</v>
      </c>
      <c r="I16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11" customFormat="false" ht="15" hidden="false" customHeight="false" outlineLevel="0" collapsed="false">
      <c r="A1611" s="41"/>
      <c r="G1611" s="38" t="n">
        <f aca="false">MONTH(A1611)</f>
        <v>12</v>
      </c>
      <c r="H1611" s="38" t="n">
        <f aca="false">YEAR(Tabela1[[#This Row],[FECHA]])</f>
        <v>1900</v>
      </c>
      <c r="I16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12" customFormat="false" ht="15" hidden="false" customHeight="false" outlineLevel="0" collapsed="false">
      <c r="A1612" s="41"/>
      <c r="G1612" s="38" t="n">
        <f aca="false">MONTH(A1612)</f>
        <v>12</v>
      </c>
      <c r="H1612" s="38" t="n">
        <f aca="false">YEAR(Tabela1[[#This Row],[FECHA]])</f>
        <v>1900</v>
      </c>
      <c r="I16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13" customFormat="false" ht="15" hidden="false" customHeight="false" outlineLevel="0" collapsed="false">
      <c r="A1613" s="41"/>
      <c r="G1613" s="38" t="n">
        <f aca="false">MONTH(A1613)</f>
        <v>12</v>
      </c>
      <c r="H1613" s="38" t="n">
        <f aca="false">YEAR(Tabela1[[#This Row],[FECHA]])</f>
        <v>1900</v>
      </c>
      <c r="I16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14" customFormat="false" ht="15" hidden="false" customHeight="false" outlineLevel="0" collapsed="false">
      <c r="A1614" s="41"/>
      <c r="G1614" s="38" t="n">
        <f aca="false">MONTH(A1614)</f>
        <v>12</v>
      </c>
      <c r="H1614" s="38" t="n">
        <f aca="false">YEAR(Tabela1[[#This Row],[FECHA]])</f>
        <v>1900</v>
      </c>
      <c r="I16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15" customFormat="false" ht="15" hidden="false" customHeight="false" outlineLevel="0" collapsed="false">
      <c r="A1615" s="41"/>
      <c r="G1615" s="38" t="n">
        <f aca="false">MONTH(A1615)</f>
        <v>12</v>
      </c>
      <c r="H1615" s="38" t="n">
        <f aca="false">YEAR(Tabela1[[#This Row],[FECHA]])</f>
        <v>1900</v>
      </c>
      <c r="I16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16" customFormat="false" ht="15" hidden="false" customHeight="false" outlineLevel="0" collapsed="false">
      <c r="A1616" s="41"/>
      <c r="G1616" s="38" t="n">
        <f aca="false">MONTH(A1616)</f>
        <v>12</v>
      </c>
      <c r="H1616" s="38" t="n">
        <f aca="false">YEAR(Tabela1[[#This Row],[FECHA]])</f>
        <v>1900</v>
      </c>
      <c r="I16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17" customFormat="false" ht="15" hidden="false" customHeight="false" outlineLevel="0" collapsed="false">
      <c r="A1617" s="41"/>
      <c r="G1617" s="38" t="n">
        <f aca="false">MONTH(A1617)</f>
        <v>12</v>
      </c>
      <c r="H1617" s="38" t="n">
        <f aca="false">YEAR(Tabela1[[#This Row],[FECHA]])</f>
        <v>1900</v>
      </c>
      <c r="I16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18" customFormat="false" ht="15" hidden="false" customHeight="false" outlineLevel="0" collapsed="false">
      <c r="A1618" s="41"/>
      <c r="G1618" s="38" t="n">
        <f aca="false">MONTH(A1618)</f>
        <v>12</v>
      </c>
      <c r="H1618" s="38" t="n">
        <f aca="false">YEAR(Tabela1[[#This Row],[FECHA]])</f>
        <v>1900</v>
      </c>
      <c r="I16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19" customFormat="false" ht="15" hidden="false" customHeight="false" outlineLevel="0" collapsed="false">
      <c r="A1619" s="41"/>
      <c r="G1619" s="38" t="n">
        <f aca="false">MONTH(A1619)</f>
        <v>12</v>
      </c>
      <c r="H1619" s="38" t="n">
        <f aca="false">YEAR(Tabela1[[#This Row],[FECHA]])</f>
        <v>1900</v>
      </c>
      <c r="I16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20" customFormat="false" ht="15" hidden="false" customHeight="false" outlineLevel="0" collapsed="false">
      <c r="A1620" s="41"/>
      <c r="G1620" s="38" t="n">
        <f aca="false">MONTH(A1620)</f>
        <v>12</v>
      </c>
      <c r="H1620" s="38" t="n">
        <f aca="false">YEAR(Tabela1[[#This Row],[FECHA]])</f>
        <v>1900</v>
      </c>
      <c r="I16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21" customFormat="false" ht="15" hidden="false" customHeight="false" outlineLevel="0" collapsed="false">
      <c r="A1621" s="41"/>
      <c r="G1621" s="38" t="n">
        <f aca="false">MONTH(A1621)</f>
        <v>12</v>
      </c>
      <c r="H1621" s="38" t="n">
        <f aca="false">YEAR(Tabela1[[#This Row],[FECHA]])</f>
        <v>1900</v>
      </c>
      <c r="I16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22" customFormat="false" ht="15" hidden="false" customHeight="false" outlineLevel="0" collapsed="false">
      <c r="A1622" s="41"/>
      <c r="G1622" s="38" t="n">
        <f aca="false">MONTH(A1622)</f>
        <v>12</v>
      </c>
      <c r="H1622" s="38" t="n">
        <f aca="false">YEAR(Tabela1[[#This Row],[FECHA]])</f>
        <v>1900</v>
      </c>
      <c r="I16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23" customFormat="false" ht="15" hidden="false" customHeight="false" outlineLevel="0" collapsed="false">
      <c r="A1623" s="41"/>
      <c r="G1623" s="38" t="n">
        <f aca="false">MONTH(A1623)</f>
        <v>12</v>
      </c>
      <c r="H1623" s="38" t="n">
        <f aca="false">YEAR(Tabela1[[#This Row],[FECHA]])</f>
        <v>1900</v>
      </c>
      <c r="I16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24" customFormat="false" ht="15" hidden="false" customHeight="false" outlineLevel="0" collapsed="false">
      <c r="A1624" s="41"/>
      <c r="G1624" s="38" t="n">
        <f aca="false">MONTH(A1624)</f>
        <v>12</v>
      </c>
      <c r="H1624" s="38" t="n">
        <f aca="false">YEAR(Tabela1[[#This Row],[FECHA]])</f>
        <v>1900</v>
      </c>
      <c r="I16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25" customFormat="false" ht="15" hidden="false" customHeight="false" outlineLevel="0" collapsed="false">
      <c r="A1625" s="41"/>
      <c r="G1625" s="38" t="n">
        <f aca="false">MONTH(A1625)</f>
        <v>12</v>
      </c>
      <c r="H1625" s="38" t="n">
        <f aca="false">YEAR(Tabela1[[#This Row],[FECHA]])</f>
        <v>1900</v>
      </c>
      <c r="I16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26" customFormat="false" ht="15" hidden="false" customHeight="false" outlineLevel="0" collapsed="false">
      <c r="A1626" s="41"/>
      <c r="G1626" s="38" t="n">
        <f aca="false">MONTH(A1626)</f>
        <v>12</v>
      </c>
      <c r="H1626" s="38" t="n">
        <f aca="false">YEAR(Tabela1[[#This Row],[FECHA]])</f>
        <v>1900</v>
      </c>
      <c r="I16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27" customFormat="false" ht="15" hidden="false" customHeight="false" outlineLevel="0" collapsed="false">
      <c r="A1627" s="41"/>
      <c r="G1627" s="38" t="n">
        <f aca="false">MONTH(A1627)</f>
        <v>12</v>
      </c>
      <c r="H1627" s="38" t="n">
        <f aca="false">YEAR(Tabela1[[#This Row],[FECHA]])</f>
        <v>1900</v>
      </c>
      <c r="I16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28" customFormat="false" ht="15" hidden="false" customHeight="false" outlineLevel="0" collapsed="false">
      <c r="A1628" s="41"/>
      <c r="G1628" s="38" t="n">
        <f aca="false">MONTH(A1628)</f>
        <v>12</v>
      </c>
      <c r="H1628" s="38" t="n">
        <f aca="false">YEAR(Tabela1[[#This Row],[FECHA]])</f>
        <v>1900</v>
      </c>
      <c r="I16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29" customFormat="false" ht="15" hidden="false" customHeight="false" outlineLevel="0" collapsed="false">
      <c r="A1629" s="41"/>
      <c r="G1629" s="38" t="n">
        <f aca="false">MONTH(A1629)</f>
        <v>12</v>
      </c>
      <c r="H1629" s="38" t="n">
        <f aca="false">YEAR(Tabela1[[#This Row],[FECHA]])</f>
        <v>1900</v>
      </c>
      <c r="I16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30" customFormat="false" ht="15" hidden="false" customHeight="false" outlineLevel="0" collapsed="false">
      <c r="A1630" s="41"/>
      <c r="G1630" s="38" t="n">
        <f aca="false">MONTH(A1630)</f>
        <v>12</v>
      </c>
      <c r="H1630" s="38" t="n">
        <f aca="false">YEAR(Tabela1[[#This Row],[FECHA]])</f>
        <v>1900</v>
      </c>
      <c r="I16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31" customFormat="false" ht="15" hidden="false" customHeight="false" outlineLevel="0" collapsed="false">
      <c r="A1631" s="41"/>
      <c r="G1631" s="38" t="n">
        <f aca="false">MONTH(A1631)</f>
        <v>12</v>
      </c>
      <c r="H1631" s="38" t="n">
        <f aca="false">YEAR(Tabela1[[#This Row],[FECHA]])</f>
        <v>1900</v>
      </c>
      <c r="I16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32" customFormat="false" ht="15" hidden="false" customHeight="false" outlineLevel="0" collapsed="false">
      <c r="A1632" s="41"/>
      <c r="G1632" s="38" t="n">
        <f aca="false">MONTH(A1632)</f>
        <v>12</v>
      </c>
      <c r="H1632" s="38" t="n">
        <f aca="false">YEAR(Tabela1[[#This Row],[FECHA]])</f>
        <v>1900</v>
      </c>
      <c r="I16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33" customFormat="false" ht="15" hidden="false" customHeight="false" outlineLevel="0" collapsed="false">
      <c r="A1633" s="41"/>
      <c r="G1633" s="38" t="n">
        <f aca="false">MONTH(A1633)</f>
        <v>12</v>
      </c>
      <c r="H1633" s="38" t="n">
        <f aca="false">YEAR(Tabela1[[#This Row],[FECHA]])</f>
        <v>1900</v>
      </c>
      <c r="I16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34" customFormat="false" ht="15" hidden="false" customHeight="false" outlineLevel="0" collapsed="false">
      <c r="A1634" s="41"/>
      <c r="G1634" s="38" t="n">
        <f aca="false">MONTH(A1634)</f>
        <v>12</v>
      </c>
      <c r="H1634" s="38" t="n">
        <f aca="false">YEAR(Tabela1[[#This Row],[FECHA]])</f>
        <v>1900</v>
      </c>
      <c r="I16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35" customFormat="false" ht="15" hidden="false" customHeight="false" outlineLevel="0" collapsed="false">
      <c r="A1635" s="41"/>
      <c r="G1635" s="38" t="n">
        <f aca="false">MONTH(A1635)</f>
        <v>12</v>
      </c>
      <c r="H1635" s="38" t="n">
        <f aca="false">YEAR(Tabela1[[#This Row],[FECHA]])</f>
        <v>1900</v>
      </c>
      <c r="I16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36" customFormat="false" ht="15" hidden="false" customHeight="false" outlineLevel="0" collapsed="false">
      <c r="A1636" s="41"/>
      <c r="G1636" s="38" t="n">
        <f aca="false">MONTH(A1636)</f>
        <v>12</v>
      </c>
      <c r="H1636" s="38" t="n">
        <f aca="false">YEAR(Tabela1[[#This Row],[FECHA]])</f>
        <v>1900</v>
      </c>
      <c r="I16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37" customFormat="false" ht="15" hidden="false" customHeight="false" outlineLevel="0" collapsed="false">
      <c r="A1637" s="41"/>
      <c r="G1637" s="38" t="n">
        <f aca="false">MONTH(A1637)</f>
        <v>12</v>
      </c>
      <c r="H1637" s="38" t="n">
        <f aca="false">YEAR(Tabela1[[#This Row],[FECHA]])</f>
        <v>1900</v>
      </c>
      <c r="I16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38" customFormat="false" ht="15" hidden="false" customHeight="false" outlineLevel="0" collapsed="false">
      <c r="A1638" s="41"/>
      <c r="G1638" s="38" t="n">
        <f aca="false">MONTH(A1638)</f>
        <v>12</v>
      </c>
      <c r="H1638" s="38" t="n">
        <f aca="false">YEAR(Tabela1[[#This Row],[FECHA]])</f>
        <v>1900</v>
      </c>
      <c r="I16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39" customFormat="false" ht="15" hidden="false" customHeight="false" outlineLevel="0" collapsed="false">
      <c r="A1639" s="41"/>
      <c r="G1639" s="38" t="n">
        <f aca="false">MONTH(A1639)</f>
        <v>12</v>
      </c>
      <c r="H1639" s="38" t="n">
        <f aca="false">YEAR(Tabela1[[#This Row],[FECHA]])</f>
        <v>1900</v>
      </c>
      <c r="I16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40" customFormat="false" ht="15" hidden="false" customHeight="false" outlineLevel="0" collapsed="false">
      <c r="A1640" s="41"/>
      <c r="G1640" s="38" t="n">
        <f aca="false">MONTH(A1640)</f>
        <v>12</v>
      </c>
      <c r="H1640" s="38" t="n">
        <f aca="false">YEAR(Tabela1[[#This Row],[FECHA]])</f>
        <v>1900</v>
      </c>
      <c r="I16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41" customFormat="false" ht="15" hidden="false" customHeight="false" outlineLevel="0" collapsed="false">
      <c r="A1641" s="41"/>
      <c r="G1641" s="38" t="n">
        <f aca="false">MONTH(A1641)</f>
        <v>12</v>
      </c>
      <c r="H1641" s="38" t="n">
        <f aca="false">YEAR(Tabela1[[#This Row],[FECHA]])</f>
        <v>1900</v>
      </c>
      <c r="I16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42" customFormat="false" ht="15" hidden="false" customHeight="false" outlineLevel="0" collapsed="false">
      <c r="A1642" s="41"/>
      <c r="G1642" s="38" t="n">
        <f aca="false">MONTH(A1642)</f>
        <v>12</v>
      </c>
      <c r="H1642" s="38" t="n">
        <f aca="false">YEAR(Tabela1[[#This Row],[FECHA]])</f>
        <v>1900</v>
      </c>
      <c r="I16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43" customFormat="false" ht="15" hidden="false" customHeight="false" outlineLevel="0" collapsed="false">
      <c r="A1643" s="41"/>
      <c r="G1643" s="38" t="n">
        <f aca="false">MONTH(A1643)</f>
        <v>12</v>
      </c>
      <c r="H1643" s="38" t="n">
        <f aca="false">YEAR(Tabela1[[#This Row],[FECHA]])</f>
        <v>1900</v>
      </c>
      <c r="I16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44" customFormat="false" ht="15" hidden="false" customHeight="false" outlineLevel="0" collapsed="false">
      <c r="A1644" s="41"/>
      <c r="G1644" s="38" t="n">
        <f aca="false">MONTH(A1644)</f>
        <v>12</v>
      </c>
      <c r="H1644" s="38" t="n">
        <f aca="false">YEAR(Tabela1[[#This Row],[FECHA]])</f>
        <v>1900</v>
      </c>
      <c r="I16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45" customFormat="false" ht="15" hidden="false" customHeight="false" outlineLevel="0" collapsed="false">
      <c r="A1645" s="41"/>
      <c r="G1645" s="38" t="n">
        <f aca="false">MONTH(A1645)</f>
        <v>12</v>
      </c>
      <c r="H1645" s="38" t="n">
        <f aca="false">YEAR(Tabela1[[#This Row],[FECHA]])</f>
        <v>1900</v>
      </c>
      <c r="I16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46" customFormat="false" ht="15" hidden="false" customHeight="false" outlineLevel="0" collapsed="false">
      <c r="A1646" s="41"/>
      <c r="G1646" s="38" t="n">
        <f aca="false">MONTH(A1646)</f>
        <v>12</v>
      </c>
      <c r="H1646" s="38" t="n">
        <f aca="false">YEAR(Tabela1[[#This Row],[FECHA]])</f>
        <v>1900</v>
      </c>
      <c r="I16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47" customFormat="false" ht="15" hidden="false" customHeight="false" outlineLevel="0" collapsed="false">
      <c r="A1647" s="41"/>
      <c r="G1647" s="38" t="n">
        <f aca="false">MONTH(A1647)</f>
        <v>12</v>
      </c>
      <c r="H1647" s="38" t="n">
        <f aca="false">YEAR(Tabela1[[#This Row],[FECHA]])</f>
        <v>1900</v>
      </c>
      <c r="I16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48" customFormat="false" ht="15" hidden="false" customHeight="false" outlineLevel="0" collapsed="false">
      <c r="A1648" s="41"/>
      <c r="G1648" s="38" t="n">
        <f aca="false">MONTH(A1648)</f>
        <v>12</v>
      </c>
      <c r="H1648" s="38" t="n">
        <f aca="false">YEAR(Tabela1[[#This Row],[FECHA]])</f>
        <v>1900</v>
      </c>
      <c r="I16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49" customFormat="false" ht="15" hidden="false" customHeight="false" outlineLevel="0" collapsed="false">
      <c r="A1649" s="41"/>
      <c r="G1649" s="38" t="n">
        <f aca="false">MONTH(A1649)</f>
        <v>12</v>
      </c>
      <c r="H1649" s="38" t="n">
        <f aca="false">YEAR(Tabela1[[#This Row],[FECHA]])</f>
        <v>1900</v>
      </c>
      <c r="I16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50" customFormat="false" ht="15" hidden="false" customHeight="false" outlineLevel="0" collapsed="false">
      <c r="A1650" s="41"/>
      <c r="G1650" s="38" t="n">
        <f aca="false">MONTH(A1650)</f>
        <v>12</v>
      </c>
      <c r="H1650" s="38" t="n">
        <f aca="false">YEAR(Tabela1[[#This Row],[FECHA]])</f>
        <v>1900</v>
      </c>
      <c r="I16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51" customFormat="false" ht="15" hidden="false" customHeight="false" outlineLevel="0" collapsed="false">
      <c r="A1651" s="41"/>
      <c r="G1651" s="38" t="n">
        <f aca="false">MONTH(A1651)</f>
        <v>12</v>
      </c>
      <c r="H1651" s="38" t="n">
        <f aca="false">YEAR(Tabela1[[#This Row],[FECHA]])</f>
        <v>1900</v>
      </c>
      <c r="I16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52" customFormat="false" ht="15" hidden="false" customHeight="false" outlineLevel="0" collapsed="false">
      <c r="A1652" s="41"/>
      <c r="G1652" s="38" t="n">
        <f aca="false">MONTH(A1652)</f>
        <v>12</v>
      </c>
      <c r="H1652" s="38" t="n">
        <f aca="false">YEAR(Tabela1[[#This Row],[FECHA]])</f>
        <v>1900</v>
      </c>
      <c r="I16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53" customFormat="false" ht="15" hidden="false" customHeight="false" outlineLevel="0" collapsed="false">
      <c r="A1653" s="41"/>
      <c r="G1653" s="38" t="n">
        <f aca="false">MONTH(A1653)</f>
        <v>12</v>
      </c>
      <c r="H1653" s="38" t="n">
        <f aca="false">YEAR(Tabela1[[#This Row],[FECHA]])</f>
        <v>1900</v>
      </c>
      <c r="I16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54" customFormat="false" ht="15" hidden="false" customHeight="false" outlineLevel="0" collapsed="false">
      <c r="A1654" s="41"/>
      <c r="G1654" s="38" t="n">
        <f aca="false">MONTH(A1654)</f>
        <v>12</v>
      </c>
      <c r="H1654" s="38" t="n">
        <f aca="false">YEAR(Tabela1[[#This Row],[FECHA]])</f>
        <v>1900</v>
      </c>
      <c r="I16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55" customFormat="false" ht="15" hidden="false" customHeight="false" outlineLevel="0" collapsed="false">
      <c r="A1655" s="41"/>
      <c r="G1655" s="38" t="n">
        <f aca="false">MONTH(A1655)</f>
        <v>12</v>
      </c>
      <c r="H1655" s="38" t="n">
        <f aca="false">YEAR(Tabela1[[#This Row],[FECHA]])</f>
        <v>1900</v>
      </c>
      <c r="I16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56" customFormat="false" ht="15" hidden="false" customHeight="false" outlineLevel="0" collapsed="false">
      <c r="A1656" s="41"/>
      <c r="G1656" s="38" t="n">
        <f aca="false">MONTH(A1656)</f>
        <v>12</v>
      </c>
      <c r="H1656" s="38" t="n">
        <f aca="false">YEAR(Tabela1[[#This Row],[FECHA]])</f>
        <v>1900</v>
      </c>
      <c r="I16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57" customFormat="false" ht="15" hidden="false" customHeight="false" outlineLevel="0" collapsed="false">
      <c r="A1657" s="41"/>
      <c r="G1657" s="38" t="n">
        <f aca="false">MONTH(A1657)</f>
        <v>12</v>
      </c>
      <c r="H1657" s="38" t="n">
        <f aca="false">YEAR(Tabela1[[#This Row],[FECHA]])</f>
        <v>1900</v>
      </c>
      <c r="I16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58" customFormat="false" ht="15" hidden="false" customHeight="false" outlineLevel="0" collapsed="false">
      <c r="A1658" s="41"/>
      <c r="G1658" s="38" t="n">
        <f aca="false">MONTH(A1658)</f>
        <v>12</v>
      </c>
      <c r="H1658" s="38" t="n">
        <f aca="false">YEAR(Tabela1[[#This Row],[FECHA]])</f>
        <v>1900</v>
      </c>
      <c r="I16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59" customFormat="false" ht="15" hidden="false" customHeight="false" outlineLevel="0" collapsed="false">
      <c r="A1659" s="41"/>
      <c r="G1659" s="38" t="n">
        <f aca="false">MONTH(A1659)</f>
        <v>12</v>
      </c>
      <c r="H1659" s="38" t="n">
        <f aca="false">YEAR(Tabela1[[#This Row],[FECHA]])</f>
        <v>1900</v>
      </c>
      <c r="I16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60" customFormat="false" ht="15" hidden="false" customHeight="false" outlineLevel="0" collapsed="false">
      <c r="A1660" s="41"/>
      <c r="G1660" s="38" t="n">
        <f aca="false">MONTH(A1660)</f>
        <v>12</v>
      </c>
      <c r="H1660" s="38" t="n">
        <f aca="false">YEAR(Tabela1[[#This Row],[FECHA]])</f>
        <v>1900</v>
      </c>
      <c r="I16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61" customFormat="false" ht="15" hidden="false" customHeight="false" outlineLevel="0" collapsed="false">
      <c r="A1661" s="41"/>
      <c r="G1661" s="38" t="n">
        <f aca="false">MONTH(A1661)</f>
        <v>12</v>
      </c>
      <c r="H1661" s="38" t="n">
        <f aca="false">YEAR(Tabela1[[#This Row],[FECHA]])</f>
        <v>1900</v>
      </c>
      <c r="I16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62" customFormat="false" ht="15" hidden="false" customHeight="false" outlineLevel="0" collapsed="false">
      <c r="A1662" s="41"/>
      <c r="G1662" s="38" t="n">
        <f aca="false">MONTH(A1662)</f>
        <v>12</v>
      </c>
      <c r="H1662" s="38" t="n">
        <f aca="false">YEAR(Tabela1[[#This Row],[FECHA]])</f>
        <v>1900</v>
      </c>
      <c r="I16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63" customFormat="false" ht="15" hidden="false" customHeight="false" outlineLevel="0" collapsed="false">
      <c r="A1663" s="41"/>
      <c r="G1663" s="38" t="n">
        <f aca="false">MONTH(A1663)</f>
        <v>12</v>
      </c>
      <c r="H1663" s="38" t="n">
        <f aca="false">YEAR(Tabela1[[#This Row],[FECHA]])</f>
        <v>1900</v>
      </c>
      <c r="I16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64" customFormat="false" ht="15" hidden="false" customHeight="false" outlineLevel="0" collapsed="false">
      <c r="A1664" s="41"/>
      <c r="G1664" s="38" t="n">
        <f aca="false">MONTH(A1664)</f>
        <v>12</v>
      </c>
      <c r="H1664" s="38" t="n">
        <f aca="false">YEAR(Tabela1[[#This Row],[FECHA]])</f>
        <v>1900</v>
      </c>
      <c r="I16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65" customFormat="false" ht="15" hidden="false" customHeight="false" outlineLevel="0" collapsed="false">
      <c r="A1665" s="41"/>
      <c r="G1665" s="38" t="n">
        <f aca="false">MONTH(A1665)</f>
        <v>12</v>
      </c>
      <c r="H1665" s="38" t="n">
        <f aca="false">YEAR(Tabela1[[#This Row],[FECHA]])</f>
        <v>1900</v>
      </c>
      <c r="I16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66" customFormat="false" ht="15" hidden="false" customHeight="false" outlineLevel="0" collapsed="false">
      <c r="A1666" s="41"/>
      <c r="G1666" s="38" t="n">
        <f aca="false">MONTH(A1666)</f>
        <v>12</v>
      </c>
      <c r="H1666" s="38" t="n">
        <f aca="false">YEAR(Tabela1[[#This Row],[FECHA]])</f>
        <v>1900</v>
      </c>
      <c r="I16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67" customFormat="false" ht="15" hidden="false" customHeight="false" outlineLevel="0" collapsed="false">
      <c r="A1667" s="41"/>
      <c r="G1667" s="38" t="n">
        <f aca="false">MONTH(A1667)</f>
        <v>12</v>
      </c>
      <c r="H1667" s="38" t="n">
        <f aca="false">YEAR(Tabela1[[#This Row],[FECHA]])</f>
        <v>1900</v>
      </c>
      <c r="I16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68" customFormat="false" ht="15" hidden="false" customHeight="false" outlineLevel="0" collapsed="false">
      <c r="A1668" s="41"/>
      <c r="G1668" s="38" t="n">
        <f aca="false">MONTH(A1668)</f>
        <v>12</v>
      </c>
      <c r="H1668" s="38" t="n">
        <f aca="false">YEAR(Tabela1[[#This Row],[FECHA]])</f>
        <v>1900</v>
      </c>
      <c r="I16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69" customFormat="false" ht="15" hidden="false" customHeight="false" outlineLevel="0" collapsed="false">
      <c r="A1669" s="41"/>
      <c r="G1669" s="38" t="n">
        <f aca="false">MONTH(A1669)</f>
        <v>12</v>
      </c>
      <c r="H1669" s="38" t="n">
        <f aca="false">YEAR(Tabela1[[#This Row],[FECHA]])</f>
        <v>1900</v>
      </c>
      <c r="I16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70" customFormat="false" ht="15" hidden="false" customHeight="false" outlineLevel="0" collapsed="false">
      <c r="A1670" s="41"/>
      <c r="G1670" s="38" t="n">
        <f aca="false">MONTH(A1670)</f>
        <v>12</v>
      </c>
      <c r="H1670" s="38" t="n">
        <f aca="false">YEAR(Tabela1[[#This Row],[FECHA]])</f>
        <v>1900</v>
      </c>
      <c r="I16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71" customFormat="false" ht="15" hidden="false" customHeight="false" outlineLevel="0" collapsed="false">
      <c r="A1671" s="41"/>
      <c r="G1671" s="38" t="n">
        <f aca="false">MONTH(A1671)</f>
        <v>12</v>
      </c>
      <c r="H1671" s="38" t="n">
        <f aca="false">YEAR(Tabela1[[#This Row],[FECHA]])</f>
        <v>1900</v>
      </c>
      <c r="I16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72" customFormat="false" ht="15" hidden="false" customHeight="false" outlineLevel="0" collapsed="false">
      <c r="A1672" s="41"/>
      <c r="G1672" s="38" t="n">
        <f aca="false">MONTH(A1672)</f>
        <v>12</v>
      </c>
      <c r="H1672" s="38" t="n">
        <f aca="false">YEAR(Tabela1[[#This Row],[FECHA]])</f>
        <v>1900</v>
      </c>
      <c r="I16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73" customFormat="false" ht="15" hidden="false" customHeight="false" outlineLevel="0" collapsed="false">
      <c r="A1673" s="41"/>
      <c r="G1673" s="38" t="n">
        <f aca="false">MONTH(A1673)</f>
        <v>12</v>
      </c>
      <c r="H1673" s="38" t="n">
        <f aca="false">YEAR(Tabela1[[#This Row],[FECHA]])</f>
        <v>1900</v>
      </c>
      <c r="I16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74" customFormat="false" ht="15" hidden="false" customHeight="false" outlineLevel="0" collapsed="false">
      <c r="A1674" s="41"/>
      <c r="G1674" s="38" t="n">
        <f aca="false">MONTH(A1674)</f>
        <v>12</v>
      </c>
      <c r="H1674" s="38" t="n">
        <f aca="false">YEAR(Tabela1[[#This Row],[FECHA]])</f>
        <v>1900</v>
      </c>
      <c r="I16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75" customFormat="false" ht="15" hidden="false" customHeight="false" outlineLevel="0" collapsed="false">
      <c r="A1675" s="41"/>
      <c r="G1675" s="38" t="n">
        <f aca="false">MONTH(A1675)</f>
        <v>12</v>
      </c>
      <c r="H1675" s="38" t="n">
        <f aca="false">YEAR(Tabela1[[#This Row],[FECHA]])</f>
        <v>1900</v>
      </c>
      <c r="I16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76" customFormat="false" ht="15" hidden="false" customHeight="false" outlineLevel="0" collapsed="false">
      <c r="A1676" s="41"/>
      <c r="G1676" s="38" t="n">
        <f aca="false">MONTH(A1676)</f>
        <v>12</v>
      </c>
      <c r="H1676" s="38" t="n">
        <f aca="false">YEAR(Tabela1[[#This Row],[FECHA]])</f>
        <v>1900</v>
      </c>
      <c r="I16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77" customFormat="false" ht="15" hidden="false" customHeight="false" outlineLevel="0" collapsed="false">
      <c r="A1677" s="41"/>
      <c r="G1677" s="38" t="n">
        <f aca="false">MONTH(A1677)</f>
        <v>12</v>
      </c>
      <c r="H1677" s="38" t="n">
        <f aca="false">YEAR(Tabela1[[#This Row],[FECHA]])</f>
        <v>1900</v>
      </c>
      <c r="I16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78" customFormat="false" ht="15" hidden="false" customHeight="false" outlineLevel="0" collapsed="false">
      <c r="A1678" s="41"/>
      <c r="G1678" s="38" t="n">
        <f aca="false">MONTH(A1678)</f>
        <v>12</v>
      </c>
      <c r="H1678" s="38" t="n">
        <f aca="false">YEAR(Tabela1[[#This Row],[FECHA]])</f>
        <v>1900</v>
      </c>
      <c r="I16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79" customFormat="false" ht="15" hidden="false" customHeight="false" outlineLevel="0" collapsed="false">
      <c r="A1679" s="41"/>
      <c r="G1679" s="38" t="n">
        <f aca="false">MONTH(A1679)</f>
        <v>12</v>
      </c>
      <c r="H1679" s="38" t="n">
        <f aca="false">YEAR(Tabela1[[#This Row],[FECHA]])</f>
        <v>1900</v>
      </c>
      <c r="I16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80" customFormat="false" ht="15" hidden="false" customHeight="false" outlineLevel="0" collapsed="false">
      <c r="A1680" s="41"/>
      <c r="G1680" s="38" t="n">
        <f aca="false">MONTH(A1680)</f>
        <v>12</v>
      </c>
      <c r="H1680" s="38" t="n">
        <f aca="false">YEAR(Tabela1[[#This Row],[FECHA]])</f>
        <v>1900</v>
      </c>
      <c r="I16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81" customFormat="false" ht="15" hidden="false" customHeight="false" outlineLevel="0" collapsed="false">
      <c r="A1681" s="41"/>
      <c r="G1681" s="38" t="n">
        <f aca="false">MONTH(A1681)</f>
        <v>12</v>
      </c>
      <c r="H1681" s="38" t="n">
        <f aca="false">YEAR(Tabela1[[#This Row],[FECHA]])</f>
        <v>1900</v>
      </c>
      <c r="I16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82" customFormat="false" ht="15" hidden="false" customHeight="false" outlineLevel="0" collapsed="false">
      <c r="A1682" s="41"/>
      <c r="G1682" s="38" t="n">
        <f aca="false">MONTH(A1682)</f>
        <v>12</v>
      </c>
      <c r="H1682" s="38" t="n">
        <f aca="false">YEAR(Tabela1[[#This Row],[FECHA]])</f>
        <v>1900</v>
      </c>
      <c r="I16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83" customFormat="false" ht="15" hidden="false" customHeight="false" outlineLevel="0" collapsed="false">
      <c r="A1683" s="41"/>
      <c r="G1683" s="38" t="n">
        <f aca="false">MONTH(A1683)</f>
        <v>12</v>
      </c>
      <c r="H1683" s="38" t="n">
        <f aca="false">YEAR(Tabela1[[#This Row],[FECHA]])</f>
        <v>1900</v>
      </c>
      <c r="I16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84" customFormat="false" ht="15" hidden="false" customHeight="false" outlineLevel="0" collapsed="false">
      <c r="A1684" s="41"/>
      <c r="G1684" s="38" t="n">
        <f aca="false">MONTH(A1684)</f>
        <v>12</v>
      </c>
      <c r="H1684" s="38" t="n">
        <f aca="false">YEAR(Tabela1[[#This Row],[FECHA]])</f>
        <v>1900</v>
      </c>
      <c r="I16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85" customFormat="false" ht="15" hidden="false" customHeight="false" outlineLevel="0" collapsed="false">
      <c r="A1685" s="41"/>
      <c r="G1685" s="38" t="n">
        <f aca="false">MONTH(A1685)</f>
        <v>12</v>
      </c>
      <c r="H1685" s="38" t="n">
        <f aca="false">YEAR(Tabela1[[#This Row],[FECHA]])</f>
        <v>1900</v>
      </c>
      <c r="I16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86" customFormat="false" ht="15" hidden="false" customHeight="false" outlineLevel="0" collapsed="false">
      <c r="A1686" s="41"/>
      <c r="G1686" s="38" t="n">
        <f aca="false">MONTH(A1686)</f>
        <v>12</v>
      </c>
      <c r="H1686" s="38" t="n">
        <f aca="false">YEAR(Tabela1[[#This Row],[FECHA]])</f>
        <v>1900</v>
      </c>
      <c r="I16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87" customFormat="false" ht="15" hidden="false" customHeight="false" outlineLevel="0" collapsed="false">
      <c r="A1687" s="41"/>
      <c r="G1687" s="38" t="n">
        <f aca="false">MONTH(A1687)</f>
        <v>12</v>
      </c>
      <c r="H1687" s="38" t="n">
        <f aca="false">YEAR(Tabela1[[#This Row],[FECHA]])</f>
        <v>1900</v>
      </c>
      <c r="I16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88" customFormat="false" ht="15" hidden="false" customHeight="false" outlineLevel="0" collapsed="false">
      <c r="A1688" s="41"/>
      <c r="G1688" s="38" t="n">
        <f aca="false">MONTH(A1688)</f>
        <v>12</v>
      </c>
      <c r="H1688" s="38" t="n">
        <f aca="false">YEAR(Tabela1[[#This Row],[FECHA]])</f>
        <v>1900</v>
      </c>
      <c r="I16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89" customFormat="false" ht="15" hidden="false" customHeight="false" outlineLevel="0" collapsed="false">
      <c r="A1689" s="41"/>
      <c r="G1689" s="38" t="n">
        <f aca="false">MONTH(A1689)</f>
        <v>12</v>
      </c>
      <c r="H1689" s="38" t="n">
        <f aca="false">YEAR(Tabela1[[#This Row],[FECHA]])</f>
        <v>1900</v>
      </c>
      <c r="I16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90" customFormat="false" ht="15" hidden="false" customHeight="false" outlineLevel="0" collapsed="false">
      <c r="A1690" s="41"/>
      <c r="G1690" s="38" t="n">
        <f aca="false">MONTH(A1690)</f>
        <v>12</v>
      </c>
      <c r="H1690" s="38" t="n">
        <f aca="false">YEAR(Tabela1[[#This Row],[FECHA]])</f>
        <v>1900</v>
      </c>
      <c r="I16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91" customFormat="false" ht="15" hidden="false" customHeight="false" outlineLevel="0" collapsed="false">
      <c r="A1691" s="41"/>
      <c r="G1691" s="38" t="n">
        <f aca="false">MONTH(A1691)</f>
        <v>12</v>
      </c>
      <c r="H1691" s="38" t="n">
        <f aca="false">YEAR(Tabela1[[#This Row],[FECHA]])</f>
        <v>1900</v>
      </c>
      <c r="I16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92" customFormat="false" ht="15" hidden="false" customHeight="false" outlineLevel="0" collapsed="false">
      <c r="A1692" s="41"/>
      <c r="G1692" s="38" t="n">
        <f aca="false">MONTH(A1692)</f>
        <v>12</v>
      </c>
      <c r="H1692" s="38" t="n">
        <f aca="false">YEAR(Tabela1[[#This Row],[FECHA]])</f>
        <v>1900</v>
      </c>
      <c r="I16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93" customFormat="false" ht="15" hidden="false" customHeight="false" outlineLevel="0" collapsed="false">
      <c r="A1693" s="41"/>
      <c r="G1693" s="38" t="n">
        <f aca="false">MONTH(A1693)</f>
        <v>12</v>
      </c>
      <c r="H1693" s="38" t="n">
        <f aca="false">YEAR(Tabela1[[#This Row],[FECHA]])</f>
        <v>1900</v>
      </c>
      <c r="I16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94" customFormat="false" ht="15" hidden="false" customHeight="false" outlineLevel="0" collapsed="false">
      <c r="A1694" s="41"/>
      <c r="G1694" s="38" t="n">
        <f aca="false">MONTH(A1694)</f>
        <v>12</v>
      </c>
      <c r="H1694" s="38" t="n">
        <f aca="false">YEAR(Tabela1[[#This Row],[FECHA]])</f>
        <v>1900</v>
      </c>
      <c r="I16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95" customFormat="false" ht="15" hidden="false" customHeight="false" outlineLevel="0" collapsed="false">
      <c r="A1695" s="41"/>
      <c r="G1695" s="38" t="n">
        <f aca="false">MONTH(A1695)</f>
        <v>12</v>
      </c>
      <c r="H1695" s="38" t="n">
        <f aca="false">YEAR(Tabela1[[#This Row],[FECHA]])</f>
        <v>1900</v>
      </c>
      <c r="I16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96" customFormat="false" ht="15" hidden="false" customHeight="false" outlineLevel="0" collapsed="false">
      <c r="A1696" s="41"/>
      <c r="G1696" s="38" t="n">
        <f aca="false">MONTH(A1696)</f>
        <v>12</v>
      </c>
      <c r="H1696" s="38" t="n">
        <f aca="false">YEAR(Tabela1[[#This Row],[FECHA]])</f>
        <v>1900</v>
      </c>
      <c r="I16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97" customFormat="false" ht="15" hidden="false" customHeight="false" outlineLevel="0" collapsed="false">
      <c r="A1697" s="41"/>
      <c r="G1697" s="38" t="n">
        <f aca="false">MONTH(A1697)</f>
        <v>12</v>
      </c>
      <c r="H1697" s="38" t="n">
        <f aca="false">YEAR(Tabela1[[#This Row],[FECHA]])</f>
        <v>1900</v>
      </c>
      <c r="I16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98" customFormat="false" ht="15" hidden="false" customHeight="false" outlineLevel="0" collapsed="false">
      <c r="A1698" s="41"/>
      <c r="G1698" s="38" t="n">
        <f aca="false">MONTH(A1698)</f>
        <v>12</v>
      </c>
      <c r="H1698" s="38" t="n">
        <f aca="false">YEAR(Tabela1[[#This Row],[FECHA]])</f>
        <v>1900</v>
      </c>
      <c r="I16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699" customFormat="false" ht="15" hidden="false" customHeight="false" outlineLevel="0" collapsed="false">
      <c r="A1699" s="41"/>
      <c r="G1699" s="38" t="n">
        <f aca="false">MONTH(A1699)</f>
        <v>12</v>
      </c>
      <c r="H1699" s="38" t="n">
        <f aca="false">YEAR(Tabela1[[#This Row],[FECHA]])</f>
        <v>1900</v>
      </c>
      <c r="I16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00" customFormat="false" ht="15" hidden="false" customHeight="false" outlineLevel="0" collapsed="false">
      <c r="A1700" s="41"/>
      <c r="G1700" s="38" t="n">
        <f aca="false">MONTH(A1700)</f>
        <v>12</v>
      </c>
      <c r="H1700" s="38" t="n">
        <f aca="false">YEAR(Tabela1[[#This Row],[FECHA]])</f>
        <v>1900</v>
      </c>
      <c r="I17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01" customFormat="false" ht="15" hidden="false" customHeight="false" outlineLevel="0" collapsed="false">
      <c r="A1701" s="41"/>
      <c r="G1701" s="38" t="n">
        <f aca="false">MONTH(A1701)</f>
        <v>12</v>
      </c>
      <c r="H1701" s="38" t="n">
        <f aca="false">YEAR(Tabela1[[#This Row],[FECHA]])</f>
        <v>1900</v>
      </c>
      <c r="I17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02" customFormat="false" ht="15" hidden="false" customHeight="false" outlineLevel="0" collapsed="false">
      <c r="A1702" s="41"/>
      <c r="G1702" s="38" t="n">
        <f aca="false">MONTH(A1702)</f>
        <v>12</v>
      </c>
      <c r="H1702" s="38" t="n">
        <f aca="false">YEAR(Tabela1[[#This Row],[FECHA]])</f>
        <v>1900</v>
      </c>
      <c r="I17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03" customFormat="false" ht="15" hidden="false" customHeight="false" outlineLevel="0" collapsed="false">
      <c r="A1703" s="41"/>
      <c r="G1703" s="38" t="n">
        <f aca="false">MONTH(A1703)</f>
        <v>12</v>
      </c>
      <c r="H1703" s="38" t="n">
        <f aca="false">YEAR(Tabela1[[#This Row],[FECHA]])</f>
        <v>1900</v>
      </c>
      <c r="I17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04" customFormat="false" ht="15" hidden="false" customHeight="false" outlineLevel="0" collapsed="false">
      <c r="A1704" s="41"/>
      <c r="G1704" s="38" t="n">
        <f aca="false">MONTH(A1704)</f>
        <v>12</v>
      </c>
      <c r="H1704" s="38" t="n">
        <f aca="false">YEAR(Tabela1[[#This Row],[FECHA]])</f>
        <v>1900</v>
      </c>
      <c r="I17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05" customFormat="false" ht="15" hidden="false" customHeight="false" outlineLevel="0" collapsed="false">
      <c r="A1705" s="41"/>
      <c r="G1705" s="38" t="n">
        <f aca="false">MONTH(A1705)</f>
        <v>12</v>
      </c>
      <c r="H1705" s="38" t="n">
        <f aca="false">YEAR(Tabela1[[#This Row],[FECHA]])</f>
        <v>1900</v>
      </c>
      <c r="I17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06" customFormat="false" ht="15" hidden="false" customHeight="false" outlineLevel="0" collapsed="false">
      <c r="A1706" s="41"/>
      <c r="G1706" s="38" t="n">
        <f aca="false">MONTH(A1706)</f>
        <v>12</v>
      </c>
      <c r="H1706" s="38" t="n">
        <f aca="false">YEAR(Tabela1[[#This Row],[FECHA]])</f>
        <v>1900</v>
      </c>
      <c r="I17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07" customFormat="false" ht="15" hidden="false" customHeight="false" outlineLevel="0" collapsed="false">
      <c r="A1707" s="41"/>
      <c r="G1707" s="38" t="n">
        <f aca="false">MONTH(A1707)</f>
        <v>12</v>
      </c>
      <c r="H1707" s="38" t="n">
        <f aca="false">YEAR(Tabela1[[#This Row],[FECHA]])</f>
        <v>1900</v>
      </c>
      <c r="I17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08" customFormat="false" ht="15" hidden="false" customHeight="false" outlineLevel="0" collapsed="false">
      <c r="A1708" s="41"/>
      <c r="G1708" s="38" t="n">
        <f aca="false">MONTH(A1708)</f>
        <v>12</v>
      </c>
      <c r="H1708" s="38" t="n">
        <f aca="false">YEAR(Tabela1[[#This Row],[FECHA]])</f>
        <v>1900</v>
      </c>
      <c r="I17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09" customFormat="false" ht="15" hidden="false" customHeight="false" outlineLevel="0" collapsed="false">
      <c r="A1709" s="41"/>
      <c r="G1709" s="38" t="n">
        <f aca="false">MONTH(A1709)</f>
        <v>12</v>
      </c>
      <c r="H1709" s="38" t="n">
        <f aca="false">YEAR(Tabela1[[#This Row],[FECHA]])</f>
        <v>1900</v>
      </c>
      <c r="I17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10" customFormat="false" ht="15" hidden="false" customHeight="false" outlineLevel="0" collapsed="false">
      <c r="A1710" s="41"/>
      <c r="G1710" s="38" t="n">
        <f aca="false">MONTH(A1710)</f>
        <v>12</v>
      </c>
      <c r="H1710" s="38" t="n">
        <f aca="false">YEAR(Tabela1[[#This Row],[FECHA]])</f>
        <v>1900</v>
      </c>
      <c r="I17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11" customFormat="false" ht="15" hidden="false" customHeight="false" outlineLevel="0" collapsed="false">
      <c r="A1711" s="41"/>
      <c r="G1711" s="38" t="n">
        <f aca="false">MONTH(A1711)</f>
        <v>12</v>
      </c>
      <c r="H1711" s="38" t="n">
        <f aca="false">YEAR(Tabela1[[#This Row],[FECHA]])</f>
        <v>1900</v>
      </c>
      <c r="I17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12" customFormat="false" ht="15" hidden="false" customHeight="false" outlineLevel="0" collapsed="false">
      <c r="A1712" s="41"/>
      <c r="G1712" s="38" t="n">
        <f aca="false">MONTH(A1712)</f>
        <v>12</v>
      </c>
      <c r="H1712" s="38" t="n">
        <f aca="false">YEAR(Tabela1[[#This Row],[FECHA]])</f>
        <v>1900</v>
      </c>
      <c r="I17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13" customFormat="false" ht="15" hidden="false" customHeight="false" outlineLevel="0" collapsed="false">
      <c r="A1713" s="41"/>
      <c r="G1713" s="38" t="n">
        <f aca="false">MONTH(A1713)</f>
        <v>12</v>
      </c>
      <c r="H1713" s="38" t="n">
        <f aca="false">YEAR(Tabela1[[#This Row],[FECHA]])</f>
        <v>1900</v>
      </c>
      <c r="I17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14" customFormat="false" ht="15" hidden="false" customHeight="false" outlineLevel="0" collapsed="false">
      <c r="A1714" s="41"/>
      <c r="G1714" s="38" t="n">
        <f aca="false">MONTH(A1714)</f>
        <v>12</v>
      </c>
      <c r="H1714" s="38" t="n">
        <f aca="false">YEAR(Tabela1[[#This Row],[FECHA]])</f>
        <v>1900</v>
      </c>
      <c r="I17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15" customFormat="false" ht="15" hidden="false" customHeight="false" outlineLevel="0" collapsed="false">
      <c r="A1715" s="41"/>
      <c r="G1715" s="38" t="n">
        <f aca="false">MONTH(A1715)</f>
        <v>12</v>
      </c>
      <c r="H1715" s="38" t="n">
        <f aca="false">YEAR(Tabela1[[#This Row],[FECHA]])</f>
        <v>1900</v>
      </c>
      <c r="I17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16" customFormat="false" ht="15" hidden="false" customHeight="false" outlineLevel="0" collapsed="false">
      <c r="A1716" s="41"/>
      <c r="G1716" s="38" t="n">
        <f aca="false">MONTH(A1716)</f>
        <v>12</v>
      </c>
      <c r="H1716" s="38" t="n">
        <f aca="false">YEAR(Tabela1[[#This Row],[FECHA]])</f>
        <v>1900</v>
      </c>
      <c r="I17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17" customFormat="false" ht="15" hidden="false" customHeight="false" outlineLevel="0" collapsed="false">
      <c r="A1717" s="41"/>
      <c r="G1717" s="38" t="n">
        <f aca="false">MONTH(A1717)</f>
        <v>12</v>
      </c>
      <c r="H1717" s="38" t="n">
        <f aca="false">YEAR(Tabela1[[#This Row],[FECHA]])</f>
        <v>1900</v>
      </c>
      <c r="I17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18" customFormat="false" ht="15" hidden="false" customHeight="false" outlineLevel="0" collapsed="false">
      <c r="A1718" s="41"/>
      <c r="G1718" s="38" t="n">
        <f aca="false">MONTH(A1718)</f>
        <v>12</v>
      </c>
      <c r="H1718" s="38" t="n">
        <f aca="false">YEAR(Tabela1[[#This Row],[FECHA]])</f>
        <v>1900</v>
      </c>
      <c r="I17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19" customFormat="false" ht="15" hidden="false" customHeight="false" outlineLevel="0" collapsed="false">
      <c r="A1719" s="41"/>
      <c r="G1719" s="38" t="n">
        <f aca="false">MONTH(A1719)</f>
        <v>12</v>
      </c>
      <c r="H1719" s="38" t="n">
        <f aca="false">YEAR(Tabela1[[#This Row],[FECHA]])</f>
        <v>1900</v>
      </c>
      <c r="I17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20" customFormat="false" ht="15" hidden="false" customHeight="false" outlineLevel="0" collapsed="false">
      <c r="A1720" s="41"/>
      <c r="G1720" s="38" t="n">
        <f aca="false">MONTH(A1720)</f>
        <v>12</v>
      </c>
      <c r="H1720" s="38" t="n">
        <f aca="false">YEAR(Tabela1[[#This Row],[FECHA]])</f>
        <v>1900</v>
      </c>
      <c r="I17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21" customFormat="false" ht="15" hidden="false" customHeight="false" outlineLevel="0" collapsed="false">
      <c r="A1721" s="41"/>
      <c r="G1721" s="38" t="n">
        <f aca="false">MONTH(A1721)</f>
        <v>12</v>
      </c>
      <c r="H1721" s="38" t="n">
        <f aca="false">YEAR(Tabela1[[#This Row],[FECHA]])</f>
        <v>1900</v>
      </c>
      <c r="I17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22" customFormat="false" ht="15" hidden="false" customHeight="false" outlineLevel="0" collapsed="false">
      <c r="A1722" s="41"/>
      <c r="G1722" s="38" t="n">
        <f aca="false">MONTH(A1722)</f>
        <v>12</v>
      </c>
      <c r="H1722" s="38" t="n">
        <f aca="false">YEAR(Tabela1[[#This Row],[FECHA]])</f>
        <v>1900</v>
      </c>
      <c r="I17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23" customFormat="false" ht="15" hidden="false" customHeight="false" outlineLevel="0" collapsed="false">
      <c r="A1723" s="41"/>
      <c r="G1723" s="38" t="n">
        <f aca="false">MONTH(A1723)</f>
        <v>12</v>
      </c>
      <c r="H1723" s="38" t="n">
        <f aca="false">YEAR(Tabela1[[#This Row],[FECHA]])</f>
        <v>1900</v>
      </c>
      <c r="I17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24" customFormat="false" ht="15" hidden="false" customHeight="false" outlineLevel="0" collapsed="false">
      <c r="A1724" s="41"/>
      <c r="G1724" s="38" t="n">
        <f aca="false">MONTH(A1724)</f>
        <v>12</v>
      </c>
      <c r="H1724" s="38" t="n">
        <f aca="false">YEAR(Tabela1[[#This Row],[FECHA]])</f>
        <v>1900</v>
      </c>
      <c r="I17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25" customFormat="false" ht="15" hidden="false" customHeight="false" outlineLevel="0" collapsed="false">
      <c r="A1725" s="41"/>
      <c r="G1725" s="38" t="n">
        <f aca="false">MONTH(A1725)</f>
        <v>12</v>
      </c>
      <c r="H1725" s="38" t="n">
        <f aca="false">YEAR(Tabela1[[#This Row],[FECHA]])</f>
        <v>1900</v>
      </c>
      <c r="I17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26" customFormat="false" ht="15" hidden="false" customHeight="false" outlineLevel="0" collapsed="false">
      <c r="A1726" s="41"/>
      <c r="G1726" s="38" t="n">
        <f aca="false">MONTH(A1726)</f>
        <v>12</v>
      </c>
      <c r="H1726" s="38" t="n">
        <f aca="false">YEAR(Tabela1[[#This Row],[FECHA]])</f>
        <v>1900</v>
      </c>
      <c r="I17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27" customFormat="false" ht="15" hidden="false" customHeight="false" outlineLevel="0" collapsed="false">
      <c r="A1727" s="41"/>
      <c r="G1727" s="38" t="n">
        <f aca="false">MONTH(A1727)</f>
        <v>12</v>
      </c>
      <c r="H1727" s="38" t="n">
        <f aca="false">YEAR(Tabela1[[#This Row],[FECHA]])</f>
        <v>1900</v>
      </c>
      <c r="I17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28" customFormat="false" ht="15" hidden="false" customHeight="false" outlineLevel="0" collapsed="false">
      <c r="A1728" s="41"/>
      <c r="G1728" s="38" t="n">
        <f aca="false">MONTH(A1728)</f>
        <v>12</v>
      </c>
      <c r="H1728" s="38" t="n">
        <f aca="false">YEAR(Tabela1[[#This Row],[FECHA]])</f>
        <v>1900</v>
      </c>
      <c r="I17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29" customFormat="false" ht="15" hidden="false" customHeight="false" outlineLevel="0" collapsed="false">
      <c r="A1729" s="41"/>
      <c r="G1729" s="38" t="n">
        <f aca="false">MONTH(A1729)</f>
        <v>12</v>
      </c>
      <c r="H1729" s="38" t="n">
        <f aca="false">YEAR(Tabela1[[#This Row],[FECHA]])</f>
        <v>1900</v>
      </c>
      <c r="I17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30" customFormat="false" ht="15" hidden="false" customHeight="false" outlineLevel="0" collapsed="false">
      <c r="A1730" s="41"/>
      <c r="G1730" s="38" t="n">
        <f aca="false">MONTH(A1730)</f>
        <v>12</v>
      </c>
      <c r="H1730" s="38" t="n">
        <f aca="false">YEAR(Tabela1[[#This Row],[FECHA]])</f>
        <v>1900</v>
      </c>
      <c r="I17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31" customFormat="false" ht="15" hidden="false" customHeight="false" outlineLevel="0" collapsed="false">
      <c r="A1731" s="41"/>
      <c r="G1731" s="38" t="n">
        <f aca="false">MONTH(A1731)</f>
        <v>12</v>
      </c>
      <c r="H1731" s="38" t="n">
        <f aca="false">YEAR(Tabela1[[#This Row],[FECHA]])</f>
        <v>1900</v>
      </c>
      <c r="I17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32" customFormat="false" ht="15" hidden="false" customHeight="false" outlineLevel="0" collapsed="false">
      <c r="A1732" s="41"/>
      <c r="G1732" s="38" t="n">
        <f aca="false">MONTH(A1732)</f>
        <v>12</v>
      </c>
      <c r="H1732" s="38" t="n">
        <f aca="false">YEAR(Tabela1[[#This Row],[FECHA]])</f>
        <v>1900</v>
      </c>
      <c r="I17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33" customFormat="false" ht="15" hidden="false" customHeight="false" outlineLevel="0" collapsed="false">
      <c r="A1733" s="41"/>
      <c r="G1733" s="38" t="n">
        <f aca="false">MONTH(A1733)</f>
        <v>12</v>
      </c>
      <c r="H1733" s="38" t="n">
        <f aca="false">YEAR(Tabela1[[#This Row],[FECHA]])</f>
        <v>1900</v>
      </c>
      <c r="I17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34" customFormat="false" ht="15" hidden="false" customHeight="false" outlineLevel="0" collapsed="false">
      <c r="A1734" s="41"/>
      <c r="G1734" s="38" t="n">
        <f aca="false">MONTH(A1734)</f>
        <v>12</v>
      </c>
      <c r="H1734" s="38" t="n">
        <f aca="false">YEAR(Tabela1[[#This Row],[FECHA]])</f>
        <v>1900</v>
      </c>
      <c r="I17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35" customFormat="false" ht="15" hidden="false" customHeight="false" outlineLevel="0" collapsed="false">
      <c r="A1735" s="41"/>
      <c r="G1735" s="38" t="n">
        <f aca="false">MONTH(A1735)</f>
        <v>12</v>
      </c>
      <c r="H1735" s="38" t="n">
        <f aca="false">YEAR(Tabela1[[#This Row],[FECHA]])</f>
        <v>1900</v>
      </c>
      <c r="I17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36" customFormat="false" ht="15" hidden="false" customHeight="false" outlineLevel="0" collapsed="false">
      <c r="A1736" s="41"/>
      <c r="G1736" s="38" t="n">
        <f aca="false">MONTH(A1736)</f>
        <v>12</v>
      </c>
      <c r="H1736" s="38" t="n">
        <f aca="false">YEAR(Tabela1[[#This Row],[FECHA]])</f>
        <v>1900</v>
      </c>
      <c r="I17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37" customFormat="false" ht="15" hidden="false" customHeight="false" outlineLevel="0" collapsed="false">
      <c r="A1737" s="41"/>
      <c r="G1737" s="38" t="n">
        <f aca="false">MONTH(A1737)</f>
        <v>12</v>
      </c>
      <c r="H1737" s="38" t="n">
        <f aca="false">YEAR(Tabela1[[#This Row],[FECHA]])</f>
        <v>1900</v>
      </c>
      <c r="I17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38" customFormat="false" ht="15" hidden="false" customHeight="false" outlineLevel="0" collapsed="false">
      <c r="A1738" s="41"/>
      <c r="G1738" s="38" t="n">
        <f aca="false">MONTH(A1738)</f>
        <v>12</v>
      </c>
      <c r="H1738" s="38" t="n">
        <f aca="false">YEAR(Tabela1[[#This Row],[FECHA]])</f>
        <v>1900</v>
      </c>
      <c r="I17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39" customFormat="false" ht="15" hidden="false" customHeight="false" outlineLevel="0" collapsed="false">
      <c r="A1739" s="41"/>
      <c r="G1739" s="38" t="n">
        <f aca="false">MONTH(A1739)</f>
        <v>12</v>
      </c>
      <c r="H1739" s="38" t="n">
        <f aca="false">YEAR(Tabela1[[#This Row],[FECHA]])</f>
        <v>1900</v>
      </c>
      <c r="I17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40" customFormat="false" ht="15" hidden="false" customHeight="false" outlineLevel="0" collapsed="false">
      <c r="A1740" s="41"/>
      <c r="G1740" s="38" t="n">
        <f aca="false">MONTH(A1740)</f>
        <v>12</v>
      </c>
      <c r="H1740" s="38" t="n">
        <f aca="false">YEAR(Tabela1[[#This Row],[FECHA]])</f>
        <v>1900</v>
      </c>
      <c r="I17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41" customFormat="false" ht="15" hidden="false" customHeight="false" outlineLevel="0" collapsed="false">
      <c r="A1741" s="41"/>
      <c r="G1741" s="38" t="n">
        <f aca="false">MONTH(A1741)</f>
        <v>12</v>
      </c>
      <c r="H1741" s="38" t="n">
        <f aca="false">YEAR(Tabela1[[#This Row],[FECHA]])</f>
        <v>1900</v>
      </c>
      <c r="I17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42" customFormat="false" ht="15" hidden="false" customHeight="false" outlineLevel="0" collapsed="false">
      <c r="A1742" s="41"/>
      <c r="G1742" s="38" t="n">
        <f aca="false">MONTH(A1742)</f>
        <v>12</v>
      </c>
      <c r="H1742" s="38" t="n">
        <f aca="false">YEAR(Tabela1[[#This Row],[FECHA]])</f>
        <v>1900</v>
      </c>
      <c r="I17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43" customFormat="false" ht="15" hidden="false" customHeight="false" outlineLevel="0" collapsed="false">
      <c r="A1743" s="41"/>
      <c r="G1743" s="38" t="n">
        <f aca="false">MONTH(A1743)</f>
        <v>12</v>
      </c>
      <c r="H1743" s="38" t="n">
        <f aca="false">YEAR(Tabela1[[#This Row],[FECHA]])</f>
        <v>1900</v>
      </c>
      <c r="I17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44" customFormat="false" ht="15" hidden="false" customHeight="false" outlineLevel="0" collapsed="false">
      <c r="A1744" s="41"/>
      <c r="G1744" s="38" t="n">
        <f aca="false">MONTH(A1744)</f>
        <v>12</v>
      </c>
      <c r="H1744" s="38" t="n">
        <f aca="false">YEAR(Tabela1[[#This Row],[FECHA]])</f>
        <v>1900</v>
      </c>
      <c r="I17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45" customFormat="false" ht="15" hidden="false" customHeight="false" outlineLevel="0" collapsed="false">
      <c r="A1745" s="41"/>
      <c r="G1745" s="38" t="n">
        <f aca="false">MONTH(A1745)</f>
        <v>12</v>
      </c>
      <c r="H1745" s="38" t="n">
        <f aca="false">YEAR(Tabela1[[#This Row],[FECHA]])</f>
        <v>1900</v>
      </c>
      <c r="I17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46" customFormat="false" ht="15" hidden="false" customHeight="false" outlineLevel="0" collapsed="false">
      <c r="A1746" s="41"/>
      <c r="G1746" s="38" t="n">
        <f aca="false">MONTH(A1746)</f>
        <v>12</v>
      </c>
      <c r="H1746" s="38" t="n">
        <f aca="false">YEAR(Tabela1[[#This Row],[FECHA]])</f>
        <v>1900</v>
      </c>
      <c r="I17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47" customFormat="false" ht="15" hidden="false" customHeight="false" outlineLevel="0" collapsed="false">
      <c r="A1747" s="41"/>
      <c r="G1747" s="38" t="n">
        <f aca="false">MONTH(A1747)</f>
        <v>12</v>
      </c>
      <c r="H1747" s="38" t="n">
        <f aca="false">YEAR(Tabela1[[#This Row],[FECHA]])</f>
        <v>1900</v>
      </c>
      <c r="I17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48" customFormat="false" ht="15" hidden="false" customHeight="false" outlineLevel="0" collapsed="false">
      <c r="A1748" s="41"/>
      <c r="G1748" s="38" t="n">
        <f aca="false">MONTH(A1748)</f>
        <v>12</v>
      </c>
      <c r="H1748" s="38" t="n">
        <f aca="false">YEAR(Tabela1[[#This Row],[FECHA]])</f>
        <v>1900</v>
      </c>
      <c r="I17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49" customFormat="false" ht="15" hidden="false" customHeight="false" outlineLevel="0" collapsed="false">
      <c r="A1749" s="41"/>
      <c r="G1749" s="38" t="n">
        <f aca="false">MONTH(A1749)</f>
        <v>12</v>
      </c>
      <c r="H1749" s="38" t="n">
        <f aca="false">YEAR(Tabela1[[#This Row],[FECHA]])</f>
        <v>1900</v>
      </c>
      <c r="I17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50" customFormat="false" ht="15" hidden="false" customHeight="false" outlineLevel="0" collapsed="false">
      <c r="A1750" s="41"/>
      <c r="G1750" s="38" t="n">
        <f aca="false">MONTH(A1750)</f>
        <v>12</v>
      </c>
      <c r="H1750" s="38" t="n">
        <f aca="false">YEAR(Tabela1[[#This Row],[FECHA]])</f>
        <v>1900</v>
      </c>
      <c r="I17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51" customFormat="false" ht="15" hidden="false" customHeight="false" outlineLevel="0" collapsed="false">
      <c r="A1751" s="41"/>
      <c r="G1751" s="38" t="n">
        <f aca="false">MONTH(A1751)</f>
        <v>12</v>
      </c>
      <c r="H1751" s="38" t="n">
        <f aca="false">YEAR(Tabela1[[#This Row],[FECHA]])</f>
        <v>1900</v>
      </c>
      <c r="I17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52" customFormat="false" ht="15" hidden="false" customHeight="false" outlineLevel="0" collapsed="false">
      <c r="A1752" s="41"/>
      <c r="G1752" s="38" t="n">
        <f aca="false">MONTH(A1752)</f>
        <v>12</v>
      </c>
      <c r="H1752" s="38" t="n">
        <f aca="false">YEAR(Tabela1[[#This Row],[FECHA]])</f>
        <v>1900</v>
      </c>
      <c r="I17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53" customFormat="false" ht="15" hidden="false" customHeight="false" outlineLevel="0" collapsed="false">
      <c r="A1753" s="41"/>
      <c r="G1753" s="38" t="n">
        <f aca="false">MONTH(A1753)</f>
        <v>12</v>
      </c>
      <c r="H1753" s="38" t="n">
        <f aca="false">YEAR(Tabela1[[#This Row],[FECHA]])</f>
        <v>1900</v>
      </c>
      <c r="I17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54" customFormat="false" ht="15" hidden="false" customHeight="false" outlineLevel="0" collapsed="false">
      <c r="A1754" s="41"/>
      <c r="G1754" s="38" t="n">
        <f aca="false">MONTH(A1754)</f>
        <v>12</v>
      </c>
      <c r="H1754" s="38" t="n">
        <f aca="false">YEAR(Tabela1[[#This Row],[FECHA]])</f>
        <v>1900</v>
      </c>
      <c r="I17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55" customFormat="false" ht="15" hidden="false" customHeight="false" outlineLevel="0" collapsed="false">
      <c r="A1755" s="41"/>
      <c r="G1755" s="38" t="n">
        <f aca="false">MONTH(A1755)</f>
        <v>12</v>
      </c>
      <c r="H1755" s="38" t="n">
        <f aca="false">YEAR(Tabela1[[#This Row],[FECHA]])</f>
        <v>1900</v>
      </c>
      <c r="I17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56" customFormat="false" ht="15" hidden="false" customHeight="false" outlineLevel="0" collapsed="false">
      <c r="A1756" s="41"/>
      <c r="G1756" s="38" t="n">
        <f aca="false">MONTH(A1756)</f>
        <v>12</v>
      </c>
      <c r="H1756" s="38" t="n">
        <f aca="false">YEAR(Tabela1[[#This Row],[FECHA]])</f>
        <v>1900</v>
      </c>
      <c r="I17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57" customFormat="false" ht="15" hidden="false" customHeight="false" outlineLevel="0" collapsed="false">
      <c r="A1757" s="41"/>
      <c r="G1757" s="38" t="n">
        <f aca="false">MONTH(A1757)</f>
        <v>12</v>
      </c>
      <c r="H1757" s="38" t="n">
        <f aca="false">YEAR(Tabela1[[#This Row],[FECHA]])</f>
        <v>1900</v>
      </c>
      <c r="I17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58" customFormat="false" ht="15" hidden="false" customHeight="false" outlineLevel="0" collapsed="false">
      <c r="A1758" s="41"/>
      <c r="G1758" s="38" t="n">
        <f aca="false">MONTH(A1758)</f>
        <v>12</v>
      </c>
      <c r="H1758" s="38" t="n">
        <f aca="false">YEAR(Tabela1[[#This Row],[FECHA]])</f>
        <v>1900</v>
      </c>
      <c r="I17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59" customFormat="false" ht="15" hidden="false" customHeight="false" outlineLevel="0" collapsed="false">
      <c r="A1759" s="41"/>
      <c r="G1759" s="38" t="n">
        <f aca="false">MONTH(A1759)</f>
        <v>12</v>
      </c>
      <c r="H1759" s="38" t="n">
        <f aca="false">YEAR(Tabela1[[#This Row],[FECHA]])</f>
        <v>1900</v>
      </c>
      <c r="I17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60" customFormat="false" ht="15" hidden="false" customHeight="false" outlineLevel="0" collapsed="false">
      <c r="A1760" s="41"/>
      <c r="G1760" s="38" t="n">
        <f aca="false">MONTH(A1760)</f>
        <v>12</v>
      </c>
      <c r="H1760" s="38" t="n">
        <f aca="false">YEAR(Tabela1[[#This Row],[FECHA]])</f>
        <v>1900</v>
      </c>
      <c r="I17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61" customFormat="false" ht="15" hidden="false" customHeight="false" outlineLevel="0" collapsed="false">
      <c r="A1761" s="41"/>
      <c r="G1761" s="38" t="n">
        <f aca="false">MONTH(A1761)</f>
        <v>12</v>
      </c>
      <c r="H1761" s="38" t="n">
        <f aca="false">YEAR(Tabela1[[#This Row],[FECHA]])</f>
        <v>1900</v>
      </c>
      <c r="I17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62" customFormat="false" ht="15" hidden="false" customHeight="false" outlineLevel="0" collapsed="false">
      <c r="A1762" s="41"/>
      <c r="G1762" s="38" t="n">
        <f aca="false">MONTH(A1762)</f>
        <v>12</v>
      </c>
      <c r="H1762" s="38" t="n">
        <f aca="false">YEAR(Tabela1[[#This Row],[FECHA]])</f>
        <v>1900</v>
      </c>
      <c r="I17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63" customFormat="false" ht="15" hidden="false" customHeight="false" outlineLevel="0" collapsed="false">
      <c r="A1763" s="41"/>
      <c r="G1763" s="38" t="n">
        <f aca="false">MONTH(A1763)</f>
        <v>12</v>
      </c>
      <c r="H1763" s="38" t="n">
        <f aca="false">YEAR(Tabela1[[#This Row],[FECHA]])</f>
        <v>1900</v>
      </c>
      <c r="I17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64" customFormat="false" ht="15" hidden="false" customHeight="false" outlineLevel="0" collapsed="false">
      <c r="A1764" s="41"/>
      <c r="G1764" s="38" t="n">
        <f aca="false">MONTH(A1764)</f>
        <v>12</v>
      </c>
      <c r="H1764" s="38" t="n">
        <f aca="false">YEAR(Tabela1[[#This Row],[FECHA]])</f>
        <v>1900</v>
      </c>
      <c r="I17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65" customFormat="false" ht="15" hidden="false" customHeight="false" outlineLevel="0" collapsed="false">
      <c r="A1765" s="41"/>
      <c r="G1765" s="38" t="n">
        <f aca="false">MONTH(A1765)</f>
        <v>12</v>
      </c>
      <c r="H1765" s="38" t="n">
        <f aca="false">YEAR(Tabela1[[#This Row],[FECHA]])</f>
        <v>1900</v>
      </c>
      <c r="I17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66" customFormat="false" ht="15" hidden="false" customHeight="false" outlineLevel="0" collapsed="false">
      <c r="A1766" s="41"/>
      <c r="G1766" s="38" t="n">
        <f aca="false">MONTH(A1766)</f>
        <v>12</v>
      </c>
      <c r="H1766" s="38" t="n">
        <f aca="false">YEAR(Tabela1[[#This Row],[FECHA]])</f>
        <v>1900</v>
      </c>
      <c r="I17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67" customFormat="false" ht="15" hidden="false" customHeight="false" outlineLevel="0" collapsed="false">
      <c r="A1767" s="41"/>
      <c r="G1767" s="38" t="n">
        <f aca="false">MONTH(A1767)</f>
        <v>12</v>
      </c>
      <c r="H1767" s="38" t="n">
        <f aca="false">YEAR(Tabela1[[#This Row],[FECHA]])</f>
        <v>1900</v>
      </c>
      <c r="I17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68" customFormat="false" ht="15" hidden="false" customHeight="false" outlineLevel="0" collapsed="false">
      <c r="A1768" s="41"/>
      <c r="G1768" s="38" t="n">
        <f aca="false">MONTH(A1768)</f>
        <v>12</v>
      </c>
      <c r="H1768" s="38" t="n">
        <f aca="false">YEAR(Tabela1[[#This Row],[FECHA]])</f>
        <v>1900</v>
      </c>
      <c r="I17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69" customFormat="false" ht="15" hidden="false" customHeight="false" outlineLevel="0" collapsed="false">
      <c r="A1769" s="41"/>
      <c r="G1769" s="38" t="n">
        <f aca="false">MONTH(A1769)</f>
        <v>12</v>
      </c>
      <c r="H1769" s="38" t="n">
        <f aca="false">YEAR(Tabela1[[#This Row],[FECHA]])</f>
        <v>1900</v>
      </c>
      <c r="I17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70" customFormat="false" ht="15" hidden="false" customHeight="false" outlineLevel="0" collapsed="false">
      <c r="A1770" s="41"/>
      <c r="G1770" s="38" t="n">
        <f aca="false">MONTH(A1770)</f>
        <v>12</v>
      </c>
      <c r="H1770" s="38" t="n">
        <f aca="false">YEAR(Tabela1[[#This Row],[FECHA]])</f>
        <v>1900</v>
      </c>
      <c r="I17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71" customFormat="false" ht="15" hidden="false" customHeight="false" outlineLevel="0" collapsed="false">
      <c r="A1771" s="41"/>
      <c r="G1771" s="38" t="n">
        <f aca="false">MONTH(A1771)</f>
        <v>12</v>
      </c>
      <c r="H1771" s="38" t="n">
        <f aca="false">YEAR(Tabela1[[#This Row],[FECHA]])</f>
        <v>1900</v>
      </c>
      <c r="I17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72" customFormat="false" ht="15" hidden="false" customHeight="false" outlineLevel="0" collapsed="false">
      <c r="A1772" s="41"/>
      <c r="G1772" s="38" t="n">
        <f aca="false">MONTH(A1772)</f>
        <v>12</v>
      </c>
      <c r="H1772" s="38" t="n">
        <f aca="false">YEAR(Tabela1[[#This Row],[FECHA]])</f>
        <v>1900</v>
      </c>
      <c r="I17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73" customFormat="false" ht="15" hidden="false" customHeight="false" outlineLevel="0" collapsed="false">
      <c r="A1773" s="41"/>
      <c r="G1773" s="38" t="n">
        <f aca="false">MONTH(A1773)</f>
        <v>12</v>
      </c>
      <c r="H1773" s="38" t="n">
        <f aca="false">YEAR(Tabela1[[#This Row],[FECHA]])</f>
        <v>1900</v>
      </c>
      <c r="I17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74" customFormat="false" ht="15" hidden="false" customHeight="false" outlineLevel="0" collapsed="false">
      <c r="A1774" s="41"/>
      <c r="G1774" s="38" t="n">
        <f aca="false">MONTH(A1774)</f>
        <v>12</v>
      </c>
      <c r="H1774" s="38" t="n">
        <f aca="false">YEAR(Tabela1[[#This Row],[FECHA]])</f>
        <v>1900</v>
      </c>
      <c r="I17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75" customFormat="false" ht="15" hidden="false" customHeight="false" outlineLevel="0" collapsed="false">
      <c r="A1775" s="41"/>
      <c r="G1775" s="38" t="n">
        <f aca="false">MONTH(A1775)</f>
        <v>12</v>
      </c>
      <c r="H1775" s="38" t="n">
        <f aca="false">YEAR(Tabela1[[#This Row],[FECHA]])</f>
        <v>1900</v>
      </c>
      <c r="I17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76" customFormat="false" ht="15" hidden="false" customHeight="false" outlineLevel="0" collapsed="false">
      <c r="A1776" s="41"/>
      <c r="G1776" s="38" t="n">
        <f aca="false">MONTH(A1776)</f>
        <v>12</v>
      </c>
      <c r="H1776" s="38" t="n">
        <f aca="false">YEAR(Tabela1[[#This Row],[FECHA]])</f>
        <v>1900</v>
      </c>
      <c r="I17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77" customFormat="false" ht="15" hidden="false" customHeight="false" outlineLevel="0" collapsed="false">
      <c r="A1777" s="41"/>
      <c r="G1777" s="38" t="n">
        <f aca="false">MONTH(A1777)</f>
        <v>12</v>
      </c>
      <c r="H1777" s="38" t="n">
        <f aca="false">YEAR(Tabela1[[#This Row],[FECHA]])</f>
        <v>1900</v>
      </c>
      <c r="I17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78" customFormat="false" ht="15" hidden="false" customHeight="false" outlineLevel="0" collapsed="false">
      <c r="A1778" s="41"/>
      <c r="G1778" s="38" t="n">
        <f aca="false">MONTH(A1778)</f>
        <v>12</v>
      </c>
      <c r="H1778" s="38" t="n">
        <f aca="false">YEAR(Tabela1[[#This Row],[FECHA]])</f>
        <v>1900</v>
      </c>
      <c r="I17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79" customFormat="false" ht="15" hidden="false" customHeight="false" outlineLevel="0" collapsed="false">
      <c r="A1779" s="41"/>
      <c r="G1779" s="38" t="n">
        <f aca="false">MONTH(A1779)</f>
        <v>12</v>
      </c>
      <c r="H1779" s="38" t="n">
        <f aca="false">YEAR(Tabela1[[#This Row],[FECHA]])</f>
        <v>1900</v>
      </c>
      <c r="I17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80" customFormat="false" ht="15" hidden="false" customHeight="false" outlineLevel="0" collapsed="false">
      <c r="A1780" s="41"/>
      <c r="G1780" s="38" t="n">
        <f aca="false">MONTH(A1780)</f>
        <v>12</v>
      </c>
      <c r="H1780" s="38" t="n">
        <f aca="false">YEAR(Tabela1[[#This Row],[FECHA]])</f>
        <v>1900</v>
      </c>
      <c r="I17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81" customFormat="false" ht="15" hidden="false" customHeight="false" outlineLevel="0" collapsed="false">
      <c r="A1781" s="41"/>
      <c r="G1781" s="38" t="n">
        <f aca="false">MONTH(A1781)</f>
        <v>12</v>
      </c>
      <c r="H1781" s="38" t="n">
        <f aca="false">YEAR(Tabela1[[#This Row],[FECHA]])</f>
        <v>1900</v>
      </c>
      <c r="I17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82" customFormat="false" ht="15" hidden="false" customHeight="false" outlineLevel="0" collapsed="false">
      <c r="A1782" s="41"/>
      <c r="G1782" s="38" t="n">
        <f aca="false">MONTH(A1782)</f>
        <v>12</v>
      </c>
      <c r="H1782" s="38" t="n">
        <f aca="false">YEAR(Tabela1[[#This Row],[FECHA]])</f>
        <v>1900</v>
      </c>
      <c r="I17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83" customFormat="false" ht="15" hidden="false" customHeight="false" outlineLevel="0" collapsed="false">
      <c r="A1783" s="41"/>
      <c r="G1783" s="38" t="n">
        <f aca="false">MONTH(A1783)</f>
        <v>12</v>
      </c>
      <c r="H1783" s="38" t="n">
        <f aca="false">YEAR(Tabela1[[#This Row],[FECHA]])</f>
        <v>1900</v>
      </c>
      <c r="I17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84" customFormat="false" ht="15" hidden="false" customHeight="false" outlineLevel="0" collapsed="false">
      <c r="A1784" s="41"/>
      <c r="G1784" s="38" t="n">
        <f aca="false">MONTH(A1784)</f>
        <v>12</v>
      </c>
      <c r="H1784" s="38" t="n">
        <f aca="false">YEAR(Tabela1[[#This Row],[FECHA]])</f>
        <v>1900</v>
      </c>
      <c r="I17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85" customFormat="false" ht="15" hidden="false" customHeight="false" outlineLevel="0" collapsed="false">
      <c r="A1785" s="41"/>
      <c r="G1785" s="38" t="n">
        <f aca="false">MONTH(A1785)</f>
        <v>12</v>
      </c>
      <c r="H1785" s="38" t="n">
        <f aca="false">YEAR(Tabela1[[#This Row],[FECHA]])</f>
        <v>1900</v>
      </c>
      <c r="I17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86" customFormat="false" ht="15" hidden="false" customHeight="false" outlineLevel="0" collapsed="false">
      <c r="A1786" s="41"/>
      <c r="G1786" s="38" t="n">
        <f aca="false">MONTH(A1786)</f>
        <v>12</v>
      </c>
      <c r="H1786" s="38" t="n">
        <f aca="false">YEAR(Tabela1[[#This Row],[FECHA]])</f>
        <v>1900</v>
      </c>
      <c r="I17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87" customFormat="false" ht="15" hidden="false" customHeight="false" outlineLevel="0" collapsed="false">
      <c r="A1787" s="41"/>
      <c r="G1787" s="38" t="n">
        <f aca="false">MONTH(A1787)</f>
        <v>12</v>
      </c>
      <c r="H1787" s="38" t="n">
        <f aca="false">YEAR(Tabela1[[#This Row],[FECHA]])</f>
        <v>1900</v>
      </c>
      <c r="I17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88" customFormat="false" ht="15" hidden="false" customHeight="false" outlineLevel="0" collapsed="false">
      <c r="A1788" s="41"/>
      <c r="G1788" s="38" t="n">
        <f aca="false">MONTH(A1788)</f>
        <v>12</v>
      </c>
      <c r="H1788" s="38" t="n">
        <f aca="false">YEAR(Tabela1[[#This Row],[FECHA]])</f>
        <v>1900</v>
      </c>
      <c r="I17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89" customFormat="false" ht="15" hidden="false" customHeight="false" outlineLevel="0" collapsed="false">
      <c r="A1789" s="41"/>
      <c r="G1789" s="38" t="n">
        <f aca="false">MONTH(A1789)</f>
        <v>12</v>
      </c>
      <c r="H1789" s="38" t="n">
        <f aca="false">YEAR(Tabela1[[#This Row],[FECHA]])</f>
        <v>1900</v>
      </c>
      <c r="I17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90" customFormat="false" ht="15" hidden="false" customHeight="false" outlineLevel="0" collapsed="false">
      <c r="A1790" s="41"/>
      <c r="G1790" s="38" t="n">
        <f aca="false">MONTH(A1790)</f>
        <v>12</v>
      </c>
      <c r="H1790" s="38" t="n">
        <f aca="false">YEAR(Tabela1[[#This Row],[FECHA]])</f>
        <v>1900</v>
      </c>
      <c r="I17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91" customFormat="false" ht="15" hidden="false" customHeight="false" outlineLevel="0" collapsed="false">
      <c r="A1791" s="41"/>
      <c r="G1791" s="38" t="n">
        <f aca="false">MONTH(A1791)</f>
        <v>12</v>
      </c>
      <c r="H1791" s="38" t="n">
        <f aca="false">YEAR(Tabela1[[#This Row],[FECHA]])</f>
        <v>1900</v>
      </c>
      <c r="I17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92" customFormat="false" ht="15" hidden="false" customHeight="false" outlineLevel="0" collapsed="false">
      <c r="A1792" s="41"/>
      <c r="G1792" s="38" t="n">
        <f aca="false">MONTH(A1792)</f>
        <v>12</v>
      </c>
      <c r="H1792" s="38" t="n">
        <f aca="false">YEAR(Tabela1[[#This Row],[FECHA]])</f>
        <v>1900</v>
      </c>
      <c r="I17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93" customFormat="false" ht="15" hidden="false" customHeight="false" outlineLevel="0" collapsed="false">
      <c r="A1793" s="41"/>
      <c r="G1793" s="38" t="n">
        <f aca="false">MONTH(A1793)</f>
        <v>12</v>
      </c>
      <c r="H1793" s="38" t="n">
        <f aca="false">YEAR(Tabela1[[#This Row],[FECHA]])</f>
        <v>1900</v>
      </c>
      <c r="I17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94" customFormat="false" ht="15" hidden="false" customHeight="false" outlineLevel="0" collapsed="false">
      <c r="A1794" s="41"/>
      <c r="G1794" s="38" t="n">
        <f aca="false">MONTH(A1794)</f>
        <v>12</v>
      </c>
      <c r="H1794" s="38" t="n">
        <f aca="false">YEAR(Tabela1[[#This Row],[FECHA]])</f>
        <v>1900</v>
      </c>
      <c r="I17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95" customFormat="false" ht="15" hidden="false" customHeight="false" outlineLevel="0" collapsed="false">
      <c r="A1795" s="41"/>
      <c r="G1795" s="38" t="n">
        <f aca="false">MONTH(A1795)</f>
        <v>12</v>
      </c>
      <c r="H1795" s="38" t="n">
        <f aca="false">YEAR(Tabela1[[#This Row],[FECHA]])</f>
        <v>1900</v>
      </c>
      <c r="I17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96" customFormat="false" ht="15" hidden="false" customHeight="false" outlineLevel="0" collapsed="false">
      <c r="A1796" s="41"/>
      <c r="G1796" s="38" t="n">
        <f aca="false">MONTH(A1796)</f>
        <v>12</v>
      </c>
      <c r="H1796" s="38" t="n">
        <f aca="false">YEAR(Tabela1[[#This Row],[FECHA]])</f>
        <v>1900</v>
      </c>
      <c r="I17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97" customFormat="false" ht="15" hidden="false" customHeight="false" outlineLevel="0" collapsed="false">
      <c r="A1797" s="41"/>
      <c r="G1797" s="38" t="n">
        <f aca="false">MONTH(A1797)</f>
        <v>12</v>
      </c>
      <c r="H1797" s="38" t="n">
        <f aca="false">YEAR(Tabela1[[#This Row],[FECHA]])</f>
        <v>1900</v>
      </c>
      <c r="I17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98" customFormat="false" ht="15" hidden="false" customHeight="false" outlineLevel="0" collapsed="false">
      <c r="A1798" s="41"/>
      <c r="G1798" s="38" t="n">
        <f aca="false">MONTH(A1798)</f>
        <v>12</v>
      </c>
      <c r="H1798" s="38" t="n">
        <f aca="false">YEAR(Tabela1[[#This Row],[FECHA]])</f>
        <v>1900</v>
      </c>
      <c r="I17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799" customFormat="false" ht="15" hidden="false" customHeight="false" outlineLevel="0" collapsed="false">
      <c r="A1799" s="41"/>
      <c r="G1799" s="38" t="n">
        <f aca="false">MONTH(A1799)</f>
        <v>12</v>
      </c>
      <c r="H1799" s="38" t="n">
        <f aca="false">YEAR(Tabela1[[#This Row],[FECHA]])</f>
        <v>1900</v>
      </c>
      <c r="I17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00" customFormat="false" ht="15" hidden="false" customHeight="false" outlineLevel="0" collapsed="false">
      <c r="A1800" s="41"/>
      <c r="G1800" s="38" t="n">
        <f aca="false">MONTH(A1800)</f>
        <v>12</v>
      </c>
      <c r="H1800" s="38" t="n">
        <f aca="false">YEAR(Tabela1[[#This Row],[FECHA]])</f>
        <v>1900</v>
      </c>
      <c r="I18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01" customFormat="false" ht="15" hidden="false" customHeight="false" outlineLevel="0" collapsed="false">
      <c r="A1801" s="41"/>
      <c r="G1801" s="38" t="n">
        <f aca="false">MONTH(A1801)</f>
        <v>12</v>
      </c>
      <c r="H1801" s="38" t="n">
        <f aca="false">YEAR(Tabela1[[#This Row],[FECHA]])</f>
        <v>1900</v>
      </c>
      <c r="I18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02" customFormat="false" ht="15" hidden="false" customHeight="false" outlineLevel="0" collapsed="false">
      <c r="A1802" s="41"/>
      <c r="G1802" s="38" t="n">
        <f aca="false">MONTH(A1802)</f>
        <v>12</v>
      </c>
      <c r="H1802" s="38" t="n">
        <f aca="false">YEAR(Tabela1[[#This Row],[FECHA]])</f>
        <v>1900</v>
      </c>
      <c r="I18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03" customFormat="false" ht="15" hidden="false" customHeight="false" outlineLevel="0" collapsed="false">
      <c r="A1803" s="41"/>
      <c r="G1803" s="38" t="n">
        <f aca="false">MONTH(A1803)</f>
        <v>12</v>
      </c>
      <c r="H1803" s="38" t="n">
        <f aca="false">YEAR(Tabela1[[#This Row],[FECHA]])</f>
        <v>1900</v>
      </c>
      <c r="I18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04" customFormat="false" ht="15" hidden="false" customHeight="false" outlineLevel="0" collapsed="false">
      <c r="A1804" s="41"/>
      <c r="G1804" s="38" t="n">
        <f aca="false">MONTH(A1804)</f>
        <v>12</v>
      </c>
      <c r="H1804" s="38" t="n">
        <f aca="false">YEAR(Tabela1[[#This Row],[FECHA]])</f>
        <v>1900</v>
      </c>
      <c r="I18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05" customFormat="false" ht="15" hidden="false" customHeight="false" outlineLevel="0" collapsed="false">
      <c r="A1805" s="41"/>
      <c r="G1805" s="38" t="n">
        <f aca="false">MONTH(A1805)</f>
        <v>12</v>
      </c>
      <c r="H1805" s="38" t="n">
        <f aca="false">YEAR(Tabela1[[#This Row],[FECHA]])</f>
        <v>1900</v>
      </c>
      <c r="I18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06" customFormat="false" ht="15" hidden="false" customHeight="false" outlineLevel="0" collapsed="false">
      <c r="A1806" s="41"/>
      <c r="G1806" s="38" t="n">
        <f aca="false">MONTH(A1806)</f>
        <v>12</v>
      </c>
      <c r="H1806" s="38" t="n">
        <f aca="false">YEAR(Tabela1[[#This Row],[FECHA]])</f>
        <v>1900</v>
      </c>
      <c r="I18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07" customFormat="false" ht="15" hidden="false" customHeight="false" outlineLevel="0" collapsed="false">
      <c r="A1807" s="41"/>
      <c r="G1807" s="38" t="n">
        <f aca="false">MONTH(A1807)</f>
        <v>12</v>
      </c>
      <c r="H1807" s="38" t="n">
        <f aca="false">YEAR(Tabela1[[#This Row],[FECHA]])</f>
        <v>1900</v>
      </c>
      <c r="I18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08" customFormat="false" ht="15" hidden="false" customHeight="false" outlineLevel="0" collapsed="false">
      <c r="A1808" s="41"/>
      <c r="G1808" s="38" t="n">
        <f aca="false">MONTH(A1808)</f>
        <v>12</v>
      </c>
      <c r="H1808" s="38" t="n">
        <f aca="false">YEAR(Tabela1[[#This Row],[FECHA]])</f>
        <v>1900</v>
      </c>
      <c r="I18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09" customFormat="false" ht="15" hidden="false" customHeight="false" outlineLevel="0" collapsed="false">
      <c r="A1809" s="41"/>
      <c r="G1809" s="38" t="n">
        <f aca="false">MONTH(A1809)</f>
        <v>12</v>
      </c>
      <c r="H1809" s="38" t="n">
        <f aca="false">YEAR(Tabela1[[#This Row],[FECHA]])</f>
        <v>1900</v>
      </c>
      <c r="I18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10" customFormat="false" ht="15" hidden="false" customHeight="false" outlineLevel="0" collapsed="false">
      <c r="A1810" s="41"/>
      <c r="G1810" s="38" t="n">
        <f aca="false">MONTH(A1810)</f>
        <v>12</v>
      </c>
      <c r="H1810" s="38" t="n">
        <f aca="false">YEAR(Tabela1[[#This Row],[FECHA]])</f>
        <v>1900</v>
      </c>
      <c r="I18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11" customFormat="false" ht="15" hidden="false" customHeight="false" outlineLevel="0" collapsed="false">
      <c r="A1811" s="41"/>
      <c r="G1811" s="38" t="n">
        <f aca="false">MONTH(A1811)</f>
        <v>12</v>
      </c>
      <c r="H1811" s="38" t="n">
        <f aca="false">YEAR(Tabela1[[#This Row],[FECHA]])</f>
        <v>1900</v>
      </c>
      <c r="I18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12" customFormat="false" ht="15" hidden="false" customHeight="false" outlineLevel="0" collapsed="false">
      <c r="A1812" s="41"/>
      <c r="G1812" s="38" t="n">
        <f aca="false">MONTH(A1812)</f>
        <v>12</v>
      </c>
      <c r="H1812" s="38" t="n">
        <f aca="false">YEAR(Tabela1[[#This Row],[FECHA]])</f>
        <v>1900</v>
      </c>
      <c r="I18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13" customFormat="false" ht="15" hidden="false" customHeight="false" outlineLevel="0" collapsed="false">
      <c r="A1813" s="41"/>
      <c r="G1813" s="38" t="n">
        <f aca="false">MONTH(A1813)</f>
        <v>12</v>
      </c>
      <c r="H1813" s="38" t="n">
        <f aca="false">YEAR(Tabela1[[#This Row],[FECHA]])</f>
        <v>1900</v>
      </c>
      <c r="I18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14" customFormat="false" ht="15" hidden="false" customHeight="false" outlineLevel="0" collapsed="false">
      <c r="A1814" s="41"/>
      <c r="G1814" s="38" t="n">
        <f aca="false">MONTH(A1814)</f>
        <v>12</v>
      </c>
      <c r="H1814" s="38" t="n">
        <f aca="false">YEAR(Tabela1[[#This Row],[FECHA]])</f>
        <v>1900</v>
      </c>
      <c r="I18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15" customFormat="false" ht="15" hidden="false" customHeight="false" outlineLevel="0" collapsed="false">
      <c r="A1815" s="41"/>
      <c r="G1815" s="38" t="n">
        <f aca="false">MONTH(A1815)</f>
        <v>12</v>
      </c>
      <c r="H1815" s="38" t="n">
        <f aca="false">YEAR(Tabela1[[#This Row],[FECHA]])</f>
        <v>1900</v>
      </c>
      <c r="I18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16" customFormat="false" ht="15" hidden="false" customHeight="false" outlineLevel="0" collapsed="false">
      <c r="A1816" s="41"/>
      <c r="G1816" s="38" t="n">
        <f aca="false">MONTH(A1816)</f>
        <v>12</v>
      </c>
      <c r="H1816" s="38" t="n">
        <f aca="false">YEAR(Tabela1[[#This Row],[FECHA]])</f>
        <v>1900</v>
      </c>
      <c r="I18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17" customFormat="false" ht="15" hidden="false" customHeight="false" outlineLevel="0" collapsed="false">
      <c r="A1817" s="41"/>
      <c r="G1817" s="38" t="n">
        <f aca="false">MONTH(A1817)</f>
        <v>12</v>
      </c>
      <c r="H1817" s="38" t="n">
        <f aca="false">YEAR(Tabela1[[#This Row],[FECHA]])</f>
        <v>1900</v>
      </c>
      <c r="I18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18" customFormat="false" ht="15" hidden="false" customHeight="false" outlineLevel="0" collapsed="false">
      <c r="A1818" s="41"/>
      <c r="G1818" s="38" t="n">
        <f aca="false">MONTH(A1818)</f>
        <v>12</v>
      </c>
      <c r="H1818" s="38" t="n">
        <f aca="false">YEAR(Tabela1[[#This Row],[FECHA]])</f>
        <v>1900</v>
      </c>
      <c r="I18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19" customFormat="false" ht="15" hidden="false" customHeight="false" outlineLevel="0" collapsed="false">
      <c r="A1819" s="41"/>
      <c r="G1819" s="38" t="n">
        <f aca="false">MONTH(A1819)</f>
        <v>12</v>
      </c>
      <c r="H1819" s="38" t="n">
        <f aca="false">YEAR(Tabela1[[#This Row],[FECHA]])</f>
        <v>1900</v>
      </c>
      <c r="I18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20" customFormat="false" ht="15" hidden="false" customHeight="false" outlineLevel="0" collapsed="false">
      <c r="A1820" s="41"/>
      <c r="G1820" s="38" t="n">
        <f aca="false">MONTH(A1820)</f>
        <v>12</v>
      </c>
      <c r="H1820" s="38" t="n">
        <f aca="false">YEAR(Tabela1[[#This Row],[FECHA]])</f>
        <v>1900</v>
      </c>
      <c r="I18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21" customFormat="false" ht="15" hidden="false" customHeight="false" outlineLevel="0" collapsed="false">
      <c r="A1821" s="41"/>
      <c r="G1821" s="38" t="n">
        <f aca="false">MONTH(A1821)</f>
        <v>12</v>
      </c>
      <c r="H1821" s="38" t="n">
        <f aca="false">YEAR(Tabela1[[#This Row],[FECHA]])</f>
        <v>1900</v>
      </c>
      <c r="I18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22" customFormat="false" ht="15" hidden="false" customHeight="false" outlineLevel="0" collapsed="false">
      <c r="A1822" s="41"/>
      <c r="G1822" s="38" t="n">
        <f aca="false">MONTH(A1822)</f>
        <v>12</v>
      </c>
      <c r="H1822" s="38" t="n">
        <f aca="false">YEAR(Tabela1[[#This Row],[FECHA]])</f>
        <v>1900</v>
      </c>
      <c r="I18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23" customFormat="false" ht="15" hidden="false" customHeight="false" outlineLevel="0" collapsed="false">
      <c r="A1823" s="41"/>
      <c r="G1823" s="38" t="n">
        <f aca="false">MONTH(A1823)</f>
        <v>12</v>
      </c>
      <c r="H1823" s="38" t="n">
        <f aca="false">YEAR(Tabela1[[#This Row],[FECHA]])</f>
        <v>1900</v>
      </c>
      <c r="I18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24" customFormat="false" ht="15" hidden="false" customHeight="false" outlineLevel="0" collapsed="false">
      <c r="A1824" s="41"/>
      <c r="G1824" s="38" t="n">
        <f aca="false">MONTH(A1824)</f>
        <v>12</v>
      </c>
      <c r="H1824" s="38" t="n">
        <f aca="false">YEAR(Tabela1[[#This Row],[FECHA]])</f>
        <v>1900</v>
      </c>
      <c r="I18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25" customFormat="false" ht="15" hidden="false" customHeight="false" outlineLevel="0" collapsed="false">
      <c r="A1825" s="41"/>
      <c r="G1825" s="38" t="n">
        <f aca="false">MONTH(A1825)</f>
        <v>12</v>
      </c>
      <c r="H1825" s="38" t="n">
        <f aca="false">YEAR(Tabela1[[#This Row],[FECHA]])</f>
        <v>1900</v>
      </c>
      <c r="I18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26" customFormat="false" ht="15" hidden="false" customHeight="false" outlineLevel="0" collapsed="false">
      <c r="A1826" s="41"/>
      <c r="G1826" s="38" t="n">
        <f aca="false">MONTH(A1826)</f>
        <v>12</v>
      </c>
      <c r="H1826" s="38" t="n">
        <f aca="false">YEAR(Tabela1[[#This Row],[FECHA]])</f>
        <v>1900</v>
      </c>
      <c r="I18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27" customFormat="false" ht="15" hidden="false" customHeight="false" outlineLevel="0" collapsed="false">
      <c r="A1827" s="41"/>
      <c r="G1827" s="38" t="n">
        <f aca="false">MONTH(A1827)</f>
        <v>12</v>
      </c>
      <c r="H1827" s="38" t="n">
        <f aca="false">YEAR(Tabela1[[#This Row],[FECHA]])</f>
        <v>1900</v>
      </c>
      <c r="I18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28" customFormat="false" ht="15" hidden="false" customHeight="false" outlineLevel="0" collapsed="false">
      <c r="A1828" s="41"/>
      <c r="G1828" s="38" t="n">
        <f aca="false">MONTH(A1828)</f>
        <v>12</v>
      </c>
      <c r="H1828" s="38" t="n">
        <f aca="false">YEAR(Tabela1[[#This Row],[FECHA]])</f>
        <v>1900</v>
      </c>
      <c r="I18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29" customFormat="false" ht="15" hidden="false" customHeight="false" outlineLevel="0" collapsed="false">
      <c r="A1829" s="41"/>
      <c r="G1829" s="38" t="n">
        <f aca="false">MONTH(A1829)</f>
        <v>12</v>
      </c>
      <c r="H1829" s="38" t="n">
        <f aca="false">YEAR(Tabela1[[#This Row],[FECHA]])</f>
        <v>1900</v>
      </c>
      <c r="I18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30" customFormat="false" ht="15" hidden="false" customHeight="false" outlineLevel="0" collapsed="false">
      <c r="A1830" s="41"/>
      <c r="G1830" s="38" t="n">
        <f aca="false">MONTH(A1830)</f>
        <v>12</v>
      </c>
      <c r="H1830" s="38" t="n">
        <f aca="false">YEAR(Tabela1[[#This Row],[FECHA]])</f>
        <v>1900</v>
      </c>
      <c r="I18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31" customFormat="false" ht="15" hidden="false" customHeight="false" outlineLevel="0" collapsed="false">
      <c r="A1831" s="41"/>
      <c r="G1831" s="38" t="n">
        <f aca="false">MONTH(A1831)</f>
        <v>12</v>
      </c>
      <c r="H1831" s="38" t="n">
        <f aca="false">YEAR(Tabela1[[#This Row],[FECHA]])</f>
        <v>1900</v>
      </c>
      <c r="I18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32" customFormat="false" ht="15" hidden="false" customHeight="false" outlineLevel="0" collapsed="false">
      <c r="A1832" s="41"/>
      <c r="G1832" s="38" t="n">
        <f aca="false">MONTH(A1832)</f>
        <v>12</v>
      </c>
      <c r="H1832" s="38" t="n">
        <f aca="false">YEAR(Tabela1[[#This Row],[FECHA]])</f>
        <v>1900</v>
      </c>
      <c r="I18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33" customFormat="false" ht="15" hidden="false" customHeight="false" outlineLevel="0" collapsed="false">
      <c r="A1833" s="41"/>
      <c r="G1833" s="38" t="n">
        <f aca="false">MONTH(A1833)</f>
        <v>12</v>
      </c>
      <c r="H1833" s="38" t="n">
        <f aca="false">YEAR(Tabela1[[#This Row],[FECHA]])</f>
        <v>1900</v>
      </c>
      <c r="I18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34" customFormat="false" ht="15" hidden="false" customHeight="false" outlineLevel="0" collapsed="false">
      <c r="A1834" s="41"/>
      <c r="G1834" s="38" t="n">
        <f aca="false">MONTH(A1834)</f>
        <v>12</v>
      </c>
      <c r="H1834" s="38" t="n">
        <f aca="false">YEAR(Tabela1[[#This Row],[FECHA]])</f>
        <v>1900</v>
      </c>
      <c r="I18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35" customFormat="false" ht="15" hidden="false" customHeight="false" outlineLevel="0" collapsed="false">
      <c r="A1835" s="41"/>
      <c r="G1835" s="38" t="n">
        <f aca="false">MONTH(A1835)</f>
        <v>12</v>
      </c>
      <c r="H1835" s="38" t="n">
        <f aca="false">YEAR(Tabela1[[#This Row],[FECHA]])</f>
        <v>1900</v>
      </c>
      <c r="I18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36" customFormat="false" ht="15" hidden="false" customHeight="false" outlineLevel="0" collapsed="false">
      <c r="A1836" s="41"/>
      <c r="G1836" s="38" t="n">
        <f aca="false">MONTH(A1836)</f>
        <v>12</v>
      </c>
      <c r="H1836" s="38" t="n">
        <f aca="false">YEAR(Tabela1[[#This Row],[FECHA]])</f>
        <v>1900</v>
      </c>
      <c r="I18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37" customFormat="false" ht="15" hidden="false" customHeight="false" outlineLevel="0" collapsed="false">
      <c r="A1837" s="41"/>
      <c r="G1837" s="38" t="n">
        <f aca="false">MONTH(A1837)</f>
        <v>12</v>
      </c>
      <c r="H1837" s="38" t="n">
        <f aca="false">YEAR(Tabela1[[#This Row],[FECHA]])</f>
        <v>1900</v>
      </c>
      <c r="I18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38" customFormat="false" ht="15" hidden="false" customHeight="false" outlineLevel="0" collapsed="false">
      <c r="A1838" s="41"/>
      <c r="G1838" s="38" t="n">
        <f aca="false">MONTH(A1838)</f>
        <v>12</v>
      </c>
      <c r="H1838" s="38" t="n">
        <f aca="false">YEAR(Tabela1[[#This Row],[FECHA]])</f>
        <v>1900</v>
      </c>
      <c r="I18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39" customFormat="false" ht="15" hidden="false" customHeight="false" outlineLevel="0" collapsed="false">
      <c r="A1839" s="41"/>
      <c r="G1839" s="38" t="n">
        <f aca="false">MONTH(A1839)</f>
        <v>12</v>
      </c>
      <c r="H1839" s="38" t="n">
        <f aca="false">YEAR(Tabela1[[#This Row],[FECHA]])</f>
        <v>1900</v>
      </c>
      <c r="I18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40" customFormat="false" ht="15" hidden="false" customHeight="false" outlineLevel="0" collapsed="false">
      <c r="A1840" s="41"/>
      <c r="G1840" s="38" t="n">
        <f aca="false">MONTH(A1840)</f>
        <v>12</v>
      </c>
      <c r="H1840" s="38" t="n">
        <f aca="false">YEAR(Tabela1[[#This Row],[FECHA]])</f>
        <v>1900</v>
      </c>
      <c r="I18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41" customFormat="false" ht="15" hidden="false" customHeight="false" outlineLevel="0" collapsed="false">
      <c r="A1841" s="41"/>
      <c r="G1841" s="38" t="n">
        <f aca="false">MONTH(A1841)</f>
        <v>12</v>
      </c>
      <c r="H1841" s="38" t="n">
        <f aca="false">YEAR(Tabela1[[#This Row],[FECHA]])</f>
        <v>1900</v>
      </c>
      <c r="I18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42" customFormat="false" ht="15" hidden="false" customHeight="false" outlineLevel="0" collapsed="false">
      <c r="A1842" s="41"/>
      <c r="G1842" s="38" t="n">
        <f aca="false">MONTH(A1842)</f>
        <v>12</v>
      </c>
      <c r="H1842" s="38" t="n">
        <f aca="false">YEAR(Tabela1[[#This Row],[FECHA]])</f>
        <v>1900</v>
      </c>
      <c r="I18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43" customFormat="false" ht="15" hidden="false" customHeight="false" outlineLevel="0" collapsed="false">
      <c r="A1843" s="41"/>
      <c r="G1843" s="38" t="n">
        <f aca="false">MONTH(A1843)</f>
        <v>12</v>
      </c>
      <c r="H1843" s="38" t="n">
        <f aca="false">YEAR(Tabela1[[#This Row],[FECHA]])</f>
        <v>1900</v>
      </c>
      <c r="I18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44" customFormat="false" ht="15" hidden="false" customHeight="false" outlineLevel="0" collapsed="false">
      <c r="A1844" s="41"/>
      <c r="G1844" s="38" t="n">
        <f aca="false">MONTH(A1844)</f>
        <v>12</v>
      </c>
      <c r="H1844" s="38" t="n">
        <f aca="false">YEAR(Tabela1[[#This Row],[FECHA]])</f>
        <v>1900</v>
      </c>
      <c r="I18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45" customFormat="false" ht="15" hidden="false" customHeight="false" outlineLevel="0" collapsed="false">
      <c r="A1845" s="41"/>
      <c r="G1845" s="38" t="n">
        <f aca="false">MONTH(A1845)</f>
        <v>12</v>
      </c>
      <c r="H1845" s="38" t="n">
        <f aca="false">YEAR(Tabela1[[#This Row],[FECHA]])</f>
        <v>1900</v>
      </c>
      <c r="I18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46" customFormat="false" ht="15" hidden="false" customHeight="false" outlineLevel="0" collapsed="false">
      <c r="A1846" s="41"/>
      <c r="G1846" s="38" t="n">
        <f aca="false">MONTH(A1846)</f>
        <v>12</v>
      </c>
      <c r="H1846" s="38" t="n">
        <f aca="false">YEAR(Tabela1[[#This Row],[FECHA]])</f>
        <v>1900</v>
      </c>
      <c r="I18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47" customFormat="false" ht="15" hidden="false" customHeight="false" outlineLevel="0" collapsed="false">
      <c r="A1847" s="41"/>
      <c r="G1847" s="38" t="n">
        <f aca="false">MONTH(A1847)</f>
        <v>12</v>
      </c>
      <c r="H1847" s="38" t="n">
        <f aca="false">YEAR(Tabela1[[#This Row],[FECHA]])</f>
        <v>1900</v>
      </c>
      <c r="I18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48" customFormat="false" ht="15" hidden="false" customHeight="false" outlineLevel="0" collapsed="false">
      <c r="A1848" s="41"/>
      <c r="G1848" s="38" t="n">
        <f aca="false">MONTH(A1848)</f>
        <v>12</v>
      </c>
      <c r="H1848" s="38" t="n">
        <f aca="false">YEAR(Tabela1[[#This Row],[FECHA]])</f>
        <v>1900</v>
      </c>
      <c r="I18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49" customFormat="false" ht="15" hidden="false" customHeight="false" outlineLevel="0" collapsed="false">
      <c r="A1849" s="41"/>
      <c r="G1849" s="38" t="n">
        <f aca="false">MONTH(A1849)</f>
        <v>12</v>
      </c>
      <c r="H1849" s="38" t="n">
        <f aca="false">YEAR(Tabela1[[#This Row],[FECHA]])</f>
        <v>1900</v>
      </c>
      <c r="I18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50" customFormat="false" ht="15" hidden="false" customHeight="false" outlineLevel="0" collapsed="false">
      <c r="A1850" s="41"/>
      <c r="G1850" s="38" t="n">
        <f aca="false">MONTH(A1850)</f>
        <v>12</v>
      </c>
      <c r="H1850" s="38" t="n">
        <f aca="false">YEAR(Tabela1[[#This Row],[FECHA]])</f>
        <v>1900</v>
      </c>
      <c r="I18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51" customFormat="false" ht="15" hidden="false" customHeight="false" outlineLevel="0" collapsed="false">
      <c r="A1851" s="41"/>
      <c r="G1851" s="38" t="n">
        <f aca="false">MONTH(A1851)</f>
        <v>12</v>
      </c>
      <c r="H1851" s="38" t="n">
        <f aca="false">YEAR(Tabela1[[#This Row],[FECHA]])</f>
        <v>1900</v>
      </c>
      <c r="I18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52" customFormat="false" ht="15" hidden="false" customHeight="false" outlineLevel="0" collapsed="false">
      <c r="A1852" s="41"/>
      <c r="G1852" s="38" t="n">
        <f aca="false">MONTH(A1852)</f>
        <v>12</v>
      </c>
      <c r="H1852" s="38" t="n">
        <f aca="false">YEAR(Tabela1[[#This Row],[FECHA]])</f>
        <v>1900</v>
      </c>
      <c r="I18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53" customFormat="false" ht="15" hidden="false" customHeight="false" outlineLevel="0" collapsed="false">
      <c r="A1853" s="41"/>
      <c r="G1853" s="38" t="n">
        <f aca="false">MONTH(A1853)</f>
        <v>12</v>
      </c>
      <c r="H1853" s="38" t="n">
        <f aca="false">YEAR(Tabela1[[#This Row],[FECHA]])</f>
        <v>1900</v>
      </c>
      <c r="I18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54" customFormat="false" ht="15" hidden="false" customHeight="false" outlineLevel="0" collapsed="false">
      <c r="A1854" s="41"/>
      <c r="G1854" s="38" t="n">
        <f aca="false">MONTH(A1854)</f>
        <v>12</v>
      </c>
      <c r="H1854" s="38" t="n">
        <f aca="false">YEAR(Tabela1[[#This Row],[FECHA]])</f>
        <v>1900</v>
      </c>
      <c r="I18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55" customFormat="false" ht="15" hidden="false" customHeight="false" outlineLevel="0" collapsed="false">
      <c r="A1855" s="41"/>
      <c r="G1855" s="38" t="n">
        <f aca="false">MONTH(A1855)</f>
        <v>12</v>
      </c>
      <c r="H1855" s="38" t="n">
        <f aca="false">YEAR(Tabela1[[#This Row],[FECHA]])</f>
        <v>1900</v>
      </c>
      <c r="I18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56" customFormat="false" ht="15" hidden="false" customHeight="false" outlineLevel="0" collapsed="false">
      <c r="A1856" s="41"/>
      <c r="G1856" s="38" t="n">
        <f aca="false">MONTH(A1856)</f>
        <v>12</v>
      </c>
      <c r="H1856" s="38" t="n">
        <f aca="false">YEAR(Tabela1[[#This Row],[FECHA]])</f>
        <v>1900</v>
      </c>
      <c r="I18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57" customFormat="false" ht="15" hidden="false" customHeight="false" outlineLevel="0" collapsed="false">
      <c r="A1857" s="41"/>
      <c r="G1857" s="38" t="n">
        <f aca="false">MONTH(A1857)</f>
        <v>12</v>
      </c>
      <c r="H1857" s="38" t="n">
        <f aca="false">YEAR(Tabela1[[#This Row],[FECHA]])</f>
        <v>1900</v>
      </c>
      <c r="I18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58" customFormat="false" ht="15" hidden="false" customHeight="false" outlineLevel="0" collapsed="false">
      <c r="A1858" s="41"/>
      <c r="G1858" s="38" t="n">
        <f aca="false">MONTH(A1858)</f>
        <v>12</v>
      </c>
      <c r="H1858" s="38" t="n">
        <f aca="false">YEAR(Tabela1[[#This Row],[FECHA]])</f>
        <v>1900</v>
      </c>
      <c r="I18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59" customFormat="false" ht="15" hidden="false" customHeight="false" outlineLevel="0" collapsed="false">
      <c r="A1859" s="41"/>
      <c r="G1859" s="38" t="n">
        <f aca="false">MONTH(A1859)</f>
        <v>12</v>
      </c>
      <c r="H1859" s="38" t="n">
        <f aca="false">YEAR(Tabela1[[#This Row],[FECHA]])</f>
        <v>1900</v>
      </c>
      <c r="I18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60" customFormat="false" ht="15" hidden="false" customHeight="false" outlineLevel="0" collapsed="false">
      <c r="A1860" s="41"/>
      <c r="G1860" s="38" t="n">
        <f aca="false">MONTH(A1860)</f>
        <v>12</v>
      </c>
      <c r="H1860" s="38" t="n">
        <f aca="false">YEAR(Tabela1[[#This Row],[FECHA]])</f>
        <v>1900</v>
      </c>
      <c r="I18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61" customFormat="false" ht="15" hidden="false" customHeight="false" outlineLevel="0" collapsed="false">
      <c r="A1861" s="41"/>
      <c r="G1861" s="38" t="n">
        <f aca="false">MONTH(A1861)</f>
        <v>12</v>
      </c>
      <c r="H1861" s="38" t="n">
        <f aca="false">YEAR(Tabela1[[#This Row],[FECHA]])</f>
        <v>1900</v>
      </c>
      <c r="I18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62" customFormat="false" ht="15" hidden="false" customHeight="false" outlineLevel="0" collapsed="false">
      <c r="A1862" s="41"/>
      <c r="G1862" s="38" t="n">
        <f aca="false">MONTH(A1862)</f>
        <v>12</v>
      </c>
      <c r="H1862" s="38" t="n">
        <f aca="false">YEAR(Tabela1[[#This Row],[FECHA]])</f>
        <v>1900</v>
      </c>
      <c r="I18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63" customFormat="false" ht="15" hidden="false" customHeight="false" outlineLevel="0" collapsed="false">
      <c r="A1863" s="41"/>
      <c r="G1863" s="38" t="n">
        <f aca="false">MONTH(A1863)</f>
        <v>12</v>
      </c>
      <c r="H1863" s="38" t="n">
        <f aca="false">YEAR(Tabela1[[#This Row],[FECHA]])</f>
        <v>1900</v>
      </c>
      <c r="I18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64" customFormat="false" ht="15" hidden="false" customHeight="false" outlineLevel="0" collapsed="false">
      <c r="A1864" s="41"/>
      <c r="G1864" s="38" t="n">
        <f aca="false">MONTH(A1864)</f>
        <v>12</v>
      </c>
      <c r="H1864" s="38" t="n">
        <f aca="false">YEAR(Tabela1[[#This Row],[FECHA]])</f>
        <v>1900</v>
      </c>
      <c r="I18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65" customFormat="false" ht="15" hidden="false" customHeight="false" outlineLevel="0" collapsed="false">
      <c r="A1865" s="41"/>
      <c r="G1865" s="38" t="n">
        <f aca="false">MONTH(A1865)</f>
        <v>12</v>
      </c>
      <c r="H1865" s="38" t="n">
        <f aca="false">YEAR(Tabela1[[#This Row],[FECHA]])</f>
        <v>1900</v>
      </c>
      <c r="I18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66" customFormat="false" ht="15" hidden="false" customHeight="false" outlineLevel="0" collapsed="false">
      <c r="A1866" s="41"/>
      <c r="G1866" s="38" t="n">
        <f aca="false">MONTH(A1866)</f>
        <v>12</v>
      </c>
      <c r="H1866" s="38" t="n">
        <f aca="false">YEAR(Tabela1[[#This Row],[FECHA]])</f>
        <v>1900</v>
      </c>
      <c r="I18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67" customFormat="false" ht="15" hidden="false" customHeight="false" outlineLevel="0" collapsed="false">
      <c r="A1867" s="41"/>
      <c r="G1867" s="38" t="n">
        <f aca="false">MONTH(A1867)</f>
        <v>12</v>
      </c>
      <c r="H1867" s="38" t="n">
        <f aca="false">YEAR(Tabela1[[#This Row],[FECHA]])</f>
        <v>1900</v>
      </c>
      <c r="I18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68" customFormat="false" ht="15" hidden="false" customHeight="false" outlineLevel="0" collapsed="false">
      <c r="A1868" s="41"/>
      <c r="G1868" s="38" t="n">
        <f aca="false">MONTH(A1868)</f>
        <v>12</v>
      </c>
      <c r="H1868" s="38" t="n">
        <f aca="false">YEAR(Tabela1[[#This Row],[FECHA]])</f>
        <v>1900</v>
      </c>
      <c r="I18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69" customFormat="false" ht="15" hidden="false" customHeight="false" outlineLevel="0" collapsed="false">
      <c r="A1869" s="41"/>
      <c r="G1869" s="38" t="n">
        <f aca="false">MONTH(A1869)</f>
        <v>12</v>
      </c>
      <c r="H1869" s="38" t="n">
        <f aca="false">YEAR(Tabela1[[#This Row],[FECHA]])</f>
        <v>1900</v>
      </c>
      <c r="I18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70" customFormat="false" ht="15" hidden="false" customHeight="false" outlineLevel="0" collapsed="false">
      <c r="A1870" s="41"/>
      <c r="G1870" s="38" t="n">
        <f aca="false">MONTH(A1870)</f>
        <v>12</v>
      </c>
      <c r="H1870" s="38" t="n">
        <f aca="false">YEAR(Tabela1[[#This Row],[FECHA]])</f>
        <v>1900</v>
      </c>
      <c r="I18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71" customFormat="false" ht="15" hidden="false" customHeight="false" outlineLevel="0" collapsed="false">
      <c r="A1871" s="41"/>
      <c r="G1871" s="38" t="n">
        <f aca="false">MONTH(A1871)</f>
        <v>12</v>
      </c>
      <c r="H1871" s="38" t="n">
        <f aca="false">YEAR(Tabela1[[#This Row],[FECHA]])</f>
        <v>1900</v>
      </c>
      <c r="I18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72" customFormat="false" ht="15" hidden="false" customHeight="false" outlineLevel="0" collapsed="false">
      <c r="A1872" s="41"/>
      <c r="G1872" s="38" t="n">
        <f aca="false">MONTH(A1872)</f>
        <v>12</v>
      </c>
      <c r="H1872" s="38" t="n">
        <f aca="false">YEAR(Tabela1[[#This Row],[FECHA]])</f>
        <v>1900</v>
      </c>
      <c r="I18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73" customFormat="false" ht="15" hidden="false" customHeight="false" outlineLevel="0" collapsed="false">
      <c r="A1873" s="41"/>
      <c r="G1873" s="38" t="n">
        <f aca="false">MONTH(A1873)</f>
        <v>12</v>
      </c>
      <c r="H1873" s="38" t="n">
        <f aca="false">YEAR(Tabela1[[#This Row],[FECHA]])</f>
        <v>1900</v>
      </c>
      <c r="I18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74" customFormat="false" ht="15" hidden="false" customHeight="false" outlineLevel="0" collapsed="false">
      <c r="A1874" s="41"/>
      <c r="G1874" s="38" t="n">
        <f aca="false">MONTH(A1874)</f>
        <v>12</v>
      </c>
      <c r="H1874" s="38" t="n">
        <f aca="false">YEAR(Tabela1[[#This Row],[FECHA]])</f>
        <v>1900</v>
      </c>
      <c r="I18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75" customFormat="false" ht="15" hidden="false" customHeight="false" outlineLevel="0" collapsed="false">
      <c r="A1875" s="41"/>
      <c r="G1875" s="38" t="n">
        <f aca="false">MONTH(A1875)</f>
        <v>12</v>
      </c>
      <c r="H1875" s="38" t="n">
        <f aca="false">YEAR(Tabela1[[#This Row],[FECHA]])</f>
        <v>1900</v>
      </c>
      <c r="I18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76" customFormat="false" ht="15" hidden="false" customHeight="false" outlineLevel="0" collapsed="false">
      <c r="A1876" s="41"/>
      <c r="G1876" s="38" t="n">
        <f aca="false">MONTH(A1876)</f>
        <v>12</v>
      </c>
      <c r="H1876" s="38" t="n">
        <f aca="false">YEAR(Tabela1[[#This Row],[FECHA]])</f>
        <v>1900</v>
      </c>
      <c r="I18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77" customFormat="false" ht="15" hidden="false" customHeight="false" outlineLevel="0" collapsed="false">
      <c r="A1877" s="41"/>
      <c r="G1877" s="38" t="n">
        <f aca="false">MONTH(A1877)</f>
        <v>12</v>
      </c>
      <c r="H1877" s="38" t="n">
        <f aca="false">YEAR(Tabela1[[#This Row],[FECHA]])</f>
        <v>1900</v>
      </c>
      <c r="I18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78" customFormat="false" ht="15" hidden="false" customHeight="false" outlineLevel="0" collapsed="false">
      <c r="A1878" s="41"/>
      <c r="G1878" s="38" t="n">
        <f aca="false">MONTH(A1878)</f>
        <v>12</v>
      </c>
      <c r="H1878" s="38" t="n">
        <f aca="false">YEAR(Tabela1[[#This Row],[FECHA]])</f>
        <v>1900</v>
      </c>
      <c r="I18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79" customFormat="false" ht="15" hidden="false" customHeight="false" outlineLevel="0" collapsed="false">
      <c r="A1879" s="41"/>
      <c r="G1879" s="38" t="n">
        <f aca="false">MONTH(A1879)</f>
        <v>12</v>
      </c>
      <c r="H1879" s="38" t="n">
        <f aca="false">YEAR(Tabela1[[#This Row],[FECHA]])</f>
        <v>1900</v>
      </c>
      <c r="I18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80" customFormat="false" ht="15" hidden="false" customHeight="false" outlineLevel="0" collapsed="false">
      <c r="A1880" s="41"/>
      <c r="G1880" s="38" t="n">
        <f aca="false">MONTH(A1880)</f>
        <v>12</v>
      </c>
      <c r="H1880" s="38" t="n">
        <f aca="false">YEAR(Tabela1[[#This Row],[FECHA]])</f>
        <v>1900</v>
      </c>
      <c r="I18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81" customFormat="false" ht="15" hidden="false" customHeight="false" outlineLevel="0" collapsed="false">
      <c r="A1881" s="41"/>
      <c r="G1881" s="38" t="n">
        <f aca="false">MONTH(A1881)</f>
        <v>12</v>
      </c>
      <c r="H1881" s="38" t="n">
        <f aca="false">YEAR(Tabela1[[#This Row],[FECHA]])</f>
        <v>1900</v>
      </c>
      <c r="I18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82" customFormat="false" ht="15" hidden="false" customHeight="false" outlineLevel="0" collapsed="false">
      <c r="A1882" s="41"/>
      <c r="G1882" s="38" t="n">
        <f aca="false">MONTH(A1882)</f>
        <v>12</v>
      </c>
      <c r="H1882" s="38" t="n">
        <f aca="false">YEAR(Tabela1[[#This Row],[FECHA]])</f>
        <v>1900</v>
      </c>
      <c r="I18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83" customFormat="false" ht="15" hidden="false" customHeight="false" outlineLevel="0" collapsed="false">
      <c r="A1883" s="41"/>
      <c r="G1883" s="38" t="n">
        <f aca="false">MONTH(A1883)</f>
        <v>12</v>
      </c>
      <c r="H1883" s="38" t="n">
        <f aca="false">YEAR(Tabela1[[#This Row],[FECHA]])</f>
        <v>1900</v>
      </c>
      <c r="I18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84" customFormat="false" ht="15" hidden="false" customHeight="false" outlineLevel="0" collapsed="false">
      <c r="A1884" s="41"/>
      <c r="G1884" s="38" t="n">
        <f aca="false">MONTH(A1884)</f>
        <v>12</v>
      </c>
      <c r="H1884" s="38" t="n">
        <f aca="false">YEAR(Tabela1[[#This Row],[FECHA]])</f>
        <v>1900</v>
      </c>
      <c r="I18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85" customFormat="false" ht="15" hidden="false" customHeight="false" outlineLevel="0" collapsed="false">
      <c r="A1885" s="41"/>
      <c r="G1885" s="38" t="n">
        <f aca="false">MONTH(A1885)</f>
        <v>12</v>
      </c>
      <c r="H1885" s="38" t="n">
        <f aca="false">YEAR(Tabela1[[#This Row],[FECHA]])</f>
        <v>1900</v>
      </c>
      <c r="I18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86" customFormat="false" ht="15" hidden="false" customHeight="false" outlineLevel="0" collapsed="false">
      <c r="A1886" s="41"/>
      <c r="G1886" s="38" t="n">
        <f aca="false">MONTH(A1886)</f>
        <v>12</v>
      </c>
      <c r="H1886" s="38" t="n">
        <f aca="false">YEAR(Tabela1[[#This Row],[FECHA]])</f>
        <v>1900</v>
      </c>
      <c r="I18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87" customFormat="false" ht="15" hidden="false" customHeight="false" outlineLevel="0" collapsed="false">
      <c r="A1887" s="41"/>
      <c r="G1887" s="38" t="n">
        <f aca="false">MONTH(A1887)</f>
        <v>12</v>
      </c>
      <c r="H1887" s="38" t="n">
        <f aca="false">YEAR(Tabela1[[#This Row],[FECHA]])</f>
        <v>1900</v>
      </c>
      <c r="I18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88" customFormat="false" ht="15" hidden="false" customHeight="false" outlineLevel="0" collapsed="false">
      <c r="A1888" s="41"/>
      <c r="G1888" s="38" t="n">
        <f aca="false">MONTH(A1888)</f>
        <v>12</v>
      </c>
      <c r="H1888" s="38" t="n">
        <f aca="false">YEAR(Tabela1[[#This Row],[FECHA]])</f>
        <v>1900</v>
      </c>
      <c r="I18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89" customFormat="false" ht="15" hidden="false" customHeight="false" outlineLevel="0" collapsed="false">
      <c r="A1889" s="41"/>
      <c r="G1889" s="38" t="n">
        <f aca="false">MONTH(A1889)</f>
        <v>12</v>
      </c>
      <c r="H1889" s="38" t="n">
        <f aca="false">YEAR(Tabela1[[#This Row],[FECHA]])</f>
        <v>1900</v>
      </c>
      <c r="I18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90" customFormat="false" ht="15" hidden="false" customHeight="false" outlineLevel="0" collapsed="false">
      <c r="A1890" s="41"/>
      <c r="G1890" s="38" t="n">
        <f aca="false">MONTH(A1890)</f>
        <v>12</v>
      </c>
      <c r="H1890" s="38" t="n">
        <f aca="false">YEAR(Tabela1[[#This Row],[FECHA]])</f>
        <v>1900</v>
      </c>
      <c r="I18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91" customFormat="false" ht="15" hidden="false" customHeight="false" outlineLevel="0" collapsed="false">
      <c r="A1891" s="41"/>
      <c r="G1891" s="38" t="n">
        <f aca="false">MONTH(A1891)</f>
        <v>12</v>
      </c>
      <c r="H1891" s="38" t="n">
        <f aca="false">YEAR(Tabela1[[#This Row],[FECHA]])</f>
        <v>1900</v>
      </c>
      <c r="I18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92" customFormat="false" ht="15" hidden="false" customHeight="false" outlineLevel="0" collapsed="false">
      <c r="A1892" s="41"/>
      <c r="G1892" s="38" t="n">
        <f aca="false">MONTH(A1892)</f>
        <v>12</v>
      </c>
      <c r="H1892" s="38" t="n">
        <f aca="false">YEAR(Tabela1[[#This Row],[FECHA]])</f>
        <v>1900</v>
      </c>
      <c r="I18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93" customFormat="false" ht="15" hidden="false" customHeight="false" outlineLevel="0" collapsed="false">
      <c r="A1893" s="41"/>
      <c r="G1893" s="38" t="n">
        <f aca="false">MONTH(A1893)</f>
        <v>12</v>
      </c>
      <c r="H1893" s="38" t="n">
        <f aca="false">YEAR(Tabela1[[#This Row],[FECHA]])</f>
        <v>1900</v>
      </c>
      <c r="I18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94" customFormat="false" ht="15" hidden="false" customHeight="false" outlineLevel="0" collapsed="false">
      <c r="A1894" s="41"/>
      <c r="G1894" s="38" t="n">
        <f aca="false">MONTH(A1894)</f>
        <v>12</v>
      </c>
      <c r="H1894" s="38" t="n">
        <f aca="false">YEAR(Tabela1[[#This Row],[FECHA]])</f>
        <v>1900</v>
      </c>
      <c r="I18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95" customFormat="false" ht="15" hidden="false" customHeight="false" outlineLevel="0" collapsed="false">
      <c r="A1895" s="41"/>
      <c r="G1895" s="38" t="n">
        <f aca="false">MONTH(A1895)</f>
        <v>12</v>
      </c>
      <c r="H1895" s="38" t="n">
        <f aca="false">YEAR(Tabela1[[#This Row],[FECHA]])</f>
        <v>1900</v>
      </c>
      <c r="I18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96" customFormat="false" ht="15" hidden="false" customHeight="false" outlineLevel="0" collapsed="false">
      <c r="A1896" s="41"/>
      <c r="G1896" s="38" t="n">
        <f aca="false">MONTH(A1896)</f>
        <v>12</v>
      </c>
      <c r="H1896" s="38" t="n">
        <f aca="false">YEAR(Tabela1[[#This Row],[FECHA]])</f>
        <v>1900</v>
      </c>
      <c r="I18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97" customFormat="false" ht="15" hidden="false" customHeight="false" outlineLevel="0" collapsed="false">
      <c r="A1897" s="41"/>
      <c r="G1897" s="38" t="n">
        <f aca="false">MONTH(A1897)</f>
        <v>12</v>
      </c>
      <c r="H1897" s="38" t="n">
        <f aca="false">YEAR(Tabela1[[#This Row],[FECHA]])</f>
        <v>1900</v>
      </c>
      <c r="I18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98" customFormat="false" ht="15" hidden="false" customHeight="false" outlineLevel="0" collapsed="false">
      <c r="A1898" s="41"/>
      <c r="G1898" s="38" t="n">
        <f aca="false">MONTH(A1898)</f>
        <v>12</v>
      </c>
      <c r="H1898" s="38" t="n">
        <f aca="false">YEAR(Tabela1[[#This Row],[FECHA]])</f>
        <v>1900</v>
      </c>
      <c r="I18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899" customFormat="false" ht="15" hidden="false" customHeight="false" outlineLevel="0" collapsed="false">
      <c r="A1899" s="41"/>
      <c r="G1899" s="38" t="n">
        <f aca="false">MONTH(A1899)</f>
        <v>12</v>
      </c>
      <c r="H1899" s="38" t="n">
        <f aca="false">YEAR(Tabela1[[#This Row],[FECHA]])</f>
        <v>1900</v>
      </c>
      <c r="I18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00" customFormat="false" ht="15" hidden="false" customHeight="false" outlineLevel="0" collapsed="false">
      <c r="A1900" s="41"/>
      <c r="G1900" s="38" t="n">
        <f aca="false">MONTH(A1900)</f>
        <v>12</v>
      </c>
      <c r="H1900" s="38" t="n">
        <f aca="false">YEAR(Tabela1[[#This Row],[FECHA]])</f>
        <v>1900</v>
      </c>
      <c r="I19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01" customFormat="false" ht="15" hidden="false" customHeight="false" outlineLevel="0" collapsed="false">
      <c r="A1901" s="41"/>
      <c r="G1901" s="38" t="n">
        <f aca="false">MONTH(A1901)</f>
        <v>12</v>
      </c>
      <c r="H1901" s="38" t="n">
        <f aca="false">YEAR(Tabela1[[#This Row],[FECHA]])</f>
        <v>1900</v>
      </c>
      <c r="I19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02" customFormat="false" ht="15" hidden="false" customHeight="false" outlineLevel="0" collapsed="false">
      <c r="A1902" s="41"/>
      <c r="G1902" s="38" t="n">
        <f aca="false">MONTH(A1902)</f>
        <v>12</v>
      </c>
      <c r="H1902" s="38" t="n">
        <f aca="false">YEAR(Tabela1[[#This Row],[FECHA]])</f>
        <v>1900</v>
      </c>
      <c r="I19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03" customFormat="false" ht="15" hidden="false" customHeight="false" outlineLevel="0" collapsed="false">
      <c r="A1903" s="41"/>
      <c r="G1903" s="38" t="n">
        <f aca="false">MONTH(A1903)</f>
        <v>12</v>
      </c>
      <c r="H1903" s="38" t="n">
        <f aca="false">YEAR(Tabela1[[#This Row],[FECHA]])</f>
        <v>1900</v>
      </c>
      <c r="I19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04" customFormat="false" ht="15" hidden="false" customHeight="false" outlineLevel="0" collapsed="false">
      <c r="A1904" s="41"/>
      <c r="G1904" s="38" t="n">
        <f aca="false">MONTH(A1904)</f>
        <v>12</v>
      </c>
      <c r="H1904" s="38" t="n">
        <f aca="false">YEAR(Tabela1[[#This Row],[FECHA]])</f>
        <v>1900</v>
      </c>
      <c r="I19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05" customFormat="false" ht="15" hidden="false" customHeight="false" outlineLevel="0" collapsed="false">
      <c r="A1905" s="41"/>
      <c r="G1905" s="38" t="n">
        <f aca="false">MONTH(A1905)</f>
        <v>12</v>
      </c>
      <c r="H1905" s="38" t="n">
        <f aca="false">YEAR(Tabela1[[#This Row],[FECHA]])</f>
        <v>1900</v>
      </c>
      <c r="I19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06" customFormat="false" ht="15" hidden="false" customHeight="false" outlineLevel="0" collapsed="false">
      <c r="A1906" s="41"/>
      <c r="G1906" s="38" t="n">
        <f aca="false">MONTH(A1906)</f>
        <v>12</v>
      </c>
      <c r="H1906" s="38" t="n">
        <f aca="false">YEAR(Tabela1[[#This Row],[FECHA]])</f>
        <v>1900</v>
      </c>
      <c r="I19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07" customFormat="false" ht="15" hidden="false" customHeight="false" outlineLevel="0" collapsed="false">
      <c r="A1907" s="41"/>
      <c r="G1907" s="38" t="n">
        <f aca="false">MONTH(A1907)</f>
        <v>12</v>
      </c>
      <c r="H1907" s="38" t="n">
        <f aca="false">YEAR(Tabela1[[#This Row],[FECHA]])</f>
        <v>1900</v>
      </c>
      <c r="I19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08" customFormat="false" ht="15" hidden="false" customHeight="false" outlineLevel="0" collapsed="false">
      <c r="A1908" s="41"/>
      <c r="G1908" s="38" t="n">
        <f aca="false">MONTH(A1908)</f>
        <v>12</v>
      </c>
      <c r="H1908" s="38" t="n">
        <f aca="false">YEAR(Tabela1[[#This Row],[FECHA]])</f>
        <v>1900</v>
      </c>
      <c r="I19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09" customFormat="false" ht="15" hidden="false" customHeight="false" outlineLevel="0" collapsed="false">
      <c r="A1909" s="41"/>
      <c r="G1909" s="38" t="n">
        <f aca="false">MONTH(A1909)</f>
        <v>12</v>
      </c>
      <c r="H1909" s="38" t="n">
        <f aca="false">YEAR(Tabela1[[#This Row],[FECHA]])</f>
        <v>1900</v>
      </c>
      <c r="I19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10" customFormat="false" ht="15" hidden="false" customHeight="false" outlineLevel="0" collapsed="false">
      <c r="A1910" s="41"/>
      <c r="G1910" s="38" t="n">
        <f aca="false">MONTH(A1910)</f>
        <v>12</v>
      </c>
      <c r="H1910" s="38" t="n">
        <f aca="false">YEAR(Tabela1[[#This Row],[FECHA]])</f>
        <v>1900</v>
      </c>
      <c r="I19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11" customFormat="false" ht="15" hidden="false" customHeight="false" outlineLevel="0" collapsed="false">
      <c r="A1911" s="41"/>
      <c r="G1911" s="38" t="n">
        <f aca="false">MONTH(A1911)</f>
        <v>12</v>
      </c>
      <c r="H1911" s="38" t="n">
        <f aca="false">YEAR(Tabela1[[#This Row],[FECHA]])</f>
        <v>1900</v>
      </c>
      <c r="I19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12" customFormat="false" ht="15" hidden="false" customHeight="false" outlineLevel="0" collapsed="false">
      <c r="A1912" s="41"/>
      <c r="G1912" s="38" t="n">
        <f aca="false">MONTH(A1912)</f>
        <v>12</v>
      </c>
      <c r="H1912" s="38" t="n">
        <f aca="false">YEAR(Tabela1[[#This Row],[FECHA]])</f>
        <v>1900</v>
      </c>
      <c r="I19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13" customFormat="false" ht="15" hidden="false" customHeight="false" outlineLevel="0" collapsed="false">
      <c r="A1913" s="41"/>
      <c r="G1913" s="38" t="n">
        <f aca="false">MONTH(A1913)</f>
        <v>12</v>
      </c>
      <c r="H1913" s="38" t="n">
        <f aca="false">YEAR(Tabela1[[#This Row],[FECHA]])</f>
        <v>1900</v>
      </c>
      <c r="I19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14" customFormat="false" ht="15" hidden="false" customHeight="false" outlineLevel="0" collapsed="false">
      <c r="A1914" s="41"/>
      <c r="G1914" s="38" t="n">
        <f aca="false">MONTH(A1914)</f>
        <v>12</v>
      </c>
      <c r="H1914" s="38" t="n">
        <f aca="false">YEAR(Tabela1[[#This Row],[FECHA]])</f>
        <v>1900</v>
      </c>
      <c r="I19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15" customFormat="false" ht="15" hidden="false" customHeight="false" outlineLevel="0" collapsed="false">
      <c r="A1915" s="41"/>
      <c r="G1915" s="38" t="n">
        <f aca="false">MONTH(A1915)</f>
        <v>12</v>
      </c>
      <c r="H1915" s="38" t="n">
        <f aca="false">YEAR(Tabela1[[#This Row],[FECHA]])</f>
        <v>1900</v>
      </c>
      <c r="I19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16" customFormat="false" ht="15" hidden="false" customHeight="false" outlineLevel="0" collapsed="false">
      <c r="A1916" s="41"/>
      <c r="G1916" s="38" t="n">
        <f aca="false">MONTH(A1916)</f>
        <v>12</v>
      </c>
      <c r="H1916" s="38" t="n">
        <f aca="false">YEAR(Tabela1[[#This Row],[FECHA]])</f>
        <v>1900</v>
      </c>
      <c r="I19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17" customFormat="false" ht="15" hidden="false" customHeight="false" outlineLevel="0" collapsed="false">
      <c r="A1917" s="41"/>
      <c r="G1917" s="38" t="n">
        <f aca="false">MONTH(A1917)</f>
        <v>12</v>
      </c>
      <c r="H1917" s="38" t="n">
        <f aca="false">YEAR(Tabela1[[#This Row],[FECHA]])</f>
        <v>1900</v>
      </c>
      <c r="I19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18" customFormat="false" ht="15" hidden="false" customHeight="false" outlineLevel="0" collapsed="false">
      <c r="A1918" s="41"/>
      <c r="G1918" s="38" t="n">
        <f aca="false">MONTH(A1918)</f>
        <v>12</v>
      </c>
      <c r="H1918" s="38" t="n">
        <f aca="false">YEAR(Tabela1[[#This Row],[FECHA]])</f>
        <v>1900</v>
      </c>
      <c r="I19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19" customFormat="false" ht="15" hidden="false" customHeight="false" outlineLevel="0" collapsed="false">
      <c r="A1919" s="41"/>
      <c r="G1919" s="38" t="n">
        <f aca="false">MONTH(A1919)</f>
        <v>12</v>
      </c>
      <c r="H1919" s="38" t="n">
        <f aca="false">YEAR(Tabela1[[#This Row],[FECHA]])</f>
        <v>1900</v>
      </c>
      <c r="I19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20" customFormat="false" ht="15" hidden="false" customHeight="false" outlineLevel="0" collapsed="false">
      <c r="A1920" s="41"/>
      <c r="G1920" s="38" t="n">
        <f aca="false">MONTH(A1920)</f>
        <v>12</v>
      </c>
      <c r="H1920" s="38" t="n">
        <f aca="false">YEAR(Tabela1[[#This Row],[FECHA]])</f>
        <v>1900</v>
      </c>
      <c r="I19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21" customFormat="false" ht="15" hidden="false" customHeight="false" outlineLevel="0" collapsed="false">
      <c r="A1921" s="41"/>
      <c r="G1921" s="38" t="n">
        <f aca="false">MONTH(A1921)</f>
        <v>12</v>
      </c>
      <c r="H1921" s="38" t="n">
        <f aca="false">YEAR(Tabela1[[#This Row],[FECHA]])</f>
        <v>1900</v>
      </c>
      <c r="I19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22" customFormat="false" ht="15" hidden="false" customHeight="false" outlineLevel="0" collapsed="false">
      <c r="A1922" s="41"/>
      <c r="G1922" s="38" t="n">
        <f aca="false">MONTH(A1922)</f>
        <v>12</v>
      </c>
      <c r="H1922" s="38" t="n">
        <f aca="false">YEAR(Tabela1[[#This Row],[FECHA]])</f>
        <v>1900</v>
      </c>
      <c r="I19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23" customFormat="false" ht="15" hidden="false" customHeight="false" outlineLevel="0" collapsed="false">
      <c r="A1923" s="41"/>
      <c r="G1923" s="38" t="n">
        <f aca="false">MONTH(A1923)</f>
        <v>12</v>
      </c>
      <c r="H1923" s="38" t="n">
        <f aca="false">YEAR(Tabela1[[#This Row],[FECHA]])</f>
        <v>1900</v>
      </c>
      <c r="I19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24" customFormat="false" ht="15" hidden="false" customHeight="false" outlineLevel="0" collapsed="false">
      <c r="A1924" s="41"/>
      <c r="G1924" s="38" t="n">
        <f aca="false">MONTH(A1924)</f>
        <v>12</v>
      </c>
      <c r="H1924" s="38" t="n">
        <f aca="false">YEAR(Tabela1[[#This Row],[FECHA]])</f>
        <v>1900</v>
      </c>
      <c r="I19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25" customFormat="false" ht="15" hidden="false" customHeight="false" outlineLevel="0" collapsed="false">
      <c r="A1925" s="41"/>
      <c r="G1925" s="38" t="n">
        <f aca="false">MONTH(A1925)</f>
        <v>12</v>
      </c>
      <c r="H1925" s="38" t="n">
        <f aca="false">YEAR(Tabela1[[#This Row],[FECHA]])</f>
        <v>1900</v>
      </c>
      <c r="I19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26" customFormat="false" ht="15" hidden="false" customHeight="false" outlineLevel="0" collapsed="false">
      <c r="A1926" s="41"/>
      <c r="G1926" s="38" t="n">
        <f aca="false">MONTH(A1926)</f>
        <v>12</v>
      </c>
      <c r="H1926" s="38" t="n">
        <f aca="false">YEAR(Tabela1[[#This Row],[FECHA]])</f>
        <v>1900</v>
      </c>
      <c r="I19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27" customFormat="false" ht="15" hidden="false" customHeight="false" outlineLevel="0" collapsed="false">
      <c r="A1927" s="41"/>
      <c r="G1927" s="38" t="n">
        <f aca="false">MONTH(A1927)</f>
        <v>12</v>
      </c>
      <c r="H1927" s="38" t="n">
        <f aca="false">YEAR(Tabela1[[#This Row],[FECHA]])</f>
        <v>1900</v>
      </c>
      <c r="I19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28" customFormat="false" ht="15" hidden="false" customHeight="false" outlineLevel="0" collapsed="false">
      <c r="A1928" s="41"/>
      <c r="G1928" s="38" t="n">
        <f aca="false">MONTH(A1928)</f>
        <v>12</v>
      </c>
      <c r="H1928" s="38" t="n">
        <f aca="false">YEAR(Tabela1[[#This Row],[FECHA]])</f>
        <v>1900</v>
      </c>
      <c r="I19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29" customFormat="false" ht="15" hidden="false" customHeight="false" outlineLevel="0" collapsed="false">
      <c r="A1929" s="41"/>
      <c r="G1929" s="38" t="n">
        <f aca="false">MONTH(A1929)</f>
        <v>12</v>
      </c>
      <c r="H1929" s="38" t="n">
        <f aca="false">YEAR(Tabela1[[#This Row],[FECHA]])</f>
        <v>1900</v>
      </c>
      <c r="I19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30" customFormat="false" ht="15" hidden="false" customHeight="false" outlineLevel="0" collapsed="false">
      <c r="A1930" s="41"/>
      <c r="G1930" s="38" t="n">
        <f aca="false">MONTH(A1930)</f>
        <v>12</v>
      </c>
      <c r="H1930" s="38" t="n">
        <f aca="false">YEAR(Tabela1[[#This Row],[FECHA]])</f>
        <v>1900</v>
      </c>
      <c r="I19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31" customFormat="false" ht="15" hidden="false" customHeight="false" outlineLevel="0" collapsed="false">
      <c r="A1931" s="41"/>
      <c r="G1931" s="38" t="n">
        <f aca="false">MONTH(A1931)</f>
        <v>12</v>
      </c>
      <c r="H1931" s="38" t="n">
        <f aca="false">YEAR(Tabela1[[#This Row],[FECHA]])</f>
        <v>1900</v>
      </c>
      <c r="I19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32" customFormat="false" ht="15" hidden="false" customHeight="false" outlineLevel="0" collapsed="false">
      <c r="A1932" s="41"/>
      <c r="G1932" s="38" t="n">
        <f aca="false">MONTH(A1932)</f>
        <v>12</v>
      </c>
      <c r="H1932" s="38" t="n">
        <f aca="false">YEAR(Tabela1[[#This Row],[FECHA]])</f>
        <v>1900</v>
      </c>
      <c r="I19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33" customFormat="false" ht="15" hidden="false" customHeight="false" outlineLevel="0" collapsed="false">
      <c r="A1933" s="41"/>
      <c r="G1933" s="38" t="n">
        <f aca="false">MONTH(A1933)</f>
        <v>12</v>
      </c>
      <c r="H1933" s="38" t="n">
        <f aca="false">YEAR(Tabela1[[#This Row],[FECHA]])</f>
        <v>1900</v>
      </c>
      <c r="I19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34" customFormat="false" ht="15" hidden="false" customHeight="false" outlineLevel="0" collapsed="false">
      <c r="A1934" s="41"/>
      <c r="G1934" s="38" t="n">
        <f aca="false">MONTH(A1934)</f>
        <v>12</v>
      </c>
      <c r="H1934" s="38" t="n">
        <f aca="false">YEAR(Tabela1[[#This Row],[FECHA]])</f>
        <v>1900</v>
      </c>
      <c r="I19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35" customFormat="false" ht="15" hidden="false" customHeight="false" outlineLevel="0" collapsed="false">
      <c r="A1935" s="41"/>
      <c r="G1935" s="38" t="n">
        <f aca="false">MONTH(A1935)</f>
        <v>12</v>
      </c>
      <c r="H1935" s="38" t="n">
        <f aca="false">YEAR(Tabela1[[#This Row],[FECHA]])</f>
        <v>1900</v>
      </c>
      <c r="I19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36" customFormat="false" ht="15" hidden="false" customHeight="false" outlineLevel="0" collapsed="false">
      <c r="A1936" s="41"/>
      <c r="G1936" s="38" t="n">
        <f aca="false">MONTH(A1936)</f>
        <v>12</v>
      </c>
      <c r="H1936" s="38" t="n">
        <f aca="false">YEAR(Tabela1[[#This Row],[FECHA]])</f>
        <v>1900</v>
      </c>
      <c r="I19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37" customFormat="false" ht="15" hidden="false" customHeight="false" outlineLevel="0" collapsed="false">
      <c r="A1937" s="41"/>
      <c r="G1937" s="38" t="n">
        <f aca="false">MONTH(A1937)</f>
        <v>12</v>
      </c>
      <c r="H1937" s="38" t="n">
        <f aca="false">YEAR(Tabela1[[#This Row],[FECHA]])</f>
        <v>1900</v>
      </c>
      <c r="I19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38" customFormat="false" ht="15" hidden="false" customHeight="false" outlineLevel="0" collapsed="false">
      <c r="A1938" s="41"/>
      <c r="G1938" s="38" t="n">
        <f aca="false">MONTH(A1938)</f>
        <v>12</v>
      </c>
      <c r="H1938" s="38" t="n">
        <f aca="false">YEAR(Tabela1[[#This Row],[FECHA]])</f>
        <v>1900</v>
      </c>
      <c r="I19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39" customFormat="false" ht="15" hidden="false" customHeight="false" outlineLevel="0" collapsed="false">
      <c r="A1939" s="41"/>
      <c r="G1939" s="38" t="n">
        <f aca="false">MONTH(A1939)</f>
        <v>12</v>
      </c>
      <c r="H1939" s="38" t="n">
        <f aca="false">YEAR(Tabela1[[#This Row],[FECHA]])</f>
        <v>1900</v>
      </c>
      <c r="I19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40" customFormat="false" ht="15" hidden="false" customHeight="false" outlineLevel="0" collapsed="false">
      <c r="A1940" s="41"/>
      <c r="G1940" s="38" t="n">
        <f aca="false">MONTH(A1940)</f>
        <v>12</v>
      </c>
      <c r="H1940" s="38" t="n">
        <f aca="false">YEAR(Tabela1[[#This Row],[FECHA]])</f>
        <v>1900</v>
      </c>
      <c r="I19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41" customFormat="false" ht="15" hidden="false" customHeight="false" outlineLevel="0" collapsed="false">
      <c r="A1941" s="41"/>
      <c r="G1941" s="38" t="n">
        <f aca="false">MONTH(A1941)</f>
        <v>12</v>
      </c>
      <c r="H1941" s="38" t="n">
        <f aca="false">YEAR(Tabela1[[#This Row],[FECHA]])</f>
        <v>1900</v>
      </c>
      <c r="I19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42" customFormat="false" ht="15" hidden="false" customHeight="false" outlineLevel="0" collapsed="false">
      <c r="A1942" s="41"/>
      <c r="G1942" s="38" t="n">
        <f aca="false">MONTH(A1942)</f>
        <v>12</v>
      </c>
      <c r="H1942" s="38" t="n">
        <f aca="false">YEAR(Tabela1[[#This Row],[FECHA]])</f>
        <v>1900</v>
      </c>
      <c r="I19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43" customFormat="false" ht="15" hidden="false" customHeight="false" outlineLevel="0" collapsed="false">
      <c r="A1943" s="41"/>
      <c r="G1943" s="38" t="n">
        <f aca="false">MONTH(A1943)</f>
        <v>12</v>
      </c>
      <c r="H1943" s="38" t="n">
        <f aca="false">YEAR(Tabela1[[#This Row],[FECHA]])</f>
        <v>1900</v>
      </c>
      <c r="I19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44" customFormat="false" ht="15" hidden="false" customHeight="false" outlineLevel="0" collapsed="false">
      <c r="A1944" s="41"/>
      <c r="G1944" s="38" t="n">
        <f aca="false">MONTH(A1944)</f>
        <v>12</v>
      </c>
      <c r="H1944" s="38" t="n">
        <f aca="false">YEAR(Tabela1[[#This Row],[FECHA]])</f>
        <v>1900</v>
      </c>
      <c r="I19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45" customFormat="false" ht="15" hidden="false" customHeight="false" outlineLevel="0" collapsed="false">
      <c r="A1945" s="41"/>
      <c r="G1945" s="38" t="n">
        <f aca="false">MONTH(A1945)</f>
        <v>12</v>
      </c>
      <c r="H1945" s="38" t="n">
        <f aca="false">YEAR(Tabela1[[#This Row],[FECHA]])</f>
        <v>1900</v>
      </c>
      <c r="I19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46" customFormat="false" ht="15" hidden="false" customHeight="false" outlineLevel="0" collapsed="false">
      <c r="A1946" s="41"/>
      <c r="G1946" s="38" t="n">
        <f aca="false">MONTH(A1946)</f>
        <v>12</v>
      </c>
      <c r="H1946" s="38" t="n">
        <f aca="false">YEAR(Tabela1[[#This Row],[FECHA]])</f>
        <v>1900</v>
      </c>
      <c r="I19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47" customFormat="false" ht="15" hidden="false" customHeight="false" outlineLevel="0" collapsed="false">
      <c r="A1947" s="41"/>
      <c r="G1947" s="38" t="n">
        <f aca="false">MONTH(A1947)</f>
        <v>12</v>
      </c>
      <c r="H1947" s="38" t="n">
        <f aca="false">YEAR(Tabela1[[#This Row],[FECHA]])</f>
        <v>1900</v>
      </c>
      <c r="I19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48" customFormat="false" ht="15" hidden="false" customHeight="false" outlineLevel="0" collapsed="false">
      <c r="A1948" s="41"/>
      <c r="G1948" s="38" t="n">
        <f aca="false">MONTH(A1948)</f>
        <v>12</v>
      </c>
      <c r="H1948" s="38" t="n">
        <f aca="false">YEAR(Tabela1[[#This Row],[FECHA]])</f>
        <v>1900</v>
      </c>
      <c r="I19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49" customFormat="false" ht="15" hidden="false" customHeight="false" outlineLevel="0" collapsed="false">
      <c r="A1949" s="41"/>
      <c r="G1949" s="38" t="n">
        <f aca="false">MONTH(A1949)</f>
        <v>12</v>
      </c>
      <c r="H1949" s="38" t="n">
        <f aca="false">YEAR(Tabela1[[#This Row],[FECHA]])</f>
        <v>1900</v>
      </c>
      <c r="I19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50" customFormat="false" ht="15" hidden="false" customHeight="false" outlineLevel="0" collapsed="false">
      <c r="A1950" s="41"/>
      <c r="G1950" s="38" t="n">
        <f aca="false">MONTH(A1950)</f>
        <v>12</v>
      </c>
      <c r="H1950" s="38" t="n">
        <f aca="false">YEAR(Tabela1[[#This Row],[FECHA]])</f>
        <v>1900</v>
      </c>
      <c r="I19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51" customFormat="false" ht="15" hidden="false" customHeight="false" outlineLevel="0" collapsed="false">
      <c r="A1951" s="41"/>
      <c r="G1951" s="38" t="n">
        <f aca="false">MONTH(A1951)</f>
        <v>12</v>
      </c>
      <c r="H1951" s="38" t="n">
        <f aca="false">YEAR(Tabela1[[#This Row],[FECHA]])</f>
        <v>1900</v>
      </c>
      <c r="I19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52" customFormat="false" ht="15" hidden="false" customHeight="false" outlineLevel="0" collapsed="false">
      <c r="A1952" s="41"/>
      <c r="G1952" s="38" t="n">
        <f aca="false">MONTH(A1952)</f>
        <v>12</v>
      </c>
      <c r="H1952" s="38" t="n">
        <f aca="false">YEAR(Tabela1[[#This Row],[FECHA]])</f>
        <v>1900</v>
      </c>
      <c r="I19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53" customFormat="false" ht="15" hidden="false" customHeight="false" outlineLevel="0" collapsed="false">
      <c r="A1953" s="41"/>
      <c r="G1953" s="38" t="n">
        <f aca="false">MONTH(A1953)</f>
        <v>12</v>
      </c>
      <c r="H1953" s="38" t="n">
        <f aca="false">YEAR(Tabela1[[#This Row],[FECHA]])</f>
        <v>1900</v>
      </c>
      <c r="I19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54" customFormat="false" ht="15" hidden="false" customHeight="false" outlineLevel="0" collapsed="false">
      <c r="A1954" s="41"/>
      <c r="G1954" s="38" t="n">
        <f aca="false">MONTH(A1954)</f>
        <v>12</v>
      </c>
      <c r="H1954" s="38" t="n">
        <f aca="false">YEAR(Tabela1[[#This Row],[FECHA]])</f>
        <v>1900</v>
      </c>
      <c r="I19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55" customFormat="false" ht="15" hidden="false" customHeight="false" outlineLevel="0" collapsed="false">
      <c r="A1955" s="41"/>
      <c r="G1955" s="38" t="n">
        <f aca="false">MONTH(A1955)</f>
        <v>12</v>
      </c>
      <c r="H1955" s="38" t="n">
        <f aca="false">YEAR(Tabela1[[#This Row],[FECHA]])</f>
        <v>1900</v>
      </c>
      <c r="I19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56" customFormat="false" ht="15" hidden="false" customHeight="false" outlineLevel="0" collapsed="false">
      <c r="A1956" s="41"/>
      <c r="G1956" s="38" t="n">
        <f aca="false">MONTH(A1956)</f>
        <v>12</v>
      </c>
      <c r="H1956" s="38" t="n">
        <f aca="false">YEAR(Tabela1[[#This Row],[FECHA]])</f>
        <v>1900</v>
      </c>
      <c r="I19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57" customFormat="false" ht="15" hidden="false" customHeight="false" outlineLevel="0" collapsed="false">
      <c r="A1957" s="41"/>
      <c r="G1957" s="38" t="n">
        <f aca="false">MONTH(A1957)</f>
        <v>12</v>
      </c>
      <c r="H1957" s="38" t="n">
        <f aca="false">YEAR(Tabela1[[#This Row],[FECHA]])</f>
        <v>1900</v>
      </c>
      <c r="I19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58" customFormat="false" ht="15" hidden="false" customHeight="false" outlineLevel="0" collapsed="false">
      <c r="A1958" s="41"/>
      <c r="G1958" s="38" t="n">
        <f aca="false">MONTH(A1958)</f>
        <v>12</v>
      </c>
      <c r="H1958" s="38" t="n">
        <f aca="false">YEAR(Tabela1[[#This Row],[FECHA]])</f>
        <v>1900</v>
      </c>
      <c r="I19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59" customFormat="false" ht="15" hidden="false" customHeight="false" outlineLevel="0" collapsed="false">
      <c r="A1959" s="41"/>
      <c r="G1959" s="38" t="n">
        <f aca="false">MONTH(A1959)</f>
        <v>12</v>
      </c>
      <c r="H1959" s="38" t="n">
        <f aca="false">YEAR(Tabela1[[#This Row],[FECHA]])</f>
        <v>1900</v>
      </c>
      <c r="I19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60" customFormat="false" ht="15" hidden="false" customHeight="false" outlineLevel="0" collapsed="false">
      <c r="A1960" s="41"/>
      <c r="G1960" s="38" t="n">
        <f aca="false">MONTH(A1960)</f>
        <v>12</v>
      </c>
      <c r="H1960" s="38" t="n">
        <f aca="false">YEAR(Tabela1[[#This Row],[FECHA]])</f>
        <v>1900</v>
      </c>
      <c r="I19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61" customFormat="false" ht="15" hidden="false" customHeight="false" outlineLevel="0" collapsed="false">
      <c r="A1961" s="41"/>
      <c r="G1961" s="38" t="n">
        <f aca="false">MONTH(A1961)</f>
        <v>12</v>
      </c>
      <c r="H1961" s="38" t="n">
        <f aca="false">YEAR(Tabela1[[#This Row],[FECHA]])</f>
        <v>1900</v>
      </c>
      <c r="I19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62" customFormat="false" ht="15" hidden="false" customHeight="false" outlineLevel="0" collapsed="false">
      <c r="A1962" s="41"/>
      <c r="G1962" s="38" t="n">
        <f aca="false">MONTH(A1962)</f>
        <v>12</v>
      </c>
      <c r="H1962" s="38" t="n">
        <f aca="false">YEAR(Tabela1[[#This Row],[FECHA]])</f>
        <v>1900</v>
      </c>
      <c r="I19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63" customFormat="false" ht="15" hidden="false" customHeight="false" outlineLevel="0" collapsed="false">
      <c r="A1963" s="41"/>
      <c r="G1963" s="38" t="n">
        <f aca="false">MONTH(A1963)</f>
        <v>12</v>
      </c>
      <c r="H1963" s="38" t="n">
        <f aca="false">YEAR(Tabela1[[#This Row],[FECHA]])</f>
        <v>1900</v>
      </c>
      <c r="I19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64" customFormat="false" ht="15" hidden="false" customHeight="false" outlineLevel="0" collapsed="false">
      <c r="A1964" s="41"/>
      <c r="G1964" s="38" t="n">
        <f aca="false">MONTH(A1964)</f>
        <v>12</v>
      </c>
      <c r="H1964" s="38" t="n">
        <f aca="false">YEAR(Tabela1[[#This Row],[FECHA]])</f>
        <v>1900</v>
      </c>
      <c r="I19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65" customFormat="false" ht="15" hidden="false" customHeight="false" outlineLevel="0" collapsed="false">
      <c r="A1965" s="41"/>
      <c r="G1965" s="38" t="n">
        <f aca="false">MONTH(A1965)</f>
        <v>12</v>
      </c>
      <c r="H1965" s="38" t="n">
        <f aca="false">YEAR(Tabela1[[#This Row],[FECHA]])</f>
        <v>1900</v>
      </c>
      <c r="I19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66" customFormat="false" ht="15" hidden="false" customHeight="false" outlineLevel="0" collapsed="false">
      <c r="A1966" s="41"/>
      <c r="G1966" s="38" t="n">
        <f aca="false">MONTH(A1966)</f>
        <v>12</v>
      </c>
      <c r="H1966" s="38" t="n">
        <f aca="false">YEAR(Tabela1[[#This Row],[FECHA]])</f>
        <v>1900</v>
      </c>
      <c r="I19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67" customFormat="false" ht="15" hidden="false" customHeight="false" outlineLevel="0" collapsed="false">
      <c r="A1967" s="41"/>
      <c r="G1967" s="38" t="n">
        <f aca="false">MONTH(A1967)</f>
        <v>12</v>
      </c>
      <c r="H1967" s="38" t="n">
        <f aca="false">YEAR(Tabela1[[#This Row],[FECHA]])</f>
        <v>1900</v>
      </c>
      <c r="I19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68" customFormat="false" ht="15" hidden="false" customHeight="false" outlineLevel="0" collapsed="false">
      <c r="A1968" s="41"/>
      <c r="G1968" s="38" t="n">
        <f aca="false">MONTH(A1968)</f>
        <v>12</v>
      </c>
      <c r="H1968" s="38" t="n">
        <f aca="false">YEAR(Tabela1[[#This Row],[FECHA]])</f>
        <v>1900</v>
      </c>
      <c r="I19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69" customFormat="false" ht="15" hidden="false" customHeight="false" outlineLevel="0" collapsed="false">
      <c r="A1969" s="41"/>
      <c r="G1969" s="38" t="n">
        <f aca="false">MONTH(A1969)</f>
        <v>12</v>
      </c>
      <c r="H1969" s="38" t="n">
        <f aca="false">YEAR(Tabela1[[#This Row],[FECHA]])</f>
        <v>1900</v>
      </c>
      <c r="I19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70" customFormat="false" ht="15" hidden="false" customHeight="false" outlineLevel="0" collapsed="false">
      <c r="A1970" s="41"/>
      <c r="G1970" s="38" t="n">
        <f aca="false">MONTH(A1970)</f>
        <v>12</v>
      </c>
      <c r="H1970" s="38" t="n">
        <f aca="false">YEAR(Tabela1[[#This Row],[FECHA]])</f>
        <v>1900</v>
      </c>
      <c r="I19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71" customFormat="false" ht="15" hidden="false" customHeight="false" outlineLevel="0" collapsed="false">
      <c r="A1971" s="41"/>
      <c r="G1971" s="38" t="n">
        <f aca="false">MONTH(A1971)</f>
        <v>12</v>
      </c>
      <c r="H1971" s="38" t="n">
        <f aca="false">YEAR(Tabela1[[#This Row],[FECHA]])</f>
        <v>1900</v>
      </c>
      <c r="I19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72" customFormat="false" ht="15" hidden="false" customHeight="false" outlineLevel="0" collapsed="false">
      <c r="A1972" s="41"/>
      <c r="G1972" s="38" t="n">
        <f aca="false">MONTH(A1972)</f>
        <v>12</v>
      </c>
      <c r="H1972" s="38" t="n">
        <f aca="false">YEAR(Tabela1[[#This Row],[FECHA]])</f>
        <v>1900</v>
      </c>
      <c r="I19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73" customFormat="false" ht="15" hidden="false" customHeight="false" outlineLevel="0" collapsed="false">
      <c r="A1973" s="41"/>
      <c r="G1973" s="38" t="n">
        <f aca="false">MONTH(A1973)</f>
        <v>12</v>
      </c>
      <c r="H1973" s="38" t="n">
        <f aca="false">YEAR(Tabela1[[#This Row],[FECHA]])</f>
        <v>1900</v>
      </c>
      <c r="I19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74" customFormat="false" ht="15" hidden="false" customHeight="false" outlineLevel="0" collapsed="false">
      <c r="A1974" s="41"/>
      <c r="G1974" s="38" t="n">
        <f aca="false">MONTH(A1974)</f>
        <v>12</v>
      </c>
      <c r="H1974" s="38" t="n">
        <f aca="false">YEAR(Tabela1[[#This Row],[FECHA]])</f>
        <v>1900</v>
      </c>
      <c r="I19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75" customFormat="false" ht="15" hidden="false" customHeight="false" outlineLevel="0" collapsed="false">
      <c r="A1975" s="41"/>
      <c r="G1975" s="38" t="n">
        <f aca="false">MONTH(A1975)</f>
        <v>12</v>
      </c>
      <c r="H1975" s="38" t="n">
        <f aca="false">YEAR(Tabela1[[#This Row],[FECHA]])</f>
        <v>1900</v>
      </c>
      <c r="I19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76" customFormat="false" ht="15" hidden="false" customHeight="false" outlineLevel="0" collapsed="false">
      <c r="A1976" s="41"/>
      <c r="G1976" s="38" t="n">
        <f aca="false">MONTH(A1976)</f>
        <v>12</v>
      </c>
      <c r="H1976" s="38" t="n">
        <f aca="false">YEAR(Tabela1[[#This Row],[FECHA]])</f>
        <v>1900</v>
      </c>
      <c r="I19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77" customFormat="false" ht="15" hidden="false" customHeight="false" outlineLevel="0" collapsed="false">
      <c r="A1977" s="41"/>
      <c r="G1977" s="38" t="n">
        <f aca="false">MONTH(A1977)</f>
        <v>12</v>
      </c>
      <c r="H1977" s="38" t="n">
        <f aca="false">YEAR(Tabela1[[#This Row],[FECHA]])</f>
        <v>1900</v>
      </c>
      <c r="I19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78" customFormat="false" ht="15" hidden="false" customHeight="false" outlineLevel="0" collapsed="false">
      <c r="A1978" s="41"/>
      <c r="G1978" s="38" t="n">
        <f aca="false">MONTH(A1978)</f>
        <v>12</v>
      </c>
      <c r="H1978" s="38" t="n">
        <f aca="false">YEAR(Tabela1[[#This Row],[FECHA]])</f>
        <v>1900</v>
      </c>
      <c r="I19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79" customFormat="false" ht="15" hidden="false" customHeight="false" outlineLevel="0" collapsed="false">
      <c r="A1979" s="41"/>
      <c r="G1979" s="38" t="n">
        <f aca="false">MONTH(A1979)</f>
        <v>12</v>
      </c>
      <c r="H1979" s="38" t="n">
        <f aca="false">YEAR(Tabela1[[#This Row],[FECHA]])</f>
        <v>1900</v>
      </c>
      <c r="I19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80" customFormat="false" ht="15" hidden="false" customHeight="false" outlineLevel="0" collapsed="false">
      <c r="A1980" s="41"/>
      <c r="G1980" s="38" t="n">
        <f aca="false">MONTH(A1980)</f>
        <v>12</v>
      </c>
      <c r="H1980" s="38" t="n">
        <f aca="false">YEAR(Tabela1[[#This Row],[FECHA]])</f>
        <v>1900</v>
      </c>
      <c r="I19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81" customFormat="false" ht="15" hidden="false" customHeight="false" outlineLevel="0" collapsed="false">
      <c r="A1981" s="41"/>
      <c r="G1981" s="38" t="n">
        <f aca="false">MONTH(A1981)</f>
        <v>12</v>
      </c>
      <c r="H1981" s="38" t="n">
        <f aca="false">YEAR(Tabela1[[#This Row],[FECHA]])</f>
        <v>1900</v>
      </c>
      <c r="I19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82" customFormat="false" ht="15" hidden="false" customHeight="false" outlineLevel="0" collapsed="false">
      <c r="A1982" s="41"/>
      <c r="G1982" s="38" t="n">
        <f aca="false">MONTH(A1982)</f>
        <v>12</v>
      </c>
      <c r="H1982" s="38" t="n">
        <f aca="false">YEAR(Tabela1[[#This Row],[FECHA]])</f>
        <v>1900</v>
      </c>
      <c r="I19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83" customFormat="false" ht="15" hidden="false" customHeight="false" outlineLevel="0" collapsed="false">
      <c r="A1983" s="41"/>
      <c r="G1983" s="38" t="n">
        <f aca="false">MONTH(A1983)</f>
        <v>12</v>
      </c>
      <c r="H1983" s="38" t="n">
        <f aca="false">YEAR(Tabela1[[#This Row],[FECHA]])</f>
        <v>1900</v>
      </c>
      <c r="I19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84" customFormat="false" ht="15" hidden="false" customHeight="false" outlineLevel="0" collapsed="false">
      <c r="A1984" s="41"/>
      <c r="G1984" s="38" t="n">
        <f aca="false">MONTH(A1984)</f>
        <v>12</v>
      </c>
      <c r="H1984" s="38" t="n">
        <f aca="false">YEAR(Tabela1[[#This Row],[FECHA]])</f>
        <v>1900</v>
      </c>
      <c r="I19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85" customFormat="false" ht="15" hidden="false" customHeight="false" outlineLevel="0" collapsed="false">
      <c r="A1985" s="41"/>
      <c r="G1985" s="38" t="n">
        <f aca="false">MONTH(A1985)</f>
        <v>12</v>
      </c>
      <c r="H1985" s="38" t="n">
        <f aca="false">YEAR(Tabela1[[#This Row],[FECHA]])</f>
        <v>1900</v>
      </c>
      <c r="I19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86" customFormat="false" ht="15" hidden="false" customHeight="false" outlineLevel="0" collapsed="false">
      <c r="A1986" s="41"/>
      <c r="G1986" s="38" t="n">
        <f aca="false">MONTH(A1986)</f>
        <v>12</v>
      </c>
      <c r="H1986" s="38" t="n">
        <f aca="false">YEAR(Tabela1[[#This Row],[FECHA]])</f>
        <v>1900</v>
      </c>
      <c r="I19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87" customFormat="false" ht="15" hidden="false" customHeight="false" outlineLevel="0" collapsed="false">
      <c r="A1987" s="41"/>
      <c r="G1987" s="38" t="n">
        <f aca="false">MONTH(A1987)</f>
        <v>12</v>
      </c>
      <c r="H1987" s="38" t="n">
        <f aca="false">YEAR(Tabela1[[#This Row],[FECHA]])</f>
        <v>1900</v>
      </c>
      <c r="I19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88" customFormat="false" ht="15" hidden="false" customHeight="false" outlineLevel="0" collapsed="false">
      <c r="A1988" s="41"/>
      <c r="G1988" s="38" t="n">
        <f aca="false">MONTH(A1988)</f>
        <v>12</v>
      </c>
      <c r="H1988" s="38" t="n">
        <f aca="false">YEAR(Tabela1[[#This Row],[FECHA]])</f>
        <v>1900</v>
      </c>
      <c r="I19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89" customFormat="false" ht="15" hidden="false" customHeight="false" outlineLevel="0" collapsed="false">
      <c r="A1989" s="41"/>
      <c r="G1989" s="38" t="n">
        <f aca="false">MONTH(A1989)</f>
        <v>12</v>
      </c>
      <c r="H1989" s="38" t="n">
        <f aca="false">YEAR(Tabela1[[#This Row],[FECHA]])</f>
        <v>1900</v>
      </c>
      <c r="I19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90" customFormat="false" ht="15" hidden="false" customHeight="false" outlineLevel="0" collapsed="false">
      <c r="A1990" s="41"/>
      <c r="G1990" s="38" t="n">
        <f aca="false">MONTH(A1990)</f>
        <v>12</v>
      </c>
      <c r="H1990" s="38" t="n">
        <f aca="false">YEAR(Tabela1[[#This Row],[FECHA]])</f>
        <v>1900</v>
      </c>
      <c r="I19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91" customFormat="false" ht="15" hidden="false" customHeight="false" outlineLevel="0" collapsed="false">
      <c r="A1991" s="41"/>
      <c r="G1991" s="38" t="n">
        <f aca="false">MONTH(A1991)</f>
        <v>12</v>
      </c>
      <c r="H1991" s="38" t="n">
        <f aca="false">YEAR(Tabela1[[#This Row],[FECHA]])</f>
        <v>1900</v>
      </c>
      <c r="I19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92" customFormat="false" ht="15" hidden="false" customHeight="false" outlineLevel="0" collapsed="false">
      <c r="A1992" s="41"/>
      <c r="G1992" s="38" t="n">
        <f aca="false">MONTH(A1992)</f>
        <v>12</v>
      </c>
      <c r="H1992" s="38" t="n">
        <f aca="false">YEAR(Tabela1[[#This Row],[FECHA]])</f>
        <v>1900</v>
      </c>
      <c r="I19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93" customFormat="false" ht="15" hidden="false" customHeight="false" outlineLevel="0" collapsed="false">
      <c r="A1993" s="41"/>
      <c r="G1993" s="38" t="n">
        <f aca="false">MONTH(A1993)</f>
        <v>12</v>
      </c>
      <c r="H1993" s="38" t="n">
        <f aca="false">YEAR(Tabela1[[#This Row],[FECHA]])</f>
        <v>1900</v>
      </c>
      <c r="I19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94" customFormat="false" ht="15" hidden="false" customHeight="false" outlineLevel="0" collapsed="false">
      <c r="A1994" s="41"/>
      <c r="G1994" s="38" t="n">
        <f aca="false">MONTH(A1994)</f>
        <v>12</v>
      </c>
      <c r="H1994" s="38" t="n">
        <f aca="false">YEAR(Tabela1[[#This Row],[FECHA]])</f>
        <v>1900</v>
      </c>
      <c r="I19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95" customFormat="false" ht="15" hidden="false" customHeight="false" outlineLevel="0" collapsed="false">
      <c r="A1995" s="41"/>
      <c r="G1995" s="38" t="n">
        <f aca="false">MONTH(A1995)</f>
        <v>12</v>
      </c>
      <c r="H1995" s="38" t="n">
        <f aca="false">YEAR(Tabela1[[#This Row],[FECHA]])</f>
        <v>1900</v>
      </c>
      <c r="I19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96" customFormat="false" ht="15" hidden="false" customHeight="false" outlineLevel="0" collapsed="false">
      <c r="A1996" s="41"/>
      <c r="G1996" s="38" t="n">
        <f aca="false">MONTH(A1996)</f>
        <v>12</v>
      </c>
      <c r="H1996" s="38" t="n">
        <f aca="false">YEAR(Tabela1[[#This Row],[FECHA]])</f>
        <v>1900</v>
      </c>
      <c r="I19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97" customFormat="false" ht="15" hidden="false" customHeight="false" outlineLevel="0" collapsed="false">
      <c r="A1997" s="41"/>
      <c r="G1997" s="38" t="n">
        <f aca="false">MONTH(A1997)</f>
        <v>12</v>
      </c>
      <c r="H1997" s="38" t="n">
        <f aca="false">YEAR(Tabela1[[#This Row],[FECHA]])</f>
        <v>1900</v>
      </c>
      <c r="I19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98" customFormat="false" ht="15" hidden="false" customHeight="false" outlineLevel="0" collapsed="false">
      <c r="A1998" s="41"/>
      <c r="G1998" s="38" t="n">
        <f aca="false">MONTH(A1998)</f>
        <v>12</v>
      </c>
      <c r="H1998" s="38" t="n">
        <f aca="false">YEAR(Tabela1[[#This Row],[FECHA]])</f>
        <v>1900</v>
      </c>
      <c r="I19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1999" customFormat="false" ht="15" hidden="false" customHeight="false" outlineLevel="0" collapsed="false">
      <c r="A1999" s="41"/>
      <c r="G1999" s="38" t="n">
        <f aca="false">MONTH(A1999)</f>
        <v>12</v>
      </c>
      <c r="H1999" s="38" t="n">
        <f aca="false">YEAR(Tabela1[[#This Row],[FECHA]])</f>
        <v>1900</v>
      </c>
      <c r="I19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00" customFormat="false" ht="15" hidden="false" customHeight="false" outlineLevel="0" collapsed="false">
      <c r="A2000" s="41"/>
      <c r="G2000" s="38" t="n">
        <f aca="false">MONTH(A2000)</f>
        <v>12</v>
      </c>
      <c r="H2000" s="38" t="n">
        <f aca="false">YEAR(Tabela1[[#This Row],[FECHA]])</f>
        <v>1900</v>
      </c>
      <c r="I20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01" customFormat="false" ht="15" hidden="false" customHeight="false" outlineLevel="0" collapsed="false">
      <c r="A2001" s="41"/>
      <c r="G2001" s="38" t="n">
        <f aca="false">MONTH(A2001)</f>
        <v>12</v>
      </c>
      <c r="H2001" s="38" t="n">
        <f aca="false">YEAR(Tabela1[[#This Row],[FECHA]])</f>
        <v>1900</v>
      </c>
      <c r="I20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02" customFormat="false" ht="15" hidden="false" customHeight="false" outlineLevel="0" collapsed="false">
      <c r="A2002" s="41"/>
      <c r="G2002" s="38" t="n">
        <f aca="false">MONTH(A2002)</f>
        <v>12</v>
      </c>
      <c r="H2002" s="38" t="n">
        <f aca="false">YEAR(Tabela1[[#This Row],[FECHA]])</f>
        <v>1900</v>
      </c>
      <c r="I20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03" customFormat="false" ht="15" hidden="false" customHeight="false" outlineLevel="0" collapsed="false">
      <c r="A2003" s="41"/>
      <c r="G2003" s="38" t="n">
        <f aca="false">MONTH(A2003)</f>
        <v>12</v>
      </c>
      <c r="H2003" s="38" t="n">
        <f aca="false">YEAR(Tabela1[[#This Row],[FECHA]])</f>
        <v>1900</v>
      </c>
      <c r="I20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04" customFormat="false" ht="15" hidden="false" customHeight="false" outlineLevel="0" collapsed="false">
      <c r="A2004" s="41"/>
      <c r="G2004" s="38" t="n">
        <f aca="false">MONTH(A2004)</f>
        <v>12</v>
      </c>
      <c r="H2004" s="38" t="n">
        <f aca="false">YEAR(Tabela1[[#This Row],[FECHA]])</f>
        <v>1900</v>
      </c>
      <c r="I20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05" customFormat="false" ht="15" hidden="false" customHeight="false" outlineLevel="0" collapsed="false">
      <c r="A2005" s="41"/>
      <c r="G2005" s="38" t="n">
        <f aca="false">MONTH(A2005)</f>
        <v>12</v>
      </c>
      <c r="H2005" s="38" t="n">
        <f aca="false">YEAR(Tabela1[[#This Row],[FECHA]])</f>
        <v>1900</v>
      </c>
      <c r="I20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06" customFormat="false" ht="15" hidden="false" customHeight="false" outlineLevel="0" collapsed="false">
      <c r="A2006" s="41"/>
      <c r="G2006" s="38" t="n">
        <f aca="false">MONTH(A2006)</f>
        <v>12</v>
      </c>
      <c r="H2006" s="38" t="n">
        <f aca="false">YEAR(Tabela1[[#This Row],[FECHA]])</f>
        <v>1900</v>
      </c>
      <c r="I20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07" customFormat="false" ht="15" hidden="false" customHeight="false" outlineLevel="0" collapsed="false">
      <c r="A2007" s="41"/>
      <c r="G2007" s="38" t="n">
        <f aca="false">MONTH(A2007)</f>
        <v>12</v>
      </c>
      <c r="H2007" s="38" t="n">
        <f aca="false">YEAR(Tabela1[[#This Row],[FECHA]])</f>
        <v>1900</v>
      </c>
      <c r="I20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08" customFormat="false" ht="15" hidden="false" customHeight="false" outlineLevel="0" collapsed="false">
      <c r="A2008" s="41"/>
      <c r="G2008" s="38" t="n">
        <f aca="false">MONTH(A2008)</f>
        <v>12</v>
      </c>
      <c r="H2008" s="38" t="n">
        <f aca="false">YEAR(Tabela1[[#This Row],[FECHA]])</f>
        <v>1900</v>
      </c>
      <c r="I20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09" customFormat="false" ht="15" hidden="false" customHeight="false" outlineLevel="0" collapsed="false">
      <c r="A2009" s="41"/>
      <c r="G2009" s="38" t="n">
        <f aca="false">MONTH(A2009)</f>
        <v>12</v>
      </c>
      <c r="H2009" s="38" t="n">
        <f aca="false">YEAR(Tabela1[[#This Row],[FECHA]])</f>
        <v>1900</v>
      </c>
      <c r="I20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10" customFormat="false" ht="15" hidden="false" customHeight="false" outlineLevel="0" collapsed="false">
      <c r="A2010" s="41"/>
      <c r="G2010" s="38" t="n">
        <f aca="false">MONTH(A2010)</f>
        <v>12</v>
      </c>
      <c r="H2010" s="38" t="n">
        <f aca="false">YEAR(Tabela1[[#This Row],[FECHA]])</f>
        <v>1900</v>
      </c>
      <c r="I20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11" customFormat="false" ht="15" hidden="false" customHeight="false" outlineLevel="0" collapsed="false">
      <c r="A2011" s="41"/>
      <c r="G2011" s="38" t="n">
        <f aca="false">MONTH(A2011)</f>
        <v>12</v>
      </c>
      <c r="H2011" s="38" t="n">
        <f aca="false">YEAR(Tabela1[[#This Row],[FECHA]])</f>
        <v>1900</v>
      </c>
      <c r="I20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12" customFormat="false" ht="15" hidden="false" customHeight="false" outlineLevel="0" collapsed="false">
      <c r="A2012" s="41"/>
      <c r="G2012" s="38" t="n">
        <f aca="false">MONTH(A2012)</f>
        <v>12</v>
      </c>
      <c r="H2012" s="38" t="n">
        <f aca="false">YEAR(Tabela1[[#This Row],[FECHA]])</f>
        <v>1900</v>
      </c>
      <c r="I20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13" customFormat="false" ht="15" hidden="false" customHeight="false" outlineLevel="0" collapsed="false">
      <c r="A2013" s="41"/>
      <c r="G2013" s="38" t="n">
        <f aca="false">MONTH(A2013)</f>
        <v>12</v>
      </c>
      <c r="H2013" s="38" t="n">
        <f aca="false">YEAR(Tabela1[[#This Row],[FECHA]])</f>
        <v>1900</v>
      </c>
      <c r="I20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14" customFormat="false" ht="15" hidden="false" customHeight="false" outlineLevel="0" collapsed="false">
      <c r="A2014" s="41"/>
      <c r="G2014" s="38" t="n">
        <f aca="false">MONTH(A2014)</f>
        <v>12</v>
      </c>
      <c r="H2014" s="38" t="n">
        <f aca="false">YEAR(Tabela1[[#This Row],[FECHA]])</f>
        <v>1900</v>
      </c>
      <c r="I20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15" customFormat="false" ht="15" hidden="false" customHeight="false" outlineLevel="0" collapsed="false">
      <c r="A2015" s="41"/>
      <c r="G2015" s="38" t="n">
        <f aca="false">MONTH(A2015)</f>
        <v>12</v>
      </c>
      <c r="H2015" s="38" t="n">
        <f aca="false">YEAR(Tabela1[[#This Row],[FECHA]])</f>
        <v>1900</v>
      </c>
      <c r="I20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16" customFormat="false" ht="15" hidden="false" customHeight="false" outlineLevel="0" collapsed="false">
      <c r="A2016" s="41"/>
      <c r="G2016" s="38" t="n">
        <f aca="false">MONTH(A2016)</f>
        <v>12</v>
      </c>
      <c r="H2016" s="38" t="n">
        <f aca="false">YEAR(Tabela1[[#This Row],[FECHA]])</f>
        <v>1900</v>
      </c>
      <c r="I20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17" customFormat="false" ht="15" hidden="false" customHeight="false" outlineLevel="0" collapsed="false">
      <c r="A2017" s="41"/>
      <c r="G2017" s="38" t="n">
        <f aca="false">MONTH(A2017)</f>
        <v>12</v>
      </c>
      <c r="H2017" s="38" t="n">
        <f aca="false">YEAR(Tabela1[[#This Row],[FECHA]])</f>
        <v>1900</v>
      </c>
      <c r="I20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18" customFormat="false" ht="15" hidden="false" customHeight="false" outlineLevel="0" collapsed="false">
      <c r="A2018" s="41"/>
      <c r="G2018" s="38" t="n">
        <f aca="false">MONTH(A2018)</f>
        <v>12</v>
      </c>
      <c r="H2018" s="38" t="n">
        <f aca="false">YEAR(Tabela1[[#This Row],[FECHA]])</f>
        <v>1900</v>
      </c>
      <c r="I20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19" customFormat="false" ht="15" hidden="false" customHeight="false" outlineLevel="0" collapsed="false">
      <c r="A2019" s="41"/>
      <c r="G2019" s="38" t="n">
        <f aca="false">MONTH(A2019)</f>
        <v>12</v>
      </c>
      <c r="H2019" s="38" t="n">
        <f aca="false">YEAR(Tabela1[[#This Row],[FECHA]])</f>
        <v>1900</v>
      </c>
      <c r="I20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20" customFormat="false" ht="15" hidden="false" customHeight="false" outlineLevel="0" collapsed="false">
      <c r="A2020" s="41"/>
      <c r="G2020" s="38" t="n">
        <f aca="false">MONTH(A2020)</f>
        <v>12</v>
      </c>
      <c r="H2020" s="38" t="n">
        <f aca="false">YEAR(Tabela1[[#This Row],[FECHA]])</f>
        <v>1900</v>
      </c>
      <c r="I20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21" customFormat="false" ht="15" hidden="false" customHeight="false" outlineLevel="0" collapsed="false">
      <c r="A2021" s="41"/>
      <c r="G2021" s="38" t="n">
        <f aca="false">MONTH(A2021)</f>
        <v>12</v>
      </c>
      <c r="H2021" s="38" t="n">
        <f aca="false">YEAR(Tabela1[[#This Row],[FECHA]])</f>
        <v>1900</v>
      </c>
      <c r="I20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22" customFormat="false" ht="15" hidden="false" customHeight="false" outlineLevel="0" collapsed="false">
      <c r="A2022" s="41"/>
      <c r="G2022" s="38" t="n">
        <f aca="false">MONTH(A2022)</f>
        <v>12</v>
      </c>
      <c r="H2022" s="38" t="n">
        <f aca="false">YEAR(Tabela1[[#This Row],[FECHA]])</f>
        <v>1900</v>
      </c>
      <c r="I20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23" customFormat="false" ht="15" hidden="false" customHeight="false" outlineLevel="0" collapsed="false">
      <c r="A2023" s="41"/>
      <c r="G2023" s="38" t="n">
        <f aca="false">MONTH(A2023)</f>
        <v>12</v>
      </c>
      <c r="H2023" s="38" t="n">
        <f aca="false">YEAR(Tabela1[[#This Row],[FECHA]])</f>
        <v>1900</v>
      </c>
      <c r="I20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24" customFormat="false" ht="15" hidden="false" customHeight="false" outlineLevel="0" collapsed="false">
      <c r="A2024" s="41"/>
      <c r="G2024" s="38" t="n">
        <f aca="false">MONTH(A2024)</f>
        <v>12</v>
      </c>
      <c r="H2024" s="38" t="n">
        <f aca="false">YEAR(Tabela1[[#This Row],[FECHA]])</f>
        <v>1900</v>
      </c>
      <c r="I20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25" customFormat="false" ht="15" hidden="false" customHeight="false" outlineLevel="0" collapsed="false">
      <c r="A2025" s="41"/>
      <c r="G2025" s="38" t="n">
        <f aca="false">MONTH(A2025)</f>
        <v>12</v>
      </c>
      <c r="H2025" s="38" t="n">
        <f aca="false">YEAR(Tabela1[[#This Row],[FECHA]])</f>
        <v>1900</v>
      </c>
      <c r="I20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26" customFormat="false" ht="15" hidden="false" customHeight="false" outlineLevel="0" collapsed="false">
      <c r="A2026" s="41"/>
      <c r="G2026" s="38" t="n">
        <f aca="false">MONTH(A2026)</f>
        <v>12</v>
      </c>
      <c r="H2026" s="38" t="n">
        <f aca="false">YEAR(Tabela1[[#This Row],[FECHA]])</f>
        <v>1900</v>
      </c>
      <c r="I20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27" customFormat="false" ht="15" hidden="false" customHeight="false" outlineLevel="0" collapsed="false">
      <c r="A2027" s="41"/>
      <c r="G2027" s="38" t="n">
        <f aca="false">MONTH(A2027)</f>
        <v>12</v>
      </c>
      <c r="H2027" s="38" t="n">
        <f aca="false">YEAR(Tabela1[[#This Row],[FECHA]])</f>
        <v>1900</v>
      </c>
      <c r="I20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28" customFormat="false" ht="15" hidden="false" customHeight="false" outlineLevel="0" collapsed="false">
      <c r="A2028" s="41"/>
      <c r="G2028" s="38" t="n">
        <f aca="false">MONTH(A2028)</f>
        <v>12</v>
      </c>
      <c r="H2028" s="38" t="n">
        <f aca="false">YEAR(Tabela1[[#This Row],[FECHA]])</f>
        <v>1900</v>
      </c>
      <c r="I20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29" customFormat="false" ht="15" hidden="false" customHeight="false" outlineLevel="0" collapsed="false">
      <c r="A2029" s="41"/>
      <c r="G2029" s="38" t="n">
        <f aca="false">MONTH(A2029)</f>
        <v>12</v>
      </c>
      <c r="H2029" s="38" t="n">
        <f aca="false">YEAR(Tabela1[[#This Row],[FECHA]])</f>
        <v>1900</v>
      </c>
      <c r="I20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30" customFormat="false" ht="15" hidden="false" customHeight="false" outlineLevel="0" collapsed="false">
      <c r="A2030" s="41"/>
      <c r="G2030" s="38" t="n">
        <f aca="false">MONTH(A2030)</f>
        <v>12</v>
      </c>
      <c r="H2030" s="38" t="n">
        <f aca="false">YEAR(Tabela1[[#This Row],[FECHA]])</f>
        <v>1900</v>
      </c>
      <c r="I20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31" customFormat="false" ht="15" hidden="false" customHeight="false" outlineLevel="0" collapsed="false">
      <c r="A2031" s="41"/>
      <c r="G2031" s="38" t="n">
        <f aca="false">MONTH(A2031)</f>
        <v>12</v>
      </c>
      <c r="H2031" s="38" t="n">
        <f aca="false">YEAR(Tabela1[[#This Row],[FECHA]])</f>
        <v>1900</v>
      </c>
      <c r="I20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32" customFormat="false" ht="15" hidden="false" customHeight="false" outlineLevel="0" collapsed="false">
      <c r="A2032" s="41"/>
      <c r="G2032" s="38" t="n">
        <f aca="false">MONTH(A2032)</f>
        <v>12</v>
      </c>
      <c r="H2032" s="38" t="n">
        <f aca="false">YEAR(Tabela1[[#This Row],[FECHA]])</f>
        <v>1900</v>
      </c>
      <c r="I20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33" customFormat="false" ht="15" hidden="false" customHeight="false" outlineLevel="0" collapsed="false">
      <c r="A2033" s="41"/>
      <c r="G2033" s="38" t="n">
        <f aca="false">MONTH(A2033)</f>
        <v>12</v>
      </c>
      <c r="H2033" s="38" t="n">
        <f aca="false">YEAR(Tabela1[[#This Row],[FECHA]])</f>
        <v>1900</v>
      </c>
      <c r="I20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34" customFormat="false" ht="15" hidden="false" customHeight="false" outlineLevel="0" collapsed="false">
      <c r="A2034" s="41"/>
      <c r="G2034" s="38" t="n">
        <f aca="false">MONTH(A2034)</f>
        <v>12</v>
      </c>
      <c r="H2034" s="38" t="n">
        <f aca="false">YEAR(Tabela1[[#This Row],[FECHA]])</f>
        <v>1900</v>
      </c>
      <c r="I20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35" customFormat="false" ht="15" hidden="false" customHeight="false" outlineLevel="0" collapsed="false">
      <c r="A2035" s="41"/>
      <c r="G2035" s="38" t="n">
        <f aca="false">MONTH(A2035)</f>
        <v>12</v>
      </c>
      <c r="H2035" s="38" t="n">
        <f aca="false">YEAR(Tabela1[[#This Row],[FECHA]])</f>
        <v>1900</v>
      </c>
      <c r="I20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36" customFormat="false" ht="15" hidden="false" customHeight="false" outlineLevel="0" collapsed="false">
      <c r="A2036" s="41"/>
      <c r="G2036" s="38" t="n">
        <f aca="false">MONTH(A2036)</f>
        <v>12</v>
      </c>
      <c r="H2036" s="38" t="n">
        <f aca="false">YEAR(Tabela1[[#This Row],[FECHA]])</f>
        <v>1900</v>
      </c>
      <c r="I20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37" customFormat="false" ht="15" hidden="false" customHeight="false" outlineLevel="0" collapsed="false">
      <c r="A2037" s="41"/>
      <c r="G2037" s="38" t="n">
        <f aca="false">MONTH(A2037)</f>
        <v>12</v>
      </c>
      <c r="H2037" s="38" t="n">
        <f aca="false">YEAR(Tabela1[[#This Row],[FECHA]])</f>
        <v>1900</v>
      </c>
      <c r="I20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38" customFormat="false" ht="15" hidden="false" customHeight="false" outlineLevel="0" collapsed="false">
      <c r="A2038" s="41"/>
      <c r="G2038" s="38" t="n">
        <f aca="false">MONTH(A2038)</f>
        <v>12</v>
      </c>
      <c r="H2038" s="38" t="n">
        <f aca="false">YEAR(Tabela1[[#This Row],[FECHA]])</f>
        <v>1900</v>
      </c>
      <c r="I20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39" customFormat="false" ht="15" hidden="false" customHeight="false" outlineLevel="0" collapsed="false">
      <c r="A2039" s="41"/>
      <c r="G2039" s="38" t="n">
        <f aca="false">MONTH(A2039)</f>
        <v>12</v>
      </c>
      <c r="H2039" s="38" t="n">
        <f aca="false">YEAR(Tabela1[[#This Row],[FECHA]])</f>
        <v>1900</v>
      </c>
      <c r="I20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40" customFormat="false" ht="15" hidden="false" customHeight="false" outlineLevel="0" collapsed="false">
      <c r="A2040" s="41"/>
      <c r="G2040" s="38" t="n">
        <f aca="false">MONTH(A2040)</f>
        <v>12</v>
      </c>
      <c r="H2040" s="38" t="n">
        <f aca="false">YEAR(Tabela1[[#This Row],[FECHA]])</f>
        <v>1900</v>
      </c>
      <c r="I20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41" customFormat="false" ht="15" hidden="false" customHeight="false" outlineLevel="0" collapsed="false">
      <c r="A2041" s="41"/>
      <c r="G2041" s="38" t="n">
        <f aca="false">MONTH(A2041)</f>
        <v>12</v>
      </c>
      <c r="H2041" s="38" t="n">
        <f aca="false">YEAR(Tabela1[[#This Row],[FECHA]])</f>
        <v>1900</v>
      </c>
      <c r="I20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42" customFormat="false" ht="15" hidden="false" customHeight="false" outlineLevel="0" collapsed="false">
      <c r="A2042" s="41"/>
      <c r="G2042" s="38" t="n">
        <f aca="false">MONTH(A2042)</f>
        <v>12</v>
      </c>
      <c r="H2042" s="38" t="n">
        <f aca="false">YEAR(Tabela1[[#This Row],[FECHA]])</f>
        <v>1900</v>
      </c>
      <c r="I20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43" customFormat="false" ht="15" hidden="false" customHeight="false" outlineLevel="0" collapsed="false">
      <c r="A2043" s="41"/>
      <c r="G2043" s="38" t="n">
        <f aca="false">MONTH(A2043)</f>
        <v>12</v>
      </c>
      <c r="H2043" s="38" t="n">
        <f aca="false">YEAR(Tabela1[[#This Row],[FECHA]])</f>
        <v>1900</v>
      </c>
      <c r="I20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44" customFormat="false" ht="15" hidden="false" customHeight="false" outlineLevel="0" collapsed="false">
      <c r="A2044" s="41"/>
      <c r="G2044" s="38" t="n">
        <f aca="false">MONTH(A2044)</f>
        <v>12</v>
      </c>
      <c r="H2044" s="38" t="n">
        <f aca="false">YEAR(Tabela1[[#This Row],[FECHA]])</f>
        <v>1900</v>
      </c>
      <c r="I20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45" customFormat="false" ht="15" hidden="false" customHeight="false" outlineLevel="0" collapsed="false">
      <c r="A2045" s="41"/>
      <c r="G2045" s="38" t="n">
        <f aca="false">MONTH(A2045)</f>
        <v>12</v>
      </c>
      <c r="H2045" s="38" t="n">
        <f aca="false">YEAR(Tabela1[[#This Row],[FECHA]])</f>
        <v>1900</v>
      </c>
      <c r="I20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46" customFormat="false" ht="15" hidden="false" customHeight="false" outlineLevel="0" collapsed="false">
      <c r="A2046" s="41"/>
      <c r="G2046" s="38" t="n">
        <f aca="false">MONTH(A2046)</f>
        <v>12</v>
      </c>
      <c r="H2046" s="38" t="n">
        <f aca="false">YEAR(Tabela1[[#This Row],[FECHA]])</f>
        <v>1900</v>
      </c>
      <c r="I20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47" customFormat="false" ht="15" hidden="false" customHeight="false" outlineLevel="0" collapsed="false">
      <c r="A2047" s="41"/>
      <c r="G2047" s="38" t="n">
        <f aca="false">MONTH(A2047)</f>
        <v>12</v>
      </c>
      <c r="H2047" s="38" t="n">
        <f aca="false">YEAR(Tabela1[[#This Row],[FECHA]])</f>
        <v>1900</v>
      </c>
      <c r="I20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48" customFormat="false" ht="15" hidden="false" customHeight="false" outlineLevel="0" collapsed="false">
      <c r="A2048" s="41"/>
      <c r="G2048" s="38" t="n">
        <f aca="false">MONTH(A2048)</f>
        <v>12</v>
      </c>
      <c r="H2048" s="38" t="n">
        <f aca="false">YEAR(Tabela1[[#This Row],[FECHA]])</f>
        <v>1900</v>
      </c>
      <c r="I20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49" customFormat="false" ht="15" hidden="false" customHeight="false" outlineLevel="0" collapsed="false">
      <c r="A2049" s="41"/>
      <c r="G2049" s="38" t="n">
        <f aca="false">MONTH(A2049)</f>
        <v>12</v>
      </c>
      <c r="H2049" s="38" t="n">
        <f aca="false">YEAR(Tabela1[[#This Row],[FECHA]])</f>
        <v>1900</v>
      </c>
      <c r="I20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50" customFormat="false" ht="15" hidden="false" customHeight="false" outlineLevel="0" collapsed="false">
      <c r="A2050" s="41"/>
      <c r="G2050" s="38" t="n">
        <f aca="false">MONTH(A2050)</f>
        <v>12</v>
      </c>
      <c r="H2050" s="38" t="n">
        <f aca="false">YEAR(Tabela1[[#This Row],[FECHA]])</f>
        <v>1900</v>
      </c>
      <c r="I20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51" customFormat="false" ht="15" hidden="false" customHeight="false" outlineLevel="0" collapsed="false">
      <c r="A2051" s="41"/>
      <c r="G2051" s="38" t="n">
        <f aca="false">MONTH(A2051)</f>
        <v>12</v>
      </c>
      <c r="H2051" s="38" t="n">
        <f aca="false">YEAR(Tabela1[[#This Row],[FECHA]])</f>
        <v>1900</v>
      </c>
      <c r="I20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52" customFormat="false" ht="15" hidden="false" customHeight="false" outlineLevel="0" collapsed="false">
      <c r="A2052" s="41"/>
      <c r="G2052" s="38" t="n">
        <f aca="false">MONTH(A2052)</f>
        <v>12</v>
      </c>
      <c r="H2052" s="38" t="n">
        <f aca="false">YEAR(Tabela1[[#This Row],[FECHA]])</f>
        <v>1900</v>
      </c>
      <c r="I20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53" customFormat="false" ht="15" hidden="false" customHeight="false" outlineLevel="0" collapsed="false">
      <c r="A2053" s="41"/>
      <c r="G2053" s="38" t="n">
        <f aca="false">MONTH(A2053)</f>
        <v>12</v>
      </c>
      <c r="H2053" s="38" t="n">
        <f aca="false">YEAR(Tabela1[[#This Row],[FECHA]])</f>
        <v>1900</v>
      </c>
      <c r="I20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54" customFormat="false" ht="15" hidden="false" customHeight="false" outlineLevel="0" collapsed="false">
      <c r="A2054" s="41"/>
      <c r="G2054" s="38" t="n">
        <f aca="false">MONTH(A2054)</f>
        <v>12</v>
      </c>
      <c r="H2054" s="38" t="n">
        <f aca="false">YEAR(Tabela1[[#This Row],[FECHA]])</f>
        <v>1900</v>
      </c>
      <c r="I20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55" customFormat="false" ht="15" hidden="false" customHeight="false" outlineLevel="0" collapsed="false">
      <c r="A2055" s="41"/>
      <c r="G2055" s="38" t="n">
        <f aca="false">MONTH(A2055)</f>
        <v>12</v>
      </c>
      <c r="H2055" s="38" t="n">
        <f aca="false">YEAR(Tabela1[[#This Row],[FECHA]])</f>
        <v>1900</v>
      </c>
      <c r="I20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56" customFormat="false" ht="15" hidden="false" customHeight="false" outlineLevel="0" collapsed="false">
      <c r="A2056" s="41"/>
      <c r="G2056" s="38" t="n">
        <f aca="false">MONTH(A2056)</f>
        <v>12</v>
      </c>
      <c r="H2056" s="38" t="n">
        <f aca="false">YEAR(Tabela1[[#This Row],[FECHA]])</f>
        <v>1900</v>
      </c>
      <c r="I20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57" customFormat="false" ht="15" hidden="false" customHeight="false" outlineLevel="0" collapsed="false">
      <c r="A2057" s="41"/>
      <c r="G2057" s="38" t="n">
        <f aca="false">MONTH(A2057)</f>
        <v>12</v>
      </c>
      <c r="H2057" s="38" t="n">
        <f aca="false">YEAR(Tabela1[[#This Row],[FECHA]])</f>
        <v>1900</v>
      </c>
      <c r="I20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58" customFormat="false" ht="15" hidden="false" customHeight="false" outlineLevel="0" collapsed="false">
      <c r="A2058" s="41"/>
      <c r="G2058" s="38" t="n">
        <f aca="false">MONTH(A2058)</f>
        <v>12</v>
      </c>
      <c r="H2058" s="38" t="n">
        <f aca="false">YEAR(Tabela1[[#This Row],[FECHA]])</f>
        <v>1900</v>
      </c>
      <c r="I20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59" customFormat="false" ht="15" hidden="false" customHeight="false" outlineLevel="0" collapsed="false">
      <c r="A2059" s="41"/>
      <c r="G2059" s="38" t="n">
        <f aca="false">MONTH(A2059)</f>
        <v>12</v>
      </c>
      <c r="H2059" s="38" t="n">
        <f aca="false">YEAR(Tabela1[[#This Row],[FECHA]])</f>
        <v>1900</v>
      </c>
      <c r="I20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60" customFormat="false" ht="15" hidden="false" customHeight="false" outlineLevel="0" collapsed="false">
      <c r="A2060" s="41"/>
      <c r="G2060" s="38" t="n">
        <f aca="false">MONTH(A2060)</f>
        <v>12</v>
      </c>
      <c r="H2060" s="38" t="n">
        <f aca="false">YEAR(Tabela1[[#This Row],[FECHA]])</f>
        <v>1900</v>
      </c>
      <c r="I20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61" customFormat="false" ht="15" hidden="false" customHeight="false" outlineLevel="0" collapsed="false">
      <c r="A2061" s="41"/>
      <c r="G2061" s="38" t="n">
        <f aca="false">MONTH(A2061)</f>
        <v>12</v>
      </c>
      <c r="H2061" s="38" t="n">
        <f aca="false">YEAR(Tabela1[[#This Row],[FECHA]])</f>
        <v>1900</v>
      </c>
      <c r="I20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62" customFormat="false" ht="15" hidden="false" customHeight="false" outlineLevel="0" collapsed="false">
      <c r="A2062" s="41"/>
      <c r="G2062" s="38" t="n">
        <f aca="false">MONTH(A2062)</f>
        <v>12</v>
      </c>
      <c r="H2062" s="38" t="n">
        <f aca="false">YEAR(Tabela1[[#This Row],[FECHA]])</f>
        <v>1900</v>
      </c>
      <c r="I20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63" customFormat="false" ht="15" hidden="false" customHeight="false" outlineLevel="0" collapsed="false">
      <c r="A2063" s="41"/>
      <c r="G2063" s="38" t="n">
        <f aca="false">MONTH(A2063)</f>
        <v>12</v>
      </c>
      <c r="H2063" s="38" t="n">
        <f aca="false">YEAR(Tabela1[[#This Row],[FECHA]])</f>
        <v>1900</v>
      </c>
      <c r="I20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64" customFormat="false" ht="15" hidden="false" customHeight="false" outlineLevel="0" collapsed="false">
      <c r="A2064" s="41"/>
      <c r="G2064" s="38" t="n">
        <f aca="false">MONTH(A2064)</f>
        <v>12</v>
      </c>
      <c r="H2064" s="38" t="n">
        <f aca="false">YEAR(Tabela1[[#This Row],[FECHA]])</f>
        <v>1900</v>
      </c>
      <c r="I20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65" customFormat="false" ht="15" hidden="false" customHeight="false" outlineLevel="0" collapsed="false">
      <c r="A2065" s="41"/>
      <c r="G2065" s="38" t="n">
        <f aca="false">MONTH(A2065)</f>
        <v>12</v>
      </c>
      <c r="H2065" s="38" t="n">
        <f aca="false">YEAR(Tabela1[[#This Row],[FECHA]])</f>
        <v>1900</v>
      </c>
      <c r="I20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66" customFormat="false" ht="15" hidden="false" customHeight="false" outlineLevel="0" collapsed="false">
      <c r="A2066" s="41"/>
      <c r="G2066" s="38" t="n">
        <f aca="false">MONTH(A2066)</f>
        <v>12</v>
      </c>
      <c r="H2066" s="38" t="n">
        <f aca="false">YEAR(Tabela1[[#This Row],[FECHA]])</f>
        <v>1900</v>
      </c>
      <c r="I20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67" customFormat="false" ht="15" hidden="false" customHeight="false" outlineLevel="0" collapsed="false">
      <c r="A2067" s="41"/>
      <c r="G2067" s="38" t="n">
        <f aca="false">MONTH(A2067)</f>
        <v>12</v>
      </c>
      <c r="H2067" s="38" t="n">
        <f aca="false">YEAR(Tabela1[[#This Row],[FECHA]])</f>
        <v>1900</v>
      </c>
      <c r="I20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68" customFormat="false" ht="15" hidden="false" customHeight="false" outlineLevel="0" collapsed="false">
      <c r="A2068" s="41"/>
      <c r="G2068" s="38" t="n">
        <f aca="false">MONTH(A2068)</f>
        <v>12</v>
      </c>
      <c r="H2068" s="38" t="n">
        <f aca="false">YEAR(Tabela1[[#This Row],[FECHA]])</f>
        <v>1900</v>
      </c>
      <c r="I20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69" customFormat="false" ht="15" hidden="false" customHeight="false" outlineLevel="0" collapsed="false">
      <c r="A2069" s="41"/>
      <c r="G2069" s="38" t="n">
        <f aca="false">MONTH(A2069)</f>
        <v>12</v>
      </c>
      <c r="H2069" s="38" t="n">
        <f aca="false">YEAR(Tabela1[[#This Row],[FECHA]])</f>
        <v>1900</v>
      </c>
      <c r="I20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70" customFormat="false" ht="15" hidden="false" customHeight="false" outlineLevel="0" collapsed="false">
      <c r="A2070" s="41"/>
      <c r="G2070" s="38" t="n">
        <f aca="false">MONTH(A2070)</f>
        <v>12</v>
      </c>
      <c r="H2070" s="38" t="n">
        <f aca="false">YEAR(Tabela1[[#This Row],[FECHA]])</f>
        <v>1900</v>
      </c>
      <c r="I20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71" customFormat="false" ht="15" hidden="false" customHeight="false" outlineLevel="0" collapsed="false">
      <c r="A2071" s="41"/>
      <c r="G2071" s="38" t="n">
        <f aca="false">MONTH(A2071)</f>
        <v>12</v>
      </c>
      <c r="H2071" s="38" t="n">
        <f aca="false">YEAR(Tabela1[[#This Row],[FECHA]])</f>
        <v>1900</v>
      </c>
      <c r="I20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72" customFormat="false" ht="15" hidden="false" customHeight="false" outlineLevel="0" collapsed="false">
      <c r="A2072" s="41"/>
      <c r="G2072" s="38" t="n">
        <f aca="false">MONTH(A2072)</f>
        <v>12</v>
      </c>
      <c r="H2072" s="38" t="n">
        <f aca="false">YEAR(Tabela1[[#This Row],[FECHA]])</f>
        <v>1900</v>
      </c>
      <c r="I20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73" customFormat="false" ht="15" hidden="false" customHeight="false" outlineLevel="0" collapsed="false">
      <c r="A2073" s="41"/>
      <c r="G2073" s="38" t="n">
        <f aca="false">MONTH(A2073)</f>
        <v>12</v>
      </c>
      <c r="H2073" s="38" t="n">
        <f aca="false">YEAR(Tabela1[[#This Row],[FECHA]])</f>
        <v>1900</v>
      </c>
      <c r="I20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74" customFormat="false" ht="15" hidden="false" customHeight="false" outlineLevel="0" collapsed="false">
      <c r="A2074" s="41"/>
      <c r="G2074" s="38" t="n">
        <f aca="false">MONTH(A2074)</f>
        <v>12</v>
      </c>
      <c r="H2074" s="38" t="n">
        <f aca="false">YEAR(Tabela1[[#This Row],[FECHA]])</f>
        <v>1900</v>
      </c>
      <c r="I20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75" customFormat="false" ht="15" hidden="false" customHeight="false" outlineLevel="0" collapsed="false">
      <c r="A2075" s="41"/>
      <c r="G2075" s="38" t="n">
        <f aca="false">MONTH(A2075)</f>
        <v>12</v>
      </c>
      <c r="H2075" s="38" t="n">
        <f aca="false">YEAR(Tabela1[[#This Row],[FECHA]])</f>
        <v>1900</v>
      </c>
      <c r="I20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76" customFormat="false" ht="15" hidden="false" customHeight="false" outlineLevel="0" collapsed="false">
      <c r="A2076" s="41"/>
      <c r="G2076" s="38" t="n">
        <f aca="false">MONTH(A2076)</f>
        <v>12</v>
      </c>
      <c r="H2076" s="38" t="n">
        <f aca="false">YEAR(Tabela1[[#This Row],[FECHA]])</f>
        <v>1900</v>
      </c>
      <c r="I20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77" customFormat="false" ht="15" hidden="false" customHeight="false" outlineLevel="0" collapsed="false">
      <c r="A2077" s="41"/>
      <c r="G2077" s="38" t="n">
        <f aca="false">MONTH(A2077)</f>
        <v>12</v>
      </c>
      <c r="H2077" s="38" t="n">
        <f aca="false">YEAR(Tabela1[[#This Row],[FECHA]])</f>
        <v>1900</v>
      </c>
      <c r="I20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78" customFormat="false" ht="15" hidden="false" customHeight="false" outlineLevel="0" collapsed="false">
      <c r="A2078" s="41"/>
      <c r="G2078" s="38" t="n">
        <f aca="false">MONTH(A2078)</f>
        <v>12</v>
      </c>
      <c r="H2078" s="38" t="n">
        <f aca="false">YEAR(Tabela1[[#This Row],[FECHA]])</f>
        <v>1900</v>
      </c>
      <c r="I20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79" customFormat="false" ht="15" hidden="false" customHeight="false" outlineLevel="0" collapsed="false">
      <c r="A2079" s="41"/>
      <c r="G2079" s="38" t="n">
        <f aca="false">MONTH(A2079)</f>
        <v>12</v>
      </c>
      <c r="H2079" s="38" t="n">
        <f aca="false">YEAR(Tabela1[[#This Row],[FECHA]])</f>
        <v>1900</v>
      </c>
      <c r="I20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80" customFormat="false" ht="15" hidden="false" customHeight="false" outlineLevel="0" collapsed="false">
      <c r="A2080" s="41"/>
      <c r="G2080" s="38" t="n">
        <f aca="false">MONTH(A2080)</f>
        <v>12</v>
      </c>
      <c r="H2080" s="38" t="n">
        <f aca="false">YEAR(Tabela1[[#This Row],[FECHA]])</f>
        <v>1900</v>
      </c>
      <c r="I20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81" customFormat="false" ht="15" hidden="false" customHeight="false" outlineLevel="0" collapsed="false">
      <c r="A2081" s="41"/>
      <c r="G2081" s="38" t="n">
        <f aca="false">MONTH(A2081)</f>
        <v>12</v>
      </c>
      <c r="H2081" s="38" t="n">
        <f aca="false">YEAR(Tabela1[[#This Row],[FECHA]])</f>
        <v>1900</v>
      </c>
      <c r="I20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82" customFormat="false" ht="15" hidden="false" customHeight="false" outlineLevel="0" collapsed="false">
      <c r="A2082" s="41"/>
      <c r="G2082" s="38" t="n">
        <f aca="false">MONTH(A2082)</f>
        <v>12</v>
      </c>
      <c r="H2082" s="38" t="n">
        <f aca="false">YEAR(Tabela1[[#This Row],[FECHA]])</f>
        <v>1900</v>
      </c>
      <c r="I20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83" customFormat="false" ht="15" hidden="false" customHeight="false" outlineLevel="0" collapsed="false">
      <c r="A2083" s="41"/>
      <c r="G2083" s="38" t="n">
        <f aca="false">MONTH(A2083)</f>
        <v>12</v>
      </c>
      <c r="H2083" s="38" t="n">
        <f aca="false">YEAR(Tabela1[[#This Row],[FECHA]])</f>
        <v>1900</v>
      </c>
      <c r="I20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84" customFormat="false" ht="15" hidden="false" customHeight="false" outlineLevel="0" collapsed="false">
      <c r="A2084" s="41"/>
      <c r="G2084" s="38" t="n">
        <f aca="false">MONTH(A2084)</f>
        <v>12</v>
      </c>
      <c r="H2084" s="38" t="n">
        <f aca="false">YEAR(Tabela1[[#This Row],[FECHA]])</f>
        <v>1900</v>
      </c>
      <c r="I20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85" customFormat="false" ht="15" hidden="false" customHeight="false" outlineLevel="0" collapsed="false">
      <c r="A2085" s="41"/>
      <c r="G2085" s="38" t="n">
        <f aca="false">MONTH(A2085)</f>
        <v>12</v>
      </c>
      <c r="H2085" s="38" t="n">
        <f aca="false">YEAR(Tabela1[[#This Row],[FECHA]])</f>
        <v>1900</v>
      </c>
      <c r="I20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86" customFormat="false" ht="15" hidden="false" customHeight="false" outlineLevel="0" collapsed="false">
      <c r="A2086" s="41"/>
      <c r="G2086" s="38" t="n">
        <f aca="false">MONTH(A2086)</f>
        <v>12</v>
      </c>
      <c r="H2086" s="38" t="n">
        <f aca="false">YEAR(Tabela1[[#This Row],[FECHA]])</f>
        <v>1900</v>
      </c>
      <c r="I20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87" customFormat="false" ht="15" hidden="false" customHeight="false" outlineLevel="0" collapsed="false">
      <c r="A2087" s="41"/>
      <c r="G2087" s="38" t="n">
        <f aca="false">MONTH(A2087)</f>
        <v>12</v>
      </c>
      <c r="H2087" s="38" t="n">
        <f aca="false">YEAR(Tabela1[[#This Row],[FECHA]])</f>
        <v>1900</v>
      </c>
      <c r="I20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88" customFormat="false" ht="15" hidden="false" customHeight="false" outlineLevel="0" collapsed="false">
      <c r="A2088" s="41"/>
      <c r="G2088" s="38" t="n">
        <f aca="false">MONTH(A2088)</f>
        <v>12</v>
      </c>
      <c r="H2088" s="38" t="n">
        <f aca="false">YEAR(Tabela1[[#This Row],[FECHA]])</f>
        <v>1900</v>
      </c>
      <c r="I20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89" customFormat="false" ht="15" hidden="false" customHeight="false" outlineLevel="0" collapsed="false">
      <c r="A2089" s="41"/>
      <c r="G2089" s="38" t="n">
        <f aca="false">MONTH(A2089)</f>
        <v>12</v>
      </c>
      <c r="H2089" s="38" t="n">
        <f aca="false">YEAR(Tabela1[[#This Row],[FECHA]])</f>
        <v>1900</v>
      </c>
      <c r="I20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90" customFormat="false" ht="15" hidden="false" customHeight="false" outlineLevel="0" collapsed="false">
      <c r="A2090" s="41"/>
      <c r="G2090" s="38" t="n">
        <f aca="false">MONTH(A2090)</f>
        <v>12</v>
      </c>
      <c r="H2090" s="38" t="n">
        <f aca="false">YEAR(Tabela1[[#This Row],[FECHA]])</f>
        <v>1900</v>
      </c>
      <c r="I20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91" customFormat="false" ht="15" hidden="false" customHeight="false" outlineLevel="0" collapsed="false">
      <c r="A2091" s="41"/>
      <c r="G2091" s="38" t="n">
        <f aca="false">MONTH(A2091)</f>
        <v>12</v>
      </c>
      <c r="H2091" s="38" t="n">
        <f aca="false">YEAR(Tabela1[[#This Row],[FECHA]])</f>
        <v>1900</v>
      </c>
      <c r="I20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92" customFormat="false" ht="15" hidden="false" customHeight="false" outlineLevel="0" collapsed="false">
      <c r="A2092" s="41"/>
      <c r="G2092" s="38" t="n">
        <f aca="false">MONTH(A2092)</f>
        <v>12</v>
      </c>
      <c r="H2092" s="38" t="n">
        <f aca="false">YEAR(Tabela1[[#This Row],[FECHA]])</f>
        <v>1900</v>
      </c>
      <c r="I20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93" customFormat="false" ht="15" hidden="false" customHeight="false" outlineLevel="0" collapsed="false">
      <c r="A2093" s="41"/>
      <c r="G2093" s="38" t="n">
        <f aca="false">MONTH(A2093)</f>
        <v>12</v>
      </c>
      <c r="H2093" s="38" t="n">
        <f aca="false">YEAR(Tabela1[[#This Row],[FECHA]])</f>
        <v>1900</v>
      </c>
      <c r="I20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94" customFormat="false" ht="15" hidden="false" customHeight="false" outlineLevel="0" collapsed="false">
      <c r="A2094" s="41"/>
      <c r="G2094" s="38" t="n">
        <f aca="false">MONTH(A2094)</f>
        <v>12</v>
      </c>
      <c r="H2094" s="38" t="n">
        <f aca="false">YEAR(Tabela1[[#This Row],[FECHA]])</f>
        <v>1900</v>
      </c>
      <c r="I20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95" customFormat="false" ht="15" hidden="false" customHeight="false" outlineLevel="0" collapsed="false">
      <c r="A2095" s="41"/>
      <c r="G2095" s="38" t="n">
        <f aca="false">MONTH(A2095)</f>
        <v>12</v>
      </c>
      <c r="H2095" s="38" t="n">
        <f aca="false">YEAR(Tabela1[[#This Row],[FECHA]])</f>
        <v>1900</v>
      </c>
      <c r="I20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96" customFormat="false" ht="15" hidden="false" customHeight="false" outlineLevel="0" collapsed="false">
      <c r="A2096" s="41"/>
      <c r="G2096" s="38" t="n">
        <f aca="false">MONTH(A2096)</f>
        <v>12</v>
      </c>
      <c r="H2096" s="38" t="n">
        <f aca="false">YEAR(Tabela1[[#This Row],[FECHA]])</f>
        <v>1900</v>
      </c>
      <c r="I20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97" customFormat="false" ht="15" hidden="false" customHeight="false" outlineLevel="0" collapsed="false">
      <c r="A2097" s="41"/>
      <c r="G2097" s="38" t="n">
        <f aca="false">MONTH(A2097)</f>
        <v>12</v>
      </c>
      <c r="H2097" s="38" t="n">
        <f aca="false">YEAR(Tabela1[[#This Row],[FECHA]])</f>
        <v>1900</v>
      </c>
      <c r="I20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98" customFormat="false" ht="15" hidden="false" customHeight="false" outlineLevel="0" collapsed="false">
      <c r="A2098" s="41"/>
      <c r="G2098" s="38" t="n">
        <f aca="false">MONTH(A2098)</f>
        <v>12</v>
      </c>
      <c r="H2098" s="38" t="n">
        <f aca="false">YEAR(Tabela1[[#This Row],[FECHA]])</f>
        <v>1900</v>
      </c>
      <c r="I20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099" customFormat="false" ht="15" hidden="false" customHeight="false" outlineLevel="0" collapsed="false">
      <c r="A2099" s="41"/>
      <c r="G2099" s="38" t="n">
        <f aca="false">MONTH(A2099)</f>
        <v>12</v>
      </c>
      <c r="H2099" s="38" t="n">
        <f aca="false">YEAR(Tabela1[[#This Row],[FECHA]])</f>
        <v>1900</v>
      </c>
      <c r="I20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00" customFormat="false" ht="15" hidden="false" customHeight="false" outlineLevel="0" collapsed="false">
      <c r="A2100" s="41"/>
      <c r="G2100" s="38" t="n">
        <f aca="false">MONTH(A2100)</f>
        <v>12</v>
      </c>
      <c r="H2100" s="38" t="n">
        <f aca="false">YEAR(Tabela1[[#This Row],[FECHA]])</f>
        <v>1900</v>
      </c>
      <c r="I21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01" customFormat="false" ht="15" hidden="false" customHeight="false" outlineLevel="0" collapsed="false">
      <c r="A2101" s="41"/>
      <c r="G2101" s="38" t="n">
        <f aca="false">MONTH(A2101)</f>
        <v>12</v>
      </c>
      <c r="H2101" s="38" t="n">
        <f aca="false">YEAR(Tabela1[[#This Row],[FECHA]])</f>
        <v>1900</v>
      </c>
      <c r="I21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02" customFormat="false" ht="15" hidden="false" customHeight="false" outlineLevel="0" collapsed="false">
      <c r="A2102" s="41"/>
      <c r="G2102" s="38" t="n">
        <f aca="false">MONTH(A2102)</f>
        <v>12</v>
      </c>
      <c r="H2102" s="38" t="n">
        <f aca="false">YEAR(Tabela1[[#This Row],[FECHA]])</f>
        <v>1900</v>
      </c>
      <c r="I21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03" customFormat="false" ht="15" hidden="false" customHeight="false" outlineLevel="0" collapsed="false">
      <c r="A2103" s="41"/>
      <c r="G2103" s="38" t="n">
        <f aca="false">MONTH(A2103)</f>
        <v>12</v>
      </c>
      <c r="H2103" s="38" t="n">
        <f aca="false">YEAR(Tabela1[[#This Row],[FECHA]])</f>
        <v>1900</v>
      </c>
      <c r="I21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04" customFormat="false" ht="15" hidden="false" customHeight="false" outlineLevel="0" collapsed="false">
      <c r="A2104" s="41"/>
      <c r="G2104" s="38" t="n">
        <f aca="false">MONTH(A2104)</f>
        <v>12</v>
      </c>
      <c r="H2104" s="38" t="n">
        <f aca="false">YEAR(Tabela1[[#This Row],[FECHA]])</f>
        <v>1900</v>
      </c>
      <c r="I21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05" customFormat="false" ht="15" hidden="false" customHeight="false" outlineLevel="0" collapsed="false">
      <c r="A2105" s="41"/>
      <c r="G2105" s="38" t="n">
        <f aca="false">MONTH(A2105)</f>
        <v>12</v>
      </c>
      <c r="H2105" s="38" t="n">
        <f aca="false">YEAR(Tabela1[[#This Row],[FECHA]])</f>
        <v>1900</v>
      </c>
      <c r="I21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06" customFormat="false" ht="15" hidden="false" customHeight="false" outlineLevel="0" collapsed="false">
      <c r="A2106" s="41"/>
      <c r="G2106" s="38" t="n">
        <f aca="false">MONTH(A2106)</f>
        <v>12</v>
      </c>
      <c r="H2106" s="38" t="n">
        <f aca="false">YEAR(Tabela1[[#This Row],[FECHA]])</f>
        <v>1900</v>
      </c>
      <c r="I21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07" customFormat="false" ht="15" hidden="false" customHeight="false" outlineLevel="0" collapsed="false">
      <c r="A2107" s="41"/>
      <c r="G2107" s="38" t="n">
        <f aca="false">MONTH(A2107)</f>
        <v>12</v>
      </c>
      <c r="H2107" s="38" t="n">
        <f aca="false">YEAR(Tabela1[[#This Row],[FECHA]])</f>
        <v>1900</v>
      </c>
      <c r="I21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08" customFormat="false" ht="15" hidden="false" customHeight="false" outlineLevel="0" collapsed="false">
      <c r="A2108" s="41"/>
      <c r="G2108" s="38" t="n">
        <f aca="false">MONTH(A2108)</f>
        <v>12</v>
      </c>
      <c r="H2108" s="38" t="n">
        <f aca="false">YEAR(Tabela1[[#This Row],[FECHA]])</f>
        <v>1900</v>
      </c>
      <c r="I21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09" customFormat="false" ht="15" hidden="false" customHeight="false" outlineLevel="0" collapsed="false">
      <c r="A2109" s="41"/>
      <c r="G2109" s="38" t="n">
        <f aca="false">MONTH(A2109)</f>
        <v>12</v>
      </c>
      <c r="H2109" s="38" t="n">
        <f aca="false">YEAR(Tabela1[[#This Row],[FECHA]])</f>
        <v>1900</v>
      </c>
      <c r="I21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10" customFormat="false" ht="15" hidden="false" customHeight="false" outlineLevel="0" collapsed="false">
      <c r="A2110" s="41"/>
      <c r="G2110" s="38" t="n">
        <f aca="false">MONTH(A2110)</f>
        <v>12</v>
      </c>
      <c r="H2110" s="38" t="n">
        <f aca="false">YEAR(Tabela1[[#This Row],[FECHA]])</f>
        <v>1900</v>
      </c>
      <c r="I21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11" customFormat="false" ht="15" hidden="false" customHeight="false" outlineLevel="0" collapsed="false">
      <c r="A2111" s="41"/>
      <c r="G2111" s="38" t="n">
        <f aca="false">MONTH(A2111)</f>
        <v>12</v>
      </c>
      <c r="H2111" s="38" t="n">
        <f aca="false">YEAR(Tabela1[[#This Row],[FECHA]])</f>
        <v>1900</v>
      </c>
      <c r="I21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12" customFormat="false" ht="15" hidden="false" customHeight="false" outlineLevel="0" collapsed="false">
      <c r="A2112" s="41"/>
      <c r="G2112" s="38" t="n">
        <f aca="false">MONTH(A2112)</f>
        <v>12</v>
      </c>
      <c r="H2112" s="38" t="n">
        <f aca="false">YEAR(Tabela1[[#This Row],[FECHA]])</f>
        <v>1900</v>
      </c>
      <c r="I21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13" customFormat="false" ht="15" hidden="false" customHeight="false" outlineLevel="0" collapsed="false">
      <c r="A2113" s="41"/>
      <c r="G2113" s="38" t="n">
        <f aca="false">MONTH(A2113)</f>
        <v>12</v>
      </c>
      <c r="H2113" s="38" t="n">
        <f aca="false">YEAR(Tabela1[[#This Row],[FECHA]])</f>
        <v>1900</v>
      </c>
      <c r="I21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14" customFormat="false" ht="15" hidden="false" customHeight="false" outlineLevel="0" collapsed="false">
      <c r="A2114" s="41"/>
      <c r="G2114" s="38" t="n">
        <f aca="false">MONTH(A2114)</f>
        <v>12</v>
      </c>
      <c r="H2114" s="38" t="n">
        <f aca="false">YEAR(Tabela1[[#This Row],[FECHA]])</f>
        <v>1900</v>
      </c>
      <c r="I21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15" customFormat="false" ht="15" hidden="false" customHeight="false" outlineLevel="0" collapsed="false">
      <c r="A2115" s="41"/>
      <c r="G2115" s="38" t="n">
        <f aca="false">MONTH(A2115)</f>
        <v>12</v>
      </c>
      <c r="H2115" s="38" t="n">
        <f aca="false">YEAR(Tabela1[[#This Row],[FECHA]])</f>
        <v>1900</v>
      </c>
      <c r="I21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16" customFormat="false" ht="15" hidden="false" customHeight="false" outlineLevel="0" collapsed="false">
      <c r="A2116" s="41"/>
      <c r="G2116" s="38" t="n">
        <f aca="false">MONTH(A2116)</f>
        <v>12</v>
      </c>
      <c r="H2116" s="38" t="n">
        <f aca="false">YEAR(Tabela1[[#This Row],[FECHA]])</f>
        <v>1900</v>
      </c>
      <c r="I21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17" customFormat="false" ht="15" hidden="false" customHeight="false" outlineLevel="0" collapsed="false">
      <c r="A2117" s="41"/>
      <c r="G2117" s="38" t="n">
        <f aca="false">MONTH(A2117)</f>
        <v>12</v>
      </c>
      <c r="H2117" s="38" t="n">
        <f aca="false">YEAR(Tabela1[[#This Row],[FECHA]])</f>
        <v>1900</v>
      </c>
      <c r="I21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18" customFormat="false" ht="15" hidden="false" customHeight="false" outlineLevel="0" collapsed="false">
      <c r="A2118" s="41"/>
      <c r="G2118" s="38" t="n">
        <f aca="false">MONTH(A2118)</f>
        <v>12</v>
      </c>
      <c r="H2118" s="38" t="n">
        <f aca="false">YEAR(Tabela1[[#This Row],[FECHA]])</f>
        <v>1900</v>
      </c>
      <c r="I21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19" customFormat="false" ht="15" hidden="false" customHeight="false" outlineLevel="0" collapsed="false">
      <c r="A2119" s="41"/>
      <c r="G2119" s="38" t="n">
        <f aca="false">MONTH(A2119)</f>
        <v>12</v>
      </c>
      <c r="H2119" s="38" t="n">
        <f aca="false">YEAR(Tabela1[[#This Row],[FECHA]])</f>
        <v>1900</v>
      </c>
      <c r="I21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20" customFormat="false" ht="15" hidden="false" customHeight="false" outlineLevel="0" collapsed="false">
      <c r="A2120" s="41"/>
      <c r="G2120" s="38" t="n">
        <f aca="false">MONTH(A2120)</f>
        <v>12</v>
      </c>
      <c r="H2120" s="38" t="n">
        <f aca="false">YEAR(Tabela1[[#This Row],[FECHA]])</f>
        <v>1900</v>
      </c>
      <c r="I21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21" customFormat="false" ht="15" hidden="false" customHeight="false" outlineLevel="0" collapsed="false">
      <c r="A2121" s="41"/>
      <c r="G2121" s="38" t="n">
        <f aca="false">MONTH(A2121)</f>
        <v>12</v>
      </c>
      <c r="H2121" s="38" t="n">
        <f aca="false">YEAR(Tabela1[[#This Row],[FECHA]])</f>
        <v>1900</v>
      </c>
      <c r="I21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22" customFormat="false" ht="15" hidden="false" customHeight="false" outlineLevel="0" collapsed="false">
      <c r="A2122" s="41"/>
      <c r="G2122" s="38" t="n">
        <f aca="false">MONTH(A2122)</f>
        <v>12</v>
      </c>
      <c r="H2122" s="38" t="n">
        <f aca="false">YEAR(Tabela1[[#This Row],[FECHA]])</f>
        <v>1900</v>
      </c>
      <c r="I21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23" customFormat="false" ht="15" hidden="false" customHeight="false" outlineLevel="0" collapsed="false">
      <c r="A2123" s="41"/>
      <c r="G2123" s="38" t="n">
        <f aca="false">MONTH(A2123)</f>
        <v>12</v>
      </c>
      <c r="H2123" s="38" t="n">
        <f aca="false">YEAR(Tabela1[[#This Row],[FECHA]])</f>
        <v>1900</v>
      </c>
      <c r="I21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24" customFormat="false" ht="15" hidden="false" customHeight="false" outlineLevel="0" collapsed="false">
      <c r="A2124" s="41"/>
      <c r="G2124" s="38" t="n">
        <f aca="false">MONTH(A2124)</f>
        <v>12</v>
      </c>
      <c r="H2124" s="38" t="n">
        <f aca="false">YEAR(Tabela1[[#This Row],[FECHA]])</f>
        <v>1900</v>
      </c>
      <c r="I21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25" customFormat="false" ht="15" hidden="false" customHeight="false" outlineLevel="0" collapsed="false">
      <c r="A2125" s="41"/>
      <c r="G2125" s="38" t="n">
        <f aca="false">MONTH(A2125)</f>
        <v>12</v>
      </c>
      <c r="H2125" s="38" t="n">
        <f aca="false">YEAR(Tabela1[[#This Row],[FECHA]])</f>
        <v>1900</v>
      </c>
      <c r="I21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26" customFormat="false" ht="15" hidden="false" customHeight="false" outlineLevel="0" collapsed="false">
      <c r="A2126" s="41"/>
      <c r="G2126" s="38" t="n">
        <f aca="false">MONTH(A2126)</f>
        <v>12</v>
      </c>
      <c r="H2126" s="38" t="n">
        <f aca="false">YEAR(Tabela1[[#This Row],[FECHA]])</f>
        <v>1900</v>
      </c>
      <c r="I21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27" customFormat="false" ht="15" hidden="false" customHeight="false" outlineLevel="0" collapsed="false">
      <c r="A2127" s="41"/>
      <c r="G2127" s="38" t="n">
        <f aca="false">MONTH(A2127)</f>
        <v>12</v>
      </c>
      <c r="H2127" s="38" t="n">
        <f aca="false">YEAR(Tabela1[[#This Row],[FECHA]])</f>
        <v>1900</v>
      </c>
      <c r="I21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28" customFormat="false" ht="15" hidden="false" customHeight="false" outlineLevel="0" collapsed="false">
      <c r="A2128" s="41"/>
      <c r="G2128" s="38" t="n">
        <f aca="false">MONTH(A2128)</f>
        <v>12</v>
      </c>
      <c r="H2128" s="38" t="n">
        <f aca="false">YEAR(Tabela1[[#This Row],[FECHA]])</f>
        <v>1900</v>
      </c>
      <c r="I21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29" customFormat="false" ht="15" hidden="false" customHeight="false" outlineLevel="0" collapsed="false">
      <c r="A2129" s="41"/>
      <c r="G2129" s="38" t="n">
        <f aca="false">MONTH(A2129)</f>
        <v>12</v>
      </c>
      <c r="H2129" s="38" t="n">
        <f aca="false">YEAR(Tabela1[[#This Row],[FECHA]])</f>
        <v>1900</v>
      </c>
      <c r="I21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30" customFormat="false" ht="15" hidden="false" customHeight="false" outlineLevel="0" collapsed="false">
      <c r="A2130" s="41"/>
      <c r="G2130" s="38" t="n">
        <f aca="false">MONTH(A2130)</f>
        <v>12</v>
      </c>
      <c r="H2130" s="38" t="n">
        <f aca="false">YEAR(Tabela1[[#This Row],[FECHA]])</f>
        <v>1900</v>
      </c>
      <c r="I21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31" customFormat="false" ht="15" hidden="false" customHeight="false" outlineLevel="0" collapsed="false">
      <c r="A2131" s="41"/>
      <c r="G2131" s="38" t="n">
        <f aca="false">MONTH(A2131)</f>
        <v>12</v>
      </c>
      <c r="H2131" s="38" t="n">
        <f aca="false">YEAR(Tabela1[[#This Row],[FECHA]])</f>
        <v>1900</v>
      </c>
      <c r="I21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32" customFormat="false" ht="15" hidden="false" customHeight="false" outlineLevel="0" collapsed="false">
      <c r="A2132" s="41"/>
      <c r="G2132" s="38" t="n">
        <f aca="false">MONTH(A2132)</f>
        <v>12</v>
      </c>
      <c r="H2132" s="38" t="n">
        <f aca="false">YEAR(Tabela1[[#This Row],[FECHA]])</f>
        <v>1900</v>
      </c>
      <c r="I21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33" customFormat="false" ht="15" hidden="false" customHeight="false" outlineLevel="0" collapsed="false">
      <c r="A2133" s="41"/>
      <c r="G2133" s="38" t="n">
        <f aca="false">MONTH(A2133)</f>
        <v>12</v>
      </c>
      <c r="H2133" s="38" t="n">
        <f aca="false">YEAR(Tabela1[[#This Row],[FECHA]])</f>
        <v>1900</v>
      </c>
      <c r="I21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34" customFormat="false" ht="15" hidden="false" customHeight="false" outlineLevel="0" collapsed="false">
      <c r="A2134" s="41"/>
      <c r="G2134" s="38" t="n">
        <f aca="false">MONTH(A2134)</f>
        <v>12</v>
      </c>
      <c r="H2134" s="38" t="n">
        <f aca="false">YEAR(Tabela1[[#This Row],[FECHA]])</f>
        <v>1900</v>
      </c>
      <c r="I21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35" customFormat="false" ht="15" hidden="false" customHeight="false" outlineLevel="0" collapsed="false">
      <c r="A2135" s="41"/>
      <c r="G2135" s="38" t="n">
        <f aca="false">MONTH(A2135)</f>
        <v>12</v>
      </c>
      <c r="H2135" s="38" t="n">
        <f aca="false">YEAR(Tabela1[[#This Row],[FECHA]])</f>
        <v>1900</v>
      </c>
      <c r="I21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36" customFormat="false" ht="15" hidden="false" customHeight="false" outlineLevel="0" collapsed="false">
      <c r="A2136" s="41"/>
      <c r="G2136" s="38" t="n">
        <f aca="false">MONTH(A2136)</f>
        <v>12</v>
      </c>
      <c r="H2136" s="38" t="n">
        <f aca="false">YEAR(Tabela1[[#This Row],[FECHA]])</f>
        <v>1900</v>
      </c>
      <c r="I21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37" customFormat="false" ht="15" hidden="false" customHeight="false" outlineLevel="0" collapsed="false">
      <c r="A2137" s="41"/>
      <c r="G2137" s="38" t="n">
        <f aca="false">MONTH(A2137)</f>
        <v>12</v>
      </c>
      <c r="H2137" s="38" t="n">
        <f aca="false">YEAR(Tabela1[[#This Row],[FECHA]])</f>
        <v>1900</v>
      </c>
      <c r="I21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38" customFormat="false" ht="15" hidden="false" customHeight="false" outlineLevel="0" collapsed="false">
      <c r="A2138" s="41"/>
      <c r="G2138" s="38" t="n">
        <f aca="false">MONTH(A2138)</f>
        <v>12</v>
      </c>
      <c r="H2138" s="38" t="n">
        <f aca="false">YEAR(Tabela1[[#This Row],[FECHA]])</f>
        <v>1900</v>
      </c>
      <c r="I21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39" customFormat="false" ht="15" hidden="false" customHeight="false" outlineLevel="0" collapsed="false">
      <c r="A2139" s="41"/>
      <c r="G2139" s="38" t="n">
        <f aca="false">MONTH(A2139)</f>
        <v>12</v>
      </c>
      <c r="H2139" s="38" t="n">
        <f aca="false">YEAR(Tabela1[[#This Row],[FECHA]])</f>
        <v>1900</v>
      </c>
      <c r="I21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40" customFormat="false" ht="15" hidden="false" customHeight="false" outlineLevel="0" collapsed="false">
      <c r="A2140" s="41"/>
      <c r="G2140" s="38" t="n">
        <f aca="false">MONTH(A2140)</f>
        <v>12</v>
      </c>
      <c r="H2140" s="38" t="n">
        <f aca="false">YEAR(Tabela1[[#This Row],[FECHA]])</f>
        <v>1900</v>
      </c>
      <c r="I21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41" customFormat="false" ht="15" hidden="false" customHeight="false" outlineLevel="0" collapsed="false">
      <c r="A2141" s="41"/>
      <c r="G2141" s="38" t="n">
        <f aca="false">MONTH(A2141)</f>
        <v>12</v>
      </c>
      <c r="H2141" s="38" t="n">
        <f aca="false">YEAR(Tabela1[[#This Row],[FECHA]])</f>
        <v>1900</v>
      </c>
      <c r="I21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42" customFormat="false" ht="15" hidden="false" customHeight="false" outlineLevel="0" collapsed="false">
      <c r="A2142" s="41"/>
      <c r="G2142" s="38" t="n">
        <f aca="false">MONTH(A2142)</f>
        <v>12</v>
      </c>
      <c r="H2142" s="38" t="n">
        <f aca="false">YEAR(Tabela1[[#This Row],[FECHA]])</f>
        <v>1900</v>
      </c>
      <c r="I21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43" customFormat="false" ht="15" hidden="false" customHeight="false" outlineLevel="0" collapsed="false">
      <c r="A2143" s="41"/>
      <c r="G2143" s="38" t="n">
        <f aca="false">MONTH(A2143)</f>
        <v>12</v>
      </c>
      <c r="H2143" s="38" t="n">
        <f aca="false">YEAR(Tabela1[[#This Row],[FECHA]])</f>
        <v>1900</v>
      </c>
      <c r="I21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44" customFormat="false" ht="15" hidden="false" customHeight="false" outlineLevel="0" collapsed="false">
      <c r="A2144" s="41"/>
      <c r="G2144" s="38" t="n">
        <f aca="false">MONTH(A2144)</f>
        <v>12</v>
      </c>
      <c r="H2144" s="38" t="n">
        <f aca="false">YEAR(Tabela1[[#This Row],[FECHA]])</f>
        <v>1900</v>
      </c>
      <c r="I21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45" customFormat="false" ht="15" hidden="false" customHeight="false" outlineLevel="0" collapsed="false">
      <c r="A2145" s="41"/>
      <c r="G2145" s="38" t="n">
        <f aca="false">MONTH(A2145)</f>
        <v>12</v>
      </c>
      <c r="H2145" s="38" t="n">
        <f aca="false">YEAR(Tabela1[[#This Row],[FECHA]])</f>
        <v>1900</v>
      </c>
      <c r="I21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46" customFormat="false" ht="15" hidden="false" customHeight="false" outlineLevel="0" collapsed="false">
      <c r="A2146" s="41"/>
      <c r="G2146" s="38" t="n">
        <f aca="false">MONTH(A2146)</f>
        <v>12</v>
      </c>
      <c r="H2146" s="38" t="n">
        <f aca="false">YEAR(Tabela1[[#This Row],[FECHA]])</f>
        <v>1900</v>
      </c>
      <c r="I21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47" customFormat="false" ht="15" hidden="false" customHeight="false" outlineLevel="0" collapsed="false">
      <c r="A2147" s="41"/>
      <c r="G2147" s="38" t="n">
        <f aca="false">MONTH(A2147)</f>
        <v>12</v>
      </c>
      <c r="H2147" s="38" t="n">
        <f aca="false">YEAR(Tabela1[[#This Row],[FECHA]])</f>
        <v>1900</v>
      </c>
      <c r="I21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48" customFormat="false" ht="15" hidden="false" customHeight="false" outlineLevel="0" collapsed="false">
      <c r="A2148" s="41"/>
      <c r="G2148" s="38" t="n">
        <f aca="false">MONTH(A2148)</f>
        <v>12</v>
      </c>
      <c r="H2148" s="38" t="n">
        <f aca="false">YEAR(Tabela1[[#This Row],[FECHA]])</f>
        <v>1900</v>
      </c>
      <c r="I21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49" customFormat="false" ht="15" hidden="false" customHeight="false" outlineLevel="0" collapsed="false">
      <c r="A2149" s="41"/>
      <c r="G2149" s="38" t="n">
        <f aca="false">MONTH(A2149)</f>
        <v>12</v>
      </c>
      <c r="H2149" s="38" t="n">
        <f aca="false">YEAR(Tabela1[[#This Row],[FECHA]])</f>
        <v>1900</v>
      </c>
      <c r="I21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50" customFormat="false" ht="15" hidden="false" customHeight="false" outlineLevel="0" collapsed="false">
      <c r="A2150" s="41"/>
      <c r="G2150" s="38" t="n">
        <f aca="false">MONTH(A2150)</f>
        <v>12</v>
      </c>
      <c r="H2150" s="38" t="n">
        <f aca="false">YEAR(Tabela1[[#This Row],[FECHA]])</f>
        <v>1900</v>
      </c>
      <c r="I21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51" customFormat="false" ht="15" hidden="false" customHeight="false" outlineLevel="0" collapsed="false">
      <c r="A2151" s="41"/>
      <c r="G2151" s="38" t="n">
        <f aca="false">MONTH(A2151)</f>
        <v>12</v>
      </c>
      <c r="H2151" s="38" t="n">
        <f aca="false">YEAR(Tabela1[[#This Row],[FECHA]])</f>
        <v>1900</v>
      </c>
      <c r="I21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52" customFormat="false" ht="15" hidden="false" customHeight="false" outlineLevel="0" collapsed="false">
      <c r="A2152" s="41"/>
      <c r="G2152" s="38" t="n">
        <f aca="false">MONTH(A2152)</f>
        <v>12</v>
      </c>
      <c r="H2152" s="38" t="n">
        <f aca="false">YEAR(Tabela1[[#This Row],[FECHA]])</f>
        <v>1900</v>
      </c>
      <c r="I21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53" customFormat="false" ht="15" hidden="false" customHeight="false" outlineLevel="0" collapsed="false">
      <c r="A2153" s="41"/>
      <c r="G2153" s="38" t="n">
        <f aca="false">MONTH(A2153)</f>
        <v>12</v>
      </c>
      <c r="H2153" s="38" t="n">
        <f aca="false">YEAR(Tabela1[[#This Row],[FECHA]])</f>
        <v>1900</v>
      </c>
      <c r="I21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54" customFormat="false" ht="15" hidden="false" customHeight="false" outlineLevel="0" collapsed="false">
      <c r="A2154" s="41"/>
      <c r="G2154" s="38" t="n">
        <f aca="false">MONTH(A2154)</f>
        <v>12</v>
      </c>
      <c r="H2154" s="38" t="n">
        <f aca="false">YEAR(Tabela1[[#This Row],[FECHA]])</f>
        <v>1900</v>
      </c>
      <c r="I21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55" customFormat="false" ht="15" hidden="false" customHeight="false" outlineLevel="0" collapsed="false">
      <c r="A2155" s="41"/>
      <c r="G2155" s="38" t="n">
        <f aca="false">MONTH(A2155)</f>
        <v>12</v>
      </c>
      <c r="H2155" s="38" t="n">
        <f aca="false">YEAR(Tabela1[[#This Row],[FECHA]])</f>
        <v>1900</v>
      </c>
      <c r="I21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56" customFormat="false" ht="15" hidden="false" customHeight="false" outlineLevel="0" collapsed="false">
      <c r="A2156" s="41"/>
      <c r="G2156" s="38" t="n">
        <f aca="false">MONTH(A2156)</f>
        <v>12</v>
      </c>
      <c r="H2156" s="38" t="n">
        <f aca="false">YEAR(Tabela1[[#This Row],[FECHA]])</f>
        <v>1900</v>
      </c>
      <c r="I21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57" customFormat="false" ht="15" hidden="false" customHeight="false" outlineLevel="0" collapsed="false">
      <c r="A2157" s="41"/>
      <c r="G2157" s="38" t="n">
        <f aca="false">MONTH(A2157)</f>
        <v>12</v>
      </c>
      <c r="H2157" s="38" t="n">
        <f aca="false">YEAR(Tabela1[[#This Row],[FECHA]])</f>
        <v>1900</v>
      </c>
      <c r="I21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58" customFormat="false" ht="15" hidden="false" customHeight="false" outlineLevel="0" collapsed="false">
      <c r="A2158" s="41"/>
      <c r="G2158" s="38" t="n">
        <f aca="false">MONTH(A2158)</f>
        <v>12</v>
      </c>
      <c r="H2158" s="38" t="n">
        <f aca="false">YEAR(Tabela1[[#This Row],[FECHA]])</f>
        <v>1900</v>
      </c>
      <c r="I21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59" customFormat="false" ht="15" hidden="false" customHeight="false" outlineLevel="0" collapsed="false">
      <c r="A2159" s="41"/>
      <c r="G2159" s="38" t="n">
        <f aca="false">MONTH(A2159)</f>
        <v>12</v>
      </c>
      <c r="H2159" s="38" t="n">
        <f aca="false">YEAR(Tabela1[[#This Row],[FECHA]])</f>
        <v>1900</v>
      </c>
      <c r="I21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60" customFormat="false" ht="15" hidden="false" customHeight="false" outlineLevel="0" collapsed="false">
      <c r="A2160" s="41"/>
      <c r="G2160" s="38" t="n">
        <f aca="false">MONTH(A2160)</f>
        <v>12</v>
      </c>
      <c r="H2160" s="38" t="n">
        <f aca="false">YEAR(Tabela1[[#This Row],[FECHA]])</f>
        <v>1900</v>
      </c>
      <c r="I21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61" customFormat="false" ht="15" hidden="false" customHeight="false" outlineLevel="0" collapsed="false">
      <c r="A2161" s="41"/>
      <c r="G2161" s="38" t="n">
        <f aca="false">MONTH(A2161)</f>
        <v>12</v>
      </c>
      <c r="H2161" s="38" t="n">
        <f aca="false">YEAR(Tabela1[[#This Row],[FECHA]])</f>
        <v>1900</v>
      </c>
      <c r="I21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62" customFormat="false" ht="15" hidden="false" customHeight="false" outlineLevel="0" collapsed="false">
      <c r="A2162" s="41"/>
      <c r="G2162" s="38" t="n">
        <f aca="false">MONTH(A2162)</f>
        <v>12</v>
      </c>
      <c r="H2162" s="38" t="n">
        <f aca="false">YEAR(Tabela1[[#This Row],[FECHA]])</f>
        <v>1900</v>
      </c>
      <c r="I21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63" customFormat="false" ht="15" hidden="false" customHeight="false" outlineLevel="0" collapsed="false">
      <c r="A2163" s="41"/>
      <c r="G2163" s="38" t="n">
        <f aca="false">MONTH(A2163)</f>
        <v>12</v>
      </c>
      <c r="H2163" s="38" t="n">
        <f aca="false">YEAR(Tabela1[[#This Row],[FECHA]])</f>
        <v>1900</v>
      </c>
      <c r="I21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64" customFormat="false" ht="15" hidden="false" customHeight="false" outlineLevel="0" collapsed="false">
      <c r="A2164" s="41"/>
      <c r="G2164" s="38" t="n">
        <f aca="false">MONTH(A2164)</f>
        <v>12</v>
      </c>
      <c r="H2164" s="38" t="n">
        <f aca="false">YEAR(Tabela1[[#This Row],[FECHA]])</f>
        <v>1900</v>
      </c>
      <c r="I21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65" customFormat="false" ht="15" hidden="false" customHeight="false" outlineLevel="0" collapsed="false">
      <c r="A2165" s="41"/>
      <c r="G2165" s="38" t="n">
        <f aca="false">MONTH(A2165)</f>
        <v>12</v>
      </c>
      <c r="H2165" s="38" t="n">
        <f aca="false">YEAR(Tabela1[[#This Row],[FECHA]])</f>
        <v>1900</v>
      </c>
      <c r="I21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66" customFormat="false" ht="15" hidden="false" customHeight="false" outlineLevel="0" collapsed="false">
      <c r="A2166" s="41"/>
      <c r="G2166" s="38" t="n">
        <f aca="false">MONTH(A2166)</f>
        <v>12</v>
      </c>
      <c r="H2166" s="38" t="n">
        <f aca="false">YEAR(Tabela1[[#This Row],[FECHA]])</f>
        <v>1900</v>
      </c>
      <c r="I21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67" customFormat="false" ht="15" hidden="false" customHeight="false" outlineLevel="0" collapsed="false">
      <c r="A2167" s="41"/>
      <c r="G2167" s="38" t="n">
        <f aca="false">MONTH(A2167)</f>
        <v>12</v>
      </c>
      <c r="H2167" s="38" t="n">
        <f aca="false">YEAR(Tabela1[[#This Row],[FECHA]])</f>
        <v>1900</v>
      </c>
      <c r="I21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68" customFormat="false" ht="15" hidden="false" customHeight="false" outlineLevel="0" collapsed="false">
      <c r="A2168" s="41"/>
      <c r="G2168" s="38" t="n">
        <f aca="false">MONTH(A2168)</f>
        <v>12</v>
      </c>
      <c r="H2168" s="38" t="n">
        <f aca="false">YEAR(Tabela1[[#This Row],[FECHA]])</f>
        <v>1900</v>
      </c>
      <c r="I21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69" customFormat="false" ht="15" hidden="false" customHeight="false" outlineLevel="0" collapsed="false">
      <c r="A2169" s="41"/>
      <c r="G2169" s="38" t="n">
        <f aca="false">MONTH(A2169)</f>
        <v>12</v>
      </c>
      <c r="H2169" s="38" t="n">
        <f aca="false">YEAR(Tabela1[[#This Row],[FECHA]])</f>
        <v>1900</v>
      </c>
      <c r="I21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70" customFormat="false" ht="15" hidden="false" customHeight="false" outlineLevel="0" collapsed="false">
      <c r="A2170" s="41"/>
      <c r="G2170" s="38" t="n">
        <f aca="false">MONTH(A2170)</f>
        <v>12</v>
      </c>
      <c r="H2170" s="38" t="n">
        <f aca="false">YEAR(Tabela1[[#This Row],[FECHA]])</f>
        <v>1900</v>
      </c>
      <c r="I21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71" customFormat="false" ht="15" hidden="false" customHeight="false" outlineLevel="0" collapsed="false">
      <c r="A2171" s="41"/>
      <c r="G2171" s="38" t="n">
        <f aca="false">MONTH(A2171)</f>
        <v>12</v>
      </c>
      <c r="H2171" s="38" t="n">
        <f aca="false">YEAR(Tabela1[[#This Row],[FECHA]])</f>
        <v>1900</v>
      </c>
      <c r="I21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72" customFormat="false" ht="15" hidden="false" customHeight="false" outlineLevel="0" collapsed="false">
      <c r="A2172" s="41"/>
      <c r="G2172" s="38" t="n">
        <f aca="false">MONTH(A2172)</f>
        <v>12</v>
      </c>
      <c r="H2172" s="38" t="n">
        <f aca="false">YEAR(Tabela1[[#This Row],[FECHA]])</f>
        <v>1900</v>
      </c>
      <c r="I21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73" customFormat="false" ht="15" hidden="false" customHeight="false" outlineLevel="0" collapsed="false">
      <c r="A2173" s="41"/>
      <c r="G2173" s="38" t="n">
        <f aca="false">MONTH(A2173)</f>
        <v>12</v>
      </c>
      <c r="H2173" s="38" t="n">
        <f aca="false">YEAR(Tabela1[[#This Row],[FECHA]])</f>
        <v>1900</v>
      </c>
      <c r="I21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74" customFormat="false" ht="15" hidden="false" customHeight="false" outlineLevel="0" collapsed="false">
      <c r="A2174" s="41"/>
      <c r="G2174" s="38" t="n">
        <f aca="false">MONTH(A2174)</f>
        <v>12</v>
      </c>
      <c r="H2174" s="38" t="n">
        <f aca="false">YEAR(Tabela1[[#This Row],[FECHA]])</f>
        <v>1900</v>
      </c>
      <c r="I21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75" customFormat="false" ht="15" hidden="false" customHeight="false" outlineLevel="0" collapsed="false">
      <c r="A2175" s="41"/>
      <c r="G2175" s="38" t="n">
        <f aca="false">MONTH(A2175)</f>
        <v>12</v>
      </c>
      <c r="H2175" s="38" t="n">
        <f aca="false">YEAR(Tabela1[[#This Row],[FECHA]])</f>
        <v>1900</v>
      </c>
      <c r="I21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76" customFormat="false" ht="15" hidden="false" customHeight="false" outlineLevel="0" collapsed="false">
      <c r="A2176" s="41"/>
      <c r="G2176" s="38" t="n">
        <f aca="false">MONTH(A2176)</f>
        <v>12</v>
      </c>
      <c r="H2176" s="38" t="n">
        <f aca="false">YEAR(Tabela1[[#This Row],[FECHA]])</f>
        <v>1900</v>
      </c>
      <c r="I21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77" customFormat="false" ht="15" hidden="false" customHeight="false" outlineLevel="0" collapsed="false">
      <c r="A2177" s="41"/>
      <c r="G2177" s="38" t="n">
        <f aca="false">MONTH(A2177)</f>
        <v>12</v>
      </c>
      <c r="H2177" s="38" t="n">
        <f aca="false">YEAR(Tabela1[[#This Row],[FECHA]])</f>
        <v>1900</v>
      </c>
      <c r="I21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78" customFormat="false" ht="15" hidden="false" customHeight="false" outlineLevel="0" collapsed="false">
      <c r="A2178" s="41"/>
      <c r="G2178" s="38" t="n">
        <f aca="false">MONTH(A2178)</f>
        <v>12</v>
      </c>
      <c r="H2178" s="38" t="n">
        <f aca="false">YEAR(Tabela1[[#This Row],[FECHA]])</f>
        <v>1900</v>
      </c>
      <c r="I21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79" customFormat="false" ht="15" hidden="false" customHeight="false" outlineLevel="0" collapsed="false">
      <c r="A2179" s="41"/>
      <c r="G2179" s="38" t="n">
        <f aca="false">MONTH(A2179)</f>
        <v>12</v>
      </c>
      <c r="H2179" s="38" t="n">
        <f aca="false">YEAR(Tabela1[[#This Row],[FECHA]])</f>
        <v>1900</v>
      </c>
      <c r="I21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80" customFormat="false" ht="15" hidden="false" customHeight="false" outlineLevel="0" collapsed="false">
      <c r="A2180" s="41"/>
      <c r="G2180" s="38" t="n">
        <f aca="false">MONTH(A2180)</f>
        <v>12</v>
      </c>
      <c r="H2180" s="38" t="n">
        <f aca="false">YEAR(Tabela1[[#This Row],[FECHA]])</f>
        <v>1900</v>
      </c>
      <c r="I21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81" customFormat="false" ht="15" hidden="false" customHeight="false" outlineLevel="0" collapsed="false">
      <c r="A2181" s="41"/>
      <c r="G2181" s="38" t="n">
        <f aca="false">MONTH(A2181)</f>
        <v>12</v>
      </c>
      <c r="H2181" s="38" t="n">
        <f aca="false">YEAR(Tabela1[[#This Row],[FECHA]])</f>
        <v>1900</v>
      </c>
      <c r="I21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82" customFormat="false" ht="15" hidden="false" customHeight="false" outlineLevel="0" collapsed="false">
      <c r="A2182" s="41"/>
      <c r="G2182" s="38" t="n">
        <f aca="false">MONTH(A2182)</f>
        <v>12</v>
      </c>
      <c r="H2182" s="38" t="n">
        <f aca="false">YEAR(Tabela1[[#This Row],[FECHA]])</f>
        <v>1900</v>
      </c>
      <c r="I21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83" customFormat="false" ht="15" hidden="false" customHeight="false" outlineLevel="0" collapsed="false">
      <c r="A2183" s="41"/>
      <c r="G2183" s="38" t="n">
        <f aca="false">MONTH(A2183)</f>
        <v>12</v>
      </c>
      <c r="H2183" s="38" t="n">
        <f aca="false">YEAR(Tabela1[[#This Row],[FECHA]])</f>
        <v>1900</v>
      </c>
      <c r="I21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84" customFormat="false" ht="15" hidden="false" customHeight="false" outlineLevel="0" collapsed="false">
      <c r="A2184" s="41"/>
      <c r="G2184" s="38" t="n">
        <f aca="false">MONTH(A2184)</f>
        <v>12</v>
      </c>
      <c r="H2184" s="38" t="n">
        <f aca="false">YEAR(Tabela1[[#This Row],[FECHA]])</f>
        <v>1900</v>
      </c>
      <c r="I21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85" customFormat="false" ht="15" hidden="false" customHeight="false" outlineLevel="0" collapsed="false">
      <c r="A2185" s="41"/>
      <c r="G2185" s="38" t="n">
        <f aca="false">MONTH(A2185)</f>
        <v>12</v>
      </c>
      <c r="H2185" s="38" t="n">
        <f aca="false">YEAR(Tabela1[[#This Row],[FECHA]])</f>
        <v>1900</v>
      </c>
      <c r="I21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86" customFormat="false" ht="15" hidden="false" customHeight="false" outlineLevel="0" collapsed="false">
      <c r="A2186" s="41"/>
      <c r="G2186" s="38" t="n">
        <f aca="false">MONTH(A2186)</f>
        <v>12</v>
      </c>
      <c r="H2186" s="38" t="n">
        <f aca="false">YEAR(Tabela1[[#This Row],[FECHA]])</f>
        <v>1900</v>
      </c>
      <c r="I21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87" customFormat="false" ht="15" hidden="false" customHeight="false" outlineLevel="0" collapsed="false">
      <c r="A2187" s="41"/>
      <c r="G2187" s="38" t="n">
        <f aca="false">MONTH(A2187)</f>
        <v>12</v>
      </c>
      <c r="H2187" s="38" t="n">
        <f aca="false">YEAR(Tabela1[[#This Row],[FECHA]])</f>
        <v>1900</v>
      </c>
      <c r="I21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88" customFormat="false" ht="15" hidden="false" customHeight="false" outlineLevel="0" collapsed="false">
      <c r="A2188" s="41"/>
      <c r="G2188" s="38" t="n">
        <f aca="false">MONTH(A2188)</f>
        <v>12</v>
      </c>
      <c r="H2188" s="38" t="n">
        <f aca="false">YEAR(Tabela1[[#This Row],[FECHA]])</f>
        <v>1900</v>
      </c>
      <c r="I21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89" customFormat="false" ht="15" hidden="false" customHeight="false" outlineLevel="0" collapsed="false">
      <c r="A2189" s="41"/>
      <c r="G2189" s="38" t="n">
        <f aca="false">MONTH(A2189)</f>
        <v>12</v>
      </c>
      <c r="H2189" s="38" t="n">
        <f aca="false">YEAR(Tabela1[[#This Row],[FECHA]])</f>
        <v>1900</v>
      </c>
      <c r="I21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90" customFormat="false" ht="15" hidden="false" customHeight="false" outlineLevel="0" collapsed="false">
      <c r="A2190" s="41"/>
      <c r="G2190" s="38" t="n">
        <f aca="false">MONTH(A2190)</f>
        <v>12</v>
      </c>
      <c r="H2190" s="38" t="n">
        <f aca="false">YEAR(Tabela1[[#This Row],[FECHA]])</f>
        <v>1900</v>
      </c>
      <c r="I21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91" customFormat="false" ht="15" hidden="false" customHeight="false" outlineLevel="0" collapsed="false">
      <c r="A2191" s="41"/>
      <c r="G2191" s="38" t="n">
        <f aca="false">MONTH(A2191)</f>
        <v>12</v>
      </c>
      <c r="H2191" s="38" t="n">
        <f aca="false">YEAR(Tabela1[[#This Row],[FECHA]])</f>
        <v>1900</v>
      </c>
      <c r="I21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92" customFormat="false" ht="15" hidden="false" customHeight="false" outlineLevel="0" collapsed="false">
      <c r="A2192" s="41"/>
      <c r="G2192" s="38" t="n">
        <f aca="false">MONTH(A2192)</f>
        <v>12</v>
      </c>
      <c r="H2192" s="38" t="n">
        <f aca="false">YEAR(Tabela1[[#This Row],[FECHA]])</f>
        <v>1900</v>
      </c>
      <c r="I21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93" customFormat="false" ht="15" hidden="false" customHeight="false" outlineLevel="0" collapsed="false">
      <c r="A2193" s="41"/>
      <c r="G2193" s="38" t="n">
        <f aca="false">MONTH(A2193)</f>
        <v>12</v>
      </c>
      <c r="H2193" s="38" t="n">
        <f aca="false">YEAR(Tabela1[[#This Row],[FECHA]])</f>
        <v>1900</v>
      </c>
      <c r="I21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94" customFormat="false" ht="15" hidden="false" customHeight="false" outlineLevel="0" collapsed="false">
      <c r="A2194" s="41"/>
      <c r="G2194" s="38" t="n">
        <f aca="false">MONTH(A2194)</f>
        <v>12</v>
      </c>
      <c r="H2194" s="38" t="n">
        <f aca="false">YEAR(Tabela1[[#This Row],[FECHA]])</f>
        <v>1900</v>
      </c>
      <c r="I21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95" customFormat="false" ht="15" hidden="false" customHeight="false" outlineLevel="0" collapsed="false">
      <c r="A2195" s="41"/>
      <c r="G2195" s="38" t="n">
        <f aca="false">MONTH(A2195)</f>
        <v>12</v>
      </c>
      <c r="H2195" s="38" t="n">
        <f aca="false">YEAR(Tabela1[[#This Row],[FECHA]])</f>
        <v>1900</v>
      </c>
      <c r="I21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96" customFormat="false" ht="15" hidden="false" customHeight="false" outlineLevel="0" collapsed="false">
      <c r="A2196" s="41"/>
      <c r="G2196" s="38" t="n">
        <f aca="false">MONTH(A2196)</f>
        <v>12</v>
      </c>
      <c r="H2196" s="38" t="n">
        <f aca="false">YEAR(Tabela1[[#This Row],[FECHA]])</f>
        <v>1900</v>
      </c>
      <c r="I21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97" customFormat="false" ht="15" hidden="false" customHeight="false" outlineLevel="0" collapsed="false">
      <c r="A2197" s="41"/>
      <c r="G2197" s="38" t="n">
        <f aca="false">MONTH(A2197)</f>
        <v>12</v>
      </c>
      <c r="H2197" s="38" t="n">
        <f aca="false">YEAR(Tabela1[[#This Row],[FECHA]])</f>
        <v>1900</v>
      </c>
      <c r="I21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98" customFormat="false" ht="15" hidden="false" customHeight="false" outlineLevel="0" collapsed="false">
      <c r="A2198" s="41"/>
      <c r="G2198" s="38" t="n">
        <f aca="false">MONTH(A2198)</f>
        <v>12</v>
      </c>
      <c r="H2198" s="38" t="n">
        <f aca="false">YEAR(Tabela1[[#This Row],[FECHA]])</f>
        <v>1900</v>
      </c>
      <c r="I21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199" customFormat="false" ht="15" hidden="false" customHeight="false" outlineLevel="0" collapsed="false">
      <c r="A2199" s="41"/>
      <c r="G2199" s="38" t="n">
        <f aca="false">MONTH(A2199)</f>
        <v>12</v>
      </c>
      <c r="H2199" s="38" t="n">
        <f aca="false">YEAR(Tabela1[[#This Row],[FECHA]])</f>
        <v>1900</v>
      </c>
      <c r="I21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00" customFormat="false" ht="15" hidden="false" customHeight="false" outlineLevel="0" collapsed="false">
      <c r="A2200" s="41"/>
      <c r="G2200" s="38" t="n">
        <f aca="false">MONTH(A2200)</f>
        <v>12</v>
      </c>
      <c r="H2200" s="38" t="n">
        <f aca="false">YEAR(Tabela1[[#This Row],[FECHA]])</f>
        <v>1900</v>
      </c>
      <c r="I22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01" customFormat="false" ht="15" hidden="false" customHeight="false" outlineLevel="0" collapsed="false">
      <c r="A2201" s="41"/>
      <c r="G2201" s="38" t="n">
        <f aca="false">MONTH(A2201)</f>
        <v>12</v>
      </c>
      <c r="H2201" s="38" t="n">
        <f aca="false">YEAR(Tabela1[[#This Row],[FECHA]])</f>
        <v>1900</v>
      </c>
      <c r="I22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02" customFormat="false" ht="15" hidden="false" customHeight="false" outlineLevel="0" collapsed="false">
      <c r="A2202" s="41"/>
      <c r="G2202" s="38" t="n">
        <f aca="false">MONTH(A2202)</f>
        <v>12</v>
      </c>
      <c r="H2202" s="38" t="n">
        <f aca="false">YEAR(Tabela1[[#This Row],[FECHA]])</f>
        <v>1900</v>
      </c>
      <c r="I22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03" customFormat="false" ht="15" hidden="false" customHeight="false" outlineLevel="0" collapsed="false">
      <c r="A2203" s="41"/>
      <c r="G2203" s="38" t="n">
        <f aca="false">MONTH(A2203)</f>
        <v>12</v>
      </c>
      <c r="H2203" s="38" t="n">
        <f aca="false">YEAR(Tabela1[[#This Row],[FECHA]])</f>
        <v>1900</v>
      </c>
      <c r="I22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04" customFormat="false" ht="15" hidden="false" customHeight="false" outlineLevel="0" collapsed="false">
      <c r="A2204" s="41"/>
      <c r="G2204" s="38" t="n">
        <f aca="false">MONTH(A2204)</f>
        <v>12</v>
      </c>
      <c r="H2204" s="38" t="n">
        <f aca="false">YEAR(Tabela1[[#This Row],[FECHA]])</f>
        <v>1900</v>
      </c>
      <c r="I22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05" customFormat="false" ht="15" hidden="false" customHeight="false" outlineLevel="0" collapsed="false">
      <c r="A2205" s="41"/>
      <c r="G2205" s="38" t="n">
        <f aca="false">MONTH(A2205)</f>
        <v>12</v>
      </c>
      <c r="H2205" s="38" t="n">
        <f aca="false">YEAR(Tabela1[[#This Row],[FECHA]])</f>
        <v>1900</v>
      </c>
      <c r="I22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06" customFormat="false" ht="15" hidden="false" customHeight="false" outlineLevel="0" collapsed="false">
      <c r="A2206" s="41"/>
      <c r="G2206" s="38" t="n">
        <f aca="false">MONTH(A2206)</f>
        <v>12</v>
      </c>
      <c r="H2206" s="38" t="n">
        <f aca="false">YEAR(Tabela1[[#This Row],[FECHA]])</f>
        <v>1900</v>
      </c>
      <c r="I22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07" customFormat="false" ht="15" hidden="false" customHeight="false" outlineLevel="0" collapsed="false">
      <c r="A2207" s="41"/>
      <c r="G2207" s="38" t="n">
        <f aca="false">MONTH(A2207)</f>
        <v>12</v>
      </c>
      <c r="H2207" s="38" t="n">
        <f aca="false">YEAR(Tabela1[[#This Row],[FECHA]])</f>
        <v>1900</v>
      </c>
      <c r="I22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08" customFormat="false" ht="15" hidden="false" customHeight="false" outlineLevel="0" collapsed="false">
      <c r="A2208" s="41"/>
      <c r="G2208" s="38" t="n">
        <f aca="false">MONTH(A2208)</f>
        <v>12</v>
      </c>
      <c r="H2208" s="38" t="n">
        <f aca="false">YEAR(Tabela1[[#This Row],[FECHA]])</f>
        <v>1900</v>
      </c>
      <c r="I22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09" customFormat="false" ht="15" hidden="false" customHeight="false" outlineLevel="0" collapsed="false">
      <c r="A2209" s="41"/>
      <c r="G2209" s="38" t="n">
        <f aca="false">MONTH(A2209)</f>
        <v>12</v>
      </c>
      <c r="H2209" s="38" t="n">
        <f aca="false">YEAR(Tabela1[[#This Row],[FECHA]])</f>
        <v>1900</v>
      </c>
      <c r="I22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10" customFormat="false" ht="15" hidden="false" customHeight="false" outlineLevel="0" collapsed="false">
      <c r="A2210" s="41"/>
      <c r="G2210" s="38" t="n">
        <f aca="false">MONTH(A2210)</f>
        <v>12</v>
      </c>
      <c r="H2210" s="38" t="n">
        <f aca="false">YEAR(Tabela1[[#This Row],[FECHA]])</f>
        <v>1900</v>
      </c>
      <c r="I22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11" customFormat="false" ht="15" hidden="false" customHeight="false" outlineLevel="0" collapsed="false">
      <c r="A2211" s="41"/>
      <c r="G2211" s="38" t="n">
        <f aca="false">MONTH(A2211)</f>
        <v>12</v>
      </c>
      <c r="H2211" s="38" t="n">
        <f aca="false">YEAR(Tabela1[[#This Row],[FECHA]])</f>
        <v>1900</v>
      </c>
      <c r="I22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12" customFormat="false" ht="15" hidden="false" customHeight="false" outlineLevel="0" collapsed="false">
      <c r="A2212" s="41"/>
      <c r="G2212" s="38" t="n">
        <f aca="false">MONTH(A2212)</f>
        <v>12</v>
      </c>
      <c r="H2212" s="38" t="n">
        <f aca="false">YEAR(Tabela1[[#This Row],[FECHA]])</f>
        <v>1900</v>
      </c>
      <c r="I22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13" customFormat="false" ht="15" hidden="false" customHeight="false" outlineLevel="0" collapsed="false">
      <c r="A2213" s="41"/>
      <c r="G2213" s="38" t="n">
        <f aca="false">MONTH(A2213)</f>
        <v>12</v>
      </c>
      <c r="H2213" s="38" t="n">
        <f aca="false">YEAR(Tabela1[[#This Row],[FECHA]])</f>
        <v>1900</v>
      </c>
      <c r="I22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14" customFormat="false" ht="15" hidden="false" customHeight="false" outlineLevel="0" collapsed="false">
      <c r="A2214" s="41"/>
      <c r="G2214" s="38" t="n">
        <f aca="false">MONTH(A2214)</f>
        <v>12</v>
      </c>
      <c r="H2214" s="38" t="n">
        <f aca="false">YEAR(Tabela1[[#This Row],[FECHA]])</f>
        <v>1900</v>
      </c>
      <c r="I22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15" customFormat="false" ht="15" hidden="false" customHeight="false" outlineLevel="0" collapsed="false">
      <c r="A2215" s="41"/>
      <c r="G2215" s="38" t="n">
        <f aca="false">MONTH(A2215)</f>
        <v>12</v>
      </c>
      <c r="H2215" s="38" t="n">
        <f aca="false">YEAR(Tabela1[[#This Row],[FECHA]])</f>
        <v>1900</v>
      </c>
      <c r="I22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16" customFormat="false" ht="15" hidden="false" customHeight="false" outlineLevel="0" collapsed="false">
      <c r="A2216" s="41"/>
      <c r="G2216" s="38" t="n">
        <f aca="false">MONTH(A2216)</f>
        <v>12</v>
      </c>
      <c r="H2216" s="38" t="n">
        <f aca="false">YEAR(Tabela1[[#This Row],[FECHA]])</f>
        <v>1900</v>
      </c>
      <c r="I22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17" customFormat="false" ht="15" hidden="false" customHeight="false" outlineLevel="0" collapsed="false">
      <c r="A2217" s="41"/>
      <c r="G2217" s="38" t="n">
        <f aca="false">MONTH(A2217)</f>
        <v>12</v>
      </c>
      <c r="H2217" s="38" t="n">
        <f aca="false">YEAR(Tabela1[[#This Row],[FECHA]])</f>
        <v>1900</v>
      </c>
      <c r="I22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18" customFormat="false" ht="15" hidden="false" customHeight="false" outlineLevel="0" collapsed="false">
      <c r="A2218" s="41"/>
      <c r="G2218" s="38" t="n">
        <f aca="false">MONTH(A2218)</f>
        <v>12</v>
      </c>
      <c r="H2218" s="38" t="n">
        <f aca="false">YEAR(Tabela1[[#This Row],[FECHA]])</f>
        <v>1900</v>
      </c>
      <c r="I22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19" customFormat="false" ht="15" hidden="false" customHeight="false" outlineLevel="0" collapsed="false">
      <c r="A2219" s="41"/>
      <c r="G2219" s="38" t="n">
        <f aca="false">MONTH(A2219)</f>
        <v>12</v>
      </c>
      <c r="H2219" s="38" t="n">
        <f aca="false">YEAR(Tabela1[[#This Row],[FECHA]])</f>
        <v>1900</v>
      </c>
      <c r="I22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20" customFormat="false" ht="15" hidden="false" customHeight="false" outlineLevel="0" collapsed="false">
      <c r="A2220" s="41"/>
      <c r="G2220" s="38" t="n">
        <f aca="false">MONTH(A2220)</f>
        <v>12</v>
      </c>
      <c r="H2220" s="38" t="n">
        <f aca="false">YEAR(Tabela1[[#This Row],[FECHA]])</f>
        <v>1900</v>
      </c>
      <c r="I22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21" customFormat="false" ht="15" hidden="false" customHeight="false" outlineLevel="0" collapsed="false">
      <c r="A2221" s="41"/>
      <c r="G2221" s="38" t="n">
        <f aca="false">MONTH(A2221)</f>
        <v>12</v>
      </c>
      <c r="H2221" s="38" t="n">
        <f aca="false">YEAR(Tabela1[[#This Row],[FECHA]])</f>
        <v>1900</v>
      </c>
      <c r="I22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22" customFormat="false" ht="15" hidden="false" customHeight="false" outlineLevel="0" collapsed="false">
      <c r="A2222" s="41"/>
      <c r="G2222" s="38" t="n">
        <f aca="false">MONTH(A2222)</f>
        <v>12</v>
      </c>
      <c r="H2222" s="38" t="n">
        <f aca="false">YEAR(Tabela1[[#This Row],[FECHA]])</f>
        <v>1900</v>
      </c>
      <c r="I22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23" customFormat="false" ht="15" hidden="false" customHeight="false" outlineLevel="0" collapsed="false">
      <c r="A2223" s="41"/>
      <c r="G2223" s="38" t="n">
        <f aca="false">MONTH(A2223)</f>
        <v>12</v>
      </c>
      <c r="H2223" s="38" t="n">
        <f aca="false">YEAR(Tabela1[[#This Row],[FECHA]])</f>
        <v>1900</v>
      </c>
      <c r="I22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24" customFormat="false" ht="15" hidden="false" customHeight="false" outlineLevel="0" collapsed="false">
      <c r="A2224" s="41"/>
      <c r="G2224" s="38" t="n">
        <f aca="false">MONTH(A2224)</f>
        <v>12</v>
      </c>
      <c r="H2224" s="38" t="n">
        <f aca="false">YEAR(Tabela1[[#This Row],[FECHA]])</f>
        <v>1900</v>
      </c>
      <c r="I22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25" customFormat="false" ht="15" hidden="false" customHeight="false" outlineLevel="0" collapsed="false">
      <c r="A2225" s="41"/>
      <c r="G2225" s="38" t="n">
        <f aca="false">MONTH(A2225)</f>
        <v>12</v>
      </c>
      <c r="H2225" s="38" t="n">
        <f aca="false">YEAR(Tabela1[[#This Row],[FECHA]])</f>
        <v>1900</v>
      </c>
      <c r="I22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26" customFormat="false" ht="15" hidden="false" customHeight="false" outlineLevel="0" collapsed="false">
      <c r="A2226" s="41"/>
      <c r="G2226" s="38" t="n">
        <f aca="false">MONTH(A2226)</f>
        <v>12</v>
      </c>
      <c r="H2226" s="38" t="n">
        <f aca="false">YEAR(Tabela1[[#This Row],[FECHA]])</f>
        <v>1900</v>
      </c>
      <c r="I22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27" customFormat="false" ht="15" hidden="false" customHeight="false" outlineLevel="0" collapsed="false">
      <c r="A2227" s="41"/>
      <c r="G2227" s="38" t="n">
        <f aca="false">MONTH(A2227)</f>
        <v>12</v>
      </c>
      <c r="H2227" s="38" t="n">
        <f aca="false">YEAR(Tabela1[[#This Row],[FECHA]])</f>
        <v>1900</v>
      </c>
      <c r="I22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28" customFormat="false" ht="15" hidden="false" customHeight="false" outlineLevel="0" collapsed="false">
      <c r="A2228" s="41"/>
      <c r="G2228" s="38" t="n">
        <f aca="false">MONTH(A2228)</f>
        <v>12</v>
      </c>
      <c r="H2228" s="38" t="n">
        <f aca="false">YEAR(Tabela1[[#This Row],[FECHA]])</f>
        <v>1900</v>
      </c>
      <c r="I22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29" customFormat="false" ht="15" hidden="false" customHeight="false" outlineLevel="0" collapsed="false">
      <c r="A2229" s="41"/>
      <c r="G2229" s="38" t="n">
        <f aca="false">MONTH(A2229)</f>
        <v>12</v>
      </c>
      <c r="H2229" s="38" t="n">
        <f aca="false">YEAR(Tabela1[[#This Row],[FECHA]])</f>
        <v>1900</v>
      </c>
      <c r="I22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30" customFormat="false" ht="15" hidden="false" customHeight="false" outlineLevel="0" collapsed="false">
      <c r="A2230" s="41"/>
      <c r="G2230" s="38" t="n">
        <f aca="false">MONTH(A2230)</f>
        <v>12</v>
      </c>
      <c r="H2230" s="38" t="n">
        <f aca="false">YEAR(Tabela1[[#This Row],[FECHA]])</f>
        <v>1900</v>
      </c>
      <c r="I22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31" customFormat="false" ht="15" hidden="false" customHeight="false" outlineLevel="0" collapsed="false">
      <c r="A2231" s="41"/>
      <c r="G2231" s="38" t="n">
        <f aca="false">MONTH(A2231)</f>
        <v>12</v>
      </c>
      <c r="H2231" s="38" t="n">
        <f aca="false">YEAR(Tabela1[[#This Row],[FECHA]])</f>
        <v>1900</v>
      </c>
      <c r="I22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32" customFormat="false" ht="15" hidden="false" customHeight="false" outlineLevel="0" collapsed="false">
      <c r="A2232" s="41"/>
      <c r="G2232" s="38" t="n">
        <f aca="false">MONTH(A2232)</f>
        <v>12</v>
      </c>
      <c r="H2232" s="38" t="n">
        <f aca="false">YEAR(Tabela1[[#This Row],[FECHA]])</f>
        <v>1900</v>
      </c>
      <c r="I22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33" customFormat="false" ht="15" hidden="false" customHeight="false" outlineLevel="0" collapsed="false">
      <c r="A2233" s="41"/>
      <c r="G2233" s="38" t="n">
        <f aca="false">MONTH(A2233)</f>
        <v>12</v>
      </c>
      <c r="H2233" s="38" t="n">
        <f aca="false">YEAR(Tabela1[[#This Row],[FECHA]])</f>
        <v>1900</v>
      </c>
      <c r="I22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34" customFormat="false" ht="15" hidden="false" customHeight="false" outlineLevel="0" collapsed="false">
      <c r="A2234" s="41"/>
      <c r="G2234" s="38" t="n">
        <f aca="false">MONTH(A2234)</f>
        <v>12</v>
      </c>
      <c r="H2234" s="38" t="n">
        <f aca="false">YEAR(Tabela1[[#This Row],[FECHA]])</f>
        <v>1900</v>
      </c>
      <c r="I22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35" customFormat="false" ht="15" hidden="false" customHeight="false" outlineLevel="0" collapsed="false">
      <c r="A2235" s="41"/>
      <c r="G2235" s="38" t="n">
        <f aca="false">MONTH(A2235)</f>
        <v>12</v>
      </c>
      <c r="H2235" s="38" t="n">
        <f aca="false">YEAR(Tabela1[[#This Row],[FECHA]])</f>
        <v>1900</v>
      </c>
      <c r="I22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36" customFormat="false" ht="15" hidden="false" customHeight="false" outlineLevel="0" collapsed="false">
      <c r="A2236" s="41"/>
      <c r="G2236" s="38" t="n">
        <f aca="false">MONTH(A2236)</f>
        <v>12</v>
      </c>
      <c r="H2236" s="38" t="n">
        <f aca="false">YEAR(Tabela1[[#This Row],[FECHA]])</f>
        <v>1900</v>
      </c>
      <c r="I22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37" customFormat="false" ht="15" hidden="false" customHeight="false" outlineLevel="0" collapsed="false">
      <c r="A2237" s="41"/>
      <c r="G2237" s="38" t="n">
        <f aca="false">MONTH(A2237)</f>
        <v>12</v>
      </c>
      <c r="H2237" s="38" t="n">
        <f aca="false">YEAR(Tabela1[[#This Row],[FECHA]])</f>
        <v>1900</v>
      </c>
      <c r="I22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38" customFormat="false" ht="15" hidden="false" customHeight="false" outlineLevel="0" collapsed="false">
      <c r="A2238" s="41"/>
      <c r="G2238" s="38" t="n">
        <f aca="false">MONTH(A2238)</f>
        <v>12</v>
      </c>
      <c r="H2238" s="38" t="n">
        <f aca="false">YEAR(Tabela1[[#This Row],[FECHA]])</f>
        <v>1900</v>
      </c>
      <c r="I22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39" customFormat="false" ht="15" hidden="false" customHeight="false" outlineLevel="0" collapsed="false">
      <c r="A2239" s="41"/>
      <c r="G2239" s="38" t="n">
        <f aca="false">MONTH(A2239)</f>
        <v>12</v>
      </c>
      <c r="H2239" s="38" t="n">
        <f aca="false">YEAR(Tabela1[[#This Row],[FECHA]])</f>
        <v>1900</v>
      </c>
      <c r="I22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40" customFormat="false" ht="15" hidden="false" customHeight="false" outlineLevel="0" collapsed="false">
      <c r="A2240" s="41"/>
      <c r="G2240" s="38" t="n">
        <f aca="false">MONTH(A2240)</f>
        <v>12</v>
      </c>
      <c r="H2240" s="38" t="n">
        <f aca="false">YEAR(Tabela1[[#This Row],[FECHA]])</f>
        <v>1900</v>
      </c>
      <c r="I22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41" customFormat="false" ht="15" hidden="false" customHeight="false" outlineLevel="0" collapsed="false">
      <c r="A2241" s="41"/>
      <c r="G2241" s="38" t="n">
        <f aca="false">MONTH(A2241)</f>
        <v>12</v>
      </c>
      <c r="H2241" s="38" t="n">
        <f aca="false">YEAR(Tabela1[[#This Row],[FECHA]])</f>
        <v>1900</v>
      </c>
      <c r="I22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42" customFormat="false" ht="15" hidden="false" customHeight="false" outlineLevel="0" collapsed="false">
      <c r="A2242" s="41"/>
      <c r="G2242" s="38" t="n">
        <f aca="false">MONTH(A2242)</f>
        <v>12</v>
      </c>
      <c r="H2242" s="38" t="n">
        <f aca="false">YEAR(Tabela1[[#This Row],[FECHA]])</f>
        <v>1900</v>
      </c>
      <c r="I22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43" customFormat="false" ht="15" hidden="false" customHeight="false" outlineLevel="0" collapsed="false">
      <c r="A2243" s="41"/>
      <c r="G2243" s="38" t="n">
        <f aca="false">MONTH(A2243)</f>
        <v>12</v>
      </c>
      <c r="H2243" s="38" t="n">
        <f aca="false">YEAR(Tabela1[[#This Row],[FECHA]])</f>
        <v>1900</v>
      </c>
      <c r="I22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44" customFormat="false" ht="15" hidden="false" customHeight="false" outlineLevel="0" collapsed="false">
      <c r="A2244" s="41"/>
      <c r="G2244" s="38" t="n">
        <f aca="false">MONTH(A2244)</f>
        <v>12</v>
      </c>
      <c r="H2244" s="38" t="n">
        <f aca="false">YEAR(Tabela1[[#This Row],[FECHA]])</f>
        <v>1900</v>
      </c>
      <c r="I22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45" customFormat="false" ht="15" hidden="false" customHeight="false" outlineLevel="0" collapsed="false">
      <c r="A2245" s="41"/>
      <c r="G2245" s="38" t="n">
        <f aca="false">MONTH(A2245)</f>
        <v>12</v>
      </c>
      <c r="H2245" s="38" t="n">
        <f aca="false">YEAR(Tabela1[[#This Row],[FECHA]])</f>
        <v>1900</v>
      </c>
      <c r="I22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46" customFormat="false" ht="15" hidden="false" customHeight="false" outlineLevel="0" collapsed="false">
      <c r="A2246" s="41"/>
      <c r="G2246" s="38" t="n">
        <f aca="false">MONTH(A2246)</f>
        <v>12</v>
      </c>
      <c r="H2246" s="38" t="n">
        <f aca="false">YEAR(Tabela1[[#This Row],[FECHA]])</f>
        <v>1900</v>
      </c>
      <c r="I22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47" customFormat="false" ht="15" hidden="false" customHeight="false" outlineLevel="0" collapsed="false">
      <c r="A2247" s="41"/>
      <c r="G2247" s="38" t="n">
        <f aca="false">MONTH(A2247)</f>
        <v>12</v>
      </c>
      <c r="H2247" s="38" t="n">
        <f aca="false">YEAR(Tabela1[[#This Row],[FECHA]])</f>
        <v>1900</v>
      </c>
      <c r="I22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48" customFormat="false" ht="15" hidden="false" customHeight="false" outlineLevel="0" collapsed="false">
      <c r="A2248" s="41"/>
      <c r="G2248" s="38" t="n">
        <f aca="false">MONTH(A2248)</f>
        <v>12</v>
      </c>
      <c r="H2248" s="38" t="n">
        <f aca="false">YEAR(Tabela1[[#This Row],[FECHA]])</f>
        <v>1900</v>
      </c>
      <c r="I22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49" customFormat="false" ht="15" hidden="false" customHeight="false" outlineLevel="0" collapsed="false">
      <c r="A2249" s="41"/>
      <c r="G2249" s="38" t="n">
        <f aca="false">MONTH(A2249)</f>
        <v>12</v>
      </c>
      <c r="H2249" s="38" t="n">
        <f aca="false">YEAR(Tabela1[[#This Row],[FECHA]])</f>
        <v>1900</v>
      </c>
      <c r="I22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50" customFormat="false" ht="15" hidden="false" customHeight="false" outlineLevel="0" collapsed="false">
      <c r="A2250" s="41"/>
      <c r="G2250" s="38" t="n">
        <f aca="false">MONTH(A2250)</f>
        <v>12</v>
      </c>
      <c r="H2250" s="38" t="n">
        <f aca="false">YEAR(Tabela1[[#This Row],[FECHA]])</f>
        <v>1900</v>
      </c>
      <c r="I22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51" customFormat="false" ht="15" hidden="false" customHeight="false" outlineLevel="0" collapsed="false">
      <c r="A2251" s="41"/>
      <c r="G2251" s="38" t="n">
        <f aca="false">MONTH(A2251)</f>
        <v>12</v>
      </c>
      <c r="H2251" s="38" t="n">
        <f aca="false">YEAR(Tabela1[[#This Row],[FECHA]])</f>
        <v>1900</v>
      </c>
      <c r="I22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52" customFormat="false" ht="15" hidden="false" customHeight="false" outlineLevel="0" collapsed="false">
      <c r="A2252" s="41"/>
      <c r="G2252" s="38" t="n">
        <f aca="false">MONTH(A2252)</f>
        <v>12</v>
      </c>
      <c r="H2252" s="38" t="n">
        <f aca="false">YEAR(Tabela1[[#This Row],[FECHA]])</f>
        <v>1900</v>
      </c>
      <c r="I22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53" customFormat="false" ht="15" hidden="false" customHeight="false" outlineLevel="0" collapsed="false">
      <c r="A2253" s="41"/>
      <c r="G2253" s="38" t="n">
        <f aca="false">MONTH(A2253)</f>
        <v>12</v>
      </c>
      <c r="H2253" s="38" t="n">
        <f aca="false">YEAR(Tabela1[[#This Row],[FECHA]])</f>
        <v>1900</v>
      </c>
      <c r="I22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54" customFormat="false" ht="15" hidden="false" customHeight="false" outlineLevel="0" collapsed="false">
      <c r="A2254" s="41"/>
      <c r="G2254" s="38" t="n">
        <f aca="false">MONTH(A2254)</f>
        <v>12</v>
      </c>
      <c r="H2254" s="38" t="n">
        <f aca="false">YEAR(Tabela1[[#This Row],[FECHA]])</f>
        <v>1900</v>
      </c>
      <c r="I22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55" customFormat="false" ht="15" hidden="false" customHeight="false" outlineLevel="0" collapsed="false">
      <c r="A2255" s="41"/>
      <c r="G2255" s="38" t="n">
        <f aca="false">MONTH(A2255)</f>
        <v>12</v>
      </c>
      <c r="H2255" s="38" t="n">
        <f aca="false">YEAR(Tabela1[[#This Row],[FECHA]])</f>
        <v>1900</v>
      </c>
      <c r="I22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56" customFormat="false" ht="15" hidden="false" customHeight="false" outlineLevel="0" collapsed="false">
      <c r="A2256" s="41"/>
      <c r="G2256" s="38" t="n">
        <f aca="false">MONTH(A2256)</f>
        <v>12</v>
      </c>
      <c r="H2256" s="38" t="n">
        <f aca="false">YEAR(Tabela1[[#This Row],[FECHA]])</f>
        <v>1900</v>
      </c>
      <c r="I22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57" customFormat="false" ht="15" hidden="false" customHeight="false" outlineLevel="0" collapsed="false">
      <c r="A2257" s="41"/>
      <c r="G2257" s="38" t="n">
        <f aca="false">MONTH(A2257)</f>
        <v>12</v>
      </c>
      <c r="H2257" s="38" t="n">
        <f aca="false">YEAR(Tabela1[[#This Row],[FECHA]])</f>
        <v>1900</v>
      </c>
      <c r="I22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58" customFormat="false" ht="15" hidden="false" customHeight="false" outlineLevel="0" collapsed="false">
      <c r="A2258" s="41"/>
      <c r="G2258" s="38" t="n">
        <f aca="false">MONTH(A2258)</f>
        <v>12</v>
      </c>
      <c r="H2258" s="38" t="n">
        <f aca="false">YEAR(Tabela1[[#This Row],[FECHA]])</f>
        <v>1900</v>
      </c>
      <c r="I22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59" customFormat="false" ht="15" hidden="false" customHeight="false" outlineLevel="0" collapsed="false">
      <c r="A2259" s="41"/>
      <c r="G2259" s="38" t="n">
        <f aca="false">MONTH(A2259)</f>
        <v>12</v>
      </c>
      <c r="H2259" s="38" t="n">
        <f aca="false">YEAR(Tabela1[[#This Row],[FECHA]])</f>
        <v>1900</v>
      </c>
      <c r="I22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60" customFormat="false" ht="15" hidden="false" customHeight="false" outlineLevel="0" collapsed="false">
      <c r="A2260" s="41"/>
      <c r="G2260" s="38" t="n">
        <f aca="false">MONTH(A2260)</f>
        <v>12</v>
      </c>
      <c r="H2260" s="38" t="n">
        <f aca="false">YEAR(Tabela1[[#This Row],[FECHA]])</f>
        <v>1900</v>
      </c>
      <c r="I22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61" customFormat="false" ht="15" hidden="false" customHeight="false" outlineLevel="0" collapsed="false">
      <c r="A2261" s="41"/>
      <c r="G2261" s="38" t="n">
        <f aca="false">MONTH(A2261)</f>
        <v>12</v>
      </c>
      <c r="H2261" s="38" t="n">
        <f aca="false">YEAR(Tabela1[[#This Row],[FECHA]])</f>
        <v>1900</v>
      </c>
      <c r="I22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62" customFormat="false" ht="15" hidden="false" customHeight="false" outlineLevel="0" collapsed="false">
      <c r="A2262" s="41"/>
      <c r="G2262" s="38" t="n">
        <f aca="false">MONTH(A2262)</f>
        <v>12</v>
      </c>
      <c r="H2262" s="38" t="n">
        <f aca="false">YEAR(Tabela1[[#This Row],[FECHA]])</f>
        <v>1900</v>
      </c>
      <c r="I22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63" customFormat="false" ht="15" hidden="false" customHeight="false" outlineLevel="0" collapsed="false">
      <c r="A2263" s="41"/>
      <c r="G2263" s="38" t="n">
        <f aca="false">MONTH(A2263)</f>
        <v>12</v>
      </c>
      <c r="H2263" s="38" t="n">
        <f aca="false">YEAR(Tabela1[[#This Row],[FECHA]])</f>
        <v>1900</v>
      </c>
      <c r="I22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64" customFormat="false" ht="15" hidden="false" customHeight="false" outlineLevel="0" collapsed="false">
      <c r="A2264" s="41"/>
      <c r="G2264" s="38" t="n">
        <f aca="false">MONTH(A2264)</f>
        <v>12</v>
      </c>
      <c r="H2264" s="38" t="n">
        <f aca="false">YEAR(Tabela1[[#This Row],[FECHA]])</f>
        <v>1900</v>
      </c>
      <c r="I22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65" customFormat="false" ht="15" hidden="false" customHeight="false" outlineLevel="0" collapsed="false">
      <c r="A2265" s="41"/>
      <c r="G2265" s="38" t="n">
        <f aca="false">MONTH(A2265)</f>
        <v>12</v>
      </c>
      <c r="H2265" s="38" t="n">
        <f aca="false">YEAR(Tabela1[[#This Row],[FECHA]])</f>
        <v>1900</v>
      </c>
      <c r="I22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66" customFormat="false" ht="15" hidden="false" customHeight="false" outlineLevel="0" collapsed="false">
      <c r="A2266" s="41"/>
      <c r="G2266" s="38" t="n">
        <f aca="false">MONTH(A2266)</f>
        <v>12</v>
      </c>
      <c r="H2266" s="38" t="n">
        <f aca="false">YEAR(Tabela1[[#This Row],[FECHA]])</f>
        <v>1900</v>
      </c>
      <c r="I22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67" customFormat="false" ht="15" hidden="false" customHeight="false" outlineLevel="0" collapsed="false">
      <c r="A2267" s="41"/>
      <c r="G2267" s="38" t="n">
        <f aca="false">MONTH(A2267)</f>
        <v>12</v>
      </c>
      <c r="H2267" s="38" t="n">
        <f aca="false">YEAR(Tabela1[[#This Row],[FECHA]])</f>
        <v>1900</v>
      </c>
      <c r="I22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68" customFormat="false" ht="15" hidden="false" customHeight="false" outlineLevel="0" collapsed="false">
      <c r="A2268" s="41"/>
      <c r="G2268" s="38" t="n">
        <f aca="false">MONTH(A2268)</f>
        <v>12</v>
      </c>
      <c r="H2268" s="38" t="n">
        <f aca="false">YEAR(Tabela1[[#This Row],[FECHA]])</f>
        <v>1900</v>
      </c>
      <c r="I22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69" customFormat="false" ht="15" hidden="false" customHeight="false" outlineLevel="0" collapsed="false">
      <c r="A2269" s="41"/>
      <c r="G2269" s="38" t="n">
        <f aca="false">MONTH(A2269)</f>
        <v>12</v>
      </c>
      <c r="H2269" s="38" t="n">
        <f aca="false">YEAR(Tabela1[[#This Row],[FECHA]])</f>
        <v>1900</v>
      </c>
      <c r="I22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70" customFormat="false" ht="15" hidden="false" customHeight="false" outlineLevel="0" collapsed="false">
      <c r="A2270" s="41"/>
      <c r="G2270" s="38" t="n">
        <f aca="false">MONTH(A2270)</f>
        <v>12</v>
      </c>
      <c r="H2270" s="38" t="n">
        <f aca="false">YEAR(Tabela1[[#This Row],[FECHA]])</f>
        <v>1900</v>
      </c>
      <c r="I22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71" customFormat="false" ht="15" hidden="false" customHeight="false" outlineLevel="0" collapsed="false">
      <c r="A2271" s="41"/>
      <c r="G2271" s="38" t="n">
        <f aca="false">MONTH(A2271)</f>
        <v>12</v>
      </c>
      <c r="H2271" s="38" t="n">
        <f aca="false">YEAR(Tabela1[[#This Row],[FECHA]])</f>
        <v>1900</v>
      </c>
      <c r="I22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72" customFormat="false" ht="15" hidden="false" customHeight="false" outlineLevel="0" collapsed="false">
      <c r="A2272" s="41"/>
      <c r="G2272" s="38" t="n">
        <f aca="false">MONTH(A2272)</f>
        <v>12</v>
      </c>
      <c r="H2272" s="38" t="n">
        <f aca="false">YEAR(Tabela1[[#This Row],[FECHA]])</f>
        <v>1900</v>
      </c>
      <c r="I22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73" customFormat="false" ht="15" hidden="false" customHeight="false" outlineLevel="0" collapsed="false">
      <c r="A2273" s="41"/>
      <c r="G2273" s="38" t="n">
        <f aca="false">MONTH(A2273)</f>
        <v>12</v>
      </c>
      <c r="H2273" s="38" t="n">
        <f aca="false">YEAR(Tabela1[[#This Row],[FECHA]])</f>
        <v>1900</v>
      </c>
      <c r="I22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74" customFormat="false" ht="15" hidden="false" customHeight="false" outlineLevel="0" collapsed="false">
      <c r="A2274" s="41"/>
      <c r="G2274" s="38" t="n">
        <f aca="false">MONTH(A2274)</f>
        <v>12</v>
      </c>
      <c r="H2274" s="38" t="n">
        <f aca="false">YEAR(Tabela1[[#This Row],[FECHA]])</f>
        <v>1900</v>
      </c>
      <c r="I22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75" customFormat="false" ht="15" hidden="false" customHeight="false" outlineLevel="0" collapsed="false">
      <c r="A2275" s="41"/>
      <c r="G2275" s="38" t="n">
        <f aca="false">MONTH(A2275)</f>
        <v>12</v>
      </c>
      <c r="H2275" s="38" t="n">
        <f aca="false">YEAR(Tabela1[[#This Row],[FECHA]])</f>
        <v>1900</v>
      </c>
      <c r="I22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76" customFormat="false" ht="15" hidden="false" customHeight="false" outlineLevel="0" collapsed="false">
      <c r="A2276" s="41"/>
      <c r="G2276" s="38" t="n">
        <f aca="false">MONTH(A2276)</f>
        <v>12</v>
      </c>
      <c r="H2276" s="38" t="n">
        <f aca="false">YEAR(Tabela1[[#This Row],[FECHA]])</f>
        <v>1900</v>
      </c>
      <c r="I22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77" customFormat="false" ht="15" hidden="false" customHeight="false" outlineLevel="0" collapsed="false">
      <c r="A2277" s="41"/>
      <c r="G2277" s="38" t="n">
        <f aca="false">MONTH(A2277)</f>
        <v>12</v>
      </c>
      <c r="H2277" s="38" t="n">
        <f aca="false">YEAR(Tabela1[[#This Row],[FECHA]])</f>
        <v>1900</v>
      </c>
      <c r="I22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78" customFormat="false" ht="15" hidden="false" customHeight="false" outlineLevel="0" collapsed="false">
      <c r="A2278" s="41"/>
      <c r="G2278" s="38" t="n">
        <f aca="false">MONTH(A2278)</f>
        <v>12</v>
      </c>
      <c r="H2278" s="38" t="n">
        <f aca="false">YEAR(Tabela1[[#This Row],[FECHA]])</f>
        <v>1900</v>
      </c>
      <c r="I22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79" customFormat="false" ht="15" hidden="false" customHeight="false" outlineLevel="0" collapsed="false">
      <c r="A2279" s="41"/>
      <c r="G2279" s="38" t="n">
        <f aca="false">MONTH(A2279)</f>
        <v>12</v>
      </c>
      <c r="H2279" s="38" t="n">
        <f aca="false">YEAR(Tabela1[[#This Row],[FECHA]])</f>
        <v>1900</v>
      </c>
      <c r="I22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80" customFormat="false" ht="15" hidden="false" customHeight="false" outlineLevel="0" collapsed="false">
      <c r="A2280" s="41"/>
      <c r="G2280" s="38" t="n">
        <f aca="false">MONTH(A2280)</f>
        <v>12</v>
      </c>
      <c r="H2280" s="38" t="n">
        <f aca="false">YEAR(Tabela1[[#This Row],[FECHA]])</f>
        <v>1900</v>
      </c>
      <c r="I22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81" customFormat="false" ht="15" hidden="false" customHeight="false" outlineLevel="0" collapsed="false">
      <c r="A2281" s="41"/>
      <c r="G2281" s="38" t="n">
        <f aca="false">MONTH(A2281)</f>
        <v>12</v>
      </c>
      <c r="H2281" s="38" t="n">
        <f aca="false">YEAR(Tabela1[[#This Row],[FECHA]])</f>
        <v>1900</v>
      </c>
      <c r="I22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82" customFormat="false" ht="15" hidden="false" customHeight="false" outlineLevel="0" collapsed="false">
      <c r="A2282" s="41"/>
      <c r="G2282" s="38" t="n">
        <f aca="false">MONTH(A2282)</f>
        <v>12</v>
      </c>
      <c r="H2282" s="38" t="n">
        <f aca="false">YEAR(Tabela1[[#This Row],[FECHA]])</f>
        <v>1900</v>
      </c>
      <c r="I22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83" customFormat="false" ht="15" hidden="false" customHeight="false" outlineLevel="0" collapsed="false">
      <c r="A2283" s="41"/>
      <c r="G2283" s="38" t="n">
        <f aca="false">MONTH(A2283)</f>
        <v>12</v>
      </c>
      <c r="H2283" s="38" t="n">
        <f aca="false">YEAR(Tabela1[[#This Row],[FECHA]])</f>
        <v>1900</v>
      </c>
      <c r="I22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84" customFormat="false" ht="15" hidden="false" customHeight="false" outlineLevel="0" collapsed="false">
      <c r="A2284" s="41"/>
      <c r="G2284" s="38" t="n">
        <f aca="false">MONTH(A2284)</f>
        <v>12</v>
      </c>
      <c r="H2284" s="38" t="n">
        <f aca="false">YEAR(Tabela1[[#This Row],[FECHA]])</f>
        <v>1900</v>
      </c>
      <c r="I22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85" customFormat="false" ht="15" hidden="false" customHeight="false" outlineLevel="0" collapsed="false">
      <c r="A2285" s="41"/>
      <c r="G2285" s="38" t="n">
        <f aca="false">MONTH(A2285)</f>
        <v>12</v>
      </c>
      <c r="H2285" s="38" t="n">
        <f aca="false">YEAR(Tabela1[[#This Row],[FECHA]])</f>
        <v>1900</v>
      </c>
      <c r="I22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86" customFormat="false" ht="15" hidden="false" customHeight="false" outlineLevel="0" collapsed="false">
      <c r="A2286" s="41"/>
      <c r="G2286" s="38" t="n">
        <f aca="false">MONTH(A2286)</f>
        <v>12</v>
      </c>
      <c r="H2286" s="38" t="n">
        <f aca="false">YEAR(Tabela1[[#This Row],[FECHA]])</f>
        <v>1900</v>
      </c>
      <c r="I22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87" customFormat="false" ht="15" hidden="false" customHeight="false" outlineLevel="0" collapsed="false">
      <c r="A2287" s="41"/>
      <c r="G2287" s="38" t="n">
        <f aca="false">MONTH(A2287)</f>
        <v>12</v>
      </c>
      <c r="H2287" s="38" t="n">
        <f aca="false">YEAR(Tabela1[[#This Row],[FECHA]])</f>
        <v>1900</v>
      </c>
      <c r="I22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88" customFormat="false" ht="15" hidden="false" customHeight="false" outlineLevel="0" collapsed="false">
      <c r="A2288" s="41"/>
      <c r="G2288" s="38" t="n">
        <f aca="false">MONTH(A2288)</f>
        <v>12</v>
      </c>
      <c r="H2288" s="38" t="n">
        <f aca="false">YEAR(Tabela1[[#This Row],[FECHA]])</f>
        <v>1900</v>
      </c>
      <c r="I22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89" customFormat="false" ht="15" hidden="false" customHeight="false" outlineLevel="0" collapsed="false">
      <c r="A2289" s="41"/>
      <c r="G2289" s="38" t="n">
        <f aca="false">MONTH(A2289)</f>
        <v>12</v>
      </c>
      <c r="H2289" s="38" t="n">
        <f aca="false">YEAR(Tabela1[[#This Row],[FECHA]])</f>
        <v>1900</v>
      </c>
      <c r="I22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90" customFormat="false" ht="15" hidden="false" customHeight="false" outlineLevel="0" collapsed="false">
      <c r="A2290" s="41"/>
      <c r="G2290" s="38" t="n">
        <f aca="false">MONTH(A2290)</f>
        <v>12</v>
      </c>
      <c r="H2290" s="38" t="n">
        <f aca="false">YEAR(Tabela1[[#This Row],[FECHA]])</f>
        <v>1900</v>
      </c>
      <c r="I22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91" customFormat="false" ht="15" hidden="false" customHeight="false" outlineLevel="0" collapsed="false">
      <c r="A2291" s="41"/>
      <c r="G2291" s="38" t="n">
        <f aca="false">MONTH(A2291)</f>
        <v>12</v>
      </c>
      <c r="H2291" s="38" t="n">
        <f aca="false">YEAR(Tabela1[[#This Row],[FECHA]])</f>
        <v>1900</v>
      </c>
      <c r="I22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92" customFormat="false" ht="15" hidden="false" customHeight="false" outlineLevel="0" collapsed="false">
      <c r="A2292" s="41"/>
      <c r="G2292" s="38" t="n">
        <f aca="false">MONTH(A2292)</f>
        <v>12</v>
      </c>
      <c r="H2292" s="38" t="n">
        <f aca="false">YEAR(Tabela1[[#This Row],[FECHA]])</f>
        <v>1900</v>
      </c>
      <c r="I22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93" customFormat="false" ht="15" hidden="false" customHeight="false" outlineLevel="0" collapsed="false">
      <c r="A2293" s="41"/>
      <c r="G2293" s="38" t="n">
        <f aca="false">MONTH(A2293)</f>
        <v>12</v>
      </c>
      <c r="H2293" s="38" t="n">
        <f aca="false">YEAR(Tabela1[[#This Row],[FECHA]])</f>
        <v>1900</v>
      </c>
      <c r="I22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94" customFormat="false" ht="15" hidden="false" customHeight="false" outlineLevel="0" collapsed="false">
      <c r="A2294" s="41"/>
      <c r="G2294" s="38" t="n">
        <f aca="false">MONTH(A2294)</f>
        <v>12</v>
      </c>
      <c r="H2294" s="38" t="n">
        <f aca="false">YEAR(Tabela1[[#This Row],[FECHA]])</f>
        <v>1900</v>
      </c>
      <c r="I22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95" customFormat="false" ht="15" hidden="false" customHeight="false" outlineLevel="0" collapsed="false">
      <c r="A2295" s="41"/>
      <c r="G2295" s="38" t="n">
        <f aca="false">MONTH(A2295)</f>
        <v>12</v>
      </c>
      <c r="H2295" s="38" t="n">
        <f aca="false">YEAR(Tabela1[[#This Row],[FECHA]])</f>
        <v>1900</v>
      </c>
      <c r="I22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96" customFormat="false" ht="15" hidden="false" customHeight="false" outlineLevel="0" collapsed="false">
      <c r="A2296" s="41"/>
      <c r="G2296" s="38" t="n">
        <f aca="false">MONTH(A2296)</f>
        <v>12</v>
      </c>
      <c r="H2296" s="38" t="n">
        <f aca="false">YEAR(Tabela1[[#This Row],[FECHA]])</f>
        <v>1900</v>
      </c>
      <c r="I22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97" customFormat="false" ht="15" hidden="false" customHeight="false" outlineLevel="0" collapsed="false">
      <c r="A2297" s="41"/>
      <c r="G2297" s="38" t="n">
        <f aca="false">MONTH(A2297)</f>
        <v>12</v>
      </c>
      <c r="H2297" s="38" t="n">
        <f aca="false">YEAR(Tabela1[[#This Row],[FECHA]])</f>
        <v>1900</v>
      </c>
      <c r="I22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98" customFormat="false" ht="15" hidden="false" customHeight="false" outlineLevel="0" collapsed="false">
      <c r="A2298" s="41"/>
      <c r="G2298" s="38" t="n">
        <f aca="false">MONTH(A2298)</f>
        <v>12</v>
      </c>
      <c r="H2298" s="38" t="n">
        <f aca="false">YEAR(Tabela1[[#This Row],[FECHA]])</f>
        <v>1900</v>
      </c>
      <c r="I22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299" customFormat="false" ht="15" hidden="false" customHeight="false" outlineLevel="0" collapsed="false">
      <c r="A2299" s="41"/>
      <c r="G2299" s="38" t="n">
        <f aca="false">MONTH(A2299)</f>
        <v>12</v>
      </c>
      <c r="H2299" s="38" t="n">
        <f aca="false">YEAR(Tabela1[[#This Row],[FECHA]])</f>
        <v>1900</v>
      </c>
      <c r="I22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00" customFormat="false" ht="15" hidden="false" customHeight="false" outlineLevel="0" collapsed="false">
      <c r="A2300" s="41"/>
      <c r="G2300" s="38" t="n">
        <f aca="false">MONTH(A2300)</f>
        <v>12</v>
      </c>
      <c r="H2300" s="38" t="n">
        <f aca="false">YEAR(Tabela1[[#This Row],[FECHA]])</f>
        <v>1900</v>
      </c>
      <c r="I23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01" customFormat="false" ht="15" hidden="false" customHeight="false" outlineLevel="0" collapsed="false">
      <c r="A2301" s="41"/>
      <c r="G2301" s="38" t="n">
        <f aca="false">MONTH(A2301)</f>
        <v>12</v>
      </c>
      <c r="H2301" s="38" t="n">
        <f aca="false">YEAR(Tabela1[[#This Row],[FECHA]])</f>
        <v>1900</v>
      </c>
      <c r="I23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02" customFormat="false" ht="15" hidden="false" customHeight="false" outlineLevel="0" collapsed="false">
      <c r="A2302" s="41"/>
      <c r="G2302" s="38" t="n">
        <f aca="false">MONTH(A2302)</f>
        <v>12</v>
      </c>
      <c r="H2302" s="38" t="n">
        <f aca="false">YEAR(Tabela1[[#This Row],[FECHA]])</f>
        <v>1900</v>
      </c>
      <c r="I23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03" customFormat="false" ht="15" hidden="false" customHeight="false" outlineLevel="0" collapsed="false">
      <c r="A2303" s="41"/>
      <c r="G2303" s="38" t="n">
        <f aca="false">MONTH(A2303)</f>
        <v>12</v>
      </c>
      <c r="H2303" s="38" t="n">
        <f aca="false">YEAR(Tabela1[[#This Row],[FECHA]])</f>
        <v>1900</v>
      </c>
      <c r="I23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04" customFormat="false" ht="15" hidden="false" customHeight="false" outlineLevel="0" collapsed="false">
      <c r="A2304" s="41"/>
      <c r="G2304" s="38" t="n">
        <f aca="false">MONTH(A2304)</f>
        <v>12</v>
      </c>
      <c r="H2304" s="38" t="n">
        <f aca="false">YEAR(Tabela1[[#This Row],[FECHA]])</f>
        <v>1900</v>
      </c>
      <c r="I23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05" customFormat="false" ht="15" hidden="false" customHeight="false" outlineLevel="0" collapsed="false">
      <c r="A2305" s="41"/>
      <c r="G2305" s="38" t="n">
        <f aca="false">MONTH(A2305)</f>
        <v>12</v>
      </c>
      <c r="H2305" s="38" t="n">
        <f aca="false">YEAR(Tabela1[[#This Row],[FECHA]])</f>
        <v>1900</v>
      </c>
      <c r="I23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06" customFormat="false" ht="15" hidden="false" customHeight="false" outlineLevel="0" collapsed="false">
      <c r="A2306" s="41"/>
      <c r="G2306" s="38" t="n">
        <f aca="false">MONTH(A2306)</f>
        <v>12</v>
      </c>
      <c r="H2306" s="38" t="n">
        <f aca="false">YEAR(Tabela1[[#This Row],[FECHA]])</f>
        <v>1900</v>
      </c>
      <c r="I23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07" customFormat="false" ht="15" hidden="false" customHeight="false" outlineLevel="0" collapsed="false">
      <c r="A2307" s="41"/>
      <c r="G2307" s="38" t="n">
        <f aca="false">MONTH(A2307)</f>
        <v>12</v>
      </c>
      <c r="H2307" s="38" t="n">
        <f aca="false">YEAR(Tabela1[[#This Row],[FECHA]])</f>
        <v>1900</v>
      </c>
      <c r="I23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08" customFormat="false" ht="15" hidden="false" customHeight="false" outlineLevel="0" collapsed="false">
      <c r="A2308" s="41"/>
      <c r="G2308" s="38" t="n">
        <f aca="false">MONTH(A2308)</f>
        <v>12</v>
      </c>
      <c r="H2308" s="38" t="n">
        <f aca="false">YEAR(Tabela1[[#This Row],[FECHA]])</f>
        <v>1900</v>
      </c>
      <c r="I23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09" customFormat="false" ht="15" hidden="false" customHeight="false" outlineLevel="0" collapsed="false">
      <c r="A2309" s="41"/>
      <c r="G2309" s="38" t="n">
        <f aca="false">MONTH(A2309)</f>
        <v>12</v>
      </c>
      <c r="H2309" s="38" t="n">
        <f aca="false">YEAR(Tabela1[[#This Row],[FECHA]])</f>
        <v>1900</v>
      </c>
      <c r="I23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10" customFormat="false" ht="15" hidden="false" customHeight="false" outlineLevel="0" collapsed="false">
      <c r="A2310" s="41"/>
      <c r="G2310" s="38" t="n">
        <f aca="false">MONTH(A2310)</f>
        <v>12</v>
      </c>
      <c r="H2310" s="38" t="n">
        <f aca="false">YEAR(Tabela1[[#This Row],[FECHA]])</f>
        <v>1900</v>
      </c>
      <c r="I23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11" customFormat="false" ht="15" hidden="false" customHeight="false" outlineLevel="0" collapsed="false">
      <c r="A2311" s="41"/>
      <c r="G2311" s="38" t="n">
        <f aca="false">MONTH(A2311)</f>
        <v>12</v>
      </c>
      <c r="H2311" s="38" t="n">
        <f aca="false">YEAR(Tabela1[[#This Row],[FECHA]])</f>
        <v>1900</v>
      </c>
      <c r="I23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12" customFormat="false" ht="15" hidden="false" customHeight="false" outlineLevel="0" collapsed="false">
      <c r="A2312" s="41"/>
      <c r="G2312" s="38" t="n">
        <f aca="false">MONTH(A2312)</f>
        <v>12</v>
      </c>
      <c r="H2312" s="38" t="n">
        <f aca="false">YEAR(Tabela1[[#This Row],[FECHA]])</f>
        <v>1900</v>
      </c>
      <c r="I23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13" customFormat="false" ht="15" hidden="false" customHeight="false" outlineLevel="0" collapsed="false">
      <c r="A2313" s="41"/>
      <c r="G2313" s="38" t="n">
        <f aca="false">MONTH(A2313)</f>
        <v>12</v>
      </c>
      <c r="H2313" s="38" t="n">
        <f aca="false">YEAR(Tabela1[[#This Row],[FECHA]])</f>
        <v>1900</v>
      </c>
      <c r="I23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14" customFormat="false" ht="15" hidden="false" customHeight="false" outlineLevel="0" collapsed="false">
      <c r="A2314" s="41"/>
      <c r="G2314" s="38" t="n">
        <f aca="false">MONTH(A2314)</f>
        <v>12</v>
      </c>
      <c r="H2314" s="38" t="n">
        <f aca="false">YEAR(Tabela1[[#This Row],[FECHA]])</f>
        <v>1900</v>
      </c>
      <c r="I23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15" customFormat="false" ht="15" hidden="false" customHeight="false" outlineLevel="0" collapsed="false">
      <c r="A2315" s="41"/>
      <c r="G2315" s="38" t="n">
        <f aca="false">MONTH(A2315)</f>
        <v>12</v>
      </c>
      <c r="H2315" s="38" t="n">
        <f aca="false">YEAR(Tabela1[[#This Row],[FECHA]])</f>
        <v>1900</v>
      </c>
      <c r="I23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16" customFormat="false" ht="15" hidden="false" customHeight="false" outlineLevel="0" collapsed="false">
      <c r="A2316" s="41"/>
      <c r="G2316" s="38" t="n">
        <f aca="false">MONTH(A2316)</f>
        <v>12</v>
      </c>
      <c r="H2316" s="38" t="n">
        <f aca="false">YEAR(Tabela1[[#This Row],[FECHA]])</f>
        <v>1900</v>
      </c>
      <c r="I23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17" customFormat="false" ht="15" hidden="false" customHeight="false" outlineLevel="0" collapsed="false">
      <c r="A2317" s="41"/>
      <c r="G2317" s="38" t="n">
        <f aca="false">MONTH(A2317)</f>
        <v>12</v>
      </c>
      <c r="H2317" s="38" t="n">
        <f aca="false">YEAR(Tabela1[[#This Row],[FECHA]])</f>
        <v>1900</v>
      </c>
      <c r="I23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18" customFormat="false" ht="15" hidden="false" customHeight="false" outlineLevel="0" collapsed="false">
      <c r="A2318" s="41"/>
      <c r="G2318" s="38" t="n">
        <f aca="false">MONTH(A2318)</f>
        <v>12</v>
      </c>
      <c r="H2318" s="38" t="n">
        <f aca="false">YEAR(Tabela1[[#This Row],[FECHA]])</f>
        <v>1900</v>
      </c>
      <c r="I23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19" customFormat="false" ht="15" hidden="false" customHeight="false" outlineLevel="0" collapsed="false">
      <c r="A2319" s="41"/>
      <c r="G2319" s="38" t="n">
        <f aca="false">MONTH(A2319)</f>
        <v>12</v>
      </c>
      <c r="H2319" s="38" t="n">
        <f aca="false">YEAR(Tabela1[[#This Row],[FECHA]])</f>
        <v>1900</v>
      </c>
      <c r="I23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20" customFormat="false" ht="15" hidden="false" customHeight="false" outlineLevel="0" collapsed="false">
      <c r="A2320" s="41"/>
      <c r="G2320" s="38" t="n">
        <f aca="false">MONTH(A2320)</f>
        <v>12</v>
      </c>
      <c r="H2320" s="38" t="n">
        <f aca="false">YEAR(Tabela1[[#This Row],[FECHA]])</f>
        <v>1900</v>
      </c>
      <c r="I23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21" customFormat="false" ht="15" hidden="false" customHeight="false" outlineLevel="0" collapsed="false">
      <c r="A2321" s="41"/>
      <c r="G2321" s="38" t="n">
        <f aca="false">MONTH(A2321)</f>
        <v>12</v>
      </c>
      <c r="H2321" s="38" t="n">
        <f aca="false">YEAR(Tabela1[[#This Row],[FECHA]])</f>
        <v>1900</v>
      </c>
      <c r="I23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22" customFormat="false" ht="15" hidden="false" customHeight="false" outlineLevel="0" collapsed="false">
      <c r="A2322" s="41"/>
      <c r="G2322" s="38" t="n">
        <f aca="false">MONTH(A2322)</f>
        <v>12</v>
      </c>
      <c r="H2322" s="38" t="n">
        <f aca="false">YEAR(Tabela1[[#This Row],[FECHA]])</f>
        <v>1900</v>
      </c>
      <c r="I23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23" customFormat="false" ht="15" hidden="false" customHeight="false" outlineLevel="0" collapsed="false">
      <c r="A2323" s="41"/>
      <c r="G2323" s="38" t="n">
        <f aca="false">MONTH(A2323)</f>
        <v>12</v>
      </c>
      <c r="H2323" s="38" t="n">
        <f aca="false">YEAR(Tabela1[[#This Row],[FECHA]])</f>
        <v>1900</v>
      </c>
      <c r="I23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24" customFormat="false" ht="15" hidden="false" customHeight="false" outlineLevel="0" collapsed="false">
      <c r="A2324" s="41"/>
      <c r="G2324" s="38" t="n">
        <f aca="false">MONTH(A2324)</f>
        <v>12</v>
      </c>
      <c r="H2324" s="38" t="n">
        <f aca="false">YEAR(Tabela1[[#This Row],[FECHA]])</f>
        <v>1900</v>
      </c>
      <c r="I23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25" customFormat="false" ht="15" hidden="false" customHeight="false" outlineLevel="0" collapsed="false">
      <c r="A2325" s="41"/>
      <c r="G2325" s="38" t="n">
        <f aca="false">MONTH(A2325)</f>
        <v>12</v>
      </c>
      <c r="H2325" s="38" t="n">
        <f aca="false">YEAR(Tabela1[[#This Row],[FECHA]])</f>
        <v>1900</v>
      </c>
      <c r="I23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26" customFormat="false" ht="15" hidden="false" customHeight="false" outlineLevel="0" collapsed="false">
      <c r="A2326" s="41"/>
      <c r="G2326" s="38" t="n">
        <f aca="false">MONTH(A2326)</f>
        <v>12</v>
      </c>
      <c r="H2326" s="38" t="n">
        <f aca="false">YEAR(Tabela1[[#This Row],[FECHA]])</f>
        <v>1900</v>
      </c>
      <c r="I23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27" customFormat="false" ht="15" hidden="false" customHeight="false" outlineLevel="0" collapsed="false">
      <c r="A2327" s="41"/>
      <c r="G2327" s="38" t="n">
        <f aca="false">MONTH(A2327)</f>
        <v>12</v>
      </c>
      <c r="H2327" s="38" t="n">
        <f aca="false">YEAR(Tabela1[[#This Row],[FECHA]])</f>
        <v>1900</v>
      </c>
      <c r="I23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28" customFormat="false" ht="15" hidden="false" customHeight="false" outlineLevel="0" collapsed="false">
      <c r="A2328" s="41"/>
      <c r="G2328" s="38" t="n">
        <f aca="false">MONTH(A2328)</f>
        <v>12</v>
      </c>
      <c r="H2328" s="38" t="n">
        <f aca="false">YEAR(Tabela1[[#This Row],[FECHA]])</f>
        <v>1900</v>
      </c>
      <c r="I23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29" customFormat="false" ht="15" hidden="false" customHeight="false" outlineLevel="0" collapsed="false">
      <c r="A2329" s="41"/>
      <c r="G2329" s="38" t="n">
        <f aca="false">MONTH(A2329)</f>
        <v>12</v>
      </c>
      <c r="H2329" s="38" t="n">
        <f aca="false">YEAR(Tabela1[[#This Row],[FECHA]])</f>
        <v>1900</v>
      </c>
      <c r="I23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30" customFormat="false" ht="15" hidden="false" customHeight="false" outlineLevel="0" collapsed="false">
      <c r="A2330" s="41"/>
      <c r="G2330" s="38" t="n">
        <f aca="false">MONTH(A2330)</f>
        <v>12</v>
      </c>
      <c r="H2330" s="38" t="n">
        <f aca="false">YEAR(Tabela1[[#This Row],[FECHA]])</f>
        <v>1900</v>
      </c>
      <c r="I23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31" customFormat="false" ht="15" hidden="false" customHeight="false" outlineLevel="0" collapsed="false">
      <c r="A2331" s="41"/>
      <c r="G2331" s="38" t="n">
        <f aca="false">MONTH(A2331)</f>
        <v>12</v>
      </c>
      <c r="H2331" s="38" t="n">
        <f aca="false">YEAR(Tabela1[[#This Row],[FECHA]])</f>
        <v>1900</v>
      </c>
      <c r="I23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32" customFormat="false" ht="15" hidden="false" customHeight="false" outlineLevel="0" collapsed="false">
      <c r="A2332" s="41"/>
      <c r="G2332" s="38" t="n">
        <f aca="false">MONTH(A2332)</f>
        <v>12</v>
      </c>
      <c r="H2332" s="38" t="n">
        <f aca="false">YEAR(Tabela1[[#This Row],[FECHA]])</f>
        <v>1900</v>
      </c>
      <c r="I23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33" customFormat="false" ht="15" hidden="false" customHeight="false" outlineLevel="0" collapsed="false">
      <c r="A2333" s="41"/>
      <c r="G2333" s="38" t="n">
        <f aca="false">MONTH(A2333)</f>
        <v>12</v>
      </c>
      <c r="H2333" s="38" t="n">
        <f aca="false">YEAR(Tabela1[[#This Row],[FECHA]])</f>
        <v>1900</v>
      </c>
      <c r="I23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34" customFormat="false" ht="15" hidden="false" customHeight="false" outlineLevel="0" collapsed="false">
      <c r="A2334" s="41"/>
      <c r="G2334" s="38" t="n">
        <f aca="false">MONTH(A2334)</f>
        <v>12</v>
      </c>
      <c r="H2334" s="38" t="n">
        <f aca="false">YEAR(Tabela1[[#This Row],[FECHA]])</f>
        <v>1900</v>
      </c>
      <c r="I23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35" customFormat="false" ht="15" hidden="false" customHeight="false" outlineLevel="0" collapsed="false">
      <c r="A2335" s="41"/>
      <c r="G2335" s="38" t="n">
        <f aca="false">MONTH(A2335)</f>
        <v>12</v>
      </c>
      <c r="H2335" s="38" t="n">
        <f aca="false">YEAR(Tabela1[[#This Row],[FECHA]])</f>
        <v>1900</v>
      </c>
      <c r="I23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36" customFormat="false" ht="15" hidden="false" customHeight="false" outlineLevel="0" collapsed="false">
      <c r="A2336" s="41"/>
      <c r="G2336" s="38" t="n">
        <f aca="false">MONTH(A2336)</f>
        <v>12</v>
      </c>
      <c r="H2336" s="38" t="n">
        <f aca="false">YEAR(Tabela1[[#This Row],[FECHA]])</f>
        <v>1900</v>
      </c>
      <c r="I23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37" customFormat="false" ht="15" hidden="false" customHeight="false" outlineLevel="0" collapsed="false">
      <c r="A2337" s="41"/>
      <c r="G2337" s="38" t="n">
        <f aca="false">MONTH(A2337)</f>
        <v>12</v>
      </c>
      <c r="H2337" s="38" t="n">
        <f aca="false">YEAR(Tabela1[[#This Row],[FECHA]])</f>
        <v>1900</v>
      </c>
      <c r="I23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38" customFormat="false" ht="15" hidden="false" customHeight="false" outlineLevel="0" collapsed="false">
      <c r="A2338" s="41"/>
      <c r="G2338" s="38" t="n">
        <f aca="false">MONTH(A2338)</f>
        <v>12</v>
      </c>
      <c r="H2338" s="38" t="n">
        <f aca="false">YEAR(Tabela1[[#This Row],[FECHA]])</f>
        <v>1900</v>
      </c>
      <c r="I23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39" customFormat="false" ht="15" hidden="false" customHeight="false" outlineLevel="0" collapsed="false">
      <c r="A2339" s="41"/>
      <c r="G2339" s="38" t="n">
        <f aca="false">MONTH(A2339)</f>
        <v>12</v>
      </c>
      <c r="H2339" s="38" t="n">
        <f aca="false">YEAR(Tabela1[[#This Row],[FECHA]])</f>
        <v>1900</v>
      </c>
      <c r="I23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40" customFormat="false" ht="15" hidden="false" customHeight="false" outlineLevel="0" collapsed="false">
      <c r="A2340" s="41"/>
      <c r="G2340" s="38" t="n">
        <f aca="false">MONTH(A2340)</f>
        <v>12</v>
      </c>
      <c r="H2340" s="38" t="n">
        <f aca="false">YEAR(Tabela1[[#This Row],[FECHA]])</f>
        <v>1900</v>
      </c>
      <c r="I23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41" customFormat="false" ht="15" hidden="false" customHeight="false" outlineLevel="0" collapsed="false">
      <c r="A2341" s="41"/>
      <c r="G2341" s="38" t="n">
        <f aca="false">MONTH(A2341)</f>
        <v>12</v>
      </c>
      <c r="H2341" s="38" t="n">
        <f aca="false">YEAR(Tabela1[[#This Row],[FECHA]])</f>
        <v>1900</v>
      </c>
      <c r="I23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42" customFormat="false" ht="15" hidden="false" customHeight="false" outlineLevel="0" collapsed="false">
      <c r="A2342" s="41"/>
      <c r="G2342" s="38" t="n">
        <f aca="false">MONTH(A2342)</f>
        <v>12</v>
      </c>
      <c r="H2342" s="38" t="n">
        <f aca="false">YEAR(Tabela1[[#This Row],[FECHA]])</f>
        <v>1900</v>
      </c>
      <c r="I23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43" customFormat="false" ht="15" hidden="false" customHeight="false" outlineLevel="0" collapsed="false">
      <c r="A2343" s="41"/>
      <c r="G2343" s="38" t="n">
        <f aca="false">MONTH(A2343)</f>
        <v>12</v>
      </c>
      <c r="H2343" s="38" t="n">
        <f aca="false">YEAR(Tabela1[[#This Row],[FECHA]])</f>
        <v>1900</v>
      </c>
      <c r="I23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44" customFormat="false" ht="15" hidden="false" customHeight="false" outlineLevel="0" collapsed="false">
      <c r="A2344" s="41"/>
      <c r="G2344" s="38" t="n">
        <f aca="false">MONTH(A2344)</f>
        <v>12</v>
      </c>
      <c r="H2344" s="38" t="n">
        <f aca="false">YEAR(Tabela1[[#This Row],[FECHA]])</f>
        <v>1900</v>
      </c>
      <c r="I23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45" customFormat="false" ht="15" hidden="false" customHeight="false" outlineLevel="0" collapsed="false">
      <c r="A2345" s="41"/>
      <c r="G2345" s="38" t="n">
        <f aca="false">MONTH(A2345)</f>
        <v>12</v>
      </c>
      <c r="H2345" s="38" t="n">
        <f aca="false">YEAR(Tabela1[[#This Row],[FECHA]])</f>
        <v>1900</v>
      </c>
      <c r="I23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46" customFormat="false" ht="15" hidden="false" customHeight="false" outlineLevel="0" collapsed="false">
      <c r="A2346" s="41"/>
      <c r="G2346" s="38" t="n">
        <f aca="false">MONTH(A2346)</f>
        <v>12</v>
      </c>
      <c r="H2346" s="38" t="n">
        <f aca="false">YEAR(Tabela1[[#This Row],[FECHA]])</f>
        <v>1900</v>
      </c>
      <c r="I23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47" customFormat="false" ht="15" hidden="false" customHeight="false" outlineLevel="0" collapsed="false">
      <c r="A2347" s="41"/>
      <c r="G2347" s="38" t="n">
        <f aca="false">MONTH(A2347)</f>
        <v>12</v>
      </c>
      <c r="H2347" s="38" t="n">
        <f aca="false">YEAR(Tabela1[[#This Row],[FECHA]])</f>
        <v>1900</v>
      </c>
      <c r="I23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48" customFormat="false" ht="15" hidden="false" customHeight="false" outlineLevel="0" collapsed="false">
      <c r="A2348" s="41"/>
      <c r="G2348" s="38" t="n">
        <f aca="false">MONTH(A2348)</f>
        <v>12</v>
      </c>
      <c r="H2348" s="38" t="n">
        <f aca="false">YEAR(Tabela1[[#This Row],[FECHA]])</f>
        <v>1900</v>
      </c>
      <c r="I23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49" customFormat="false" ht="15" hidden="false" customHeight="false" outlineLevel="0" collapsed="false">
      <c r="A2349" s="41"/>
      <c r="G2349" s="38" t="n">
        <f aca="false">MONTH(A2349)</f>
        <v>12</v>
      </c>
      <c r="H2349" s="38" t="n">
        <f aca="false">YEAR(Tabela1[[#This Row],[FECHA]])</f>
        <v>1900</v>
      </c>
      <c r="I23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50" customFormat="false" ht="15" hidden="false" customHeight="false" outlineLevel="0" collapsed="false">
      <c r="A2350" s="41"/>
      <c r="G2350" s="38" t="n">
        <f aca="false">MONTH(A2350)</f>
        <v>12</v>
      </c>
      <c r="H2350" s="38" t="n">
        <f aca="false">YEAR(Tabela1[[#This Row],[FECHA]])</f>
        <v>1900</v>
      </c>
      <c r="I23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51" customFormat="false" ht="15" hidden="false" customHeight="false" outlineLevel="0" collapsed="false">
      <c r="A2351" s="41"/>
      <c r="G2351" s="38" t="n">
        <f aca="false">MONTH(A2351)</f>
        <v>12</v>
      </c>
      <c r="H2351" s="38" t="n">
        <f aca="false">YEAR(Tabela1[[#This Row],[FECHA]])</f>
        <v>1900</v>
      </c>
      <c r="I23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52" customFormat="false" ht="15" hidden="false" customHeight="false" outlineLevel="0" collapsed="false">
      <c r="A2352" s="41"/>
      <c r="G2352" s="38" t="n">
        <f aca="false">MONTH(A2352)</f>
        <v>12</v>
      </c>
      <c r="H2352" s="38" t="n">
        <f aca="false">YEAR(Tabela1[[#This Row],[FECHA]])</f>
        <v>1900</v>
      </c>
      <c r="I23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53" customFormat="false" ht="15" hidden="false" customHeight="false" outlineLevel="0" collapsed="false">
      <c r="A2353" s="41"/>
      <c r="G2353" s="38" t="n">
        <f aca="false">MONTH(A2353)</f>
        <v>12</v>
      </c>
      <c r="H2353" s="38" t="n">
        <f aca="false">YEAR(Tabela1[[#This Row],[FECHA]])</f>
        <v>1900</v>
      </c>
      <c r="I23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54" customFormat="false" ht="15" hidden="false" customHeight="false" outlineLevel="0" collapsed="false">
      <c r="A2354" s="41"/>
      <c r="G2354" s="38" t="n">
        <f aca="false">MONTH(A2354)</f>
        <v>12</v>
      </c>
      <c r="H2354" s="38" t="n">
        <f aca="false">YEAR(Tabela1[[#This Row],[FECHA]])</f>
        <v>1900</v>
      </c>
      <c r="I23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55" customFormat="false" ht="15" hidden="false" customHeight="false" outlineLevel="0" collapsed="false">
      <c r="A2355" s="41"/>
      <c r="G2355" s="38" t="n">
        <f aca="false">MONTH(A2355)</f>
        <v>12</v>
      </c>
      <c r="H2355" s="38" t="n">
        <f aca="false">YEAR(Tabela1[[#This Row],[FECHA]])</f>
        <v>1900</v>
      </c>
      <c r="I23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56" customFormat="false" ht="15" hidden="false" customHeight="false" outlineLevel="0" collapsed="false">
      <c r="A2356" s="41"/>
      <c r="G2356" s="38" t="n">
        <f aca="false">MONTH(A2356)</f>
        <v>12</v>
      </c>
      <c r="H2356" s="38" t="n">
        <f aca="false">YEAR(Tabela1[[#This Row],[FECHA]])</f>
        <v>1900</v>
      </c>
      <c r="I23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57" customFormat="false" ht="15" hidden="false" customHeight="false" outlineLevel="0" collapsed="false">
      <c r="A2357" s="41"/>
      <c r="G2357" s="38" t="n">
        <f aca="false">MONTH(A2357)</f>
        <v>12</v>
      </c>
      <c r="H2357" s="38" t="n">
        <f aca="false">YEAR(Tabela1[[#This Row],[FECHA]])</f>
        <v>1900</v>
      </c>
      <c r="I23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58" customFormat="false" ht="15" hidden="false" customHeight="false" outlineLevel="0" collapsed="false">
      <c r="A2358" s="41"/>
      <c r="G2358" s="38" t="n">
        <f aca="false">MONTH(A2358)</f>
        <v>12</v>
      </c>
      <c r="H2358" s="38" t="n">
        <f aca="false">YEAR(Tabela1[[#This Row],[FECHA]])</f>
        <v>1900</v>
      </c>
      <c r="I23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59" customFormat="false" ht="15" hidden="false" customHeight="false" outlineLevel="0" collapsed="false">
      <c r="A2359" s="41"/>
      <c r="G2359" s="38" t="n">
        <f aca="false">MONTH(A2359)</f>
        <v>12</v>
      </c>
      <c r="H2359" s="38" t="n">
        <f aca="false">YEAR(Tabela1[[#This Row],[FECHA]])</f>
        <v>1900</v>
      </c>
      <c r="I23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60" customFormat="false" ht="15" hidden="false" customHeight="false" outlineLevel="0" collapsed="false">
      <c r="A2360" s="41"/>
      <c r="G2360" s="38" t="n">
        <f aca="false">MONTH(A2360)</f>
        <v>12</v>
      </c>
      <c r="H2360" s="38" t="n">
        <f aca="false">YEAR(Tabela1[[#This Row],[FECHA]])</f>
        <v>1900</v>
      </c>
      <c r="I23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61" customFormat="false" ht="15" hidden="false" customHeight="false" outlineLevel="0" collapsed="false">
      <c r="A2361" s="41"/>
      <c r="G2361" s="38" t="n">
        <f aca="false">MONTH(A2361)</f>
        <v>12</v>
      </c>
      <c r="H2361" s="38" t="n">
        <f aca="false">YEAR(Tabela1[[#This Row],[FECHA]])</f>
        <v>1900</v>
      </c>
      <c r="I23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62" customFormat="false" ht="15" hidden="false" customHeight="false" outlineLevel="0" collapsed="false">
      <c r="A2362" s="41"/>
      <c r="G2362" s="38" t="n">
        <f aca="false">MONTH(A2362)</f>
        <v>12</v>
      </c>
      <c r="H2362" s="38" t="n">
        <f aca="false">YEAR(Tabela1[[#This Row],[FECHA]])</f>
        <v>1900</v>
      </c>
      <c r="I23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63" customFormat="false" ht="15" hidden="false" customHeight="false" outlineLevel="0" collapsed="false">
      <c r="A2363" s="41"/>
      <c r="G2363" s="38" t="n">
        <f aca="false">MONTH(A2363)</f>
        <v>12</v>
      </c>
      <c r="H2363" s="38" t="n">
        <f aca="false">YEAR(Tabela1[[#This Row],[FECHA]])</f>
        <v>1900</v>
      </c>
      <c r="I23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64" customFormat="false" ht="15" hidden="false" customHeight="false" outlineLevel="0" collapsed="false">
      <c r="A2364" s="41"/>
      <c r="G2364" s="38" t="n">
        <f aca="false">MONTH(A2364)</f>
        <v>12</v>
      </c>
      <c r="H2364" s="38" t="n">
        <f aca="false">YEAR(Tabela1[[#This Row],[FECHA]])</f>
        <v>1900</v>
      </c>
      <c r="I23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65" customFormat="false" ht="15" hidden="false" customHeight="false" outlineLevel="0" collapsed="false">
      <c r="A2365" s="41"/>
      <c r="G2365" s="38" t="n">
        <f aca="false">MONTH(A2365)</f>
        <v>12</v>
      </c>
      <c r="H2365" s="38" t="n">
        <f aca="false">YEAR(Tabela1[[#This Row],[FECHA]])</f>
        <v>1900</v>
      </c>
      <c r="I23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66" customFormat="false" ht="15" hidden="false" customHeight="false" outlineLevel="0" collapsed="false">
      <c r="A2366" s="41"/>
      <c r="G2366" s="38" t="n">
        <f aca="false">MONTH(A2366)</f>
        <v>12</v>
      </c>
      <c r="H2366" s="38" t="n">
        <f aca="false">YEAR(Tabela1[[#This Row],[FECHA]])</f>
        <v>1900</v>
      </c>
      <c r="I23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67" customFormat="false" ht="15" hidden="false" customHeight="false" outlineLevel="0" collapsed="false">
      <c r="A2367" s="41"/>
      <c r="G2367" s="38" t="n">
        <f aca="false">MONTH(A2367)</f>
        <v>12</v>
      </c>
      <c r="H2367" s="38" t="n">
        <f aca="false">YEAR(Tabela1[[#This Row],[FECHA]])</f>
        <v>1900</v>
      </c>
      <c r="I23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68" customFormat="false" ht="15" hidden="false" customHeight="false" outlineLevel="0" collapsed="false">
      <c r="A2368" s="41"/>
      <c r="G2368" s="38" t="n">
        <f aca="false">MONTH(A2368)</f>
        <v>12</v>
      </c>
      <c r="H2368" s="38" t="n">
        <f aca="false">YEAR(Tabela1[[#This Row],[FECHA]])</f>
        <v>1900</v>
      </c>
      <c r="I23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69" customFormat="false" ht="15" hidden="false" customHeight="false" outlineLevel="0" collapsed="false">
      <c r="A2369" s="41"/>
      <c r="G2369" s="38" t="n">
        <f aca="false">MONTH(A2369)</f>
        <v>12</v>
      </c>
      <c r="H2369" s="38" t="n">
        <f aca="false">YEAR(Tabela1[[#This Row],[FECHA]])</f>
        <v>1900</v>
      </c>
      <c r="I23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70" customFormat="false" ht="15" hidden="false" customHeight="false" outlineLevel="0" collapsed="false">
      <c r="A2370" s="41"/>
      <c r="G2370" s="38" t="n">
        <f aca="false">MONTH(A2370)</f>
        <v>12</v>
      </c>
      <c r="H2370" s="38" t="n">
        <f aca="false">YEAR(Tabela1[[#This Row],[FECHA]])</f>
        <v>1900</v>
      </c>
      <c r="I23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71" customFormat="false" ht="15" hidden="false" customHeight="false" outlineLevel="0" collapsed="false">
      <c r="A2371" s="41"/>
      <c r="G2371" s="38" t="n">
        <f aca="false">MONTH(A2371)</f>
        <v>12</v>
      </c>
      <c r="H2371" s="38" t="n">
        <f aca="false">YEAR(Tabela1[[#This Row],[FECHA]])</f>
        <v>1900</v>
      </c>
      <c r="I23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72" customFormat="false" ht="15" hidden="false" customHeight="false" outlineLevel="0" collapsed="false">
      <c r="A2372" s="41"/>
      <c r="G2372" s="38" t="n">
        <f aca="false">MONTH(A2372)</f>
        <v>12</v>
      </c>
      <c r="H2372" s="38" t="n">
        <f aca="false">YEAR(Tabela1[[#This Row],[FECHA]])</f>
        <v>1900</v>
      </c>
      <c r="I23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73" customFormat="false" ht="15" hidden="false" customHeight="false" outlineLevel="0" collapsed="false">
      <c r="A2373" s="41"/>
      <c r="G2373" s="38" t="n">
        <f aca="false">MONTH(A2373)</f>
        <v>12</v>
      </c>
      <c r="H2373" s="38" t="n">
        <f aca="false">YEAR(Tabela1[[#This Row],[FECHA]])</f>
        <v>1900</v>
      </c>
      <c r="I23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74" customFormat="false" ht="15" hidden="false" customHeight="false" outlineLevel="0" collapsed="false">
      <c r="A2374" s="41"/>
      <c r="G2374" s="38" t="n">
        <f aca="false">MONTH(A2374)</f>
        <v>12</v>
      </c>
      <c r="H2374" s="38" t="n">
        <f aca="false">YEAR(Tabela1[[#This Row],[FECHA]])</f>
        <v>1900</v>
      </c>
      <c r="I23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75" customFormat="false" ht="15" hidden="false" customHeight="false" outlineLevel="0" collapsed="false">
      <c r="A2375" s="41"/>
      <c r="G2375" s="38" t="n">
        <f aca="false">MONTH(A2375)</f>
        <v>12</v>
      </c>
      <c r="H2375" s="38" t="n">
        <f aca="false">YEAR(Tabela1[[#This Row],[FECHA]])</f>
        <v>1900</v>
      </c>
      <c r="I23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76" customFormat="false" ht="15" hidden="false" customHeight="false" outlineLevel="0" collapsed="false">
      <c r="A2376" s="41"/>
      <c r="G2376" s="38" t="n">
        <f aca="false">MONTH(A2376)</f>
        <v>12</v>
      </c>
      <c r="H2376" s="38" t="n">
        <f aca="false">YEAR(Tabela1[[#This Row],[FECHA]])</f>
        <v>1900</v>
      </c>
      <c r="I23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77" customFormat="false" ht="15" hidden="false" customHeight="false" outlineLevel="0" collapsed="false">
      <c r="A2377" s="41"/>
      <c r="G2377" s="38" t="n">
        <f aca="false">MONTH(A2377)</f>
        <v>12</v>
      </c>
      <c r="H2377" s="38" t="n">
        <f aca="false">YEAR(Tabela1[[#This Row],[FECHA]])</f>
        <v>1900</v>
      </c>
      <c r="I23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78" customFormat="false" ht="15" hidden="false" customHeight="false" outlineLevel="0" collapsed="false">
      <c r="A2378" s="41"/>
      <c r="G2378" s="38" t="n">
        <f aca="false">MONTH(A2378)</f>
        <v>12</v>
      </c>
      <c r="H2378" s="38" t="n">
        <f aca="false">YEAR(Tabela1[[#This Row],[FECHA]])</f>
        <v>1900</v>
      </c>
      <c r="I23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79" customFormat="false" ht="15" hidden="false" customHeight="false" outlineLevel="0" collapsed="false">
      <c r="A2379" s="41"/>
      <c r="G2379" s="38" t="n">
        <f aca="false">MONTH(A2379)</f>
        <v>12</v>
      </c>
      <c r="H2379" s="38" t="n">
        <f aca="false">YEAR(Tabela1[[#This Row],[FECHA]])</f>
        <v>1900</v>
      </c>
      <c r="I23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80" customFormat="false" ht="15" hidden="false" customHeight="false" outlineLevel="0" collapsed="false">
      <c r="A2380" s="41"/>
      <c r="G2380" s="38" t="n">
        <f aca="false">MONTH(A2380)</f>
        <v>12</v>
      </c>
      <c r="H2380" s="38" t="n">
        <f aca="false">YEAR(Tabela1[[#This Row],[FECHA]])</f>
        <v>1900</v>
      </c>
      <c r="I23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81" customFormat="false" ht="15" hidden="false" customHeight="false" outlineLevel="0" collapsed="false">
      <c r="A2381" s="41"/>
      <c r="G2381" s="38" t="n">
        <f aca="false">MONTH(A2381)</f>
        <v>12</v>
      </c>
      <c r="H2381" s="38" t="n">
        <f aca="false">YEAR(Tabela1[[#This Row],[FECHA]])</f>
        <v>1900</v>
      </c>
      <c r="I23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82" customFormat="false" ht="15" hidden="false" customHeight="false" outlineLevel="0" collapsed="false">
      <c r="A2382" s="41"/>
      <c r="G2382" s="38" t="n">
        <f aca="false">MONTH(A2382)</f>
        <v>12</v>
      </c>
      <c r="H2382" s="38" t="n">
        <f aca="false">YEAR(Tabela1[[#This Row],[FECHA]])</f>
        <v>1900</v>
      </c>
      <c r="I23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83" customFormat="false" ht="15" hidden="false" customHeight="false" outlineLevel="0" collapsed="false">
      <c r="A2383" s="41"/>
      <c r="G2383" s="38" t="n">
        <f aca="false">MONTH(A2383)</f>
        <v>12</v>
      </c>
      <c r="H2383" s="38" t="n">
        <f aca="false">YEAR(Tabela1[[#This Row],[FECHA]])</f>
        <v>1900</v>
      </c>
      <c r="I23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84" customFormat="false" ht="15" hidden="false" customHeight="false" outlineLevel="0" collapsed="false">
      <c r="A2384" s="41"/>
      <c r="G2384" s="38" t="n">
        <f aca="false">MONTH(A2384)</f>
        <v>12</v>
      </c>
      <c r="H2384" s="38" t="n">
        <f aca="false">YEAR(Tabela1[[#This Row],[FECHA]])</f>
        <v>1900</v>
      </c>
      <c r="I23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85" customFormat="false" ht="15" hidden="false" customHeight="false" outlineLevel="0" collapsed="false">
      <c r="A2385" s="41"/>
      <c r="G2385" s="38" t="n">
        <f aca="false">MONTH(A2385)</f>
        <v>12</v>
      </c>
      <c r="H2385" s="38" t="n">
        <f aca="false">YEAR(Tabela1[[#This Row],[FECHA]])</f>
        <v>1900</v>
      </c>
      <c r="I23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86" customFormat="false" ht="15" hidden="false" customHeight="false" outlineLevel="0" collapsed="false">
      <c r="A2386" s="41"/>
      <c r="G2386" s="38" t="n">
        <f aca="false">MONTH(A2386)</f>
        <v>12</v>
      </c>
      <c r="H2386" s="38" t="n">
        <f aca="false">YEAR(Tabela1[[#This Row],[FECHA]])</f>
        <v>1900</v>
      </c>
      <c r="I23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87" customFormat="false" ht="15" hidden="false" customHeight="false" outlineLevel="0" collapsed="false">
      <c r="A2387" s="41"/>
      <c r="G2387" s="38" t="n">
        <f aca="false">MONTH(A2387)</f>
        <v>12</v>
      </c>
      <c r="H2387" s="38" t="n">
        <f aca="false">YEAR(Tabela1[[#This Row],[FECHA]])</f>
        <v>1900</v>
      </c>
      <c r="I23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88" customFormat="false" ht="15" hidden="false" customHeight="false" outlineLevel="0" collapsed="false">
      <c r="A2388" s="41"/>
      <c r="G2388" s="38" t="n">
        <f aca="false">MONTH(A2388)</f>
        <v>12</v>
      </c>
      <c r="H2388" s="38" t="n">
        <f aca="false">YEAR(Tabela1[[#This Row],[FECHA]])</f>
        <v>1900</v>
      </c>
      <c r="I23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89" customFormat="false" ht="15" hidden="false" customHeight="false" outlineLevel="0" collapsed="false">
      <c r="A2389" s="41"/>
      <c r="G2389" s="38" t="n">
        <f aca="false">MONTH(A2389)</f>
        <v>12</v>
      </c>
      <c r="H2389" s="38" t="n">
        <f aca="false">YEAR(Tabela1[[#This Row],[FECHA]])</f>
        <v>1900</v>
      </c>
      <c r="I23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90" customFormat="false" ht="15" hidden="false" customHeight="false" outlineLevel="0" collapsed="false">
      <c r="A2390" s="41"/>
      <c r="G2390" s="38" t="n">
        <f aca="false">MONTH(A2390)</f>
        <v>12</v>
      </c>
      <c r="H2390" s="38" t="n">
        <f aca="false">YEAR(Tabela1[[#This Row],[FECHA]])</f>
        <v>1900</v>
      </c>
      <c r="I23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91" customFormat="false" ht="15" hidden="false" customHeight="false" outlineLevel="0" collapsed="false">
      <c r="A2391" s="41"/>
      <c r="G2391" s="38" t="n">
        <f aca="false">MONTH(A2391)</f>
        <v>12</v>
      </c>
      <c r="H2391" s="38" t="n">
        <f aca="false">YEAR(Tabela1[[#This Row],[FECHA]])</f>
        <v>1900</v>
      </c>
      <c r="I23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92" customFormat="false" ht="15" hidden="false" customHeight="false" outlineLevel="0" collapsed="false">
      <c r="A2392" s="41"/>
      <c r="G2392" s="38" t="n">
        <f aca="false">MONTH(A2392)</f>
        <v>12</v>
      </c>
      <c r="H2392" s="38" t="n">
        <f aca="false">YEAR(Tabela1[[#This Row],[FECHA]])</f>
        <v>1900</v>
      </c>
      <c r="I23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93" customFormat="false" ht="15" hidden="false" customHeight="false" outlineLevel="0" collapsed="false">
      <c r="A2393" s="41"/>
      <c r="G2393" s="38" t="n">
        <f aca="false">MONTH(A2393)</f>
        <v>12</v>
      </c>
      <c r="H2393" s="38" t="n">
        <f aca="false">YEAR(Tabela1[[#This Row],[FECHA]])</f>
        <v>1900</v>
      </c>
      <c r="I23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94" customFormat="false" ht="15" hidden="false" customHeight="false" outlineLevel="0" collapsed="false">
      <c r="A2394" s="41"/>
      <c r="G2394" s="38" t="n">
        <f aca="false">MONTH(A2394)</f>
        <v>12</v>
      </c>
      <c r="H2394" s="38" t="n">
        <f aca="false">YEAR(Tabela1[[#This Row],[FECHA]])</f>
        <v>1900</v>
      </c>
      <c r="I23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95" customFormat="false" ht="15" hidden="false" customHeight="false" outlineLevel="0" collapsed="false">
      <c r="A2395" s="41"/>
      <c r="G2395" s="38" t="n">
        <f aca="false">MONTH(A2395)</f>
        <v>12</v>
      </c>
      <c r="H2395" s="38" t="n">
        <f aca="false">YEAR(Tabela1[[#This Row],[FECHA]])</f>
        <v>1900</v>
      </c>
      <c r="I23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96" customFormat="false" ht="15" hidden="false" customHeight="false" outlineLevel="0" collapsed="false">
      <c r="A2396" s="41"/>
      <c r="G2396" s="38" t="n">
        <f aca="false">MONTH(A2396)</f>
        <v>12</v>
      </c>
      <c r="H2396" s="38" t="n">
        <f aca="false">YEAR(Tabela1[[#This Row],[FECHA]])</f>
        <v>1900</v>
      </c>
      <c r="I23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97" customFormat="false" ht="15" hidden="false" customHeight="false" outlineLevel="0" collapsed="false">
      <c r="A2397" s="41"/>
      <c r="G2397" s="38" t="n">
        <f aca="false">MONTH(A2397)</f>
        <v>12</v>
      </c>
      <c r="H2397" s="38" t="n">
        <f aca="false">YEAR(Tabela1[[#This Row],[FECHA]])</f>
        <v>1900</v>
      </c>
      <c r="I23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98" customFormat="false" ht="15" hidden="false" customHeight="false" outlineLevel="0" collapsed="false">
      <c r="A2398" s="41"/>
      <c r="G2398" s="38" t="n">
        <f aca="false">MONTH(A2398)</f>
        <v>12</v>
      </c>
      <c r="H2398" s="38" t="n">
        <f aca="false">YEAR(Tabela1[[#This Row],[FECHA]])</f>
        <v>1900</v>
      </c>
      <c r="I23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399" customFormat="false" ht="15" hidden="false" customHeight="false" outlineLevel="0" collapsed="false">
      <c r="A2399" s="41"/>
      <c r="G2399" s="38" t="n">
        <f aca="false">MONTH(A2399)</f>
        <v>12</v>
      </c>
      <c r="H2399" s="38" t="n">
        <f aca="false">YEAR(Tabela1[[#This Row],[FECHA]])</f>
        <v>1900</v>
      </c>
      <c r="I23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00" customFormat="false" ht="15" hidden="false" customHeight="false" outlineLevel="0" collapsed="false">
      <c r="A2400" s="41"/>
      <c r="G2400" s="38" t="n">
        <f aca="false">MONTH(A2400)</f>
        <v>12</v>
      </c>
      <c r="H2400" s="38" t="n">
        <f aca="false">YEAR(Tabela1[[#This Row],[FECHA]])</f>
        <v>1900</v>
      </c>
      <c r="I24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01" customFormat="false" ht="15" hidden="false" customHeight="false" outlineLevel="0" collapsed="false">
      <c r="A2401" s="41"/>
      <c r="G2401" s="38" t="n">
        <f aca="false">MONTH(A2401)</f>
        <v>12</v>
      </c>
      <c r="H2401" s="38" t="n">
        <f aca="false">YEAR(Tabela1[[#This Row],[FECHA]])</f>
        <v>1900</v>
      </c>
      <c r="I24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02" customFormat="false" ht="15" hidden="false" customHeight="false" outlineLevel="0" collapsed="false">
      <c r="A2402" s="41"/>
      <c r="G2402" s="38" t="n">
        <f aca="false">MONTH(A2402)</f>
        <v>12</v>
      </c>
      <c r="H2402" s="38" t="n">
        <f aca="false">YEAR(Tabela1[[#This Row],[FECHA]])</f>
        <v>1900</v>
      </c>
      <c r="I24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03" customFormat="false" ht="15" hidden="false" customHeight="false" outlineLevel="0" collapsed="false">
      <c r="A2403" s="41"/>
      <c r="G2403" s="38" t="n">
        <f aca="false">MONTH(A2403)</f>
        <v>12</v>
      </c>
      <c r="H2403" s="38" t="n">
        <f aca="false">YEAR(Tabela1[[#This Row],[FECHA]])</f>
        <v>1900</v>
      </c>
      <c r="I24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04" customFormat="false" ht="15" hidden="false" customHeight="false" outlineLevel="0" collapsed="false">
      <c r="A2404" s="41"/>
      <c r="G2404" s="38" t="n">
        <f aca="false">MONTH(A2404)</f>
        <v>12</v>
      </c>
      <c r="H2404" s="38" t="n">
        <f aca="false">YEAR(Tabela1[[#This Row],[FECHA]])</f>
        <v>1900</v>
      </c>
      <c r="I24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05" customFormat="false" ht="15" hidden="false" customHeight="false" outlineLevel="0" collapsed="false">
      <c r="A2405" s="41"/>
      <c r="G2405" s="38" t="n">
        <f aca="false">MONTH(A2405)</f>
        <v>12</v>
      </c>
      <c r="H2405" s="38" t="n">
        <f aca="false">YEAR(Tabela1[[#This Row],[FECHA]])</f>
        <v>1900</v>
      </c>
      <c r="I24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06" customFormat="false" ht="15" hidden="false" customHeight="false" outlineLevel="0" collapsed="false">
      <c r="A2406" s="41"/>
      <c r="G2406" s="38" t="n">
        <f aca="false">MONTH(A2406)</f>
        <v>12</v>
      </c>
      <c r="H2406" s="38" t="n">
        <f aca="false">YEAR(Tabela1[[#This Row],[FECHA]])</f>
        <v>1900</v>
      </c>
      <c r="I24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07" customFormat="false" ht="15" hidden="false" customHeight="false" outlineLevel="0" collapsed="false">
      <c r="A2407" s="41"/>
      <c r="G2407" s="38" t="n">
        <f aca="false">MONTH(A2407)</f>
        <v>12</v>
      </c>
      <c r="H2407" s="38" t="n">
        <f aca="false">YEAR(Tabela1[[#This Row],[FECHA]])</f>
        <v>1900</v>
      </c>
      <c r="I24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08" customFormat="false" ht="15" hidden="false" customHeight="false" outlineLevel="0" collapsed="false">
      <c r="A2408" s="41"/>
      <c r="G2408" s="38" t="n">
        <f aca="false">MONTH(A2408)</f>
        <v>12</v>
      </c>
      <c r="H2408" s="38" t="n">
        <f aca="false">YEAR(Tabela1[[#This Row],[FECHA]])</f>
        <v>1900</v>
      </c>
      <c r="I24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09" customFormat="false" ht="15" hidden="false" customHeight="false" outlineLevel="0" collapsed="false">
      <c r="A2409" s="41"/>
      <c r="G2409" s="38" t="n">
        <f aca="false">MONTH(A2409)</f>
        <v>12</v>
      </c>
      <c r="H2409" s="38" t="n">
        <f aca="false">YEAR(Tabela1[[#This Row],[FECHA]])</f>
        <v>1900</v>
      </c>
      <c r="I24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10" customFormat="false" ht="15" hidden="false" customHeight="false" outlineLevel="0" collapsed="false">
      <c r="A2410" s="41"/>
      <c r="G2410" s="38" t="n">
        <f aca="false">MONTH(A2410)</f>
        <v>12</v>
      </c>
      <c r="H2410" s="38" t="n">
        <f aca="false">YEAR(Tabela1[[#This Row],[FECHA]])</f>
        <v>1900</v>
      </c>
      <c r="I24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11" customFormat="false" ht="15" hidden="false" customHeight="false" outlineLevel="0" collapsed="false">
      <c r="A2411" s="41"/>
      <c r="G2411" s="38" t="n">
        <f aca="false">MONTH(A2411)</f>
        <v>12</v>
      </c>
      <c r="H2411" s="38" t="n">
        <f aca="false">YEAR(Tabela1[[#This Row],[FECHA]])</f>
        <v>1900</v>
      </c>
      <c r="I24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12" customFormat="false" ht="15" hidden="false" customHeight="false" outlineLevel="0" collapsed="false">
      <c r="A2412" s="41"/>
      <c r="G2412" s="38" t="n">
        <f aca="false">MONTH(A2412)</f>
        <v>12</v>
      </c>
      <c r="H2412" s="38" t="n">
        <f aca="false">YEAR(Tabela1[[#This Row],[FECHA]])</f>
        <v>1900</v>
      </c>
      <c r="I24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13" customFormat="false" ht="15" hidden="false" customHeight="false" outlineLevel="0" collapsed="false">
      <c r="A2413" s="41"/>
      <c r="G2413" s="38" t="n">
        <f aca="false">MONTH(A2413)</f>
        <v>12</v>
      </c>
      <c r="H2413" s="38" t="n">
        <f aca="false">YEAR(Tabela1[[#This Row],[FECHA]])</f>
        <v>1900</v>
      </c>
      <c r="I24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14" customFormat="false" ht="15" hidden="false" customHeight="false" outlineLevel="0" collapsed="false">
      <c r="A2414" s="41"/>
      <c r="G2414" s="38" t="n">
        <f aca="false">MONTH(A2414)</f>
        <v>12</v>
      </c>
      <c r="H2414" s="38" t="n">
        <f aca="false">YEAR(Tabela1[[#This Row],[FECHA]])</f>
        <v>1900</v>
      </c>
      <c r="I24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15" customFormat="false" ht="15" hidden="false" customHeight="false" outlineLevel="0" collapsed="false">
      <c r="A2415" s="41"/>
      <c r="G2415" s="38" t="n">
        <f aca="false">MONTH(A2415)</f>
        <v>12</v>
      </c>
      <c r="H2415" s="38" t="n">
        <f aca="false">YEAR(Tabela1[[#This Row],[FECHA]])</f>
        <v>1900</v>
      </c>
      <c r="I24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16" customFormat="false" ht="15" hidden="false" customHeight="false" outlineLevel="0" collapsed="false">
      <c r="A2416" s="41"/>
      <c r="G2416" s="38" t="n">
        <f aca="false">MONTH(A2416)</f>
        <v>12</v>
      </c>
      <c r="H2416" s="38" t="n">
        <f aca="false">YEAR(Tabela1[[#This Row],[FECHA]])</f>
        <v>1900</v>
      </c>
      <c r="I24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17" customFormat="false" ht="15" hidden="false" customHeight="false" outlineLevel="0" collapsed="false">
      <c r="A2417" s="41"/>
      <c r="G2417" s="38" t="n">
        <f aca="false">MONTH(A2417)</f>
        <v>12</v>
      </c>
      <c r="H2417" s="38" t="n">
        <f aca="false">YEAR(Tabela1[[#This Row],[FECHA]])</f>
        <v>1900</v>
      </c>
      <c r="I24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18" customFormat="false" ht="15" hidden="false" customHeight="false" outlineLevel="0" collapsed="false">
      <c r="A2418" s="41"/>
      <c r="G2418" s="38" t="n">
        <f aca="false">MONTH(A2418)</f>
        <v>12</v>
      </c>
      <c r="H2418" s="38" t="n">
        <f aca="false">YEAR(Tabela1[[#This Row],[FECHA]])</f>
        <v>1900</v>
      </c>
      <c r="I24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19" customFormat="false" ht="15" hidden="false" customHeight="false" outlineLevel="0" collapsed="false">
      <c r="A2419" s="41"/>
      <c r="G2419" s="38" t="n">
        <f aca="false">MONTH(A2419)</f>
        <v>12</v>
      </c>
      <c r="H2419" s="38" t="n">
        <f aca="false">YEAR(Tabela1[[#This Row],[FECHA]])</f>
        <v>1900</v>
      </c>
      <c r="I24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20" customFormat="false" ht="15" hidden="false" customHeight="false" outlineLevel="0" collapsed="false">
      <c r="A2420" s="41"/>
      <c r="G2420" s="38" t="n">
        <f aca="false">MONTH(A2420)</f>
        <v>12</v>
      </c>
      <c r="H2420" s="38" t="n">
        <f aca="false">YEAR(Tabela1[[#This Row],[FECHA]])</f>
        <v>1900</v>
      </c>
      <c r="I24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21" customFormat="false" ht="15" hidden="false" customHeight="false" outlineLevel="0" collapsed="false">
      <c r="A2421" s="41"/>
      <c r="G2421" s="38" t="n">
        <f aca="false">MONTH(A2421)</f>
        <v>12</v>
      </c>
      <c r="H2421" s="38" t="n">
        <f aca="false">YEAR(Tabela1[[#This Row],[FECHA]])</f>
        <v>1900</v>
      </c>
      <c r="I24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22" customFormat="false" ht="15" hidden="false" customHeight="false" outlineLevel="0" collapsed="false">
      <c r="A2422" s="41"/>
      <c r="G2422" s="38" t="n">
        <f aca="false">MONTH(A2422)</f>
        <v>12</v>
      </c>
      <c r="H2422" s="38" t="n">
        <f aca="false">YEAR(Tabela1[[#This Row],[FECHA]])</f>
        <v>1900</v>
      </c>
      <c r="I24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23" customFormat="false" ht="15" hidden="false" customHeight="false" outlineLevel="0" collapsed="false">
      <c r="A2423" s="41"/>
      <c r="G2423" s="38" t="n">
        <f aca="false">MONTH(A2423)</f>
        <v>12</v>
      </c>
      <c r="H2423" s="38" t="n">
        <f aca="false">YEAR(Tabela1[[#This Row],[FECHA]])</f>
        <v>1900</v>
      </c>
      <c r="I24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24" customFormat="false" ht="15" hidden="false" customHeight="false" outlineLevel="0" collapsed="false">
      <c r="A2424" s="41"/>
      <c r="G2424" s="38" t="n">
        <f aca="false">MONTH(A2424)</f>
        <v>12</v>
      </c>
      <c r="H2424" s="38" t="n">
        <f aca="false">YEAR(Tabela1[[#This Row],[FECHA]])</f>
        <v>1900</v>
      </c>
      <c r="I24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25" customFormat="false" ht="15" hidden="false" customHeight="false" outlineLevel="0" collapsed="false">
      <c r="A2425" s="41"/>
      <c r="G2425" s="38" t="n">
        <f aca="false">MONTH(A2425)</f>
        <v>12</v>
      </c>
      <c r="H2425" s="38" t="n">
        <f aca="false">YEAR(Tabela1[[#This Row],[FECHA]])</f>
        <v>1900</v>
      </c>
      <c r="I24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26" customFormat="false" ht="15" hidden="false" customHeight="false" outlineLevel="0" collapsed="false">
      <c r="A2426" s="41"/>
      <c r="G2426" s="38" t="n">
        <f aca="false">MONTH(A2426)</f>
        <v>12</v>
      </c>
      <c r="H2426" s="38" t="n">
        <f aca="false">YEAR(Tabela1[[#This Row],[FECHA]])</f>
        <v>1900</v>
      </c>
      <c r="I24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27" customFormat="false" ht="15" hidden="false" customHeight="false" outlineLevel="0" collapsed="false">
      <c r="A2427" s="41"/>
      <c r="G2427" s="38" t="n">
        <f aca="false">MONTH(A2427)</f>
        <v>12</v>
      </c>
      <c r="H2427" s="38" t="n">
        <f aca="false">YEAR(Tabela1[[#This Row],[FECHA]])</f>
        <v>1900</v>
      </c>
      <c r="I24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28" customFormat="false" ht="15" hidden="false" customHeight="false" outlineLevel="0" collapsed="false">
      <c r="A2428" s="41"/>
      <c r="G2428" s="38" t="n">
        <f aca="false">MONTH(A2428)</f>
        <v>12</v>
      </c>
      <c r="H2428" s="38" t="n">
        <f aca="false">YEAR(Tabela1[[#This Row],[FECHA]])</f>
        <v>1900</v>
      </c>
      <c r="I24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29" customFormat="false" ht="15" hidden="false" customHeight="false" outlineLevel="0" collapsed="false">
      <c r="A2429" s="41"/>
      <c r="G2429" s="38" t="n">
        <f aca="false">MONTH(A2429)</f>
        <v>12</v>
      </c>
      <c r="H2429" s="38" t="n">
        <f aca="false">YEAR(Tabela1[[#This Row],[FECHA]])</f>
        <v>1900</v>
      </c>
      <c r="I24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30" customFormat="false" ht="15" hidden="false" customHeight="false" outlineLevel="0" collapsed="false">
      <c r="A2430" s="41"/>
      <c r="G2430" s="38" t="n">
        <f aca="false">MONTH(A2430)</f>
        <v>12</v>
      </c>
      <c r="H2430" s="38" t="n">
        <f aca="false">YEAR(Tabela1[[#This Row],[FECHA]])</f>
        <v>1900</v>
      </c>
      <c r="I24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31" customFormat="false" ht="15" hidden="false" customHeight="false" outlineLevel="0" collapsed="false">
      <c r="A2431" s="41"/>
      <c r="G2431" s="38" t="n">
        <f aca="false">MONTH(A2431)</f>
        <v>12</v>
      </c>
      <c r="H2431" s="38" t="n">
        <f aca="false">YEAR(Tabela1[[#This Row],[FECHA]])</f>
        <v>1900</v>
      </c>
      <c r="I24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32" customFormat="false" ht="15" hidden="false" customHeight="false" outlineLevel="0" collapsed="false">
      <c r="A2432" s="41"/>
      <c r="G2432" s="38" t="n">
        <f aca="false">MONTH(A2432)</f>
        <v>12</v>
      </c>
      <c r="H2432" s="38" t="n">
        <f aca="false">YEAR(Tabela1[[#This Row],[FECHA]])</f>
        <v>1900</v>
      </c>
      <c r="I24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33" customFormat="false" ht="15" hidden="false" customHeight="false" outlineLevel="0" collapsed="false">
      <c r="A2433" s="41"/>
      <c r="G2433" s="38" t="n">
        <f aca="false">MONTH(A2433)</f>
        <v>12</v>
      </c>
      <c r="H2433" s="38" t="n">
        <f aca="false">YEAR(Tabela1[[#This Row],[FECHA]])</f>
        <v>1900</v>
      </c>
      <c r="I24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34" customFormat="false" ht="15" hidden="false" customHeight="false" outlineLevel="0" collapsed="false">
      <c r="A2434" s="41"/>
      <c r="G2434" s="38" t="n">
        <f aca="false">MONTH(A2434)</f>
        <v>12</v>
      </c>
      <c r="H2434" s="38" t="n">
        <f aca="false">YEAR(Tabela1[[#This Row],[FECHA]])</f>
        <v>1900</v>
      </c>
      <c r="I24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35" customFormat="false" ht="15" hidden="false" customHeight="false" outlineLevel="0" collapsed="false">
      <c r="A2435" s="41"/>
      <c r="G2435" s="38" t="n">
        <f aca="false">MONTH(A2435)</f>
        <v>12</v>
      </c>
      <c r="H2435" s="38" t="n">
        <f aca="false">YEAR(Tabela1[[#This Row],[FECHA]])</f>
        <v>1900</v>
      </c>
      <c r="I24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36" customFormat="false" ht="15" hidden="false" customHeight="false" outlineLevel="0" collapsed="false">
      <c r="A2436" s="41"/>
      <c r="G2436" s="38" t="n">
        <f aca="false">MONTH(A2436)</f>
        <v>12</v>
      </c>
      <c r="H2436" s="38" t="n">
        <f aca="false">YEAR(Tabela1[[#This Row],[FECHA]])</f>
        <v>1900</v>
      </c>
      <c r="I24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37" customFormat="false" ht="15" hidden="false" customHeight="false" outlineLevel="0" collapsed="false">
      <c r="A2437" s="41"/>
      <c r="G2437" s="38" t="n">
        <f aca="false">MONTH(A2437)</f>
        <v>12</v>
      </c>
      <c r="H2437" s="38" t="n">
        <f aca="false">YEAR(Tabela1[[#This Row],[FECHA]])</f>
        <v>1900</v>
      </c>
      <c r="I24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38" customFormat="false" ht="15" hidden="false" customHeight="false" outlineLevel="0" collapsed="false">
      <c r="A2438" s="41"/>
      <c r="G2438" s="38" t="n">
        <f aca="false">MONTH(A2438)</f>
        <v>12</v>
      </c>
      <c r="H2438" s="38" t="n">
        <f aca="false">YEAR(Tabela1[[#This Row],[FECHA]])</f>
        <v>1900</v>
      </c>
      <c r="I24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39" customFormat="false" ht="15" hidden="false" customHeight="false" outlineLevel="0" collapsed="false">
      <c r="A2439" s="41"/>
      <c r="G2439" s="38" t="n">
        <f aca="false">MONTH(A2439)</f>
        <v>12</v>
      </c>
      <c r="H2439" s="38" t="n">
        <f aca="false">YEAR(Tabela1[[#This Row],[FECHA]])</f>
        <v>1900</v>
      </c>
      <c r="I24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40" customFormat="false" ht="15" hidden="false" customHeight="false" outlineLevel="0" collapsed="false">
      <c r="A2440" s="41"/>
      <c r="G2440" s="38" t="n">
        <f aca="false">MONTH(A2440)</f>
        <v>12</v>
      </c>
      <c r="H2440" s="38" t="n">
        <f aca="false">YEAR(Tabela1[[#This Row],[FECHA]])</f>
        <v>1900</v>
      </c>
      <c r="I24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41" customFormat="false" ht="15" hidden="false" customHeight="false" outlineLevel="0" collapsed="false">
      <c r="A2441" s="41"/>
      <c r="G2441" s="38" t="n">
        <f aca="false">MONTH(A2441)</f>
        <v>12</v>
      </c>
      <c r="H2441" s="38" t="n">
        <f aca="false">YEAR(Tabela1[[#This Row],[FECHA]])</f>
        <v>1900</v>
      </c>
      <c r="I24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42" customFormat="false" ht="15" hidden="false" customHeight="false" outlineLevel="0" collapsed="false">
      <c r="A2442" s="41"/>
      <c r="G2442" s="38" t="n">
        <f aca="false">MONTH(A2442)</f>
        <v>12</v>
      </c>
      <c r="H2442" s="38" t="n">
        <f aca="false">YEAR(Tabela1[[#This Row],[FECHA]])</f>
        <v>1900</v>
      </c>
      <c r="I24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43" customFormat="false" ht="15" hidden="false" customHeight="false" outlineLevel="0" collapsed="false">
      <c r="A2443" s="41"/>
      <c r="G2443" s="38" t="n">
        <f aca="false">MONTH(A2443)</f>
        <v>12</v>
      </c>
      <c r="H2443" s="38" t="n">
        <f aca="false">YEAR(Tabela1[[#This Row],[FECHA]])</f>
        <v>1900</v>
      </c>
      <c r="I24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44" customFormat="false" ht="15" hidden="false" customHeight="false" outlineLevel="0" collapsed="false">
      <c r="A2444" s="41"/>
      <c r="G2444" s="38" t="n">
        <f aca="false">MONTH(A2444)</f>
        <v>12</v>
      </c>
      <c r="H2444" s="38" t="n">
        <f aca="false">YEAR(Tabela1[[#This Row],[FECHA]])</f>
        <v>1900</v>
      </c>
      <c r="I24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45" customFormat="false" ht="15" hidden="false" customHeight="false" outlineLevel="0" collapsed="false">
      <c r="A2445" s="41"/>
      <c r="G2445" s="38" t="n">
        <f aca="false">MONTH(A2445)</f>
        <v>12</v>
      </c>
      <c r="H2445" s="38" t="n">
        <f aca="false">YEAR(Tabela1[[#This Row],[FECHA]])</f>
        <v>1900</v>
      </c>
      <c r="I24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46" customFormat="false" ht="15" hidden="false" customHeight="false" outlineLevel="0" collapsed="false">
      <c r="A2446" s="41"/>
      <c r="G2446" s="38" t="n">
        <f aca="false">MONTH(A2446)</f>
        <v>12</v>
      </c>
      <c r="H2446" s="38" t="n">
        <f aca="false">YEAR(Tabela1[[#This Row],[FECHA]])</f>
        <v>1900</v>
      </c>
      <c r="I24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47" customFormat="false" ht="15" hidden="false" customHeight="false" outlineLevel="0" collapsed="false">
      <c r="A2447" s="41"/>
      <c r="G2447" s="38" t="n">
        <f aca="false">MONTH(A2447)</f>
        <v>12</v>
      </c>
      <c r="H2447" s="38" t="n">
        <f aca="false">YEAR(Tabela1[[#This Row],[FECHA]])</f>
        <v>1900</v>
      </c>
      <c r="I24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48" customFormat="false" ht="15" hidden="false" customHeight="false" outlineLevel="0" collapsed="false">
      <c r="A2448" s="41"/>
      <c r="G2448" s="38" t="n">
        <f aca="false">MONTH(A2448)</f>
        <v>12</v>
      </c>
      <c r="H2448" s="38" t="n">
        <f aca="false">YEAR(Tabela1[[#This Row],[FECHA]])</f>
        <v>1900</v>
      </c>
      <c r="I24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49" customFormat="false" ht="15" hidden="false" customHeight="false" outlineLevel="0" collapsed="false">
      <c r="A2449" s="41"/>
      <c r="G2449" s="38" t="n">
        <f aca="false">MONTH(A2449)</f>
        <v>12</v>
      </c>
      <c r="H2449" s="38" t="n">
        <f aca="false">YEAR(Tabela1[[#This Row],[FECHA]])</f>
        <v>1900</v>
      </c>
      <c r="I24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50" customFormat="false" ht="15" hidden="false" customHeight="false" outlineLevel="0" collapsed="false">
      <c r="A2450" s="41"/>
      <c r="G2450" s="38" t="n">
        <f aca="false">MONTH(A2450)</f>
        <v>12</v>
      </c>
      <c r="H2450" s="38" t="n">
        <f aca="false">YEAR(Tabela1[[#This Row],[FECHA]])</f>
        <v>1900</v>
      </c>
      <c r="I24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51" customFormat="false" ht="15" hidden="false" customHeight="false" outlineLevel="0" collapsed="false">
      <c r="A2451" s="41"/>
      <c r="G2451" s="38" t="n">
        <f aca="false">MONTH(A2451)</f>
        <v>12</v>
      </c>
      <c r="H2451" s="38" t="n">
        <f aca="false">YEAR(Tabela1[[#This Row],[FECHA]])</f>
        <v>1900</v>
      </c>
      <c r="I24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52" customFormat="false" ht="15" hidden="false" customHeight="false" outlineLevel="0" collapsed="false">
      <c r="A2452" s="41"/>
      <c r="G2452" s="38" t="n">
        <f aca="false">MONTH(A2452)</f>
        <v>12</v>
      </c>
      <c r="H2452" s="38" t="n">
        <f aca="false">YEAR(Tabela1[[#This Row],[FECHA]])</f>
        <v>1900</v>
      </c>
      <c r="I24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53" customFormat="false" ht="15" hidden="false" customHeight="false" outlineLevel="0" collapsed="false">
      <c r="A2453" s="41"/>
      <c r="G2453" s="38" t="n">
        <f aca="false">MONTH(A2453)</f>
        <v>12</v>
      </c>
      <c r="H2453" s="38" t="n">
        <f aca="false">YEAR(Tabela1[[#This Row],[FECHA]])</f>
        <v>1900</v>
      </c>
      <c r="I24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54" customFormat="false" ht="15" hidden="false" customHeight="false" outlineLevel="0" collapsed="false">
      <c r="A2454" s="41"/>
      <c r="G2454" s="38" t="n">
        <f aca="false">MONTH(A2454)</f>
        <v>12</v>
      </c>
      <c r="H2454" s="38" t="n">
        <f aca="false">YEAR(Tabela1[[#This Row],[FECHA]])</f>
        <v>1900</v>
      </c>
      <c r="I24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55" customFormat="false" ht="15" hidden="false" customHeight="false" outlineLevel="0" collapsed="false">
      <c r="A2455" s="41"/>
      <c r="G2455" s="38" t="n">
        <f aca="false">MONTH(A2455)</f>
        <v>12</v>
      </c>
      <c r="H2455" s="38" t="n">
        <f aca="false">YEAR(Tabela1[[#This Row],[FECHA]])</f>
        <v>1900</v>
      </c>
      <c r="I24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56" customFormat="false" ht="15" hidden="false" customHeight="false" outlineLevel="0" collapsed="false">
      <c r="A2456" s="41"/>
      <c r="G2456" s="38" t="n">
        <f aca="false">MONTH(A2456)</f>
        <v>12</v>
      </c>
      <c r="H2456" s="38" t="n">
        <f aca="false">YEAR(Tabela1[[#This Row],[FECHA]])</f>
        <v>1900</v>
      </c>
      <c r="I24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57" customFormat="false" ht="15" hidden="false" customHeight="false" outlineLevel="0" collapsed="false">
      <c r="A2457" s="41"/>
      <c r="G2457" s="38" t="n">
        <f aca="false">MONTH(A2457)</f>
        <v>12</v>
      </c>
      <c r="H2457" s="38" t="n">
        <f aca="false">YEAR(Tabela1[[#This Row],[FECHA]])</f>
        <v>1900</v>
      </c>
      <c r="I24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58" customFormat="false" ht="15" hidden="false" customHeight="false" outlineLevel="0" collapsed="false">
      <c r="A2458" s="41"/>
      <c r="G2458" s="38" t="n">
        <f aca="false">MONTH(A2458)</f>
        <v>12</v>
      </c>
      <c r="H2458" s="38" t="n">
        <f aca="false">YEAR(Tabela1[[#This Row],[FECHA]])</f>
        <v>1900</v>
      </c>
      <c r="I24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59" customFormat="false" ht="15" hidden="false" customHeight="false" outlineLevel="0" collapsed="false">
      <c r="A2459" s="41"/>
      <c r="G2459" s="38" t="n">
        <f aca="false">MONTH(A2459)</f>
        <v>12</v>
      </c>
      <c r="H2459" s="38" t="n">
        <f aca="false">YEAR(Tabela1[[#This Row],[FECHA]])</f>
        <v>1900</v>
      </c>
      <c r="I24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60" customFormat="false" ht="15" hidden="false" customHeight="false" outlineLevel="0" collapsed="false">
      <c r="A2460" s="41"/>
      <c r="G2460" s="38" t="n">
        <f aca="false">MONTH(A2460)</f>
        <v>12</v>
      </c>
      <c r="H2460" s="38" t="n">
        <f aca="false">YEAR(Tabela1[[#This Row],[FECHA]])</f>
        <v>1900</v>
      </c>
      <c r="I24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61" customFormat="false" ht="15" hidden="false" customHeight="false" outlineLevel="0" collapsed="false">
      <c r="A2461" s="41"/>
      <c r="G2461" s="38" t="n">
        <f aca="false">MONTH(A2461)</f>
        <v>12</v>
      </c>
      <c r="H2461" s="38" t="n">
        <f aca="false">YEAR(Tabela1[[#This Row],[FECHA]])</f>
        <v>1900</v>
      </c>
      <c r="I24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62" customFormat="false" ht="15" hidden="false" customHeight="false" outlineLevel="0" collapsed="false">
      <c r="A2462" s="41"/>
      <c r="G2462" s="38" t="n">
        <f aca="false">MONTH(A2462)</f>
        <v>12</v>
      </c>
      <c r="H2462" s="38" t="n">
        <f aca="false">YEAR(Tabela1[[#This Row],[FECHA]])</f>
        <v>1900</v>
      </c>
      <c r="I24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63" customFormat="false" ht="15" hidden="false" customHeight="false" outlineLevel="0" collapsed="false">
      <c r="A2463" s="41"/>
      <c r="G2463" s="38" t="n">
        <f aca="false">MONTH(A2463)</f>
        <v>12</v>
      </c>
      <c r="H2463" s="38" t="n">
        <f aca="false">YEAR(Tabela1[[#This Row],[FECHA]])</f>
        <v>1900</v>
      </c>
      <c r="I24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64" customFormat="false" ht="15" hidden="false" customHeight="false" outlineLevel="0" collapsed="false">
      <c r="A2464" s="41"/>
      <c r="G2464" s="38" t="n">
        <f aca="false">MONTH(A2464)</f>
        <v>12</v>
      </c>
      <c r="H2464" s="38" t="n">
        <f aca="false">YEAR(Tabela1[[#This Row],[FECHA]])</f>
        <v>1900</v>
      </c>
      <c r="I24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65" customFormat="false" ht="15" hidden="false" customHeight="false" outlineLevel="0" collapsed="false">
      <c r="A2465" s="41"/>
      <c r="G2465" s="38" t="n">
        <f aca="false">MONTH(A2465)</f>
        <v>12</v>
      </c>
      <c r="H2465" s="38" t="n">
        <f aca="false">YEAR(Tabela1[[#This Row],[FECHA]])</f>
        <v>1900</v>
      </c>
      <c r="I24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66" customFormat="false" ht="15" hidden="false" customHeight="false" outlineLevel="0" collapsed="false">
      <c r="A2466" s="41"/>
      <c r="G2466" s="38" t="n">
        <f aca="false">MONTH(A2466)</f>
        <v>12</v>
      </c>
      <c r="H2466" s="38" t="n">
        <f aca="false">YEAR(Tabela1[[#This Row],[FECHA]])</f>
        <v>1900</v>
      </c>
      <c r="I24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67" customFormat="false" ht="15" hidden="false" customHeight="false" outlineLevel="0" collapsed="false">
      <c r="A2467" s="41"/>
      <c r="G2467" s="38" t="n">
        <f aca="false">MONTH(A2467)</f>
        <v>12</v>
      </c>
      <c r="H2467" s="38" t="n">
        <f aca="false">YEAR(Tabela1[[#This Row],[FECHA]])</f>
        <v>1900</v>
      </c>
      <c r="I24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68" customFormat="false" ht="15" hidden="false" customHeight="false" outlineLevel="0" collapsed="false">
      <c r="A2468" s="41"/>
      <c r="G2468" s="38" t="n">
        <f aca="false">MONTH(A2468)</f>
        <v>12</v>
      </c>
      <c r="H2468" s="38" t="n">
        <f aca="false">YEAR(Tabela1[[#This Row],[FECHA]])</f>
        <v>1900</v>
      </c>
      <c r="I24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69" customFormat="false" ht="15" hidden="false" customHeight="false" outlineLevel="0" collapsed="false">
      <c r="A2469" s="41"/>
      <c r="G2469" s="38" t="n">
        <f aca="false">MONTH(A2469)</f>
        <v>12</v>
      </c>
      <c r="H2469" s="38" t="n">
        <f aca="false">YEAR(Tabela1[[#This Row],[FECHA]])</f>
        <v>1900</v>
      </c>
      <c r="I24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70" customFormat="false" ht="15" hidden="false" customHeight="false" outlineLevel="0" collapsed="false">
      <c r="A2470" s="41"/>
      <c r="G2470" s="38" t="n">
        <f aca="false">MONTH(A2470)</f>
        <v>12</v>
      </c>
      <c r="H2470" s="38" t="n">
        <f aca="false">YEAR(Tabela1[[#This Row],[FECHA]])</f>
        <v>1900</v>
      </c>
      <c r="I24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71" customFormat="false" ht="15" hidden="false" customHeight="false" outlineLevel="0" collapsed="false">
      <c r="A2471" s="41"/>
      <c r="G2471" s="38" t="n">
        <f aca="false">MONTH(A2471)</f>
        <v>12</v>
      </c>
      <c r="H2471" s="38" t="n">
        <f aca="false">YEAR(Tabela1[[#This Row],[FECHA]])</f>
        <v>1900</v>
      </c>
      <c r="I24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72" customFormat="false" ht="15" hidden="false" customHeight="false" outlineLevel="0" collapsed="false">
      <c r="A2472" s="41"/>
      <c r="G2472" s="38" t="n">
        <f aca="false">MONTH(A2472)</f>
        <v>12</v>
      </c>
      <c r="H2472" s="38" t="n">
        <f aca="false">YEAR(Tabela1[[#This Row],[FECHA]])</f>
        <v>1900</v>
      </c>
      <c r="I24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73" customFormat="false" ht="15" hidden="false" customHeight="false" outlineLevel="0" collapsed="false">
      <c r="A2473" s="41"/>
      <c r="G2473" s="38" t="n">
        <f aca="false">MONTH(A2473)</f>
        <v>12</v>
      </c>
      <c r="H2473" s="38" t="n">
        <f aca="false">YEAR(Tabela1[[#This Row],[FECHA]])</f>
        <v>1900</v>
      </c>
      <c r="I24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74" customFormat="false" ht="15" hidden="false" customHeight="false" outlineLevel="0" collapsed="false">
      <c r="A2474" s="41"/>
      <c r="G2474" s="38" t="n">
        <f aca="false">MONTH(A2474)</f>
        <v>12</v>
      </c>
      <c r="H2474" s="38" t="n">
        <f aca="false">YEAR(Tabela1[[#This Row],[FECHA]])</f>
        <v>1900</v>
      </c>
      <c r="I24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75" customFormat="false" ht="15" hidden="false" customHeight="false" outlineLevel="0" collapsed="false">
      <c r="A2475" s="41"/>
      <c r="G2475" s="38" t="n">
        <f aca="false">MONTH(A2475)</f>
        <v>12</v>
      </c>
      <c r="H2475" s="38" t="n">
        <f aca="false">YEAR(Tabela1[[#This Row],[FECHA]])</f>
        <v>1900</v>
      </c>
      <c r="I24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76" customFormat="false" ht="15" hidden="false" customHeight="false" outlineLevel="0" collapsed="false">
      <c r="A2476" s="41"/>
      <c r="G2476" s="38" t="n">
        <f aca="false">MONTH(A2476)</f>
        <v>12</v>
      </c>
      <c r="H2476" s="38" t="n">
        <f aca="false">YEAR(Tabela1[[#This Row],[FECHA]])</f>
        <v>1900</v>
      </c>
      <c r="I24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77" customFormat="false" ht="15" hidden="false" customHeight="false" outlineLevel="0" collapsed="false">
      <c r="A2477" s="41"/>
      <c r="G2477" s="38" t="n">
        <f aca="false">MONTH(A2477)</f>
        <v>12</v>
      </c>
      <c r="H2477" s="38" t="n">
        <f aca="false">YEAR(Tabela1[[#This Row],[FECHA]])</f>
        <v>1900</v>
      </c>
      <c r="I24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78" customFormat="false" ht="15" hidden="false" customHeight="false" outlineLevel="0" collapsed="false">
      <c r="A2478" s="41"/>
      <c r="G2478" s="38" t="n">
        <f aca="false">MONTH(A2478)</f>
        <v>12</v>
      </c>
      <c r="H2478" s="38" t="n">
        <f aca="false">YEAR(Tabela1[[#This Row],[FECHA]])</f>
        <v>1900</v>
      </c>
      <c r="I24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79" customFormat="false" ht="15" hidden="false" customHeight="false" outlineLevel="0" collapsed="false">
      <c r="A2479" s="41"/>
      <c r="G2479" s="38" t="n">
        <f aca="false">MONTH(A2479)</f>
        <v>12</v>
      </c>
      <c r="H2479" s="38" t="n">
        <f aca="false">YEAR(Tabela1[[#This Row],[FECHA]])</f>
        <v>1900</v>
      </c>
      <c r="I24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80" customFormat="false" ht="15" hidden="false" customHeight="false" outlineLevel="0" collapsed="false">
      <c r="A2480" s="41"/>
      <c r="G2480" s="38" t="n">
        <f aca="false">MONTH(A2480)</f>
        <v>12</v>
      </c>
      <c r="H2480" s="38" t="n">
        <f aca="false">YEAR(Tabela1[[#This Row],[FECHA]])</f>
        <v>1900</v>
      </c>
      <c r="I24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81" customFormat="false" ht="15" hidden="false" customHeight="false" outlineLevel="0" collapsed="false">
      <c r="A2481" s="41"/>
      <c r="G2481" s="38" t="n">
        <f aca="false">MONTH(A2481)</f>
        <v>12</v>
      </c>
      <c r="H2481" s="38" t="n">
        <f aca="false">YEAR(Tabela1[[#This Row],[FECHA]])</f>
        <v>1900</v>
      </c>
      <c r="I24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82" customFormat="false" ht="15" hidden="false" customHeight="false" outlineLevel="0" collapsed="false">
      <c r="A2482" s="41"/>
      <c r="G2482" s="38" t="n">
        <f aca="false">MONTH(A2482)</f>
        <v>12</v>
      </c>
      <c r="H2482" s="38" t="n">
        <f aca="false">YEAR(Tabela1[[#This Row],[FECHA]])</f>
        <v>1900</v>
      </c>
      <c r="I24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83" customFormat="false" ht="15" hidden="false" customHeight="false" outlineLevel="0" collapsed="false">
      <c r="A2483" s="41"/>
      <c r="G2483" s="38" t="n">
        <f aca="false">MONTH(A2483)</f>
        <v>12</v>
      </c>
      <c r="H2483" s="38" t="n">
        <f aca="false">YEAR(Tabela1[[#This Row],[FECHA]])</f>
        <v>1900</v>
      </c>
      <c r="I24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84" customFormat="false" ht="15" hidden="false" customHeight="false" outlineLevel="0" collapsed="false">
      <c r="A2484" s="41"/>
      <c r="G2484" s="38" t="n">
        <f aca="false">MONTH(A2484)</f>
        <v>12</v>
      </c>
      <c r="H2484" s="38" t="n">
        <f aca="false">YEAR(Tabela1[[#This Row],[FECHA]])</f>
        <v>1900</v>
      </c>
      <c r="I24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85" customFormat="false" ht="15" hidden="false" customHeight="false" outlineLevel="0" collapsed="false">
      <c r="A2485" s="41"/>
      <c r="G2485" s="38" t="n">
        <f aca="false">MONTH(A2485)</f>
        <v>12</v>
      </c>
      <c r="H2485" s="38" t="n">
        <f aca="false">YEAR(Tabela1[[#This Row],[FECHA]])</f>
        <v>1900</v>
      </c>
      <c r="I24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86" customFormat="false" ht="15" hidden="false" customHeight="false" outlineLevel="0" collapsed="false">
      <c r="A2486" s="41"/>
      <c r="G2486" s="38" t="n">
        <f aca="false">MONTH(A2486)</f>
        <v>12</v>
      </c>
      <c r="H2486" s="38" t="n">
        <f aca="false">YEAR(Tabela1[[#This Row],[FECHA]])</f>
        <v>1900</v>
      </c>
      <c r="I24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87" customFormat="false" ht="15" hidden="false" customHeight="false" outlineLevel="0" collapsed="false">
      <c r="A2487" s="41"/>
      <c r="G2487" s="38" t="n">
        <f aca="false">MONTH(A2487)</f>
        <v>12</v>
      </c>
      <c r="H2487" s="38" t="n">
        <f aca="false">YEAR(Tabela1[[#This Row],[FECHA]])</f>
        <v>1900</v>
      </c>
      <c r="I24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88" customFormat="false" ht="15" hidden="false" customHeight="false" outlineLevel="0" collapsed="false">
      <c r="A2488" s="41"/>
      <c r="G2488" s="38" t="n">
        <f aca="false">MONTH(A2488)</f>
        <v>12</v>
      </c>
      <c r="H2488" s="38" t="n">
        <f aca="false">YEAR(Tabela1[[#This Row],[FECHA]])</f>
        <v>1900</v>
      </c>
      <c r="I24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89" customFormat="false" ht="15" hidden="false" customHeight="false" outlineLevel="0" collapsed="false">
      <c r="A2489" s="41"/>
      <c r="G2489" s="38" t="n">
        <f aca="false">MONTH(A2489)</f>
        <v>12</v>
      </c>
      <c r="H2489" s="38" t="n">
        <f aca="false">YEAR(Tabela1[[#This Row],[FECHA]])</f>
        <v>1900</v>
      </c>
      <c r="I24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90" customFormat="false" ht="15" hidden="false" customHeight="false" outlineLevel="0" collapsed="false">
      <c r="A2490" s="41"/>
      <c r="G2490" s="38" t="n">
        <f aca="false">MONTH(A2490)</f>
        <v>12</v>
      </c>
      <c r="H2490" s="38" t="n">
        <f aca="false">YEAR(Tabela1[[#This Row],[FECHA]])</f>
        <v>1900</v>
      </c>
      <c r="I24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91" customFormat="false" ht="15" hidden="false" customHeight="false" outlineLevel="0" collapsed="false">
      <c r="A2491" s="41"/>
      <c r="G2491" s="38" t="n">
        <f aca="false">MONTH(A2491)</f>
        <v>12</v>
      </c>
      <c r="H2491" s="38" t="n">
        <f aca="false">YEAR(Tabela1[[#This Row],[FECHA]])</f>
        <v>1900</v>
      </c>
      <c r="I24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92" customFormat="false" ht="15" hidden="false" customHeight="false" outlineLevel="0" collapsed="false">
      <c r="A2492" s="41"/>
      <c r="G2492" s="38" t="n">
        <f aca="false">MONTH(A2492)</f>
        <v>12</v>
      </c>
      <c r="H2492" s="38" t="n">
        <f aca="false">YEAR(Tabela1[[#This Row],[FECHA]])</f>
        <v>1900</v>
      </c>
      <c r="I24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93" customFormat="false" ht="15" hidden="false" customHeight="false" outlineLevel="0" collapsed="false">
      <c r="A2493" s="41"/>
      <c r="G2493" s="38" t="n">
        <f aca="false">MONTH(A2493)</f>
        <v>12</v>
      </c>
      <c r="H2493" s="38" t="n">
        <f aca="false">YEAR(Tabela1[[#This Row],[FECHA]])</f>
        <v>1900</v>
      </c>
      <c r="I24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94" customFormat="false" ht="15" hidden="false" customHeight="false" outlineLevel="0" collapsed="false">
      <c r="A2494" s="41"/>
      <c r="G2494" s="38" t="n">
        <f aca="false">MONTH(A2494)</f>
        <v>12</v>
      </c>
      <c r="H2494" s="38" t="n">
        <f aca="false">YEAR(Tabela1[[#This Row],[FECHA]])</f>
        <v>1900</v>
      </c>
      <c r="I24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95" customFormat="false" ht="15" hidden="false" customHeight="false" outlineLevel="0" collapsed="false">
      <c r="A2495" s="41"/>
      <c r="G2495" s="38" t="n">
        <f aca="false">MONTH(A2495)</f>
        <v>12</v>
      </c>
      <c r="H2495" s="38" t="n">
        <f aca="false">YEAR(Tabela1[[#This Row],[FECHA]])</f>
        <v>1900</v>
      </c>
      <c r="I24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96" customFormat="false" ht="15" hidden="false" customHeight="false" outlineLevel="0" collapsed="false">
      <c r="A2496" s="41"/>
      <c r="G2496" s="38" t="n">
        <f aca="false">MONTH(A2496)</f>
        <v>12</v>
      </c>
      <c r="H2496" s="38" t="n">
        <f aca="false">YEAR(Tabela1[[#This Row],[FECHA]])</f>
        <v>1900</v>
      </c>
      <c r="I24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97" customFormat="false" ht="15" hidden="false" customHeight="false" outlineLevel="0" collapsed="false">
      <c r="A2497" s="41"/>
      <c r="G2497" s="38" t="n">
        <f aca="false">MONTH(A2497)</f>
        <v>12</v>
      </c>
      <c r="H2497" s="38" t="n">
        <f aca="false">YEAR(Tabela1[[#This Row],[FECHA]])</f>
        <v>1900</v>
      </c>
      <c r="I24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98" customFormat="false" ht="15" hidden="false" customHeight="false" outlineLevel="0" collapsed="false">
      <c r="A2498" s="41"/>
      <c r="G2498" s="38" t="n">
        <f aca="false">MONTH(A2498)</f>
        <v>12</v>
      </c>
      <c r="H2498" s="38" t="n">
        <f aca="false">YEAR(Tabela1[[#This Row],[FECHA]])</f>
        <v>1900</v>
      </c>
      <c r="I24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499" customFormat="false" ht="15" hidden="false" customHeight="false" outlineLevel="0" collapsed="false">
      <c r="A2499" s="41"/>
      <c r="G2499" s="38" t="n">
        <f aca="false">MONTH(A2499)</f>
        <v>12</v>
      </c>
      <c r="H2499" s="38" t="n">
        <f aca="false">YEAR(Tabela1[[#This Row],[FECHA]])</f>
        <v>1900</v>
      </c>
      <c r="I24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00" customFormat="false" ht="15" hidden="false" customHeight="false" outlineLevel="0" collapsed="false">
      <c r="A2500" s="41"/>
      <c r="G2500" s="38" t="n">
        <f aca="false">MONTH(A2500)</f>
        <v>12</v>
      </c>
      <c r="H2500" s="38" t="n">
        <f aca="false">YEAR(Tabela1[[#This Row],[FECHA]])</f>
        <v>1900</v>
      </c>
      <c r="I25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01" customFormat="false" ht="15" hidden="false" customHeight="false" outlineLevel="0" collapsed="false">
      <c r="A2501" s="41"/>
      <c r="G2501" s="38" t="n">
        <f aca="false">MONTH(A2501)</f>
        <v>12</v>
      </c>
      <c r="H2501" s="38" t="n">
        <f aca="false">YEAR(Tabela1[[#This Row],[FECHA]])</f>
        <v>1900</v>
      </c>
      <c r="I25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02" customFormat="false" ht="15" hidden="false" customHeight="false" outlineLevel="0" collapsed="false">
      <c r="A2502" s="41"/>
      <c r="G2502" s="38" t="n">
        <f aca="false">MONTH(A2502)</f>
        <v>12</v>
      </c>
      <c r="H2502" s="38" t="n">
        <f aca="false">YEAR(Tabela1[[#This Row],[FECHA]])</f>
        <v>1900</v>
      </c>
      <c r="I25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03" customFormat="false" ht="15" hidden="false" customHeight="false" outlineLevel="0" collapsed="false">
      <c r="A2503" s="41"/>
      <c r="G2503" s="38" t="n">
        <f aca="false">MONTH(A2503)</f>
        <v>12</v>
      </c>
      <c r="H2503" s="38" t="n">
        <f aca="false">YEAR(Tabela1[[#This Row],[FECHA]])</f>
        <v>1900</v>
      </c>
      <c r="I25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04" customFormat="false" ht="15" hidden="false" customHeight="false" outlineLevel="0" collapsed="false">
      <c r="A2504" s="41"/>
      <c r="G2504" s="38" t="n">
        <f aca="false">MONTH(A2504)</f>
        <v>12</v>
      </c>
      <c r="H2504" s="38" t="n">
        <f aca="false">YEAR(Tabela1[[#This Row],[FECHA]])</f>
        <v>1900</v>
      </c>
      <c r="I25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05" customFormat="false" ht="15" hidden="false" customHeight="false" outlineLevel="0" collapsed="false">
      <c r="A2505" s="41"/>
      <c r="G2505" s="38" t="n">
        <f aca="false">MONTH(A2505)</f>
        <v>12</v>
      </c>
      <c r="H2505" s="38" t="n">
        <f aca="false">YEAR(Tabela1[[#This Row],[FECHA]])</f>
        <v>1900</v>
      </c>
      <c r="I25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06" customFormat="false" ht="15" hidden="false" customHeight="false" outlineLevel="0" collapsed="false">
      <c r="A2506" s="41"/>
      <c r="G2506" s="38" t="n">
        <f aca="false">MONTH(A2506)</f>
        <v>12</v>
      </c>
      <c r="H2506" s="38" t="n">
        <f aca="false">YEAR(Tabela1[[#This Row],[FECHA]])</f>
        <v>1900</v>
      </c>
      <c r="I25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07" customFormat="false" ht="15" hidden="false" customHeight="false" outlineLevel="0" collapsed="false">
      <c r="A2507" s="41"/>
      <c r="G2507" s="38" t="n">
        <f aca="false">MONTH(A2507)</f>
        <v>12</v>
      </c>
      <c r="H2507" s="38" t="n">
        <f aca="false">YEAR(Tabela1[[#This Row],[FECHA]])</f>
        <v>1900</v>
      </c>
      <c r="I25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08" customFormat="false" ht="15" hidden="false" customHeight="false" outlineLevel="0" collapsed="false">
      <c r="A2508" s="41"/>
      <c r="G2508" s="38" t="n">
        <f aca="false">MONTH(A2508)</f>
        <v>12</v>
      </c>
      <c r="H2508" s="38" t="n">
        <f aca="false">YEAR(Tabela1[[#This Row],[FECHA]])</f>
        <v>1900</v>
      </c>
      <c r="I25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09" customFormat="false" ht="15" hidden="false" customHeight="false" outlineLevel="0" collapsed="false">
      <c r="A2509" s="41"/>
      <c r="G2509" s="38" t="n">
        <f aca="false">MONTH(A2509)</f>
        <v>12</v>
      </c>
      <c r="H2509" s="38" t="n">
        <f aca="false">YEAR(Tabela1[[#This Row],[FECHA]])</f>
        <v>1900</v>
      </c>
      <c r="I25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10" customFormat="false" ht="15" hidden="false" customHeight="false" outlineLevel="0" collapsed="false">
      <c r="A2510" s="41"/>
      <c r="G2510" s="38" t="n">
        <f aca="false">MONTH(A2510)</f>
        <v>12</v>
      </c>
      <c r="H2510" s="38" t="n">
        <f aca="false">YEAR(Tabela1[[#This Row],[FECHA]])</f>
        <v>1900</v>
      </c>
      <c r="I25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11" customFormat="false" ht="15" hidden="false" customHeight="false" outlineLevel="0" collapsed="false">
      <c r="A2511" s="41"/>
      <c r="G2511" s="38" t="n">
        <f aca="false">MONTH(A2511)</f>
        <v>12</v>
      </c>
      <c r="H2511" s="38" t="n">
        <f aca="false">YEAR(Tabela1[[#This Row],[FECHA]])</f>
        <v>1900</v>
      </c>
      <c r="I25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12" customFormat="false" ht="15" hidden="false" customHeight="false" outlineLevel="0" collapsed="false">
      <c r="A2512" s="41"/>
      <c r="G2512" s="38" t="n">
        <f aca="false">MONTH(A2512)</f>
        <v>12</v>
      </c>
      <c r="H2512" s="38" t="n">
        <f aca="false">YEAR(Tabela1[[#This Row],[FECHA]])</f>
        <v>1900</v>
      </c>
      <c r="I25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13" customFormat="false" ht="15" hidden="false" customHeight="false" outlineLevel="0" collapsed="false">
      <c r="A2513" s="41"/>
      <c r="G2513" s="38" t="n">
        <f aca="false">MONTH(A2513)</f>
        <v>12</v>
      </c>
      <c r="H2513" s="38" t="n">
        <f aca="false">YEAR(Tabela1[[#This Row],[FECHA]])</f>
        <v>1900</v>
      </c>
      <c r="I25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14" customFormat="false" ht="15" hidden="false" customHeight="false" outlineLevel="0" collapsed="false">
      <c r="A2514" s="41"/>
      <c r="G2514" s="38" t="n">
        <f aca="false">MONTH(A2514)</f>
        <v>12</v>
      </c>
      <c r="H2514" s="38" t="n">
        <f aca="false">YEAR(Tabela1[[#This Row],[FECHA]])</f>
        <v>1900</v>
      </c>
      <c r="I25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15" customFormat="false" ht="15" hidden="false" customHeight="false" outlineLevel="0" collapsed="false">
      <c r="A2515" s="41"/>
      <c r="G2515" s="38" t="n">
        <f aca="false">MONTH(A2515)</f>
        <v>12</v>
      </c>
      <c r="H2515" s="38" t="n">
        <f aca="false">YEAR(Tabela1[[#This Row],[FECHA]])</f>
        <v>1900</v>
      </c>
      <c r="I25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16" customFormat="false" ht="15" hidden="false" customHeight="false" outlineLevel="0" collapsed="false">
      <c r="A2516" s="41"/>
      <c r="G2516" s="38" t="n">
        <f aca="false">MONTH(A2516)</f>
        <v>12</v>
      </c>
      <c r="H2516" s="38" t="n">
        <f aca="false">YEAR(Tabela1[[#This Row],[FECHA]])</f>
        <v>1900</v>
      </c>
      <c r="I25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17" customFormat="false" ht="15" hidden="false" customHeight="false" outlineLevel="0" collapsed="false">
      <c r="A2517" s="41"/>
      <c r="G2517" s="38" t="n">
        <f aca="false">MONTH(A2517)</f>
        <v>12</v>
      </c>
      <c r="H2517" s="38" t="n">
        <f aca="false">YEAR(Tabela1[[#This Row],[FECHA]])</f>
        <v>1900</v>
      </c>
      <c r="I25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18" customFormat="false" ht="15" hidden="false" customHeight="false" outlineLevel="0" collapsed="false">
      <c r="A2518" s="41"/>
      <c r="G2518" s="38" t="n">
        <f aca="false">MONTH(A2518)</f>
        <v>12</v>
      </c>
      <c r="H2518" s="38" t="n">
        <f aca="false">YEAR(Tabela1[[#This Row],[FECHA]])</f>
        <v>1900</v>
      </c>
      <c r="I25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19" customFormat="false" ht="15" hidden="false" customHeight="false" outlineLevel="0" collapsed="false">
      <c r="A2519" s="41"/>
      <c r="G2519" s="38" t="n">
        <f aca="false">MONTH(A2519)</f>
        <v>12</v>
      </c>
      <c r="H2519" s="38" t="n">
        <f aca="false">YEAR(Tabela1[[#This Row],[FECHA]])</f>
        <v>1900</v>
      </c>
      <c r="I25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20" customFormat="false" ht="15" hidden="false" customHeight="false" outlineLevel="0" collapsed="false">
      <c r="A2520" s="41"/>
      <c r="G2520" s="38" t="n">
        <f aca="false">MONTH(A2520)</f>
        <v>12</v>
      </c>
      <c r="H2520" s="38" t="n">
        <f aca="false">YEAR(Tabela1[[#This Row],[FECHA]])</f>
        <v>1900</v>
      </c>
      <c r="I25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21" customFormat="false" ht="15" hidden="false" customHeight="false" outlineLevel="0" collapsed="false">
      <c r="A2521" s="41"/>
      <c r="G2521" s="38" t="n">
        <f aca="false">MONTH(A2521)</f>
        <v>12</v>
      </c>
      <c r="H2521" s="38" t="n">
        <f aca="false">YEAR(Tabela1[[#This Row],[FECHA]])</f>
        <v>1900</v>
      </c>
      <c r="I25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22" customFormat="false" ht="15" hidden="false" customHeight="false" outlineLevel="0" collapsed="false">
      <c r="A2522" s="41"/>
      <c r="G2522" s="38" t="n">
        <f aca="false">MONTH(A2522)</f>
        <v>12</v>
      </c>
      <c r="H2522" s="38" t="n">
        <f aca="false">YEAR(Tabela1[[#This Row],[FECHA]])</f>
        <v>1900</v>
      </c>
      <c r="I25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23" customFormat="false" ht="15" hidden="false" customHeight="false" outlineLevel="0" collapsed="false">
      <c r="A2523" s="41"/>
      <c r="G2523" s="38" t="n">
        <f aca="false">MONTH(A2523)</f>
        <v>12</v>
      </c>
      <c r="H2523" s="38" t="n">
        <f aca="false">YEAR(Tabela1[[#This Row],[FECHA]])</f>
        <v>1900</v>
      </c>
      <c r="I25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24" customFormat="false" ht="15" hidden="false" customHeight="false" outlineLevel="0" collapsed="false">
      <c r="A2524" s="41"/>
      <c r="G2524" s="38" t="n">
        <f aca="false">MONTH(A2524)</f>
        <v>12</v>
      </c>
      <c r="H2524" s="38" t="n">
        <f aca="false">YEAR(Tabela1[[#This Row],[FECHA]])</f>
        <v>1900</v>
      </c>
      <c r="I25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25" customFormat="false" ht="15" hidden="false" customHeight="false" outlineLevel="0" collapsed="false">
      <c r="A2525" s="41"/>
      <c r="G2525" s="38" t="n">
        <f aca="false">MONTH(A2525)</f>
        <v>12</v>
      </c>
      <c r="H2525" s="38" t="n">
        <f aca="false">YEAR(Tabela1[[#This Row],[FECHA]])</f>
        <v>1900</v>
      </c>
      <c r="I25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26" customFormat="false" ht="15" hidden="false" customHeight="false" outlineLevel="0" collapsed="false">
      <c r="A2526" s="41"/>
      <c r="G2526" s="38" t="n">
        <f aca="false">MONTH(A2526)</f>
        <v>12</v>
      </c>
      <c r="H2526" s="38" t="n">
        <f aca="false">YEAR(Tabela1[[#This Row],[FECHA]])</f>
        <v>1900</v>
      </c>
      <c r="I25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27" customFormat="false" ht="15" hidden="false" customHeight="false" outlineLevel="0" collapsed="false">
      <c r="A2527" s="41"/>
      <c r="G2527" s="38" t="n">
        <f aca="false">MONTH(A2527)</f>
        <v>12</v>
      </c>
      <c r="H2527" s="38" t="n">
        <f aca="false">YEAR(Tabela1[[#This Row],[FECHA]])</f>
        <v>1900</v>
      </c>
      <c r="I25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28" customFormat="false" ht="15" hidden="false" customHeight="false" outlineLevel="0" collapsed="false">
      <c r="A2528" s="41"/>
      <c r="G2528" s="38" t="n">
        <f aca="false">MONTH(A2528)</f>
        <v>12</v>
      </c>
      <c r="H2528" s="38" t="n">
        <f aca="false">YEAR(Tabela1[[#This Row],[FECHA]])</f>
        <v>1900</v>
      </c>
      <c r="I25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29" customFormat="false" ht="15" hidden="false" customHeight="false" outlineLevel="0" collapsed="false">
      <c r="A2529" s="41"/>
      <c r="G2529" s="38" t="n">
        <f aca="false">MONTH(A2529)</f>
        <v>12</v>
      </c>
      <c r="H2529" s="38" t="n">
        <f aca="false">YEAR(Tabela1[[#This Row],[FECHA]])</f>
        <v>1900</v>
      </c>
      <c r="I25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30" customFormat="false" ht="15" hidden="false" customHeight="false" outlineLevel="0" collapsed="false">
      <c r="A2530" s="41"/>
      <c r="G2530" s="38" t="n">
        <f aca="false">MONTH(A2530)</f>
        <v>12</v>
      </c>
      <c r="H2530" s="38" t="n">
        <f aca="false">YEAR(Tabela1[[#This Row],[FECHA]])</f>
        <v>1900</v>
      </c>
      <c r="I25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31" customFormat="false" ht="15" hidden="false" customHeight="false" outlineLevel="0" collapsed="false">
      <c r="A2531" s="41"/>
      <c r="G2531" s="38" t="n">
        <f aca="false">MONTH(A2531)</f>
        <v>12</v>
      </c>
      <c r="H2531" s="38" t="n">
        <f aca="false">YEAR(Tabela1[[#This Row],[FECHA]])</f>
        <v>1900</v>
      </c>
      <c r="I25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32" customFormat="false" ht="15" hidden="false" customHeight="false" outlineLevel="0" collapsed="false">
      <c r="A2532" s="41"/>
      <c r="G2532" s="38" t="n">
        <f aca="false">MONTH(A2532)</f>
        <v>12</v>
      </c>
      <c r="H2532" s="38" t="n">
        <f aca="false">YEAR(Tabela1[[#This Row],[FECHA]])</f>
        <v>1900</v>
      </c>
      <c r="I25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33" customFormat="false" ht="15" hidden="false" customHeight="false" outlineLevel="0" collapsed="false">
      <c r="A2533" s="41"/>
      <c r="G2533" s="38" t="n">
        <f aca="false">MONTH(A2533)</f>
        <v>12</v>
      </c>
      <c r="H2533" s="38" t="n">
        <f aca="false">YEAR(Tabela1[[#This Row],[FECHA]])</f>
        <v>1900</v>
      </c>
      <c r="I25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34" customFormat="false" ht="15" hidden="false" customHeight="false" outlineLevel="0" collapsed="false">
      <c r="A2534" s="41"/>
      <c r="G2534" s="38" t="n">
        <f aca="false">MONTH(A2534)</f>
        <v>12</v>
      </c>
      <c r="H2534" s="38" t="n">
        <f aca="false">YEAR(Tabela1[[#This Row],[FECHA]])</f>
        <v>1900</v>
      </c>
      <c r="I25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35" customFormat="false" ht="15" hidden="false" customHeight="false" outlineLevel="0" collapsed="false">
      <c r="A2535" s="41"/>
      <c r="G2535" s="38" t="n">
        <f aca="false">MONTH(A2535)</f>
        <v>12</v>
      </c>
      <c r="H2535" s="38" t="n">
        <f aca="false">YEAR(Tabela1[[#This Row],[FECHA]])</f>
        <v>1900</v>
      </c>
      <c r="I25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36" customFormat="false" ht="15" hidden="false" customHeight="false" outlineLevel="0" collapsed="false">
      <c r="A2536" s="41"/>
      <c r="G2536" s="38" t="n">
        <f aca="false">MONTH(A2536)</f>
        <v>12</v>
      </c>
      <c r="H2536" s="38" t="n">
        <f aca="false">YEAR(Tabela1[[#This Row],[FECHA]])</f>
        <v>1900</v>
      </c>
      <c r="I25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37" customFormat="false" ht="15" hidden="false" customHeight="false" outlineLevel="0" collapsed="false">
      <c r="A2537" s="41"/>
      <c r="G2537" s="38" t="n">
        <f aca="false">MONTH(A2537)</f>
        <v>12</v>
      </c>
      <c r="H2537" s="38" t="n">
        <f aca="false">YEAR(Tabela1[[#This Row],[FECHA]])</f>
        <v>1900</v>
      </c>
      <c r="I25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38" customFormat="false" ht="15" hidden="false" customHeight="false" outlineLevel="0" collapsed="false">
      <c r="A2538" s="41"/>
      <c r="G2538" s="38" t="n">
        <f aca="false">MONTH(A2538)</f>
        <v>12</v>
      </c>
      <c r="H2538" s="38" t="n">
        <f aca="false">YEAR(Tabela1[[#This Row],[FECHA]])</f>
        <v>1900</v>
      </c>
      <c r="I25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39" customFormat="false" ht="15" hidden="false" customHeight="false" outlineLevel="0" collapsed="false">
      <c r="A2539" s="41"/>
      <c r="G2539" s="38" t="n">
        <f aca="false">MONTH(A2539)</f>
        <v>12</v>
      </c>
      <c r="H2539" s="38" t="n">
        <f aca="false">YEAR(Tabela1[[#This Row],[FECHA]])</f>
        <v>1900</v>
      </c>
      <c r="I25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40" customFormat="false" ht="15" hidden="false" customHeight="false" outlineLevel="0" collapsed="false">
      <c r="A2540" s="41"/>
      <c r="G2540" s="38" t="n">
        <f aca="false">MONTH(A2540)</f>
        <v>12</v>
      </c>
      <c r="H2540" s="38" t="n">
        <f aca="false">YEAR(Tabela1[[#This Row],[FECHA]])</f>
        <v>1900</v>
      </c>
      <c r="I25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41" customFormat="false" ht="15" hidden="false" customHeight="false" outlineLevel="0" collapsed="false">
      <c r="A2541" s="41"/>
      <c r="G2541" s="38" t="n">
        <f aca="false">MONTH(A2541)</f>
        <v>12</v>
      </c>
      <c r="H2541" s="38" t="n">
        <f aca="false">YEAR(Tabela1[[#This Row],[FECHA]])</f>
        <v>1900</v>
      </c>
      <c r="I25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42" customFormat="false" ht="15" hidden="false" customHeight="false" outlineLevel="0" collapsed="false">
      <c r="A2542" s="41"/>
      <c r="G2542" s="38" t="n">
        <f aca="false">MONTH(A2542)</f>
        <v>12</v>
      </c>
      <c r="H2542" s="38" t="n">
        <f aca="false">YEAR(Tabela1[[#This Row],[FECHA]])</f>
        <v>1900</v>
      </c>
      <c r="I25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43" customFormat="false" ht="15" hidden="false" customHeight="false" outlineLevel="0" collapsed="false">
      <c r="A2543" s="41"/>
      <c r="G2543" s="38" t="n">
        <f aca="false">MONTH(A2543)</f>
        <v>12</v>
      </c>
      <c r="H2543" s="38" t="n">
        <f aca="false">YEAR(Tabela1[[#This Row],[FECHA]])</f>
        <v>1900</v>
      </c>
      <c r="I25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44" customFormat="false" ht="15" hidden="false" customHeight="false" outlineLevel="0" collapsed="false">
      <c r="A2544" s="41"/>
      <c r="G2544" s="38" t="n">
        <f aca="false">MONTH(A2544)</f>
        <v>12</v>
      </c>
      <c r="H2544" s="38" t="n">
        <f aca="false">YEAR(Tabela1[[#This Row],[FECHA]])</f>
        <v>1900</v>
      </c>
      <c r="I25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45" customFormat="false" ht="15" hidden="false" customHeight="false" outlineLevel="0" collapsed="false">
      <c r="A2545" s="41"/>
      <c r="G2545" s="38" t="n">
        <f aca="false">MONTH(A2545)</f>
        <v>12</v>
      </c>
      <c r="H2545" s="38" t="n">
        <f aca="false">YEAR(Tabela1[[#This Row],[FECHA]])</f>
        <v>1900</v>
      </c>
      <c r="I25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46" customFormat="false" ht="15" hidden="false" customHeight="false" outlineLevel="0" collapsed="false">
      <c r="A2546" s="41"/>
      <c r="G2546" s="38" t="n">
        <f aca="false">MONTH(A2546)</f>
        <v>12</v>
      </c>
      <c r="H2546" s="38" t="n">
        <f aca="false">YEAR(Tabela1[[#This Row],[FECHA]])</f>
        <v>1900</v>
      </c>
      <c r="I25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47" customFormat="false" ht="15" hidden="false" customHeight="false" outlineLevel="0" collapsed="false">
      <c r="A2547" s="41"/>
      <c r="G2547" s="38" t="n">
        <f aca="false">MONTH(A2547)</f>
        <v>12</v>
      </c>
      <c r="H2547" s="38" t="n">
        <f aca="false">YEAR(Tabela1[[#This Row],[FECHA]])</f>
        <v>1900</v>
      </c>
      <c r="I25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48" customFormat="false" ht="15" hidden="false" customHeight="false" outlineLevel="0" collapsed="false">
      <c r="A2548" s="41"/>
      <c r="G2548" s="38" t="n">
        <f aca="false">MONTH(A2548)</f>
        <v>12</v>
      </c>
      <c r="H2548" s="38" t="n">
        <f aca="false">YEAR(Tabela1[[#This Row],[FECHA]])</f>
        <v>1900</v>
      </c>
      <c r="I25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49" customFormat="false" ht="15" hidden="false" customHeight="false" outlineLevel="0" collapsed="false">
      <c r="A2549" s="41"/>
      <c r="G2549" s="38" t="n">
        <f aca="false">MONTH(A2549)</f>
        <v>12</v>
      </c>
      <c r="H2549" s="38" t="n">
        <f aca="false">YEAR(Tabela1[[#This Row],[FECHA]])</f>
        <v>1900</v>
      </c>
      <c r="I25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50" customFormat="false" ht="15" hidden="false" customHeight="false" outlineLevel="0" collapsed="false">
      <c r="A2550" s="41"/>
      <c r="G2550" s="38" t="n">
        <f aca="false">MONTH(A2550)</f>
        <v>12</v>
      </c>
      <c r="H2550" s="38" t="n">
        <f aca="false">YEAR(Tabela1[[#This Row],[FECHA]])</f>
        <v>1900</v>
      </c>
      <c r="I25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51" customFormat="false" ht="15" hidden="false" customHeight="false" outlineLevel="0" collapsed="false">
      <c r="A2551" s="41"/>
      <c r="G2551" s="38" t="n">
        <f aca="false">MONTH(A2551)</f>
        <v>12</v>
      </c>
      <c r="H2551" s="38" t="n">
        <f aca="false">YEAR(Tabela1[[#This Row],[FECHA]])</f>
        <v>1900</v>
      </c>
      <c r="I25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52" customFormat="false" ht="15" hidden="false" customHeight="false" outlineLevel="0" collapsed="false">
      <c r="A2552" s="41"/>
      <c r="G2552" s="38" t="n">
        <f aca="false">MONTH(A2552)</f>
        <v>12</v>
      </c>
      <c r="H2552" s="38" t="n">
        <f aca="false">YEAR(Tabela1[[#This Row],[FECHA]])</f>
        <v>1900</v>
      </c>
      <c r="I25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53" customFormat="false" ht="15" hidden="false" customHeight="false" outlineLevel="0" collapsed="false">
      <c r="A2553" s="41"/>
      <c r="G2553" s="38" t="n">
        <f aca="false">MONTH(A2553)</f>
        <v>12</v>
      </c>
      <c r="H2553" s="38" t="n">
        <f aca="false">YEAR(Tabela1[[#This Row],[FECHA]])</f>
        <v>1900</v>
      </c>
      <c r="I25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54" customFormat="false" ht="15" hidden="false" customHeight="false" outlineLevel="0" collapsed="false">
      <c r="A2554" s="41"/>
      <c r="G2554" s="38" t="n">
        <f aca="false">MONTH(A2554)</f>
        <v>12</v>
      </c>
      <c r="H2554" s="38" t="n">
        <f aca="false">YEAR(Tabela1[[#This Row],[FECHA]])</f>
        <v>1900</v>
      </c>
      <c r="I25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55" customFormat="false" ht="15" hidden="false" customHeight="false" outlineLevel="0" collapsed="false">
      <c r="A2555" s="41"/>
      <c r="G2555" s="38" t="n">
        <f aca="false">MONTH(A2555)</f>
        <v>12</v>
      </c>
      <c r="H2555" s="38" t="n">
        <f aca="false">YEAR(Tabela1[[#This Row],[FECHA]])</f>
        <v>1900</v>
      </c>
      <c r="I25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56" customFormat="false" ht="15" hidden="false" customHeight="false" outlineLevel="0" collapsed="false">
      <c r="A2556" s="41"/>
      <c r="G2556" s="38" t="n">
        <f aca="false">MONTH(A2556)</f>
        <v>12</v>
      </c>
      <c r="H2556" s="38" t="n">
        <f aca="false">YEAR(Tabela1[[#This Row],[FECHA]])</f>
        <v>1900</v>
      </c>
      <c r="I25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57" customFormat="false" ht="15" hidden="false" customHeight="false" outlineLevel="0" collapsed="false">
      <c r="A2557" s="41"/>
      <c r="G2557" s="38" t="n">
        <f aca="false">MONTH(A2557)</f>
        <v>12</v>
      </c>
      <c r="H2557" s="38" t="n">
        <f aca="false">YEAR(Tabela1[[#This Row],[FECHA]])</f>
        <v>1900</v>
      </c>
      <c r="I25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58" customFormat="false" ht="15" hidden="false" customHeight="false" outlineLevel="0" collapsed="false">
      <c r="A2558" s="41"/>
      <c r="G2558" s="38" t="n">
        <f aca="false">MONTH(A2558)</f>
        <v>12</v>
      </c>
      <c r="H2558" s="38" t="n">
        <f aca="false">YEAR(Tabela1[[#This Row],[FECHA]])</f>
        <v>1900</v>
      </c>
      <c r="I25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59" customFormat="false" ht="15" hidden="false" customHeight="false" outlineLevel="0" collapsed="false">
      <c r="A2559" s="41"/>
      <c r="G2559" s="38" t="n">
        <f aca="false">MONTH(A2559)</f>
        <v>12</v>
      </c>
      <c r="H2559" s="38" t="n">
        <f aca="false">YEAR(Tabela1[[#This Row],[FECHA]])</f>
        <v>1900</v>
      </c>
      <c r="I25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60" customFormat="false" ht="15" hidden="false" customHeight="false" outlineLevel="0" collapsed="false">
      <c r="A2560" s="41"/>
      <c r="G2560" s="38" t="n">
        <f aca="false">MONTH(A2560)</f>
        <v>12</v>
      </c>
      <c r="H2560" s="38" t="n">
        <f aca="false">YEAR(Tabela1[[#This Row],[FECHA]])</f>
        <v>1900</v>
      </c>
      <c r="I25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61" customFormat="false" ht="15" hidden="false" customHeight="false" outlineLevel="0" collapsed="false">
      <c r="A2561" s="41"/>
      <c r="G2561" s="38" t="n">
        <f aca="false">MONTH(A2561)</f>
        <v>12</v>
      </c>
      <c r="H2561" s="38" t="n">
        <f aca="false">YEAR(Tabela1[[#This Row],[FECHA]])</f>
        <v>1900</v>
      </c>
      <c r="I25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62" customFormat="false" ht="15" hidden="false" customHeight="false" outlineLevel="0" collapsed="false">
      <c r="A2562" s="41"/>
      <c r="G2562" s="38" t="n">
        <f aca="false">MONTH(A2562)</f>
        <v>12</v>
      </c>
      <c r="H2562" s="38" t="n">
        <f aca="false">YEAR(Tabela1[[#This Row],[FECHA]])</f>
        <v>1900</v>
      </c>
      <c r="I25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63" customFormat="false" ht="15" hidden="false" customHeight="false" outlineLevel="0" collapsed="false">
      <c r="A2563" s="41"/>
      <c r="G2563" s="38" t="n">
        <f aca="false">MONTH(A2563)</f>
        <v>12</v>
      </c>
      <c r="H2563" s="38" t="n">
        <f aca="false">YEAR(Tabela1[[#This Row],[FECHA]])</f>
        <v>1900</v>
      </c>
      <c r="I25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64" customFormat="false" ht="15" hidden="false" customHeight="false" outlineLevel="0" collapsed="false">
      <c r="A2564" s="41"/>
      <c r="G2564" s="38" t="n">
        <f aca="false">MONTH(A2564)</f>
        <v>12</v>
      </c>
      <c r="H2564" s="38" t="n">
        <f aca="false">YEAR(Tabela1[[#This Row],[FECHA]])</f>
        <v>1900</v>
      </c>
      <c r="I25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65" customFormat="false" ht="15" hidden="false" customHeight="false" outlineLevel="0" collapsed="false">
      <c r="A2565" s="41"/>
      <c r="G2565" s="38" t="n">
        <f aca="false">MONTH(A2565)</f>
        <v>12</v>
      </c>
      <c r="H2565" s="38" t="n">
        <f aca="false">YEAR(Tabela1[[#This Row],[FECHA]])</f>
        <v>1900</v>
      </c>
      <c r="I25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66" customFormat="false" ht="15" hidden="false" customHeight="false" outlineLevel="0" collapsed="false">
      <c r="A2566" s="41"/>
      <c r="G2566" s="38" t="n">
        <f aca="false">MONTH(A2566)</f>
        <v>12</v>
      </c>
      <c r="H2566" s="38" t="n">
        <f aca="false">YEAR(Tabela1[[#This Row],[FECHA]])</f>
        <v>1900</v>
      </c>
      <c r="I25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67" customFormat="false" ht="15" hidden="false" customHeight="false" outlineLevel="0" collapsed="false">
      <c r="A2567" s="41"/>
      <c r="G2567" s="38" t="n">
        <f aca="false">MONTH(A2567)</f>
        <v>12</v>
      </c>
      <c r="H2567" s="38" t="n">
        <f aca="false">YEAR(Tabela1[[#This Row],[FECHA]])</f>
        <v>1900</v>
      </c>
      <c r="I25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68" customFormat="false" ht="15" hidden="false" customHeight="false" outlineLevel="0" collapsed="false">
      <c r="A2568" s="41"/>
      <c r="G2568" s="38" t="n">
        <f aca="false">MONTH(A2568)</f>
        <v>12</v>
      </c>
      <c r="H2568" s="38" t="n">
        <f aca="false">YEAR(Tabela1[[#This Row],[FECHA]])</f>
        <v>1900</v>
      </c>
      <c r="I25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69" customFormat="false" ht="15" hidden="false" customHeight="false" outlineLevel="0" collapsed="false">
      <c r="A2569" s="41"/>
      <c r="G2569" s="38" t="n">
        <f aca="false">MONTH(A2569)</f>
        <v>12</v>
      </c>
      <c r="H2569" s="38" t="n">
        <f aca="false">YEAR(Tabela1[[#This Row],[FECHA]])</f>
        <v>1900</v>
      </c>
      <c r="I25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70" customFormat="false" ht="15" hidden="false" customHeight="false" outlineLevel="0" collapsed="false">
      <c r="A2570" s="41"/>
      <c r="G2570" s="38" t="n">
        <f aca="false">MONTH(A2570)</f>
        <v>12</v>
      </c>
      <c r="H2570" s="38" t="n">
        <f aca="false">YEAR(Tabela1[[#This Row],[FECHA]])</f>
        <v>1900</v>
      </c>
      <c r="I25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71" customFormat="false" ht="15" hidden="false" customHeight="false" outlineLevel="0" collapsed="false">
      <c r="A2571" s="41"/>
      <c r="G2571" s="38" t="n">
        <f aca="false">MONTH(A2571)</f>
        <v>12</v>
      </c>
      <c r="H2571" s="38" t="n">
        <f aca="false">YEAR(Tabela1[[#This Row],[FECHA]])</f>
        <v>1900</v>
      </c>
      <c r="I25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72" customFormat="false" ht="15" hidden="false" customHeight="false" outlineLevel="0" collapsed="false">
      <c r="A2572" s="41"/>
      <c r="G2572" s="38" t="n">
        <f aca="false">MONTH(A2572)</f>
        <v>12</v>
      </c>
      <c r="H2572" s="38" t="n">
        <f aca="false">YEAR(Tabela1[[#This Row],[FECHA]])</f>
        <v>1900</v>
      </c>
      <c r="I25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73" customFormat="false" ht="15" hidden="false" customHeight="false" outlineLevel="0" collapsed="false">
      <c r="A2573" s="41"/>
      <c r="G2573" s="38" t="n">
        <f aca="false">MONTH(A2573)</f>
        <v>12</v>
      </c>
      <c r="H2573" s="38" t="n">
        <f aca="false">YEAR(Tabela1[[#This Row],[FECHA]])</f>
        <v>1900</v>
      </c>
      <c r="I25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74" customFormat="false" ht="15" hidden="false" customHeight="false" outlineLevel="0" collapsed="false">
      <c r="A2574" s="41"/>
      <c r="G2574" s="38" t="n">
        <f aca="false">MONTH(A2574)</f>
        <v>12</v>
      </c>
      <c r="H2574" s="38" t="n">
        <f aca="false">YEAR(Tabela1[[#This Row],[FECHA]])</f>
        <v>1900</v>
      </c>
      <c r="I25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75" customFormat="false" ht="15" hidden="false" customHeight="false" outlineLevel="0" collapsed="false">
      <c r="A2575" s="41"/>
      <c r="G2575" s="38" t="n">
        <f aca="false">MONTH(A2575)</f>
        <v>12</v>
      </c>
      <c r="H2575" s="38" t="n">
        <f aca="false">YEAR(Tabela1[[#This Row],[FECHA]])</f>
        <v>1900</v>
      </c>
      <c r="I25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76" customFormat="false" ht="15" hidden="false" customHeight="false" outlineLevel="0" collapsed="false">
      <c r="A2576" s="41"/>
      <c r="G2576" s="38" t="n">
        <f aca="false">MONTH(A2576)</f>
        <v>12</v>
      </c>
      <c r="H2576" s="38" t="n">
        <f aca="false">YEAR(Tabela1[[#This Row],[FECHA]])</f>
        <v>1900</v>
      </c>
      <c r="I25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77" customFormat="false" ht="15" hidden="false" customHeight="false" outlineLevel="0" collapsed="false">
      <c r="A2577" s="41"/>
      <c r="G2577" s="38" t="n">
        <f aca="false">MONTH(A2577)</f>
        <v>12</v>
      </c>
      <c r="H2577" s="38" t="n">
        <f aca="false">YEAR(Tabela1[[#This Row],[FECHA]])</f>
        <v>1900</v>
      </c>
      <c r="I25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78" customFormat="false" ht="15" hidden="false" customHeight="false" outlineLevel="0" collapsed="false">
      <c r="A2578" s="41"/>
      <c r="G2578" s="38" t="n">
        <f aca="false">MONTH(A2578)</f>
        <v>12</v>
      </c>
      <c r="H2578" s="38" t="n">
        <f aca="false">YEAR(Tabela1[[#This Row],[FECHA]])</f>
        <v>1900</v>
      </c>
      <c r="I25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79" customFormat="false" ht="15" hidden="false" customHeight="false" outlineLevel="0" collapsed="false">
      <c r="A2579" s="41"/>
      <c r="G2579" s="38" t="n">
        <f aca="false">MONTH(A2579)</f>
        <v>12</v>
      </c>
      <c r="H2579" s="38" t="n">
        <f aca="false">YEAR(Tabela1[[#This Row],[FECHA]])</f>
        <v>1900</v>
      </c>
      <c r="I25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80" customFormat="false" ht="15" hidden="false" customHeight="false" outlineLevel="0" collapsed="false">
      <c r="A2580" s="41"/>
      <c r="G2580" s="38" t="n">
        <f aca="false">MONTH(A2580)</f>
        <v>12</v>
      </c>
      <c r="H2580" s="38" t="n">
        <f aca="false">YEAR(Tabela1[[#This Row],[FECHA]])</f>
        <v>1900</v>
      </c>
      <c r="I25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81" customFormat="false" ht="15" hidden="false" customHeight="false" outlineLevel="0" collapsed="false">
      <c r="A2581" s="41"/>
      <c r="G2581" s="38" t="n">
        <f aca="false">MONTH(A2581)</f>
        <v>12</v>
      </c>
      <c r="H2581" s="38" t="n">
        <f aca="false">YEAR(Tabela1[[#This Row],[FECHA]])</f>
        <v>1900</v>
      </c>
      <c r="I25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82" customFormat="false" ht="15" hidden="false" customHeight="false" outlineLevel="0" collapsed="false">
      <c r="A2582" s="41"/>
      <c r="G2582" s="38" t="n">
        <f aca="false">MONTH(A2582)</f>
        <v>12</v>
      </c>
      <c r="H2582" s="38" t="n">
        <f aca="false">YEAR(Tabela1[[#This Row],[FECHA]])</f>
        <v>1900</v>
      </c>
      <c r="I25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83" customFormat="false" ht="15" hidden="false" customHeight="false" outlineLevel="0" collapsed="false">
      <c r="A2583" s="41"/>
      <c r="G2583" s="38" t="n">
        <f aca="false">MONTH(A2583)</f>
        <v>12</v>
      </c>
      <c r="H2583" s="38" t="n">
        <f aca="false">YEAR(Tabela1[[#This Row],[FECHA]])</f>
        <v>1900</v>
      </c>
      <c r="I25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84" customFormat="false" ht="15" hidden="false" customHeight="false" outlineLevel="0" collapsed="false">
      <c r="A2584" s="41"/>
      <c r="G2584" s="38" t="n">
        <f aca="false">MONTH(A2584)</f>
        <v>12</v>
      </c>
      <c r="H2584" s="38" t="n">
        <f aca="false">YEAR(Tabela1[[#This Row],[FECHA]])</f>
        <v>1900</v>
      </c>
      <c r="I25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85" customFormat="false" ht="15" hidden="false" customHeight="false" outlineLevel="0" collapsed="false">
      <c r="A2585" s="41"/>
      <c r="G2585" s="38" t="n">
        <f aca="false">MONTH(A2585)</f>
        <v>12</v>
      </c>
      <c r="H2585" s="38" t="n">
        <f aca="false">YEAR(Tabela1[[#This Row],[FECHA]])</f>
        <v>1900</v>
      </c>
      <c r="I25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86" customFormat="false" ht="15" hidden="false" customHeight="false" outlineLevel="0" collapsed="false">
      <c r="A2586" s="41"/>
      <c r="G2586" s="38" t="n">
        <f aca="false">MONTH(A2586)</f>
        <v>12</v>
      </c>
      <c r="H2586" s="38" t="n">
        <f aca="false">YEAR(Tabela1[[#This Row],[FECHA]])</f>
        <v>1900</v>
      </c>
      <c r="I25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87" customFormat="false" ht="15" hidden="false" customHeight="false" outlineLevel="0" collapsed="false">
      <c r="A2587" s="41"/>
      <c r="G2587" s="38" t="n">
        <f aca="false">MONTH(A2587)</f>
        <v>12</v>
      </c>
      <c r="H2587" s="38" t="n">
        <f aca="false">YEAR(Tabela1[[#This Row],[FECHA]])</f>
        <v>1900</v>
      </c>
      <c r="I25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88" customFormat="false" ht="15" hidden="false" customHeight="false" outlineLevel="0" collapsed="false">
      <c r="A2588" s="41"/>
      <c r="G2588" s="38" t="n">
        <f aca="false">MONTH(A2588)</f>
        <v>12</v>
      </c>
      <c r="H2588" s="38" t="n">
        <f aca="false">YEAR(Tabela1[[#This Row],[FECHA]])</f>
        <v>1900</v>
      </c>
      <c r="I25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89" customFormat="false" ht="15" hidden="false" customHeight="false" outlineLevel="0" collapsed="false">
      <c r="A2589" s="41"/>
      <c r="G2589" s="38" t="n">
        <f aca="false">MONTH(A2589)</f>
        <v>12</v>
      </c>
      <c r="H2589" s="38" t="n">
        <f aca="false">YEAR(Tabela1[[#This Row],[FECHA]])</f>
        <v>1900</v>
      </c>
      <c r="I25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90" customFormat="false" ht="15" hidden="false" customHeight="false" outlineLevel="0" collapsed="false">
      <c r="A2590" s="41"/>
      <c r="G2590" s="38" t="n">
        <f aca="false">MONTH(A2590)</f>
        <v>12</v>
      </c>
      <c r="H2590" s="38" t="n">
        <f aca="false">YEAR(Tabela1[[#This Row],[FECHA]])</f>
        <v>1900</v>
      </c>
      <c r="I25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91" customFormat="false" ht="15" hidden="false" customHeight="false" outlineLevel="0" collapsed="false">
      <c r="A2591" s="41"/>
      <c r="G2591" s="38" t="n">
        <f aca="false">MONTH(A2591)</f>
        <v>12</v>
      </c>
      <c r="H2591" s="38" t="n">
        <f aca="false">YEAR(Tabela1[[#This Row],[FECHA]])</f>
        <v>1900</v>
      </c>
      <c r="I25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92" customFormat="false" ht="15" hidden="false" customHeight="false" outlineLevel="0" collapsed="false">
      <c r="A2592" s="41"/>
      <c r="G2592" s="38" t="n">
        <f aca="false">MONTH(A2592)</f>
        <v>12</v>
      </c>
      <c r="H2592" s="38" t="n">
        <f aca="false">YEAR(Tabela1[[#This Row],[FECHA]])</f>
        <v>1900</v>
      </c>
      <c r="I25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93" customFormat="false" ht="15" hidden="false" customHeight="false" outlineLevel="0" collapsed="false">
      <c r="A2593" s="41"/>
      <c r="G2593" s="38" t="n">
        <f aca="false">MONTH(A2593)</f>
        <v>12</v>
      </c>
      <c r="H2593" s="38" t="n">
        <f aca="false">YEAR(Tabela1[[#This Row],[FECHA]])</f>
        <v>1900</v>
      </c>
      <c r="I25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94" customFormat="false" ht="15" hidden="false" customHeight="false" outlineLevel="0" collapsed="false">
      <c r="A2594" s="41"/>
      <c r="G2594" s="38" t="n">
        <f aca="false">MONTH(A2594)</f>
        <v>12</v>
      </c>
      <c r="H2594" s="38" t="n">
        <f aca="false">YEAR(Tabela1[[#This Row],[FECHA]])</f>
        <v>1900</v>
      </c>
      <c r="I25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95" customFormat="false" ht="15" hidden="false" customHeight="false" outlineLevel="0" collapsed="false">
      <c r="A2595" s="41"/>
      <c r="G2595" s="38" t="n">
        <f aca="false">MONTH(A2595)</f>
        <v>12</v>
      </c>
      <c r="H2595" s="38" t="n">
        <f aca="false">YEAR(Tabela1[[#This Row],[FECHA]])</f>
        <v>1900</v>
      </c>
      <c r="I25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96" customFormat="false" ht="15" hidden="false" customHeight="false" outlineLevel="0" collapsed="false">
      <c r="A2596" s="41"/>
      <c r="G2596" s="38" t="n">
        <f aca="false">MONTH(A2596)</f>
        <v>12</v>
      </c>
      <c r="H2596" s="38" t="n">
        <f aca="false">YEAR(Tabela1[[#This Row],[FECHA]])</f>
        <v>1900</v>
      </c>
      <c r="I25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97" customFormat="false" ht="15" hidden="false" customHeight="false" outlineLevel="0" collapsed="false">
      <c r="A2597" s="41"/>
      <c r="G2597" s="38" t="n">
        <f aca="false">MONTH(A2597)</f>
        <v>12</v>
      </c>
      <c r="H2597" s="38" t="n">
        <f aca="false">YEAR(Tabela1[[#This Row],[FECHA]])</f>
        <v>1900</v>
      </c>
      <c r="I25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98" customFormat="false" ht="15" hidden="false" customHeight="false" outlineLevel="0" collapsed="false">
      <c r="A2598" s="41"/>
      <c r="G2598" s="38" t="n">
        <f aca="false">MONTH(A2598)</f>
        <v>12</v>
      </c>
      <c r="H2598" s="38" t="n">
        <f aca="false">YEAR(Tabela1[[#This Row],[FECHA]])</f>
        <v>1900</v>
      </c>
      <c r="I25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599" customFormat="false" ht="15" hidden="false" customHeight="false" outlineLevel="0" collapsed="false">
      <c r="A2599" s="41"/>
      <c r="G2599" s="38" t="n">
        <f aca="false">MONTH(A2599)</f>
        <v>12</v>
      </c>
      <c r="H2599" s="38" t="n">
        <f aca="false">YEAR(Tabela1[[#This Row],[FECHA]])</f>
        <v>1900</v>
      </c>
      <c r="I25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00" customFormat="false" ht="15" hidden="false" customHeight="false" outlineLevel="0" collapsed="false">
      <c r="A2600" s="41"/>
      <c r="G2600" s="38" t="n">
        <f aca="false">MONTH(A2600)</f>
        <v>12</v>
      </c>
      <c r="H2600" s="38" t="n">
        <f aca="false">YEAR(Tabela1[[#This Row],[FECHA]])</f>
        <v>1900</v>
      </c>
      <c r="I26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01" customFormat="false" ht="15" hidden="false" customHeight="false" outlineLevel="0" collapsed="false">
      <c r="A2601" s="41"/>
      <c r="G2601" s="38" t="n">
        <f aca="false">MONTH(A2601)</f>
        <v>12</v>
      </c>
      <c r="H2601" s="38" t="n">
        <f aca="false">YEAR(Tabela1[[#This Row],[FECHA]])</f>
        <v>1900</v>
      </c>
      <c r="I26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02" customFormat="false" ht="15" hidden="false" customHeight="false" outlineLevel="0" collapsed="false">
      <c r="A2602" s="41"/>
      <c r="G2602" s="38" t="n">
        <f aca="false">MONTH(A2602)</f>
        <v>12</v>
      </c>
      <c r="H2602" s="38" t="n">
        <f aca="false">YEAR(Tabela1[[#This Row],[FECHA]])</f>
        <v>1900</v>
      </c>
      <c r="I26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03" customFormat="false" ht="15" hidden="false" customHeight="false" outlineLevel="0" collapsed="false">
      <c r="A2603" s="41"/>
      <c r="G2603" s="38" t="n">
        <f aca="false">MONTH(A2603)</f>
        <v>12</v>
      </c>
      <c r="H2603" s="38" t="n">
        <f aca="false">YEAR(Tabela1[[#This Row],[FECHA]])</f>
        <v>1900</v>
      </c>
      <c r="I26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04" customFormat="false" ht="15" hidden="false" customHeight="false" outlineLevel="0" collapsed="false">
      <c r="A2604" s="41"/>
      <c r="G2604" s="38" t="n">
        <f aca="false">MONTH(A2604)</f>
        <v>12</v>
      </c>
      <c r="H2604" s="38" t="n">
        <f aca="false">YEAR(Tabela1[[#This Row],[FECHA]])</f>
        <v>1900</v>
      </c>
      <c r="I26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05" customFormat="false" ht="15" hidden="false" customHeight="false" outlineLevel="0" collapsed="false">
      <c r="A2605" s="41"/>
      <c r="G2605" s="38" t="n">
        <f aca="false">MONTH(A2605)</f>
        <v>12</v>
      </c>
      <c r="H2605" s="38" t="n">
        <f aca="false">YEAR(Tabela1[[#This Row],[FECHA]])</f>
        <v>1900</v>
      </c>
      <c r="I26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06" customFormat="false" ht="15" hidden="false" customHeight="false" outlineLevel="0" collapsed="false">
      <c r="A2606" s="41"/>
      <c r="G2606" s="38" t="n">
        <f aca="false">MONTH(A2606)</f>
        <v>12</v>
      </c>
      <c r="H2606" s="38" t="n">
        <f aca="false">YEAR(Tabela1[[#This Row],[FECHA]])</f>
        <v>1900</v>
      </c>
      <c r="I26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07" customFormat="false" ht="15" hidden="false" customHeight="false" outlineLevel="0" collapsed="false">
      <c r="A2607" s="41"/>
      <c r="G2607" s="38" t="n">
        <f aca="false">MONTH(A2607)</f>
        <v>12</v>
      </c>
      <c r="H2607" s="38" t="n">
        <f aca="false">YEAR(Tabela1[[#This Row],[FECHA]])</f>
        <v>1900</v>
      </c>
      <c r="I26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08" customFormat="false" ht="15" hidden="false" customHeight="false" outlineLevel="0" collapsed="false">
      <c r="A2608" s="41"/>
      <c r="G2608" s="38" t="n">
        <f aca="false">MONTH(A2608)</f>
        <v>12</v>
      </c>
      <c r="H2608" s="38" t="n">
        <f aca="false">YEAR(Tabela1[[#This Row],[FECHA]])</f>
        <v>1900</v>
      </c>
      <c r="I26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09" customFormat="false" ht="15" hidden="false" customHeight="false" outlineLevel="0" collapsed="false">
      <c r="A2609" s="41"/>
      <c r="G2609" s="38" t="n">
        <f aca="false">MONTH(A2609)</f>
        <v>12</v>
      </c>
      <c r="H2609" s="38" t="n">
        <f aca="false">YEAR(Tabela1[[#This Row],[FECHA]])</f>
        <v>1900</v>
      </c>
      <c r="I26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10" customFormat="false" ht="15" hidden="false" customHeight="false" outlineLevel="0" collapsed="false">
      <c r="A2610" s="41"/>
      <c r="G2610" s="38" t="n">
        <f aca="false">MONTH(A2610)</f>
        <v>12</v>
      </c>
      <c r="H2610" s="38" t="n">
        <f aca="false">YEAR(Tabela1[[#This Row],[FECHA]])</f>
        <v>1900</v>
      </c>
      <c r="I26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11" customFormat="false" ht="15" hidden="false" customHeight="false" outlineLevel="0" collapsed="false">
      <c r="A2611" s="41"/>
      <c r="G2611" s="38" t="n">
        <f aca="false">MONTH(A2611)</f>
        <v>12</v>
      </c>
      <c r="H2611" s="38" t="n">
        <f aca="false">YEAR(Tabela1[[#This Row],[FECHA]])</f>
        <v>1900</v>
      </c>
      <c r="I26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12" customFormat="false" ht="15" hidden="false" customHeight="false" outlineLevel="0" collapsed="false">
      <c r="A2612" s="41"/>
      <c r="G2612" s="38" t="n">
        <f aca="false">MONTH(A2612)</f>
        <v>12</v>
      </c>
      <c r="H2612" s="38" t="n">
        <f aca="false">YEAR(Tabela1[[#This Row],[FECHA]])</f>
        <v>1900</v>
      </c>
      <c r="I26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13" customFormat="false" ht="15" hidden="false" customHeight="false" outlineLevel="0" collapsed="false">
      <c r="A2613" s="41"/>
      <c r="G2613" s="38" t="n">
        <f aca="false">MONTH(A2613)</f>
        <v>12</v>
      </c>
      <c r="H2613" s="38" t="n">
        <f aca="false">YEAR(Tabela1[[#This Row],[FECHA]])</f>
        <v>1900</v>
      </c>
      <c r="I26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14" customFormat="false" ht="15" hidden="false" customHeight="false" outlineLevel="0" collapsed="false">
      <c r="A2614" s="41"/>
      <c r="G2614" s="38" t="n">
        <f aca="false">MONTH(A2614)</f>
        <v>12</v>
      </c>
      <c r="H2614" s="38" t="n">
        <f aca="false">YEAR(Tabela1[[#This Row],[FECHA]])</f>
        <v>1900</v>
      </c>
      <c r="I26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15" customFormat="false" ht="15" hidden="false" customHeight="false" outlineLevel="0" collapsed="false">
      <c r="A2615" s="41"/>
      <c r="G2615" s="38" t="n">
        <f aca="false">MONTH(A2615)</f>
        <v>12</v>
      </c>
      <c r="H2615" s="38" t="n">
        <f aca="false">YEAR(Tabela1[[#This Row],[FECHA]])</f>
        <v>1900</v>
      </c>
      <c r="I26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16" customFormat="false" ht="15" hidden="false" customHeight="false" outlineLevel="0" collapsed="false">
      <c r="A2616" s="41"/>
      <c r="G2616" s="38" t="n">
        <f aca="false">MONTH(A2616)</f>
        <v>12</v>
      </c>
      <c r="H2616" s="38" t="n">
        <f aca="false">YEAR(Tabela1[[#This Row],[FECHA]])</f>
        <v>1900</v>
      </c>
      <c r="I26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17" customFormat="false" ht="15" hidden="false" customHeight="false" outlineLevel="0" collapsed="false">
      <c r="A2617" s="41"/>
      <c r="G2617" s="38" t="n">
        <f aca="false">MONTH(A2617)</f>
        <v>12</v>
      </c>
      <c r="H2617" s="38" t="n">
        <f aca="false">YEAR(Tabela1[[#This Row],[FECHA]])</f>
        <v>1900</v>
      </c>
      <c r="I26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18" customFormat="false" ht="15" hidden="false" customHeight="false" outlineLevel="0" collapsed="false">
      <c r="A2618" s="41"/>
      <c r="G2618" s="38" t="n">
        <f aca="false">MONTH(A2618)</f>
        <v>12</v>
      </c>
      <c r="H2618" s="38" t="n">
        <f aca="false">YEAR(Tabela1[[#This Row],[FECHA]])</f>
        <v>1900</v>
      </c>
      <c r="I26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19" customFormat="false" ht="15" hidden="false" customHeight="false" outlineLevel="0" collapsed="false">
      <c r="A2619" s="41"/>
      <c r="G2619" s="38" t="n">
        <f aca="false">MONTH(A2619)</f>
        <v>12</v>
      </c>
      <c r="H2619" s="38" t="n">
        <f aca="false">YEAR(Tabela1[[#This Row],[FECHA]])</f>
        <v>1900</v>
      </c>
      <c r="I26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20" customFormat="false" ht="15" hidden="false" customHeight="false" outlineLevel="0" collapsed="false">
      <c r="A2620" s="41"/>
      <c r="G2620" s="38" t="n">
        <f aca="false">MONTH(A2620)</f>
        <v>12</v>
      </c>
      <c r="H2620" s="38" t="n">
        <f aca="false">YEAR(Tabela1[[#This Row],[FECHA]])</f>
        <v>1900</v>
      </c>
      <c r="I26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21" customFormat="false" ht="15" hidden="false" customHeight="false" outlineLevel="0" collapsed="false">
      <c r="A2621" s="41"/>
      <c r="G2621" s="38" t="n">
        <f aca="false">MONTH(A2621)</f>
        <v>12</v>
      </c>
      <c r="H2621" s="38" t="n">
        <f aca="false">YEAR(Tabela1[[#This Row],[FECHA]])</f>
        <v>1900</v>
      </c>
      <c r="I26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22" customFormat="false" ht="15" hidden="false" customHeight="false" outlineLevel="0" collapsed="false">
      <c r="A2622" s="41"/>
      <c r="G2622" s="38" t="n">
        <f aca="false">MONTH(A2622)</f>
        <v>12</v>
      </c>
      <c r="H2622" s="38" t="n">
        <f aca="false">YEAR(Tabela1[[#This Row],[FECHA]])</f>
        <v>1900</v>
      </c>
      <c r="I26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23" customFormat="false" ht="15" hidden="false" customHeight="false" outlineLevel="0" collapsed="false">
      <c r="A2623" s="41"/>
      <c r="G2623" s="38" t="n">
        <f aca="false">MONTH(A2623)</f>
        <v>12</v>
      </c>
      <c r="H2623" s="38" t="n">
        <f aca="false">YEAR(Tabela1[[#This Row],[FECHA]])</f>
        <v>1900</v>
      </c>
      <c r="I26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24" customFormat="false" ht="15" hidden="false" customHeight="false" outlineLevel="0" collapsed="false">
      <c r="A2624" s="41"/>
      <c r="G2624" s="38" t="n">
        <f aca="false">MONTH(A2624)</f>
        <v>12</v>
      </c>
      <c r="H2624" s="38" t="n">
        <f aca="false">YEAR(Tabela1[[#This Row],[FECHA]])</f>
        <v>1900</v>
      </c>
      <c r="I26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25" customFormat="false" ht="15" hidden="false" customHeight="false" outlineLevel="0" collapsed="false">
      <c r="A2625" s="41"/>
      <c r="G2625" s="38" t="n">
        <f aca="false">MONTH(A2625)</f>
        <v>12</v>
      </c>
      <c r="H2625" s="38" t="n">
        <f aca="false">YEAR(Tabela1[[#This Row],[FECHA]])</f>
        <v>1900</v>
      </c>
      <c r="I26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26" customFormat="false" ht="15" hidden="false" customHeight="false" outlineLevel="0" collapsed="false">
      <c r="A2626" s="41"/>
      <c r="G2626" s="38" t="n">
        <f aca="false">MONTH(A2626)</f>
        <v>12</v>
      </c>
      <c r="H2626" s="38" t="n">
        <f aca="false">YEAR(Tabela1[[#This Row],[FECHA]])</f>
        <v>1900</v>
      </c>
      <c r="I26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27" customFormat="false" ht="15" hidden="false" customHeight="false" outlineLevel="0" collapsed="false">
      <c r="A2627" s="41"/>
      <c r="G2627" s="38" t="n">
        <f aca="false">MONTH(A2627)</f>
        <v>12</v>
      </c>
      <c r="H2627" s="38" t="n">
        <f aca="false">YEAR(Tabela1[[#This Row],[FECHA]])</f>
        <v>1900</v>
      </c>
      <c r="I26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28" customFormat="false" ht="15" hidden="false" customHeight="false" outlineLevel="0" collapsed="false">
      <c r="A2628" s="41"/>
      <c r="G2628" s="38" t="n">
        <f aca="false">MONTH(A2628)</f>
        <v>12</v>
      </c>
      <c r="H2628" s="38" t="n">
        <f aca="false">YEAR(Tabela1[[#This Row],[FECHA]])</f>
        <v>1900</v>
      </c>
      <c r="I26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29" customFormat="false" ht="15" hidden="false" customHeight="false" outlineLevel="0" collapsed="false">
      <c r="A2629" s="41"/>
      <c r="G2629" s="38" t="n">
        <f aca="false">MONTH(A2629)</f>
        <v>12</v>
      </c>
      <c r="H2629" s="38" t="n">
        <f aca="false">YEAR(Tabela1[[#This Row],[FECHA]])</f>
        <v>1900</v>
      </c>
      <c r="I26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30" customFormat="false" ht="15" hidden="false" customHeight="false" outlineLevel="0" collapsed="false">
      <c r="A2630" s="41"/>
      <c r="G2630" s="38" t="n">
        <f aca="false">MONTH(A2630)</f>
        <v>12</v>
      </c>
      <c r="H2630" s="38" t="n">
        <f aca="false">YEAR(Tabela1[[#This Row],[FECHA]])</f>
        <v>1900</v>
      </c>
      <c r="I26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31" customFormat="false" ht="15" hidden="false" customHeight="false" outlineLevel="0" collapsed="false">
      <c r="A2631" s="41"/>
      <c r="G2631" s="38" t="n">
        <f aca="false">MONTH(A2631)</f>
        <v>12</v>
      </c>
      <c r="H2631" s="38" t="n">
        <f aca="false">YEAR(Tabela1[[#This Row],[FECHA]])</f>
        <v>1900</v>
      </c>
      <c r="I26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32" customFormat="false" ht="15" hidden="false" customHeight="false" outlineLevel="0" collapsed="false">
      <c r="A2632" s="41"/>
      <c r="G2632" s="38" t="n">
        <f aca="false">MONTH(A2632)</f>
        <v>12</v>
      </c>
      <c r="H2632" s="38" t="n">
        <f aca="false">YEAR(Tabela1[[#This Row],[FECHA]])</f>
        <v>1900</v>
      </c>
      <c r="I26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33" customFormat="false" ht="15" hidden="false" customHeight="false" outlineLevel="0" collapsed="false">
      <c r="A2633" s="41"/>
      <c r="G2633" s="38" t="n">
        <f aca="false">MONTH(A2633)</f>
        <v>12</v>
      </c>
      <c r="H2633" s="38" t="n">
        <f aca="false">YEAR(Tabela1[[#This Row],[FECHA]])</f>
        <v>1900</v>
      </c>
      <c r="I26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34" customFormat="false" ht="15" hidden="false" customHeight="false" outlineLevel="0" collapsed="false">
      <c r="A2634" s="41"/>
      <c r="G2634" s="38" t="n">
        <f aca="false">MONTH(A2634)</f>
        <v>12</v>
      </c>
      <c r="H2634" s="38" t="n">
        <f aca="false">YEAR(Tabela1[[#This Row],[FECHA]])</f>
        <v>1900</v>
      </c>
      <c r="I26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35" customFormat="false" ht="15" hidden="false" customHeight="false" outlineLevel="0" collapsed="false">
      <c r="A2635" s="41"/>
      <c r="G2635" s="38" t="n">
        <f aca="false">MONTH(A2635)</f>
        <v>12</v>
      </c>
      <c r="H2635" s="38" t="n">
        <f aca="false">YEAR(Tabela1[[#This Row],[FECHA]])</f>
        <v>1900</v>
      </c>
      <c r="I26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36" customFormat="false" ht="15" hidden="false" customHeight="false" outlineLevel="0" collapsed="false">
      <c r="A2636" s="41"/>
      <c r="G2636" s="38" t="n">
        <f aca="false">MONTH(A2636)</f>
        <v>12</v>
      </c>
      <c r="H2636" s="38" t="n">
        <f aca="false">YEAR(Tabela1[[#This Row],[FECHA]])</f>
        <v>1900</v>
      </c>
      <c r="I26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37" customFormat="false" ht="15" hidden="false" customHeight="false" outlineLevel="0" collapsed="false">
      <c r="A2637" s="41"/>
      <c r="G2637" s="38" t="n">
        <f aca="false">MONTH(A2637)</f>
        <v>12</v>
      </c>
      <c r="H2637" s="38" t="n">
        <f aca="false">YEAR(Tabela1[[#This Row],[FECHA]])</f>
        <v>1900</v>
      </c>
      <c r="I26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38" customFormat="false" ht="15" hidden="false" customHeight="false" outlineLevel="0" collapsed="false">
      <c r="A2638" s="41"/>
      <c r="G2638" s="38" t="n">
        <f aca="false">MONTH(A2638)</f>
        <v>12</v>
      </c>
      <c r="H2638" s="38" t="n">
        <f aca="false">YEAR(Tabela1[[#This Row],[FECHA]])</f>
        <v>1900</v>
      </c>
      <c r="I26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39" customFormat="false" ht="15" hidden="false" customHeight="false" outlineLevel="0" collapsed="false">
      <c r="A2639" s="41"/>
      <c r="G2639" s="38" t="n">
        <f aca="false">MONTH(A2639)</f>
        <v>12</v>
      </c>
      <c r="H2639" s="38" t="n">
        <f aca="false">YEAR(Tabela1[[#This Row],[FECHA]])</f>
        <v>1900</v>
      </c>
      <c r="I26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40" customFormat="false" ht="15" hidden="false" customHeight="false" outlineLevel="0" collapsed="false">
      <c r="A2640" s="41"/>
      <c r="G2640" s="38" t="n">
        <f aca="false">MONTH(A2640)</f>
        <v>12</v>
      </c>
      <c r="H2640" s="38" t="n">
        <f aca="false">YEAR(Tabela1[[#This Row],[FECHA]])</f>
        <v>1900</v>
      </c>
      <c r="I26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41" customFormat="false" ht="15" hidden="false" customHeight="false" outlineLevel="0" collapsed="false">
      <c r="A2641" s="41"/>
      <c r="G2641" s="38" t="n">
        <f aca="false">MONTH(A2641)</f>
        <v>12</v>
      </c>
      <c r="H2641" s="38" t="n">
        <f aca="false">YEAR(Tabela1[[#This Row],[FECHA]])</f>
        <v>1900</v>
      </c>
      <c r="I26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42" customFormat="false" ht="15" hidden="false" customHeight="false" outlineLevel="0" collapsed="false">
      <c r="A2642" s="41"/>
      <c r="G2642" s="38" t="n">
        <f aca="false">MONTH(A2642)</f>
        <v>12</v>
      </c>
      <c r="H2642" s="38" t="n">
        <f aca="false">YEAR(Tabela1[[#This Row],[FECHA]])</f>
        <v>1900</v>
      </c>
      <c r="I26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43" customFormat="false" ht="15" hidden="false" customHeight="false" outlineLevel="0" collapsed="false">
      <c r="A2643" s="41"/>
      <c r="G2643" s="38" t="n">
        <f aca="false">MONTH(A2643)</f>
        <v>12</v>
      </c>
      <c r="H2643" s="38" t="n">
        <f aca="false">YEAR(Tabela1[[#This Row],[FECHA]])</f>
        <v>1900</v>
      </c>
      <c r="I26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44" customFormat="false" ht="15" hidden="false" customHeight="false" outlineLevel="0" collapsed="false">
      <c r="A2644" s="41"/>
      <c r="G2644" s="38" t="n">
        <f aca="false">MONTH(A2644)</f>
        <v>12</v>
      </c>
      <c r="H2644" s="38" t="n">
        <f aca="false">YEAR(Tabela1[[#This Row],[FECHA]])</f>
        <v>1900</v>
      </c>
      <c r="I26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45" customFormat="false" ht="15" hidden="false" customHeight="false" outlineLevel="0" collapsed="false">
      <c r="A2645" s="41"/>
      <c r="G2645" s="38" t="n">
        <f aca="false">MONTH(A2645)</f>
        <v>12</v>
      </c>
      <c r="H2645" s="38" t="n">
        <f aca="false">YEAR(Tabela1[[#This Row],[FECHA]])</f>
        <v>1900</v>
      </c>
      <c r="I26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46" customFormat="false" ht="15" hidden="false" customHeight="false" outlineLevel="0" collapsed="false">
      <c r="A2646" s="41"/>
      <c r="G2646" s="38" t="n">
        <f aca="false">MONTH(A2646)</f>
        <v>12</v>
      </c>
      <c r="H2646" s="38" t="n">
        <f aca="false">YEAR(Tabela1[[#This Row],[FECHA]])</f>
        <v>1900</v>
      </c>
      <c r="I26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47" customFormat="false" ht="15" hidden="false" customHeight="false" outlineLevel="0" collapsed="false">
      <c r="A2647" s="41"/>
      <c r="G2647" s="38" t="n">
        <f aca="false">MONTH(A2647)</f>
        <v>12</v>
      </c>
      <c r="H2647" s="38" t="n">
        <f aca="false">YEAR(Tabela1[[#This Row],[FECHA]])</f>
        <v>1900</v>
      </c>
      <c r="I26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48" customFormat="false" ht="15" hidden="false" customHeight="false" outlineLevel="0" collapsed="false">
      <c r="A2648" s="41"/>
      <c r="G2648" s="38" t="n">
        <f aca="false">MONTH(A2648)</f>
        <v>12</v>
      </c>
      <c r="H2648" s="38" t="n">
        <f aca="false">YEAR(Tabela1[[#This Row],[FECHA]])</f>
        <v>1900</v>
      </c>
      <c r="I26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49" customFormat="false" ht="15" hidden="false" customHeight="false" outlineLevel="0" collapsed="false">
      <c r="A2649" s="41"/>
      <c r="G2649" s="38" t="n">
        <f aca="false">MONTH(A2649)</f>
        <v>12</v>
      </c>
      <c r="H2649" s="38" t="n">
        <f aca="false">YEAR(Tabela1[[#This Row],[FECHA]])</f>
        <v>1900</v>
      </c>
      <c r="I26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50" customFormat="false" ht="15" hidden="false" customHeight="false" outlineLevel="0" collapsed="false">
      <c r="A2650" s="41"/>
      <c r="G2650" s="38" t="n">
        <f aca="false">MONTH(A2650)</f>
        <v>12</v>
      </c>
      <c r="H2650" s="38" t="n">
        <f aca="false">YEAR(Tabela1[[#This Row],[FECHA]])</f>
        <v>1900</v>
      </c>
      <c r="I26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51" customFormat="false" ht="15" hidden="false" customHeight="false" outlineLevel="0" collapsed="false">
      <c r="A2651" s="41"/>
      <c r="G2651" s="38" t="n">
        <f aca="false">MONTH(A2651)</f>
        <v>12</v>
      </c>
      <c r="H2651" s="38" t="n">
        <f aca="false">YEAR(Tabela1[[#This Row],[FECHA]])</f>
        <v>1900</v>
      </c>
      <c r="I26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52" customFormat="false" ht="15" hidden="false" customHeight="false" outlineLevel="0" collapsed="false">
      <c r="A2652" s="41"/>
      <c r="G2652" s="38" t="n">
        <f aca="false">MONTH(A2652)</f>
        <v>12</v>
      </c>
      <c r="H2652" s="38" t="n">
        <f aca="false">YEAR(Tabela1[[#This Row],[FECHA]])</f>
        <v>1900</v>
      </c>
      <c r="I26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53" customFormat="false" ht="15" hidden="false" customHeight="false" outlineLevel="0" collapsed="false">
      <c r="A2653" s="41"/>
      <c r="G2653" s="38" t="n">
        <f aca="false">MONTH(A2653)</f>
        <v>12</v>
      </c>
      <c r="H2653" s="38" t="n">
        <f aca="false">YEAR(Tabela1[[#This Row],[FECHA]])</f>
        <v>1900</v>
      </c>
      <c r="I26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54" customFormat="false" ht="15" hidden="false" customHeight="false" outlineLevel="0" collapsed="false">
      <c r="A2654" s="41"/>
      <c r="G2654" s="38" t="n">
        <f aca="false">MONTH(A2654)</f>
        <v>12</v>
      </c>
      <c r="H2654" s="38" t="n">
        <f aca="false">YEAR(Tabela1[[#This Row],[FECHA]])</f>
        <v>1900</v>
      </c>
      <c r="I26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55" customFormat="false" ht="15" hidden="false" customHeight="false" outlineLevel="0" collapsed="false">
      <c r="A2655" s="41"/>
      <c r="G2655" s="38" t="n">
        <f aca="false">MONTH(A2655)</f>
        <v>12</v>
      </c>
      <c r="H2655" s="38" t="n">
        <f aca="false">YEAR(Tabela1[[#This Row],[FECHA]])</f>
        <v>1900</v>
      </c>
      <c r="I26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56" customFormat="false" ht="15" hidden="false" customHeight="false" outlineLevel="0" collapsed="false">
      <c r="A2656" s="41"/>
      <c r="G2656" s="38" t="n">
        <f aca="false">MONTH(A2656)</f>
        <v>12</v>
      </c>
      <c r="H2656" s="38" t="n">
        <f aca="false">YEAR(Tabela1[[#This Row],[FECHA]])</f>
        <v>1900</v>
      </c>
      <c r="I26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57" customFormat="false" ht="15" hidden="false" customHeight="false" outlineLevel="0" collapsed="false">
      <c r="A2657" s="41"/>
      <c r="G2657" s="38" t="n">
        <f aca="false">MONTH(A2657)</f>
        <v>12</v>
      </c>
      <c r="H2657" s="38" t="n">
        <f aca="false">YEAR(Tabela1[[#This Row],[FECHA]])</f>
        <v>1900</v>
      </c>
      <c r="I26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58" customFormat="false" ht="15" hidden="false" customHeight="false" outlineLevel="0" collapsed="false">
      <c r="A2658" s="41"/>
      <c r="G2658" s="38" t="n">
        <f aca="false">MONTH(A2658)</f>
        <v>12</v>
      </c>
      <c r="H2658" s="38" t="n">
        <f aca="false">YEAR(Tabela1[[#This Row],[FECHA]])</f>
        <v>1900</v>
      </c>
      <c r="I26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59" customFormat="false" ht="15" hidden="false" customHeight="false" outlineLevel="0" collapsed="false">
      <c r="A2659" s="41"/>
      <c r="G2659" s="38" t="n">
        <f aca="false">MONTH(A2659)</f>
        <v>12</v>
      </c>
      <c r="H2659" s="38" t="n">
        <f aca="false">YEAR(Tabela1[[#This Row],[FECHA]])</f>
        <v>1900</v>
      </c>
      <c r="I26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60" customFormat="false" ht="15" hidden="false" customHeight="false" outlineLevel="0" collapsed="false">
      <c r="A2660" s="41"/>
      <c r="G2660" s="38" t="n">
        <f aca="false">MONTH(A2660)</f>
        <v>12</v>
      </c>
      <c r="H2660" s="38" t="n">
        <f aca="false">YEAR(Tabela1[[#This Row],[FECHA]])</f>
        <v>1900</v>
      </c>
      <c r="I26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61" customFormat="false" ht="15" hidden="false" customHeight="false" outlineLevel="0" collapsed="false">
      <c r="A2661" s="41"/>
      <c r="G2661" s="38" t="n">
        <f aca="false">MONTH(A2661)</f>
        <v>12</v>
      </c>
      <c r="H2661" s="38" t="n">
        <f aca="false">YEAR(Tabela1[[#This Row],[FECHA]])</f>
        <v>1900</v>
      </c>
      <c r="I26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62" customFormat="false" ht="15" hidden="false" customHeight="false" outlineLevel="0" collapsed="false">
      <c r="A2662" s="41"/>
      <c r="G2662" s="38" t="n">
        <f aca="false">MONTH(A2662)</f>
        <v>12</v>
      </c>
      <c r="H2662" s="38" t="n">
        <f aca="false">YEAR(Tabela1[[#This Row],[FECHA]])</f>
        <v>1900</v>
      </c>
      <c r="I26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63" customFormat="false" ht="15" hidden="false" customHeight="false" outlineLevel="0" collapsed="false">
      <c r="A2663" s="41"/>
      <c r="G2663" s="38" t="n">
        <f aca="false">MONTH(A2663)</f>
        <v>12</v>
      </c>
      <c r="H2663" s="38" t="n">
        <f aca="false">YEAR(Tabela1[[#This Row],[FECHA]])</f>
        <v>1900</v>
      </c>
      <c r="I26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64" customFormat="false" ht="15" hidden="false" customHeight="false" outlineLevel="0" collapsed="false">
      <c r="A2664" s="41"/>
      <c r="G2664" s="38" t="n">
        <f aca="false">MONTH(A2664)</f>
        <v>12</v>
      </c>
      <c r="H2664" s="38" t="n">
        <f aca="false">YEAR(Tabela1[[#This Row],[FECHA]])</f>
        <v>1900</v>
      </c>
      <c r="I26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65" customFormat="false" ht="15" hidden="false" customHeight="false" outlineLevel="0" collapsed="false">
      <c r="A2665" s="41"/>
      <c r="G2665" s="38" t="n">
        <f aca="false">MONTH(A2665)</f>
        <v>12</v>
      </c>
      <c r="H2665" s="38" t="n">
        <f aca="false">YEAR(Tabela1[[#This Row],[FECHA]])</f>
        <v>1900</v>
      </c>
      <c r="I26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66" customFormat="false" ht="15" hidden="false" customHeight="false" outlineLevel="0" collapsed="false">
      <c r="A2666" s="41"/>
      <c r="G2666" s="38" t="n">
        <f aca="false">MONTH(A2666)</f>
        <v>12</v>
      </c>
      <c r="H2666" s="38" t="n">
        <f aca="false">YEAR(Tabela1[[#This Row],[FECHA]])</f>
        <v>1900</v>
      </c>
      <c r="I26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67" customFormat="false" ht="15" hidden="false" customHeight="false" outlineLevel="0" collapsed="false">
      <c r="A2667" s="41"/>
      <c r="G2667" s="38" t="n">
        <f aca="false">MONTH(A2667)</f>
        <v>12</v>
      </c>
      <c r="H2667" s="38" t="n">
        <f aca="false">YEAR(Tabela1[[#This Row],[FECHA]])</f>
        <v>1900</v>
      </c>
      <c r="I26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68" customFormat="false" ht="15" hidden="false" customHeight="false" outlineLevel="0" collapsed="false">
      <c r="A2668" s="41"/>
      <c r="G2668" s="38" t="n">
        <f aca="false">MONTH(A2668)</f>
        <v>12</v>
      </c>
      <c r="H2668" s="38" t="n">
        <f aca="false">YEAR(Tabela1[[#This Row],[FECHA]])</f>
        <v>1900</v>
      </c>
      <c r="I26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69" customFormat="false" ht="15" hidden="false" customHeight="false" outlineLevel="0" collapsed="false">
      <c r="A2669" s="41"/>
      <c r="G2669" s="38" t="n">
        <f aca="false">MONTH(A2669)</f>
        <v>12</v>
      </c>
      <c r="H2669" s="38" t="n">
        <f aca="false">YEAR(Tabela1[[#This Row],[FECHA]])</f>
        <v>1900</v>
      </c>
      <c r="I26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70" customFormat="false" ht="15" hidden="false" customHeight="false" outlineLevel="0" collapsed="false">
      <c r="A2670" s="41"/>
      <c r="G2670" s="38" t="n">
        <f aca="false">MONTH(A2670)</f>
        <v>12</v>
      </c>
      <c r="H2670" s="38" t="n">
        <f aca="false">YEAR(Tabela1[[#This Row],[FECHA]])</f>
        <v>1900</v>
      </c>
      <c r="I26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71" customFormat="false" ht="15" hidden="false" customHeight="false" outlineLevel="0" collapsed="false">
      <c r="A2671" s="41"/>
      <c r="G2671" s="38" t="n">
        <f aca="false">MONTH(A2671)</f>
        <v>12</v>
      </c>
      <c r="H2671" s="38" t="n">
        <f aca="false">YEAR(Tabela1[[#This Row],[FECHA]])</f>
        <v>1900</v>
      </c>
      <c r="I26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72" customFormat="false" ht="15" hidden="false" customHeight="false" outlineLevel="0" collapsed="false">
      <c r="A2672" s="41"/>
      <c r="G2672" s="38" t="n">
        <f aca="false">MONTH(A2672)</f>
        <v>12</v>
      </c>
      <c r="H2672" s="38" t="n">
        <f aca="false">YEAR(Tabela1[[#This Row],[FECHA]])</f>
        <v>1900</v>
      </c>
      <c r="I26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73" customFormat="false" ht="15" hidden="false" customHeight="false" outlineLevel="0" collapsed="false">
      <c r="A2673" s="41"/>
      <c r="G2673" s="38" t="n">
        <f aca="false">MONTH(A2673)</f>
        <v>12</v>
      </c>
      <c r="H2673" s="38" t="n">
        <f aca="false">YEAR(Tabela1[[#This Row],[FECHA]])</f>
        <v>1900</v>
      </c>
      <c r="I26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74" customFormat="false" ht="15" hidden="false" customHeight="false" outlineLevel="0" collapsed="false">
      <c r="A2674" s="41"/>
      <c r="G2674" s="38" t="n">
        <f aca="false">MONTH(A2674)</f>
        <v>12</v>
      </c>
      <c r="H2674" s="38" t="n">
        <f aca="false">YEAR(Tabela1[[#This Row],[FECHA]])</f>
        <v>1900</v>
      </c>
      <c r="I26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75" customFormat="false" ht="15" hidden="false" customHeight="false" outlineLevel="0" collapsed="false">
      <c r="A2675" s="41"/>
      <c r="G2675" s="38" t="n">
        <f aca="false">MONTH(A2675)</f>
        <v>12</v>
      </c>
      <c r="H2675" s="38" t="n">
        <f aca="false">YEAR(Tabela1[[#This Row],[FECHA]])</f>
        <v>1900</v>
      </c>
      <c r="I26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76" customFormat="false" ht="15" hidden="false" customHeight="false" outlineLevel="0" collapsed="false">
      <c r="A2676" s="41"/>
      <c r="G2676" s="38" t="n">
        <f aca="false">MONTH(A2676)</f>
        <v>12</v>
      </c>
      <c r="H2676" s="38" t="n">
        <f aca="false">YEAR(Tabela1[[#This Row],[FECHA]])</f>
        <v>1900</v>
      </c>
      <c r="I26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77" customFormat="false" ht="15" hidden="false" customHeight="false" outlineLevel="0" collapsed="false">
      <c r="A2677" s="41"/>
      <c r="G2677" s="38" t="n">
        <f aca="false">MONTH(A2677)</f>
        <v>12</v>
      </c>
      <c r="H2677" s="38" t="n">
        <f aca="false">YEAR(Tabela1[[#This Row],[FECHA]])</f>
        <v>1900</v>
      </c>
      <c r="I26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78" customFormat="false" ht="15" hidden="false" customHeight="false" outlineLevel="0" collapsed="false">
      <c r="A2678" s="41"/>
      <c r="G2678" s="38" t="n">
        <f aca="false">MONTH(A2678)</f>
        <v>12</v>
      </c>
      <c r="H2678" s="38" t="n">
        <f aca="false">YEAR(Tabela1[[#This Row],[FECHA]])</f>
        <v>1900</v>
      </c>
      <c r="I26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79" customFormat="false" ht="15" hidden="false" customHeight="false" outlineLevel="0" collapsed="false">
      <c r="A2679" s="41"/>
      <c r="G2679" s="38" t="n">
        <f aca="false">MONTH(A2679)</f>
        <v>12</v>
      </c>
      <c r="H2679" s="38" t="n">
        <f aca="false">YEAR(Tabela1[[#This Row],[FECHA]])</f>
        <v>1900</v>
      </c>
      <c r="I26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80" customFormat="false" ht="15" hidden="false" customHeight="false" outlineLevel="0" collapsed="false">
      <c r="A2680" s="41"/>
      <c r="G2680" s="38" t="n">
        <f aca="false">MONTH(A2680)</f>
        <v>12</v>
      </c>
      <c r="H2680" s="38" t="n">
        <f aca="false">YEAR(Tabela1[[#This Row],[FECHA]])</f>
        <v>1900</v>
      </c>
      <c r="I26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81" customFormat="false" ht="15" hidden="false" customHeight="false" outlineLevel="0" collapsed="false">
      <c r="A2681" s="41"/>
      <c r="G2681" s="38" t="n">
        <f aca="false">MONTH(A2681)</f>
        <v>12</v>
      </c>
      <c r="H2681" s="38" t="n">
        <f aca="false">YEAR(Tabela1[[#This Row],[FECHA]])</f>
        <v>1900</v>
      </c>
      <c r="I26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82" customFormat="false" ht="15" hidden="false" customHeight="false" outlineLevel="0" collapsed="false">
      <c r="A2682" s="41"/>
      <c r="G2682" s="38" t="n">
        <f aca="false">MONTH(A2682)</f>
        <v>12</v>
      </c>
      <c r="H2682" s="38" t="n">
        <f aca="false">YEAR(Tabela1[[#This Row],[FECHA]])</f>
        <v>1900</v>
      </c>
      <c r="I26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83" customFormat="false" ht="15" hidden="false" customHeight="false" outlineLevel="0" collapsed="false">
      <c r="A2683" s="41"/>
      <c r="G2683" s="38" t="n">
        <f aca="false">MONTH(A2683)</f>
        <v>12</v>
      </c>
      <c r="H2683" s="38" t="n">
        <f aca="false">YEAR(Tabela1[[#This Row],[FECHA]])</f>
        <v>1900</v>
      </c>
      <c r="I26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84" customFormat="false" ht="15" hidden="false" customHeight="false" outlineLevel="0" collapsed="false">
      <c r="A2684" s="41"/>
      <c r="G2684" s="38" t="n">
        <f aca="false">MONTH(A2684)</f>
        <v>12</v>
      </c>
      <c r="H2684" s="38" t="n">
        <f aca="false">YEAR(Tabela1[[#This Row],[FECHA]])</f>
        <v>1900</v>
      </c>
      <c r="I26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85" customFormat="false" ht="15" hidden="false" customHeight="false" outlineLevel="0" collapsed="false">
      <c r="A2685" s="41"/>
      <c r="G2685" s="38" t="n">
        <f aca="false">MONTH(A2685)</f>
        <v>12</v>
      </c>
      <c r="H2685" s="38" t="n">
        <f aca="false">YEAR(Tabela1[[#This Row],[FECHA]])</f>
        <v>1900</v>
      </c>
      <c r="I26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86" customFormat="false" ht="15" hidden="false" customHeight="false" outlineLevel="0" collapsed="false">
      <c r="A2686" s="41"/>
      <c r="G2686" s="38" t="n">
        <f aca="false">MONTH(A2686)</f>
        <v>12</v>
      </c>
      <c r="H2686" s="38" t="n">
        <f aca="false">YEAR(Tabela1[[#This Row],[FECHA]])</f>
        <v>1900</v>
      </c>
      <c r="I26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87" customFormat="false" ht="15" hidden="false" customHeight="false" outlineLevel="0" collapsed="false">
      <c r="A2687" s="41"/>
      <c r="G2687" s="38" t="n">
        <f aca="false">MONTH(A2687)</f>
        <v>12</v>
      </c>
      <c r="H2687" s="38" t="n">
        <f aca="false">YEAR(Tabela1[[#This Row],[FECHA]])</f>
        <v>1900</v>
      </c>
      <c r="I26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88" customFormat="false" ht="15" hidden="false" customHeight="false" outlineLevel="0" collapsed="false">
      <c r="A2688" s="41"/>
      <c r="G2688" s="38" t="n">
        <f aca="false">MONTH(A2688)</f>
        <v>12</v>
      </c>
      <c r="H2688" s="38" t="n">
        <f aca="false">YEAR(Tabela1[[#This Row],[FECHA]])</f>
        <v>1900</v>
      </c>
      <c r="I26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89" customFormat="false" ht="15" hidden="false" customHeight="false" outlineLevel="0" collapsed="false">
      <c r="A2689" s="41"/>
      <c r="G2689" s="38" t="n">
        <f aca="false">MONTH(A2689)</f>
        <v>12</v>
      </c>
      <c r="H2689" s="38" t="n">
        <f aca="false">YEAR(Tabela1[[#This Row],[FECHA]])</f>
        <v>1900</v>
      </c>
      <c r="I26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90" customFormat="false" ht="15" hidden="false" customHeight="false" outlineLevel="0" collapsed="false">
      <c r="A2690" s="41"/>
      <c r="G2690" s="38" t="n">
        <f aca="false">MONTH(A2690)</f>
        <v>12</v>
      </c>
      <c r="H2690" s="38" t="n">
        <f aca="false">YEAR(Tabela1[[#This Row],[FECHA]])</f>
        <v>1900</v>
      </c>
      <c r="I26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91" customFormat="false" ht="15" hidden="false" customHeight="false" outlineLevel="0" collapsed="false">
      <c r="A2691" s="41"/>
      <c r="G2691" s="38" t="n">
        <f aca="false">MONTH(A2691)</f>
        <v>12</v>
      </c>
      <c r="H2691" s="38" t="n">
        <f aca="false">YEAR(Tabela1[[#This Row],[FECHA]])</f>
        <v>1900</v>
      </c>
      <c r="I26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92" customFormat="false" ht="15" hidden="false" customHeight="false" outlineLevel="0" collapsed="false">
      <c r="A2692" s="41"/>
      <c r="G2692" s="38" t="n">
        <f aca="false">MONTH(A2692)</f>
        <v>12</v>
      </c>
      <c r="H2692" s="38" t="n">
        <f aca="false">YEAR(Tabela1[[#This Row],[FECHA]])</f>
        <v>1900</v>
      </c>
      <c r="I26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93" customFormat="false" ht="15" hidden="false" customHeight="false" outlineLevel="0" collapsed="false">
      <c r="A2693" s="41"/>
      <c r="G2693" s="38" t="n">
        <f aca="false">MONTH(A2693)</f>
        <v>12</v>
      </c>
      <c r="H2693" s="38" t="n">
        <f aca="false">YEAR(Tabela1[[#This Row],[FECHA]])</f>
        <v>1900</v>
      </c>
      <c r="I26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94" customFormat="false" ht="15" hidden="false" customHeight="false" outlineLevel="0" collapsed="false">
      <c r="A2694" s="41"/>
      <c r="G2694" s="38" t="n">
        <f aca="false">MONTH(A2694)</f>
        <v>12</v>
      </c>
      <c r="H2694" s="38" t="n">
        <f aca="false">YEAR(Tabela1[[#This Row],[FECHA]])</f>
        <v>1900</v>
      </c>
      <c r="I26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95" customFormat="false" ht="15" hidden="false" customHeight="false" outlineLevel="0" collapsed="false">
      <c r="A2695" s="41"/>
      <c r="G2695" s="38" t="n">
        <f aca="false">MONTH(A2695)</f>
        <v>12</v>
      </c>
      <c r="H2695" s="38" t="n">
        <f aca="false">YEAR(Tabela1[[#This Row],[FECHA]])</f>
        <v>1900</v>
      </c>
      <c r="I26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96" customFormat="false" ht="15" hidden="false" customHeight="false" outlineLevel="0" collapsed="false">
      <c r="A2696" s="41"/>
      <c r="G2696" s="38" t="n">
        <f aca="false">MONTH(A2696)</f>
        <v>12</v>
      </c>
      <c r="H2696" s="38" t="n">
        <f aca="false">YEAR(Tabela1[[#This Row],[FECHA]])</f>
        <v>1900</v>
      </c>
      <c r="I26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97" customFormat="false" ht="15" hidden="false" customHeight="false" outlineLevel="0" collapsed="false">
      <c r="A2697" s="41"/>
      <c r="G2697" s="38" t="n">
        <f aca="false">MONTH(A2697)</f>
        <v>12</v>
      </c>
      <c r="H2697" s="38" t="n">
        <f aca="false">YEAR(Tabela1[[#This Row],[FECHA]])</f>
        <v>1900</v>
      </c>
      <c r="I26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98" customFormat="false" ht="15" hidden="false" customHeight="false" outlineLevel="0" collapsed="false">
      <c r="A2698" s="41"/>
      <c r="G2698" s="38" t="n">
        <f aca="false">MONTH(A2698)</f>
        <v>12</v>
      </c>
      <c r="H2698" s="38" t="n">
        <f aca="false">YEAR(Tabela1[[#This Row],[FECHA]])</f>
        <v>1900</v>
      </c>
      <c r="I26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699" customFormat="false" ht="15" hidden="false" customHeight="false" outlineLevel="0" collapsed="false">
      <c r="A2699" s="41"/>
      <c r="G2699" s="38" t="n">
        <f aca="false">MONTH(A2699)</f>
        <v>12</v>
      </c>
      <c r="H2699" s="38" t="n">
        <f aca="false">YEAR(Tabela1[[#This Row],[FECHA]])</f>
        <v>1900</v>
      </c>
      <c r="I26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00" customFormat="false" ht="15" hidden="false" customHeight="false" outlineLevel="0" collapsed="false">
      <c r="A2700" s="41"/>
      <c r="G2700" s="38" t="n">
        <f aca="false">MONTH(A2700)</f>
        <v>12</v>
      </c>
      <c r="H2700" s="38" t="n">
        <f aca="false">YEAR(Tabela1[[#This Row],[FECHA]])</f>
        <v>1900</v>
      </c>
      <c r="I27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01" customFormat="false" ht="15" hidden="false" customHeight="false" outlineLevel="0" collapsed="false">
      <c r="A2701" s="41"/>
      <c r="G2701" s="38" t="n">
        <f aca="false">MONTH(A2701)</f>
        <v>12</v>
      </c>
      <c r="H2701" s="38" t="n">
        <f aca="false">YEAR(Tabela1[[#This Row],[FECHA]])</f>
        <v>1900</v>
      </c>
      <c r="I27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02" customFormat="false" ht="15" hidden="false" customHeight="false" outlineLevel="0" collapsed="false">
      <c r="A2702" s="41"/>
      <c r="G2702" s="38" t="n">
        <f aca="false">MONTH(A2702)</f>
        <v>12</v>
      </c>
      <c r="H2702" s="38" t="n">
        <f aca="false">YEAR(Tabela1[[#This Row],[FECHA]])</f>
        <v>1900</v>
      </c>
      <c r="I27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03" customFormat="false" ht="15" hidden="false" customHeight="false" outlineLevel="0" collapsed="false">
      <c r="A2703" s="41"/>
      <c r="G2703" s="38" t="n">
        <f aca="false">MONTH(A2703)</f>
        <v>12</v>
      </c>
      <c r="H2703" s="38" t="n">
        <f aca="false">YEAR(Tabela1[[#This Row],[FECHA]])</f>
        <v>1900</v>
      </c>
      <c r="I27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04" customFormat="false" ht="15" hidden="false" customHeight="false" outlineLevel="0" collapsed="false">
      <c r="A2704" s="41"/>
      <c r="G2704" s="38" t="n">
        <f aca="false">MONTH(A2704)</f>
        <v>12</v>
      </c>
      <c r="H2704" s="38" t="n">
        <f aca="false">YEAR(Tabela1[[#This Row],[FECHA]])</f>
        <v>1900</v>
      </c>
      <c r="I27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05" customFormat="false" ht="15" hidden="false" customHeight="false" outlineLevel="0" collapsed="false">
      <c r="A2705" s="41"/>
      <c r="G2705" s="38" t="n">
        <f aca="false">MONTH(A2705)</f>
        <v>12</v>
      </c>
      <c r="H2705" s="38" t="n">
        <f aca="false">YEAR(Tabela1[[#This Row],[FECHA]])</f>
        <v>1900</v>
      </c>
      <c r="I27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06" customFormat="false" ht="15" hidden="false" customHeight="false" outlineLevel="0" collapsed="false">
      <c r="A2706" s="41"/>
      <c r="G2706" s="38" t="n">
        <f aca="false">MONTH(A2706)</f>
        <v>12</v>
      </c>
      <c r="H2706" s="38" t="n">
        <f aca="false">YEAR(Tabela1[[#This Row],[FECHA]])</f>
        <v>1900</v>
      </c>
      <c r="I27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07" customFormat="false" ht="15" hidden="false" customHeight="false" outlineLevel="0" collapsed="false">
      <c r="A2707" s="41"/>
      <c r="G2707" s="38" t="n">
        <f aca="false">MONTH(A2707)</f>
        <v>12</v>
      </c>
      <c r="H2707" s="38" t="n">
        <f aca="false">YEAR(Tabela1[[#This Row],[FECHA]])</f>
        <v>1900</v>
      </c>
      <c r="I27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08" customFormat="false" ht="15" hidden="false" customHeight="false" outlineLevel="0" collapsed="false">
      <c r="A2708" s="41"/>
      <c r="G2708" s="38" t="n">
        <f aca="false">MONTH(A2708)</f>
        <v>12</v>
      </c>
      <c r="H2708" s="38" t="n">
        <f aca="false">YEAR(Tabela1[[#This Row],[FECHA]])</f>
        <v>1900</v>
      </c>
      <c r="I27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09" customFormat="false" ht="15" hidden="false" customHeight="false" outlineLevel="0" collapsed="false">
      <c r="A2709" s="41"/>
      <c r="G2709" s="38" t="n">
        <f aca="false">MONTH(A2709)</f>
        <v>12</v>
      </c>
      <c r="H2709" s="38" t="n">
        <f aca="false">YEAR(Tabela1[[#This Row],[FECHA]])</f>
        <v>1900</v>
      </c>
      <c r="I27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10" customFormat="false" ht="15" hidden="false" customHeight="false" outlineLevel="0" collapsed="false">
      <c r="A2710" s="41"/>
      <c r="G2710" s="38" t="n">
        <f aca="false">MONTH(A2710)</f>
        <v>12</v>
      </c>
      <c r="H2710" s="38" t="n">
        <f aca="false">YEAR(Tabela1[[#This Row],[FECHA]])</f>
        <v>1900</v>
      </c>
      <c r="I27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11" customFormat="false" ht="15" hidden="false" customHeight="false" outlineLevel="0" collapsed="false">
      <c r="A2711" s="41"/>
      <c r="G2711" s="38" t="n">
        <f aca="false">MONTH(A2711)</f>
        <v>12</v>
      </c>
      <c r="H2711" s="38" t="n">
        <f aca="false">YEAR(Tabela1[[#This Row],[FECHA]])</f>
        <v>1900</v>
      </c>
      <c r="I27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12" customFormat="false" ht="15" hidden="false" customHeight="false" outlineLevel="0" collapsed="false">
      <c r="A2712" s="41"/>
      <c r="G2712" s="38" t="n">
        <f aca="false">MONTH(A2712)</f>
        <v>12</v>
      </c>
      <c r="H2712" s="38" t="n">
        <f aca="false">YEAR(Tabela1[[#This Row],[FECHA]])</f>
        <v>1900</v>
      </c>
      <c r="I27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13" customFormat="false" ht="15" hidden="false" customHeight="false" outlineLevel="0" collapsed="false">
      <c r="A2713" s="41"/>
      <c r="G2713" s="38" t="n">
        <f aca="false">MONTH(A2713)</f>
        <v>12</v>
      </c>
      <c r="H2713" s="38" t="n">
        <f aca="false">YEAR(Tabela1[[#This Row],[FECHA]])</f>
        <v>1900</v>
      </c>
      <c r="I27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14" customFormat="false" ht="15" hidden="false" customHeight="false" outlineLevel="0" collapsed="false">
      <c r="A2714" s="41"/>
      <c r="G2714" s="38" t="n">
        <f aca="false">MONTH(A2714)</f>
        <v>12</v>
      </c>
      <c r="H2714" s="38" t="n">
        <f aca="false">YEAR(Tabela1[[#This Row],[FECHA]])</f>
        <v>1900</v>
      </c>
      <c r="I27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15" customFormat="false" ht="15" hidden="false" customHeight="false" outlineLevel="0" collapsed="false">
      <c r="A2715" s="41"/>
      <c r="G2715" s="38" t="n">
        <f aca="false">MONTH(A2715)</f>
        <v>12</v>
      </c>
      <c r="H2715" s="38" t="n">
        <f aca="false">YEAR(Tabela1[[#This Row],[FECHA]])</f>
        <v>1900</v>
      </c>
      <c r="I27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16" customFormat="false" ht="15" hidden="false" customHeight="false" outlineLevel="0" collapsed="false">
      <c r="A2716" s="41"/>
      <c r="G2716" s="38" t="n">
        <f aca="false">MONTH(A2716)</f>
        <v>12</v>
      </c>
      <c r="H2716" s="38" t="n">
        <f aca="false">YEAR(Tabela1[[#This Row],[FECHA]])</f>
        <v>1900</v>
      </c>
      <c r="I27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17" customFormat="false" ht="15" hidden="false" customHeight="false" outlineLevel="0" collapsed="false">
      <c r="A2717" s="41"/>
      <c r="G2717" s="38" t="n">
        <f aca="false">MONTH(A2717)</f>
        <v>12</v>
      </c>
      <c r="H2717" s="38" t="n">
        <f aca="false">YEAR(Tabela1[[#This Row],[FECHA]])</f>
        <v>1900</v>
      </c>
      <c r="I27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18" customFormat="false" ht="15" hidden="false" customHeight="false" outlineLevel="0" collapsed="false">
      <c r="A2718" s="41"/>
      <c r="G2718" s="38" t="n">
        <f aca="false">MONTH(A2718)</f>
        <v>12</v>
      </c>
      <c r="H2718" s="38" t="n">
        <f aca="false">YEAR(Tabela1[[#This Row],[FECHA]])</f>
        <v>1900</v>
      </c>
      <c r="I27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19" customFormat="false" ht="15" hidden="false" customHeight="false" outlineLevel="0" collapsed="false">
      <c r="A2719" s="41"/>
      <c r="G2719" s="38" t="n">
        <f aca="false">MONTH(A2719)</f>
        <v>12</v>
      </c>
      <c r="H2719" s="38" t="n">
        <f aca="false">YEAR(Tabela1[[#This Row],[FECHA]])</f>
        <v>1900</v>
      </c>
      <c r="I27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20" customFormat="false" ht="15" hidden="false" customHeight="false" outlineLevel="0" collapsed="false">
      <c r="A2720" s="41"/>
      <c r="G2720" s="38" t="n">
        <f aca="false">MONTH(A2720)</f>
        <v>12</v>
      </c>
      <c r="H2720" s="38" t="n">
        <f aca="false">YEAR(Tabela1[[#This Row],[FECHA]])</f>
        <v>1900</v>
      </c>
      <c r="I27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21" customFormat="false" ht="15" hidden="false" customHeight="false" outlineLevel="0" collapsed="false">
      <c r="A2721" s="41"/>
      <c r="G2721" s="38" t="n">
        <f aca="false">MONTH(A2721)</f>
        <v>12</v>
      </c>
      <c r="H2721" s="38" t="n">
        <f aca="false">YEAR(Tabela1[[#This Row],[FECHA]])</f>
        <v>1900</v>
      </c>
      <c r="I27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22" customFormat="false" ht="15" hidden="false" customHeight="false" outlineLevel="0" collapsed="false">
      <c r="A2722" s="41"/>
      <c r="G2722" s="38" t="n">
        <f aca="false">MONTH(A2722)</f>
        <v>12</v>
      </c>
      <c r="H2722" s="38" t="n">
        <f aca="false">YEAR(Tabela1[[#This Row],[FECHA]])</f>
        <v>1900</v>
      </c>
      <c r="I27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23" customFormat="false" ht="15" hidden="false" customHeight="false" outlineLevel="0" collapsed="false">
      <c r="A2723" s="41"/>
      <c r="G2723" s="38" t="n">
        <f aca="false">MONTH(A2723)</f>
        <v>12</v>
      </c>
      <c r="H2723" s="38" t="n">
        <f aca="false">YEAR(Tabela1[[#This Row],[FECHA]])</f>
        <v>1900</v>
      </c>
      <c r="I27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24" customFormat="false" ht="15" hidden="false" customHeight="false" outlineLevel="0" collapsed="false">
      <c r="A2724" s="41"/>
      <c r="G2724" s="38" t="n">
        <f aca="false">MONTH(A2724)</f>
        <v>12</v>
      </c>
      <c r="H2724" s="38" t="n">
        <f aca="false">YEAR(Tabela1[[#This Row],[FECHA]])</f>
        <v>1900</v>
      </c>
      <c r="I27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25" customFormat="false" ht="15" hidden="false" customHeight="false" outlineLevel="0" collapsed="false">
      <c r="A2725" s="41"/>
      <c r="G2725" s="38" t="n">
        <f aca="false">MONTH(A2725)</f>
        <v>12</v>
      </c>
      <c r="H2725" s="38" t="n">
        <f aca="false">YEAR(Tabela1[[#This Row],[FECHA]])</f>
        <v>1900</v>
      </c>
      <c r="I27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26" customFormat="false" ht="15" hidden="false" customHeight="false" outlineLevel="0" collapsed="false">
      <c r="A2726" s="41"/>
      <c r="G2726" s="38" t="n">
        <f aca="false">MONTH(A2726)</f>
        <v>12</v>
      </c>
      <c r="H2726" s="38" t="n">
        <f aca="false">YEAR(Tabela1[[#This Row],[FECHA]])</f>
        <v>1900</v>
      </c>
      <c r="I27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27" customFormat="false" ht="15" hidden="false" customHeight="false" outlineLevel="0" collapsed="false">
      <c r="A2727" s="41"/>
      <c r="G2727" s="38" t="n">
        <f aca="false">MONTH(A2727)</f>
        <v>12</v>
      </c>
      <c r="H2727" s="38" t="n">
        <f aca="false">YEAR(Tabela1[[#This Row],[FECHA]])</f>
        <v>1900</v>
      </c>
      <c r="I27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28" customFormat="false" ht="15" hidden="false" customHeight="false" outlineLevel="0" collapsed="false">
      <c r="A2728" s="41"/>
      <c r="G2728" s="38" t="n">
        <f aca="false">MONTH(A2728)</f>
        <v>12</v>
      </c>
      <c r="H2728" s="38" t="n">
        <f aca="false">YEAR(Tabela1[[#This Row],[FECHA]])</f>
        <v>1900</v>
      </c>
      <c r="I27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29" customFormat="false" ht="15" hidden="false" customHeight="false" outlineLevel="0" collapsed="false">
      <c r="A2729" s="41"/>
      <c r="G2729" s="38" t="n">
        <f aca="false">MONTH(A2729)</f>
        <v>12</v>
      </c>
      <c r="H2729" s="38" t="n">
        <f aca="false">YEAR(Tabela1[[#This Row],[FECHA]])</f>
        <v>1900</v>
      </c>
      <c r="I27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30" customFormat="false" ht="15" hidden="false" customHeight="false" outlineLevel="0" collapsed="false">
      <c r="A2730" s="41"/>
      <c r="G2730" s="38" t="n">
        <f aca="false">MONTH(A2730)</f>
        <v>12</v>
      </c>
      <c r="H2730" s="38" t="n">
        <f aca="false">YEAR(Tabela1[[#This Row],[FECHA]])</f>
        <v>1900</v>
      </c>
      <c r="I27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31" customFormat="false" ht="15" hidden="false" customHeight="false" outlineLevel="0" collapsed="false">
      <c r="A2731" s="41"/>
      <c r="G2731" s="38" t="n">
        <f aca="false">MONTH(A2731)</f>
        <v>12</v>
      </c>
      <c r="H2731" s="38" t="n">
        <f aca="false">YEAR(Tabela1[[#This Row],[FECHA]])</f>
        <v>1900</v>
      </c>
      <c r="I27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32" customFormat="false" ht="15" hidden="false" customHeight="false" outlineLevel="0" collapsed="false">
      <c r="A2732" s="41"/>
      <c r="G2732" s="38" t="n">
        <f aca="false">MONTH(A2732)</f>
        <v>12</v>
      </c>
      <c r="H2732" s="38" t="n">
        <f aca="false">YEAR(Tabela1[[#This Row],[FECHA]])</f>
        <v>1900</v>
      </c>
      <c r="I27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33" customFormat="false" ht="15" hidden="false" customHeight="false" outlineLevel="0" collapsed="false">
      <c r="A2733" s="41"/>
      <c r="G2733" s="38" t="n">
        <f aca="false">MONTH(A2733)</f>
        <v>12</v>
      </c>
      <c r="H2733" s="38" t="n">
        <f aca="false">YEAR(Tabela1[[#This Row],[FECHA]])</f>
        <v>1900</v>
      </c>
      <c r="I27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34" customFormat="false" ht="15" hidden="false" customHeight="false" outlineLevel="0" collapsed="false">
      <c r="A2734" s="41"/>
      <c r="G2734" s="38" t="n">
        <f aca="false">MONTH(A2734)</f>
        <v>12</v>
      </c>
      <c r="H2734" s="38" t="n">
        <f aca="false">YEAR(Tabela1[[#This Row],[FECHA]])</f>
        <v>1900</v>
      </c>
      <c r="I27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35" customFormat="false" ht="15" hidden="false" customHeight="false" outlineLevel="0" collapsed="false">
      <c r="A2735" s="41"/>
      <c r="G2735" s="38" t="n">
        <f aca="false">MONTH(A2735)</f>
        <v>12</v>
      </c>
      <c r="H2735" s="38" t="n">
        <f aca="false">YEAR(Tabela1[[#This Row],[FECHA]])</f>
        <v>1900</v>
      </c>
      <c r="I27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36" customFormat="false" ht="15" hidden="false" customHeight="false" outlineLevel="0" collapsed="false">
      <c r="A2736" s="41"/>
      <c r="G2736" s="38" t="n">
        <f aca="false">MONTH(A2736)</f>
        <v>12</v>
      </c>
      <c r="H2736" s="38" t="n">
        <f aca="false">YEAR(Tabela1[[#This Row],[FECHA]])</f>
        <v>1900</v>
      </c>
      <c r="I27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37" customFormat="false" ht="15" hidden="false" customHeight="false" outlineLevel="0" collapsed="false">
      <c r="A2737" s="41"/>
      <c r="G2737" s="38" t="n">
        <f aca="false">MONTH(A2737)</f>
        <v>12</v>
      </c>
      <c r="H2737" s="38" t="n">
        <f aca="false">YEAR(Tabela1[[#This Row],[FECHA]])</f>
        <v>1900</v>
      </c>
      <c r="I27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38" customFormat="false" ht="15" hidden="false" customHeight="false" outlineLevel="0" collapsed="false">
      <c r="A2738" s="41"/>
      <c r="G2738" s="38" t="n">
        <f aca="false">MONTH(A2738)</f>
        <v>12</v>
      </c>
      <c r="H2738" s="38" t="n">
        <f aca="false">YEAR(Tabela1[[#This Row],[FECHA]])</f>
        <v>1900</v>
      </c>
      <c r="I27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39" customFormat="false" ht="15" hidden="false" customHeight="false" outlineLevel="0" collapsed="false">
      <c r="A2739" s="41"/>
      <c r="G2739" s="38" t="n">
        <f aca="false">MONTH(A2739)</f>
        <v>12</v>
      </c>
      <c r="H2739" s="38" t="n">
        <f aca="false">YEAR(Tabela1[[#This Row],[FECHA]])</f>
        <v>1900</v>
      </c>
      <c r="I27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40" customFormat="false" ht="15" hidden="false" customHeight="false" outlineLevel="0" collapsed="false">
      <c r="A2740" s="41"/>
      <c r="G2740" s="38" t="n">
        <f aca="false">MONTH(A2740)</f>
        <v>12</v>
      </c>
      <c r="H2740" s="38" t="n">
        <f aca="false">YEAR(Tabela1[[#This Row],[FECHA]])</f>
        <v>1900</v>
      </c>
      <c r="I27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41" customFormat="false" ht="15" hidden="false" customHeight="false" outlineLevel="0" collapsed="false">
      <c r="A2741" s="41"/>
      <c r="G2741" s="38" t="n">
        <f aca="false">MONTH(A2741)</f>
        <v>12</v>
      </c>
      <c r="H2741" s="38" t="n">
        <f aca="false">YEAR(Tabela1[[#This Row],[FECHA]])</f>
        <v>1900</v>
      </c>
      <c r="I27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42" customFormat="false" ht="15" hidden="false" customHeight="false" outlineLevel="0" collapsed="false">
      <c r="A2742" s="41"/>
      <c r="G2742" s="38" t="n">
        <f aca="false">MONTH(A2742)</f>
        <v>12</v>
      </c>
      <c r="H2742" s="38" t="n">
        <f aca="false">YEAR(Tabela1[[#This Row],[FECHA]])</f>
        <v>1900</v>
      </c>
      <c r="I27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43" customFormat="false" ht="15" hidden="false" customHeight="false" outlineLevel="0" collapsed="false">
      <c r="A2743" s="41"/>
      <c r="G2743" s="38" t="n">
        <f aca="false">MONTH(A2743)</f>
        <v>12</v>
      </c>
      <c r="H2743" s="38" t="n">
        <f aca="false">YEAR(Tabela1[[#This Row],[FECHA]])</f>
        <v>1900</v>
      </c>
      <c r="I27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44" customFormat="false" ht="15" hidden="false" customHeight="false" outlineLevel="0" collapsed="false">
      <c r="A2744" s="41"/>
      <c r="G2744" s="38" t="n">
        <f aca="false">MONTH(A2744)</f>
        <v>12</v>
      </c>
      <c r="H2744" s="38" t="n">
        <f aca="false">YEAR(Tabela1[[#This Row],[FECHA]])</f>
        <v>1900</v>
      </c>
      <c r="I27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45" customFormat="false" ht="15" hidden="false" customHeight="false" outlineLevel="0" collapsed="false">
      <c r="A2745" s="41"/>
      <c r="G2745" s="38" t="n">
        <f aca="false">MONTH(A2745)</f>
        <v>12</v>
      </c>
      <c r="H2745" s="38" t="n">
        <f aca="false">YEAR(Tabela1[[#This Row],[FECHA]])</f>
        <v>1900</v>
      </c>
      <c r="I27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46" customFormat="false" ht="15" hidden="false" customHeight="false" outlineLevel="0" collapsed="false">
      <c r="A2746" s="41"/>
      <c r="G2746" s="38" t="n">
        <f aca="false">MONTH(A2746)</f>
        <v>12</v>
      </c>
      <c r="H2746" s="38" t="n">
        <f aca="false">YEAR(Tabela1[[#This Row],[FECHA]])</f>
        <v>1900</v>
      </c>
      <c r="I27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47" customFormat="false" ht="15" hidden="false" customHeight="false" outlineLevel="0" collapsed="false">
      <c r="A2747" s="41"/>
      <c r="G2747" s="38" t="n">
        <f aca="false">MONTH(A2747)</f>
        <v>12</v>
      </c>
      <c r="H2747" s="38" t="n">
        <f aca="false">YEAR(Tabela1[[#This Row],[FECHA]])</f>
        <v>1900</v>
      </c>
      <c r="I27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48" customFormat="false" ht="15" hidden="false" customHeight="false" outlineLevel="0" collapsed="false">
      <c r="A2748" s="41"/>
      <c r="G2748" s="38" t="n">
        <f aca="false">MONTH(A2748)</f>
        <v>12</v>
      </c>
      <c r="H2748" s="38" t="n">
        <f aca="false">YEAR(Tabela1[[#This Row],[FECHA]])</f>
        <v>1900</v>
      </c>
      <c r="I27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49" customFormat="false" ht="15" hidden="false" customHeight="false" outlineLevel="0" collapsed="false">
      <c r="A2749" s="41"/>
      <c r="G2749" s="38" t="n">
        <f aca="false">MONTH(A2749)</f>
        <v>12</v>
      </c>
      <c r="H2749" s="38" t="n">
        <f aca="false">YEAR(Tabela1[[#This Row],[FECHA]])</f>
        <v>1900</v>
      </c>
      <c r="I27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50" customFormat="false" ht="15" hidden="false" customHeight="false" outlineLevel="0" collapsed="false">
      <c r="A2750" s="41"/>
      <c r="G2750" s="38" t="n">
        <f aca="false">MONTH(A2750)</f>
        <v>12</v>
      </c>
      <c r="H2750" s="38" t="n">
        <f aca="false">YEAR(Tabela1[[#This Row],[FECHA]])</f>
        <v>1900</v>
      </c>
      <c r="I27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51" customFormat="false" ht="15" hidden="false" customHeight="false" outlineLevel="0" collapsed="false">
      <c r="A2751" s="41"/>
      <c r="G2751" s="38" t="n">
        <f aca="false">MONTH(A2751)</f>
        <v>12</v>
      </c>
      <c r="H2751" s="38" t="n">
        <f aca="false">YEAR(Tabela1[[#This Row],[FECHA]])</f>
        <v>1900</v>
      </c>
      <c r="I27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52" customFormat="false" ht="15" hidden="false" customHeight="false" outlineLevel="0" collapsed="false">
      <c r="A2752" s="41"/>
      <c r="G2752" s="38" t="n">
        <f aca="false">MONTH(A2752)</f>
        <v>12</v>
      </c>
      <c r="H2752" s="38" t="n">
        <f aca="false">YEAR(Tabela1[[#This Row],[FECHA]])</f>
        <v>1900</v>
      </c>
      <c r="I27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53" customFormat="false" ht="15" hidden="false" customHeight="false" outlineLevel="0" collapsed="false">
      <c r="A2753" s="41"/>
      <c r="G2753" s="38" t="n">
        <f aca="false">MONTH(A2753)</f>
        <v>12</v>
      </c>
      <c r="H2753" s="38" t="n">
        <f aca="false">YEAR(Tabela1[[#This Row],[FECHA]])</f>
        <v>1900</v>
      </c>
      <c r="I27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54" customFormat="false" ht="15" hidden="false" customHeight="false" outlineLevel="0" collapsed="false">
      <c r="A2754" s="41"/>
      <c r="G2754" s="38" t="n">
        <f aca="false">MONTH(A2754)</f>
        <v>12</v>
      </c>
      <c r="H2754" s="38" t="n">
        <f aca="false">YEAR(Tabela1[[#This Row],[FECHA]])</f>
        <v>1900</v>
      </c>
      <c r="I27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55" customFormat="false" ht="15" hidden="false" customHeight="false" outlineLevel="0" collapsed="false">
      <c r="A2755" s="41"/>
      <c r="G2755" s="38" t="n">
        <f aca="false">MONTH(A2755)</f>
        <v>12</v>
      </c>
      <c r="H2755" s="38" t="n">
        <f aca="false">YEAR(Tabela1[[#This Row],[FECHA]])</f>
        <v>1900</v>
      </c>
      <c r="I27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56" customFormat="false" ht="15" hidden="false" customHeight="false" outlineLevel="0" collapsed="false">
      <c r="A2756" s="41"/>
      <c r="G2756" s="38" t="n">
        <f aca="false">MONTH(A2756)</f>
        <v>12</v>
      </c>
      <c r="H2756" s="38" t="n">
        <f aca="false">YEAR(Tabela1[[#This Row],[FECHA]])</f>
        <v>1900</v>
      </c>
      <c r="I27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57" customFormat="false" ht="15" hidden="false" customHeight="false" outlineLevel="0" collapsed="false">
      <c r="A2757" s="41"/>
      <c r="G2757" s="38" t="n">
        <f aca="false">MONTH(A2757)</f>
        <v>12</v>
      </c>
      <c r="H2757" s="38" t="n">
        <f aca="false">YEAR(Tabela1[[#This Row],[FECHA]])</f>
        <v>1900</v>
      </c>
      <c r="I27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58" customFormat="false" ht="15" hidden="false" customHeight="false" outlineLevel="0" collapsed="false">
      <c r="A2758" s="41"/>
      <c r="G2758" s="38" t="n">
        <f aca="false">MONTH(A2758)</f>
        <v>12</v>
      </c>
      <c r="H2758" s="38" t="n">
        <f aca="false">YEAR(Tabela1[[#This Row],[FECHA]])</f>
        <v>1900</v>
      </c>
      <c r="I27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59" customFormat="false" ht="15" hidden="false" customHeight="false" outlineLevel="0" collapsed="false">
      <c r="A2759" s="41"/>
      <c r="G2759" s="38" t="n">
        <f aca="false">MONTH(A2759)</f>
        <v>12</v>
      </c>
      <c r="H2759" s="38" t="n">
        <f aca="false">YEAR(Tabela1[[#This Row],[FECHA]])</f>
        <v>1900</v>
      </c>
      <c r="I27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60" customFormat="false" ht="15" hidden="false" customHeight="false" outlineLevel="0" collapsed="false">
      <c r="A2760" s="41"/>
      <c r="G2760" s="38" t="n">
        <f aca="false">MONTH(A2760)</f>
        <v>12</v>
      </c>
      <c r="H2760" s="38" t="n">
        <f aca="false">YEAR(Tabela1[[#This Row],[FECHA]])</f>
        <v>1900</v>
      </c>
      <c r="I27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61" customFormat="false" ht="15" hidden="false" customHeight="false" outlineLevel="0" collapsed="false">
      <c r="A2761" s="41"/>
      <c r="G2761" s="38" t="n">
        <f aca="false">MONTH(A2761)</f>
        <v>12</v>
      </c>
      <c r="H2761" s="38" t="n">
        <f aca="false">YEAR(Tabela1[[#This Row],[FECHA]])</f>
        <v>1900</v>
      </c>
      <c r="I27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62" customFormat="false" ht="15" hidden="false" customHeight="false" outlineLevel="0" collapsed="false">
      <c r="A2762" s="41"/>
      <c r="G2762" s="38" t="n">
        <f aca="false">MONTH(A2762)</f>
        <v>12</v>
      </c>
      <c r="H2762" s="38" t="n">
        <f aca="false">YEAR(Tabela1[[#This Row],[FECHA]])</f>
        <v>1900</v>
      </c>
      <c r="I27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63" customFormat="false" ht="15" hidden="false" customHeight="false" outlineLevel="0" collapsed="false">
      <c r="A2763" s="41"/>
      <c r="G2763" s="38" t="n">
        <f aca="false">MONTH(A2763)</f>
        <v>12</v>
      </c>
      <c r="H2763" s="38" t="n">
        <f aca="false">YEAR(Tabela1[[#This Row],[FECHA]])</f>
        <v>1900</v>
      </c>
      <c r="I27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64" customFormat="false" ht="15" hidden="false" customHeight="false" outlineLevel="0" collapsed="false">
      <c r="A2764" s="41"/>
      <c r="G2764" s="38" t="n">
        <f aca="false">MONTH(A2764)</f>
        <v>12</v>
      </c>
      <c r="H2764" s="38" t="n">
        <f aca="false">YEAR(Tabela1[[#This Row],[FECHA]])</f>
        <v>1900</v>
      </c>
      <c r="I27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65" customFormat="false" ht="15" hidden="false" customHeight="false" outlineLevel="0" collapsed="false">
      <c r="A2765" s="41"/>
      <c r="G2765" s="38" t="n">
        <f aca="false">MONTH(A2765)</f>
        <v>12</v>
      </c>
      <c r="H2765" s="38" t="n">
        <f aca="false">YEAR(Tabela1[[#This Row],[FECHA]])</f>
        <v>1900</v>
      </c>
      <c r="I27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66" customFormat="false" ht="15" hidden="false" customHeight="false" outlineLevel="0" collapsed="false">
      <c r="A2766" s="41"/>
      <c r="G2766" s="38" t="n">
        <f aca="false">MONTH(A2766)</f>
        <v>12</v>
      </c>
      <c r="H2766" s="38" t="n">
        <f aca="false">YEAR(Tabela1[[#This Row],[FECHA]])</f>
        <v>1900</v>
      </c>
      <c r="I27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67" customFormat="false" ht="15" hidden="false" customHeight="false" outlineLevel="0" collapsed="false">
      <c r="A2767" s="41"/>
      <c r="G2767" s="38" t="n">
        <f aca="false">MONTH(A2767)</f>
        <v>12</v>
      </c>
      <c r="H2767" s="38" t="n">
        <f aca="false">YEAR(Tabela1[[#This Row],[FECHA]])</f>
        <v>1900</v>
      </c>
      <c r="I27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68" customFormat="false" ht="15" hidden="false" customHeight="false" outlineLevel="0" collapsed="false">
      <c r="A2768" s="41"/>
      <c r="G2768" s="38" t="n">
        <f aca="false">MONTH(A2768)</f>
        <v>12</v>
      </c>
      <c r="H2768" s="38" t="n">
        <f aca="false">YEAR(Tabela1[[#This Row],[FECHA]])</f>
        <v>1900</v>
      </c>
      <c r="I27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69" customFormat="false" ht="15" hidden="false" customHeight="false" outlineLevel="0" collapsed="false">
      <c r="A2769" s="41"/>
      <c r="G2769" s="38" t="n">
        <f aca="false">MONTH(A2769)</f>
        <v>12</v>
      </c>
      <c r="H2769" s="38" t="n">
        <f aca="false">YEAR(Tabela1[[#This Row],[FECHA]])</f>
        <v>1900</v>
      </c>
      <c r="I27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70" customFormat="false" ht="15" hidden="false" customHeight="false" outlineLevel="0" collapsed="false">
      <c r="A2770" s="41"/>
      <c r="G2770" s="38" t="n">
        <f aca="false">MONTH(A2770)</f>
        <v>12</v>
      </c>
      <c r="H2770" s="38" t="n">
        <f aca="false">YEAR(Tabela1[[#This Row],[FECHA]])</f>
        <v>1900</v>
      </c>
      <c r="I27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71" customFormat="false" ht="15" hidden="false" customHeight="false" outlineLevel="0" collapsed="false">
      <c r="A2771" s="41"/>
      <c r="G2771" s="38" t="n">
        <f aca="false">MONTH(A2771)</f>
        <v>12</v>
      </c>
      <c r="H2771" s="38" t="n">
        <f aca="false">YEAR(Tabela1[[#This Row],[FECHA]])</f>
        <v>1900</v>
      </c>
      <c r="I27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72" customFormat="false" ht="15" hidden="false" customHeight="false" outlineLevel="0" collapsed="false">
      <c r="A2772" s="41"/>
      <c r="G2772" s="38" t="n">
        <f aca="false">MONTH(A2772)</f>
        <v>12</v>
      </c>
      <c r="H2772" s="38" t="n">
        <f aca="false">YEAR(Tabela1[[#This Row],[FECHA]])</f>
        <v>1900</v>
      </c>
      <c r="I27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73" customFormat="false" ht="15" hidden="false" customHeight="false" outlineLevel="0" collapsed="false">
      <c r="A2773" s="41"/>
      <c r="G2773" s="38" t="n">
        <f aca="false">MONTH(A2773)</f>
        <v>12</v>
      </c>
      <c r="H2773" s="38" t="n">
        <f aca="false">YEAR(Tabela1[[#This Row],[FECHA]])</f>
        <v>1900</v>
      </c>
      <c r="I27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74" customFormat="false" ht="15" hidden="false" customHeight="false" outlineLevel="0" collapsed="false">
      <c r="A2774" s="41"/>
      <c r="G2774" s="38" t="n">
        <f aca="false">MONTH(A2774)</f>
        <v>12</v>
      </c>
      <c r="H2774" s="38" t="n">
        <f aca="false">YEAR(Tabela1[[#This Row],[FECHA]])</f>
        <v>1900</v>
      </c>
      <c r="I27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75" customFormat="false" ht="15" hidden="false" customHeight="false" outlineLevel="0" collapsed="false">
      <c r="A2775" s="41"/>
      <c r="G2775" s="38" t="n">
        <f aca="false">MONTH(A2775)</f>
        <v>12</v>
      </c>
      <c r="H2775" s="38" t="n">
        <f aca="false">YEAR(Tabela1[[#This Row],[FECHA]])</f>
        <v>1900</v>
      </c>
      <c r="I27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76" customFormat="false" ht="15" hidden="false" customHeight="false" outlineLevel="0" collapsed="false">
      <c r="A2776" s="41"/>
      <c r="G2776" s="38" t="n">
        <f aca="false">MONTH(A2776)</f>
        <v>12</v>
      </c>
      <c r="H2776" s="38" t="n">
        <f aca="false">YEAR(Tabela1[[#This Row],[FECHA]])</f>
        <v>1900</v>
      </c>
      <c r="I27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77" customFormat="false" ht="15" hidden="false" customHeight="false" outlineLevel="0" collapsed="false">
      <c r="A2777" s="41"/>
      <c r="G2777" s="38" t="n">
        <f aca="false">MONTH(A2777)</f>
        <v>12</v>
      </c>
      <c r="H2777" s="38" t="n">
        <f aca="false">YEAR(Tabela1[[#This Row],[FECHA]])</f>
        <v>1900</v>
      </c>
      <c r="I27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78" customFormat="false" ht="15" hidden="false" customHeight="false" outlineLevel="0" collapsed="false">
      <c r="A2778" s="41"/>
      <c r="G2778" s="38" t="n">
        <f aca="false">MONTH(A2778)</f>
        <v>12</v>
      </c>
      <c r="H2778" s="38" t="n">
        <f aca="false">YEAR(Tabela1[[#This Row],[FECHA]])</f>
        <v>1900</v>
      </c>
      <c r="I27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79" customFormat="false" ht="15" hidden="false" customHeight="false" outlineLevel="0" collapsed="false">
      <c r="A2779" s="41"/>
      <c r="G2779" s="38" t="n">
        <f aca="false">MONTH(A2779)</f>
        <v>12</v>
      </c>
      <c r="H2779" s="38" t="n">
        <f aca="false">YEAR(Tabela1[[#This Row],[FECHA]])</f>
        <v>1900</v>
      </c>
      <c r="I27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80" customFormat="false" ht="15" hidden="false" customHeight="false" outlineLevel="0" collapsed="false">
      <c r="A2780" s="41"/>
      <c r="G2780" s="38" t="n">
        <f aca="false">MONTH(A2780)</f>
        <v>12</v>
      </c>
      <c r="H2780" s="38" t="n">
        <f aca="false">YEAR(Tabela1[[#This Row],[FECHA]])</f>
        <v>1900</v>
      </c>
      <c r="I27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81" customFormat="false" ht="15" hidden="false" customHeight="false" outlineLevel="0" collapsed="false">
      <c r="A2781" s="41"/>
      <c r="G2781" s="38" t="n">
        <f aca="false">MONTH(A2781)</f>
        <v>12</v>
      </c>
      <c r="H2781" s="38" t="n">
        <f aca="false">YEAR(Tabela1[[#This Row],[FECHA]])</f>
        <v>1900</v>
      </c>
      <c r="I27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82" customFormat="false" ht="15" hidden="false" customHeight="false" outlineLevel="0" collapsed="false">
      <c r="A2782" s="41"/>
      <c r="G2782" s="38" t="n">
        <f aca="false">MONTH(A2782)</f>
        <v>12</v>
      </c>
      <c r="H2782" s="38" t="n">
        <f aca="false">YEAR(Tabela1[[#This Row],[FECHA]])</f>
        <v>1900</v>
      </c>
      <c r="I27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83" customFormat="false" ht="15" hidden="false" customHeight="false" outlineLevel="0" collapsed="false">
      <c r="A2783" s="41"/>
      <c r="G2783" s="38" t="n">
        <f aca="false">MONTH(A2783)</f>
        <v>12</v>
      </c>
      <c r="H2783" s="38" t="n">
        <f aca="false">YEAR(Tabela1[[#This Row],[FECHA]])</f>
        <v>1900</v>
      </c>
      <c r="I27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84" customFormat="false" ht="15" hidden="false" customHeight="false" outlineLevel="0" collapsed="false">
      <c r="A2784" s="41"/>
      <c r="G2784" s="38" t="n">
        <f aca="false">MONTH(A2784)</f>
        <v>12</v>
      </c>
      <c r="H2784" s="38" t="n">
        <f aca="false">YEAR(Tabela1[[#This Row],[FECHA]])</f>
        <v>1900</v>
      </c>
      <c r="I27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85" customFormat="false" ht="15" hidden="false" customHeight="false" outlineLevel="0" collapsed="false">
      <c r="A2785" s="41"/>
      <c r="G2785" s="38" t="n">
        <f aca="false">MONTH(A2785)</f>
        <v>12</v>
      </c>
      <c r="H2785" s="38" t="n">
        <f aca="false">YEAR(Tabela1[[#This Row],[FECHA]])</f>
        <v>1900</v>
      </c>
      <c r="I27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86" customFormat="false" ht="15" hidden="false" customHeight="false" outlineLevel="0" collapsed="false">
      <c r="A2786" s="41"/>
      <c r="G2786" s="38" t="n">
        <f aca="false">MONTH(A2786)</f>
        <v>12</v>
      </c>
      <c r="H2786" s="38" t="n">
        <f aca="false">YEAR(Tabela1[[#This Row],[FECHA]])</f>
        <v>1900</v>
      </c>
      <c r="I27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87" customFormat="false" ht="15" hidden="false" customHeight="false" outlineLevel="0" collapsed="false">
      <c r="A2787" s="41"/>
      <c r="G2787" s="38" t="n">
        <f aca="false">MONTH(A2787)</f>
        <v>12</v>
      </c>
      <c r="H2787" s="38" t="n">
        <f aca="false">YEAR(Tabela1[[#This Row],[FECHA]])</f>
        <v>1900</v>
      </c>
      <c r="I27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88" customFormat="false" ht="15" hidden="false" customHeight="false" outlineLevel="0" collapsed="false">
      <c r="A2788" s="41"/>
      <c r="G2788" s="38" t="n">
        <f aca="false">MONTH(A2788)</f>
        <v>12</v>
      </c>
      <c r="H2788" s="38" t="n">
        <f aca="false">YEAR(Tabela1[[#This Row],[FECHA]])</f>
        <v>1900</v>
      </c>
      <c r="I27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89" customFormat="false" ht="15" hidden="false" customHeight="false" outlineLevel="0" collapsed="false">
      <c r="A2789" s="41"/>
      <c r="G2789" s="38" t="n">
        <f aca="false">MONTH(A2789)</f>
        <v>12</v>
      </c>
      <c r="H2789" s="38" t="n">
        <f aca="false">YEAR(Tabela1[[#This Row],[FECHA]])</f>
        <v>1900</v>
      </c>
      <c r="I27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90" customFormat="false" ht="15" hidden="false" customHeight="false" outlineLevel="0" collapsed="false">
      <c r="A2790" s="41"/>
      <c r="G2790" s="38" t="n">
        <f aca="false">MONTH(A2790)</f>
        <v>12</v>
      </c>
      <c r="H2790" s="38" t="n">
        <f aca="false">YEAR(Tabela1[[#This Row],[FECHA]])</f>
        <v>1900</v>
      </c>
      <c r="I27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91" customFormat="false" ht="15" hidden="false" customHeight="false" outlineLevel="0" collapsed="false">
      <c r="A2791" s="41"/>
      <c r="G2791" s="38" t="n">
        <f aca="false">MONTH(A2791)</f>
        <v>12</v>
      </c>
      <c r="H2791" s="38" t="n">
        <f aca="false">YEAR(Tabela1[[#This Row],[FECHA]])</f>
        <v>1900</v>
      </c>
      <c r="I27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92" customFormat="false" ht="15" hidden="false" customHeight="false" outlineLevel="0" collapsed="false">
      <c r="A2792" s="41"/>
      <c r="G2792" s="38" t="n">
        <f aca="false">MONTH(A2792)</f>
        <v>12</v>
      </c>
      <c r="H2792" s="38" t="n">
        <f aca="false">YEAR(Tabela1[[#This Row],[FECHA]])</f>
        <v>1900</v>
      </c>
      <c r="I27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93" customFormat="false" ht="15" hidden="false" customHeight="false" outlineLevel="0" collapsed="false">
      <c r="A2793" s="41"/>
      <c r="G2793" s="38" t="n">
        <f aca="false">MONTH(A2793)</f>
        <v>12</v>
      </c>
      <c r="H2793" s="38" t="n">
        <f aca="false">YEAR(Tabela1[[#This Row],[FECHA]])</f>
        <v>1900</v>
      </c>
      <c r="I27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94" customFormat="false" ht="15" hidden="false" customHeight="false" outlineLevel="0" collapsed="false">
      <c r="A2794" s="41"/>
      <c r="G2794" s="38" t="n">
        <f aca="false">MONTH(A2794)</f>
        <v>12</v>
      </c>
      <c r="H2794" s="38" t="n">
        <f aca="false">YEAR(Tabela1[[#This Row],[FECHA]])</f>
        <v>1900</v>
      </c>
      <c r="I27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95" customFormat="false" ht="15" hidden="false" customHeight="false" outlineLevel="0" collapsed="false">
      <c r="A2795" s="41"/>
      <c r="G2795" s="38" t="n">
        <f aca="false">MONTH(A2795)</f>
        <v>12</v>
      </c>
      <c r="H2795" s="38" t="n">
        <f aca="false">YEAR(Tabela1[[#This Row],[FECHA]])</f>
        <v>1900</v>
      </c>
      <c r="I27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96" customFormat="false" ht="15" hidden="false" customHeight="false" outlineLevel="0" collapsed="false">
      <c r="A2796" s="41"/>
      <c r="G2796" s="38" t="n">
        <f aca="false">MONTH(A2796)</f>
        <v>12</v>
      </c>
      <c r="H2796" s="38" t="n">
        <f aca="false">YEAR(Tabela1[[#This Row],[FECHA]])</f>
        <v>1900</v>
      </c>
      <c r="I27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97" customFormat="false" ht="15" hidden="false" customHeight="false" outlineLevel="0" collapsed="false">
      <c r="A2797" s="41"/>
      <c r="G2797" s="38" t="n">
        <f aca="false">MONTH(A2797)</f>
        <v>12</v>
      </c>
      <c r="H2797" s="38" t="n">
        <f aca="false">YEAR(Tabela1[[#This Row],[FECHA]])</f>
        <v>1900</v>
      </c>
      <c r="I27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98" customFormat="false" ht="15" hidden="false" customHeight="false" outlineLevel="0" collapsed="false">
      <c r="A2798" s="41"/>
      <c r="G2798" s="38" t="n">
        <f aca="false">MONTH(A2798)</f>
        <v>12</v>
      </c>
      <c r="H2798" s="38" t="n">
        <f aca="false">YEAR(Tabela1[[#This Row],[FECHA]])</f>
        <v>1900</v>
      </c>
      <c r="I27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799" customFormat="false" ht="15" hidden="false" customHeight="false" outlineLevel="0" collapsed="false">
      <c r="A2799" s="41"/>
      <c r="G2799" s="38" t="n">
        <f aca="false">MONTH(A2799)</f>
        <v>12</v>
      </c>
      <c r="H2799" s="38" t="n">
        <f aca="false">YEAR(Tabela1[[#This Row],[FECHA]])</f>
        <v>1900</v>
      </c>
      <c r="I27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00" customFormat="false" ht="15" hidden="false" customHeight="false" outlineLevel="0" collapsed="false">
      <c r="A2800" s="41"/>
      <c r="G2800" s="38" t="n">
        <f aca="false">MONTH(A2800)</f>
        <v>12</v>
      </c>
      <c r="H2800" s="38" t="n">
        <f aca="false">YEAR(Tabela1[[#This Row],[FECHA]])</f>
        <v>1900</v>
      </c>
      <c r="I28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01" customFormat="false" ht="15" hidden="false" customHeight="false" outlineLevel="0" collapsed="false">
      <c r="A2801" s="41"/>
      <c r="G2801" s="38" t="n">
        <f aca="false">MONTH(A2801)</f>
        <v>12</v>
      </c>
      <c r="H2801" s="38" t="n">
        <f aca="false">YEAR(Tabela1[[#This Row],[FECHA]])</f>
        <v>1900</v>
      </c>
      <c r="I28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02" customFormat="false" ht="15" hidden="false" customHeight="false" outlineLevel="0" collapsed="false">
      <c r="A2802" s="41"/>
      <c r="G2802" s="38" t="n">
        <f aca="false">MONTH(A2802)</f>
        <v>12</v>
      </c>
      <c r="H2802" s="38" t="n">
        <f aca="false">YEAR(Tabela1[[#This Row],[FECHA]])</f>
        <v>1900</v>
      </c>
      <c r="I28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03" customFormat="false" ht="15" hidden="false" customHeight="false" outlineLevel="0" collapsed="false">
      <c r="A2803" s="41"/>
      <c r="G2803" s="38" t="n">
        <f aca="false">MONTH(A2803)</f>
        <v>12</v>
      </c>
      <c r="H2803" s="38" t="n">
        <f aca="false">YEAR(Tabela1[[#This Row],[FECHA]])</f>
        <v>1900</v>
      </c>
      <c r="I28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04" customFormat="false" ht="15" hidden="false" customHeight="false" outlineLevel="0" collapsed="false">
      <c r="A2804" s="41"/>
      <c r="G2804" s="38" t="n">
        <f aca="false">MONTH(A2804)</f>
        <v>12</v>
      </c>
      <c r="H2804" s="38" t="n">
        <f aca="false">YEAR(Tabela1[[#This Row],[FECHA]])</f>
        <v>1900</v>
      </c>
      <c r="I28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05" customFormat="false" ht="15" hidden="false" customHeight="false" outlineLevel="0" collapsed="false">
      <c r="A2805" s="41"/>
      <c r="G2805" s="38" t="n">
        <f aca="false">MONTH(A2805)</f>
        <v>12</v>
      </c>
      <c r="H2805" s="38" t="n">
        <f aca="false">YEAR(Tabela1[[#This Row],[FECHA]])</f>
        <v>1900</v>
      </c>
      <c r="I28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06" customFormat="false" ht="15" hidden="false" customHeight="false" outlineLevel="0" collapsed="false">
      <c r="A2806" s="41"/>
      <c r="G2806" s="38" t="n">
        <f aca="false">MONTH(A2806)</f>
        <v>12</v>
      </c>
      <c r="H2806" s="38" t="n">
        <f aca="false">YEAR(Tabela1[[#This Row],[FECHA]])</f>
        <v>1900</v>
      </c>
      <c r="I28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07" customFormat="false" ht="15" hidden="false" customHeight="false" outlineLevel="0" collapsed="false">
      <c r="A2807" s="41"/>
      <c r="G2807" s="38" t="n">
        <f aca="false">MONTH(A2807)</f>
        <v>12</v>
      </c>
      <c r="H2807" s="38" t="n">
        <f aca="false">YEAR(Tabela1[[#This Row],[FECHA]])</f>
        <v>1900</v>
      </c>
      <c r="I28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08" customFormat="false" ht="15" hidden="false" customHeight="false" outlineLevel="0" collapsed="false">
      <c r="A2808" s="41"/>
      <c r="G2808" s="38" t="n">
        <f aca="false">MONTH(A2808)</f>
        <v>12</v>
      </c>
      <c r="H2808" s="38" t="n">
        <f aca="false">YEAR(Tabela1[[#This Row],[FECHA]])</f>
        <v>1900</v>
      </c>
      <c r="I28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09" customFormat="false" ht="15" hidden="false" customHeight="false" outlineLevel="0" collapsed="false">
      <c r="A2809" s="41"/>
      <c r="G2809" s="38" t="n">
        <f aca="false">MONTH(A2809)</f>
        <v>12</v>
      </c>
      <c r="H2809" s="38" t="n">
        <f aca="false">YEAR(Tabela1[[#This Row],[FECHA]])</f>
        <v>1900</v>
      </c>
      <c r="I28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10" customFormat="false" ht="15" hidden="false" customHeight="false" outlineLevel="0" collapsed="false">
      <c r="A2810" s="41"/>
      <c r="G2810" s="38" t="n">
        <f aca="false">MONTH(A2810)</f>
        <v>12</v>
      </c>
      <c r="H2810" s="38" t="n">
        <f aca="false">YEAR(Tabela1[[#This Row],[FECHA]])</f>
        <v>1900</v>
      </c>
      <c r="I28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11" customFormat="false" ht="15" hidden="false" customHeight="false" outlineLevel="0" collapsed="false">
      <c r="A2811" s="41"/>
      <c r="G2811" s="38" t="n">
        <f aca="false">MONTH(A2811)</f>
        <v>12</v>
      </c>
      <c r="H2811" s="38" t="n">
        <f aca="false">YEAR(Tabela1[[#This Row],[FECHA]])</f>
        <v>1900</v>
      </c>
      <c r="I28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12" customFormat="false" ht="15" hidden="false" customHeight="false" outlineLevel="0" collapsed="false">
      <c r="A2812" s="41"/>
      <c r="G2812" s="38" t="n">
        <f aca="false">MONTH(A2812)</f>
        <v>12</v>
      </c>
      <c r="H2812" s="38" t="n">
        <f aca="false">YEAR(Tabela1[[#This Row],[FECHA]])</f>
        <v>1900</v>
      </c>
      <c r="I28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13" customFormat="false" ht="15" hidden="false" customHeight="false" outlineLevel="0" collapsed="false">
      <c r="A2813" s="41"/>
      <c r="G2813" s="38" t="n">
        <f aca="false">MONTH(A2813)</f>
        <v>12</v>
      </c>
      <c r="H2813" s="38" t="n">
        <f aca="false">YEAR(Tabela1[[#This Row],[FECHA]])</f>
        <v>1900</v>
      </c>
      <c r="I28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14" customFormat="false" ht="15" hidden="false" customHeight="false" outlineLevel="0" collapsed="false">
      <c r="A2814" s="41"/>
      <c r="G2814" s="38" t="n">
        <f aca="false">MONTH(A2814)</f>
        <v>12</v>
      </c>
      <c r="H2814" s="38" t="n">
        <f aca="false">YEAR(Tabela1[[#This Row],[FECHA]])</f>
        <v>1900</v>
      </c>
      <c r="I28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15" customFormat="false" ht="15" hidden="false" customHeight="false" outlineLevel="0" collapsed="false">
      <c r="A2815" s="41"/>
      <c r="G2815" s="38" t="n">
        <f aca="false">MONTH(A2815)</f>
        <v>12</v>
      </c>
      <c r="H2815" s="38" t="n">
        <f aca="false">YEAR(Tabela1[[#This Row],[FECHA]])</f>
        <v>1900</v>
      </c>
      <c r="I28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16" customFormat="false" ht="15" hidden="false" customHeight="false" outlineLevel="0" collapsed="false">
      <c r="A2816" s="41"/>
      <c r="G2816" s="38" t="n">
        <f aca="false">MONTH(A2816)</f>
        <v>12</v>
      </c>
      <c r="H2816" s="38" t="n">
        <f aca="false">YEAR(Tabela1[[#This Row],[FECHA]])</f>
        <v>1900</v>
      </c>
      <c r="I28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17" customFormat="false" ht="15" hidden="false" customHeight="false" outlineLevel="0" collapsed="false">
      <c r="A2817" s="41"/>
      <c r="G2817" s="38" t="n">
        <f aca="false">MONTH(A2817)</f>
        <v>12</v>
      </c>
      <c r="H2817" s="38" t="n">
        <f aca="false">YEAR(Tabela1[[#This Row],[FECHA]])</f>
        <v>1900</v>
      </c>
      <c r="I28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18" customFormat="false" ht="15" hidden="false" customHeight="false" outlineLevel="0" collapsed="false">
      <c r="A2818" s="41"/>
      <c r="G2818" s="38" t="n">
        <f aca="false">MONTH(A2818)</f>
        <v>12</v>
      </c>
      <c r="H2818" s="38" t="n">
        <f aca="false">YEAR(Tabela1[[#This Row],[FECHA]])</f>
        <v>1900</v>
      </c>
      <c r="I28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19" customFormat="false" ht="15" hidden="false" customHeight="false" outlineLevel="0" collapsed="false">
      <c r="A2819" s="41"/>
      <c r="G2819" s="38" t="n">
        <f aca="false">MONTH(A2819)</f>
        <v>12</v>
      </c>
      <c r="H2819" s="38" t="n">
        <f aca="false">YEAR(Tabela1[[#This Row],[FECHA]])</f>
        <v>1900</v>
      </c>
      <c r="I28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20" customFormat="false" ht="15" hidden="false" customHeight="false" outlineLevel="0" collapsed="false">
      <c r="A2820" s="41"/>
      <c r="G2820" s="38" t="n">
        <f aca="false">MONTH(A2820)</f>
        <v>12</v>
      </c>
      <c r="H2820" s="38" t="n">
        <f aca="false">YEAR(Tabela1[[#This Row],[FECHA]])</f>
        <v>1900</v>
      </c>
      <c r="I28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21" customFormat="false" ht="15" hidden="false" customHeight="false" outlineLevel="0" collapsed="false">
      <c r="A2821" s="41"/>
      <c r="G2821" s="38" t="n">
        <f aca="false">MONTH(A2821)</f>
        <v>12</v>
      </c>
      <c r="H2821" s="38" t="n">
        <f aca="false">YEAR(Tabela1[[#This Row],[FECHA]])</f>
        <v>1900</v>
      </c>
      <c r="I28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22" customFormat="false" ht="15" hidden="false" customHeight="false" outlineLevel="0" collapsed="false">
      <c r="A2822" s="41"/>
      <c r="G2822" s="38" t="n">
        <f aca="false">MONTH(A2822)</f>
        <v>12</v>
      </c>
      <c r="H2822" s="38" t="n">
        <f aca="false">YEAR(Tabela1[[#This Row],[FECHA]])</f>
        <v>1900</v>
      </c>
      <c r="I28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23" customFormat="false" ht="15" hidden="false" customHeight="false" outlineLevel="0" collapsed="false">
      <c r="A2823" s="41"/>
      <c r="G2823" s="38" t="n">
        <f aca="false">MONTH(A2823)</f>
        <v>12</v>
      </c>
      <c r="H2823" s="38" t="n">
        <f aca="false">YEAR(Tabela1[[#This Row],[FECHA]])</f>
        <v>1900</v>
      </c>
      <c r="I28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24" customFormat="false" ht="15" hidden="false" customHeight="false" outlineLevel="0" collapsed="false">
      <c r="A2824" s="41"/>
      <c r="G2824" s="38" t="n">
        <f aca="false">MONTH(A2824)</f>
        <v>12</v>
      </c>
      <c r="H2824" s="38" t="n">
        <f aca="false">YEAR(Tabela1[[#This Row],[FECHA]])</f>
        <v>1900</v>
      </c>
      <c r="I28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25" customFormat="false" ht="15" hidden="false" customHeight="false" outlineLevel="0" collapsed="false">
      <c r="A2825" s="41"/>
      <c r="G2825" s="38" t="n">
        <f aca="false">MONTH(A2825)</f>
        <v>12</v>
      </c>
      <c r="H2825" s="38" t="n">
        <f aca="false">YEAR(Tabela1[[#This Row],[FECHA]])</f>
        <v>1900</v>
      </c>
      <c r="I28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26" customFormat="false" ht="15" hidden="false" customHeight="false" outlineLevel="0" collapsed="false">
      <c r="A2826" s="41"/>
      <c r="G2826" s="38" t="n">
        <f aca="false">MONTH(A2826)</f>
        <v>12</v>
      </c>
      <c r="H2826" s="38" t="n">
        <f aca="false">YEAR(Tabela1[[#This Row],[FECHA]])</f>
        <v>1900</v>
      </c>
      <c r="I28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27" customFormat="false" ht="15" hidden="false" customHeight="false" outlineLevel="0" collapsed="false">
      <c r="A2827" s="41"/>
      <c r="G2827" s="38" t="n">
        <f aca="false">MONTH(A2827)</f>
        <v>12</v>
      </c>
      <c r="H2827" s="38" t="n">
        <f aca="false">YEAR(Tabela1[[#This Row],[FECHA]])</f>
        <v>1900</v>
      </c>
      <c r="I28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28" customFormat="false" ht="15" hidden="false" customHeight="false" outlineLevel="0" collapsed="false">
      <c r="A2828" s="41"/>
      <c r="G2828" s="38" t="n">
        <f aca="false">MONTH(A2828)</f>
        <v>12</v>
      </c>
      <c r="H2828" s="38" t="n">
        <f aca="false">YEAR(Tabela1[[#This Row],[FECHA]])</f>
        <v>1900</v>
      </c>
      <c r="I28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29" customFormat="false" ht="15" hidden="false" customHeight="false" outlineLevel="0" collapsed="false">
      <c r="A2829" s="41"/>
      <c r="G2829" s="38" t="n">
        <f aca="false">MONTH(A2829)</f>
        <v>12</v>
      </c>
      <c r="H2829" s="38" t="n">
        <f aca="false">YEAR(Tabela1[[#This Row],[FECHA]])</f>
        <v>1900</v>
      </c>
      <c r="I28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30" customFormat="false" ht="15" hidden="false" customHeight="false" outlineLevel="0" collapsed="false">
      <c r="A2830" s="41"/>
      <c r="G2830" s="38" t="n">
        <f aca="false">MONTH(A2830)</f>
        <v>12</v>
      </c>
      <c r="H2830" s="38" t="n">
        <f aca="false">YEAR(Tabela1[[#This Row],[FECHA]])</f>
        <v>1900</v>
      </c>
      <c r="I28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31" customFormat="false" ht="15" hidden="false" customHeight="false" outlineLevel="0" collapsed="false">
      <c r="A2831" s="41"/>
      <c r="G2831" s="38" t="n">
        <f aca="false">MONTH(A2831)</f>
        <v>12</v>
      </c>
      <c r="H2831" s="38" t="n">
        <f aca="false">YEAR(Tabela1[[#This Row],[FECHA]])</f>
        <v>1900</v>
      </c>
      <c r="I28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32" customFormat="false" ht="15" hidden="false" customHeight="false" outlineLevel="0" collapsed="false">
      <c r="A2832" s="41"/>
      <c r="G2832" s="38" t="n">
        <f aca="false">MONTH(A2832)</f>
        <v>12</v>
      </c>
      <c r="H2832" s="38" t="n">
        <f aca="false">YEAR(Tabela1[[#This Row],[FECHA]])</f>
        <v>1900</v>
      </c>
      <c r="I28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33" customFormat="false" ht="15" hidden="false" customHeight="false" outlineLevel="0" collapsed="false">
      <c r="A2833" s="41"/>
      <c r="G2833" s="38" t="n">
        <f aca="false">MONTH(A2833)</f>
        <v>12</v>
      </c>
      <c r="H2833" s="38" t="n">
        <f aca="false">YEAR(Tabela1[[#This Row],[FECHA]])</f>
        <v>1900</v>
      </c>
      <c r="I28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34" customFormat="false" ht="15" hidden="false" customHeight="false" outlineLevel="0" collapsed="false">
      <c r="A2834" s="41"/>
      <c r="G2834" s="38" t="n">
        <f aca="false">MONTH(A2834)</f>
        <v>12</v>
      </c>
      <c r="H2834" s="38" t="n">
        <f aca="false">YEAR(Tabela1[[#This Row],[FECHA]])</f>
        <v>1900</v>
      </c>
      <c r="I28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35" customFormat="false" ht="15" hidden="false" customHeight="false" outlineLevel="0" collapsed="false">
      <c r="A2835" s="41"/>
      <c r="G2835" s="38" t="n">
        <f aca="false">MONTH(A2835)</f>
        <v>12</v>
      </c>
      <c r="H2835" s="38" t="n">
        <f aca="false">YEAR(Tabela1[[#This Row],[FECHA]])</f>
        <v>1900</v>
      </c>
      <c r="I28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36" customFormat="false" ht="15" hidden="false" customHeight="false" outlineLevel="0" collapsed="false">
      <c r="A2836" s="41"/>
      <c r="G2836" s="38" t="n">
        <f aca="false">MONTH(A2836)</f>
        <v>12</v>
      </c>
      <c r="H2836" s="38" t="n">
        <f aca="false">YEAR(Tabela1[[#This Row],[FECHA]])</f>
        <v>1900</v>
      </c>
      <c r="I28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37" customFormat="false" ht="15" hidden="false" customHeight="false" outlineLevel="0" collapsed="false">
      <c r="A2837" s="41"/>
      <c r="G2837" s="38" t="n">
        <f aca="false">MONTH(A2837)</f>
        <v>12</v>
      </c>
      <c r="H2837" s="38" t="n">
        <f aca="false">YEAR(Tabela1[[#This Row],[FECHA]])</f>
        <v>1900</v>
      </c>
      <c r="I28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38" customFormat="false" ht="15" hidden="false" customHeight="false" outlineLevel="0" collapsed="false">
      <c r="A2838" s="41"/>
      <c r="G2838" s="38" t="n">
        <f aca="false">MONTH(A2838)</f>
        <v>12</v>
      </c>
      <c r="H2838" s="38" t="n">
        <f aca="false">YEAR(Tabela1[[#This Row],[FECHA]])</f>
        <v>1900</v>
      </c>
      <c r="I28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39" customFormat="false" ht="15" hidden="false" customHeight="false" outlineLevel="0" collapsed="false">
      <c r="A2839" s="41"/>
      <c r="G2839" s="38" t="n">
        <f aca="false">MONTH(A2839)</f>
        <v>12</v>
      </c>
      <c r="H2839" s="38" t="n">
        <f aca="false">YEAR(Tabela1[[#This Row],[FECHA]])</f>
        <v>1900</v>
      </c>
      <c r="I28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40" customFormat="false" ht="15" hidden="false" customHeight="false" outlineLevel="0" collapsed="false">
      <c r="A2840" s="41"/>
      <c r="G2840" s="38" t="n">
        <f aca="false">MONTH(A2840)</f>
        <v>12</v>
      </c>
      <c r="H2840" s="38" t="n">
        <f aca="false">YEAR(Tabela1[[#This Row],[FECHA]])</f>
        <v>1900</v>
      </c>
      <c r="I28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41" customFormat="false" ht="15" hidden="false" customHeight="false" outlineLevel="0" collapsed="false">
      <c r="A2841" s="41"/>
      <c r="G2841" s="38" t="n">
        <f aca="false">MONTH(A2841)</f>
        <v>12</v>
      </c>
      <c r="H2841" s="38" t="n">
        <f aca="false">YEAR(Tabela1[[#This Row],[FECHA]])</f>
        <v>1900</v>
      </c>
      <c r="I28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42" customFormat="false" ht="15" hidden="false" customHeight="false" outlineLevel="0" collapsed="false">
      <c r="A2842" s="41"/>
      <c r="G2842" s="38" t="n">
        <f aca="false">MONTH(A2842)</f>
        <v>12</v>
      </c>
      <c r="H2842" s="38" t="n">
        <f aca="false">YEAR(Tabela1[[#This Row],[FECHA]])</f>
        <v>1900</v>
      </c>
      <c r="I28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43" customFormat="false" ht="15" hidden="false" customHeight="false" outlineLevel="0" collapsed="false">
      <c r="A2843" s="41"/>
      <c r="G2843" s="38" t="n">
        <f aca="false">MONTH(A2843)</f>
        <v>12</v>
      </c>
      <c r="H2843" s="38" t="n">
        <f aca="false">YEAR(Tabela1[[#This Row],[FECHA]])</f>
        <v>1900</v>
      </c>
      <c r="I28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44" customFormat="false" ht="15" hidden="false" customHeight="false" outlineLevel="0" collapsed="false">
      <c r="A2844" s="41"/>
      <c r="G2844" s="38" t="n">
        <f aca="false">MONTH(A2844)</f>
        <v>12</v>
      </c>
      <c r="H2844" s="38" t="n">
        <f aca="false">YEAR(Tabela1[[#This Row],[FECHA]])</f>
        <v>1900</v>
      </c>
      <c r="I28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45" customFormat="false" ht="15" hidden="false" customHeight="false" outlineLevel="0" collapsed="false">
      <c r="A2845" s="41"/>
      <c r="G2845" s="38" t="n">
        <f aca="false">MONTH(A2845)</f>
        <v>12</v>
      </c>
      <c r="H2845" s="38" t="n">
        <f aca="false">YEAR(Tabela1[[#This Row],[FECHA]])</f>
        <v>1900</v>
      </c>
      <c r="I28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46" customFormat="false" ht="15" hidden="false" customHeight="false" outlineLevel="0" collapsed="false">
      <c r="A2846" s="41"/>
      <c r="G2846" s="38" t="n">
        <f aca="false">MONTH(A2846)</f>
        <v>12</v>
      </c>
      <c r="H2846" s="38" t="n">
        <f aca="false">YEAR(Tabela1[[#This Row],[FECHA]])</f>
        <v>1900</v>
      </c>
      <c r="I28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47" customFormat="false" ht="15" hidden="false" customHeight="false" outlineLevel="0" collapsed="false">
      <c r="A2847" s="41"/>
      <c r="G2847" s="38" t="n">
        <f aca="false">MONTH(A2847)</f>
        <v>12</v>
      </c>
      <c r="H2847" s="38" t="n">
        <f aca="false">YEAR(Tabela1[[#This Row],[FECHA]])</f>
        <v>1900</v>
      </c>
      <c r="I28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48" customFormat="false" ht="15" hidden="false" customHeight="false" outlineLevel="0" collapsed="false">
      <c r="A2848" s="41"/>
      <c r="G2848" s="38" t="n">
        <f aca="false">MONTH(A2848)</f>
        <v>12</v>
      </c>
      <c r="H2848" s="38" t="n">
        <f aca="false">YEAR(Tabela1[[#This Row],[FECHA]])</f>
        <v>1900</v>
      </c>
      <c r="I28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49" customFormat="false" ht="15" hidden="false" customHeight="false" outlineLevel="0" collapsed="false">
      <c r="A2849" s="41"/>
      <c r="G2849" s="38" t="n">
        <f aca="false">MONTH(A2849)</f>
        <v>12</v>
      </c>
      <c r="H2849" s="38" t="n">
        <f aca="false">YEAR(Tabela1[[#This Row],[FECHA]])</f>
        <v>1900</v>
      </c>
      <c r="I28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50" customFormat="false" ht="15" hidden="false" customHeight="false" outlineLevel="0" collapsed="false">
      <c r="A2850" s="41"/>
      <c r="G2850" s="38" t="n">
        <f aca="false">MONTH(A2850)</f>
        <v>12</v>
      </c>
      <c r="H2850" s="38" t="n">
        <f aca="false">YEAR(Tabela1[[#This Row],[FECHA]])</f>
        <v>1900</v>
      </c>
      <c r="I28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51" customFormat="false" ht="15" hidden="false" customHeight="false" outlineLevel="0" collapsed="false">
      <c r="A2851" s="41"/>
      <c r="G2851" s="38" t="n">
        <f aca="false">MONTH(A2851)</f>
        <v>12</v>
      </c>
      <c r="H2851" s="38" t="n">
        <f aca="false">YEAR(Tabela1[[#This Row],[FECHA]])</f>
        <v>1900</v>
      </c>
      <c r="I28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52" customFormat="false" ht="15" hidden="false" customHeight="false" outlineLevel="0" collapsed="false">
      <c r="A2852" s="41"/>
      <c r="G2852" s="38" t="n">
        <f aca="false">MONTH(A2852)</f>
        <v>12</v>
      </c>
      <c r="H2852" s="38" t="n">
        <f aca="false">YEAR(Tabela1[[#This Row],[FECHA]])</f>
        <v>1900</v>
      </c>
      <c r="I28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53" customFormat="false" ht="15" hidden="false" customHeight="false" outlineLevel="0" collapsed="false">
      <c r="A2853" s="41"/>
      <c r="G2853" s="38" t="n">
        <f aca="false">MONTH(A2853)</f>
        <v>12</v>
      </c>
      <c r="H2853" s="38" t="n">
        <f aca="false">YEAR(Tabela1[[#This Row],[FECHA]])</f>
        <v>1900</v>
      </c>
      <c r="I28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54" customFormat="false" ht="15" hidden="false" customHeight="false" outlineLevel="0" collapsed="false">
      <c r="A2854" s="41"/>
      <c r="G2854" s="38" t="n">
        <f aca="false">MONTH(A2854)</f>
        <v>12</v>
      </c>
      <c r="H2854" s="38" t="n">
        <f aca="false">YEAR(Tabela1[[#This Row],[FECHA]])</f>
        <v>1900</v>
      </c>
      <c r="I28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55" customFormat="false" ht="15" hidden="false" customHeight="false" outlineLevel="0" collapsed="false">
      <c r="A2855" s="41"/>
      <c r="G2855" s="38" t="n">
        <f aca="false">MONTH(A2855)</f>
        <v>12</v>
      </c>
      <c r="H2855" s="38" t="n">
        <f aca="false">YEAR(Tabela1[[#This Row],[FECHA]])</f>
        <v>1900</v>
      </c>
      <c r="I28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56" customFormat="false" ht="15" hidden="false" customHeight="false" outlineLevel="0" collapsed="false">
      <c r="A2856" s="41"/>
      <c r="G2856" s="38" t="n">
        <f aca="false">MONTH(A2856)</f>
        <v>12</v>
      </c>
      <c r="H2856" s="38" t="n">
        <f aca="false">YEAR(Tabela1[[#This Row],[FECHA]])</f>
        <v>1900</v>
      </c>
      <c r="I28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57" customFormat="false" ht="15" hidden="false" customHeight="false" outlineLevel="0" collapsed="false">
      <c r="A2857" s="41"/>
      <c r="G2857" s="38" t="n">
        <f aca="false">MONTH(A2857)</f>
        <v>12</v>
      </c>
      <c r="H2857" s="38" t="n">
        <f aca="false">YEAR(Tabela1[[#This Row],[FECHA]])</f>
        <v>1900</v>
      </c>
      <c r="I28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58" customFormat="false" ht="15" hidden="false" customHeight="false" outlineLevel="0" collapsed="false">
      <c r="A2858" s="41"/>
      <c r="G2858" s="38" t="n">
        <f aca="false">MONTH(A2858)</f>
        <v>12</v>
      </c>
      <c r="H2858" s="38" t="n">
        <f aca="false">YEAR(Tabela1[[#This Row],[FECHA]])</f>
        <v>1900</v>
      </c>
      <c r="I28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59" customFormat="false" ht="15" hidden="false" customHeight="false" outlineLevel="0" collapsed="false">
      <c r="A2859" s="41"/>
      <c r="G2859" s="38" t="n">
        <f aca="false">MONTH(A2859)</f>
        <v>12</v>
      </c>
      <c r="H2859" s="38" t="n">
        <f aca="false">YEAR(Tabela1[[#This Row],[FECHA]])</f>
        <v>1900</v>
      </c>
      <c r="I28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60" customFormat="false" ht="15" hidden="false" customHeight="false" outlineLevel="0" collapsed="false">
      <c r="A2860" s="41"/>
      <c r="G2860" s="38" t="n">
        <f aca="false">MONTH(A2860)</f>
        <v>12</v>
      </c>
      <c r="H2860" s="38" t="n">
        <f aca="false">YEAR(Tabela1[[#This Row],[FECHA]])</f>
        <v>1900</v>
      </c>
      <c r="I28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61" customFormat="false" ht="15" hidden="false" customHeight="false" outlineLevel="0" collapsed="false">
      <c r="A2861" s="41"/>
      <c r="G2861" s="38" t="n">
        <f aca="false">MONTH(A2861)</f>
        <v>12</v>
      </c>
      <c r="H2861" s="38" t="n">
        <f aca="false">YEAR(Tabela1[[#This Row],[FECHA]])</f>
        <v>1900</v>
      </c>
      <c r="I28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62" customFormat="false" ht="15" hidden="false" customHeight="false" outlineLevel="0" collapsed="false">
      <c r="A2862" s="41"/>
      <c r="G2862" s="38" t="n">
        <f aca="false">MONTH(A2862)</f>
        <v>12</v>
      </c>
      <c r="H2862" s="38" t="n">
        <f aca="false">YEAR(Tabela1[[#This Row],[FECHA]])</f>
        <v>1900</v>
      </c>
      <c r="I28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63" customFormat="false" ht="15" hidden="false" customHeight="false" outlineLevel="0" collapsed="false">
      <c r="A2863" s="41"/>
      <c r="G2863" s="38" t="n">
        <f aca="false">MONTH(A2863)</f>
        <v>12</v>
      </c>
      <c r="H2863" s="38" t="n">
        <f aca="false">YEAR(Tabela1[[#This Row],[FECHA]])</f>
        <v>1900</v>
      </c>
      <c r="I28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64" customFormat="false" ht="15" hidden="false" customHeight="false" outlineLevel="0" collapsed="false">
      <c r="A2864" s="41"/>
      <c r="G2864" s="38" t="n">
        <f aca="false">MONTH(A2864)</f>
        <v>12</v>
      </c>
      <c r="H2864" s="38" t="n">
        <f aca="false">YEAR(Tabela1[[#This Row],[FECHA]])</f>
        <v>1900</v>
      </c>
      <c r="I28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65" customFormat="false" ht="15" hidden="false" customHeight="false" outlineLevel="0" collapsed="false">
      <c r="A2865" s="41"/>
      <c r="G2865" s="38" t="n">
        <f aca="false">MONTH(A2865)</f>
        <v>12</v>
      </c>
      <c r="H2865" s="38" t="n">
        <f aca="false">YEAR(Tabela1[[#This Row],[FECHA]])</f>
        <v>1900</v>
      </c>
      <c r="I28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66" customFormat="false" ht="15" hidden="false" customHeight="false" outlineLevel="0" collapsed="false">
      <c r="A2866" s="41"/>
      <c r="G2866" s="38" t="n">
        <f aca="false">MONTH(A2866)</f>
        <v>12</v>
      </c>
      <c r="H2866" s="38" t="n">
        <f aca="false">YEAR(Tabela1[[#This Row],[FECHA]])</f>
        <v>1900</v>
      </c>
      <c r="I28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67" customFormat="false" ht="15" hidden="false" customHeight="false" outlineLevel="0" collapsed="false">
      <c r="A2867" s="41"/>
      <c r="G2867" s="38" t="n">
        <f aca="false">MONTH(A2867)</f>
        <v>12</v>
      </c>
      <c r="H2867" s="38" t="n">
        <f aca="false">YEAR(Tabela1[[#This Row],[FECHA]])</f>
        <v>1900</v>
      </c>
      <c r="I28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68" customFormat="false" ht="15" hidden="false" customHeight="false" outlineLevel="0" collapsed="false">
      <c r="A2868" s="41"/>
      <c r="G2868" s="38" t="n">
        <f aca="false">MONTH(A2868)</f>
        <v>12</v>
      </c>
      <c r="H2868" s="38" t="n">
        <f aca="false">YEAR(Tabela1[[#This Row],[FECHA]])</f>
        <v>1900</v>
      </c>
      <c r="I28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69" customFormat="false" ht="15" hidden="false" customHeight="false" outlineLevel="0" collapsed="false">
      <c r="A2869" s="41"/>
      <c r="G2869" s="38" t="n">
        <f aca="false">MONTH(A2869)</f>
        <v>12</v>
      </c>
      <c r="H2869" s="38" t="n">
        <f aca="false">YEAR(Tabela1[[#This Row],[FECHA]])</f>
        <v>1900</v>
      </c>
      <c r="I28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70" customFormat="false" ht="15" hidden="false" customHeight="false" outlineLevel="0" collapsed="false">
      <c r="A2870" s="41"/>
      <c r="G2870" s="38" t="n">
        <f aca="false">MONTH(A2870)</f>
        <v>12</v>
      </c>
      <c r="H2870" s="38" t="n">
        <f aca="false">YEAR(Tabela1[[#This Row],[FECHA]])</f>
        <v>1900</v>
      </c>
      <c r="I28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71" customFormat="false" ht="15" hidden="false" customHeight="false" outlineLevel="0" collapsed="false">
      <c r="A2871" s="41"/>
      <c r="G2871" s="38" t="n">
        <f aca="false">MONTH(A2871)</f>
        <v>12</v>
      </c>
      <c r="H2871" s="38" t="n">
        <f aca="false">YEAR(Tabela1[[#This Row],[FECHA]])</f>
        <v>1900</v>
      </c>
      <c r="I28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72" customFormat="false" ht="15" hidden="false" customHeight="false" outlineLevel="0" collapsed="false">
      <c r="A2872" s="41"/>
      <c r="G2872" s="38" t="n">
        <f aca="false">MONTH(A2872)</f>
        <v>12</v>
      </c>
      <c r="H2872" s="38" t="n">
        <f aca="false">YEAR(Tabela1[[#This Row],[FECHA]])</f>
        <v>1900</v>
      </c>
      <c r="I28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73" customFormat="false" ht="15" hidden="false" customHeight="false" outlineLevel="0" collapsed="false">
      <c r="A2873" s="41"/>
      <c r="G2873" s="38" t="n">
        <f aca="false">MONTH(A2873)</f>
        <v>12</v>
      </c>
      <c r="H2873" s="38" t="n">
        <f aca="false">YEAR(Tabela1[[#This Row],[FECHA]])</f>
        <v>1900</v>
      </c>
      <c r="I28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74" customFormat="false" ht="15" hidden="false" customHeight="false" outlineLevel="0" collapsed="false">
      <c r="A2874" s="41"/>
      <c r="G2874" s="38" t="n">
        <f aca="false">MONTH(A2874)</f>
        <v>12</v>
      </c>
      <c r="H2874" s="38" t="n">
        <f aca="false">YEAR(Tabela1[[#This Row],[FECHA]])</f>
        <v>1900</v>
      </c>
      <c r="I28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75" customFormat="false" ht="15" hidden="false" customHeight="false" outlineLevel="0" collapsed="false">
      <c r="A2875" s="41"/>
      <c r="G2875" s="38" t="n">
        <f aca="false">MONTH(A2875)</f>
        <v>12</v>
      </c>
      <c r="H2875" s="38" t="n">
        <f aca="false">YEAR(Tabela1[[#This Row],[FECHA]])</f>
        <v>1900</v>
      </c>
      <c r="I28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76" customFormat="false" ht="15" hidden="false" customHeight="false" outlineLevel="0" collapsed="false">
      <c r="A2876" s="41"/>
      <c r="G2876" s="38" t="n">
        <f aca="false">MONTH(A2876)</f>
        <v>12</v>
      </c>
      <c r="H2876" s="38" t="n">
        <f aca="false">YEAR(Tabela1[[#This Row],[FECHA]])</f>
        <v>1900</v>
      </c>
      <c r="I28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77" customFormat="false" ht="15" hidden="false" customHeight="false" outlineLevel="0" collapsed="false">
      <c r="A2877" s="41"/>
      <c r="G2877" s="38" t="n">
        <f aca="false">MONTH(A2877)</f>
        <v>12</v>
      </c>
      <c r="H2877" s="38" t="n">
        <f aca="false">YEAR(Tabela1[[#This Row],[FECHA]])</f>
        <v>1900</v>
      </c>
      <c r="I28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78" customFormat="false" ht="15" hidden="false" customHeight="false" outlineLevel="0" collapsed="false">
      <c r="A2878" s="41"/>
      <c r="G2878" s="38" t="n">
        <f aca="false">MONTH(A2878)</f>
        <v>12</v>
      </c>
      <c r="H2878" s="38" t="n">
        <f aca="false">YEAR(Tabela1[[#This Row],[FECHA]])</f>
        <v>1900</v>
      </c>
      <c r="I28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79" customFormat="false" ht="15" hidden="false" customHeight="false" outlineLevel="0" collapsed="false">
      <c r="A2879" s="41"/>
      <c r="G2879" s="38" t="n">
        <f aca="false">MONTH(A2879)</f>
        <v>12</v>
      </c>
      <c r="H2879" s="38" t="n">
        <f aca="false">YEAR(Tabela1[[#This Row],[FECHA]])</f>
        <v>1900</v>
      </c>
      <c r="I28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80" customFormat="false" ht="15" hidden="false" customHeight="false" outlineLevel="0" collapsed="false">
      <c r="A2880" s="41"/>
      <c r="G2880" s="38" t="n">
        <f aca="false">MONTH(A2880)</f>
        <v>12</v>
      </c>
      <c r="H2880" s="38" t="n">
        <f aca="false">YEAR(Tabela1[[#This Row],[FECHA]])</f>
        <v>1900</v>
      </c>
      <c r="I28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81" customFormat="false" ht="15" hidden="false" customHeight="false" outlineLevel="0" collapsed="false">
      <c r="A2881" s="41"/>
      <c r="G2881" s="38" t="n">
        <f aca="false">MONTH(A2881)</f>
        <v>12</v>
      </c>
      <c r="H2881" s="38" t="n">
        <f aca="false">YEAR(Tabela1[[#This Row],[FECHA]])</f>
        <v>1900</v>
      </c>
      <c r="I28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82" customFormat="false" ht="15" hidden="false" customHeight="false" outlineLevel="0" collapsed="false">
      <c r="A2882" s="41"/>
      <c r="G2882" s="38" t="n">
        <f aca="false">MONTH(A2882)</f>
        <v>12</v>
      </c>
      <c r="H2882" s="38" t="n">
        <f aca="false">YEAR(Tabela1[[#This Row],[FECHA]])</f>
        <v>1900</v>
      </c>
      <c r="I28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83" customFormat="false" ht="15" hidden="false" customHeight="false" outlineLevel="0" collapsed="false">
      <c r="A2883" s="41"/>
      <c r="G2883" s="38" t="n">
        <f aca="false">MONTH(A2883)</f>
        <v>12</v>
      </c>
      <c r="H2883" s="38" t="n">
        <f aca="false">YEAR(Tabela1[[#This Row],[FECHA]])</f>
        <v>1900</v>
      </c>
      <c r="I28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84" customFormat="false" ht="15" hidden="false" customHeight="false" outlineLevel="0" collapsed="false">
      <c r="A2884" s="41"/>
      <c r="G2884" s="38" t="n">
        <f aca="false">MONTH(A2884)</f>
        <v>12</v>
      </c>
      <c r="H2884" s="38" t="n">
        <f aca="false">YEAR(Tabela1[[#This Row],[FECHA]])</f>
        <v>1900</v>
      </c>
      <c r="I28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85" customFormat="false" ht="15" hidden="false" customHeight="false" outlineLevel="0" collapsed="false">
      <c r="A2885" s="41"/>
      <c r="G2885" s="38" t="n">
        <f aca="false">MONTH(A2885)</f>
        <v>12</v>
      </c>
      <c r="H2885" s="38" t="n">
        <f aca="false">YEAR(Tabela1[[#This Row],[FECHA]])</f>
        <v>1900</v>
      </c>
      <c r="I28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86" customFormat="false" ht="15" hidden="false" customHeight="false" outlineLevel="0" collapsed="false">
      <c r="A2886" s="41"/>
      <c r="G2886" s="38" t="n">
        <f aca="false">MONTH(A2886)</f>
        <v>12</v>
      </c>
      <c r="H2886" s="38" t="n">
        <f aca="false">YEAR(Tabela1[[#This Row],[FECHA]])</f>
        <v>1900</v>
      </c>
      <c r="I28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87" customFormat="false" ht="15" hidden="false" customHeight="false" outlineLevel="0" collapsed="false">
      <c r="A2887" s="41"/>
      <c r="G2887" s="38" t="n">
        <f aca="false">MONTH(A2887)</f>
        <v>12</v>
      </c>
      <c r="H2887" s="38" t="n">
        <f aca="false">YEAR(Tabela1[[#This Row],[FECHA]])</f>
        <v>1900</v>
      </c>
      <c r="I28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88" customFormat="false" ht="15" hidden="false" customHeight="false" outlineLevel="0" collapsed="false">
      <c r="A2888" s="41"/>
      <c r="G2888" s="38" t="n">
        <f aca="false">MONTH(A2888)</f>
        <v>12</v>
      </c>
      <c r="H2888" s="38" t="n">
        <f aca="false">YEAR(Tabela1[[#This Row],[FECHA]])</f>
        <v>1900</v>
      </c>
      <c r="I28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89" customFormat="false" ht="15" hidden="false" customHeight="false" outlineLevel="0" collapsed="false">
      <c r="A2889" s="41"/>
      <c r="G2889" s="38" t="n">
        <f aca="false">MONTH(A2889)</f>
        <v>12</v>
      </c>
      <c r="H2889" s="38" t="n">
        <f aca="false">YEAR(Tabela1[[#This Row],[FECHA]])</f>
        <v>1900</v>
      </c>
      <c r="I28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90" customFormat="false" ht="15" hidden="false" customHeight="false" outlineLevel="0" collapsed="false">
      <c r="A2890" s="41"/>
      <c r="G2890" s="38" t="n">
        <f aca="false">MONTH(A2890)</f>
        <v>12</v>
      </c>
      <c r="H2890" s="38" t="n">
        <f aca="false">YEAR(Tabela1[[#This Row],[FECHA]])</f>
        <v>1900</v>
      </c>
      <c r="I28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91" customFormat="false" ht="15" hidden="false" customHeight="false" outlineLevel="0" collapsed="false">
      <c r="A2891" s="41"/>
      <c r="G2891" s="38" t="n">
        <f aca="false">MONTH(A2891)</f>
        <v>12</v>
      </c>
      <c r="H2891" s="38" t="n">
        <f aca="false">YEAR(Tabela1[[#This Row],[FECHA]])</f>
        <v>1900</v>
      </c>
      <c r="I28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92" customFormat="false" ht="15" hidden="false" customHeight="false" outlineLevel="0" collapsed="false">
      <c r="A2892" s="41"/>
      <c r="G2892" s="38" t="n">
        <f aca="false">MONTH(A2892)</f>
        <v>12</v>
      </c>
      <c r="H2892" s="38" t="n">
        <f aca="false">YEAR(Tabela1[[#This Row],[FECHA]])</f>
        <v>1900</v>
      </c>
      <c r="I28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93" customFormat="false" ht="15" hidden="false" customHeight="false" outlineLevel="0" collapsed="false">
      <c r="A2893" s="41"/>
      <c r="G2893" s="38" t="n">
        <f aca="false">MONTH(A2893)</f>
        <v>12</v>
      </c>
      <c r="H2893" s="38" t="n">
        <f aca="false">YEAR(Tabela1[[#This Row],[FECHA]])</f>
        <v>1900</v>
      </c>
      <c r="I28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94" customFormat="false" ht="15" hidden="false" customHeight="false" outlineLevel="0" collapsed="false">
      <c r="A2894" s="41"/>
      <c r="G2894" s="38" t="n">
        <f aca="false">MONTH(A2894)</f>
        <v>12</v>
      </c>
      <c r="H2894" s="38" t="n">
        <f aca="false">YEAR(Tabela1[[#This Row],[FECHA]])</f>
        <v>1900</v>
      </c>
      <c r="I28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95" customFormat="false" ht="15" hidden="false" customHeight="false" outlineLevel="0" collapsed="false">
      <c r="A2895" s="41"/>
      <c r="G2895" s="38" t="n">
        <f aca="false">MONTH(A2895)</f>
        <v>12</v>
      </c>
      <c r="H2895" s="38" t="n">
        <f aca="false">YEAR(Tabela1[[#This Row],[FECHA]])</f>
        <v>1900</v>
      </c>
      <c r="I28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96" customFormat="false" ht="15" hidden="false" customHeight="false" outlineLevel="0" collapsed="false">
      <c r="A2896" s="41"/>
      <c r="G2896" s="38" t="n">
        <f aca="false">MONTH(A2896)</f>
        <v>12</v>
      </c>
      <c r="H2896" s="38" t="n">
        <f aca="false">YEAR(Tabela1[[#This Row],[FECHA]])</f>
        <v>1900</v>
      </c>
      <c r="I28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97" customFormat="false" ht="15" hidden="false" customHeight="false" outlineLevel="0" collapsed="false">
      <c r="A2897" s="41"/>
      <c r="G2897" s="38" t="n">
        <f aca="false">MONTH(A2897)</f>
        <v>12</v>
      </c>
      <c r="H2897" s="38" t="n">
        <f aca="false">YEAR(Tabela1[[#This Row],[FECHA]])</f>
        <v>1900</v>
      </c>
      <c r="I28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98" customFormat="false" ht="15" hidden="false" customHeight="false" outlineLevel="0" collapsed="false">
      <c r="A2898" s="41"/>
      <c r="G2898" s="38" t="n">
        <f aca="false">MONTH(A2898)</f>
        <v>12</v>
      </c>
      <c r="H2898" s="38" t="n">
        <f aca="false">YEAR(Tabela1[[#This Row],[FECHA]])</f>
        <v>1900</v>
      </c>
      <c r="I28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899" customFormat="false" ht="15" hidden="false" customHeight="false" outlineLevel="0" collapsed="false">
      <c r="A2899" s="41"/>
      <c r="G2899" s="38" t="n">
        <f aca="false">MONTH(A2899)</f>
        <v>12</v>
      </c>
      <c r="H2899" s="38" t="n">
        <f aca="false">YEAR(Tabela1[[#This Row],[FECHA]])</f>
        <v>1900</v>
      </c>
      <c r="I28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00" customFormat="false" ht="15" hidden="false" customHeight="false" outlineLevel="0" collapsed="false">
      <c r="A2900" s="41"/>
      <c r="G2900" s="38" t="n">
        <f aca="false">MONTH(A2900)</f>
        <v>12</v>
      </c>
      <c r="H2900" s="38" t="n">
        <f aca="false">YEAR(Tabela1[[#This Row],[FECHA]])</f>
        <v>1900</v>
      </c>
      <c r="I29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01" customFormat="false" ht="15" hidden="false" customHeight="false" outlineLevel="0" collapsed="false">
      <c r="A2901" s="41"/>
      <c r="G2901" s="38" t="n">
        <f aca="false">MONTH(A2901)</f>
        <v>12</v>
      </c>
      <c r="H2901" s="38" t="n">
        <f aca="false">YEAR(Tabela1[[#This Row],[FECHA]])</f>
        <v>1900</v>
      </c>
      <c r="I29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02" customFormat="false" ht="15" hidden="false" customHeight="false" outlineLevel="0" collapsed="false">
      <c r="A2902" s="41"/>
      <c r="G2902" s="38" t="n">
        <f aca="false">MONTH(A2902)</f>
        <v>12</v>
      </c>
      <c r="H2902" s="38" t="n">
        <f aca="false">YEAR(Tabela1[[#This Row],[FECHA]])</f>
        <v>1900</v>
      </c>
      <c r="I29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03" customFormat="false" ht="15" hidden="false" customHeight="false" outlineLevel="0" collapsed="false">
      <c r="A2903" s="41"/>
      <c r="G2903" s="38" t="n">
        <f aca="false">MONTH(A2903)</f>
        <v>12</v>
      </c>
      <c r="H2903" s="38" t="n">
        <f aca="false">YEAR(Tabela1[[#This Row],[FECHA]])</f>
        <v>1900</v>
      </c>
      <c r="I29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04" customFormat="false" ht="15" hidden="false" customHeight="false" outlineLevel="0" collapsed="false">
      <c r="A2904" s="41"/>
      <c r="G2904" s="38" t="n">
        <f aca="false">MONTH(A2904)</f>
        <v>12</v>
      </c>
      <c r="H2904" s="38" t="n">
        <f aca="false">YEAR(Tabela1[[#This Row],[FECHA]])</f>
        <v>1900</v>
      </c>
      <c r="I29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05" customFormat="false" ht="15" hidden="false" customHeight="false" outlineLevel="0" collapsed="false">
      <c r="A2905" s="41"/>
      <c r="G2905" s="38" t="n">
        <f aca="false">MONTH(A2905)</f>
        <v>12</v>
      </c>
      <c r="H2905" s="38" t="n">
        <f aca="false">YEAR(Tabela1[[#This Row],[FECHA]])</f>
        <v>1900</v>
      </c>
      <c r="I29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06" customFormat="false" ht="15" hidden="false" customHeight="false" outlineLevel="0" collapsed="false">
      <c r="A2906" s="41"/>
      <c r="G2906" s="38" t="n">
        <f aca="false">MONTH(A2906)</f>
        <v>12</v>
      </c>
      <c r="H2906" s="38" t="n">
        <f aca="false">YEAR(Tabela1[[#This Row],[FECHA]])</f>
        <v>1900</v>
      </c>
      <c r="I29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07" customFormat="false" ht="15" hidden="false" customHeight="false" outlineLevel="0" collapsed="false">
      <c r="A2907" s="41"/>
      <c r="G2907" s="38" t="n">
        <f aca="false">MONTH(A2907)</f>
        <v>12</v>
      </c>
      <c r="H2907" s="38" t="n">
        <f aca="false">YEAR(Tabela1[[#This Row],[FECHA]])</f>
        <v>1900</v>
      </c>
      <c r="I29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08" customFormat="false" ht="15" hidden="false" customHeight="false" outlineLevel="0" collapsed="false">
      <c r="A2908" s="41"/>
      <c r="G2908" s="38" t="n">
        <f aca="false">MONTH(A2908)</f>
        <v>12</v>
      </c>
      <c r="H2908" s="38" t="n">
        <f aca="false">YEAR(Tabela1[[#This Row],[FECHA]])</f>
        <v>1900</v>
      </c>
      <c r="I29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09" customFormat="false" ht="15" hidden="false" customHeight="false" outlineLevel="0" collapsed="false">
      <c r="A2909" s="41"/>
      <c r="G2909" s="38" t="n">
        <f aca="false">MONTH(A2909)</f>
        <v>12</v>
      </c>
      <c r="H2909" s="38" t="n">
        <f aca="false">YEAR(Tabela1[[#This Row],[FECHA]])</f>
        <v>1900</v>
      </c>
      <c r="I29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10" customFormat="false" ht="15" hidden="false" customHeight="false" outlineLevel="0" collapsed="false">
      <c r="A2910" s="41"/>
      <c r="G2910" s="38" t="n">
        <f aca="false">MONTH(A2910)</f>
        <v>12</v>
      </c>
      <c r="H2910" s="38" t="n">
        <f aca="false">YEAR(Tabela1[[#This Row],[FECHA]])</f>
        <v>1900</v>
      </c>
      <c r="I29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11" customFormat="false" ht="15" hidden="false" customHeight="false" outlineLevel="0" collapsed="false">
      <c r="A2911" s="41"/>
      <c r="G2911" s="38" t="n">
        <f aca="false">MONTH(A2911)</f>
        <v>12</v>
      </c>
      <c r="H2911" s="38" t="n">
        <f aca="false">YEAR(Tabela1[[#This Row],[FECHA]])</f>
        <v>1900</v>
      </c>
      <c r="I29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12" customFormat="false" ht="15" hidden="false" customHeight="false" outlineLevel="0" collapsed="false">
      <c r="A2912" s="41"/>
      <c r="G2912" s="38" t="n">
        <f aca="false">MONTH(A2912)</f>
        <v>12</v>
      </c>
      <c r="H2912" s="38" t="n">
        <f aca="false">YEAR(Tabela1[[#This Row],[FECHA]])</f>
        <v>1900</v>
      </c>
      <c r="I29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13" customFormat="false" ht="15" hidden="false" customHeight="false" outlineLevel="0" collapsed="false">
      <c r="A2913" s="41"/>
      <c r="G2913" s="38" t="n">
        <f aca="false">MONTH(A2913)</f>
        <v>12</v>
      </c>
      <c r="H2913" s="38" t="n">
        <f aca="false">YEAR(Tabela1[[#This Row],[FECHA]])</f>
        <v>1900</v>
      </c>
      <c r="I29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14" customFormat="false" ht="15" hidden="false" customHeight="false" outlineLevel="0" collapsed="false">
      <c r="A2914" s="41"/>
      <c r="G2914" s="38" t="n">
        <f aca="false">MONTH(A2914)</f>
        <v>12</v>
      </c>
      <c r="H2914" s="38" t="n">
        <f aca="false">YEAR(Tabela1[[#This Row],[FECHA]])</f>
        <v>1900</v>
      </c>
      <c r="I29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15" customFormat="false" ht="15" hidden="false" customHeight="false" outlineLevel="0" collapsed="false">
      <c r="A2915" s="41"/>
      <c r="G2915" s="38" t="n">
        <f aca="false">MONTH(A2915)</f>
        <v>12</v>
      </c>
      <c r="H2915" s="38" t="n">
        <f aca="false">YEAR(Tabela1[[#This Row],[FECHA]])</f>
        <v>1900</v>
      </c>
      <c r="I29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16" customFormat="false" ht="15" hidden="false" customHeight="false" outlineLevel="0" collapsed="false">
      <c r="A2916" s="41"/>
      <c r="G2916" s="38" t="n">
        <f aca="false">MONTH(A2916)</f>
        <v>12</v>
      </c>
      <c r="H2916" s="38" t="n">
        <f aca="false">YEAR(Tabela1[[#This Row],[FECHA]])</f>
        <v>1900</v>
      </c>
      <c r="I29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17" customFormat="false" ht="15" hidden="false" customHeight="false" outlineLevel="0" collapsed="false">
      <c r="A2917" s="41"/>
      <c r="G2917" s="38" t="n">
        <f aca="false">MONTH(A2917)</f>
        <v>12</v>
      </c>
      <c r="H2917" s="38" t="n">
        <f aca="false">YEAR(Tabela1[[#This Row],[FECHA]])</f>
        <v>1900</v>
      </c>
      <c r="I29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18" customFormat="false" ht="15" hidden="false" customHeight="false" outlineLevel="0" collapsed="false">
      <c r="A2918" s="41"/>
      <c r="G2918" s="38" t="n">
        <f aca="false">MONTH(A2918)</f>
        <v>12</v>
      </c>
      <c r="H2918" s="38" t="n">
        <f aca="false">YEAR(Tabela1[[#This Row],[FECHA]])</f>
        <v>1900</v>
      </c>
      <c r="I29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19" customFormat="false" ht="15" hidden="false" customHeight="false" outlineLevel="0" collapsed="false">
      <c r="A2919" s="41"/>
      <c r="G2919" s="38" t="n">
        <f aca="false">MONTH(A2919)</f>
        <v>12</v>
      </c>
      <c r="H2919" s="38" t="n">
        <f aca="false">YEAR(Tabela1[[#This Row],[FECHA]])</f>
        <v>1900</v>
      </c>
      <c r="I29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20" customFormat="false" ht="15" hidden="false" customHeight="false" outlineLevel="0" collapsed="false">
      <c r="A2920" s="41"/>
      <c r="G2920" s="38" t="n">
        <f aca="false">MONTH(A2920)</f>
        <v>12</v>
      </c>
      <c r="H2920" s="38" t="n">
        <f aca="false">YEAR(Tabela1[[#This Row],[FECHA]])</f>
        <v>1900</v>
      </c>
      <c r="I29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21" customFormat="false" ht="15" hidden="false" customHeight="false" outlineLevel="0" collapsed="false">
      <c r="A2921" s="41"/>
      <c r="G2921" s="38" t="n">
        <f aca="false">MONTH(A2921)</f>
        <v>12</v>
      </c>
      <c r="H2921" s="38" t="n">
        <f aca="false">YEAR(Tabela1[[#This Row],[FECHA]])</f>
        <v>1900</v>
      </c>
      <c r="I29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22" customFormat="false" ht="15" hidden="false" customHeight="false" outlineLevel="0" collapsed="false">
      <c r="A2922" s="41"/>
      <c r="G2922" s="38" t="n">
        <f aca="false">MONTH(A2922)</f>
        <v>12</v>
      </c>
      <c r="H2922" s="38" t="n">
        <f aca="false">YEAR(Tabela1[[#This Row],[FECHA]])</f>
        <v>1900</v>
      </c>
      <c r="I29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23" customFormat="false" ht="15" hidden="false" customHeight="false" outlineLevel="0" collapsed="false">
      <c r="A2923" s="41"/>
      <c r="G2923" s="38" t="n">
        <f aca="false">MONTH(A2923)</f>
        <v>12</v>
      </c>
      <c r="H2923" s="38" t="n">
        <f aca="false">YEAR(Tabela1[[#This Row],[FECHA]])</f>
        <v>1900</v>
      </c>
      <c r="I29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24" customFormat="false" ht="15" hidden="false" customHeight="false" outlineLevel="0" collapsed="false">
      <c r="A2924" s="41"/>
      <c r="G2924" s="38" t="n">
        <f aca="false">MONTH(A2924)</f>
        <v>12</v>
      </c>
      <c r="H2924" s="38" t="n">
        <f aca="false">YEAR(Tabela1[[#This Row],[FECHA]])</f>
        <v>1900</v>
      </c>
      <c r="I29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25" customFormat="false" ht="15" hidden="false" customHeight="false" outlineLevel="0" collapsed="false">
      <c r="A2925" s="41"/>
      <c r="G2925" s="38" t="n">
        <f aca="false">MONTH(A2925)</f>
        <v>12</v>
      </c>
      <c r="H2925" s="38" t="n">
        <f aca="false">YEAR(Tabela1[[#This Row],[FECHA]])</f>
        <v>1900</v>
      </c>
      <c r="I29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26" customFormat="false" ht="15" hidden="false" customHeight="false" outlineLevel="0" collapsed="false">
      <c r="A2926" s="41"/>
      <c r="G2926" s="38" t="n">
        <f aca="false">MONTH(A2926)</f>
        <v>12</v>
      </c>
      <c r="H2926" s="38" t="n">
        <f aca="false">YEAR(Tabela1[[#This Row],[FECHA]])</f>
        <v>1900</v>
      </c>
      <c r="I29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27" customFormat="false" ht="15" hidden="false" customHeight="false" outlineLevel="0" collapsed="false">
      <c r="A2927" s="41"/>
      <c r="G2927" s="38" t="n">
        <f aca="false">MONTH(A2927)</f>
        <v>12</v>
      </c>
      <c r="H2927" s="38" t="n">
        <f aca="false">YEAR(Tabela1[[#This Row],[FECHA]])</f>
        <v>1900</v>
      </c>
      <c r="I29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28" customFormat="false" ht="15" hidden="false" customHeight="false" outlineLevel="0" collapsed="false">
      <c r="A2928" s="41"/>
      <c r="G2928" s="38" t="n">
        <f aca="false">MONTH(A2928)</f>
        <v>12</v>
      </c>
      <c r="H2928" s="38" t="n">
        <f aca="false">YEAR(Tabela1[[#This Row],[FECHA]])</f>
        <v>1900</v>
      </c>
      <c r="I29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29" customFormat="false" ht="15" hidden="false" customHeight="false" outlineLevel="0" collapsed="false">
      <c r="A2929" s="41"/>
      <c r="G2929" s="38" t="n">
        <f aca="false">MONTH(A2929)</f>
        <v>12</v>
      </c>
      <c r="H2929" s="38" t="n">
        <f aca="false">YEAR(Tabela1[[#This Row],[FECHA]])</f>
        <v>1900</v>
      </c>
      <c r="I29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30" customFormat="false" ht="15" hidden="false" customHeight="false" outlineLevel="0" collapsed="false">
      <c r="A2930" s="41"/>
      <c r="G2930" s="38" t="n">
        <f aca="false">MONTH(A2930)</f>
        <v>12</v>
      </c>
      <c r="H2930" s="38" t="n">
        <f aca="false">YEAR(Tabela1[[#This Row],[FECHA]])</f>
        <v>1900</v>
      </c>
      <c r="I29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31" customFormat="false" ht="15" hidden="false" customHeight="false" outlineLevel="0" collapsed="false">
      <c r="A2931" s="41"/>
      <c r="G2931" s="38" t="n">
        <f aca="false">MONTH(A2931)</f>
        <v>12</v>
      </c>
      <c r="H2931" s="38" t="n">
        <f aca="false">YEAR(Tabela1[[#This Row],[FECHA]])</f>
        <v>1900</v>
      </c>
      <c r="I29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32" customFormat="false" ht="15" hidden="false" customHeight="false" outlineLevel="0" collapsed="false">
      <c r="A2932" s="41"/>
      <c r="G2932" s="38" t="n">
        <f aca="false">MONTH(A2932)</f>
        <v>12</v>
      </c>
      <c r="H2932" s="38" t="n">
        <f aca="false">YEAR(Tabela1[[#This Row],[FECHA]])</f>
        <v>1900</v>
      </c>
      <c r="I29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33" customFormat="false" ht="15" hidden="false" customHeight="false" outlineLevel="0" collapsed="false">
      <c r="A2933" s="41"/>
      <c r="G2933" s="38" t="n">
        <f aca="false">MONTH(A2933)</f>
        <v>12</v>
      </c>
      <c r="H2933" s="38" t="n">
        <f aca="false">YEAR(Tabela1[[#This Row],[FECHA]])</f>
        <v>1900</v>
      </c>
      <c r="I29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34" customFormat="false" ht="15" hidden="false" customHeight="false" outlineLevel="0" collapsed="false">
      <c r="A2934" s="41"/>
      <c r="G2934" s="38" t="n">
        <f aca="false">MONTH(A2934)</f>
        <v>12</v>
      </c>
      <c r="H2934" s="38" t="n">
        <f aca="false">YEAR(Tabela1[[#This Row],[FECHA]])</f>
        <v>1900</v>
      </c>
      <c r="I29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35" customFormat="false" ht="15" hidden="false" customHeight="false" outlineLevel="0" collapsed="false">
      <c r="A2935" s="41"/>
      <c r="G2935" s="38" t="n">
        <f aca="false">MONTH(A2935)</f>
        <v>12</v>
      </c>
      <c r="H2935" s="38" t="n">
        <f aca="false">YEAR(Tabela1[[#This Row],[FECHA]])</f>
        <v>1900</v>
      </c>
      <c r="I29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36" customFormat="false" ht="15" hidden="false" customHeight="false" outlineLevel="0" collapsed="false">
      <c r="A2936" s="41"/>
      <c r="G2936" s="38" t="n">
        <f aca="false">MONTH(A2936)</f>
        <v>12</v>
      </c>
      <c r="H2936" s="38" t="n">
        <f aca="false">YEAR(Tabela1[[#This Row],[FECHA]])</f>
        <v>1900</v>
      </c>
      <c r="I29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37" customFormat="false" ht="15" hidden="false" customHeight="false" outlineLevel="0" collapsed="false">
      <c r="A2937" s="41"/>
      <c r="G2937" s="38" t="n">
        <f aca="false">MONTH(A2937)</f>
        <v>12</v>
      </c>
      <c r="H2937" s="38" t="n">
        <f aca="false">YEAR(Tabela1[[#This Row],[FECHA]])</f>
        <v>1900</v>
      </c>
      <c r="I29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38" customFormat="false" ht="15" hidden="false" customHeight="false" outlineLevel="0" collapsed="false">
      <c r="A2938" s="41"/>
      <c r="G2938" s="38" t="n">
        <f aca="false">MONTH(A2938)</f>
        <v>12</v>
      </c>
      <c r="H2938" s="38" t="n">
        <f aca="false">YEAR(Tabela1[[#This Row],[FECHA]])</f>
        <v>1900</v>
      </c>
      <c r="I29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39" customFormat="false" ht="15" hidden="false" customHeight="false" outlineLevel="0" collapsed="false">
      <c r="A2939" s="41"/>
      <c r="G2939" s="38" t="n">
        <f aca="false">MONTH(A2939)</f>
        <v>12</v>
      </c>
      <c r="H2939" s="38" t="n">
        <f aca="false">YEAR(Tabela1[[#This Row],[FECHA]])</f>
        <v>1900</v>
      </c>
      <c r="I29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40" customFormat="false" ht="15" hidden="false" customHeight="false" outlineLevel="0" collapsed="false">
      <c r="A2940" s="41"/>
      <c r="G2940" s="38" t="n">
        <f aca="false">MONTH(A2940)</f>
        <v>12</v>
      </c>
      <c r="H2940" s="38" t="n">
        <f aca="false">YEAR(Tabela1[[#This Row],[FECHA]])</f>
        <v>1900</v>
      </c>
      <c r="I29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41" customFormat="false" ht="15" hidden="false" customHeight="false" outlineLevel="0" collapsed="false">
      <c r="A2941" s="41"/>
      <c r="G2941" s="38" t="n">
        <f aca="false">MONTH(A2941)</f>
        <v>12</v>
      </c>
      <c r="H2941" s="38" t="n">
        <f aca="false">YEAR(Tabela1[[#This Row],[FECHA]])</f>
        <v>1900</v>
      </c>
      <c r="I29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42" customFormat="false" ht="15" hidden="false" customHeight="false" outlineLevel="0" collapsed="false">
      <c r="A2942" s="41"/>
      <c r="G2942" s="38" t="n">
        <f aca="false">MONTH(A2942)</f>
        <v>12</v>
      </c>
      <c r="H2942" s="38" t="n">
        <f aca="false">YEAR(Tabela1[[#This Row],[FECHA]])</f>
        <v>1900</v>
      </c>
      <c r="I29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43" customFormat="false" ht="15" hidden="false" customHeight="false" outlineLevel="0" collapsed="false">
      <c r="A2943" s="41"/>
      <c r="G2943" s="38" t="n">
        <f aca="false">MONTH(A2943)</f>
        <v>12</v>
      </c>
      <c r="H2943" s="38" t="n">
        <f aca="false">YEAR(Tabela1[[#This Row],[FECHA]])</f>
        <v>1900</v>
      </c>
      <c r="I29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44" customFormat="false" ht="15" hidden="false" customHeight="false" outlineLevel="0" collapsed="false">
      <c r="A2944" s="41"/>
      <c r="G2944" s="38" t="n">
        <f aca="false">MONTH(A2944)</f>
        <v>12</v>
      </c>
      <c r="H2944" s="38" t="n">
        <f aca="false">YEAR(Tabela1[[#This Row],[FECHA]])</f>
        <v>1900</v>
      </c>
      <c r="I29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45" customFormat="false" ht="15" hidden="false" customHeight="false" outlineLevel="0" collapsed="false">
      <c r="A2945" s="41"/>
      <c r="G2945" s="38" t="n">
        <f aca="false">MONTH(A2945)</f>
        <v>12</v>
      </c>
      <c r="H2945" s="38" t="n">
        <f aca="false">YEAR(Tabela1[[#This Row],[FECHA]])</f>
        <v>1900</v>
      </c>
      <c r="I29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46" customFormat="false" ht="15" hidden="false" customHeight="false" outlineLevel="0" collapsed="false">
      <c r="A2946" s="41"/>
      <c r="G2946" s="38" t="n">
        <f aca="false">MONTH(A2946)</f>
        <v>12</v>
      </c>
      <c r="H2946" s="38" t="n">
        <f aca="false">YEAR(Tabela1[[#This Row],[FECHA]])</f>
        <v>1900</v>
      </c>
      <c r="I29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47" customFormat="false" ht="15" hidden="false" customHeight="false" outlineLevel="0" collapsed="false">
      <c r="A2947" s="41"/>
      <c r="G2947" s="38" t="n">
        <f aca="false">MONTH(A2947)</f>
        <v>12</v>
      </c>
      <c r="H2947" s="38" t="n">
        <f aca="false">YEAR(Tabela1[[#This Row],[FECHA]])</f>
        <v>1900</v>
      </c>
      <c r="I29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48" customFormat="false" ht="15" hidden="false" customHeight="false" outlineLevel="0" collapsed="false">
      <c r="A2948" s="41"/>
      <c r="G2948" s="38" t="n">
        <f aca="false">MONTH(A2948)</f>
        <v>12</v>
      </c>
      <c r="H2948" s="38" t="n">
        <f aca="false">YEAR(Tabela1[[#This Row],[FECHA]])</f>
        <v>1900</v>
      </c>
      <c r="I29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49" customFormat="false" ht="15" hidden="false" customHeight="false" outlineLevel="0" collapsed="false">
      <c r="A2949" s="41"/>
      <c r="G2949" s="38" t="n">
        <f aca="false">MONTH(A2949)</f>
        <v>12</v>
      </c>
      <c r="H2949" s="38" t="n">
        <f aca="false">YEAR(Tabela1[[#This Row],[FECHA]])</f>
        <v>1900</v>
      </c>
      <c r="I29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50" customFormat="false" ht="15" hidden="false" customHeight="false" outlineLevel="0" collapsed="false">
      <c r="A2950" s="41"/>
      <c r="G2950" s="38" t="n">
        <f aca="false">MONTH(A2950)</f>
        <v>12</v>
      </c>
      <c r="H2950" s="38" t="n">
        <f aca="false">YEAR(Tabela1[[#This Row],[FECHA]])</f>
        <v>1900</v>
      </c>
      <c r="I29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51" customFormat="false" ht="15" hidden="false" customHeight="false" outlineLevel="0" collapsed="false">
      <c r="A2951" s="41"/>
      <c r="G2951" s="38" t="n">
        <f aca="false">MONTH(A2951)</f>
        <v>12</v>
      </c>
      <c r="H2951" s="38" t="n">
        <f aca="false">YEAR(Tabela1[[#This Row],[FECHA]])</f>
        <v>1900</v>
      </c>
      <c r="I29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52" customFormat="false" ht="15" hidden="false" customHeight="false" outlineLevel="0" collapsed="false">
      <c r="A2952" s="41"/>
      <c r="G2952" s="38" t="n">
        <f aca="false">MONTH(A2952)</f>
        <v>12</v>
      </c>
      <c r="H2952" s="38" t="n">
        <f aca="false">YEAR(Tabela1[[#This Row],[FECHA]])</f>
        <v>1900</v>
      </c>
      <c r="I29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53" customFormat="false" ht="15" hidden="false" customHeight="false" outlineLevel="0" collapsed="false">
      <c r="A2953" s="41"/>
      <c r="G2953" s="38" t="n">
        <f aca="false">MONTH(A2953)</f>
        <v>12</v>
      </c>
      <c r="H2953" s="38" t="n">
        <f aca="false">YEAR(Tabela1[[#This Row],[FECHA]])</f>
        <v>1900</v>
      </c>
      <c r="I29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54" customFormat="false" ht="15" hidden="false" customHeight="false" outlineLevel="0" collapsed="false">
      <c r="A2954" s="41"/>
      <c r="G2954" s="38" t="n">
        <f aca="false">MONTH(A2954)</f>
        <v>12</v>
      </c>
      <c r="H2954" s="38" t="n">
        <f aca="false">YEAR(Tabela1[[#This Row],[FECHA]])</f>
        <v>1900</v>
      </c>
      <c r="I29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55" customFormat="false" ht="15" hidden="false" customHeight="false" outlineLevel="0" collapsed="false">
      <c r="A2955" s="41"/>
      <c r="G2955" s="38" t="n">
        <f aca="false">MONTH(A2955)</f>
        <v>12</v>
      </c>
      <c r="H2955" s="38" t="n">
        <f aca="false">YEAR(Tabela1[[#This Row],[FECHA]])</f>
        <v>1900</v>
      </c>
      <c r="I29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56" customFormat="false" ht="15" hidden="false" customHeight="false" outlineLevel="0" collapsed="false">
      <c r="A2956" s="41"/>
      <c r="G2956" s="38" t="n">
        <f aca="false">MONTH(A2956)</f>
        <v>12</v>
      </c>
      <c r="H2956" s="38" t="n">
        <f aca="false">YEAR(Tabela1[[#This Row],[FECHA]])</f>
        <v>1900</v>
      </c>
      <c r="I29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57" customFormat="false" ht="15" hidden="false" customHeight="false" outlineLevel="0" collapsed="false">
      <c r="A2957" s="41"/>
      <c r="G2957" s="38" t="n">
        <f aca="false">MONTH(A2957)</f>
        <v>12</v>
      </c>
      <c r="H2957" s="38" t="n">
        <f aca="false">YEAR(Tabela1[[#This Row],[FECHA]])</f>
        <v>1900</v>
      </c>
      <c r="I29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58" customFormat="false" ht="15" hidden="false" customHeight="false" outlineLevel="0" collapsed="false">
      <c r="A2958" s="41"/>
      <c r="G2958" s="38" t="n">
        <f aca="false">MONTH(A2958)</f>
        <v>12</v>
      </c>
      <c r="H2958" s="38" t="n">
        <f aca="false">YEAR(Tabela1[[#This Row],[FECHA]])</f>
        <v>1900</v>
      </c>
      <c r="I29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59" customFormat="false" ht="15" hidden="false" customHeight="false" outlineLevel="0" collapsed="false">
      <c r="A2959" s="41"/>
      <c r="G2959" s="38" t="n">
        <f aca="false">MONTH(A2959)</f>
        <v>12</v>
      </c>
      <c r="H2959" s="38" t="n">
        <f aca="false">YEAR(Tabela1[[#This Row],[FECHA]])</f>
        <v>1900</v>
      </c>
      <c r="I29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60" customFormat="false" ht="15" hidden="false" customHeight="false" outlineLevel="0" collapsed="false">
      <c r="A2960" s="41"/>
      <c r="G2960" s="38" t="n">
        <f aca="false">MONTH(A2960)</f>
        <v>12</v>
      </c>
      <c r="H2960" s="38" t="n">
        <f aca="false">YEAR(Tabela1[[#This Row],[FECHA]])</f>
        <v>1900</v>
      </c>
      <c r="I29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61" customFormat="false" ht="15" hidden="false" customHeight="false" outlineLevel="0" collapsed="false">
      <c r="A2961" s="41"/>
      <c r="G2961" s="38" t="n">
        <f aca="false">MONTH(A2961)</f>
        <v>12</v>
      </c>
      <c r="H2961" s="38" t="n">
        <f aca="false">YEAR(Tabela1[[#This Row],[FECHA]])</f>
        <v>1900</v>
      </c>
      <c r="I29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62" customFormat="false" ht="15" hidden="false" customHeight="false" outlineLevel="0" collapsed="false">
      <c r="A2962" s="41"/>
      <c r="G2962" s="38" t="n">
        <f aca="false">MONTH(A2962)</f>
        <v>12</v>
      </c>
      <c r="H2962" s="38" t="n">
        <f aca="false">YEAR(Tabela1[[#This Row],[FECHA]])</f>
        <v>1900</v>
      </c>
      <c r="I29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63" customFormat="false" ht="15" hidden="false" customHeight="false" outlineLevel="0" collapsed="false">
      <c r="A2963" s="41"/>
      <c r="G2963" s="38" t="n">
        <f aca="false">MONTH(A2963)</f>
        <v>12</v>
      </c>
      <c r="H2963" s="38" t="n">
        <f aca="false">YEAR(Tabela1[[#This Row],[FECHA]])</f>
        <v>1900</v>
      </c>
      <c r="I29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64" customFormat="false" ht="15" hidden="false" customHeight="false" outlineLevel="0" collapsed="false">
      <c r="A2964" s="41"/>
      <c r="G2964" s="38" t="n">
        <f aca="false">MONTH(A2964)</f>
        <v>12</v>
      </c>
      <c r="H2964" s="38" t="n">
        <f aca="false">YEAR(Tabela1[[#This Row],[FECHA]])</f>
        <v>1900</v>
      </c>
      <c r="I29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65" customFormat="false" ht="15" hidden="false" customHeight="false" outlineLevel="0" collapsed="false">
      <c r="A2965" s="41"/>
      <c r="G2965" s="38" t="n">
        <f aca="false">MONTH(A2965)</f>
        <v>12</v>
      </c>
      <c r="H2965" s="38" t="n">
        <f aca="false">YEAR(Tabela1[[#This Row],[FECHA]])</f>
        <v>1900</v>
      </c>
      <c r="I29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66" customFormat="false" ht="15" hidden="false" customHeight="false" outlineLevel="0" collapsed="false">
      <c r="A2966" s="41"/>
      <c r="G2966" s="38" t="n">
        <f aca="false">MONTH(A2966)</f>
        <v>12</v>
      </c>
      <c r="H2966" s="38" t="n">
        <f aca="false">YEAR(Tabela1[[#This Row],[FECHA]])</f>
        <v>1900</v>
      </c>
      <c r="I29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67" customFormat="false" ht="15" hidden="false" customHeight="false" outlineLevel="0" collapsed="false">
      <c r="A2967" s="41"/>
      <c r="G2967" s="38" t="n">
        <f aca="false">MONTH(A2967)</f>
        <v>12</v>
      </c>
      <c r="H2967" s="38" t="n">
        <f aca="false">YEAR(Tabela1[[#This Row],[FECHA]])</f>
        <v>1900</v>
      </c>
      <c r="I29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68" customFormat="false" ht="15" hidden="false" customHeight="false" outlineLevel="0" collapsed="false">
      <c r="A2968" s="41"/>
      <c r="G2968" s="38" t="n">
        <f aca="false">MONTH(A2968)</f>
        <v>12</v>
      </c>
      <c r="H2968" s="38" t="n">
        <f aca="false">YEAR(Tabela1[[#This Row],[FECHA]])</f>
        <v>1900</v>
      </c>
      <c r="I29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69" customFormat="false" ht="15" hidden="false" customHeight="false" outlineLevel="0" collapsed="false">
      <c r="A2969" s="41"/>
      <c r="G2969" s="38" t="n">
        <f aca="false">MONTH(A2969)</f>
        <v>12</v>
      </c>
      <c r="H2969" s="38" t="n">
        <f aca="false">YEAR(Tabela1[[#This Row],[FECHA]])</f>
        <v>1900</v>
      </c>
      <c r="I29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70" customFormat="false" ht="15" hidden="false" customHeight="false" outlineLevel="0" collapsed="false">
      <c r="A2970" s="41"/>
      <c r="G2970" s="38" t="n">
        <f aca="false">MONTH(A2970)</f>
        <v>12</v>
      </c>
      <c r="H2970" s="38" t="n">
        <f aca="false">YEAR(Tabela1[[#This Row],[FECHA]])</f>
        <v>1900</v>
      </c>
      <c r="I29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71" customFormat="false" ht="15" hidden="false" customHeight="false" outlineLevel="0" collapsed="false">
      <c r="A2971" s="41"/>
      <c r="G2971" s="38" t="n">
        <f aca="false">MONTH(A2971)</f>
        <v>12</v>
      </c>
      <c r="H2971" s="38" t="n">
        <f aca="false">YEAR(Tabela1[[#This Row],[FECHA]])</f>
        <v>1900</v>
      </c>
      <c r="I29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72" customFormat="false" ht="15" hidden="false" customHeight="false" outlineLevel="0" collapsed="false">
      <c r="A2972" s="41"/>
      <c r="G2972" s="38" t="n">
        <f aca="false">MONTH(A2972)</f>
        <v>12</v>
      </c>
      <c r="H2972" s="38" t="n">
        <f aca="false">YEAR(Tabela1[[#This Row],[FECHA]])</f>
        <v>1900</v>
      </c>
      <c r="I29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73" customFormat="false" ht="15" hidden="false" customHeight="false" outlineLevel="0" collapsed="false">
      <c r="A2973" s="41"/>
      <c r="G2973" s="38" t="n">
        <f aca="false">MONTH(A2973)</f>
        <v>12</v>
      </c>
      <c r="H2973" s="38" t="n">
        <f aca="false">YEAR(Tabela1[[#This Row],[FECHA]])</f>
        <v>1900</v>
      </c>
      <c r="I29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74" customFormat="false" ht="15" hidden="false" customHeight="false" outlineLevel="0" collapsed="false">
      <c r="A2974" s="41"/>
      <c r="G2974" s="38" t="n">
        <f aca="false">MONTH(A2974)</f>
        <v>12</v>
      </c>
      <c r="H2974" s="38" t="n">
        <f aca="false">YEAR(Tabela1[[#This Row],[FECHA]])</f>
        <v>1900</v>
      </c>
      <c r="I29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75" customFormat="false" ht="15" hidden="false" customHeight="false" outlineLevel="0" collapsed="false">
      <c r="A2975" s="41"/>
      <c r="G2975" s="38" t="n">
        <f aca="false">MONTH(A2975)</f>
        <v>12</v>
      </c>
      <c r="H2975" s="38" t="n">
        <f aca="false">YEAR(Tabela1[[#This Row],[FECHA]])</f>
        <v>1900</v>
      </c>
      <c r="I29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76" customFormat="false" ht="15" hidden="false" customHeight="false" outlineLevel="0" collapsed="false">
      <c r="A2976" s="41"/>
      <c r="G2976" s="38" t="n">
        <f aca="false">MONTH(A2976)</f>
        <v>12</v>
      </c>
      <c r="H2976" s="38" t="n">
        <f aca="false">YEAR(Tabela1[[#This Row],[FECHA]])</f>
        <v>1900</v>
      </c>
      <c r="I29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77" customFormat="false" ht="15" hidden="false" customHeight="false" outlineLevel="0" collapsed="false">
      <c r="A2977" s="41"/>
      <c r="G2977" s="38" t="n">
        <f aca="false">MONTH(A2977)</f>
        <v>12</v>
      </c>
      <c r="H2977" s="38" t="n">
        <f aca="false">YEAR(Tabela1[[#This Row],[FECHA]])</f>
        <v>1900</v>
      </c>
      <c r="I29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78" customFormat="false" ht="15" hidden="false" customHeight="false" outlineLevel="0" collapsed="false">
      <c r="A2978" s="41"/>
      <c r="G2978" s="38" t="n">
        <f aca="false">MONTH(A2978)</f>
        <v>12</v>
      </c>
      <c r="H2978" s="38" t="n">
        <f aca="false">YEAR(Tabela1[[#This Row],[FECHA]])</f>
        <v>1900</v>
      </c>
      <c r="I29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79" customFormat="false" ht="15" hidden="false" customHeight="false" outlineLevel="0" collapsed="false">
      <c r="A2979" s="41"/>
      <c r="G2979" s="38" t="n">
        <f aca="false">MONTH(A2979)</f>
        <v>12</v>
      </c>
      <c r="H2979" s="38" t="n">
        <f aca="false">YEAR(Tabela1[[#This Row],[FECHA]])</f>
        <v>1900</v>
      </c>
      <c r="I29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80" customFormat="false" ht="15" hidden="false" customHeight="false" outlineLevel="0" collapsed="false">
      <c r="A2980" s="41"/>
      <c r="G2980" s="38" t="n">
        <f aca="false">MONTH(A2980)</f>
        <v>12</v>
      </c>
      <c r="H2980" s="38" t="n">
        <f aca="false">YEAR(Tabela1[[#This Row],[FECHA]])</f>
        <v>1900</v>
      </c>
      <c r="I29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81" customFormat="false" ht="15" hidden="false" customHeight="false" outlineLevel="0" collapsed="false">
      <c r="A2981" s="41"/>
      <c r="G2981" s="38" t="n">
        <f aca="false">MONTH(A2981)</f>
        <v>12</v>
      </c>
      <c r="H2981" s="38" t="n">
        <f aca="false">YEAR(Tabela1[[#This Row],[FECHA]])</f>
        <v>1900</v>
      </c>
      <c r="I29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82" customFormat="false" ht="15" hidden="false" customHeight="false" outlineLevel="0" collapsed="false">
      <c r="A2982" s="41"/>
      <c r="G2982" s="38" t="n">
        <f aca="false">MONTH(A2982)</f>
        <v>12</v>
      </c>
      <c r="H2982" s="38" t="n">
        <f aca="false">YEAR(Tabela1[[#This Row],[FECHA]])</f>
        <v>1900</v>
      </c>
      <c r="I29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83" customFormat="false" ht="15" hidden="false" customHeight="false" outlineLevel="0" collapsed="false">
      <c r="A2983" s="41"/>
      <c r="G2983" s="38" t="n">
        <f aca="false">MONTH(A2983)</f>
        <v>12</v>
      </c>
      <c r="H2983" s="38" t="n">
        <f aca="false">YEAR(Tabela1[[#This Row],[FECHA]])</f>
        <v>1900</v>
      </c>
      <c r="I29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84" customFormat="false" ht="15" hidden="false" customHeight="false" outlineLevel="0" collapsed="false">
      <c r="A2984" s="41"/>
      <c r="G2984" s="38" t="n">
        <f aca="false">MONTH(A2984)</f>
        <v>12</v>
      </c>
      <c r="H2984" s="38" t="n">
        <f aca="false">YEAR(Tabela1[[#This Row],[FECHA]])</f>
        <v>1900</v>
      </c>
      <c r="I29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85" customFormat="false" ht="15" hidden="false" customHeight="false" outlineLevel="0" collapsed="false">
      <c r="A2985" s="41"/>
      <c r="G2985" s="38" t="n">
        <f aca="false">MONTH(A2985)</f>
        <v>12</v>
      </c>
      <c r="H2985" s="38" t="n">
        <f aca="false">YEAR(Tabela1[[#This Row],[FECHA]])</f>
        <v>1900</v>
      </c>
      <c r="I29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86" customFormat="false" ht="15" hidden="false" customHeight="false" outlineLevel="0" collapsed="false">
      <c r="A2986" s="41"/>
      <c r="G2986" s="38" t="n">
        <f aca="false">MONTH(A2986)</f>
        <v>12</v>
      </c>
      <c r="H2986" s="38" t="n">
        <f aca="false">YEAR(Tabela1[[#This Row],[FECHA]])</f>
        <v>1900</v>
      </c>
      <c r="I29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87" customFormat="false" ht="15" hidden="false" customHeight="false" outlineLevel="0" collapsed="false">
      <c r="A2987" s="41"/>
      <c r="G2987" s="38" t="n">
        <f aca="false">MONTH(A2987)</f>
        <v>12</v>
      </c>
      <c r="H2987" s="38" t="n">
        <f aca="false">YEAR(Tabela1[[#This Row],[FECHA]])</f>
        <v>1900</v>
      </c>
      <c r="I29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88" customFormat="false" ht="15" hidden="false" customHeight="false" outlineLevel="0" collapsed="false">
      <c r="A2988" s="41"/>
      <c r="G2988" s="38" t="n">
        <f aca="false">MONTH(A2988)</f>
        <v>12</v>
      </c>
      <c r="H2988" s="38" t="n">
        <f aca="false">YEAR(Tabela1[[#This Row],[FECHA]])</f>
        <v>1900</v>
      </c>
      <c r="I29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89" customFormat="false" ht="15" hidden="false" customHeight="false" outlineLevel="0" collapsed="false">
      <c r="A2989" s="41"/>
      <c r="G2989" s="38" t="n">
        <f aca="false">MONTH(A2989)</f>
        <v>12</v>
      </c>
      <c r="H2989" s="38" t="n">
        <f aca="false">YEAR(Tabela1[[#This Row],[FECHA]])</f>
        <v>1900</v>
      </c>
      <c r="I29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90" customFormat="false" ht="15" hidden="false" customHeight="false" outlineLevel="0" collapsed="false">
      <c r="A2990" s="41"/>
      <c r="G2990" s="38" t="n">
        <f aca="false">MONTH(A2990)</f>
        <v>12</v>
      </c>
      <c r="H2990" s="38" t="n">
        <f aca="false">YEAR(Tabela1[[#This Row],[FECHA]])</f>
        <v>1900</v>
      </c>
      <c r="I29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91" customFormat="false" ht="15" hidden="false" customHeight="false" outlineLevel="0" collapsed="false">
      <c r="A2991" s="41"/>
      <c r="G2991" s="38" t="n">
        <f aca="false">MONTH(A2991)</f>
        <v>12</v>
      </c>
      <c r="H2991" s="38" t="n">
        <f aca="false">YEAR(Tabela1[[#This Row],[FECHA]])</f>
        <v>1900</v>
      </c>
      <c r="I29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92" customFormat="false" ht="15" hidden="false" customHeight="false" outlineLevel="0" collapsed="false">
      <c r="A2992" s="41"/>
      <c r="G2992" s="38" t="n">
        <f aca="false">MONTH(A2992)</f>
        <v>12</v>
      </c>
      <c r="H2992" s="38" t="n">
        <f aca="false">YEAR(Tabela1[[#This Row],[FECHA]])</f>
        <v>1900</v>
      </c>
      <c r="I29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93" customFormat="false" ht="15" hidden="false" customHeight="false" outlineLevel="0" collapsed="false">
      <c r="A2993" s="41"/>
      <c r="G2993" s="38" t="n">
        <f aca="false">MONTH(A2993)</f>
        <v>12</v>
      </c>
      <c r="H2993" s="38" t="n">
        <f aca="false">YEAR(Tabela1[[#This Row],[FECHA]])</f>
        <v>1900</v>
      </c>
      <c r="I29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94" customFormat="false" ht="15" hidden="false" customHeight="false" outlineLevel="0" collapsed="false">
      <c r="A2994" s="41"/>
      <c r="G2994" s="38" t="n">
        <f aca="false">MONTH(A2994)</f>
        <v>12</v>
      </c>
      <c r="H2994" s="38" t="n">
        <f aca="false">YEAR(Tabela1[[#This Row],[FECHA]])</f>
        <v>1900</v>
      </c>
      <c r="I29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95" customFormat="false" ht="15" hidden="false" customHeight="false" outlineLevel="0" collapsed="false">
      <c r="A2995" s="41"/>
      <c r="G2995" s="38" t="n">
        <f aca="false">MONTH(A2995)</f>
        <v>12</v>
      </c>
      <c r="H2995" s="38" t="n">
        <f aca="false">YEAR(Tabela1[[#This Row],[FECHA]])</f>
        <v>1900</v>
      </c>
      <c r="I29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96" customFormat="false" ht="15" hidden="false" customHeight="false" outlineLevel="0" collapsed="false">
      <c r="A2996" s="41"/>
      <c r="G2996" s="38" t="n">
        <f aca="false">MONTH(A2996)</f>
        <v>12</v>
      </c>
      <c r="H2996" s="38" t="n">
        <f aca="false">YEAR(Tabela1[[#This Row],[FECHA]])</f>
        <v>1900</v>
      </c>
      <c r="I29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97" customFormat="false" ht="15" hidden="false" customHeight="false" outlineLevel="0" collapsed="false">
      <c r="A2997" s="41"/>
      <c r="G2997" s="38" t="n">
        <f aca="false">MONTH(A2997)</f>
        <v>12</v>
      </c>
      <c r="H2997" s="38" t="n">
        <f aca="false">YEAR(Tabela1[[#This Row],[FECHA]])</f>
        <v>1900</v>
      </c>
      <c r="I29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98" customFormat="false" ht="15" hidden="false" customHeight="false" outlineLevel="0" collapsed="false">
      <c r="A2998" s="41"/>
      <c r="G2998" s="38" t="n">
        <f aca="false">MONTH(A2998)</f>
        <v>12</v>
      </c>
      <c r="H2998" s="38" t="n">
        <f aca="false">YEAR(Tabela1[[#This Row],[FECHA]])</f>
        <v>1900</v>
      </c>
      <c r="I29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2999" customFormat="false" ht="15" hidden="false" customHeight="false" outlineLevel="0" collapsed="false">
      <c r="A2999" s="41"/>
      <c r="G2999" s="38" t="n">
        <f aca="false">MONTH(A2999)</f>
        <v>12</v>
      </c>
      <c r="H2999" s="38" t="n">
        <f aca="false">YEAR(Tabela1[[#This Row],[FECHA]])</f>
        <v>1900</v>
      </c>
      <c r="I29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00" customFormat="false" ht="15" hidden="false" customHeight="false" outlineLevel="0" collapsed="false">
      <c r="A3000" s="41"/>
      <c r="G3000" s="38" t="n">
        <f aca="false">MONTH(A3000)</f>
        <v>12</v>
      </c>
      <c r="H3000" s="38" t="n">
        <f aca="false">YEAR(Tabela1[[#This Row],[FECHA]])</f>
        <v>1900</v>
      </c>
      <c r="I30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01" customFormat="false" ht="15" hidden="false" customHeight="false" outlineLevel="0" collapsed="false">
      <c r="A3001" s="41"/>
      <c r="G3001" s="38" t="n">
        <f aca="false">MONTH(A3001)</f>
        <v>12</v>
      </c>
      <c r="H3001" s="38" t="n">
        <f aca="false">YEAR(Tabela1[[#This Row],[FECHA]])</f>
        <v>1900</v>
      </c>
      <c r="I30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02" customFormat="false" ht="15" hidden="false" customHeight="false" outlineLevel="0" collapsed="false">
      <c r="A3002" s="41"/>
      <c r="G3002" s="38" t="n">
        <f aca="false">MONTH(A3002)</f>
        <v>12</v>
      </c>
      <c r="H3002" s="38" t="n">
        <f aca="false">YEAR(Tabela1[[#This Row],[FECHA]])</f>
        <v>1900</v>
      </c>
      <c r="I30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03" customFormat="false" ht="15" hidden="false" customHeight="false" outlineLevel="0" collapsed="false">
      <c r="A3003" s="41"/>
      <c r="G3003" s="38" t="n">
        <f aca="false">MONTH(A3003)</f>
        <v>12</v>
      </c>
      <c r="H3003" s="38" t="n">
        <f aca="false">YEAR(Tabela1[[#This Row],[FECHA]])</f>
        <v>1900</v>
      </c>
      <c r="I30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04" customFormat="false" ht="15" hidden="false" customHeight="false" outlineLevel="0" collapsed="false">
      <c r="A3004" s="41"/>
      <c r="G3004" s="38" t="n">
        <f aca="false">MONTH(A3004)</f>
        <v>12</v>
      </c>
      <c r="H3004" s="38" t="n">
        <f aca="false">YEAR(Tabela1[[#This Row],[FECHA]])</f>
        <v>1900</v>
      </c>
      <c r="I30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05" customFormat="false" ht="15" hidden="false" customHeight="false" outlineLevel="0" collapsed="false">
      <c r="A3005" s="41"/>
      <c r="G3005" s="38" t="n">
        <f aca="false">MONTH(A3005)</f>
        <v>12</v>
      </c>
      <c r="H3005" s="38" t="n">
        <f aca="false">YEAR(Tabela1[[#This Row],[FECHA]])</f>
        <v>1900</v>
      </c>
      <c r="I30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06" customFormat="false" ht="15" hidden="false" customHeight="false" outlineLevel="0" collapsed="false">
      <c r="A3006" s="41"/>
      <c r="G3006" s="38" t="n">
        <f aca="false">MONTH(A3006)</f>
        <v>12</v>
      </c>
      <c r="H3006" s="38" t="n">
        <f aca="false">YEAR(Tabela1[[#This Row],[FECHA]])</f>
        <v>1900</v>
      </c>
      <c r="I30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07" customFormat="false" ht="15" hidden="false" customHeight="false" outlineLevel="0" collapsed="false">
      <c r="A3007" s="41"/>
      <c r="G3007" s="38" t="n">
        <f aca="false">MONTH(A3007)</f>
        <v>12</v>
      </c>
      <c r="H3007" s="38" t="n">
        <f aca="false">YEAR(Tabela1[[#This Row],[FECHA]])</f>
        <v>1900</v>
      </c>
      <c r="I30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08" customFormat="false" ht="15" hidden="false" customHeight="false" outlineLevel="0" collapsed="false">
      <c r="A3008" s="41"/>
      <c r="G3008" s="38" t="n">
        <f aca="false">MONTH(A3008)</f>
        <v>12</v>
      </c>
      <c r="H3008" s="38" t="n">
        <f aca="false">YEAR(Tabela1[[#This Row],[FECHA]])</f>
        <v>1900</v>
      </c>
      <c r="I30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09" customFormat="false" ht="15" hidden="false" customHeight="false" outlineLevel="0" collapsed="false">
      <c r="A3009" s="41"/>
      <c r="G3009" s="38" t="n">
        <f aca="false">MONTH(A3009)</f>
        <v>12</v>
      </c>
      <c r="H3009" s="38" t="n">
        <f aca="false">YEAR(Tabela1[[#This Row],[FECHA]])</f>
        <v>1900</v>
      </c>
      <c r="I30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10" customFormat="false" ht="15" hidden="false" customHeight="false" outlineLevel="0" collapsed="false">
      <c r="A3010" s="41"/>
      <c r="G3010" s="38" t="n">
        <f aca="false">MONTH(A3010)</f>
        <v>12</v>
      </c>
      <c r="H3010" s="38" t="n">
        <f aca="false">YEAR(Tabela1[[#This Row],[FECHA]])</f>
        <v>1900</v>
      </c>
      <c r="I30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11" customFormat="false" ht="15" hidden="false" customHeight="false" outlineLevel="0" collapsed="false">
      <c r="A3011" s="41"/>
      <c r="G3011" s="38" t="n">
        <f aca="false">MONTH(A3011)</f>
        <v>12</v>
      </c>
      <c r="H3011" s="38" t="n">
        <f aca="false">YEAR(Tabela1[[#This Row],[FECHA]])</f>
        <v>1900</v>
      </c>
      <c r="I30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12" customFormat="false" ht="15" hidden="false" customHeight="false" outlineLevel="0" collapsed="false">
      <c r="A3012" s="41"/>
      <c r="G3012" s="38" t="n">
        <f aca="false">MONTH(A3012)</f>
        <v>12</v>
      </c>
      <c r="H3012" s="38" t="n">
        <f aca="false">YEAR(Tabela1[[#This Row],[FECHA]])</f>
        <v>1900</v>
      </c>
      <c r="I30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13" customFormat="false" ht="15" hidden="false" customHeight="false" outlineLevel="0" collapsed="false">
      <c r="A3013" s="41"/>
      <c r="G3013" s="38" t="n">
        <f aca="false">MONTH(A3013)</f>
        <v>12</v>
      </c>
      <c r="H3013" s="38" t="n">
        <f aca="false">YEAR(Tabela1[[#This Row],[FECHA]])</f>
        <v>1900</v>
      </c>
      <c r="I30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14" customFormat="false" ht="15" hidden="false" customHeight="false" outlineLevel="0" collapsed="false">
      <c r="A3014" s="41"/>
      <c r="G3014" s="38" t="n">
        <f aca="false">MONTH(A3014)</f>
        <v>12</v>
      </c>
      <c r="H3014" s="38" t="n">
        <f aca="false">YEAR(Tabela1[[#This Row],[FECHA]])</f>
        <v>1900</v>
      </c>
      <c r="I30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15" customFormat="false" ht="15" hidden="false" customHeight="false" outlineLevel="0" collapsed="false">
      <c r="A3015" s="41"/>
      <c r="G3015" s="38" t="n">
        <f aca="false">MONTH(A3015)</f>
        <v>12</v>
      </c>
      <c r="H3015" s="38" t="n">
        <f aca="false">YEAR(Tabela1[[#This Row],[FECHA]])</f>
        <v>1900</v>
      </c>
      <c r="I30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16" customFormat="false" ht="15" hidden="false" customHeight="false" outlineLevel="0" collapsed="false">
      <c r="A3016" s="41"/>
      <c r="G3016" s="38" t="n">
        <f aca="false">MONTH(A3016)</f>
        <v>12</v>
      </c>
      <c r="H3016" s="38" t="n">
        <f aca="false">YEAR(Tabela1[[#This Row],[FECHA]])</f>
        <v>1900</v>
      </c>
      <c r="I30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17" customFormat="false" ht="15" hidden="false" customHeight="false" outlineLevel="0" collapsed="false">
      <c r="A3017" s="41"/>
      <c r="G3017" s="38" t="n">
        <f aca="false">MONTH(A3017)</f>
        <v>12</v>
      </c>
      <c r="H3017" s="38" t="n">
        <f aca="false">YEAR(Tabela1[[#This Row],[FECHA]])</f>
        <v>1900</v>
      </c>
      <c r="I30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18" customFormat="false" ht="15" hidden="false" customHeight="false" outlineLevel="0" collapsed="false">
      <c r="A3018" s="41"/>
      <c r="G3018" s="38" t="n">
        <f aca="false">MONTH(A3018)</f>
        <v>12</v>
      </c>
      <c r="H3018" s="38" t="n">
        <f aca="false">YEAR(Tabela1[[#This Row],[FECHA]])</f>
        <v>1900</v>
      </c>
      <c r="I30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19" customFormat="false" ht="15" hidden="false" customHeight="false" outlineLevel="0" collapsed="false">
      <c r="A3019" s="41"/>
      <c r="G3019" s="38" t="n">
        <f aca="false">MONTH(A3019)</f>
        <v>12</v>
      </c>
      <c r="H3019" s="38" t="n">
        <f aca="false">YEAR(Tabela1[[#This Row],[FECHA]])</f>
        <v>1900</v>
      </c>
      <c r="I30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20" customFormat="false" ht="15" hidden="false" customHeight="false" outlineLevel="0" collapsed="false">
      <c r="A3020" s="41"/>
      <c r="G3020" s="38" t="n">
        <f aca="false">MONTH(A3020)</f>
        <v>12</v>
      </c>
      <c r="H3020" s="38" t="n">
        <f aca="false">YEAR(Tabela1[[#This Row],[FECHA]])</f>
        <v>1900</v>
      </c>
      <c r="I30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21" customFormat="false" ht="15" hidden="false" customHeight="false" outlineLevel="0" collapsed="false">
      <c r="A3021" s="41"/>
      <c r="G3021" s="38" t="n">
        <f aca="false">MONTH(A3021)</f>
        <v>12</v>
      </c>
      <c r="H3021" s="38" t="n">
        <f aca="false">YEAR(Tabela1[[#This Row],[FECHA]])</f>
        <v>1900</v>
      </c>
      <c r="I30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22" customFormat="false" ht="15" hidden="false" customHeight="false" outlineLevel="0" collapsed="false">
      <c r="A3022" s="41"/>
      <c r="G3022" s="38" t="n">
        <f aca="false">MONTH(A3022)</f>
        <v>12</v>
      </c>
      <c r="H3022" s="38" t="n">
        <f aca="false">YEAR(Tabela1[[#This Row],[FECHA]])</f>
        <v>1900</v>
      </c>
      <c r="I30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23" customFormat="false" ht="15" hidden="false" customHeight="false" outlineLevel="0" collapsed="false">
      <c r="A3023" s="41"/>
      <c r="G3023" s="38" t="n">
        <f aca="false">MONTH(A3023)</f>
        <v>12</v>
      </c>
      <c r="H3023" s="38" t="n">
        <f aca="false">YEAR(Tabela1[[#This Row],[FECHA]])</f>
        <v>1900</v>
      </c>
      <c r="I30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24" customFormat="false" ht="15" hidden="false" customHeight="false" outlineLevel="0" collapsed="false">
      <c r="A3024" s="41"/>
      <c r="G3024" s="38" t="n">
        <f aca="false">MONTH(A3024)</f>
        <v>12</v>
      </c>
      <c r="H3024" s="38" t="n">
        <f aca="false">YEAR(Tabela1[[#This Row],[FECHA]])</f>
        <v>1900</v>
      </c>
      <c r="I30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25" customFormat="false" ht="15" hidden="false" customHeight="false" outlineLevel="0" collapsed="false">
      <c r="A3025" s="41"/>
      <c r="G3025" s="38" t="n">
        <f aca="false">MONTH(A3025)</f>
        <v>12</v>
      </c>
      <c r="H3025" s="38" t="n">
        <f aca="false">YEAR(Tabela1[[#This Row],[FECHA]])</f>
        <v>1900</v>
      </c>
      <c r="I30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26" customFormat="false" ht="15" hidden="false" customHeight="false" outlineLevel="0" collapsed="false">
      <c r="A3026" s="41"/>
      <c r="G3026" s="38" t="n">
        <f aca="false">MONTH(A3026)</f>
        <v>12</v>
      </c>
      <c r="H3026" s="38" t="n">
        <f aca="false">YEAR(Tabela1[[#This Row],[FECHA]])</f>
        <v>1900</v>
      </c>
      <c r="I30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27" customFormat="false" ht="15" hidden="false" customHeight="false" outlineLevel="0" collapsed="false">
      <c r="A3027" s="41"/>
      <c r="G3027" s="38" t="n">
        <f aca="false">MONTH(A3027)</f>
        <v>12</v>
      </c>
      <c r="H3027" s="38" t="n">
        <f aca="false">YEAR(Tabela1[[#This Row],[FECHA]])</f>
        <v>1900</v>
      </c>
      <c r="I30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28" customFormat="false" ht="15" hidden="false" customHeight="false" outlineLevel="0" collapsed="false">
      <c r="A3028" s="41"/>
      <c r="G3028" s="38" t="n">
        <f aca="false">MONTH(A3028)</f>
        <v>12</v>
      </c>
      <c r="H3028" s="38" t="n">
        <f aca="false">YEAR(Tabela1[[#This Row],[FECHA]])</f>
        <v>1900</v>
      </c>
      <c r="I30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29" customFormat="false" ht="15" hidden="false" customHeight="false" outlineLevel="0" collapsed="false">
      <c r="A3029" s="41"/>
      <c r="G3029" s="38" t="n">
        <f aca="false">MONTH(A3029)</f>
        <v>12</v>
      </c>
      <c r="H3029" s="38" t="n">
        <f aca="false">YEAR(Tabela1[[#This Row],[FECHA]])</f>
        <v>1900</v>
      </c>
      <c r="I30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30" customFormat="false" ht="15" hidden="false" customHeight="false" outlineLevel="0" collapsed="false">
      <c r="A3030" s="41"/>
      <c r="G3030" s="38" t="n">
        <f aca="false">MONTH(A3030)</f>
        <v>12</v>
      </c>
      <c r="H3030" s="38" t="n">
        <f aca="false">YEAR(Tabela1[[#This Row],[FECHA]])</f>
        <v>1900</v>
      </c>
      <c r="I30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31" customFormat="false" ht="15" hidden="false" customHeight="false" outlineLevel="0" collapsed="false">
      <c r="A3031" s="41"/>
      <c r="G3031" s="38" t="n">
        <f aca="false">MONTH(A3031)</f>
        <v>12</v>
      </c>
      <c r="H3031" s="38" t="n">
        <f aca="false">YEAR(Tabela1[[#This Row],[FECHA]])</f>
        <v>1900</v>
      </c>
      <c r="I30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32" customFormat="false" ht="15" hidden="false" customHeight="false" outlineLevel="0" collapsed="false">
      <c r="A3032" s="41"/>
      <c r="G3032" s="38" t="n">
        <f aca="false">MONTH(A3032)</f>
        <v>12</v>
      </c>
      <c r="H3032" s="38" t="n">
        <f aca="false">YEAR(Tabela1[[#This Row],[FECHA]])</f>
        <v>1900</v>
      </c>
      <c r="I30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33" customFormat="false" ht="15" hidden="false" customHeight="false" outlineLevel="0" collapsed="false">
      <c r="A3033" s="41"/>
      <c r="G3033" s="38" t="n">
        <f aca="false">MONTH(A3033)</f>
        <v>12</v>
      </c>
      <c r="H3033" s="38" t="n">
        <f aca="false">YEAR(Tabela1[[#This Row],[FECHA]])</f>
        <v>1900</v>
      </c>
      <c r="I30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34" customFormat="false" ht="15" hidden="false" customHeight="false" outlineLevel="0" collapsed="false">
      <c r="A3034" s="41"/>
      <c r="G3034" s="38" t="n">
        <f aca="false">MONTH(A3034)</f>
        <v>12</v>
      </c>
      <c r="H3034" s="38" t="n">
        <f aca="false">YEAR(Tabela1[[#This Row],[FECHA]])</f>
        <v>1900</v>
      </c>
      <c r="I30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35" customFormat="false" ht="15" hidden="false" customHeight="false" outlineLevel="0" collapsed="false">
      <c r="A3035" s="41"/>
      <c r="G3035" s="38" t="n">
        <f aca="false">MONTH(A3035)</f>
        <v>12</v>
      </c>
      <c r="H3035" s="38" t="n">
        <f aca="false">YEAR(Tabela1[[#This Row],[FECHA]])</f>
        <v>1900</v>
      </c>
      <c r="I30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36" customFormat="false" ht="15" hidden="false" customHeight="false" outlineLevel="0" collapsed="false">
      <c r="A3036" s="41"/>
      <c r="G3036" s="38" t="n">
        <f aca="false">MONTH(A3036)</f>
        <v>12</v>
      </c>
      <c r="H3036" s="38" t="n">
        <f aca="false">YEAR(Tabela1[[#This Row],[FECHA]])</f>
        <v>1900</v>
      </c>
      <c r="I30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37" customFormat="false" ht="15" hidden="false" customHeight="false" outlineLevel="0" collapsed="false">
      <c r="A3037" s="41"/>
      <c r="G3037" s="38" t="n">
        <f aca="false">MONTH(A3037)</f>
        <v>12</v>
      </c>
      <c r="H3037" s="38" t="n">
        <f aca="false">YEAR(Tabela1[[#This Row],[FECHA]])</f>
        <v>1900</v>
      </c>
      <c r="I30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38" customFormat="false" ht="15" hidden="false" customHeight="false" outlineLevel="0" collapsed="false">
      <c r="A3038" s="41"/>
      <c r="G3038" s="38" t="n">
        <f aca="false">MONTH(A3038)</f>
        <v>12</v>
      </c>
      <c r="H3038" s="38" t="n">
        <f aca="false">YEAR(Tabela1[[#This Row],[FECHA]])</f>
        <v>1900</v>
      </c>
      <c r="I30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39" customFormat="false" ht="15" hidden="false" customHeight="false" outlineLevel="0" collapsed="false">
      <c r="A3039" s="41"/>
      <c r="G3039" s="38" t="n">
        <f aca="false">MONTH(A3039)</f>
        <v>12</v>
      </c>
      <c r="H3039" s="38" t="n">
        <f aca="false">YEAR(Tabela1[[#This Row],[FECHA]])</f>
        <v>1900</v>
      </c>
      <c r="I30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40" customFormat="false" ht="15" hidden="false" customHeight="false" outlineLevel="0" collapsed="false">
      <c r="A3040" s="41"/>
      <c r="G3040" s="38" t="n">
        <f aca="false">MONTH(A3040)</f>
        <v>12</v>
      </c>
      <c r="H3040" s="38" t="n">
        <f aca="false">YEAR(Tabela1[[#This Row],[FECHA]])</f>
        <v>1900</v>
      </c>
      <c r="I30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41" customFormat="false" ht="15" hidden="false" customHeight="false" outlineLevel="0" collapsed="false">
      <c r="A3041" s="41"/>
      <c r="G3041" s="38" t="n">
        <f aca="false">MONTH(A3041)</f>
        <v>12</v>
      </c>
      <c r="H3041" s="38" t="n">
        <f aca="false">YEAR(Tabela1[[#This Row],[FECHA]])</f>
        <v>1900</v>
      </c>
      <c r="I30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42" customFormat="false" ht="15" hidden="false" customHeight="false" outlineLevel="0" collapsed="false">
      <c r="A3042" s="41"/>
      <c r="G3042" s="38" t="n">
        <f aca="false">MONTH(A3042)</f>
        <v>12</v>
      </c>
      <c r="H3042" s="38" t="n">
        <f aca="false">YEAR(Tabela1[[#This Row],[FECHA]])</f>
        <v>1900</v>
      </c>
      <c r="I30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43" customFormat="false" ht="15" hidden="false" customHeight="false" outlineLevel="0" collapsed="false">
      <c r="A3043" s="41"/>
      <c r="G3043" s="38" t="n">
        <f aca="false">MONTH(A3043)</f>
        <v>12</v>
      </c>
      <c r="H3043" s="38" t="n">
        <f aca="false">YEAR(Tabela1[[#This Row],[FECHA]])</f>
        <v>1900</v>
      </c>
      <c r="I30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44" customFormat="false" ht="15" hidden="false" customHeight="false" outlineLevel="0" collapsed="false">
      <c r="A3044" s="41"/>
      <c r="G3044" s="38" t="n">
        <f aca="false">MONTH(A3044)</f>
        <v>12</v>
      </c>
      <c r="H3044" s="38" t="n">
        <f aca="false">YEAR(Tabela1[[#This Row],[FECHA]])</f>
        <v>1900</v>
      </c>
      <c r="I30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45" customFormat="false" ht="15" hidden="false" customHeight="false" outlineLevel="0" collapsed="false">
      <c r="A3045" s="41"/>
      <c r="G3045" s="38" t="n">
        <f aca="false">MONTH(A3045)</f>
        <v>12</v>
      </c>
      <c r="H3045" s="38" t="n">
        <f aca="false">YEAR(Tabela1[[#This Row],[FECHA]])</f>
        <v>1900</v>
      </c>
      <c r="I30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46" customFormat="false" ht="15" hidden="false" customHeight="false" outlineLevel="0" collapsed="false">
      <c r="A3046" s="41"/>
      <c r="G3046" s="38" t="n">
        <f aca="false">MONTH(A3046)</f>
        <v>12</v>
      </c>
      <c r="H3046" s="38" t="n">
        <f aca="false">YEAR(Tabela1[[#This Row],[FECHA]])</f>
        <v>1900</v>
      </c>
      <c r="I30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47" customFormat="false" ht="15" hidden="false" customHeight="false" outlineLevel="0" collapsed="false">
      <c r="A3047" s="41"/>
      <c r="G3047" s="38" t="n">
        <f aca="false">MONTH(A3047)</f>
        <v>12</v>
      </c>
      <c r="H3047" s="38" t="n">
        <f aca="false">YEAR(Tabela1[[#This Row],[FECHA]])</f>
        <v>1900</v>
      </c>
      <c r="I30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48" customFormat="false" ht="15" hidden="false" customHeight="false" outlineLevel="0" collapsed="false">
      <c r="A3048" s="41"/>
      <c r="G3048" s="38" t="n">
        <f aca="false">MONTH(A3048)</f>
        <v>12</v>
      </c>
      <c r="H3048" s="38" t="n">
        <f aca="false">YEAR(Tabela1[[#This Row],[FECHA]])</f>
        <v>1900</v>
      </c>
      <c r="I30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49" customFormat="false" ht="15" hidden="false" customHeight="false" outlineLevel="0" collapsed="false">
      <c r="A3049" s="41"/>
      <c r="G3049" s="38" t="n">
        <f aca="false">MONTH(A3049)</f>
        <v>12</v>
      </c>
      <c r="H3049" s="38" t="n">
        <f aca="false">YEAR(Tabela1[[#This Row],[FECHA]])</f>
        <v>1900</v>
      </c>
      <c r="I30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50" customFormat="false" ht="15" hidden="false" customHeight="false" outlineLevel="0" collapsed="false">
      <c r="A3050" s="41"/>
      <c r="G3050" s="38" t="n">
        <f aca="false">MONTH(A3050)</f>
        <v>12</v>
      </c>
      <c r="H3050" s="38" t="n">
        <f aca="false">YEAR(Tabela1[[#This Row],[FECHA]])</f>
        <v>1900</v>
      </c>
      <c r="I30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51" customFormat="false" ht="15" hidden="false" customHeight="false" outlineLevel="0" collapsed="false">
      <c r="A3051" s="41"/>
      <c r="G3051" s="38" t="n">
        <f aca="false">MONTH(A3051)</f>
        <v>12</v>
      </c>
      <c r="H3051" s="38" t="n">
        <f aca="false">YEAR(Tabela1[[#This Row],[FECHA]])</f>
        <v>1900</v>
      </c>
      <c r="I30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52" customFormat="false" ht="15" hidden="false" customHeight="false" outlineLevel="0" collapsed="false">
      <c r="A3052" s="41"/>
      <c r="G3052" s="38" t="n">
        <f aca="false">MONTH(A3052)</f>
        <v>12</v>
      </c>
      <c r="H3052" s="38" t="n">
        <f aca="false">YEAR(Tabela1[[#This Row],[FECHA]])</f>
        <v>1900</v>
      </c>
      <c r="I30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53" customFormat="false" ht="15" hidden="false" customHeight="false" outlineLevel="0" collapsed="false">
      <c r="A3053" s="41"/>
      <c r="G3053" s="38" t="n">
        <f aca="false">MONTH(A3053)</f>
        <v>12</v>
      </c>
      <c r="H3053" s="38" t="n">
        <f aca="false">YEAR(Tabela1[[#This Row],[FECHA]])</f>
        <v>1900</v>
      </c>
      <c r="I30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54" customFormat="false" ht="15" hidden="false" customHeight="false" outlineLevel="0" collapsed="false">
      <c r="A3054" s="41"/>
      <c r="G3054" s="38" t="n">
        <f aca="false">MONTH(A3054)</f>
        <v>12</v>
      </c>
      <c r="H3054" s="38" t="n">
        <f aca="false">YEAR(Tabela1[[#This Row],[FECHA]])</f>
        <v>1900</v>
      </c>
      <c r="I30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55" customFormat="false" ht="15" hidden="false" customHeight="false" outlineLevel="0" collapsed="false">
      <c r="A3055" s="41"/>
      <c r="G3055" s="38" t="n">
        <f aca="false">MONTH(A3055)</f>
        <v>12</v>
      </c>
      <c r="H3055" s="38" t="n">
        <f aca="false">YEAR(Tabela1[[#This Row],[FECHA]])</f>
        <v>1900</v>
      </c>
      <c r="I30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56" customFormat="false" ht="15" hidden="false" customHeight="false" outlineLevel="0" collapsed="false">
      <c r="A3056" s="41"/>
      <c r="G3056" s="38" t="n">
        <f aca="false">MONTH(A3056)</f>
        <v>12</v>
      </c>
      <c r="H3056" s="38" t="n">
        <f aca="false">YEAR(Tabela1[[#This Row],[FECHA]])</f>
        <v>1900</v>
      </c>
      <c r="I30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57" customFormat="false" ht="15" hidden="false" customHeight="false" outlineLevel="0" collapsed="false">
      <c r="A3057" s="41"/>
      <c r="G3057" s="38" t="n">
        <f aca="false">MONTH(A3057)</f>
        <v>12</v>
      </c>
      <c r="H3057" s="38" t="n">
        <f aca="false">YEAR(Tabela1[[#This Row],[FECHA]])</f>
        <v>1900</v>
      </c>
      <c r="I30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58" customFormat="false" ht="15" hidden="false" customHeight="false" outlineLevel="0" collapsed="false">
      <c r="A3058" s="41"/>
      <c r="G3058" s="38" t="n">
        <f aca="false">MONTH(A3058)</f>
        <v>12</v>
      </c>
      <c r="H3058" s="38" t="n">
        <f aca="false">YEAR(Tabela1[[#This Row],[FECHA]])</f>
        <v>1900</v>
      </c>
      <c r="I30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59" customFormat="false" ht="15" hidden="false" customHeight="false" outlineLevel="0" collapsed="false">
      <c r="A3059" s="41"/>
      <c r="G3059" s="38" t="n">
        <f aca="false">MONTH(A3059)</f>
        <v>12</v>
      </c>
      <c r="H3059" s="38" t="n">
        <f aca="false">YEAR(Tabela1[[#This Row],[FECHA]])</f>
        <v>1900</v>
      </c>
      <c r="I30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60" customFormat="false" ht="15" hidden="false" customHeight="false" outlineLevel="0" collapsed="false">
      <c r="A3060" s="41"/>
      <c r="G3060" s="38" t="n">
        <f aca="false">MONTH(A3060)</f>
        <v>12</v>
      </c>
      <c r="H3060" s="38" t="n">
        <f aca="false">YEAR(Tabela1[[#This Row],[FECHA]])</f>
        <v>1900</v>
      </c>
      <c r="I30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61" customFormat="false" ht="15" hidden="false" customHeight="false" outlineLevel="0" collapsed="false">
      <c r="A3061" s="41"/>
      <c r="G3061" s="38" t="n">
        <f aca="false">MONTH(A3061)</f>
        <v>12</v>
      </c>
      <c r="H3061" s="38" t="n">
        <f aca="false">YEAR(Tabela1[[#This Row],[FECHA]])</f>
        <v>1900</v>
      </c>
      <c r="I30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62" customFormat="false" ht="15" hidden="false" customHeight="false" outlineLevel="0" collapsed="false">
      <c r="A3062" s="41"/>
      <c r="G3062" s="38" t="n">
        <f aca="false">MONTH(A3062)</f>
        <v>12</v>
      </c>
      <c r="H3062" s="38" t="n">
        <f aca="false">YEAR(Tabela1[[#This Row],[FECHA]])</f>
        <v>1900</v>
      </c>
      <c r="I30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63" customFormat="false" ht="15" hidden="false" customHeight="false" outlineLevel="0" collapsed="false">
      <c r="A3063" s="41"/>
      <c r="G3063" s="38" t="n">
        <f aca="false">MONTH(A3063)</f>
        <v>12</v>
      </c>
      <c r="H3063" s="38" t="n">
        <f aca="false">YEAR(Tabela1[[#This Row],[FECHA]])</f>
        <v>1900</v>
      </c>
      <c r="I30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64" customFormat="false" ht="15" hidden="false" customHeight="false" outlineLevel="0" collapsed="false">
      <c r="A3064" s="41"/>
      <c r="G3064" s="38" t="n">
        <f aca="false">MONTH(A3064)</f>
        <v>12</v>
      </c>
      <c r="H3064" s="38" t="n">
        <f aca="false">YEAR(Tabela1[[#This Row],[FECHA]])</f>
        <v>1900</v>
      </c>
      <c r="I30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65" customFormat="false" ht="15" hidden="false" customHeight="false" outlineLevel="0" collapsed="false">
      <c r="A3065" s="41"/>
      <c r="G3065" s="38" t="n">
        <f aca="false">MONTH(A3065)</f>
        <v>12</v>
      </c>
      <c r="H3065" s="38" t="n">
        <f aca="false">YEAR(Tabela1[[#This Row],[FECHA]])</f>
        <v>1900</v>
      </c>
      <c r="I30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66" customFormat="false" ht="15" hidden="false" customHeight="false" outlineLevel="0" collapsed="false">
      <c r="A3066" s="41"/>
      <c r="G3066" s="38" t="n">
        <f aca="false">MONTH(A3066)</f>
        <v>12</v>
      </c>
      <c r="H3066" s="38" t="n">
        <f aca="false">YEAR(Tabela1[[#This Row],[FECHA]])</f>
        <v>1900</v>
      </c>
      <c r="I30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67" customFormat="false" ht="15" hidden="false" customHeight="false" outlineLevel="0" collapsed="false">
      <c r="A3067" s="41"/>
      <c r="G3067" s="38" t="n">
        <f aca="false">MONTH(A3067)</f>
        <v>12</v>
      </c>
      <c r="H3067" s="38" t="n">
        <f aca="false">YEAR(Tabela1[[#This Row],[FECHA]])</f>
        <v>1900</v>
      </c>
      <c r="I30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68" customFormat="false" ht="15" hidden="false" customHeight="false" outlineLevel="0" collapsed="false">
      <c r="A3068" s="41"/>
      <c r="G3068" s="38" t="n">
        <f aca="false">MONTH(A3068)</f>
        <v>12</v>
      </c>
      <c r="H3068" s="38" t="n">
        <f aca="false">YEAR(Tabela1[[#This Row],[FECHA]])</f>
        <v>1900</v>
      </c>
      <c r="I30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69" customFormat="false" ht="15" hidden="false" customHeight="false" outlineLevel="0" collapsed="false">
      <c r="A3069" s="41"/>
      <c r="G3069" s="38" t="n">
        <f aca="false">MONTH(A3069)</f>
        <v>12</v>
      </c>
      <c r="H3069" s="38" t="n">
        <f aca="false">YEAR(Tabela1[[#This Row],[FECHA]])</f>
        <v>1900</v>
      </c>
      <c r="I30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70" customFormat="false" ht="15" hidden="false" customHeight="false" outlineLevel="0" collapsed="false">
      <c r="A3070" s="41"/>
      <c r="G3070" s="38" t="n">
        <f aca="false">MONTH(A3070)</f>
        <v>12</v>
      </c>
      <c r="H3070" s="38" t="n">
        <f aca="false">YEAR(Tabela1[[#This Row],[FECHA]])</f>
        <v>1900</v>
      </c>
      <c r="I30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71" customFormat="false" ht="15" hidden="false" customHeight="false" outlineLevel="0" collapsed="false">
      <c r="A3071" s="41"/>
      <c r="G3071" s="38" t="n">
        <f aca="false">MONTH(A3071)</f>
        <v>12</v>
      </c>
      <c r="H3071" s="38" t="n">
        <f aca="false">YEAR(Tabela1[[#This Row],[FECHA]])</f>
        <v>1900</v>
      </c>
      <c r="I30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72" customFormat="false" ht="15" hidden="false" customHeight="false" outlineLevel="0" collapsed="false">
      <c r="A3072" s="41"/>
      <c r="G3072" s="38" t="n">
        <f aca="false">MONTH(A3072)</f>
        <v>12</v>
      </c>
      <c r="H3072" s="38" t="n">
        <f aca="false">YEAR(Tabela1[[#This Row],[FECHA]])</f>
        <v>1900</v>
      </c>
      <c r="I30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73" customFormat="false" ht="15" hidden="false" customHeight="false" outlineLevel="0" collapsed="false">
      <c r="A3073" s="41"/>
      <c r="G3073" s="38" t="n">
        <f aca="false">MONTH(A3073)</f>
        <v>12</v>
      </c>
      <c r="H3073" s="38" t="n">
        <f aca="false">YEAR(Tabela1[[#This Row],[FECHA]])</f>
        <v>1900</v>
      </c>
      <c r="I30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74" customFormat="false" ht="15" hidden="false" customHeight="false" outlineLevel="0" collapsed="false">
      <c r="A3074" s="41"/>
      <c r="G3074" s="38" t="n">
        <f aca="false">MONTH(A3074)</f>
        <v>12</v>
      </c>
      <c r="H3074" s="38" t="n">
        <f aca="false">YEAR(Tabela1[[#This Row],[FECHA]])</f>
        <v>1900</v>
      </c>
      <c r="I30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75" customFormat="false" ht="15" hidden="false" customHeight="false" outlineLevel="0" collapsed="false">
      <c r="A3075" s="41"/>
      <c r="G3075" s="38" t="n">
        <f aca="false">MONTH(A3075)</f>
        <v>12</v>
      </c>
      <c r="H3075" s="38" t="n">
        <f aca="false">YEAR(Tabela1[[#This Row],[FECHA]])</f>
        <v>1900</v>
      </c>
      <c r="I30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76" customFormat="false" ht="15" hidden="false" customHeight="false" outlineLevel="0" collapsed="false">
      <c r="A3076" s="41"/>
      <c r="G3076" s="38" t="n">
        <f aca="false">MONTH(A3076)</f>
        <v>12</v>
      </c>
      <c r="H3076" s="38" t="n">
        <f aca="false">YEAR(Tabela1[[#This Row],[FECHA]])</f>
        <v>1900</v>
      </c>
      <c r="I30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77" customFormat="false" ht="15" hidden="false" customHeight="false" outlineLevel="0" collapsed="false">
      <c r="A3077" s="41"/>
      <c r="G3077" s="38" t="n">
        <f aca="false">MONTH(A3077)</f>
        <v>12</v>
      </c>
      <c r="H3077" s="38" t="n">
        <f aca="false">YEAR(Tabela1[[#This Row],[FECHA]])</f>
        <v>1900</v>
      </c>
      <c r="I30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78" customFormat="false" ht="15" hidden="false" customHeight="false" outlineLevel="0" collapsed="false">
      <c r="A3078" s="41"/>
      <c r="G3078" s="38" t="n">
        <f aca="false">MONTH(A3078)</f>
        <v>12</v>
      </c>
      <c r="H3078" s="38" t="n">
        <f aca="false">YEAR(Tabela1[[#This Row],[FECHA]])</f>
        <v>1900</v>
      </c>
      <c r="I30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79" customFormat="false" ht="15" hidden="false" customHeight="false" outlineLevel="0" collapsed="false">
      <c r="A3079" s="41"/>
      <c r="G3079" s="38" t="n">
        <f aca="false">MONTH(A3079)</f>
        <v>12</v>
      </c>
      <c r="H3079" s="38" t="n">
        <f aca="false">YEAR(Tabela1[[#This Row],[FECHA]])</f>
        <v>1900</v>
      </c>
      <c r="I30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80" customFormat="false" ht="15" hidden="false" customHeight="false" outlineLevel="0" collapsed="false">
      <c r="A3080" s="41"/>
      <c r="G3080" s="38" t="n">
        <f aca="false">MONTH(A3080)</f>
        <v>12</v>
      </c>
      <c r="H3080" s="38" t="n">
        <f aca="false">YEAR(Tabela1[[#This Row],[FECHA]])</f>
        <v>1900</v>
      </c>
      <c r="I30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81" customFormat="false" ht="15" hidden="false" customHeight="false" outlineLevel="0" collapsed="false">
      <c r="A3081" s="41"/>
      <c r="G3081" s="38" t="n">
        <f aca="false">MONTH(A3081)</f>
        <v>12</v>
      </c>
      <c r="H3081" s="38" t="n">
        <f aca="false">YEAR(Tabela1[[#This Row],[FECHA]])</f>
        <v>1900</v>
      </c>
      <c r="I30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82" customFormat="false" ht="15" hidden="false" customHeight="false" outlineLevel="0" collapsed="false">
      <c r="A3082" s="41"/>
      <c r="G3082" s="38" t="n">
        <f aca="false">MONTH(A3082)</f>
        <v>12</v>
      </c>
      <c r="H3082" s="38" t="n">
        <f aca="false">YEAR(Tabela1[[#This Row],[FECHA]])</f>
        <v>1900</v>
      </c>
      <c r="I30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83" customFormat="false" ht="15" hidden="false" customHeight="false" outlineLevel="0" collapsed="false">
      <c r="A3083" s="41"/>
      <c r="G3083" s="38" t="n">
        <f aca="false">MONTH(A3083)</f>
        <v>12</v>
      </c>
      <c r="H3083" s="38" t="n">
        <f aca="false">YEAR(Tabela1[[#This Row],[FECHA]])</f>
        <v>1900</v>
      </c>
      <c r="I30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84" customFormat="false" ht="15" hidden="false" customHeight="false" outlineLevel="0" collapsed="false">
      <c r="A3084" s="41"/>
      <c r="G3084" s="38" t="n">
        <f aca="false">MONTH(A3084)</f>
        <v>12</v>
      </c>
      <c r="H3084" s="38" t="n">
        <f aca="false">YEAR(Tabela1[[#This Row],[FECHA]])</f>
        <v>1900</v>
      </c>
      <c r="I30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85" customFormat="false" ht="15" hidden="false" customHeight="false" outlineLevel="0" collapsed="false">
      <c r="A3085" s="41"/>
      <c r="G3085" s="38" t="n">
        <f aca="false">MONTH(A3085)</f>
        <v>12</v>
      </c>
      <c r="H3085" s="38" t="n">
        <f aca="false">YEAR(Tabela1[[#This Row],[FECHA]])</f>
        <v>1900</v>
      </c>
      <c r="I30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86" customFormat="false" ht="15" hidden="false" customHeight="false" outlineLevel="0" collapsed="false">
      <c r="A3086" s="41"/>
      <c r="G3086" s="38" t="n">
        <f aca="false">MONTH(A3086)</f>
        <v>12</v>
      </c>
      <c r="H3086" s="38" t="n">
        <f aca="false">YEAR(Tabela1[[#This Row],[FECHA]])</f>
        <v>1900</v>
      </c>
      <c r="I30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87" customFormat="false" ht="15" hidden="false" customHeight="false" outlineLevel="0" collapsed="false">
      <c r="A3087" s="41"/>
      <c r="G3087" s="38" t="n">
        <f aca="false">MONTH(A3087)</f>
        <v>12</v>
      </c>
      <c r="H3087" s="38" t="n">
        <f aca="false">YEAR(Tabela1[[#This Row],[FECHA]])</f>
        <v>1900</v>
      </c>
      <c r="I30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88" customFormat="false" ht="15" hidden="false" customHeight="false" outlineLevel="0" collapsed="false">
      <c r="A3088" s="41"/>
      <c r="G3088" s="38" t="n">
        <f aca="false">MONTH(A3088)</f>
        <v>12</v>
      </c>
      <c r="H3088" s="38" t="n">
        <f aca="false">YEAR(Tabela1[[#This Row],[FECHA]])</f>
        <v>1900</v>
      </c>
      <c r="I30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89" customFormat="false" ht="15" hidden="false" customHeight="false" outlineLevel="0" collapsed="false">
      <c r="A3089" s="41"/>
      <c r="G3089" s="38" t="n">
        <f aca="false">MONTH(A3089)</f>
        <v>12</v>
      </c>
      <c r="H3089" s="38" t="n">
        <f aca="false">YEAR(Tabela1[[#This Row],[FECHA]])</f>
        <v>1900</v>
      </c>
      <c r="I30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90" customFormat="false" ht="15" hidden="false" customHeight="false" outlineLevel="0" collapsed="false">
      <c r="A3090" s="41"/>
      <c r="G3090" s="38" t="n">
        <f aca="false">MONTH(A3090)</f>
        <v>12</v>
      </c>
      <c r="H3090" s="38" t="n">
        <f aca="false">YEAR(Tabela1[[#This Row],[FECHA]])</f>
        <v>1900</v>
      </c>
      <c r="I30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91" customFormat="false" ht="15" hidden="false" customHeight="false" outlineLevel="0" collapsed="false">
      <c r="A3091" s="41"/>
      <c r="G3091" s="38" t="n">
        <f aca="false">MONTH(A3091)</f>
        <v>12</v>
      </c>
      <c r="H3091" s="38" t="n">
        <f aca="false">YEAR(Tabela1[[#This Row],[FECHA]])</f>
        <v>1900</v>
      </c>
      <c r="I30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92" customFormat="false" ht="15" hidden="false" customHeight="false" outlineLevel="0" collapsed="false">
      <c r="A3092" s="41"/>
      <c r="G3092" s="38" t="n">
        <f aca="false">MONTH(A3092)</f>
        <v>12</v>
      </c>
      <c r="H3092" s="38" t="n">
        <f aca="false">YEAR(Tabela1[[#This Row],[FECHA]])</f>
        <v>1900</v>
      </c>
      <c r="I30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93" customFormat="false" ht="15" hidden="false" customHeight="false" outlineLevel="0" collapsed="false">
      <c r="A3093" s="41"/>
      <c r="G3093" s="38" t="n">
        <f aca="false">MONTH(A3093)</f>
        <v>12</v>
      </c>
      <c r="H3093" s="38" t="n">
        <f aca="false">YEAR(Tabela1[[#This Row],[FECHA]])</f>
        <v>1900</v>
      </c>
      <c r="I30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94" customFormat="false" ht="15" hidden="false" customHeight="false" outlineLevel="0" collapsed="false">
      <c r="A3094" s="41"/>
      <c r="G3094" s="38" t="n">
        <f aca="false">MONTH(A3094)</f>
        <v>12</v>
      </c>
      <c r="H3094" s="38" t="n">
        <f aca="false">YEAR(Tabela1[[#This Row],[FECHA]])</f>
        <v>1900</v>
      </c>
      <c r="I30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95" customFormat="false" ht="15" hidden="false" customHeight="false" outlineLevel="0" collapsed="false">
      <c r="A3095" s="41"/>
      <c r="G3095" s="38" t="n">
        <f aca="false">MONTH(A3095)</f>
        <v>12</v>
      </c>
      <c r="H3095" s="38" t="n">
        <f aca="false">YEAR(Tabela1[[#This Row],[FECHA]])</f>
        <v>1900</v>
      </c>
      <c r="I30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96" customFormat="false" ht="15" hidden="false" customHeight="false" outlineLevel="0" collapsed="false">
      <c r="A3096" s="41"/>
      <c r="G3096" s="38" t="n">
        <f aca="false">MONTH(A3096)</f>
        <v>12</v>
      </c>
      <c r="H3096" s="38" t="n">
        <f aca="false">YEAR(Tabela1[[#This Row],[FECHA]])</f>
        <v>1900</v>
      </c>
      <c r="I30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97" customFormat="false" ht="15" hidden="false" customHeight="false" outlineLevel="0" collapsed="false">
      <c r="A3097" s="41"/>
      <c r="G3097" s="38" t="n">
        <f aca="false">MONTH(A3097)</f>
        <v>12</v>
      </c>
      <c r="H3097" s="38" t="n">
        <f aca="false">YEAR(Tabela1[[#This Row],[FECHA]])</f>
        <v>1900</v>
      </c>
      <c r="I30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98" customFormat="false" ht="15" hidden="false" customHeight="false" outlineLevel="0" collapsed="false">
      <c r="A3098" s="41"/>
      <c r="G3098" s="38" t="n">
        <f aca="false">MONTH(A3098)</f>
        <v>12</v>
      </c>
      <c r="H3098" s="38" t="n">
        <f aca="false">YEAR(Tabela1[[#This Row],[FECHA]])</f>
        <v>1900</v>
      </c>
      <c r="I30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099" customFormat="false" ht="15" hidden="false" customHeight="false" outlineLevel="0" collapsed="false">
      <c r="A3099" s="41"/>
      <c r="G3099" s="38" t="n">
        <f aca="false">MONTH(A3099)</f>
        <v>12</v>
      </c>
      <c r="H3099" s="38" t="n">
        <f aca="false">YEAR(Tabela1[[#This Row],[FECHA]])</f>
        <v>1900</v>
      </c>
      <c r="I30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00" customFormat="false" ht="15" hidden="false" customHeight="false" outlineLevel="0" collapsed="false">
      <c r="A3100" s="41"/>
      <c r="G3100" s="38" t="n">
        <f aca="false">MONTH(A3100)</f>
        <v>12</v>
      </c>
      <c r="H3100" s="38" t="n">
        <f aca="false">YEAR(Tabela1[[#This Row],[FECHA]])</f>
        <v>1900</v>
      </c>
      <c r="I31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01" customFormat="false" ht="15" hidden="false" customHeight="false" outlineLevel="0" collapsed="false">
      <c r="A3101" s="41"/>
      <c r="G3101" s="38" t="n">
        <f aca="false">MONTH(A3101)</f>
        <v>12</v>
      </c>
      <c r="H3101" s="38" t="n">
        <f aca="false">YEAR(Tabela1[[#This Row],[FECHA]])</f>
        <v>1900</v>
      </c>
      <c r="I31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02" customFormat="false" ht="15" hidden="false" customHeight="false" outlineLevel="0" collapsed="false">
      <c r="A3102" s="41"/>
      <c r="G3102" s="38" t="n">
        <f aca="false">MONTH(A3102)</f>
        <v>12</v>
      </c>
      <c r="H3102" s="38" t="n">
        <f aca="false">YEAR(Tabela1[[#This Row],[FECHA]])</f>
        <v>1900</v>
      </c>
      <c r="I31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03" customFormat="false" ht="15" hidden="false" customHeight="false" outlineLevel="0" collapsed="false">
      <c r="A3103" s="41"/>
      <c r="G3103" s="38" t="n">
        <f aca="false">MONTH(A3103)</f>
        <v>12</v>
      </c>
      <c r="H3103" s="38" t="n">
        <f aca="false">YEAR(Tabela1[[#This Row],[FECHA]])</f>
        <v>1900</v>
      </c>
      <c r="I31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04" customFormat="false" ht="15" hidden="false" customHeight="false" outlineLevel="0" collapsed="false">
      <c r="A3104" s="41"/>
      <c r="G3104" s="38" t="n">
        <f aca="false">MONTH(A3104)</f>
        <v>12</v>
      </c>
      <c r="H3104" s="38" t="n">
        <f aca="false">YEAR(Tabela1[[#This Row],[FECHA]])</f>
        <v>1900</v>
      </c>
      <c r="I31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05" customFormat="false" ht="15" hidden="false" customHeight="false" outlineLevel="0" collapsed="false">
      <c r="A3105" s="41"/>
      <c r="G3105" s="38" t="n">
        <f aca="false">MONTH(A3105)</f>
        <v>12</v>
      </c>
      <c r="H3105" s="38" t="n">
        <f aca="false">YEAR(Tabela1[[#This Row],[FECHA]])</f>
        <v>1900</v>
      </c>
      <c r="I31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06" customFormat="false" ht="15" hidden="false" customHeight="false" outlineLevel="0" collapsed="false">
      <c r="A3106" s="41"/>
      <c r="G3106" s="38" t="n">
        <f aca="false">MONTH(A3106)</f>
        <v>12</v>
      </c>
      <c r="H3106" s="38" t="n">
        <f aca="false">YEAR(Tabela1[[#This Row],[FECHA]])</f>
        <v>1900</v>
      </c>
      <c r="I31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07" customFormat="false" ht="15" hidden="false" customHeight="false" outlineLevel="0" collapsed="false">
      <c r="A3107" s="41"/>
      <c r="G3107" s="38" t="n">
        <f aca="false">MONTH(A3107)</f>
        <v>12</v>
      </c>
      <c r="H3107" s="38" t="n">
        <f aca="false">YEAR(Tabela1[[#This Row],[FECHA]])</f>
        <v>1900</v>
      </c>
      <c r="I31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08" customFormat="false" ht="15" hidden="false" customHeight="false" outlineLevel="0" collapsed="false">
      <c r="A3108" s="41"/>
      <c r="G3108" s="38" t="n">
        <f aca="false">MONTH(A3108)</f>
        <v>12</v>
      </c>
      <c r="H3108" s="38" t="n">
        <f aca="false">YEAR(Tabela1[[#This Row],[FECHA]])</f>
        <v>1900</v>
      </c>
      <c r="I31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09" customFormat="false" ht="15" hidden="false" customHeight="false" outlineLevel="0" collapsed="false">
      <c r="A3109" s="41"/>
      <c r="G3109" s="38" t="n">
        <f aca="false">MONTH(A3109)</f>
        <v>12</v>
      </c>
      <c r="H3109" s="38" t="n">
        <f aca="false">YEAR(Tabela1[[#This Row],[FECHA]])</f>
        <v>1900</v>
      </c>
      <c r="I31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10" customFormat="false" ht="15" hidden="false" customHeight="false" outlineLevel="0" collapsed="false">
      <c r="A3110" s="41"/>
      <c r="G3110" s="38" t="n">
        <f aca="false">MONTH(A3110)</f>
        <v>12</v>
      </c>
      <c r="H3110" s="38" t="n">
        <f aca="false">YEAR(Tabela1[[#This Row],[FECHA]])</f>
        <v>1900</v>
      </c>
      <c r="I31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11" customFormat="false" ht="15" hidden="false" customHeight="false" outlineLevel="0" collapsed="false">
      <c r="A3111" s="41"/>
      <c r="G3111" s="38" t="n">
        <f aca="false">MONTH(A3111)</f>
        <v>12</v>
      </c>
      <c r="H3111" s="38" t="n">
        <f aca="false">YEAR(Tabela1[[#This Row],[FECHA]])</f>
        <v>1900</v>
      </c>
      <c r="I31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12" customFormat="false" ht="15" hidden="false" customHeight="false" outlineLevel="0" collapsed="false">
      <c r="A3112" s="41"/>
      <c r="G3112" s="38" t="n">
        <f aca="false">MONTH(A3112)</f>
        <v>12</v>
      </c>
      <c r="H3112" s="38" t="n">
        <f aca="false">YEAR(Tabela1[[#This Row],[FECHA]])</f>
        <v>1900</v>
      </c>
      <c r="I31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13" customFormat="false" ht="15" hidden="false" customHeight="false" outlineLevel="0" collapsed="false">
      <c r="A3113" s="41"/>
      <c r="G3113" s="38" t="n">
        <f aca="false">MONTH(A3113)</f>
        <v>12</v>
      </c>
      <c r="H3113" s="38" t="n">
        <f aca="false">YEAR(Tabela1[[#This Row],[FECHA]])</f>
        <v>1900</v>
      </c>
      <c r="I31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14" customFormat="false" ht="15" hidden="false" customHeight="false" outlineLevel="0" collapsed="false">
      <c r="A3114" s="41"/>
      <c r="G3114" s="38" t="n">
        <f aca="false">MONTH(A3114)</f>
        <v>12</v>
      </c>
      <c r="H3114" s="38" t="n">
        <f aca="false">YEAR(Tabela1[[#This Row],[FECHA]])</f>
        <v>1900</v>
      </c>
      <c r="I31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15" customFormat="false" ht="15" hidden="false" customHeight="false" outlineLevel="0" collapsed="false">
      <c r="A3115" s="41"/>
      <c r="G3115" s="38" t="n">
        <f aca="false">MONTH(A3115)</f>
        <v>12</v>
      </c>
      <c r="H3115" s="38" t="n">
        <f aca="false">YEAR(Tabela1[[#This Row],[FECHA]])</f>
        <v>1900</v>
      </c>
      <c r="I31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16" customFormat="false" ht="15" hidden="false" customHeight="false" outlineLevel="0" collapsed="false">
      <c r="A3116" s="41"/>
      <c r="G3116" s="38" t="n">
        <f aca="false">MONTH(A3116)</f>
        <v>12</v>
      </c>
      <c r="H3116" s="38" t="n">
        <f aca="false">YEAR(Tabela1[[#This Row],[FECHA]])</f>
        <v>1900</v>
      </c>
      <c r="I31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17" customFormat="false" ht="15" hidden="false" customHeight="false" outlineLevel="0" collapsed="false">
      <c r="A3117" s="41"/>
      <c r="G3117" s="38" t="n">
        <f aca="false">MONTH(A3117)</f>
        <v>12</v>
      </c>
      <c r="H3117" s="38" t="n">
        <f aca="false">YEAR(Tabela1[[#This Row],[FECHA]])</f>
        <v>1900</v>
      </c>
      <c r="I31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18" customFormat="false" ht="15" hidden="false" customHeight="false" outlineLevel="0" collapsed="false">
      <c r="A3118" s="41"/>
      <c r="G3118" s="38" t="n">
        <f aca="false">MONTH(A3118)</f>
        <v>12</v>
      </c>
      <c r="H3118" s="38" t="n">
        <f aca="false">YEAR(Tabela1[[#This Row],[FECHA]])</f>
        <v>1900</v>
      </c>
      <c r="I31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19" customFormat="false" ht="15" hidden="false" customHeight="false" outlineLevel="0" collapsed="false">
      <c r="A3119" s="41"/>
      <c r="G3119" s="38" t="n">
        <f aca="false">MONTH(A3119)</f>
        <v>12</v>
      </c>
      <c r="H3119" s="38" t="n">
        <f aca="false">YEAR(Tabela1[[#This Row],[FECHA]])</f>
        <v>1900</v>
      </c>
      <c r="I31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20" customFormat="false" ht="15" hidden="false" customHeight="false" outlineLevel="0" collapsed="false">
      <c r="A3120" s="41"/>
      <c r="G3120" s="38" t="n">
        <f aca="false">MONTH(A3120)</f>
        <v>12</v>
      </c>
      <c r="H3120" s="38" t="n">
        <f aca="false">YEAR(Tabela1[[#This Row],[FECHA]])</f>
        <v>1900</v>
      </c>
      <c r="I31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21" customFormat="false" ht="15" hidden="false" customHeight="false" outlineLevel="0" collapsed="false">
      <c r="A3121" s="41"/>
      <c r="G3121" s="38" t="n">
        <f aca="false">MONTH(A3121)</f>
        <v>12</v>
      </c>
      <c r="H3121" s="38" t="n">
        <f aca="false">YEAR(Tabela1[[#This Row],[FECHA]])</f>
        <v>1900</v>
      </c>
      <c r="I31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22" customFormat="false" ht="15" hidden="false" customHeight="false" outlineLevel="0" collapsed="false">
      <c r="A3122" s="41"/>
      <c r="G3122" s="38" t="n">
        <f aca="false">MONTH(A3122)</f>
        <v>12</v>
      </c>
      <c r="H3122" s="38" t="n">
        <f aca="false">YEAR(Tabela1[[#This Row],[FECHA]])</f>
        <v>1900</v>
      </c>
      <c r="I31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23" customFormat="false" ht="15" hidden="false" customHeight="false" outlineLevel="0" collapsed="false">
      <c r="A3123" s="41"/>
      <c r="G3123" s="38" t="n">
        <f aca="false">MONTH(A3123)</f>
        <v>12</v>
      </c>
      <c r="H3123" s="38" t="n">
        <f aca="false">YEAR(Tabela1[[#This Row],[FECHA]])</f>
        <v>1900</v>
      </c>
      <c r="I31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24" customFormat="false" ht="15" hidden="false" customHeight="false" outlineLevel="0" collapsed="false">
      <c r="A3124" s="41"/>
      <c r="G3124" s="38" t="n">
        <f aca="false">MONTH(A3124)</f>
        <v>12</v>
      </c>
      <c r="H3124" s="38" t="n">
        <f aca="false">YEAR(Tabela1[[#This Row],[FECHA]])</f>
        <v>1900</v>
      </c>
      <c r="I31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25" customFormat="false" ht="15" hidden="false" customHeight="false" outlineLevel="0" collapsed="false">
      <c r="A3125" s="41"/>
      <c r="G3125" s="38" t="n">
        <f aca="false">MONTH(A3125)</f>
        <v>12</v>
      </c>
      <c r="H3125" s="38" t="n">
        <f aca="false">YEAR(Tabela1[[#This Row],[FECHA]])</f>
        <v>1900</v>
      </c>
      <c r="I31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26" customFormat="false" ht="15" hidden="false" customHeight="false" outlineLevel="0" collapsed="false">
      <c r="A3126" s="41"/>
      <c r="G3126" s="38" t="n">
        <f aca="false">MONTH(A3126)</f>
        <v>12</v>
      </c>
      <c r="H3126" s="38" t="n">
        <f aca="false">YEAR(Tabela1[[#This Row],[FECHA]])</f>
        <v>1900</v>
      </c>
      <c r="I31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27" customFormat="false" ht="15" hidden="false" customHeight="false" outlineLevel="0" collapsed="false">
      <c r="A3127" s="41"/>
      <c r="G3127" s="38" t="n">
        <f aca="false">MONTH(A3127)</f>
        <v>12</v>
      </c>
      <c r="H3127" s="38" t="n">
        <f aca="false">YEAR(Tabela1[[#This Row],[FECHA]])</f>
        <v>1900</v>
      </c>
      <c r="I31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28" customFormat="false" ht="15" hidden="false" customHeight="false" outlineLevel="0" collapsed="false">
      <c r="A3128" s="41"/>
      <c r="G3128" s="38" t="n">
        <f aca="false">MONTH(A3128)</f>
        <v>12</v>
      </c>
      <c r="H3128" s="38" t="n">
        <f aca="false">YEAR(Tabela1[[#This Row],[FECHA]])</f>
        <v>1900</v>
      </c>
      <c r="I31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29" customFormat="false" ht="15" hidden="false" customHeight="false" outlineLevel="0" collapsed="false">
      <c r="A3129" s="41"/>
      <c r="G3129" s="38" t="n">
        <f aca="false">MONTH(A3129)</f>
        <v>12</v>
      </c>
      <c r="H3129" s="38" t="n">
        <f aca="false">YEAR(Tabela1[[#This Row],[FECHA]])</f>
        <v>1900</v>
      </c>
      <c r="I31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30" customFormat="false" ht="15" hidden="false" customHeight="false" outlineLevel="0" collapsed="false">
      <c r="A3130" s="41"/>
      <c r="G3130" s="38" t="n">
        <f aca="false">MONTH(A3130)</f>
        <v>12</v>
      </c>
      <c r="H3130" s="38" t="n">
        <f aca="false">YEAR(Tabela1[[#This Row],[FECHA]])</f>
        <v>1900</v>
      </c>
      <c r="I31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31" customFormat="false" ht="15" hidden="false" customHeight="false" outlineLevel="0" collapsed="false">
      <c r="A3131" s="41"/>
      <c r="G3131" s="38" t="n">
        <f aca="false">MONTH(A3131)</f>
        <v>12</v>
      </c>
      <c r="H3131" s="38" t="n">
        <f aca="false">YEAR(Tabela1[[#This Row],[FECHA]])</f>
        <v>1900</v>
      </c>
      <c r="I31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32" customFormat="false" ht="15" hidden="false" customHeight="false" outlineLevel="0" collapsed="false">
      <c r="A3132" s="41"/>
      <c r="G3132" s="38" t="n">
        <f aca="false">MONTH(A3132)</f>
        <v>12</v>
      </c>
      <c r="H3132" s="38" t="n">
        <f aca="false">YEAR(Tabela1[[#This Row],[FECHA]])</f>
        <v>1900</v>
      </c>
      <c r="I31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33" customFormat="false" ht="15" hidden="false" customHeight="false" outlineLevel="0" collapsed="false">
      <c r="A3133" s="41"/>
      <c r="G3133" s="38" t="n">
        <f aca="false">MONTH(A3133)</f>
        <v>12</v>
      </c>
      <c r="H3133" s="38" t="n">
        <f aca="false">YEAR(Tabela1[[#This Row],[FECHA]])</f>
        <v>1900</v>
      </c>
      <c r="I31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34" customFormat="false" ht="15" hidden="false" customHeight="false" outlineLevel="0" collapsed="false">
      <c r="A3134" s="41"/>
      <c r="G3134" s="38" t="n">
        <f aca="false">MONTH(A3134)</f>
        <v>12</v>
      </c>
      <c r="H3134" s="38" t="n">
        <f aca="false">YEAR(Tabela1[[#This Row],[FECHA]])</f>
        <v>1900</v>
      </c>
      <c r="I31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35" customFormat="false" ht="15" hidden="false" customHeight="false" outlineLevel="0" collapsed="false">
      <c r="A3135" s="41"/>
      <c r="G3135" s="38" t="n">
        <f aca="false">MONTH(A3135)</f>
        <v>12</v>
      </c>
      <c r="H3135" s="38" t="n">
        <f aca="false">YEAR(Tabela1[[#This Row],[FECHA]])</f>
        <v>1900</v>
      </c>
      <c r="I31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36" customFormat="false" ht="15" hidden="false" customHeight="false" outlineLevel="0" collapsed="false">
      <c r="A3136" s="41"/>
      <c r="G3136" s="38" t="n">
        <f aca="false">MONTH(A3136)</f>
        <v>12</v>
      </c>
      <c r="H3136" s="38" t="n">
        <f aca="false">YEAR(Tabela1[[#This Row],[FECHA]])</f>
        <v>1900</v>
      </c>
      <c r="I31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37" customFormat="false" ht="15" hidden="false" customHeight="false" outlineLevel="0" collapsed="false">
      <c r="A3137" s="41"/>
      <c r="G3137" s="38" t="n">
        <f aca="false">MONTH(A3137)</f>
        <v>12</v>
      </c>
      <c r="H3137" s="38" t="n">
        <f aca="false">YEAR(Tabela1[[#This Row],[FECHA]])</f>
        <v>1900</v>
      </c>
      <c r="I31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38" customFormat="false" ht="15" hidden="false" customHeight="false" outlineLevel="0" collapsed="false">
      <c r="A3138" s="41"/>
      <c r="G3138" s="38" t="n">
        <f aca="false">MONTH(A3138)</f>
        <v>12</v>
      </c>
      <c r="H3138" s="38" t="n">
        <f aca="false">YEAR(Tabela1[[#This Row],[FECHA]])</f>
        <v>1900</v>
      </c>
      <c r="I31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39" customFormat="false" ht="15" hidden="false" customHeight="false" outlineLevel="0" collapsed="false">
      <c r="A3139" s="41"/>
      <c r="G3139" s="38" t="n">
        <f aca="false">MONTH(A3139)</f>
        <v>12</v>
      </c>
      <c r="H3139" s="38" t="n">
        <f aca="false">YEAR(Tabela1[[#This Row],[FECHA]])</f>
        <v>1900</v>
      </c>
      <c r="I31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40" customFormat="false" ht="15" hidden="false" customHeight="false" outlineLevel="0" collapsed="false">
      <c r="A3140" s="41"/>
      <c r="G3140" s="38" t="n">
        <f aca="false">MONTH(A3140)</f>
        <v>12</v>
      </c>
      <c r="H3140" s="38" t="n">
        <f aca="false">YEAR(Tabela1[[#This Row],[FECHA]])</f>
        <v>1900</v>
      </c>
      <c r="I31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41" customFormat="false" ht="15" hidden="false" customHeight="false" outlineLevel="0" collapsed="false">
      <c r="A3141" s="41"/>
      <c r="G3141" s="38" t="n">
        <f aca="false">MONTH(A3141)</f>
        <v>12</v>
      </c>
      <c r="H3141" s="38" t="n">
        <f aca="false">YEAR(Tabela1[[#This Row],[FECHA]])</f>
        <v>1900</v>
      </c>
      <c r="I31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42" customFormat="false" ht="15" hidden="false" customHeight="false" outlineLevel="0" collapsed="false">
      <c r="A3142" s="41"/>
      <c r="G3142" s="38" t="n">
        <f aca="false">MONTH(A3142)</f>
        <v>12</v>
      </c>
      <c r="H3142" s="38" t="n">
        <f aca="false">YEAR(Tabela1[[#This Row],[FECHA]])</f>
        <v>1900</v>
      </c>
      <c r="I31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43" customFormat="false" ht="15" hidden="false" customHeight="false" outlineLevel="0" collapsed="false">
      <c r="A3143" s="41"/>
      <c r="G3143" s="38" t="n">
        <f aca="false">MONTH(A3143)</f>
        <v>12</v>
      </c>
      <c r="H3143" s="38" t="n">
        <f aca="false">YEAR(Tabela1[[#This Row],[FECHA]])</f>
        <v>1900</v>
      </c>
      <c r="I31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44" customFormat="false" ht="15" hidden="false" customHeight="false" outlineLevel="0" collapsed="false">
      <c r="A3144" s="41"/>
      <c r="G3144" s="38" t="n">
        <f aca="false">MONTH(A3144)</f>
        <v>12</v>
      </c>
      <c r="H3144" s="38" t="n">
        <f aca="false">YEAR(Tabela1[[#This Row],[FECHA]])</f>
        <v>1900</v>
      </c>
      <c r="I31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45" customFormat="false" ht="15" hidden="false" customHeight="false" outlineLevel="0" collapsed="false">
      <c r="A3145" s="41"/>
      <c r="G3145" s="38" t="n">
        <f aca="false">MONTH(A3145)</f>
        <v>12</v>
      </c>
      <c r="H3145" s="38" t="n">
        <f aca="false">YEAR(Tabela1[[#This Row],[FECHA]])</f>
        <v>1900</v>
      </c>
      <c r="I31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46" customFormat="false" ht="15" hidden="false" customHeight="false" outlineLevel="0" collapsed="false">
      <c r="A3146" s="41"/>
      <c r="G3146" s="38" t="n">
        <f aca="false">MONTH(A3146)</f>
        <v>12</v>
      </c>
      <c r="H3146" s="38" t="n">
        <f aca="false">YEAR(Tabela1[[#This Row],[FECHA]])</f>
        <v>1900</v>
      </c>
      <c r="I31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47" customFormat="false" ht="15" hidden="false" customHeight="false" outlineLevel="0" collapsed="false">
      <c r="A3147" s="41"/>
      <c r="G3147" s="38" t="n">
        <f aca="false">MONTH(A3147)</f>
        <v>12</v>
      </c>
      <c r="H3147" s="38" t="n">
        <f aca="false">YEAR(Tabela1[[#This Row],[FECHA]])</f>
        <v>1900</v>
      </c>
      <c r="I31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48" customFormat="false" ht="15" hidden="false" customHeight="false" outlineLevel="0" collapsed="false">
      <c r="A3148" s="41"/>
      <c r="G3148" s="38" t="n">
        <f aca="false">MONTH(A3148)</f>
        <v>12</v>
      </c>
      <c r="H3148" s="38" t="n">
        <f aca="false">YEAR(Tabela1[[#This Row],[FECHA]])</f>
        <v>1900</v>
      </c>
      <c r="I31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49" customFormat="false" ht="15" hidden="false" customHeight="false" outlineLevel="0" collapsed="false">
      <c r="A3149" s="41"/>
      <c r="G3149" s="38" t="n">
        <f aca="false">MONTH(A3149)</f>
        <v>12</v>
      </c>
      <c r="H3149" s="38" t="n">
        <f aca="false">YEAR(Tabela1[[#This Row],[FECHA]])</f>
        <v>1900</v>
      </c>
      <c r="I31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50" customFormat="false" ht="15" hidden="false" customHeight="false" outlineLevel="0" collapsed="false">
      <c r="A3150" s="41"/>
      <c r="G3150" s="38" t="n">
        <f aca="false">MONTH(A3150)</f>
        <v>12</v>
      </c>
      <c r="H3150" s="38" t="n">
        <f aca="false">YEAR(Tabela1[[#This Row],[FECHA]])</f>
        <v>1900</v>
      </c>
      <c r="I31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51" customFormat="false" ht="15" hidden="false" customHeight="false" outlineLevel="0" collapsed="false">
      <c r="A3151" s="41"/>
      <c r="G3151" s="38" t="n">
        <f aca="false">MONTH(A3151)</f>
        <v>12</v>
      </c>
      <c r="H3151" s="38" t="n">
        <f aca="false">YEAR(Tabela1[[#This Row],[FECHA]])</f>
        <v>1900</v>
      </c>
      <c r="I31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52" customFormat="false" ht="15" hidden="false" customHeight="false" outlineLevel="0" collapsed="false">
      <c r="A3152" s="41"/>
      <c r="G3152" s="38" t="n">
        <f aca="false">MONTH(A3152)</f>
        <v>12</v>
      </c>
      <c r="H3152" s="38" t="n">
        <f aca="false">YEAR(Tabela1[[#This Row],[FECHA]])</f>
        <v>1900</v>
      </c>
      <c r="I31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53" customFormat="false" ht="15" hidden="false" customHeight="false" outlineLevel="0" collapsed="false">
      <c r="A3153" s="41"/>
      <c r="G3153" s="38" t="n">
        <f aca="false">MONTH(A3153)</f>
        <v>12</v>
      </c>
      <c r="H3153" s="38" t="n">
        <f aca="false">YEAR(Tabela1[[#This Row],[FECHA]])</f>
        <v>1900</v>
      </c>
      <c r="I31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54" customFormat="false" ht="15" hidden="false" customHeight="false" outlineLevel="0" collapsed="false">
      <c r="A3154" s="41"/>
      <c r="G3154" s="38" t="n">
        <f aca="false">MONTH(A3154)</f>
        <v>12</v>
      </c>
      <c r="H3154" s="38" t="n">
        <f aca="false">YEAR(Tabela1[[#This Row],[FECHA]])</f>
        <v>1900</v>
      </c>
      <c r="I31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55" customFormat="false" ht="15" hidden="false" customHeight="false" outlineLevel="0" collapsed="false">
      <c r="A3155" s="41"/>
      <c r="G3155" s="38" t="n">
        <f aca="false">MONTH(A3155)</f>
        <v>12</v>
      </c>
      <c r="H3155" s="38" t="n">
        <f aca="false">YEAR(Tabela1[[#This Row],[FECHA]])</f>
        <v>1900</v>
      </c>
      <c r="I31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56" customFormat="false" ht="15" hidden="false" customHeight="false" outlineLevel="0" collapsed="false">
      <c r="A3156" s="41"/>
      <c r="G3156" s="38" t="n">
        <f aca="false">MONTH(A3156)</f>
        <v>12</v>
      </c>
      <c r="H3156" s="38" t="n">
        <f aca="false">YEAR(Tabela1[[#This Row],[FECHA]])</f>
        <v>1900</v>
      </c>
      <c r="I31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57" customFormat="false" ht="15" hidden="false" customHeight="false" outlineLevel="0" collapsed="false">
      <c r="A3157" s="41"/>
      <c r="G3157" s="38" t="n">
        <f aca="false">MONTH(A3157)</f>
        <v>12</v>
      </c>
      <c r="H3157" s="38" t="n">
        <f aca="false">YEAR(Tabela1[[#This Row],[FECHA]])</f>
        <v>1900</v>
      </c>
      <c r="I31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58" customFormat="false" ht="15" hidden="false" customHeight="false" outlineLevel="0" collapsed="false">
      <c r="A3158" s="41"/>
      <c r="G3158" s="38" t="n">
        <f aca="false">MONTH(A3158)</f>
        <v>12</v>
      </c>
      <c r="H3158" s="38" t="n">
        <f aca="false">YEAR(Tabela1[[#This Row],[FECHA]])</f>
        <v>1900</v>
      </c>
      <c r="I31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59" customFormat="false" ht="15" hidden="false" customHeight="false" outlineLevel="0" collapsed="false">
      <c r="A3159" s="41"/>
      <c r="G3159" s="38" t="n">
        <f aca="false">MONTH(A3159)</f>
        <v>12</v>
      </c>
      <c r="H3159" s="38" t="n">
        <f aca="false">YEAR(Tabela1[[#This Row],[FECHA]])</f>
        <v>1900</v>
      </c>
      <c r="I31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60" customFormat="false" ht="15" hidden="false" customHeight="false" outlineLevel="0" collapsed="false">
      <c r="A3160" s="41"/>
      <c r="G3160" s="38" t="n">
        <f aca="false">MONTH(A3160)</f>
        <v>12</v>
      </c>
      <c r="H3160" s="38" t="n">
        <f aca="false">YEAR(Tabela1[[#This Row],[FECHA]])</f>
        <v>1900</v>
      </c>
      <c r="I31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61" customFormat="false" ht="15" hidden="false" customHeight="false" outlineLevel="0" collapsed="false">
      <c r="A3161" s="41"/>
      <c r="G3161" s="38" t="n">
        <f aca="false">MONTH(A3161)</f>
        <v>12</v>
      </c>
      <c r="H3161" s="38" t="n">
        <f aca="false">YEAR(Tabela1[[#This Row],[FECHA]])</f>
        <v>1900</v>
      </c>
      <c r="I31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62" customFormat="false" ht="15" hidden="false" customHeight="false" outlineLevel="0" collapsed="false">
      <c r="A3162" s="41"/>
      <c r="G3162" s="38" t="n">
        <f aca="false">MONTH(A3162)</f>
        <v>12</v>
      </c>
      <c r="H3162" s="38" t="n">
        <f aca="false">YEAR(Tabela1[[#This Row],[FECHA]])</f>
        <v>1900</v>
      </c>
      <c r="I31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63" customFormat="false" ht="15" hidden="false" customHeight="false" outlineLevel="0" collapsed="false">
      <c r="A3163" s="41"/>
      <c r="G3163" s="38" t="n">
        <f aca="false">MONTH(A3163)</f>
        <v>12</v>
      </c>
      <c r="H3163" s="38" t="n">
        <f aca="false">YEAR(Tabela1[[#This Row],[FECHA]])</f>
        <v>1900</v>
      </c>
      <c r="I31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64" customFormat="false" ht="15" hidden="false" customHeight="false" outlineLevel="0" collapsed="false">
      <c r="A3164" s="41"/>
      <c r="G3164" s="38" t="n">
        <f aca="false">MONTH(A3164)</f>
        <v>12</v>
      </c>
      <c r="H3164" s="38" t="n">
        <f aca="false">YEAR(Tabela1[[#This Row],[FECHA]])</f>
        <v>1900</v>
      </c>
      <c r="I31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65" customFormat="false" ht="15" hidden="false" customHeight="false" outlineLevel="0" collapsed="false">
      <c r="A3165" s="41"/>
      <c r="G3165" s="38" t="n">
        <f aca="false">MONTH(A3165)</f>
        <v>12</v>
      </c>
      <c r="H3165" s="38" t="n">
        <f aca="false">YEAR(Tabela1[[#This Row],[FECHA]])</f>
        <v>1900</v>
      </c>
      <c r="I31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66" customFormat="false" ht="15" hidden="false" customHeight="false" outlineLevel="0" collapsed="false">
      <c r="A3166" s="41"/>
      <c r="G3166" s="38" t="n">
        <f aca="false">MONTH(A3166)</f>
        <v>12</v>
      </c>
      <c r="H3166" s="38" t="n">
        <f aca="false">YEAR(Tabela1[[#This Row],[FECHA]])</f>
        <v>1900</v>
      </c>
      <c r="I31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67" customFormat="false" ht="15" hidden="false" customHeight="false" outlineLevel="0" collapsed="false">
      <c r="A3167" s="41"/>
      <c r="G3167" s="38" t="n">
        <f aca="false">MONTH(A3167)</f>
        <v>12</v>
      </c>
      <c r="H3167" s="38" t="n">
        <f aca="false">YEAR(Tabela1[[#This Row],[FECHA]])</f>
        <v>1900</v>
      </c>
      <c r="I31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68" customFormat="false" ht="15" hidden="false" customHeight="false" outlineLevel="0" collapsed="false">
      <c r="A3168" s="41"/>
      <c r="G3168" s="38" t="n">
        <f aca="false">MONTH(A3168)</f>
        <v>12</v>
      </c>
      <c r="H3168" s="38" t="n">
        <f aca="false">YEAR(Tabela1[[#This Row],[FECHA]])</f>
        <v>1900</v>
      </c>
      <c r="I31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69" customFormat="false" ht="15" hidden="false" customHeight="false" outlineLevel="0" collapsed="false">
      <c r="A3169" s="41"/>
      <c r="G3169" s="38" t="n">
        <f aca="false">MONTH(A3169)</f>
        <v>12</v>
      </c>
      <c r="H3169" s="38" t="n">
        <f aca="false">YEAR(Tabela1[[#This Row],[FECHA]])</f>
        <v>1900</v>
      </c>
      <c r="I31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70" customFormat="false" ht="15" hidden="false" customHeight="false" outlineLevel="0" collapsed="false">
      <c r="A3170" s="41"/>
      <c r="G3170" s="38" t="n">
        <f aca="false">MONTH(A3170)</f>
        <v>12</v>
      </c>
      <c r="H3170" s="38" t="n">
        <f aca="false">YEAR(Tabela1[[#This Row],[FECHA]])</f>
        <v>1900</v>
      </c>
      <c r="I31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71" customFormat="false" ht="15" hidden="false" customHeight="false" outlineLevel="0" collapsed="false">
      <c r="A3171" s="41"/>
      <c r="G3171" s="38" t="n">
        <f aca="false">MONTH(A3171)</f>
        <v>12</v>
      </c>
      <c r="H3171" s="38" t="n">
        <f aca="false">YEAR(Tabela1[[#This Row],[FECHA]])</f>
        <v>1900</v>
      </c>
      <c r="I31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72" customFormat="false" ht="15" hidden="false" customHeight="false" outlineLevel="0" collapsed="false">
      <c r="A3172" s="41"/>
      <c r="G3172" s="38" t="n">
        <f aca="false">MONTH(A3172)</f>
        <v>12</v>
      </c>
      <c r="H3172" s="38" t="n">
        <f aca="false">YEAR(Tabela1[[#This Row],[FECHA]])</f>
        <v>1900</v>
      </c>
      <c r="I31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73" customFormat="false" ht="15" hidden="false" customHeight="false" outlineLevel="0" collapsed="false">
      <c r="A3173" s="41"/>
      <c r="G3173" s="38" t="n">
        <f aca="false">MONTH(A3173)</f>
        <v>12</v>
      </c>
      <c r="H3173" s="38" t="n">
        <f aca="false">YEAR(Tabela1[[#This Row],[FECHA]])</f>
        <v>1900</v>
      </c>
      <c r="I31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74" customFormat="false" ht="15" hidden="false" customHeight="false" outlineLevel="0" collapsed="false">
      <c r="A3174" s="41"/>
      <c r="G3174" s="38" t="n">
        <f aca="false">MONTH(A3174)</f>
        <v>12</v>
      </c>
      <c r="H3174" s="38" t="n">
        <f aca="false">YEAR(Tabela1[[#This Row],[FECHA]])</f>
        <v>1900</v>
      </c>
      <c r="I31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75" customFormat="false" ht="15" hidden="false" customHeight="false" outlineLevel="0" collapsed="false">
      <c r="A3175" s="41"/>
      <c r="G3175" s="38" t="n">
        <f aca="false">MONTH(A3175)</f>
        <v>12</v>
      </c>
      <c r="H3175" s="38" t="n">
        <f aca="false">YEAR(Tabela1[[#This Row],[FECHA]])</f>
        <v>1900</v>
      </c>
      <c r="I31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76" customFormat="false" ht="15" hidden="false" customHeight="false" outlineLevel="0" collapsed="false">
      <c r="A3176" s="41"/>
      <c r="G3176" s="38" t="n">
        <f aca="false">MONTH(A3176)</f>
        <v>12</v>
      </c>
      <c r="H3176" s="38" t="n">
        <f aca="false">YEAR(Tabela1[[#This Row],[FECHA]])</f>
        <v>1900</v>
      </c>
      <c r="I31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77" customFormat="false" ht="15" hidden="false" customHeight="false" outlineLevel="0" collapsed="false">
      <c r="A3177" s="41"/>
      <c r="G3177" s="38" t="n">
        <f aca="false">MONTH(A3177)</f>
        <v>12</v>
      </c>
      <c r="H3177" s="38" t="n">
        <f aca="false">YEAR(Tabela1[[#This Row],[FECHA]])</f>
        <v>1900</v>
      </c>
      <c r="I31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78" customFormat="false" ht="15" hidden="false" customHeight="false" outlineLevel="0" collapsed="false">
      <c r="A3178" s="41"/>
      <c r="G3178" s="38" t="n">
        <f aca="false">MONTH(A3178)</f>
        <v>12</v>
      </c>
      <c r="H3178" s="38" t="n">
        <f aca="false">YEAR(Tabela1[[#This Row],[FECHA]])</f>
        <v>1900</v>
      </c>
      <c r="I31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79" customFormat="false" ht="15" hidden="false" customHeight="false" outlineLevel="0" collapsed="false">
      <c r="A3179" s="41"/>
      <c r="G3179" s="38" t="n">
        <f aca="false">MONTH(A3179)</f>
        <v>12</v>
      </c>
      <c r="H3179" s="38" t="n">
        <f aca="false">YEAR(Tabela1[[#This Row],[FECHA]])</f>
        <v>1900</v>
      </c>
      <c r="I31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80" customFormat="false" ht="15" hidden="false" customHeight="false" outlineLevel="0" collapsed="false">
      <c r="A3180" s="41"/>
      <c r="G3180" s="38" t="n">
        <f aca="false">MONTH(A3180)</f>
        <v>12</v>
      </c>
      <c r="H3180" s="38" t="n">
        <f aca="false">YEAR(Tabela1[[#This Row],[FECHA]])</f>
        <v>1900</v>
      </c>
      <c r="I31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81" customFormat="false" ht="15" hidden="false" customHeight="false" outlineLevel="0" collapsed="false">
      <c r="A3181" s="41"/>
      <c r="G3181" s="38" t="n">
        <f aca="false">MONTH(A3181)</f>
        <v>12</v>
      </c>
      <c r="H3181" s="38" t="n">
        <f aca="false">YEAR(Tabela1[[#This Row],[FECHA]])</f>
        <v>1900</v>
      </c>
      <c r="I31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82" customFormat="false" ht="15" hidden="false" customHeight="false" outlineLevel="0" collapsed="false">
      <c r="A3182" s="41"/>
      <c r="G3182" s="38" t="n">
        <f aca="false">MONTH(A3182)</f>
        <v>12</v>
      </c>
      <c r="H3182" s="38" t="n">
        <f aca="false">YEAR(Tabela1[[#This Row],[FECHA]])</f>
        <v>1900</v>
      </c>
      <c r="I31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83" customFormat="false" ht="15" hidden="false" customHeight="false" outlineLevel="0" collapsed="false">
      <c r="A3183" s="41"/>
      <c r="G3183" s="38" t="n">
        <f aca="false">MONTH(A3183)</f>
        <v>12</v>
      </c>
      <c r="H3183" s="38" t="n">
        <f aca="false">YEAR(Tabela1[[#This Row],[FECHA]])</f>
        <v>1900</v>
      </c>
      <c r="I31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84" customFormat="false" ht="15" hidden="false" customHeight="false" outlineLevel="0" collapsed="false">
      <c r="A3184" s="41"/>
      <c r="G3184" s="38" t="n">
        <f aca="false">MONTH(A3184)</f>
        <v>12</v>
      </c>
      <c r="H3184" s="38" t="n">
        <f aca="false">YEAR(Tabela1[[#This Row],[FECHA]])</f>
        <v>1900</v>
      </c>
      <c r="I31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85" customFormat="false" ht="15" hidden="false" customHeight="false" outlineLevel="0" collapsed="false">
      <c r="A3185" s="41"/>
      <c r="G3185" s="38" t="n">
        <f aca="false">MONTH(A3185)</f>
        <v>12</v>
      </c>
      <c r="H3185" s="38" t="n">
        <f aca="false">YEAR(Tabela1[[#This Row],[FECHA]])</f>
        <v>1900</v>
      </c>
      <c r="I31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86" customFormat="false" ht="15" hidden="false" customHeight="false" outlineLevel="0" collapsed="false">
      <c r="A3186" s="41"/>
      <c r="G3186" s="38" t="n">
        <f aca="false">MONTH(A3186)</f>
        <v>12</v>
      </c>
      <c r="H3186" s="38" t="n">
        <f aca="false">YEAR(Tabela1[[#This Row],[FECHA]])</f>
        <v>1900</v>
      </c>
      <c r="I31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87" customFormat="false" ht="15" hidden="false" customHeight="false" outlineLevel="0" collapsed="false">
      <c r="A3187" s="41"/>
      <c r="G3187" s="38" t="n">
        <f aca="false">MONTH(A3187)</f>
        <v>12</v>
      </c>
      <c r="H3187" s="38" t="n">
        <f aca="false">YEAR(Tabela1[[#This Row],[FECHA]])</f>
        <v>1900</v>
      </c>
      <c r="I31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88" customFormat="false" ht="15" hidden="false" customHeight="false" outlineLevel="0" collapsed="false">
      <c r="A3188" s="41"/>
      <c r="G3188" s="38" t="n">
        <f aca="false">MONTH(A3188)</f>
        <v>12</v>
      </c>
      <c r="H3188" s="38" t="n">
        <f aca="false">YEAR(Tabela1[[#This Row],[FECHA]])</f>
        <v>1900</v>
      </c>
      <c r="I31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89" customFormat="false" ht="15" hidden="false" customHeight="false" outlineLevel="0" collapsed="false">
      <c r="A3189" s="41"/>
      <c r="G3189" s="38" t="n">
        <f aca="false">MONTH(A3189)</f>
        <v>12</v>
      </c>
      <c r="H3189" s="38" t="n">
        <f aca="false">YEAR(Tabela1[[#This Row],[FECHA]])</f>
        <v>1900</v>
      </c>
      <c r="I31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90" customFormat="false" ht="15" hidden="false" customHeight="false" outlineLevel="0" collapsed="false">
      <c r="A3190" s="41"/>
      <c r="G3190" s="38" t="n">
        <f aca="false">MONTH(A3190)</f>
        <v>12</v>
      </c>
      <c r="H3190" s="38" t="n">
        <f aca="false">YEAR(Tabela1[[#This Row],[FECHA]])</f>
        <v>1900</v>
      </c>
      <c r="I31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91" customFormat="false" ht="15" hidden="false" customHeight="false" outlineLevel="0" collapsed="false">
      <c r="A3191" s="41"/>
      <c r="G3191" s="38" t="n">
        <f aca="false">MONTH(A3191)</f>
        <v>12</v>
      </c>
      <c r="H3191" s="38" t="n">
        <f aca="false">YEAR(Tabela1[[#This Row],[FECHA]])</f>
        <v>1900</v>
      </c>
      <c r="I31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92" customFormat="false" ht="15" hidden="false" customHeight="false" outlineLevel="0" collapsed="false">
      <c r="A3192" s="41"/>
      <c r="G3192" s="38" t="n">
        <f aca="false">MONTH(A3192)</f>
        <v>12</v>
      </c>
      <c r="H3192" s="38" t="n">
        <f aca="false">YEAR(Tabela1[[#This Row],[FECHA]])</f>
        <v>1900</v>
      </c>
      <c r="I31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93" customFormat="false" ht="15" hidden="false" customHeight="false" outlineLevel="0" collapsed="false">
      <c r="A3193" s="41"/>
      <c r="G3193" s="38" t="n">
        <f aca="false">MONTH(A3193)</f>
        <v>12</v>
      </c>
      <c r="H3193" s="38" t="n">
        <f aca="false">YEAR(Tabela1[[#This Row],[FECHA]])</f>
        <v>1900</v>
      </c>
      <c r="I31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94" customFormat="false" ht="15" hidden="false" customHeight="false" outlineLevel="0" collapsed="false">
      <c r="A3194" s="41"/>
      <c r="G3194" s="38" t="n">
        <f aca="false">MONTH(A3194)</f>
        <v>12</v>
      </c>
      <c r="H3194" s="38" t="n">
        <f aca="false">YEAR(Tabela1[[#This Row],[FECHA]])</f>
        <v>1900</v>
      </c>
      <c r="I31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95" customFormat="false" ht="15" hidden="false" customHeight="false" outlineLevel="0" collapsed="false">
      <c r="A3195" s="41"/>
      <c r="G3195" s="38" t="n">
        <f aca="false">MONTH(A3195)</f>
        <v>12</v>
      </c>
      <c r="H3195" s="38" t="n">
        <f aca="false">YEAR(Tabela1[[#This Row],[FECHA]])</f>
        <v>1900</v>
      </c>
      <c r="I31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96" customFormat="false" ht="15" hidden="false" customHeight="false" outlineLevel="0" collapsed="false">
      <c r="A3196" s="41"/>
      <c r="G3196" s="38" t="n">
        <f aca="false">MONTH(A3196)</f>
        <v>12</v>
      </c>
      <c r="H3196" s="38" t="n">
        <f aca="false">YEAR(Tabela1[[#This Row],[FECHA]])</f>
        <v>1900</v>
      </c>
      <c r="I31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97" customFormat="false" ht="15" hidden="false" customHeight="false" outlineLevel="0" collapsed="false">
      <c r="A3197" s="41"/>
      <c r="G3197" s="38" t="n">
        <f aca="false">MONTH(A3197)</f>
        <v>12</v>
      </c>
      <c r="H3197" s="38" t="n">
        <f aca="false">YEAR(Tabela1[[#This Row],[FECHA]])</f>
        <v>1900</v>
      </c>
      <c r="I31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98" customFormat="false" ht="15" hidden="false" customHeight="false" outlineLevel="0" collapsed="false">
      <c r="A3198" s="41"/>
      <c r="G3198" s="38" t="n">
        <f aca="false">MONTH(A3198)</f>
        <v>12</v>
      </c>
      <c r="H3198" s="38" t="n">
        <f aca="false">YEAR(Tabela1[[#This Row],[FECHA]])</f>
        <v>1900</v>
      </c>
      <c r="I31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199" customFormat="false" ht="15" hidden="false" customHeight="false" outlineLevel="0" collapsed="false">
      <c r="A3199" s="41"/>
      <c r="G3199" s="38" t="n">
        <f aca="false">MONTH(A3199)</f>
        <v>12</v>
      </c>
      <c r="H3199" s="38" t="n">
        <f aca="false">YEAR(Tabela1[[#This Row],[FECHA]])</f>
        <v>1900</v>
      </c>
      <c r="I31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00" customFormat="false" ht="15" hidden="false" customHeight="false" outlineLevel="0" collapsed="false">
      <c r="A3200" s="41"/>
      <c r="G3200" s="38" t="n">
        <f aca="false">MONTH(A3200)</f>
        <v>12</v>
      </c>
      <c r="H3200" s="38" t="n">
        <f aca="false">YEAR(Tabela1[[#This Row],[FECHA]])</f>
        <v>1900</v>
      </c>
      <c r="I32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01" customFormat="false" ht="15" hidden="false" customHeight="false" outlineLevel="0" collapsed="false">
      <c r="A3201" s="41"/>
      <c r="G3201" s="38" t="n">
        <f aca="false">MONTH(A3201)</f>
        <v>12</v>
      </c>
      <c r="H3201" s="38" t="n">
        <f aca="false">YEAR(Tabela1[[#This Row],[FECHA]])</f>
        <v>1900</v>
      </c>
      <c r="I32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02" customFormat="false" ht="15" hidden="false" customHeight="false" outlineLevel="0" collapsed="false">
      <c r="A3202" s="41"/>
      <c r="G3202" s="38" t="n">
        <f aca="false">MONTH(A3202)</f>
        <v>12</v>
      </c>
      <c r="H3202" s="38" t="n">
        <f aca="false">YEAR(Tabela1[[#This Row],[FECHA]])</f>
        <v>1900</v>
      </c>
      <c r="I32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03" customFormat="false" ht="15" hidden="false" customHeight="false" outlineLevel="0" collapsed="false">
      <c r="A3203" s="41"/>
      <c r="G3203" s="38" t="n">
        <f aca="false">MONTH(A3203)</f>
        <v>12</v>
      </c>
      <c r="H3203" s="38" t="n">
        <f aca="false">YEAR(Tabela1[[#This Row],[FECHA]])</f>
        <v>1900</v>
      </c>
      <c r="I32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04" customFormat="false" ht="15" hidden="false" customHeight="false" outlineLevel="0" collapsed="false">
      <c r="A3204" s="41"/>
      <c r="G3204" s="38" t="n">
        <f aca="false">MONTH(A3204)</f>
        <v>12</v>
      </c>
      <c r="H3204" s="38" t="n">
        <f aca="false">YEAR(Tabela1[[#This Row],[FECHA]])</f>
        <v>1900</v>
      </c>
      <c r="I32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05" customFormat="false" ht="15" hidden="false" customHeight="false" outlineLevel="0" collapsed="false">
      <c r="A3205" s="41"/>
      <c r="G3205" s="38" t="n">
        <f aca="false">MONTH(A3205)</f>
        <v>12</v>
      </c>
      <c r="H3205" s="38" t="n">
        <f aca="false">YEAR(Tabela1[[#This Row],[FECHA]])</f>
        <v>1900</v>
      </c>
      <c r="I32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06" customFormat="false" ht="15" hidden="false" customHeight="false" outlineLevel="0" collapsed="false">
      <c r="A3206" s="41"/>
      <c r="G3206" s="38" t="n">
        <f aca="false">MONTH(A3206)</f>
        <v>12</v>
      </c>
      <c r="H3206" s="38" t="n">
        <f aca="false">YEAR(Tabela1[[#This Row],[FECHA]])</f>
        <v>1900</v>
      </c>
      <c r="I32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07" customFormat="false" ht="15" hidden="false" customHeight="false" outlineLevel="0" collapsed="false">
      <c r="A3207" s="41"/>
      <c r="G3207" s="38" t="n">
        <f aca="false">MONTH(A3207)</f>
        <v>12</v>
      </c>
      <c r="H3207" s="38" t="n">
        <f aca="false">YEAR(Tabela1[[#This Row],[FECHA]])</f>
        <v>1900</v>
      </c>
      <c r="I32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08" customFormat="false" ht="15" hidden="false" customHeight="false" outlineLevel="0" collapsed="false">
      <c r="A3208" s="41"/>
      <c r="G3208" s="38" t="n">
        <f aca="false">MONTH(A3208)</f>
        <v>12</v>
      </c>
      <c r="H3208" s="38" t="n">
        <f aca="false">YEAR(Tabela1[[#This Row],[FECHA]])</f>
        <v>1900</v>
      </c>
      <c r="I32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09" customFormat="false" ht="15" hidden="false" customHeight="false" outlineLevel="0" collapsed="false">
      <c r="A3209" s="41"/>
      <c r="G3209" s="38" t="n">
        <f aca="false">MONTH(A3209)</f>
        <v>12</v>
      </c>
      <c r="H3209" s="38" t="n">
        <f aca="false">YEAR(Tabela1[[#This Row],[FECHA]])</f>
        <v>1900</v>
      </c>
      <c r="I32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10" customFormat="false" ht="15" hidden="false" customHeight="false" outlineLevel="0" collapsed="false">
      <c r="A3210" s="41"/>
      <c r="G3210" s="38" t="n">
        <f aca="false">MONTH(A3210)</f>
        <v>12</v>
      </c>
      <c r="H3210" s="38" t="n">
        <f aca="false">YEAR(Tabela1[[#This Row],[FECHA]])</f>
        <v>1900</v>
      </c>
      <c r="I32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11" customFormat="false" ht="15" hidden="false" customHeight="false" outlineLevel="0" collapsed="false">
      <c r="A3211" s="41"/>
      <c r="G3211" s="38" t="n">
        <f aca="false">MONTH(A3211)</f>
        <v>12</v>
      </c>
      <c r="H3211" s="38" t="n">
        <f aca="false">YEAR(Tabela1[[#This Row],[FECHA]])</f>
        <v>1900</v>
      </c>
      <c r="I32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12" customFormat="false" ht="15" hidden="false" customHeight="false" outlineLevel="0" collapsed="false">
      <c r="A3212" s="41"/>
      <c r="G3212" s="38" t="n">
        <f aca="false">MONTH(A3212)</f>
        <v>12</v>
      </c>
      <c r="H3212" s="38" t="n">
        <f aca="false">YEAR(Tabela1[[#This Row],[FECHA]])</f>
        <v>1900</v>
      </c>
      <c r="I32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13" customFormat="false" ht="15" hidden="false" customHeight="false" outlineLevel="0" collapsed="false">
      <c r="A3213" s="41"/>
      <c r="G3213" s="38" t="n">
        <f aca="false">MONTH(A3213)</f>
        <v>12</v>
      </c>
      <c r="H3213" s="38" t="n">
        <f aca="false">YEAR(Tabela1[[#This Row],[FECHA]])</f>
        <v>1900</v>
      </c>
      <c r="I32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14" customFormat="false" ht="15" hidden="false" customHeight="false" outlineLevel="0" collapsed="false">
      <c r="A3214" s="41"/>
      <c r="G3214" s="38" t="n">
        <f aca="false">MONTH(A3214)</f>
        <v>12</v>
      </c>
      <c r="H3214" s="38" t="n">
        <f aca="false">YEAR(Tabela1[[#This Row],[FECHA]])</f>
        <v>1900</v>
      </c>
      <c r="I32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15" customFormat="false" ht="15" hidden="false" customHeight="false" outlineLevel="0" collapsed="false">
      <c r="A3215" s="41"/>
      <c r="G3215" s="38" t="n">
        <f aca="false">MONTH(A3215)</f>
        <v>12</v>
      </c>
      <c r="H3215" s="38" t="n">
        <f aca="false">YEAR(Tabela1[[#This Row],[FECHA]])</f>
        <v>1900</v>
      </c>
      <c r="I32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16" customFormat="false" ht="15" hidden="false" customHeight="false" outlineLevel="0" collapsed="false">
      <c r="A3216" s="41"/>
      <c r="G3216" s="38" t="n">
        <f aca="false">MONTH(A3216)</f>
        <v>12</v>
      </c>
      <c r="H3216" s="38" t="n">
        <f aca="false">YEAR(Tabela1[[#This Row],[FECHA]])</f>
        <v>1900</v>
      </c>
      <c r="I32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17" customFormat="false" ht="15" hidden="false" customHeight="false" outlineLevel="0" collapsed="false">
      <c r="A3217" s="41"/>
      <c r="G3217" s="38" t="n">
        <f aca="false">MONTH(A3217)</f>
        <v>12</v>
      </c>
      <c r="H3217" s="38" t="n">
        <f aca="false">YEAR(Tabela1[[#This Row],[FECHA]])</f>
        <v>1900</v>
      </c>
      <c r="I32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18" customFormat="false" ht="15" hidden="false" customHeight="false" outlineLevel="0" collapsed="false">
      <c r="A3218" s="41"/>
      <c r="G3218" s="38" t="n">
        <f aca="false">MONTH(A3218)</f>
        <v>12</v>
      </c>
      <c r="H3218" s="38" t="n">
        <f aca="false">YEAR(Tabela1[[#This Row],[FECHA]])</f>
        <v>1900</v>
      </c>
      <c r="I32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19" customFormat="false" ht="15" hidden="false" customHeight="false" outlineLevel="0" collapsed="false">
      <c r="A3219" s="41"/>
      <c r="G3219" s="38" t="n">
        <f aca="false">MONTH(A3219)</f>
        <v>12</v>
      </c>
      <c r="H3219" s="38" t="n">
        <f aca="false">YEAR(Tabela1[[#This Row],[FECHA]])</f>
        <v>1900</v>
      </c>
      <c r="I32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20" customFormat="false" ht="15" hidden="false" customHeight="false" outlineLevel="0" collapsed="false">
      <c r="A3220" s="41"/>
      <c r="G3220" s="38" t="n">
        <f aca="false">MONTH(A3220)</f>
        <v>12</v>
      </c>
      <c r="H3220" s="38" t="n">
        <f aca="false">YEAR(Tabela1[[#This Row],[FECHA]])</f>
        <v>1900</v>
      </c>
      <c r="I32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21" customFormat="false" ht="15" hidden="false" customHeight="false" outlineLevel="0" collapsed="false">
      <c r="A3221" s="41"/>
      <c r="G3221" s="38" t="n">
        <f aca="false">MONTH(A3221)</f>
        <v>12</v>
      </c>
      <c r="H3221" s="38" t="n">
        <f aca="false">YEAR(Tabela1[[#This Row],[FECHA]])</f>
        <v>1900</v>
      </c>
      <c r="I32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22" customFormat="false" ht="15" hidden="false" customHeight="false" outlineLevel="0" collapsed="false">
      <c r="A3222" s="41"/>
      <c r="G3222" s="38" t="n">
        <f aca="false">MONTH(A3222)</f>
        <v>12</v>
      </c>
      <c r="H3222" s="38" t="n">
        <f aca="false">YEAR(Tabela1[[#This Row],[FECHA]])</f>
        <v>1900</v>
      </c>
      <c r="I32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23" customFormat="false" ht="15" hidden="false" customHeight="false" outlineLevel="0" collapsed="false">
      <c r="A3223" s="41"/>
      <c r="G3223" s="38" t="n">
        <f aca="false">MONTH(A3223)</f>
        <v>12</v>
      </c>
      <c r="H3223" s="38" t="n">
        <f aca="false">YEAR(Tabela1[[#This Row],[FECHA]])</f>
        <v>1900</v>
      </c>
      <c r="I32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24" customFormat="false" ht="15" hidden="false" customHeight="false" outlineLevel="0" collapsed="false">
      <c r="A3224" s="41"/>
      <c r="G3224" s="38" t="n">
        <f aca="false">MONTH(A3224)</f>
        <v>12</v>
      </c>
      <c r="H3224" s="38" t="n">
        <f aca="false">YEAR(Tabela1[[#This Row],[FECHA]])</f>
        <v>1900</v>
      </c>
      <c r="I32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25" customFormat="false" ht="15" hidden="false" customHeight="false" outlineLevel="0" collapsed="false">
      <c r="A3225" s="41"/>
      <c r="G3225" s="38" t="n">
        <f aca="false">MONTH(A3225)</f>
        <v>12</v>
      </c>
      <c r="H3225" s="38" t="n">
        <f aca="false">YEAR(Tabela1[[#This Row],[FECHA]])</f>
        <v>1900</v>
      </c>
      <c r="I32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26" customFormat="false" ht="15" hidden="false" customHeight="false" outlineLevel="0" collapsed="false">
      <c r="A3226" s="41"/>
      <c r="G3226" s="38" t="n">
        <f aca="false">MONTH(A3226)</f>
        <v>12</v>
      </c>
      <c r="H3226" s="38" t="n">
        <f aca="false">YEAR(Tabela1[[#This Row],[FECHA]])</f>
        <v>1900</v>
      </c>
      <c r="I32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27" customFormat="false" ht="15" hidden="false" customHeight="false" outlineLevel="0" collapsed="false">
      <c r="A3227" s="41"/>
      <c r="G3227" s="38" t="n">
        <f aca="false">MONTH(A3227)</f>
        <v>12</v>
      </c>
      <c r="H3227" s="38" t="n">
        <f aca="false">YEAR(Tabela1[[#This Row],[FECHA]])</f>
        <v>1900</v>
      </c>
      <c r="I32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28" customFormat="false" ht="15" hidden="false" customHeight="false" outlineLevel="0" collapsed="false">
      <c r="A3228" s="41"/>
      <c r="G3228" s="38" t="n">
        <f aca="false">MONTH(A3228)</f>
        <v>12</v>
      </c>
      <c r="H3228" s="38" t="n">
        <f aca="false">YEAR(Tabela1[[#This Row],[FECHA]])</f>
        <v>1900</v>
      </c>
      <c r="I32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29" customFormat="false" ht="15" hidden="false" customHeight="false" outlineLevel="0" collapsed="false">
      <c r="A3229" s="41"/>
      <c r="G3229" s="38" t="n">
        <f aca="false">MONTH(A3229)</f>
        <v>12</v>
      </c>
      <c r="H3229" s="38" t="n">
        <f aca="false">YEAR(Tabela1[[#This Row],[FECHA]])</f>
        <v>1900</v>
      </c>
      <c r="I32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30" customFormat="false" ht="15" hidden="false" customHeight="false" outlineLevel="0" collapsed="false">
      <c r="A3230" s="41"/>
      <c r="G3230" s="38" t="n">
        <f aca="false">MONTH(A3230)</f>
        <v>12</v>
      </c>
      <c r="H3230" s="38" t="n">
        <f aca="false">YEAR(Tabela1[[#This Row],[FECHA]])</f>
        <v>1900</v>
      </c>
      <c r="I32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31" customFormat="false" ht="15" hidden="false" customHeight="false" outlineLevel="0" collapsed="false">
      <c r="A3231" s="41"/>
      <c r="G3231" s="38" t="n">
        <f aca="false">MONTH(A3231)</f>
        <v>12</v>
      </c>
      <c r="H3231" s="38" t="n">
        <f aca="false">YEAR(Tabela1[[#This Row],[FECHA]])</f>
        <v>1900</v>
      </c>
      <c r="I32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32" customFormat="false" ht="15" hidden="false" customHeight="false" outlineLevel="0" collapsed="false">
      <c r="A3232" s="41"/>
      <c r="G3232" s="38" t="n">
        <f aca="false">MONTH(A3232)</f>
        <v>12</v>
      </c>
      <c r="H3232" s="38" t="n">
        <f aca="false">YEAR(Tabela1[[#This Row],[FECHA]])</f>
        <v>1900</v>
      </c>
      <c r="I32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33" customFormat="false" ht="15" hidden="false" customHeight="false" outlineLevel="0" collapsed="false">
      <c r="A3233" s="41"/>
      <c r="G3233" s="38" t="n">
        <f aca="false">MONTH(A3233)</f>
        <v>12</v>
      </c>
      <c r="H3233" s="38" t="n">
        <f aca="false">YEAR(Tabela1[[#This Row],[FECHA]])</f>
        <v>1900</v>
      </c>
      <c r="I32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34" customFormat="false" ht="15" hidden="false" customHeight="false" outlineLevel="0" collapsed="false">
      <c r="A3234" s="41"/>
      <c r="G3234" s="38" t="n">
        <f aca="false">MONTH(A3234)</f>
        <v>12</v>
      </c>
      <c r="H3234" s="38" t="n">
        <f aca="false">YEAR(Tabela1[[#This Row],[FECHA]])</f>
        <v>1900</v>
      </c>
      <c r="I32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35" customFormat="false" ht="15" hidden="false" customHeight="false" outlineLevel="0" collapsed="false">
      <c r="A3235" s="41"/>
      <c r="G3235" s="38" t="n">
        <f aca="false">MONTH(A3235)</f>
        <v>12</v>
      </c>
      <c r="H3235" s="38" t="n">
        <f aca="false">YEAR(Tabela1[[#This Row],[FECHA]])</f>
        <v>1900</v>
      </c>
      <c r="I32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36" customFormat="false" ht="15" hidden="false" customHeight="false" outlineLevel="0" collapsed="false">
      <c r="A3236" s="41"/>
      <c r="G3236" s="38" t="n">
        <f aca="false">MONTH(A3236)</f>
        <v>12</v>
      </c>
      <c r="H3236" s="38" t="n">
        <f aca="false">YEAR(Tabela1[[#This Row],[FECHA]])</f>
        <v>1900</v>
      </c>
      <c r="I32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37" customFormat="false" ht="15" hidden="false" customHeight="false" outlineLevel="0" collapsed="false">
      <c r="A3237" s="41"/>
      <c r="G3237" s="38" t="n">
        <f aca="false">MONTH(A3237)</f>
        <v>12</v>
      </c>
      <c r="H3237" s="38" t="n">
        <f aca="false">YEAR(Tabela1[[#This Row],[FECHA]])</f>
        <v>1900</v>
      </c>
      <c r="I32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38" customFormat="false" ht="15" hidden="false" customHeight="false" outlineLevel="0" collapsed="false">
      <c r="A3238" s="41"/>
      <c r="G3238" s="38" t="n">
        <f aca="false">MONTH(A3238)</f>
        <v>12</v>
      </c>
      <c r="H3238" s="38" t="n">
        <f aca="false">YEAR(Tabela1[[#This Row],[FECHA]])</f>
        <v>1900</v>
      </c>
      <c r="I32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39" customFormat="false" ht="15" hidden="false" customHeight="false" outlineLevel="0" collapsed="false">
      <c r="A3239" s="41"/>
      <c r="G3239" s="38" t="n">
        <f aca="false">MONTH(A3239)</f>
        <v>12</v>
      </c>
      <c r="H3239" s="38" t="n">
        <f aca="false">YEAR(Tabela1[[#This Row],[FECHA]])</f>
        <v>1900</v>
      </c>
      <c r="I32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40" customFormat="false" ht="15" hidden="false" customHeight="false" outlineLevel="0" collapsed="false">
      <c r="A3240" s="41"/>
      <c r="G3240" s="38" t="n">
        <f aca="false">MONTH(A3240)</f>
        <v>12</v>
      </c>
      <c r="H3240" s="38" t="n">
        <f aca="false">YEAR(Tabela1[[#This Row],[FECHA]])</f>
        <v>1900</v>
      </c>
      <c r="I32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41" customFormat="false" ht="15" hidden="false" customHeight="false" outlineLevel="0" collapsed="false">
      <c r="A3241" s="41"/>
      <c r="G3241" s="38" t="n">
        <f aca="false">MONTH(A3241)</f>
        <v>12</v>
      </c>
      <c r="H3241" s="38" t="n">
        <f aca="false">YEAR(Tabela1[[#This Row],[FECHA]])</f>
        <v>1900</v>
      </c>
      <c r="I32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42" customFormat="false" ht="15" hidden="false" customHeight="false" outlineLevel="0" collapsed="false">
      <c r="A3242" s="41"/>
      <c r="G3242" s="38" t="n">
        <f aca="false">MONTH(A3242)</f>
        <v>12</v>
      </c>
      <c r="H3242" s="38" t="n">
        <f aca="false">YEAR(Tabela1[[#This Row],[FECHA]])</f>
        <v>1900</v>
      </c>
      <c r="I32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43" customFormat="false" ht="15" hidden="false" customHeight="false" outlineLevel="0" collapsed="false">
      <c r="A3243" s="41"/>
      <c r="G3243" s="38" t="n">
        <f aca="false">MONTH(A3243)</f>
        <v>12</v>
      </c>
      <c r="H3243" s="38" t="n">
        <f aca="false">YEAR(Tabela1[[#This Row],[FECHA]])</f>
        <v>1900</v>
      </c>
      <c r="I32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44" customFormat="false" ht="15" hidden="false" customHeight="false" outlineLevel="0" collapsed="false">
      <c r="A3244" s="41"/>
      <c r="G3244" s="38" t="n">
        <f aca="false">MONTH(A3244)</f>
        <v>12</v>
      </c>
      <c r="H3244" s="38" t="n">
        <f aca="false">YEAR(Tabela1[[#This Row],[FECHA]])</f>
        <v>1900</v>
      </c>
      <c r="I32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45" customFormat="false" ht="15" hidden="false" customHeight="false" outlineLevel="0" collapsed="false">
      <c r="A3245" s="41"/>
      <c r="G3245" s="38" t="n">
        <f aca="false">MONTH(A3245)</f>
        <v>12</v>
      </c>
      <c r="H3245" s="38" t="n">
        <f aca="false">YEAR(Tabela1[[#This Row],[FECHA]])</f>
        <v>1900</v>
      </c>
      <c r="I32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46" customFormat="false" ht="15" hidden="false" customHeight="false" outlineLevel="0" collapsed="false">
      <c r="A3246" s="41"/>
      <c r="G3246" s="38" t="n">
        <f aca="false">MONTH(A3246)</f>
        <v>12</v>
      </c>
      <c r="H3246" s="38" t="n">
        <f aca="false">YEAR(Tabela1[[#This Row],[FECHA]])</f>
        <v>1900</v>
      </c>
      <c r="I32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47" customFormat="false" ht="15" hidden="false" customHeight="false" outlineLevel="0" collapsed="false">
      <c r="A3247" s="41"/>
      <c r="G3247" s="38" t="n">
        <f aca="false">MONTH(A3247)</f>
        <v>12</v>
      </c>
      <c r="H3247" s="38" t="n">
        <f aca="false">YEAR(Tabela1[[#This Row],[FECHA]])</f>
        <v>1900</v>
      </c>
      <c r="I32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48" customFormat="false" ht="15" hidden="false" customHeight="false" outlineLevel="0" collapsed="false">
      <c r="A3248" s="41"/>
      <c r="G3248" s="38" t="n">
        <f aca="false">MONTH(A3248)</f>
        <v>12</v>
      </c>
      <c r="H3248" s="38" t="n">
        <f aca="false">YEAR(Tabela1[[#This Row],[FECHA]])</f>
        <v>1900</v>
      </c>
      <c r="I32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49" customFormat="false" ht="15" hidden="false" customHeight="false" outlineLevel="0" collapsed="false">
      <c r="A3249" s="41"/>
      <c r="G3249" s="38" t="n">
        <f aca="false">MONTH(A3249)</f>
        <v>12</v>
      </c>
      <c r="H3249" s="38" t="n">
        <f aca="false">YEAR(Tabela1[[#This Row],[FECHA]])</f>
        <v>1900</v>
      </c>
      <c r="I32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50" customFormat="false" ht="15" hidden="false" customHeight="false" outlineLevel="0" collapsed="false">
      <c r="A3250" s="41"/>
      <c r="G3250" s="38" t="n">
        <f aca="false">MONTH(A3250)</f>
        <v>12</v>
      </c>
      <c r="H3250" s="38" t="n">
        <f aca="false">YEAR(Tabela1[[#This Row],[FECHA]])</f>
        <v>1900</v>
      </c>
      <c r="I32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51" customFormat="false" ht="15" hidden="false" customHeight="false" outlineLevel="0" collapsed="false">
      <c r="A3251" s="41"/>
      <c r="G3251" s="38" t="n">
        <f aca="false">MONTH(A3251)</f>
        <v>12</v>
      </c>
      <c r="H3251" s="38" t="n">
        <f aca="false">YEAR(Tabela1[[#This Row],[FECHA]])</f>
        <v>1900</v>
      </c>
      <c r="I32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52" customFormat="false" ht="15" hidden="false" customHeight="false" outlineLevel="0" collapsed="false">
      <c r="A3252" s="41"/>
      <c r="G3252" s="38" t="n">
        <f aca="false">MONTH(A3252)</f>
        <v>12</v>
      </c>
      <c r="H3252" s="38" t="n">
        <f aca="false">YEAR(Tabela1[[#This Row],[FECHA]])</f>
        <v>1900</v>
      </c>
      <c r="I32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53" customFormat="false" ht="15" hidden="false" customHeight="false" outlineLevel="0" collapsed="false">
      <c r="A3253" s="41"/>
      <c r="G3253" s="38" t="n">
        <f aca="false">MONTH(A3253)</f>
        <v>12</v>
      </c>
      <c r="H3253" s="38" t="n">
        <f aca="false">YEAR(Tabela1[[#This Row],[FECHA]])</f>
        <v>1900</v>
      </c>
      <c r="I32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54" customFormat="false" ht="15" hidden="false" customHeight="false" outlineLevel="0" collapsed="false">
      <c r="A3254" s="41"/>
      <c r="G3254" s="38" t="n">
        <f aca="false">MONTH(A3254)</f>
        <v>12</v>
      </c>
      <c r="H3254" s="38" t="n">
        <f aca="false">YEAR(Tabela1[[#This Row],[FECHA]])</f>
        <v>1900</v>
      </c>
      <c r="I32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55" customFormat="false" ht="15" hidden="false" customHeight="false" outlineLevel="0" collapsed="false">
      <c r="A3255" s="41"/>
      <c r="G3255" s="38" t="n">
        <f aca="false">MONTH(A3255)</f>
        <v>12</v>
      </c>
      <c r="H3255" s="38" t="n">
        <f aca="false">YEAR(Tabela1[[#This Row],[FECHA]])</f>
        <v>1900</v>
      </c>
      <c r="I32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56" customFormat="false" ht="15" hidden="false" customHeight="false" outlineLevel="0" collapsed="false">
      <c r="A3256" s="41"/>
      <c r="G3256" s="38" t="n">
        <f aca="false">MONTH(A3256)</f>
        <v>12</v>
      </c>
      <c r="H3256" s="38" t="n">
        <f aca="false">YEAR(Tabela1[[#This Row],[FECHA]])</f>
        <v>1900</v>
      </c>
      <c r="I32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57" customFormat="false" ht="15" hidden="false" customHeight="false" outlineLevel="0" collapsed="false">
      <c r="A3257" s="41"/>
      <c r="G3257" s="38" t="n">
        <f aca="false">MONTH(A3257)</f>
        <v>12</v>
      </c>
      <c r="H3257" s="38" t="n">
        <f aca="false">YEAR(Tabela1[[#This Row],[FECHA]])</f>
        <v>1900</v>
      </c>
      <c r="I32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58" customFormat="false" ht="15" hidden="false" customHeight="false" outlineLevel="0" collapsed="false">
      <c r="A3258" s="41"/>
      <c r="G3258" s="38" t="n">
        <f aca="false">MONTH(A3258)</f>
        <v>12</v>
      </c>
      <c r="H3258" s="38" t="n">
        <f aca="false">YEAR(Tabela1[[#This Row],[FECHA]])</f>
        <v>1900</v>
      </c>
      <c r="I32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59" customFormat="false" ht="15" hidden="false" customHeight="false" outlineLevel="0" collapsed="false">
      <c r="A3259" s="41"/>
      <c r="G3259" s="38" t="n">
        <f aca="false">MONTH(A3259)</f>
        <v>12</v>
      </c>
      <c r="H3259" s="38" t="n">
        <f aca="false">YEAR(Tabela1[[#This Row],[FECHA]])</f>
        <v>1900</v>
      </c>
      <c r="I32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60" customFormat="false" ht="15" hidden="false" customHeight="false" outlineLevel="0" collapsed="false">
      <c r="A3260" s="41"/>
      <c r="G3260" s="38" t="n">
        <f aca="false">MONTH(A3260)</f>
        <v>12</v>
      </c>
      <c r="H3260" s="38" t="n">
        <f aca="false">YEAR(Tabela1[[#This Row],[FECHA]])</f>
        <v>1900</v>
      </c>
      <c r="I32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61" customFormat="false" ht="15" hidden="false" customHeight="false" outlineLevel="0" collapsed="false">
      <c r="A3261" s="41"/>
      <c r="G3261" s="38" t="n">
        <f aca="false">MONTH(A3261)</f>
        <v>12</v>
      </c>
      <c r="H3261" s="38" t="n">
        <f aca="false">YEAR(Tabela1[[#This Row],[FECHA]])</f>
        <v>1900</v>
      </c>
      <c r="I32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62" customFormat="false" ht="15" hidden="false" customHeight="false" outlineLevel="0" collapsed="false">
      <c r="A3262" s="41"/>
      <c r="G3262" s="38" t="n">
        <f aca="false">MONTH(A3262)</f>
        <v>12</v>
      </c>
      <c r="H3262" s="38" t="n">
        <f aca="false">YEAR(Tabela1[[#This Row],[FECHA]])</f>
        <v>1900</v>
      </c>
      <c r="I32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63" customFormat="false" ht="15" hidden="false" customHeight="false" outlineLevel="0" collapsed="false">
      <c r="A3263" s="41"/>
      <c r="G3263" s="38" t="n">
        <f aca="false">MONTH(A3263)</f>
        <v>12</v>
      </c>
      <c r="H3263" s="38" t="n">
        <f aca="false">YEAR(Tabela1[[#This Row],[FECHA]])</f>
        <v>1900</v>
      </c>
      <c r="I32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64" customFormat="false" ht="15" hidden="false" customHeight="false" outlineLevel="0" collapsed="false">
      <c r="A3264" s="41"/>
      <c r="G3264" s="38" t="n">
        <f aca="false">MONTH(A3264)</f>
        <v>12</v>
      </c>
      <c r="H3264" s="38" t="n">
        <f aca="false">YEAR(Tabela1[[#This Row],[FECHA]])</f>
        <v>1900</v>
      </c>
      <c r="I32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65" customFormat="false" ht="15" hidden="false" customHeight="false" outlineLevel="0" collapsed="false">
      <c r="A3265" s="41"/>
      <c r="G3265" s="38" t="n">
        <f aca="false">MONTH(A3265)</f>
        <v>12</v>
      </c>
      <c r="H3265" s="38" t="n">
        <f aca="false">YEAR(Tabela1[[#This Row],[FECHA]])</f>
        <v>1900</v>
      </c>
      <c r="I32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66" customFormat="false" ht="15" hidden="false" customHeight="false" outlineLevel="0" collapsed="false">
      <c r="A3266" s="41"/>
      <c r="G3266" s="38" t="n">
        <f aca="false">MONTH(A3266)</f>
        <v>12</v>
      </c>
      <c r="H3266" s="38" t="n">
        <f aca="false">YEAR(Tabela1[[#This Row],[FECHA]])</f>
        <v>1900</v>
      </c>
      <c r="I32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67" customFormat="false" ht="15" hidden="false" customHeight="false" outlineLevel="0" collapsed="false">
      <c r="A3267" s="41"/>
      <c r="G3267" s="38" t="n">
        <f aca="false">MONTH(A3267)</f>
        <v>12</v>
      </c>
      <c r="H3267" s="38" t="n">
        <f aca="false">YEAR(Tabela1[[#This Row],[FECHA]])</f>
        <v>1900</v>
      </c>
      <c r="I32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68" customFormat="false" ht="15" hidden="false" customHeight="false" outlineLevel="0" collapsed="false">
      <c r="A3268" s="41"/>
      <c r="G3268" s="38" t="n">
        <f aca="false">MONTH(A3268)</f>
        <v>12</v>
      </c>
      <c r="H3268" s="38" t="n">
        <f aca="false">YEAR(Tabela1[[#This Row],[FECHA]])</f>
        <v>1900</v>
      </c>
      <c r="I32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69" customFormat="false" ht="15" hidden="false" customHeight="false" outlineLevel="0" collapsed="false">
      <c r="A3269" s="41"/>
      <c r="G3269" s="38" t="n">
        <f aca="false">MONTH(A3269)</f>
        <v>12</v>
      </c>
      <c r="H3269" s="38" t="n">
        <f aca="false">YEAR(Tabela1[[#This Row],[FECHA]])</f>
        <v>1900</v>
      </c>
      <c r="I32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70" customFormat="false" ht="15" hidden="false" customHeight="false" outlineLevel="0" collapsed="false">
      <c r="A3270" s="41"/>
      <c r="G3270" s="38" t="n">
        <f aca="false">MONTH(A3270)</f>
        <v>12</v>
      </c>
      <c r="H3270" s="38" t="n">
        <f aca="false">YEAR(Tabela1[[#This Row],[FECHA]])</f>
        <v>1900</v>
      </c>
      <c r="I32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71" customFormat="false" ht="15" hidden="false" customHeight="false" outlineLevel="0" collapsed="false">
      <c r="A3271" s="41"/>
      <c r="G3271" s="38" t="n">
        <f aca="false">MONTH(A3271)</f>
        <v>12</v>
      </c>
      <c r="H3271" s="38" t="n">
        <f aca="false">YEAR(Tabela1[[#This Row],[FECHA]])</f>
        <v>1900</v>
      </c>
      <c r="I32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72" customFormat="false" ht="15" hidden="false" customHeight="false" outlineLevel="0" collapsed="false">
      <c r="A3272" s="41"/>
      <c r="G3272" s="38" t="n">
        <f aca="false">MONTH(A3272)</f>
        <v>12</v>
      </c>
      <c r="H3272" s="38" t="n">
        <f aca="false">YEAR(Tabela1[[#This Row],[FECHA]])</f>
        <v>1900</v>
      </c>
      <c r="I32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73" customFormat="false" ht="15" hidden="false" customHeight="false" outlineLevel="0" collapsed="false">
      <c r="A3273" s="41"/>
      <c r="G3273" s="38" t="n">
        <f aca="false">MONTH(A3273)</f>
        <v>12</v>
      </c>
      <c r="H3273" s="38" t="n">
        <f aca="false">YEAR(Tabela1[[#This Row],[FECHA]])</f>
        <v>1900</v>
      </c>
      <c r="I32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74" customFormat="false" ht="15" hidden="false" customHeight="false" outlineLevel="0" collapsed="false">
      <c r="A3274" s="41"/>
      <c r="G3274" s="38" t="n">
        <f aca="false">MONTH(A3274)</f>
        <v>12</v>
      </c>
      <c r="H3274" s="38" t="n">
        <f aca="false">YEAR(Tabela1[[#This Row],[FECHA]])</f>
        <v>1900</v>
      </c>
      <c r="I32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75" customFormat="false" ht="15" hidden="false" customHeight="false" outlineLevel="0" collapsed="false">
      <c r="A3275" s="41"/>
      <c r="G3275" s="38" t="n">
        <f aca="false">MONTH(A3275)</f>
        <v>12</v>
      </c>
      <c r="H3275" s="38" t="n">
        <f aca="false">YEAR(Tabela1[[#This Row],[FECHA]])</f>
        <v>1900</v>
      </c>
      <c r="I32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76" customFormat="false" ht="15" hidden="false" customHeight="false" outlineLevel="0" collapsed="false">
      <c r="A3276" s="41"/>
      <c r="G3276" s="38" t="n">
        <f aca="false">MONTH(A3276)</f>
        <v>12</v>
      </c>
      <c r="H3276" s="38" t="n">
        <f aca="false">YEAR(Tabela1[[#This Row],[FECHA]])</f>
        <v>1900</v>
      </c>
      <c r="I32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77" customFormat="false" ht="15" hidden="false" customHeight="false" outlineLevel="0" collapsed="false">
      <c r="A3277" s="41"/>
      <c r="G3277" s="38" t="n">
        <f aca="false">MONTH(A3277)</f>
        <v>12</v>
      </c>
      <c r="H3277" s="38" t="n">
        <f aca="false">YEAR(Tabela1[[#This Row],[FECHA]])</f>
        <v>1900</v>
      </c>
      <c r="I32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78" customFormat="false" ht="15" hidden="false" customHeight="false" outlineLevel="0" collapsed="false">
      <c r="A3278" s="41"/>
      <c r="G3278" s="38" t="n">
        <f aca="false">MONTH(A3278)</f>
        <v>12</v>
      </c>
      <c r="H3278" s="38" t="n">
        <f aca="false">YEAR(Tabela1[[#This Row],[FECHA]])</f>
        <v>1900</v>
      </c>
      <c r="I32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79" customFormat="false" ht="15" hidden="false" customHeight="false" outlineLevel="0" collapsed="false">
      <c r="A3279" s="41"/>
      <c r="G3279" s="38" t="n">
        <f aca="false">MONTH(A3279)</f>
        <v>12</v>
      </c>
      <c r="H3279" s="38" t="n">
        <f aca="false">YEAR(Tabela1[[#This Row],[FECHA]])</f>
        <v>1900</v>
      </c>
      <c r="I32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80" customFormat="false" ht="15" hidden="false" customHeight="false" outlineLevel="0" collapsed="false">
      <c r="A3280" s="41"/>
      <c r="G3280" s="38" t="n">
        <f aca="false">MONTH(A3280)</f>
        <v>12</v>
      </c>
      <c r="H3280" s="38" t="n">
        <f aca="false">YEAR(Tabela1[[#This Row],[FECHA]])</f>
        <v>1900</v>
      </c>
      <c r="I32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81" customFormat="false" ht="15" hidden="false" customHeight="false" outlineLevel="0" collapsed="false">
      <c r="A3281" s="41"/>
      <c r="G3281" s="38" t="n">
        <f aca="false">MONTH(A3281)</f>
        <v>12</v>
      </c>
      <c r="H3281" s="38" t="n">
        <f aca="false">YEAR(Tabela1[[#This Row],[FECHA]])</f>
        <v>1900</v>
      </c>
      <c r="I32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82" customFormat="false" ht="15" hidden="false" customHeight="false" outlineLevel="0" collapsed="false">
      <c r="A3282" s="41"/>
      <c r="G3282" s="38" t="n">
        <f aca="false">MONTH(A3282)</f>
        <v>12</v>
      </c>
      <c r="H3282" s="38" t="n">
        <f aca="false">YEAR(Tabela1[[#This Row],[FECHA]])</f>
        <v>1900</v>
      </c>
      <c r="I32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83" customFormat="false" ht="15" hidden="false" customHeight="false" outlineLevel="0" collapsed="false">
      <c r="A3283" s="41"/>
      <c r="G3283" s="38" t="n">
        <f aca="false">MONTH(A3283)</f>
        <v>12</v>
      </c>
      <c r="H3283" s="38" t="n">
        <f aca="false">YEAR(Tabela1[[#This Row],[FECHA]])</f>
        <v>1900</v>
      </c>
      <c r="I32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84" customFormat="false" ht="15" hidden="false" customHeight="false" outlineLevel="0" collapsed="false">
      <c r="A3284" s="41"/>
      <c r="G3284" s="38" t="n">
        <f aca="false">MONTH(A3284)</f>
        <v>12</v>
      </c>
      <c r="H3284" s="38" t="n">
        <f aca="false">YEAR(Tabela1[[#This Row],[FECHA]])</f>
        <v>1900</v>
      </c>
      <c r="I32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85" customFormat="false" ht="15" hidden="false" customHeight="false" outlineLevel="0" collapsed="false">
      <c r="A3285" s="41"/>
      <c r="G3285" s="38" t="n">
        <f aca="false">MONTH(A3285)</f>
        <v>12</v>
      </c>
      <c r="H3285" s="38" t="n">
        <f aca="false">YEAR(Tabela1[[#This Row],[FECHA]])</f>
        <v>1900</v>
      </c>
      <c r="I32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86" customFormat="false" ht="15" hidden="false" customHeight="false" outlineLevel="0" collapsed="false">
      <c r="A3286" s="41"/>
      <c r="G3286" s="38" t="n">
        <f aca="false">MONTH(A3286)</f>
        <v>12</v>
      </c>
      <c r="H3286" s="38" t="n">
        <f aca="false">YEAR(Tabela1[[#This Row],[FECHA]])</f>
        <v>1900</v>
      </c>
      <c r="I32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87" customFormat="false" ht="15" hidden="false" customHeight="false" outlineLevel="0" collapsed="false">
      <c r="A3287" s="41"/>
      <c r="G3287" s="38" t="n">
        <f aca="false">MONTH(A3287)</f>
        <v>12</v>
      </c>
      <c r="H3287" s="38" t="n">
        <f aca="false">YEAR(Tabela1[[#This Row],[FECHA]])</f>
        <v>1900</v>
      </c>
      <c r="I32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88" customFormat="false" ht="15" hidden="false" customHeight="false" outlineLevel="0" collapsed="false">
      <c r="A3288" s="41"/>
      <c r="G3288" s="38" t="n">
        <f aca="false">MONTH(A3288)</f>
        <v>12</v>
      </c>
      <c r="H3288" s="38" t="n">
        <f aca="false">YEAR(Tabela1[[#This Row],[FECHA]])</f>
        <v>1900</v>
      </c>
      <c r="I32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89" customFormat="false" ht="15" hidden="false" customHeight="false" outlineLevel="0" collapsed="false">
      <c r="A3289" s="41"/>
      <c r="G3289" s="38" t="n">
        <f aca="false">MONTH(A3289)</f>
        <v>12</v>
      </c>
      <c r="H3289" s="38" t="n">
        <f aca="false">YEAR(Tabela1[[#This Row],[FECHA]])</f>
        <v>1900</v>
      </c>
      <c r="I32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90" customFormat="false" ht="15" hidden="false" customHeight="false" outlineLevel="0" collapsed="false">
      <c r="A3290" s="41"/>
      <c r="G3290" s="38" t="n">
        <f aca="false">MONTH(A3290)</f>
        <v>12</v>
      </c>
      <c r="H3290" s="38" t="n">
        <f aca="false">YEAR(Tabela1[[#This Row],[FECHA]])</f>
        <v>1900</v>
      </c>
      <c r="I32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91" customFormat="false" ht="15" hidden="false" customHeight="false" outlineLevel="0" collapsed="false">
      <c r="A3291" s="41"/>
      <c r="G3291" s="38" t="n">
        <f aca="false">MONTH(A3291)</f>
        <v>12</v>
      </c>
      <c r="H3291" s="38" t="n">
        <f aca="false">YEAR(Tabela1[[#This Row],[FECHA]])</f>
        <v>1900</v>
      </c>
      <c r="I32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92" customFormat="false" ht="15" hidden="false" customHeight="false" outlineLevel="0" collapsed="false">
      <c r="A3292" s="41"/>
      <c r="G3292" s="38" t="n">
        <f aca="false">MONTH(A3292)</f>
        <v>12</v>
      </c>
      <c r="H3292" s="38" t="n">
        <f aca="false">YEAR(Tabela1[[#This Row],[FECHA]])</f>
        <v>1900</v>
      </c>
      <c r="I32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93" customFormat="false" ht="15" hidden="false" customHeight="false" outlineLevel="0" collapsed="false">
      <c r="A3293" s="41"/>
      <c r="G3293" s="38" t="n">
        <f aca="false">MONTH(A3293)</f>
        <v>12</v>
      </c>
      <c r="H3293" s="38" t="n">
        <f aca="false">YEAR(Tabela1[[#This Row],[FECHA]])</f>
        <v>1900</v>
      </c>
      <c r="I32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94" customFormat="false" ht="15" hidden="false" customHeight="false" outlineLevel="0" collapsed="false">
      <c r="A3294" s="41"/>
      <c r="G3294" s="38" t="n">
        <f aca="false">MONTH(A3294)</f>
        <v>12</v>
      </c>
      <c r="H3294" s="38" t="n">
        <f aca="false">YEAR(Tabela1[[#This Row],[FECHA]])</f>
        <v>1900</v>
      </c>
      <c r="I32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95" customFormat="false" ht="15" hidden="false" customHeight="false" outlineLevel="0" collapsed="false">
      <c r="A3295" s="41"/>
      <c r="G3295" s="38" t="n">
        <f aca="false">MONTH(A3295)</f>
        <v>12</v>
      </c>
      <c r="H3295" s="38" t="n">
        <f aca="false">YEAR(Tabela1[[#This Row],[FECHA]])</f>
        <v>1900</v>
      </c>
      <c r="I32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96" customFormat="false" ht="15" hidden="false" customHeight="false" outlineLevel="0" collapsed="false">
      <c r="A3296" s="41"/>
      <c r="G3296" s="38" t="n">
        <f aca="false">MONTH(A3296)</f>
        <v>12</v>
      </c>
      <c r="H3296" s="38" t="n">
        <f aca="false">YEAR(Tabela1[[#This Row],[FECHA]])</f>
        <v>1900</v>
      </c>
      <c r="I32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97" customFormat="false" ht="15" hidden="false" customHeight="false" outlineLevel="0" collapsed="false">
      <c r="A3297" s="41"/>
      <c r="G3297" s="38" t="n">
        <f aca="false">MONTH(A3297)</f>
        <v>12</v>
      </c>
      <c r="H3297" s="38" t="n">
        <f aca="false">YEAR(Tabela1[[#This Row],[FECHA]])</f>
        <v>1900</v>
      </c>
      <c r="I32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98" customFormat="false" ht="15" hidden="false" customHeight="false" outlineLevel="0" collapsed="false">
      <c r="A3298" s="41"/>
      <c r="G3298" s="38" t="n">
        <f aca="false">MONTH(A3298)</f>
        <v>12</v>
      </c>
      <c r="H3298" s="38" t="n">
        <f aca="false">YEAR(Tabela1[[#This Row],[FECHA]])</f>
        <v>1900</v>
      </c>
      <c r="I32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299" customFormat="false" ht="15" hidden="false" customHeight="false" outlineLevel="0" collapsed="false">
      <c r="A3299" s="41"/>
      <c r="G3299" s="38" t="n">
        <f aca="false">MONTH(A3299)</f>
        <v>12</v>
      </c>
      <c r="H3299" s="38" t="n">
        <f aca="false">YEAR(Tabela1[[#This Row],[FECHA]])</f>
        <v>1900</v>
      </c>
      <c r="I32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00" customFormat="false" ht="15" hidden="false" customHeight="false" outlineLevel="0" collapsed="false">
      <c r="A3300" s="41"/>
      <c r="G3300" s="38" t="n">
        <f aca="false">MONTH(A3300)</f>
        <v>12</v>
      </c>
      <c r="H3300" s="38" t="n">
        <f aca="false">YEAR(Tabela1[[#This Row],[FECHA]])</f>
        <v>1900</v>
      </c>
      <c r="I33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01" customFormat="false" ht="15" hidden="false" customHeight="false" outlineLevel="0" collapsed="false">
      <c r="A3301" s="41"/>
      <c r="G3301" s="38" t="n">
        <f aca="false">MONTH(A3301)</f>
        <v>12</v>
      </c>
      <c r="H3301" s="38" t="n">
        <f aca="false">YEAR(Tabela1[[#This Row],[FECHA]])</f>
        <v>1900</v>
      </c>
      <c r="I33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02" customFormat="false" ht="15" hidden="false" customHeight="false" outlineLevel="0" collapsed="false">
      <c r="A3302" s="41"/>
      <c r="G3302" s="38" t="n">
        <f aca="false">MONTH(A3302)</f>
        <v>12</v>
      </c>
      <c r="H3302" s="38" t="n">
        <f aca="false">YEAR(Tabela1[[#This Row],[FECHA]])</f>
        <v>1900</v>
      </c>
      <c r="I33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03" customFormat="false" ht="15" hidden="false" customHeight="false" outlineLevel="0" collapsed="false">
      <c r="A3303" s="41"/>
      <c r="G3303" s="38" t="n">
        <f aca="false">MONTH(A3303)</f>
        <v>12</v>
      </c>
      <c r="H3303" s="38" t="n">
        <f aca="false">YEAR(Tabela1[[#This Row],[FECHA]])</f>
        <v>1900</v>
      </c>
      <c r="I33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04" customFormat="false" ht="15" hidden="false" customHeight="false" outlineLevel="0" collapsed="false">
      <c r="A3304" s="41"/>
      <c r="G3304" s="38" t="n">
        <f aca="false">MONTH(A3304)</f>
        <v>12</v>
      </c>
      <c r="H3304" s="38" t="n">
        <f aca="false">YEAR(Tabela1[[#This Row],[FECHA]])</f>
        <v>1900</v>
      </c>
      <c r="I33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05" customFormat="false" ht="15" hidden="false" customHeight="false" outlineLevel="0" collapsed="false">
      <c r="A3305" s="41"/>
      <c r="G3305" s="38" t="n">
        <f aca="false">MONTH(A3305)</f>
        <v>12</v>
      </c>
      <c r="H3305" s="38" t="n">
        <f aca="false">YEAR(Tabela1[[#This Row],[FECHA]])</f>
        <v>1900</v>
      </c>
      <c r="I33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06" customFormat="false" ht="15" hidden="false" customHeight="false" outlineLevel="0" collapsed="false">
      <c r="A3306" s="41"/>
      <c r="G3306" s="38" t="n">
        <f aca="false">MONTH(A3306)</f>
        <v>12</v>
      </c>
      <c r="H3306" s="38" t="n">
        <f aca="false">YEAR(Tabela1[[#This Row],[FECHA]])</f>
        <v>1900</v>
      </c>
      <c r="I33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07" customFormat="false" ht="15" hidden="false" customHeight="false" outlineLevel="0" collapsed="false">
      <c r="A3307" s="41"/>
      <c r="G3307" s="38" t="n">
        <f aca="false">MONTH(A3307)</f>
        <v>12</v>
      </c>
      <c r="H3307" s="38" t="n">
        <f aca="false">YEAR(Tabela1[[#This Row],[FECHA]])</f>
        <v>1900</v>
      </c>
      <c r="I33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08" customFormat="false" ht="15" hidden="false" customHeight="false" outlineLevel="0" collapsed="false">
      <c r="A3308" s="41"/>
      <c r="G3308" s="38" t="n">
        <f aca="false">MONTH(A3308)</f>
        <v>12</v>
      </c>
      <c r="H3308" s="38" t="n">
        <f aca="false">YEAR(Tabela1[[#This Row],[FECHA]])</f>
        <v>1900</v>
      </c>
      <c r="I33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09" customFormat="false" ht="15" hidden="false" customHeight="false" outlineLevel="0" collapsed="false">
      <c r="A3309" s="41"/>
      <c r="G3309" s="38" t="n">
        <f aca="false">MONTH(A3309)</f>
        <v>12</v>
      </c>
      <c r="H3309" s="38" t="n">
        <f aca="false">YEAR(Tabela1[[#This Row],[FECHA]])</f>
        <v>1900</v>
      </c>
      <c r="I33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10" customFormat="false" ht="15" hidden="false" customHeight="false" outlineLevel="0" collapsed="false">
      <c r="A3310" s="41"/>
      <c r="G3310" s="38" t="n">
        <f aca="false">MONTH(A3310)</f>
        <v>12</v>
      </c>
      <c r="H3310" s="38" t="n">
        <f aca="false">YEAR(Tabela1[[#This Row],[FECHA]])</f>
        <v>1900</v>
      </c>
      <c r="I33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11" customFormat="false" ht="15" hidden="false" customHeight="false" outlineLevel="0" collapsed="false">
      <c r="A3311" s="41"/>
      <c r="G3311" s="38" t="n">
        <f aca="false">MONTH(A3311)</f>
        <v>12</v>
      </c>
      <c r="H3311" s="38" t="n">
        <f aca="false">YEAR(Tabela1[[#This Row],[FECHA]])</f>
        <v>1900</v>
      </c>
      <c r="I33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12" customFormat="false" ht="15" hidden="false" customHeight="false" outlineLevel="0" collapsed="false">
      <c r="A3312" s="41"/>
      <c r="G3312" s="38" t="n">
        <f aca="false">MONTH(A3312)</f>
        <v>12</v>
      </c>
      <c r="H3312" s="38" t="n">
        <f aca="false">YEAR(Tabela1[[#This Row],[FECHA]])</f>
        <v>1900</v>
      </c>
      <c r="I33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13" customFormat="false" ht="15" hidden="false" customHeight="false" outlineLevel="0" collapsed="false">
      <c r="A3313" s="41"/>
      <c r="G3313" s="38" t="n">
        <f aca="false">MONTH(A3313)</f>
        <v>12</v>
      </c>
      <c r="H3313" s="38" t="n">
        <f aca="false">YEAR(Tabela1[[#This Row],[FECHA]])</f>
        <v>1900</v>
      </c>
      <c r="I33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14" customFormat="false" ht="15" hidden="false" customHeight="false" outlineLevel="0" collapsed="false">
      <c r="A3314" s="41"/>
      <c r="G3314" s="38" t="n">
        <f aca="false">MONTH(A3314)</f>
        <v>12</v>
      </c>
      <c r="H3314" s="38" t="n">
        <f aca="false">YEAR(Tabela1[[#This Row],[FECHA]])</f>
        <v>1900</v>
      </c>
      <c r="I33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15" customFormat="false" ht="15" hidden="false" customHeight="false" outlineLevel="0" collapsed="false">
      <c r="A3315" s="41"/>
      <c r="G3315" s="38" t="n">
        <f aca="false">MONTH(A3315)</f>
        <v>12</v>
      </c>
      <c r="H3315" s="38" t="n">
        <f aca="false">YEAR(Tabela1[[#This Row],[FECHA]])</f>
        <v>1900</v>
      </c>
      <c r="I33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16" customFormat="false" ht="15" hidden="false" customHeight="false" outlineLevel="0" collapsed="false">
      <c r="A3316" s="41"/>
      <c r="G3316" s="38" t="n">
        <f aca="false">MONTH(A3316)</f>
        <v>12</v>
      </c>
      <c r="H3316" s="38" t="n">
        <f aca="false">YEAR(Tabela1[[#This Row],[FECHA]])</f>
        <v>1900</v>
      </c>
      <c r="I33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17" customFormat="false" ht="15" hidden="false" customHeight="false" outlineLevel="0" collapsed="false">
      <c r="A3317" s="41"/>
      <c r="G3317" s="38" t="n">
        <f aca="false">MONTH(A3317)</f>
        <v>12</v>
      </c>
      <c r="H3317" s="38" t="n">
        <f aca="false">YEAR(Tabela1[[#This Row],[FECHA]])</f>
        <v>1900</v>
      </c>
      <c r="I33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18" customFormat="false" ht="15" hidden="false" customHeight="false" outlineLevel="0" collapsed="false">
      <c r="A3318" s="41"/>
      <c r="G3318" s="38" t="n">
        <f aca="false">MONTH(A3318)</f>
        <v>12</v>
      </c>
      <c r="H3318" s="38" t="n">
        <f aca="false">YEAR(Tabela1[[#This Row],[FECHA]])</f>
        <v>1900</v>
      </c>
      <c r="I33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19" customFormat="false" ht="15" hidden="false" customHeight="false" outlineLevel="0" collapsed="false">
      <c r="A3319" s="41"/>
      <c r="G3319" s="38" t="n">
        <f aca="false">MONTH(A3319)</f>
        <v>12</v>
      </c>
      <c r="H3319" s="38" t="n">
        <f aca="false">YEAR(Tabela1[[#This Row],[FECHA]])</f>
        <v>1900</v>
      </c>
      <c r="I33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20" customFormat="false" ht="15" hidden="false" customHeight="false" outlineLevel="0" collapsed="false">
      <c r="A3320" s="41"/>
      <c r="G3320" s="38" t="n">
        <f aca="false">MONTH(A3320)</f>
        <v>12</v>
      </c>
      <c r="H3320" s="38" t="n">
        <f aca="false">YEAR(Tabela1[[#This Row],[FECHA]])</f>
        <v>1900</v>
      </c>
      <c r="I33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21" customFormat="false" ht="15" hidden="false" customHeight="false" outlineLevel="0" collapsed="false">
      <c r="A3321" s="41"/>
      <c r="G3321" s="38" t="n">
        <f aca="false">MONTH(A3321)</f>
        <v>12</v>
      </c>
      <c r="H3321" s="38" t="n">
        <f aca="false">YEAR(Tabela1[[#This Row],[FECHA]])</f>
        <v>1900</v>
      </c>
      <c r="I33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22" customFormat="false" ht="15" hidden="false" customHeight="false" outlineLevel="0" collapsed="false">
      <c r="A3322" s="41"/>
      <c r="G3322" s="38" t="n">
        <f aca="false">MONTH(A3322)</f>
        <v>12</v>
      </c>
      <c r="H3322" s="38" t="n">
        <f aca="false">YEAR(Tabela1[[#This Row],[FECHA]])</f>
        <v>1900</v>
      </c>
      <c r="I33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23" customFormat="false" ht="15" hidden="false" customHeight="false" outlineLevel="0" collapsed="false">
      <c r="A3323" s="41"/>
      <c r="G3323" s="38" t="n">
        <f aca="false">MONTH(A3323)</f>
        <v>12</v>
      </c>
      <c r="H3323" s="38" t="n">
        <f aca="false">YEAR(Tabela1[[#This Row],[FECHA]])</f>
        <v>1900</v>
      </c>
      <c r="I33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24" customFormat="false" ht="15" hidden="false" customHeight="false" outlineLevel="0" collapsed="false">
      <c r="A3324" s="41"/>
      <c r="G3324" s="38" t="n">
        <f aca="false">MONTH(A3324)</f>
        <v>12</v>
      </c>
      <c r="H3324" s="38" t="n">
        <f aca="false">YEAR(Tabela1[[#This Row],[FECHA]])</f>
        <v>1900</v>
      </c>
      <c r="I33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25" customFormat="false" ht="15" hidden="false" customHeight="false" outlineLevel="0" collapsed="false">
      <c r="A3325" s="41"/>
      <c r="G3325" s="38" t="n">
        <f aca="false">MONTH(A3325)</f>
        <v>12</v>
      </c>
      <c r="H3325" s="38" t="n">
        <f aca="false">YEAR(Tabela1[[#This Row],[FECHA]])</f>
        <v>1900</v>
      </c>
      <c r="I33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26" customFormat="false" ht="15" hidden="false" customHeight="false" outlineLevel="0" collapsed="false">
      <c r="A3326" s="41"/>
      <c r="G3326" s="38" t="n">
        <f aca="false">MONTH(A3326)</f>
        <v>12</v>
      </c>
      <c r="H3326" s="38" t="n">
        <f aca="false">YEAR(Tabela1[[#This Row],[FECHA]])</f>
        <v>1900</v>
      </c>
      <c r="I33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27" customFormat="false" ht="15" hidden="false" customHeight="false" outlineLevel="0" collapsed="false">
      <c r="A3327" s="41"/>
      <c r="G3327" s="38" t="n">
        <f aca="false">MONTH(A3327)</f>
        <v>12</v>
      </c>
      <c r="H3327" s="38" t="n">
        <f aca="false">YEAR(Tabela1[[#This Row],[FECHA]])</f>
        <v>1900</v>
      </c>
      <c r="I33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28" customFormat="false" ht="15" hidden="false" customHeight="false" outlineLevel="0" collapsed="false">
      <c r="A3328" s="41"/>
      <c r="G3328" s="38" t="n">
        <f aca="false">MONTH(A3328)</f>
        <v>12</v>
      </c>
      <c r="H3328" s="38" t="n">
        <f aca="false">YEAR(Tabela1[[#This Row],[FECHA]])</f>
        <v>1900</v>
      </c>
      <c r="I33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29" customFormat="false" ht="15" hidden="false" customHeight="false" outlineLevel="0" collapsed="false">
      <c r="A3329" s="41"/>
      <c r="G3329" s="38" t="n">
        <f aca="false">MONTH(A3329)</f>
        <v>12</v>
      </c>
      <c r="H3329" s="38" t="n">
        <f aca="false">YEAR(Tabela1[[#This Row],[FECHA]])</f>
        <v>1900</v>
      </c>
      <c r="I33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30" customFormat="false" ht="15" hidden="false" customHeight="false" outlineLevel="0" collapsed="false">
      <c r="A3330" s="41"/>
      <c r="G3330" s="38" t="n">
        <f aca="false">MONTH(A3330)</f>
        <v>12</v>
      </c>
      <c r="H3330" s="38" t="n">
        <f aca="false">YEAR(Tabela1[[#This Row],[FECHA]])</f>
        <v>1900</v>
      </c>
      <c r="I33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31" customFormat="false" ht="15" hidden="false" customHeight="false" outlineLevel="0" collapsed="false">
      <c r="A3331" s="41"/>
      <c r="G3331" s="38" t="n">
        <f aca="false">MONTH(A3331)</f>
        <v>12</v>
      </c>
      <c r="H3331" s="38" t="n">
        <f aca="false">YEAR(Tabela1[[#This Row],[FECHA]])</f>
        <v>1900</v>
      </c>
      <c r="I33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32" customFormat="false" ht="15" hidden="false" customHeight="false" outlineLevel="0" collapsed="false">
      <c r="A3332" s="41"/>
      <c r="G3332" s="38" t="n">
        <f aca="false">MONTH(A3332)</f>
        <v>12</v>
      </c>
      <c r="H3332" s="38" t="n">
        <f aca="false">YEAR(Tabela1[[#This Row],[FECHA]])</f>
        <v>1900</v>
      </c>
      <c r="I33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33" customFormat="false" ht="15" hidden="false" customHeight="false" outlineLevel="0" collapsed="false">
      <c r="A3333" s="41"/>
      <c r="G3333" s="38" t="n">
        <f aca="false">MONTH(A3333)</f>
        <v>12</v>
      </c>
      <c r="H3333" s="38" t="n">
        <f aca="false">YEAR(Tabela1[[#This Row],[FECHA]])</f>
        <v>1900</v>
      </c>
      <c r="I33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34" customFormat="false" ht="15" hidden="false" customHeight="false" outlineLevel="0" collapsed="false">
      <c r="A3334" s="41"/>
      <c r="G3334" s="38" t="n">
        <f aca="false">MONTH(A3334)</f>
        <v>12</v>
      </c>
      <c r="H3334" s="38" t="n">
        <f aca="false">YEAR(Tabela1[[#This Row],[FECHA]])</f>
        <v>1900</v>
      </c>
      <c r="I33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35" customFormat="false" ht="15" hidden="false" customHeight="false" outlineLevel="0" collapsed="false">
      <c r="A3335" s="41"/>
      <c r="G3335" s="38" t="n">
        <f aca="false">MONTH(A3335)</f>
        <v>12</v>
      </c>
      <c r="H3335" s="38" t="n">
        <f aca="false">YEAR(Tabela1[[#This Row],[FECHA]])</f>
        <v>1900</v>
      </c>
      <c r="I33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36" customFormat="false" ht="15" hidden="false" customHeight="false" outlineLevel="0" collapsed="false">
      <c r="A3336" s="41"/>
      <c r="G3336" s="38" t="n">
        <f aca="false">MONTH(A3336)</f>
        <v>12</v>
      </c>
      <c r="H3336" s="38" t="n">
        <f aca="false">YEAR(Tabela1[[#This Row],[FECHA]])</f>
        <v>1900</v>
      </c>
      <c r="I33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37" customFormat="false" ht="15" hidden="false" customHeight="false" outlineLevel="0" collapsed="false">
      <c r="A3337" s="41"/>
      <c r="G3337" s="38" t="n">
        <f aca="false">MONTH(A3337)</f>
        <v>12</v>
      </c>
      <c r="H3337" s="38" t="n">
        <f aca="false">YEAR(Tabela1[[#This Row],[FECHA]])</f>
        <v>1900</v>
      </c>
      <c r="I33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38" customFormat="false" ht="15" hidden="false" customHeight="false" outlineLevel="0" collapsed="false">
      <c r="A3338" s="41"/>
      <c r="G3338" s="38" t="n">
        <f aca="false">MONTH(A3338)</f>
        <v>12</v>
      </c>
      <c r="H3338" s="38" t="n">
        <f aca="false">YEAR(Tabela1[[#This Row],[FECHA]])</f>
        <v>1900</v>
      </c>
      <c r="I33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39" customFormat="false" ht="15" hidden="false" customHeight="false" outlineLevel="0" collapsed="false">
      <c r="A3339" s="41"/>
      <c r="G3339" s="38" t="n">
        <f aca="false">MONTH(A3339)</f>
        <v>12</v>
      </c>
      <c r="H3339" s="38" t="n">
        <f aca="false">YEAR(Tabela1[[#This Row],[FECHA]])</f>
        <v>1900</v>
      </c>
      <c r="I33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40" customFormat="false" ht="15" hidden="false" customHeight="false" outlineLevel="0" collapsed="false">
      <c r="A3340" s="41"/>
      <c r="G3340" s="38" t="n">
        <f aca="false">MONTH(A3340)</f>
        <v>12</v>
      </c>
      <c r="H3340" s="38" t="n">
        <f aca="false">YEAR(Tabela1[[#This Row],[FECHA]])</f>
        <v>1900</v>
      </c>
      <c r="I33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41" customFormat="false" ht="15" hidden="false" customHeight="false" outlineLevel="0" collapsed="false">
      <c r="A3341" s="41"/>
      <c r="G3341" s="38" t="n">
        <f aca="false">MONTH(A3341)</f>
        <v>12</v>
      </c>
      <c r="H3341" s="38" t="n">
        <f aca="false">YEAR(Tabela1[[#This Row],[FECHA]])</f>
        <v>1900</v>
      </c>
      <c r="I33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42" customFormat="false" ht="15" hidden="false" customHeight="false" outlineLevel="0" collapsed="false">
      <c r="A3342" s="41"/>
      <c r="G3342" s="38" t="n">
        <f aca="false">MONTH(A3342)</f>
        <v>12</v>
      </c>
      <c r="H3342" s="38" t="n">
        <f aca="false">YEAR(Tabela1[[#This Row],[FECHA]])</f>
        <v>1900</v>
      </c>
      <c r="I33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43" customFormat="false" ht="15" hidden="false" customHeight="false" outlineLevel="0" collapsed="false">
      <c r="A3343" s="41"/>
      <c r="G3343" s="38" t="n">
        <f aca="false">MONTH(A3343)</f>
        <v>12</v>
      </c>
      <c r="H3343" s="38" t="n">
        <f aca="false">YEAR(Tabela1[[#This Row],[FECHA]])</f>
        <v>1900</v>
      </c>
      <c r="I33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44" customFormat="false" ht="15" hidden="false" customHeight="false" outlineLevel="0" collapsed="false">
      <c r="A3344" s="41"/>
      <c r="G3344" s="38" t="n">
        <f aca="false">MONTH(A3344)</f>
        <v>12</v>
      </c>
      <c r="H3344" s="38" t="n">
        <f aca="false">YEAR(Tabela1[[#This Row],[FECHA]])</f>
        <v>1900</v>
      </c>
      <c r="I33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45" customFormat="false" ht="15" hidden="false" customHeight="false" outlineLevel="0" collapsed="false">
      <c r="A3345" s="41"/>
      <c r="G3345" s="38" t="n">
        <f aca="false">MONTH(A3345)</f>
        <v>12</v>
      </c>
      <c r="H3345" s="38" t="n">
        <f aca="false">YEAR(Tabela1[[#This Row],[FECHA]])</f>
        <v>1900</v>
      </c>
      <c r="I33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46" customFormat="false" ht="15" hidden="false" customHeight="false" outlineLevel="0" collapsed="false">
      <c r="A3346" s="41"/>
      <c r="G3346" s="38" t="n">
        <f aca="false">MONTH(A3346)</f>
        <v>12</v>
      </c>
      <c r="H3346" s="38" t="n">
        <f aca="false">YEAR(Tabela1[[#This Row],[FECHA]])</f>
        <v>1900</v>
      </c>
      <c r="I33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47" customFormat="false" ht="15" hidden="false" customHeight="false" outlineLevel="0" collapsed="false">
      <c r="A3347" s="41"/>
      <c r="G3347" s="38" t="n">
        <f aca="false">MONTH(A3347)</f>
        <v>12</v>
      </c>
      <c r="H3347" s="38" t="n">
        <f aca="false">YEAR(Tabela1[[#This Row],[FECHA]])</f>
        <v>1900</v>
      </c>
      <c r="I33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48" customFormat="false" ht="15" hidden="false" customHeight="false" outlineLevel="0" collapsed="false">
      <c r="A3348" s="41"/>
      <c r="G3348" s="38" t="n">
        <f aca="false">MONTH(A3348)</f>
        <v>12</v>
      </c>
      <c r="H3348" s="38" t="n">
        <f aca="false">YEAR(Tabela1[[#This Row],[FECHA]])</f>
        <v>1900</v>
      </c>
      <c r="I33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49" customFormat="false" ht="15" hidden="false" customHeight="false" outlineLevel="0" collapsed="false">
      <c r="A3349" s="41"/>
      <c r="G3349" s="38" t="n">
        <f aca="false">MONTH(A3349)</f>
        <v>12</v>
      </c>
      <c r="H3349" s="38" t="n">
        <f aca="false">YEAR(Tabela1[[#This Row],[FECHA]])</f>
        <v>1900</v>
      </c>
      <c r="I33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50" customFormat="false" ht="15" hidden="false" customHeight="false" outlineLevel="0" collapsed="false">
      <c r="A3350" s="41"/>
      <c r="G3350" s="38" t="n">
        <f aca="false">MONTH(A3350)</f>
        <v>12</v>
      </c>
      <c r="H3350" s="38" t="n">
        <f aca="false">YEAR(Tabela1[[#This Row],[FECHA]])</f>
        <v>1900</v>
      </c>
      <c r="I33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51" customFormat="false" ht="15" hidden="false" customHeight="false" outlineLevel="0" collapsed="false">
      <c r="A3351" s="41"/>
      <c r="G3351" s="38" t="n">
        <f aca="false">MONTH(A3351)</f>
        <v>12</v>
      </c>
      <c r="H3351" s="38" t="n">
        <f aca="false">YEAR(Tabela1[[#This Row],[FECHA]])</f>
        <v>1900</v>
      </c>
      <c r="I33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52" customFormat="false" ht="15" hidden="false" customHeight="false" outlineLevel="0" collapsed="false">
      <c r="A3352" s="41"/>
      <c r="G3352" s="38" t="n">
        <f aca="false">MONTH(A3352)</f>
        <v>12</v>
      </c>
      <c r="H3352" s="38" t="n">
        <f aca="false">YEAR(Tabela1[[#This Row],[FECHA]])</f>
        <v>1900</v>
      </c>
      <c r="I33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53" customFormat="false" ht="15" hidden="false" customHeight="false" outlineLevel="0" collapsed="false">
      <c r="A3353" s="41"/>
      <c r="G3353" s="38" t="n">
        <f aca="false">MONTH(A3353)</f>
        <v>12</v>
      </c>
      <c r="H3353" s="38" t="n">
        <f aca="false">YEAR(Tabela1[[#This Row],[FECHA]])</f>
        <v>1900</v>
      </c>
      <c r="I33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54" customFormat="false" ht="15" hidden="false" customHeight="false" outlineLevel="0" collapsed="false">
      <c r="A3354" s="41"/>
      <c r="G3354" s="38" t="n">
        <f aca="false">MONTH(A3354)</f>
        <v>12</v>
      </c>
      <c r="H3354" s="38" t="n">
        <f aca="false">YEAR(Tabela1[[#This Row],[FECHA]])</f>
        <v>1900</v>
      </c>
      <c r="I33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55" customFormat="false" ht="15" hidden="false" customHeight="false" outlineLevel="0" collapsed="false">
      <c r="A3355" s="41"/>
      <c r="G3355" s="38" t="n">
        <f aca="false">MONTH(A3355)</f>
        <v>12</v>
      </c>
      <c r="H3355" s="38" t="n">
        <f aca="false">YEAR(Tabela1[[#This Row],[FECHA]])</f>
        <v>1900</v>
      </c>
      <c r="I33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56" customFormat="false" ht="15" hidden="false" customHeight="false" outlineLevel="0" collapsed="false">
      <c r="A3356" s="41"/>
      <c r="G3356" s="38" t="n">
        <f aca="false">MONTH(A3356)</f>
        <v>12</v>
      </c>
      <c r="H3356" s="38" t="n">
        <f aca="false">YEAR(Tabela1[[#This Row],[FECHA]])</f>
        <v>1900</v>
      </c>
      <c r="I33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57" customFormat="false" ht="15" hidden="false" customHeight="false" outlineLevel="0" collapsed="false">
      <c r="A3357" s="41"/>
      <c r="G3357" s="38" t="n">
        <f aca="false">MONTH(A3357)</f>
        <v>12</v>
      </c>
      <c r="H3357" s="38" t="n">
        <f aca="false">YEAR(Tabela1[[#This Row],[FECHA]])</f>
        <v>1900</v>
      </c>
      <c r="I33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58" customFormat="false" ht="15" hidden="false" customHeight="false" outlineLevel="0" collapsed="false">
      <c r="A3358" s="41"/>
      <c r="G3358" s="38" t="n">
        <f aca="false">MONTH(A3358)</f>
        <v>12</v>
      </c>
      <c r="H3358" s="38" t="n">
        <f aca="false">YEAR(Tabela1[[#This Row],[FECHA]])</f>
        <v>1900</v>
      </c>
      <c r="I33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59" customFormat="false" ht="15" hidden="false" customHeight="false" outlineLevel="0" collapsed="false">
      <c r="A3359" s="41"/>
      <c r="G3359" s="38" t="n">
        <f aca="false">MONTH(A3359)</f>
        <v>12</v>
      </c>
      <c r="H3359" s="38" t="n">
        <f aca="false">YEAR(Tabela1[[#This Row],[FECHA]])</f>
        <v>1900</v>
      </c>
      <c r="I33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60" customFormat="false" ht="15" hidden="false" customHeight="false" outlineLevel="0" collapsed="false">
      <c r="A3360" s="41"/>
      <c r="G3360" s="38" t="n">
        <f aca="false">MONTH(A3360)</f>
        <v>12</v>
      </c>
      <c r="H3360" s="38" t="n">
        <f aca="false">YEAR(Tabela1[[#This Row],[FECHA]])</f>
        <v>1900</v>
      </c>
      <c r="I33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61" customFormat="false" ht="15" hidden="false" customHeight="false" outlineLevel="0" collapsed="false">
      <c r="A3361" s="41"/>
      <c r="G3361" s="38" t="n">
        <f aca="false">MONTH(A3361)</f>
        <v>12</v>
      </c>
      <c r="H3361" s="38" t="n">
        <f aca="false">YEAR(Tabela1[[#This Row],[FECHA]])</f>
        <v>1900</v>
      </c>
      <c r="I33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62" customFormat="false" ht="15" hidden="false" customHeight="false" outlineLevel="0" collapsed="false">
      <c r="A3362" s="41"/>
      <c r="G3362" s="38" t="n">
        <f aca="false">MONTH(A3362)</f>
        <v>12</v>
      </c>
      <c r="H3362" s="38" t="n">
        <f aca="false">YEAR(Tabela1[[#This Row],[FECHA]])</f>
        <v>1900</v>
      </c>
      <c r="I33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63" customFormat="false" ht="15" hidden="false" customHeight="false" outlineLevel="0" collapsed="false">
      <c r="A3363" s="41"/>
      <c r="G3363" s="38" t="n">
        <f aca="false">MONTH(A3363)</f>
        <v>12</v>
      </c>
      <c r="H3363" s="38" t="n">
        <f aca="false">YEAR(Tabela1[[#This Row],[FECHA]])</f>
        <v>1900</v>
      </c>
      <c r="I33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64" customFormat="false" ht="15" hidden="false" customHeight="false" outlineLevel="0" collapsed="false">
      <c r="A3364" s="41"/>
      <c r="G3364" s="38" t="n">
        <f aca="false">MONTH(A3364)</f>
        <v>12</v>
      </c>
      <c r="H3364" s="38" t="n">
        <f aca="false">YEAR(Tabela1[[#This Row],[FECHA]])</f>
        <v>1900</v>
      </c>
      <c r="I33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65" customFormat="false" ht="15" hidden="false" customHeight="false" outlineLevel="0" collapsed="false">
      <c r="A3365" s="41"/>
      <c r="G3365" s="38" t="n">
        <f aca="false">MONTH(A3365)</f>
        <v>12</v>
      </c>
      <c r="H3365" s="38" t="n">
        <f aca="false">YEAR(Tabela1[[#This Row],[FECHA]])</f>
        <v>1900</v>
      </c>
      <c r="I33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66" customFormat="false" ht="15" hidden="false" customHeight="false" outlineLevel="0" collapsed="false">
      <c r="A3366" s="41"/>
      <c r="G3366" s="38" t="n">
        <f aca="false">MONTH(A3366)</f>
        <v>12</v>
      </c>
      <c r="H3366" s="38" t="n">
        <f aca="false">YEAR(Tabela1[[#This Row],[FECHA]])</f>
        <v>1900</v>
      </c>
      <c r="I33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67" customFormat="false" ht="15" hidden="false" customHeight="false" outlineLevel="0" collapsed="false">
      <c r="A3367" s="41"/>
      <c r="G3367" s="38" t="n">
        <f aca="false">MONTH(A3367)</f>
        <v>12</v>
      </c>
      <c r="H3367" s="38" t="n">
        <f aca="false">YEAR(Tabela1[[#This Row],[FECHA]])</f>
        <v>1900</v>
      </c>
      <c r="I33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68" customFormat="false" ht="15" hidden="false" customHeight="false" outlineLevel="0" collapsed="false">
      <c r="A3368" s="41"/>
      <c r="G3368" s="38" t="n">
        <f aca="false">MONTH(A3368)</f>
        <v>12</v>
      </c>
      <c r="H3368" s="38" t="n">
        <f aca="false">YEAR(Tabela1[[#This Row],[FECHA]])</f>
        <v>1900</v>
      </c>
      <c r="I33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69" customFormat="false" ht="15" hidden="false" customHeight="false" outlineLevel="0" collapsed="false">
      <c r="A3369" s="41"/>
      <c r="G3369" s="38" t="n">
        <f aca="false">MONTH(A3369)</f>
        <v>12</v>
      </c>
      <c r="H3369" s="38" t="n">
        <f aca="false">YEAR(Tabela1[[#This Row],[FECHA]])</f>
        <v>1900</v>
      </c>
      <c r="I33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70" customFormat="false" ht="15" hidden="false" customHeight="false" outlineLevel="0" collapsed="false">
      <c r="A3370" s="41"/>
      <c r="G3370" s="38" t="n">
        <f aca="false">MONTH(A3370)</f>
        <v>12</v>
      </c>
      <c r="H3370" s="38" t="n">
        <f aca="false">YEAR(Tabela1[[#This Row],[FECHA]])</f>
        <v>1900</v>
      </c>
      <c r="I33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71" customFormat="false" ht="15" hidden="false" customHeight="false" outlineLevel="0" collapsed="false">
      <c r="A3371" s="41"/>
      <c r="G3371" s="38" t="n">
        <f aca="false">MONTH(A3371)</f>
        <v>12</v>
      </c>
      <c r="H3371" s="38" t="n">
        <f aca="false">YEAR(Tabela1[[#This Row],[FECHA]])</f>
        <v>1900</v>
      </c>
      <c r="I33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72" customFormat="false" ht="15" hidden="false" customHeight="false" outlineLevel="0" collapsed="false">
      <c r="A3372" s="41"/>
      <c r="G3372" s="38" t="n">
        <f aca="false">MONTH(A3372)</f>
        <v>12</v>
      </c>
      <c r="H3372" s="38" t="n">
        <f aca="false">YEAR(Tabela1[[#This Row],[FECHA]])</f>
        <v>1900</v>
      </c>
      <c r="I33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73" customFormat="false" ht="15" hidden="false" customHeight="false" outlineLevel="0" collapsed="false">
      <c r="A3373" s="41"/>
      <c r="G3373" s="38" t="n">
        <f aca="false">MONTH(A3373)</f>
        <v>12</v>
      </c>
      <c r="H3373" s="38" t="n">
        <f aca="false">YEAR(Tabela1[[#This Row],[FECHA]])</f>
        <v>1900</v>
      </c>
      <c r="I33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74" customFormat="false" ht="15" hidden="false" customHeight="false" outlineLevel="0" collapsed="false">
      <c r="A3374" s="41"/>
      <c r="G3374" s="38" t="n">
        <f aca="false">MONTH(A3374)</f>
        <v>12</v>
      </c>
      <c r="H3374" s="38" t="n">
        <f aca="false">YEAR(Tabela1[[#This Row],[FECHA]])</f>
        <v>1900</v>
      </c>
      <c r="I33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75" customFormat="false" ht="15" hidden="false" customHeight="false" outlineLevel="0" collapsed="false">
      <c r="A3375" s="41"/>
      <c r="G3375" s="38" t="n">
        <f aca="false">MONTH(A3375)</f>
        <v>12</v>
      </c>
      <c r="H3375" s="38" t="n">
        <f aca="false">YEAR(Tabela1[[#This Row],[FECHA]])</f>
        <v>1900</v>
      </c>
      <c r="I33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76" customFormat="false" ht="15" hidden="false" customHeight="false" outlineLevel="0" collapsed="false">
      <c r="A3376" s="41"/>
      <c r="G3376" s="38" t="n">
        <f aca="false">MONTH(A3376)</f>
        <v>12</v>
      </c>
      <c r="H3376" s="38" t="n">
        <f aca="false">YEAR(Tabela1[[#This Row],[FECHA]])</f>
        <v>1900</v>
      </c>
      <c r="I33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77" customFormat="false" ht="15" hidden="false" customHeight="false" outlineLevel="0" collapsed="false">
      <c r="A3377" s="41"/>
      <c r="G3377" s="38" t="n">
        <f aca="false">MONTH(A3377)</f>
        <v>12</v>
      </c>
      <c r="H3377" s="38" t="n">
        <f aca="false">YEAR(Tabela1[[#This Row],[FECHA]])</f>
        <v>1900</v>
      </c>
      <c r="I33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78" customFormat="false" ht="15" hidden="false" customHeight="false" outlineLevel="0" collapsed="false">
      <c r="A3378" s="41"/>
      <c r="G3378" s="38" t="n">
        <f aca="false">MONTH(A3378)</f>
        <v>12</v>
      </c>
      <c r="H3378" s="38" t="n">
        <f aca="false">YEAR(Tabela1[[#This Row],[FECHA]])</f>
        <v>1900</v>
      </c>
      <c r="I33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79" customFormat="false" ht="15" hidden="false" customHeight="false" outlineLevel="0" collapsed="false">
      <c r="A3379" s="41"/>
      <c r="G3379" s="38" t="n">
        <f aca="false">MONTH(A3379)</f>
        <v>12</v>
      </c>
      <c r="H3379" s="38" t="n">
        <f aca="false">YEAR(Tabela1[[#This Row],[FECHA]])</f>
        <v>1900</v>
      </c>
      <c r="I33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80" customFormat="false" ht="15" hidden="false" customHeight="false" outlineLevel="0" collapsed="false">
      <c r="A3380" s="41"/>
      <c r="G3380" s="38" t="n">
        <f aca="false">MONTH(A3380)</f>
        <v>12</v>
      </c>
      <c r="H3380" s="38" t="n">
        <f aca="false">YEAR(Tabela1[[#This Row],[FECHA]])</f>
        <v>1900</v>
      </c>
      <c r="I33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81" customFormat="false" ht="15" hidden="false" customHeight="false" outlineLevel="0" collapsed="false">
      <c r="A3381" s="41"/>
      <c r="G3381" s="38" t="n">
        <f aca="false">MONTH(A3381)</f>
        <v>12</v>
      </c>
      <c r="H3381" s="38" t="n">
        <f aca="false">YEAR(Tabela1[[#This Row],[FECHA]])</f>
        <v>1900</v>
      </c>
      <c r="I33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82" customFormat="false" ht="15" hidden="false" customHeight="false" outlineLevel="0" collapsed="false">
      <c r="A3382" s="41"/>
      <c r="G3382" s="38" t="n">
        <f aca="false">MONTH(A3382)</f>
        <v>12</v>
      </c>
      <c r="H3382" s="38" t="n">
        <f aca="false">YEAR(Tabela1[[#This Row],[FECHA]])</f>
        <v>1900</v>
      </c>
      <c r="I33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83" customFormat="false" ht="15" hidden="false" customHeight="false" outlineLevel="0" collapsed="false">
      <c r="A3383" s="41"/>
      <c r="G3383" s="38" t="n">
        <f aca="false">MONTH(A3383)</f>
        <v>12</v>
      </c>
      <c r="H3383" s="38" t="n">
        <f aca="false">YEAR(Tabela1[[#This Row],[FECHA]])</f>
        <v>1900</v>
      </c>
      <c r="I33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84" customFormat="false" ht="15" hidden="false" customHeight="false" outlineLevel="0" collapsed="false">
      <c r="A3384" s="41"/>
      <c r="G3384" s="38" t="n">
        <f aca="false">MONTH(A3384)</f>
        <v>12</v>
      </c>
      <c r="H3384" s="38" t="n">
        <f aca="false">YEAR(Tabela1[[#This Row],[FECHA]])</f>
        <v>1900</v>
      </c>
      <c r="I33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85" customFormat="false" ht="15" hidden="false" customHeight="false" outlineLevel="0" collapsed="false">
      <c r="A3385" s="41"/>
      <c r="G3385" s="38" t="n">
        <f aca="false">MONTH(A3385)</f>
        <v>12</v>
      </c>
      <c r="H3385" s="38" t="n">
        <f aca="false">YEAR(Tabela1[[#This Row],[FECHA]])</f>
        <v>1900</v>
      </c>
      <c r="I33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86" customFormat="false" ht="15" hidden="false" customHeight="false" outlineLevel="0" collapsed="false">
      <c r="A3386" s="41"/>
      <c r="G3386" s="38" t="n">
        <f aca="false">MONTH(A3386)</f>
        <v>12</v>
      </c>
      <c r="H3386" s="38" t="n">
        <f aca="false">YEAR(Tabela1[[#This Row],[FECHA]])</f>
        <v>1900</v>
      </c>
      <c r="I33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87" customFormat="false" ht="15" hidden="false" customHeight="false" outlineLevel="0" collapsed="false">
      <c r="A3387" s="41"/>
      <c r="G3387" s="38" t="n">
        <f aca="false">MONTH(A3387)</f>
        <v>12</v>
      </c>
      <c r="H3387" s="38" t="n">
        <f aca="false">YEAR(Tabela1[[#This Row],[FECHA]])</f>
        <v>1900</v>
      </c>
      <c r="I33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88" customFormat="false" ht="15" hidden="false" customHeight="false" outlineLevel="0" collapsed="false">
      <c r="A3388" s="41"/>
      <c r="G3388" s="38" t="n">
        <f aca="false">MONTH(A3388)</f>
        <v>12</v>
      </c>
      <c r="H3388" s="38" t="n">
        <f aca="false">YEAR(Tabela1[[#This Row],[FECHA]])</f>
        <v>1900</v>
      </c>
      <c r="I33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89" customFormat="false" ht="15" hidden="false" customHeight="false" outlineLevel="0" collapsed="false">
      <c r="A3389" s="41"/>
      <c r="G3389" s="38" t="n">
        <f aca="false">MONTH(A3389)</f>
        <v>12</v>
      </c>
      <c r="H3389" s="38" t="n">
        <f aca="false">YEAR(Tabela1[[#This Row],[FECHA]])</f>
        <v>1900</v>
      </c>
      <c r="I33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90" customFormat="false" ht="15" hidden="false" customHeight="false" outlineLevel="0" collapsed="false">
      <c r="A3390" s="41"/>
      <c r="G3390" s="38" t="n">
        <f aca="false">MONTH(A3390)</f>
        <v>12</v>
      </c>
      <c r="H3390" s="38" t="n">
        <f aca="false">YEAR(Tabela1[[#This Row],[FECHA]])</f>
        <v>1900</v>
      </c>
      <c r="I33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91" customFormat="false" ht="15" hidden="false" customHeight="false" outlineLevel="0" collapsed="false">
      <c r="A3391" s="41"/>
      <c r="G3391" s="38" t="n">
        <f aca="false">MONTH(A3391)</f>
        <v>12</v>
      </c>
      <c r="H3391" s="38" t="n">
        <f aca="false">YEAR(Tabela1[[#This Row],[FECHA]])</f>
        <v>1900</v>
      </c>
      <c r="I33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92" customFormat="false" ht="15" hidden="false" customHeight="false" outlineLevel="0" collapsed="false">
      <c r="A3392" s="41"/>
      <c r="G3392" s="38" t="n">
        <f aca="false">MONTH(A3392)</f>
        <v>12</v>
      </c>
      <c r="H3392" s="38" t="n">
        <f aca="false">YEAR(Tabela1[[#This Row],[FECHA]])</f>
        <v>1900</v>
      </c>
      <c r="I33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93" customFormat="false" ht="15" hidden="false" customHeight="false" outlineLevel="0" collapsed="false">
      <c r="A3393" s="41"/>
      <c r="G3393" s="38" t="n">
        <f aca="false">MONTH(A3393)</f>
        <v>12</v>
      </c>
      <c r="H3393" s="38" t="n">
        <f aca="false">YEAR(Tabela1[[#This Row],[FECHA]])</f>
        <v>1900</v>
      </c>
      <c r="I33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94" customFormat="false" ht="15" hidden="false" customHeight="false" outlineLevel="0" collapsed="false">
      <c r="A3394" s="41"/>
      <c r="G3394" s="38" t="n">
        <f aca="false">MONTH(A3394)</f>
        <v>12</v>
      </c>
      <c r="H3394" s="38" t="n">
        <f aca="false">YEAR(Tabela1[[#This Row],[FECHA]])</f>
        <v>1900</v>
      </c>
      <c r="I33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95" customFormat="false" ht="15" hidden="false" customHeight="false" outlineLevel="0" collapsed="false">
      <c r="A3395" s="41"/>
      <c r="G3395" s="38" t="n">
        <f aca="false">MONTH(A3395)</f>
        <v>12</v>
      </c>
      <c r="H3395" s="38" t="n">
        <f aca="false">YEAR(Tabela1[[#This Row],[FECHA]])</f>
        <v>1900</v>
      </c>
      <c r="I33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96" customFormat="false" ht="15" hidden="false" customHeight="false" outlineLevel="0" collapsed="false">
      <c r="A3396" s="41"/>
      <c r="G3396" s="38" t="n">
        <f aca="false">MONTH(A3396)</f>
        <v>12</v>
      </c>
      <c r="H3396" s="38" t="n">
        <f aca="false">YEAR(Tabela1[[#This Row],[FECHA]])</f>
        <v>1900</v>
      </c>
      <c r="I33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97" customFormat="false" ht="15" hidden="false" customHeight="false" outlineLevel="0" collapsed="false">
      <c r="A3397" s="41"/>
      <c r="G3397" s="38" t="n">
        <f aca="false">MONTH(A3397)</f>
        <v>12</v>
      </c>
      <c r="H3397" s="38" t="n">
        <f aca="false">YEAR(Tabela1[[#This Row],[FECHA]])</f>
        <v>1900</v>
      </c>
      <c r="I33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98" customFormat="false" ht="15" hidden="false" customHeight="false" outlineLevel="0" collapsed="false">
      <c r="A3398" s="41"/>
      <c r="G3398" s="38" t="n">
        <f aca="false">MONTH(A3398)</f>
        <v>12</v>
      </c>
      <c r="H3398" s="38" t="n">
        <f aca="false">YEAR(Tabela1[[#This Row],[FECHA]])</f>
        <v>1900</v>
      </c>
      <c r="I33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399" customFormat="false" ht="15" hidden="false" customHeight="false" outlineLevel="0" collapsed="false">
      <c r="A3399" s="41"/>
      <c r="G3399" s="38" t="n">
        <f aca="false">MONTH(A3399)</f>
        <v>12</v>
      </c>
      <c r="H3399" s="38" t="n">
        <f aca="false">YEAR(Tabela1[[#This Row],[FECHA]])</f>
        <v>1900</v>
      </c>
      <c r="I33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00" customFormat="false" ht="15" hidden="false" customHeight="false" outlineLevel="0" collapsed="false">
      <c r="A3400" s="41"/>
      <c r="G3400" s="38" t="n">
        <f aca="false">MONTH(A3400)</f>
        <v>12</v>
      </c>
      <c r="H3400" s="38" t="n">
        <f aca="false">YEAR(Tabela1[[#This Row],[FECHA]])</f>
        <v>1900</v>
      </c>
      <c r="I34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01" customFormat="false" ht="15" hidden="false" customHeight="false" outlineLevel="0" collapsed="false">
      <c r="A3401" s="41"/>
      <c r="G3401" s="38" t="n">
        <f aca="false">MONTH(A3401)</f>
        <v>12</v>
      </c>
      <c r="H3401" s="38" t="n">
        <f aca="false">YEAR(Tabela1[[#This Row],[FECHA]])</f>
        <v>1900</v>
      </c>
      <c r="I34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02" customFormat="false" ht="15" hidden="false" customHeight="false" outlineLevel="0" collapsed="false">
      <c r="A3402" s="41"/>
      <c r="G3402" s="38" t="n">
        <f aca="false">MONTH(A3402)</f>
        <v>12</v>
      </c>
      <c r="H3402" s="38" t="n">
        <f aca="false">YEAR(Tabela1[[#This Row],[FECHA]])</f>
        <v>1900</v>
      </c>
      <c r="I34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03" customFormat="false" ht="15" hidden="false" customHeight="false" outlineLevel="0" collapsed="false">
      <c r="A3403" s="41"/>
      <c r="G3403" s="38" t="n">
        <f aca="false">MONTH(A3403)</f>
        <v>12</v>
      </c>
      <c r="H3403" s="38" t="n">
        <f aca="false">YEAR(Tabela1[[#This Row],[FECHA]])</f>
        <v>1900</v>
      </c>
      <c r="I34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04" customFormat="false" ht="15" hidden="false" customHeight="false" outlineLevel="0" collapsed="false">
      <c r="A3404" s="41"/>
      <c r="G3404" s="38" t="n">
        <f aca="false">MONTH(A3404)</f>
        <v>12</v>
      </c>
      <c r="H3404" s="38" t="n">
        <f aca="false">YEAR(Tabela1[[#This Row],[FECHA]])</f>
        <v>1900</v>
      </c>
      <c r="I34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05" customFormat="false" ht="15" hidden="false" customHeight="false" outlineLevel="0" collapsed="false">
      <c r="A3405" s="41"/>
      <c r="G3405" s="38" t="n">
        <f aca="false">MONTH(A3405)</f>
        <v>12</v>
      </c>
      <c r="H3405" s="38" t="n">
        <f aca="false">YEAR(Tabela1[[#This Row],[FECHA]])</f>
        <v>1900</v>
      </c>
      <c r="I34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06" customFormat="false" ht="15" hidden="false" customHeight="false" outlineLevel="0" collapsed="false">
      <c r="A3406" s="41"/>
      <c r="G3406" s="38" t="n">
        <f aca="false">MONTH(A3406)</f>
        <v>12</v>
      </c>
      <c r="H3406" s="38" t="n">
        <f aca="false">YEAR(Tabela1[[#This Row],[FECHA]])</f>
        <v>1900</v>
      </c>
      <c r="I34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07" customFormat="false" ht="15" hidden="false" customHeight="false" outlineLevel="0" collapsed="false">
      <c r="A3407" s="41"/>
      <c r="G3407" s="38" t="n">
        <f aca="false">MONTH(A3407)</f>
        <v>12</v>
      </c>
      <c r="H3407" s="38" t="n">
        <f aca="false">YEAR(Tabela1[[#This Row],[FECHA]])</f>
        <v>1900</v>
      </c>
      <c r="I34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08" customFormat="false" ht="15" hidden="false" customHeight="false" outlineLevel="0" collapsed="false">
      <c r="A3408" s="41"/>
      <c r="G3408" s="38" t="n">
        <f aca="false">MONTH(A3408)</f>
        <v>12</v>
      </c>
      <c r="H3408" s="38" t="n">
        <f aca="false">YEAR(Tabela1[[#This Row],[FECHA]])</f>
        <v>1900</v>
      </c>
      <c r="I34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09" customFormat="false" ht="15" hidden="false" customHeight="false" outlineLevel="0" collapsed="false">
      <c r="A3409" s="41"/>
      <c r="G3409" s="38" t="n">
        <f aca="false">MONTH(A3409)</f>
        <v>12</v>
      </c>
      <c r="H3409" s="38" t="n">
        <f aca="false">YEAR(Tabela1[[#This Row],[FECHA]])</f>
        <v>1900</v>
      </c>
      <c r="I34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10" customFormat="false" ht="15" hidden="false" customHeight="false" outlineLevel="0" collapsed="false">
      <c r="A3410" s="41"/>
      <c r="G3410" s="38" t="n">
        <f aca="false">MONTH(A3410)</f>
        <v>12</v>
      </c>
      <c r="H3410" s="38" t="n">
        <f aca="false">YEAR(Tabela1[[#This Row],[FECHA]])</f>
        <v>1900</v>
      </c>
      <c r="I34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11" customFormat="false" ht="15" hidden="false" customHeight="false" outlineLevel="0" collapsed="false">
      <c r="A3411" s="41"/>
      <c r="G3411" s="38" t="n">
        <f aca="false">MONTH(A3411)</f>
        <v>12</v>
      </c>
      <c r="H3411" s="38" t="n">
        <f aca="false">YEAR(Tabela1[[#This Row],[FECHA]])</f>
        <v>1900</v>
      </c>
      <c r="I34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12" customFormat="false" ht="15" hidden="false" customHeight="false" outlineLevel="0" collapsed="false">
      <c r="A3412" s="41"/>
      <c r="G3412" s="38" t="n">
        <f aca="false">MONTH(A3412)</f>
        <v>12</v>
      </c>
      <c r="H3412" s="38" t="n">
        <f aca="false">YEAR(Tabela1[[#This Row],[FECHA]])</f>
        <v>1900</v>
      </c>
      <c r="I34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13" customFormat="false" ht="15" hidden="false" customHeight="false" outlineLevel="0" collapsed="false">
      <c r="A3413" s="41"/>
      <c r="G3413" s="38" t="n">
        <f aca="false">MONTH(A3413)</f>
        <v>12</v>
      </c>
      <c r="H3413" s="38" t="n">
        <f aca="false">YEAR(Tabela1[[#This Row],[FECHA]])</f>
        <v>1900</v>
      </c>
      <c r="I34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14" customFormat="false" ht="15" hidden="false" customHeight="false" outlineLevel="0" collapsed="false">
      <c r="A3414" s="41"/>
      <c r="G3414" s="38" t="n">
        <f aca="false">MONTH(A3414)</f>
        <v>12</v>
      </c>
      <c r="H3414" s="38" t="n">
        <f aca="false">YEAR(Tabela1[[#This Row],[FECHA]])</f>
        <v>1900</v>
      </c>
      <c r="I34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15" customFormat="false" ht="15" hidden="false" customHeight="false" outlineLevel="0" collapsed="false">
      <c r="A3415" s="41"/>
      <c r="G3415" s="38" t="n">
        <f aca="false">MONTH(A3415)</f>
        <v>12</v>
      </c>
      <c r="H3415" s="38" t="n">
        <f aca="false">YEAR(Tabela1[[#This Row],[FECHA]])</f>
        <v>1900</v>
      </c>
      <c r="I34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16" customFormat="false" ht="15" hidden="false" customHeight="false" outlineLevel="0" collapsed="false">
      <c r="A3416" s="41"/>
      <c r="G3416" s="38" t="n">
        <f aca="false">MONTH(A3416)</f>
        <v>12</v>
      </c>
      <c r="H3416" s="38" t="n">
        <f aca="false">YEAR(Tabela1[[#This Row],[FECHA]])</f>
        <v>1900</v>
      </c>
      <c r="I34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17" customFormat="false" ht="15" hidden="false" customHeight="false" outlineLevel="0" collapsed="false">
      <c r="A3417" s="41"/>
      <c r="G3417" s="38" t="n">
        <f aca="false">MONTH(A3417)</f>
        <v>12</v>
      </c>
      <c r="H3417" s="38" t="n">
        <f aca="false">YEAR(Tabela1[[#This Row],[FECHA]])</f>
        <v>1900</v>
      </c>
      <c r="I34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18" customFormat="false" ht="15" hidden="false" customHeight="false" outlineLevel="0" collapsed="false">
      <c r="A3418" s="41"/>
      <c r="G3418" s="38" t="n">
        <f aca="false">MONTH(A3418)</f>
        <v>12</v>
      </c>
      <c r="H3418" s="38" t="n">
        <f aca="false">YEAR(Tabela1[[#This Row],[FECHA]])</f>
        <v>1900</v>
      </c>
      <c r="I34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19" customFormat="false" ht="15" hidden="false" customHeight="false" outlineLevel="0" collapsed="false">
      <c r="A3419" s="41"/>
      <c r="G3419" s="38" t="n">
        <f aca="false">MONTH(A3419)</f>
        <v>12</v>
      </c>
      <c r="H3419" s="38" t="n">
        <f aca="false">YEAR(Tabela1[[#This Row],[FECHA]])</f>
        <v>1900</v>
      </c>
      <c r="I34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20" customFormat="false" ht="15" hidden="false" customHeight="false" outlineLevel="0" collapsed="false">
      <c r="A3420" s="41"/>
      <c r="G3420" s="38" t="n">
        <f aca="false">MONTH(A3420)</f>
        <v>12</v>
      </c>
      <c r="H3420" s="38" t="n">
        <f aca="false">YEAR(Tabela1[[#This Row],[FECHA]])</f>
        <v>1900</v>
      </c>
      <c r="I34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21" customFormat="false" ht="15" hidden="false" customHeight="false" outlineLevel="0" collapsed="false">
      <c r="A3421" s="41"/>
      <c r="G3421" s="38" t="n">
        <f aca="false">MONTH(A3421)</f>
        <v>12</v>
      </c>
      <c r="H3421" s="38" t="n">
        <f aca="false">YEAR(Tabela1[[#This Row],[FECHA]])</f>
        <v>1900</v>
      </c>
      <c r="I34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22" customFormat="false" ht="15" hidden="false" customHeight="false" outlineLevel="0" collapsed="false">
      <c r="A3422" s="41"/>
      <c r="G3422" s="38" t="n">
        <f aca="false">MONTH(A3422)</f>
        <v>12</v>
      </c>
      <c r="H3422" s="38" t="n">
        <f aca="false">YEAR(Tabela1[[#This Row],[FECHA]])</f>
        <v>1900</v>
      </c>
      <c r="I34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23" customFormat="false" ht="15" hidden="false" customHeight="false" outlineLevel="0" collapsed="false">
      <c r="A3423" s="41"/>
      <c r="G3423" s="38" t="n">
        <f aca="false">MONTH(A3423)</f>
        <v>12</v>
      </c>
      <c r="H3423" s="38" t="n">
        <f aca="false">YEAR(Tabela1[[#This Row],[FECHA]])</f>
        <v>1900</v>
      </c>
      <c r="I34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24" customFormat="false" ht="15" hidden="false" customHeight="false" outlineLevel="0" collapsed="false">
      <c r="A3424" s="41"/>
      <c r="G3424" s="38" t="n">
        <f aca="false">MONTH(A3424)</f>
        <v>12</v>
      </c>
      <c r="H3424" s="38" t="n">
        <f aca="false">YEAR(Tabela1[[#This Row],[FECHA]])</f>
        <v>1900</v>
      </c>
      <c r="I34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25" customFormat="false" ht="15" hidden="false" customHeight="false" outlineLevel="0" collapsed="false">
      <c r="A3425" s="41"/>
      <c r="G3425" s="38" t="n">
        <f aca="false">MONTH(A3425)</f>
        <v>12</v>
      </c>
      <c r="H3425" s="38" t="n">
        <f aca="false">YEAR(Tabela1[[#This Row],[FECHA]])</f>
        <v>1900</v>
      </c>
      <c r="I34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26" customFormat="false" ht="15" hidden="false" customHeight="false" outlineLevel="0" collapsed="false">
      <c r="A3426" s="41"/>
      <c r="G3426" s="38" t="n">
        <f aca="false">MONTH(A3426)</f>
        <v>12</v>
      </c>
      <c r="H3426" s="38" t="n">
        <f aca="false">YEAR(Tabela1[[#This Row],[FECHA]])</f>
        <v>1900</v>
      </c>
      <c r="I34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27" customFormat="false" ht="15" hidden="false" customHeight="false" outlineLevel="0" collapsed="false">
      <c r="A3427" s="41"/>
      <c r="G3427" s="38" t="n">
        <f aca="false">MONTH(A3427)</f>
        <v>12</v>
      </c>
      <c r="H3427" s="38" t="n">
        <f aca="false">YEAR(Tabela1[[#This Row],[FECHA]])</f>
        <v>1900</v>
      </c>
      <c r="I34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28" customFormat="false" ht="15" hidden="false" customHeight="false" outlineLevel="0" collapsed="false">
      <c r="A3428" s="41"/>
      <c r="G3428" s="38" t="n">
        <f aca="false">MONTH(A3428)</f>
        <v>12</v>
      </c>
      <c r="H3428" s="38" t="n">
        <f aca="false">YEAR(Tabela1[[#This Row],[FECHA]])</f>
        <v>1900</v>
      </c>
      <c r="I34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29" customFormat="false" ht="15" hidden="false" customHeight="false" outlineLevel="0" collapsed="false">
      <c r="A3429" s="41"/>
      <c r="G3429" s="38" t="n">
        <f aca="false">MONTH(A3429)</f>
        <v>12</v>
      </c>
      <c r="H3429" s="38" t="n">
        <f aca="false">YEAR(Tabela1[[#This Row],[FECHA]])</f>
        <v>1900</v>
      </c>
      <c r="I34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30" customFormat="false" ht="15" hidden="false" customHeight="false" outlineLevel="0" collapsed="false">
      <c r="A3430" s="41"/>
      <c r="G3430" s="38" t="n">
        <f aca="false">MONTH(A3430)</f>
        <v>12</v>
      </c>
      <c r="H3430" s="38" t="n">
        <f aca="false">YEAR(Tabela1[[#This Row],[FECHA]])</f>
        <v>1900</v>
      </c>
      <c r="I34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31" customFormat="false" ht="15" hidden="false" customHeight="false" outlineLevel="0" collapsed="false">
      <c r="A3431" s="41"/>
      <c r="G3431" s="38" t="n">
        <f aca="false">MONTH(A3431)</f>
        <v>12</v>
      </c>
      <c r="H3431" s="38" t="n">
        <f aca="false">YEAR(Tabela1[[#This Row],[FECHA]])</f>
        <v>1900</v>
      </c>
      <c r="I34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32" customFormat="false" ht="15" hidden="false" customHeight="false" outlineLevel="0" collapsed="false">
      <c r="A3432" s="41"/>
      <c r="G3432" s="38" t="n">
        <f aca="false">MONTH(A3432)</f>
        <v>12</v>
      </c>
      <c r="H3432" s="38" t="n">
        <f aca="false">YEAR(Tabela1[[#This Row],[FECHA]])</f>
        <v>1900</v>
      </c>
      <c r="I34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33" customFormat="false" ht="15" hidden="false" customHeight="false" outlineLevel="0" collapsed="false">
      <c r="A3433" s="41"/>
      <c r="G3433" s="38" t="n">
        <f aca="false">MONTH(A3433)</f>
        <v>12</v>
      </c>
      <c r="H3433" s="38" t="n">
        <f aca="false">YEAR(Tabela1[[#This Row],[FECHA]])</f>
        <v>1900</v>
      </c>
      <c r="I34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34" customFormat="false" ht="15" hidden="false" customHeight="false" outlineLevel="0" collapsed="false">
      <c r="A3434" s="41"/>
      <c r="G3434" s="38" t="n">
        <f aca="false">MONTH(A3434)</f>
        <v>12</v>
      </c>
      <c r="H3434" s="38" t="n">
        <f aca="false">YEAR(Tabela1[[#This Row],[FECHA]])</f>
        <v>1900</v>
      </c>
      <c r="I34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35" customFormat="false" ht="15" hidden="false" customHeight="false" outlineLevel="0" collapsed="false">
      <c r="A3435" s="41"/>
      <c r="G3435" s="38" t="n">
        <f aca="false">MONTH(A3435)</f>
        <v>12</v>
      </c>
      <c r="H3435" s="38" t="n">
        <f aca="false">YEAR(Tabela1[[#This Row],[FECHA]])</f>
        <v>1900</v>
      </c>
      <c r="I34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36" customFormat="false" ht="15" hidden="false" customHeight="false" outlineLevel="0" collapsed="false">
      <c r="A3436" s="41"/>
      <c r="G3436" s="38" t="n">
        <f aca="false">MONTH(A3436)</f>
        <v>12</v>
      </c>
      <c r="H3436" s="38" t="n">
        <f aca="false">YEAR(Tabela1[[#This Row],[FECHA]])</f>
        <v>1900</v>
      </c>
      <c r="I34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37" customFormat="false" ht="15" hidden="false" customHeight="false" outlineLevel="0" collapsed="false">
      <c r="A3437" s="41"/>
      <c r="G3437" s="38" t="n">
        <f aca="false">MONTH(A3437)</f>
        <v>12</v>
      </c>
      <c r="H3437" s="38" t="n">
        <f aca="false">YEAR(Tabela1[[#This Row],[FECHA]])</f>
        <v>1900</v>
      </c>
      <c r="I34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38" customFormat="false" ht="15" hidden="false" customHeight="false" outlineLevel="0" collapsed="false">
      <c r="A3438" s="41"/>
      <c r="G3438" s="38" t="n">
        <f aca="false">MONTH(A3438)</f>
        <v>12</v>
      </c>
      <c r="H3438" s="38" t="n">
        <f aca="false">YEAR(Tabela1[[#This Row],[FECHA]])</f>
        <v>1900</v>
      </c>
      <c r="I34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39" customFormat="false" ht="15" hidden="false" customHeight="false" outlineLevel="0" collapsed="false">
      <c r="A3439" s="41"/>
      <c r="G3439" s="38" t="n">
        <f aca="false">MONTH(A3439)</f>
        <v>12</v>
      </c>
      <c r="H3439" s="38" t="n">
        <f aca="false">YEAR(Tabela1[[#This Row],[FECHA]])</f>
        <v>1900</v>
      </c>
      <c r="I34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40" customFormat="false" ht="15" hidden="false" customHeight="false" outlineLevel="0" collapsed="false">
      <c r="A3440" s="41"/>
      <c r="G3440" s="38" t="n">
        <f aca="false">MONTH(A3440)</f>
        <v>12</v>
      </c>
      <c r="H3440" s="38" t="n">
        <f aca="false">YEAR(Tabela1[[#This Row],[FECHA]])</f>
        <v>1900</v>
      </c>
      <c r="I34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41" customFormat="false" ht="15" hidden="false" customHeight="false" outlineLevel="0" collapsed="false">
      <c r="A3441" s="41"/>
      <c r="G3441" s="38" t="n">
        <f aca="false">MONTH(A3441)</f>
        <v>12</v>
      </c>
      <c r="H3441" s="38" t="n">
        <f aca="false">YEAR(Tabela1[[#This Row],[FECHA]])</f>
        <v>1900</v>
      </c>
      <c r="I34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42" customFormat="false" ht="15" hidden="false" customHeight="false" outlineLevel="0" collapsed="false">
      <c r="A3442" s="41"/>
      <c r="G3442" s="38" t="n">
        <f aca="false">MONTH(A3442)</f>
        <v>12</v>
      </c>
      <c r="H3442" s="38" t="n">
        <f aca="false">YEAR(Tabela1[[#This Row],[FECHA]])</f>
        <v>1900</v>
      </c>
      <c r="I34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43" customFormat="false" ht="15" hidden="false" customHeight="false" outlineLevel="0" collapsed="false">
      <c r="A3443" s="41"/>
      <c r="G3443" s="38" t="n">
        <f aca="false">MONTH(A3443)</f>
        <v>12</v>
      </c>
      <c r="H3443" s="38" t="n">
        <f aca="false">YEAR(Tabela1[[#This Row],[FECHA]])</f>
        <v>1900</v>
      </c>
      <c r="I34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44" customFormat="false" ht="15" hidden="false" customHeight="false" outlineLevel="0" collapsed="false">
      <c r="A3444" s="41"/>
      <c r="G3444" s="38" t="n">
        <f aca="false">MONTH(A3444)</f>
        <v>12</v>
      </c>
      <c r="H3444" s="38" t="n">
        <f aca="false">YEAR(Tabela1[[#This Row],[FECHA]])</f>
        <v>1900</v>
      </c>
      <c r="I34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45" customFormat="false" ht="15" hidden="false" customHeight="false" outlineLevel="0" collapsed="false">
      <c r="A3445" s="41"/>
      <c r="G3445" s="38" t="n">
        <f aca="false">MONTH(A3445)</f>
        <v>12</v>
      </c>
      <c r="H3445" s="38" t="n">
        <f aca="false">YEAR(Tabela1[[#This Row],[FECHA]])</f>
        <v>1900</v>
      </c>
      <c r="I34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46" customFormat="false" ht="15" hidden="false" customHeight="false" outlineLevel="0" collapsed="false">
      <c r="A3446" s="41"/>
      <c r="G3446" s="38" t="n">
        <f aca="false">MONTH(A3446)</f>
        <v>12</v>
      </c>
      <c r="H3446" s="38" t="n">
        <f aca="false">YEAR(Tabela1[[#This Row],[FECHA]])</f>
        <v>1900</v>
      </c>
      <c r="I34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47" customFormat="false" ht="15" hidden="false" customHeight="false" outlineLevel="0" collapsed="false">
      <c r="A3447" s="41"/>
      <c r="G3447" s="38" t="n">
        <f aca="false">MONTH(A3447)</f>
        <v>12</v>
      </c>
      <c r="H3447" s="38" t="n">
        <f aca="false">YEAR(Tabela1[[#This Row],[FECHA]])</f>
        <v>1900</v>
      </c>
      <c r="I34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48" customFormat="false" ht="15" hidden="false" customHeight="false" outlineLevel="0" collapsed="false">
      <c r="A3448" s="41"/>
      <c r="G3448" s="38" t="n">
        <f aca="false">MONTH(A3448)</f>
        <v>12</v>
      </c>
      <c r="H3448" s="38" t="n">
        <f aca="false">YEAR(Tabela1[[#This Row],[FECHA]])</f>
        <v>1900</v>
      </c>
      <c r="I34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49" customFormat="false" ht="15" hidden="false" customHeight="false" outlineLevel="0" collapsed="false">
      <c r="A3449" s="41"/>
      <c r="G3449" s="38" t="n">
        <f aca="false">MONTH(A3449)</f>
        <v>12</v>
      </c>
      <c r="H3449" s="38" t="n">
        <f aca="false">YEAR(Tabela1[[#This Row],[FECHA]])</f>
        <v>1900</v>
      </c>
      <c r="I34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50" customFormat="false" ht="15" hidden="false" customHeight="false" outlineLevel="0" collapsed="false">
      <c r="A3450" s="41"/>
      <c r="G3450" s="38" t="n">
        <f aca="false">MONTH(A3450)</f>
        <v>12</v>
      </c>
      <c r="H3450" s="38" t="n">
        <f aca="false">YEAR(Tabela1[[#This Row],[FECHA]])</f>
        <v>1900</v>
      </c>
      <c r="I34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51" customFormat="false" ht="15" hidden="false" customHeight="false" outlineLevel="0" collapsed="false">
      <c r="A3451" s="41"/>
      <c r="G3451" s="38" t="n">
        <f aca="false">MONTH(A3451)</f>
        <v>12</v>
      </c>
      <c r="H3451" s="38" t="n">
        <f aca="false">YEAR(Tabela1[[#This Row],[FECHA]])</f>
        <v>1900</v>
      </c>
      <c r="I34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52" customFormat="false" ht="15" hidden="false" customHeight="false" outlineLevel="0" collapsed="false">
      <c r="A3452" s="41"/>
      <c r="G3452" s="38" t="n">
        <f aca="false">MONTH(A3452)</f>
        <v>12</v>
      </c>
      <c r="H3452" s="38" t="n">
        <f aca="false">YEAR(Tabela1[[#This Row],[FECHA]])</f>
        <v>1900</v>
      </c>
      <c r="I34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53" customFormat="false" ht="15" hidden="false" customHeight="false" outlineLevel="0" collapsed="false">
      <c r="A3453" s="41"/>
      <c r="G3453" s="38" t="n">
        <f aca="false">MONTH(A3453)</f>
        <v>12</v>
      </c>
      <c r="H3453" s="38" t="n">
        <f aca="false">YEAR(Tabela1[[#This Row],[FECHA]])</f>
        <v>1900</v>
      </c>
      <c r="I34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54" customFormat="false" ht="15" hidden="false" customHeight="false" outlineLevel="0" collapsed="false">
      <c r="A3454" s="41"/>
      <c r="G3454" s="38" t="n">
        <f aca="false">MONTH(A3454)</f>
        <v>12</v>
      </c>
      <c r="H3454" s="38" t="n">
        <f aca="false">YEAR(Tabela1[[#This Row],[FECHA]])</f>
        <v>1900</v>
      </c>
      <c r="I34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55" customFormat="false" ht="15" hidden="false" customHeight="false" outlineLevel="0" collapsed="false">
      <c r="A3455" s="41"/>
      <c r="G3455" s="38" t="n">
        <f aca="false">MONTH(A3455)</f>
        <v>12</v>
      </c>
      <c r="H3455" s="38" t="n">
        <f aca="false">YEAR(Tabela1[[#This Row],[FECHA]])</f>
        <v>1900</v>
      </c>
      <c r="I34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56" customFormat="false" ht="15" hidden="false" customHeight="false" outlineLevel="0" collapsed="false">
      <c r="A3456" s="41"/>
      <c r="G3456" s="38" t="n">
        <f aca="false">MONTH(A3456)</f>
        <v>12</v>
      </c>
      <c r="H3456" s="38" t="n">
        <f aca="false">YEAR(Tabela1[[#This Row],[FECHA]])</f>
        <v>1900</v>
      </c>
      <c r="I34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57" customFormat="false" ht="15" hidden="false" customHeight="false" outlineLevel="0" collapsed="false">
      <c r="A3457" s="41"/>
      <c r="G3457" s="38" t="n">
        <f aca="false">MONTH(A3457)</f>
        <v>12</v>
      </c>
      <c r="H3457" s="38" t="n">
        <f aca="false">YEAR(Tabela1[[#This Row],[FECHA]])</f>
        <v>1900</v>
      </c>
      <c r="I34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58" customFormat="false" ht="15" hidden="false" customHeight="false" outlineLevel="0" collapsed="false">
      <c r="A3458" s="41"/>
      <c r="G3458" s="38" t="n">
        <f aca="false">MONTH(A3458)</f>
        <v>12</v>
      </c>
      <c r="H3458" s="38" t="n">
        <f aca="false">YEAR(Tabela1[[#This Row],[FECHA]])</f>
        <v>1900</v>
      </c>
      <c r="I34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59" customFormat="false" ht="15" hidden="false" customHeight="false" outlineLevel="0" collapsed="false">
      <c r="A3459" s="41"/>
      <c r="G3459" s="38" t="n">
        <f aca="false">MONTH(A3459)</f>
        <v>12</v>
      </c>
      <c r="H3459" s="38" t="n">
        <f aca="false">YEAR(Tabela1[[#This Row],[FECHA]])</f>
        <v>1900</v>
      </c>
      <c r="I34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60" customFormat="false" ht="15" hidden="false" customHeight="false" outlineLevel="0" collapsed="false">
      <c r="A3460" s="41"/>
      <c r="G3460" s="38" t="n">
        <f aca="false">MONTH(A3460)</f>
        <v>12</v>
      </c>
      <c r="H3460" s="38" t="n">
        <f aca="false">YEAR(Tabela1[[#This Row],[FECHA]])</f>
        <v>1900</v>
      </c>
      <c r="I34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61" customFormat="false" ht="15" hidden="false" customHeight="false" outlineLevel="0" collapsed="false">
      <c r="A3461" s="41"/>
      <c r="G3461" s="38" t="n">
        <f aca="false">MONTH(A3461)</f>
        <v>12</v>
      </c>
      <c r="H3461" s="38" t="n">
        <f aca="false">YEAR(Tabela1[[#This Row],[FECHA]])</f>
        <v>1900</v>
      </c>
      <c r="I34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62" customFormat="false" ht="15" hidden="false" customHeight="false" outlineLevel="0" collapsed="false">
      <c r="A3462" s="41"/>
      <c r="G3462" s="38" t="n">
        <f aca="false">MONTH(A3462)</f>
        <v>12</v>
      </c>
      <c r="H3462" s="38" t="n">
        <f aca="false">YEAR(Tabela1[[#This Row],[FECHA]])</f>
        <v>1900</v>
      </c>
      <c r="I34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63" customFormat="false" ht="15" hidden="false" customHeight="false" outlineLevel="0" collapsed="false">
      <c r="A3463" s="41"/>
      <c r="G3463" s="38" t="n">
        <f aca="false">MONTH(A3463)</f>
        <v>12</v>
      </c>
      <c r="H3463" s="38" t="n">
        <f aca="false">YEAR(Tabela1[[#This Row],[FECHA]])</f>
        <v>1900</v>
      </c>
      <c r="I34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64" customFormat="false" ht="15" hidden="false" customHeight="false" outlineLevel="0" collapsed="false">
      <c r="A3464" s="41"/>
      <c r="G3464" s="38" t="n">
        <f aca="false">MONTH(A3464)</f>
        <v>12</v>
      </c>
      <c r="H3464" s="38" t="n">
        <f aca="false">YEAR(Tabela1[[#This Row],[FECHA]])</f>
        <v>1900</v>
      </c>
      <c r="I34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65" customFormat="false" ht="15" hidden="false" customHeight="false" outlineLevel="0" collapsed="false">
      <c r="A3465" s="41"/>
      <c r="G3465" s="38" t="n">
        <f aca="false">MONTH(A3465)</f>
        <v>12</v>
      </c>
      <c r="H3465" s="38" t="n">
        <f aca="false">YEAR(Tabela1[[#This Row],[FECHA]])</f>
        <v>1900</v>
      </c>
      <c r="I34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66" customFormat="false" ht="15" hidden="false" customHeight="false" outlineLevel="0" collapsed="false">
      <c r="A3466" s="41"/>
      <c r="G3466" s="38" t="n">
        <f aca="false">MONTH(A3466)</f>
        <v>12</v>
      </c>
      <c r="H3466" s="38" t="n">
        <f aca="false">YEAR(Tabela1[[#This Row],[FECHA]])</f>
        <v>1900</v>
      </c>
      <c r="I34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67" customFormat="false" ht="15" hidden="false" customHeight="false" outlineLevel="0" collapsed="false">
      <c r="A3467" s="41"/>
      <c r="G3467" s="38" t="n">
        <f aca="false">MONTH(A3467)</f>
        <v>12</v>
      </c>
      <c r="H3467" s="38" t="n">
        <f aca="false">YEAR(Tabela1[[#This Row],[FECHA]])</f>
        <v>1900</v>
      </c>
      <c r="I34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68" customFormat="false" ht="15" hidden="false" customHeight="false" outlineLevel="0" collapsed="false">
      <c r="A3468" s="41"/>
      <c r="G3468" s="38" t="n">
        <f aca="false">MONTH(A3468)</f>
        <v>12</v>
      </c>
      <c r="H3468" s="38" t="n">
        <f aca="false">YEAR(Tabela1[[#This Row],[FECHA]])</f>
        <v>1900</v>
      </c>
      <c r="I34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69" customFormat="false" ht="15" hidden="false" customHeight="false" outlineLevel="0" collapsed="false">
      <c r="A3469" s="41"/>
      <c r="G3469" s="38" t="n">
        <f aca="false">MONTH(A3469)</f>
        <v>12</v>
      </c>
      <c r="H3469" s="38" t="n">
        <f aca="false">YEAR(Tabela1[[#This Row],[FECHA]])</f>
        <v>1900</v>
      </c>
      <c r="I34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70" customFormat="false" ht="15" hidden="false" customHeight="false" outlineLevel="0" collapsed="false">
      <c r="A3470" s="41"/>
      <c r="G3470" s="38" t="n">
        <f aca="false">MONTH(A3470)</f>
        <v>12</v>
      </c>
      <c r="H3470" s="38" t="n">
        <f aca="false">YEAR(Tabela1[[#This Row],[FECHA]])</f>
        <v>1900</v>
      </c>
      <c r="I34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71" customFormat="false" ht="15" hidden="false" customHeight="false" outlineLevel="0" collapsed="false">
      <c r="A3471" s="41"/>
      <c r="G3471" s="38" t="n">
        <f aca="false">MONTH(A3471)</f>
        <v>12</v>
      </c>
      <c r="H3471" s="38" t="n">
        <f aca="false">YEAR(Tabela1[[#This Row],[FECHA]])</f>
        <v>1900</v>
      </c>
      <c r="I34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72" customFormat="false" ht="15" hidden="false" customHeight="false" outlineLevel="0" collapsed="false">
      <c r="A3472" s="41"/>
      <c r="G3472" s="38" t="n">
        <f aca="false">MONTH(A3472)</f>
        <v>12</v>
      </c>
      <c r="H3472" s="38" t="n">
        <f aca="false">YEAR(Tabela1[[#This Row],[FECHA]])</f>
        <v>1900</v>
      </c>
      <c r="I34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73" customFormat="false" ht="15" hidden="false" customHeight="false" outlineLevel="0" collapsed="false">
      <c r="A3473" s="41"/>
      <c r="G3473" s="38" t="n">
        <f aca="false">MONTH(A3473)</f>
        <v>12</v>
      </c>
      <c r="H3473" s="38" t="n">
        <f aca="false">YEAR(Tabela1[[#This Row],[FECHA]])</f>
        <v>1900</v>
      </c>
      <c r="I34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74" customFormat="false" ht="15" hidden="false" customHeight="false" outlineLevel="0" collapsed="false">
      <c r="A3474" s="41"/>
      <c r="G3474" s="38" t="n">
        <f aca="false">MONTH(A3474)</f>
        <v>12</v>
      </c>
      <c r="H3474" s="38" t="n">
        <f aca="false">YEAR(Tabela1[[#This Row],[FECHA]])</f>
        <v>1900</v>
      </c>
      <c r="I34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75" customFormat="false" ht="15" hidden="false" customHeight="false" outlineLevel="0" collapsed="false">
      <c r="A3475" s="41"/>
      <c r="G3475" s="38" t="n">
        <f aca="false">MONTH(A3475)</f>
        <v>12</v>
      </c>
      <c r="H3475" s="38" t="n">
        <f aca="false">YEAR(Tabela1[[#This Row],[FECHA]])</f>
        <v>1900</v>
      </c>
      <c r="I34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76" customFormat="false" ht="15" hidden="false" customHeight="false" outlineLevel="0" collapsed="false">
      <c r="A3476" s="41"/>
      <c r="G3476" s="38" t="n">
        <f aca="false">MONTH(A3476)</f>
        <v>12</v>
      </c>
      <c r="H3476" s="38" t="n">
        <f aca="false">YEAR(Tabela1[[#This Row],[FECHA]])</f>
        <v>1900</v>
      </c>
      <c r="I34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77" customFormat="false" ht="15" hidden="false" customHeight="false" outlineLevel="0" collapsed="false">
      <c r="A3477" s="41"/>
      <c r="G3477" s="38" t="n">
        <f aca="false">MONTH(A3477)</f>
        <v>12</v>
      </c>
      <c r="H3477" s="38" t="n">
        <f aca="false">YEAR(Tabela1[[#This Row],[FECHA]])</f>
        <v>1900</v>
      </c>
      <c r="I34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78" customFormat="false" ht="15" hidden="false" customHeight="false" outlineLevel="0" collapsed="false">
      <c r="A3478" s="41"/>
      <c r="G3478" s="38" t="n">
        <f aca="false">MONTH(A3478)</f>
        <v>12</v>
      </c>
      <c r="H3478" s="38" t="n">
        <f aca="false">YEAR(Tabela1[[#This Row],[FECHA]])</f>
        <v>1900</v>
      </c>
      <c r="I34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79" customFormat="false" ht="15" hidden="false" customHeight="false" outlineLevel="0" collapsed="false">
      <c r="A3479" s="41"/>
      <c r="G3479" s="38" t="n">
        <f aca="false">MONTH(A3479)</f>
        <v>12</v>
      </c>
      <c r="H3479" s="38" t="n">
        <f aca="false">YEAR(Tabela1[[#This Row],[FECHA]])</f>
        <v>1900</v>
      </c>
      <c r="I34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80" customFormat="false" ht="15" hidden="false" customHeight="false" outlineLevel="0" collapsed="false">
      <c r="A3480" s="41"/>
      <c r="G3480" s="38" t="n">
        <f aca="false">MONTH(A3480)</f>
        <v>12</v>
      </c>
      <c r="H3480" s="38" t="n">
        <f aca="false">YEAR(Tabela1[[#This Row],[FECHA]])</f>
        <v>1900</v>
      </c>
      <c r="I34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81" customFormat="false" ht="15" hidden="false" customHeight="false" outlineLevel="0" collapsed="false">
      <c r="A3481" s="41"/>
      <c r="G3481" s="38" t="n">
        <f aca="false">MONTH(A3481)</f>
        <v>12</v>
      </c>
      <c r="H3481" s="38" t="n">
        <f aca="false">YEAR(Tabela1[[#This Row],[FECHA]])</f>
        <v>1900</v>
      </c>
      <c r="I34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82" customFormat="false" ht="15" hidden="false" customHeight="false" outlineLevel="0" collapsed="false">
      <c r="A3482" s="41"/>
      <c r="G3482" s="38" t="n">
        <f aca="false">MONTH(A3482)</f>
        <v>12</v>
      </c>
      <c r="H3482" s="38" t="n">
        <f aca="false">YEAR(Tabela1[[#This Row],[FECHA]])</f>
        <v>1900</v>
      </c>
      <c r="I34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83" customFormat="false" ht="15" hidden="false" customHeight="false" outlineLevel="0" collapsed="false">
      <c r="A3483" s="41"/>
      <c r="G3483" s="38" t="n">
        <f aca="false">MONTH(A3483)</f>
        <v>12</v>
      </c>
      <c r="H3483" s="38" t="n">
        <f aca="false">YEAR(Tabela1[[#This Row],[FECHA]])</f>
        <v>1900</v>
      </c>
      <c r="I34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84" customFormat="false" ht="15" hidden="false" customHeight="false" outlineLevel="0" collapsed="false">
      <c r="A3484" s="41"/>
      <c r="G3484" s="38" t="n">
        <f aca="false">MONTH(A3484)</f>
        <v>12</v>
      </c>
      <c r="H3484" s="38" t="n">
        <f aca="false">YEAR(Tabela1[[#This Row],[FECHA]])</f>
        <v>1900</v>
      </c>
      <c r="I34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85" customFormat="false" ht="15" hidden="false" customHeight="false" outlineLevel="0" collapsed="false">
      <c r="A3485" s="41"/>
      <c r="G3485" s="38" t="n">
        <f aca="false">MONTH(A3485)</f>
        <v>12</v>
      </c>
      <c r="H3485" s="38" t="n">
        <f aca="false">YEAR(Tabela1[[#This Row],[FECHA]])</f>
        <v>1900</v>
      </c>
      <c r="I34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86" customFormat="false" ht="15" hidden="false" customHeight="false" outlineLevel="0" collapsed="false">
      <c r="A3486" s="41"/>
      <c r="G3486" s="38" t="n">
        <f aca="false">MONTH(A3486)</f>
        <v>12</v>
      </c>
      <c r="H3486" s="38" t="n">
        <f aca="false">YEAR(Tabela1[[#This Row],[FECHA]])</f>
        <v>1900</v>
      </c>
      <c r="I34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87" customFormat="false" ht="15" hidden="false" customHeight="false" outlineLevel="0" collapsed="false">
      <c r="A3487" s="41"/>
      <c r="G3487" s="38" t="n">
        <f aca="false">MONTH(A3487)</f>
        <v>12</v>
      </c>
      <c r="H3487" s="38" t="n">
        <f aca="false">YEAR(Tabela1[[#This Row],[FECHA]])</f>
        <v>1900</v>
      </c>
      <c r="I34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88" customFormat="false" ht="15" hidden="false" customHeight="false" outlineLevel="0" collapsed="false">
      <c r="A3488" s="41"/>
      <c r="G3488" s="38" t="n">
        <f aca="false">MONTH(A3488)</f>
        <v>12</v>
      </c>
      <c r="H3488" s="38" t="n">
        <f aca="false">YEAR(Tabela1[[#This Row],[FECHA]])</f>
        <v>1900</v>
      </c>
      <c r="I34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89" customFormat="false" ht="15" hidden="false" customHeight="false" outlineLevel="0" collapsed="false">
      <c r="A3489" s="41"/>
      <c r="G3489" s="38" t="n">
        <f aca="false">MONTH(A3489)</f>
        <v>12</v>
      </c>
      <c r="H3489" s="38" t="n">
        <f aca="false">YEAR(Tabela1[[#This Row],[FECHA]])</f>
        <v>1900</v>
      </c>
      <c r="I34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90" customFormat="false" ht="15" hidden="false" customHeight="false" outlineLevel="0" collapsed="false">
      <c r="A3490" s="41"/>
      <c r="G3490" s="38" t="n">
        <f aca="false">MONTH(A3490)</f>
        <v>12</v>
      </c>
      <c r="H3490" s="38" t="n">
        <f aca="false">YEAR(Tabela1[[#This Row],[FECHA]])</f>
        <v>1900</v>
      </c>
      <c r="I34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91" customFormat="false" ht="15" hidden="false" customHeight="false" outlineLevel="0" collapsed="false">
      <c r="A3491" s="41"/>
      <c r="G3491" s="38" t="n">
        <f aca="false">MONTH(A3491)</f>
        <v>12</v>
      </c>
      <c r="H3491" s="38" t="n">
        <f aca="false">YEAR(Tabela1[[#This Row],[FECHA]])</f>
        <v>1900</v>
      </c>
      <c r="I34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92" customFormat="false" ht="15" hidden="false" customHeight="false" outlineLevel="0" collapsed="false">
      <c r="A3492" s="41"/>
      <c r="G3492" s="38" t="n">
        <f aca="false">MONTH(A3492)</f>
        <v>12</v>
      </c>
      <c r="H3492" s="38" t="n">
        <f aca="false">YEAR(Tabela1[[#This Row],[FECHA]])</f>
        <v>1900</v>
      </c>
      <c r="I34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93" customFormat="false" ht="15" hidden="false" customHeight="false" outlineLevel="0" collapsed="false">
      <c r="A3493" s="41"/>
      <c r="G3493" s="38" t="n">
        <f aca="false">MONTH(A3493)</f>
        <v>12</v>
      </c>
      <c r="H3493" s="38" t="n">
        <f aca="false">YEAR(Tabela1[[#This Row],[FECHA]])</f>
        <v>1900</v>
      </c>
      <c r="I34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94" customFormat="false" ht="15" hidden="false" customHeight="false" outlineLevel="0" collapsed="false">
      <c r="A3494" s="41"/>
      <c r="G3494" s="38" t="n">
        <f aca="false">MONTH(A3494)</f>
        <v>12</v>
      </c>
      <c r="H3494" s="38" t="n">
        <f aca="false">YEAR(Tabela1[[#This Row],[FECHA]])</f>
        <v>1900</v>
      </c>
      <c r="I34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95" customFormat="false" ht="15" hidden="false" customHeight="false" outlineLevel="0" collapsed="false">
      <c r="A3495" s="41"/>
      <c r="G3495" s="38" t="n">
        <f aca="false">MONTH(A3495)</f>
        <v>12</v>
      </c>
      <c r="H3495" s="38" t="n">
        <f aca="false">YEAR(Tabela1[[#This Row],[FECHA]])</f>
        <v>1900</v>
      </c>
      <c r="I34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96" customFormat="false" ht="15" hidden="false" customHeight="false" outlineLevel="0" collapsed="false">
      <c r="A3496" s="41"/>
      <c r="G3496" s="38" t="n">
        <f aca="false">MONTH(A3496)</f>
        <v>12</v>
      </c>
      <c r="H3496" s="38" t="n">
        <f aca="false">YEAR(Tabela1[[#This Row],[FECHA]])</f>
        <v>1900</v>
      </c>
      <c r="I34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97" customFormat="false" ht="15" hidden="false" customHeight="false" outlineLevel="0" collapsed="false">
      <c r="A3497" s="41"/>
      <c r="G3497" s="38" t="n">
        <f aca="false">MONTH(A3497)</f>
        <v>12</v>
      </c>
      <c r="H3497" s="38" t="n">
        <f aca="false">YEAR(Tabela1[[#This Row],[FECHA]])</f>
        <v>1900</v>
      </c>
      <c r="I34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98" customFormat="false" ht="15" hidden="false" customHeight="false" outlineLevel="0" collapsed="false">
      <c r="A3498" s="41"/>
      <c r="G3498" s="38" t="n">
        <f aca="false">MONTH(A3498)</f>
        <v>12</v>
      </c>
      <c r="H3498" s="38" t="n">
        <f aca="false">YEAR(Tabela1[[#This Row],[FECHA]])</f>
        <v>1900</v>
      </c>
      <c r="I34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499" customFormat="false" ht="15" hidden="false" customHeight="false" outlineLevel="0" collapsed="false">
      <c r="A3499" s="41"/>
      <c r="G3499" s="38" t="n">
        <f aca="false">MONTH(A3499)</f>
        <v>12</v>
      </c>
      <c r="H3499" s="38" t="n">
        <f aca="false">YEAR(Tabela1[[#This Row],[FECHA]])</f>
        <v>1900</v>
      </c>
      <c r="I34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00" customFormat="false" ht="15" hidden="false" customHeight="false" outlineLevel="0" collapsed="false">
      <c r="A3500" s="41"/>
      <c r="G3500" s="38" t="n">
        <f aca="false">MONTH(A3500)</f>
        <v>12</v>
      </c>
      <c r="H3500" s="38" t="n">
        <f aca="false">YEAR(Tabela1[[#This Row],[FECHA]])</f>
        <v>1900</v>
      </c>
      <c r="I35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01" customFormat="false" ht="15" hidden="false" customHeight="false" outlineLevel="0" collapsed="false">
      <c r="A3501" s="41"/>
      <c r="G3501" s="38" t="n">
        <f aca="false">MONTH(A3501)</f>
        <v>12</v>
      </c>
      <c r="H3501" s="38" t="n">
        <f aca="false">YEAR(Tabela1[[#This Row],[FECHA]])</f>
        <v>1900</v>
      </c>
      <c r="I35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02" customFormat="false" ht="15" hidden="false" customHeight="false" outlineLevel="0" collapsed="false">
      <c r="A3502" s="41"/>
      <c r="G3502" s="38" t="n">
        <f aca="false">MONTH(A3502)</f>
        <v>12</v>
      </c>
      <c r="H3502" s="38" t="n">
        <f aca="false">YEAR(Tabela1[[#This Row],[FECHA]])</f>
        <v>1900</v>
      </c>
      <c r="I35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03" customFormat="false" ht="15" hidden="false" customHeight="false" outlineLevel="0" collapsed="false">
      <c r="A3503" s="41"/>
      <c r="G3503" s="38" t="n">
        <f aca="false">MONTH(A3503)</f>
        <v>12</v>
      </c>
      <c r="H3503" s="38" t="n">
        <f aca="false">YEAR(Tabela1[[#This Row],[FECHA]])</f>
        <v>1900</v>
      </c>
      <c r="I35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04" customFormat="false" ht="15" hidden="false" customHeight="false" outlineLevel="0" collapsed="false">
      <c r="A3504" s="41"/>
      <c r="G3504" s="38" t="n">
        <f aca="false">MONTH(A3504)</f>
        <v>12</v>
      </c>
      <c r="H3504" s="38" t="n">
        <f aca="false">YEAR(Tabela1[[#This Row],[FECHA]])</f>
        <v>1900</v>
      </c>
      <c r="I35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05" customFormat="false" ht="15" hidden="false" customHeight="false" outlineLevel="0" collapsed="false">
      <c r="A3505" s="41"/>
      <c r="G3505" s="38" t="n">
        <f aca="false">MONTH(A3505)</f>
        <v>12</v>
      </c>
      <c r="H3505" s="38" t="n">
        <f aca="false">YEAR(Tabela1[[#This Row],[FECHA]])</f>
        <v>1900</v>
      </c>
      <c r="I35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06" customFormat="false" ht="15" hidden="false" customHeight="false" outlineLevel="0" collapsed="false">
      <c r="A3506" s="41"/>
      <c r="G3506" s="38" t="n">
        <f aca="false">MONTH(A3506)</f>
        <v>12</v>
      </c>
      <c r="H3506" s="38" t="n">
        <f aca="false">YEAR(Tabela1[[#This Row],[FECHA]])</f>
        <v>1900</v>
      </c>
      <c r="I35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07" customFormat="false" ht="15" hidden="false" customHeight="false" outlineLevel="0" collapsed="false">
      <c r="A3507" s="41"/>
      <c r="G3507" s="38" t="n">
        <f aca="false">MONTH(A3507)</f>
        <v>12</v>
      </c>
      <c r="H3507" s="38" t="n">
        <f aca="false">YEAR(Tabela1[[#This Row],[FECHA]])</f>
        <v>1900</v>
      </c>
      <c r="I35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08" customFormat="false" ht="15" hidden="false" customHeight="false" outlineLevel="0" collapsed="false">
      <c r="A3508" s="41"/>
      <c r="G3508" s="38" t="n">
        <f aca="false">MONTH(A3508)</f>
        <v>12</v>
      </c>
      <c r="H3508" s="38" t="n">
        <f aca="false">YEAR(Tabela1[[#This Row],[FECHA]])</f>
        <v>1900</v>
      </c>
      <c r="I35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09" customFormat="false" ht="15" hidden="false" customHeight="false" outlineLevel="0" collapsed="false">
      <c r="A3509" s="41"/>
      <c r="G3509" s="38" t="n">
        <f aca="false">MONTH(A3509)</f>
        <v>12</v>
      </c>
      <c r="H3509" s="38" t="n">
        <f aca="false">YEAR(Tabela1[[#This Row],[FECHA]])</f>
        <v>1900</v>
      </c>
      <c r="I35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10" customFormat="false" ht="15" hidden="false" customHeight="false" outlineLevel="0" collapsed="false">
      <c r="A3510" s="41"/>
      <c r="G3510" s="38" t="n">
        <f aca="false">MONTH(A3510)</f>
        <v>12</v>
      </c>
      <c r="H3510" s="38" t="n">
        <f aca="false">YEAR(Tabela1[[#This Row],[FECHA]])</f>
        <v>1900</v>
      </c>
      <c r="I35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11" customFormat="false" ht="15" hidden="false" customHeight="false" outlineLevel="0" collapsed="false">
      <c r="A3511" s="41"/>
      <c r="G3511" s="38" t="n">
        <f aca="false">MONTH(A3511)</f>
        <v>12</v>
      </c>
      <c r="H3511" s="38" t="n">
        <f aca="false">YEAR(Tabela1[[#This Row],[FECHA]])</f>
        <v>1900</v>
      </c>
      <c r="I35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12" customFormat="false" ht="15" hidden="false" customHeight="false" outlineLevel="0" collapsed="false">
      <c r="A3512" s="41"/>
      <c r="G3512" s="38" t="n">
        <f aca="false">MONTH(A3512)</f>
        <v>12</v>
      </c>
      <c r="H3512" s="38" t="n">
        <f aca="false">YEAR(Tabela1[[#This Row],[FECHA]])</f>
        <v>1900</v>
      </c>
      <c r="I35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13" customFormat="false" ht="15" hidden="false" customHeight="false" outlineLevel="0" collapsed="false">
      <c r="A3513" s="41"/>
      <c r="G3513" s="38" t="n">
        <f aca="false">MONTH(A3513)</f>
        <v>12</v>
      </c>
      <c r="H3513" s="38" t="n">
        <f aca="false">YEAR(Tabela1[[#This Row],[FECHA]])</f>
        <v>1900</v>
      </c>
      <c r="I35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14" customFormat="false" ht="15" hidden="false" customHeight="false" outlineLevel="0" collapsed="false">
      <c r="A3514" s="41"/>
      <c r="G3514" s="38" t="n">
        <f aca="false">MONTH(A3514)</f>
        <v>12</v>
      </c>
      <c r="H3514" s="38" t="n">
        <f aca="false">YEAR(Tabela1[[#This Row],[FECHA]])</f>
        <v>1900</v>
      </c>
      <c r="I35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15" customFormat="false" ht="15" hidden="false" customHeight="false" outlineLevel="0" collapsed="false">
      <c r="A3515" s="41"/>
      <c r="G3515" s="38" t="n">
        <f aca="false">MONTH(A3515)</f>
        <v>12</v>
      </c>
      <c r="H3515" s="38" t="n">
        <f aca="false">YEAR(Tabela1[[#This Row],[FECHA]])</f>
        <v>1900</v>
      </c>
      <c r="I35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16" customFormat="false" ht="15" hidden="false" customHeight="false" outlineLevel="0" collapsed="false">
      <c r="A3516" s="41"/>
      <c r="G3516" s="38" t="n">
        <f aca="false">MONTH(A3516)</f>
        <v>12</v>
      </c>
      <c r="H3516" s="38" t="n">
        <f aca="false">YEAR(Tabela1[[#This Row],[FECHA]])</f>
        <v>1900</v>
      </c>
      <c r="I35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17" customFormat="false" ht="15" hidden="false" customHeight="false" outlineLevel="0" collapsed="false">
      <c r="A3517" s="41"/>
      <c r="G3517" s="38" t="n">
        <f aca="false">MONTH(A3517)</f>
        <v>12</v>
      </c>
      <c r="H3517" s="38" t="n">
        <f aca="false">YEAR(Tabela1[[#This Row],[FECHA]])</f>
        <v>1900</v>
      </c>
      <c r="I35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18" customFormat="false" ht="15" hidden="false" customHeight="false" outlineLevel="0" collapsed="false">
      <c r="A3518" s="41"/>
      <c r="G3518" s="38" t="n">
        <f aca="false">MONTH(A3518)</f>
        <v>12</v>
      </c>
      <c r="H3518" s="38" t="n">
        <f aca="false">YEAR(Tabela1[[#This Row],[FECHA]])</f>
        <v>1900</v>
      </c>
      <c r="I35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19" customFormat="false" ht="15" hidden="false" customHeight="false" outlineLevel="0" collapsed="false">
      <c r="A3519" s="41"/>
      <c r="G3519" s="38" t="n">
        <f aca="false">MONTH(A3519)</f>
        <v>12</v>
      </c>
      <c r="H3519" s="38" t="n">
        <f aca="false">YEAR(Tabela1[[#This Row],[FECHA]])</f>
        <v>1900</v>
      </c>
      <c r="I35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20" customFormat="false" ht="15" hidden="false" customHeight="false" outlineLevel="0" collapsed="false">
      <c r="A3520" s="41"/>
      <c r="G3520" s="38" t="n">
        <f aca="false">MONTH(A3520)</f>
        <v>12</v>
      </c>
      <c r="H3520" s="38" t="n">
        <f aca="false">YEAR(Tabela1[[#This Row],[FECHA]])</f>
        <v>1900</v>
      </c>
      <c r="I35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21" customFormat="false" ht="15" hidden="false" customHeight="false" outlineLevel="0" collapsed="false">
      <c r="A3521" s="41"/>
      <c r="G3521" s="38" t="n">
        <f aca="false">MONTH(A3521)</f>
        <v>12</v>
      </c>
      <c r="H3521" s="38" t="n">
        <f aca="false">YEAR(Tabela1[[#This Row],[FECHA]])</f>
        <v>1900</v>
      </c>
      <c r="I35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22" customFormat="false" ht="15" hidden="false" customHeight="false" outlineLevel="0" collapsed="false">
      <c r="A3522" s="41"/>
      <c r="G3522" s="38" t="n">
        <f aca="false">MONTH(A3522)</f>
        <v>12</v>
      </c>
      <c r="H3522" s="38" t="n">
        <f aca="false">YEAR(Tabela1[[#This Row],[FECHA]])</f>
        <v>1900</v>
      </c>
      <c r="I35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23" customFormat="false" ht="15" hidden="false" customHeight="false" outlineLevel="0" collapsed="false">
      <c r="A3523" s="41"/>
      <c r="G3523" s="38" t="n">
        <f aca="false">MONTH(A3523)</f>
        <v>12</v>
      </c>
      <c r="H3523" s="38" t="n">
        <f aca="false">YEAR(Tabela1[[#This Row],[FECHA]])</f>
        <v>1900</v>
      </c>
      <c r="I35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24" customFormat="false" ht="15" hidden="false" customHeight="false" outlineLevel="0" collapsed="false">
      <c r="A3524" s="41"/>
      <c r="G3524" s="38" t="n">
        <f aca="false">MONTH(A3524)</f>
        <v>12</v>
      </c>
      <c r="H3524" s="38" t="n">
        <f aca="false">YEAR(Tabela1[[#This Row],[FECHA]])</f>
        <v>1900</v>
      </c>
      <c r="I35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25" customFormat="false" ht="15" hidden="false" customHeight="false" outlineLevel="0" collapsed="false">
      <c r="A3525" s="41"/>
      <c r="G3525" s="38" t="n">
        <f aca="false">MONTH(A3525)</f>
        <v>12</v>
      </c>
      <c r="H3525" s="38" t="n">
        <f aca="false">YEAR(Tabela1[[#This Row],[FECHA]])</f>
        <v>1900</v>
      </c>
      <c r="I35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26" customFormat="false" ht="15" hidden="false" customHeight="false" outlineLevel="0" collapsed="false">
      <c r="A3526" s="41"/>
      <c r="G3526" s="38" t="n">
        <f aca="false">MONTH(A3526)</f>
        <v>12</v>
      </c>
      <c r="H3526" s="38" t="n">
        <f aca="false">YEAR(Tabela1[[#This Row],[FECHA]])</f>
        <v>1900</v>
      </c>
      <c r="I35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27" customFormat="false" ht="15" hidden="false" customHeight="false" outlineLevel="0" collapsed="false">
      <c r="A3527" s="41"/>
      <c r="G3527" s="38" t="n">
        <f aca="false">MONTH(A3527)</f>
        <v>12</v>
      </c>
      <c r="H3527" s="38" t="n">
        <f aca="false">YEAR(Tabela1[[#This Row],[FECHA]])</f>
        <v>1900</v>
      </c>
      <c r="I35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28" customFormat="false" ht="15" hidden="false" customHeight="false" outlineLevel="0" collapsed="false">
      <c r="A3528" s="41"/>
      <c r="G3528" s="38" t="n">
        <f aca="false">MONTH(A3528)</f>
        <v>12</v>
      </c>
      <c r="H3528" s="38" t="n">
        <f aca="false">YEAR(Tabela1[[#This Row],[FECHA]])</f>
        <v>1900</v>
      </c>
      <c r="I35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29" customFormat="false" ht="15" hidden="false" customHeight="false" outlineLevel="0" collapsed="false">
      <c r="A3529" s="41"/>
      <c r="G3529" s="38" t="n">
        <f aca="false">MONTH(A3529)</f>
        <v>12</v>
      </c>
      <c r="H3529" s="38" t="n">
        <f aca="false">YEAR(Tabela1[[#This Row],[FECHA]])</f>
        <v>1900</v>
      </c>
      <c r="I35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30" customFormat="false" ht="15" hidden="false" customHeight="false" outlineLevel="0" collapsed="false">
      <c r="A3530" s="41"/>
      <c r="G3530" s="38" t="n">
        <f aca="false">MONTH(A3530)</f>
        <v>12</v>
      </c>
      <c r="H3530" s="38" t="n">
        <f aca="false">YEAR(Tabela1[[#This Row],[FECHA]])</f>
        <v>1900</v>
      </c>
      <c r="I35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31" customFormat="false" ht="15" hidden="false" customHeight="false" outlineLevel="0" collapsed="false">
      <c r="A3531" s="41"/>
      <c r="G3531" s="38" t="n">
        <f aca="false">MONTH(A3531)</f>
        <v>12</v>
      </c>
      <c r="H3531" s="38" t="n">
        <f aca="false">YEAR(Tabela1[[#This Row],[FECHA]])</f>
        <v>1900</v>
      </c>
      <c r="I35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32" customFormat="false" ht="15" hidden="false" customHeight="false" outlineLevel="0" collapsed="false">
      <c r="A3532" s="41"/>
      <c r="G3532" s="38" t="n">
        <f aca="false">MONTH(A3532)</f>
        <v>12</v>
      </c>
      <c r="H3532" s="38" t="n">
        <f aca="false">YEAR(Tabela1[[#This Row],[FECHA]])</f>
        <v>1900</v>
      </c>
      <c r="I35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33" customFormat="false" ht="15" hidden="false" customHeight="false" outlineLevel="0" collapsed="false">
      <c r="A3533" s="41"/>
      <c r="G3533" s="38" t="n">
        <f aca="false">MONTH(A3533)</f>
        <v>12</v>
      </c>
      <c r="H3533" s="38" t="n">
        <f aca="false">YEAR(Tabela1[[#This Row],[FECHA]])</f>
        <v>1900</v>
      </c>
      <c r="I35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34" customFormat="false" ht="15" hidden="false" customHeight="false" outlineLevel="0" collapsed="false">
      <c r="A3534" s="41"/>
      <c r="G3534" s="38" t="n">
        <f aca="false">MONTH(A3534)</f>
        <v>12</v>
      </c>
      <c r="H3534" s="38" t="n">
        <f aca="false">YEAR(Tabela1[[#This Row],[FECHA]])</f>
        <v>1900</v>
      </c>
      <c r="I35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35" customFormat="false" ht="15" hidden="false" customHeight="false" outlineLevel="0" collapsed="false">
      <c r="A3535" s="41"/>
      <c r="G3535" s="38" t="n">
        <f aca="false">MONTH(A3535)</f>
        <v>12</v>
      </c>
      <c r="H3535" s="38" t="n">
        <f aca="false">YEAR(Tabela1[[#This Row],[FECHA]])</f>
        <v>1900</v>
      </c>
      <c r="I35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36" customFormat="false" ht="15" hidden="false" customHeight="false" outlineLevel="0" collapsed="false">
      <c r="A3536" s="41"/>
      <c r="G3536" s="38" t="n">
        <f aca="false">MONTH(A3536)</f>
        <v>12</v>
      </c>
      <c r="H3536" s="38" t="n">
        <f aca="false">YEAR(Tabela1[[#This Row],[FECHA]])</f>
        <v>1900</v>
      </c>
      <c r="I35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37" customFormat="false" ht="15" hidden="false" customHeight="false" outlineLevel="0" collapsed="false">
      <c r="A3537" s="41"/>
      <c r="G3537" s="38" t="n">
        <f aca="false">MONTH(A3537)</f>
        <v>12</v>
      </c>
      <c r="H3537" s="38" t="n">
        <f aca="false">YEAR(Tabela1[[#This Row],[FECHA]])</f>
        <v>1900</v>
      </c>
      <c r="I35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38" customFormat="false" ht="15" hidden="false" customHeight="false" outlineLevel="0" collapsed="false">
      <c r="A3538" s="41"/>
      <c r="G3538" s="38" t="n">
        <f aca="false">MONTH(A3538)</f>
        <v>12</v>
      </c>
      <c r="H3538" s="38" t="n">
        <f aca="false">YEAR(Tabela1[[#This Row],[FECHA]])</f>
        <v>1900</v>
      </c>
      <c r="I35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39" customFormat="false" ht="15" hidden="false" customHeight="false" outlineLevel="0" collapsed="false">
      <c r="A3539" s="41"/>
      <c r="G3539" s="38" t="n">
        <f aca="false">MONTH(A3539)</f>
        <v>12</v>
      </c>
      <c r="H3539" s="38" t="n">
        <f aca="false">YEAR(Tabela1[[#This Row],[FECHA]])</f>
        <v>1900</v>
      </c>
      <c r="I35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40" customFormat="false" ht="15" hidden="false" customHeight="false" outlineLevel="0" collapsed="false">
      <c r="A3540" s="41"/>
      <c r="G3540" s="38" t="n">
        <f aca="false">MONTH(A3540)</f>
        <v>12</v>
      </c>
      <c r="H3540" s="38" t="n">
        <f aca="false">YEAR(Tabela1[[#This Row],[FECHA]])</f>
        <v>1900</v>
      </c>
      <c r="I35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41" customFormat="false" ht="15" hidden="false" customHeight="false" outlineLevel="0" collapsed="false">
      <c r="A3541" s="41"/>
      <c r="G3541" s="38" t="n">
        <f aca="false">MONTH(A3541)</f>
        <v>12</v>
      </c>
      <c r="H3541" s="38" t="n">
        <f aca="false">YEAR(Tabela1[[#This Row],[FECHA]])</f>
        <v>1900</v>
      </c>
      <c r="I35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42" customFormat="false" ht="15" hidden="false" customHeight="false" outlineLevel="0" collapsed="false">
      <c r="A3542" s="41"/>
      <c r="G3542" s="38" t="n">
        <f aca="false">MONTH(A3542)</f>
        <v>12</v>
      </c>
      <c r="H3542" s="38" t="n">
        <f aca="false">YEAR(Tabela1[[#This Row],[FECHA]])</f>
        <v>1900</v>
      </c>
      <c r="I35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43" customFormat="false" ht="15" hidden="false" customHeight="false" outlineLevel="0" collapsed="false">
      <c r="A3543" s="41"/>
      <c r="G3543" s="38" t="n">
        <f aca="false">MONTH(A3543)</f>
        <v>12</v>
      </c>
      <c r="H3543" s="38" t="n">
        <f aca="false">YEAR(Tabela1[[#This Row],[FECHA]])</f>
        <v>1900</v>
      </c>
      <c r="I35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44" customFormat="false" ht="15" hidden="false" customHeight="false" outlineLevel="0" collapsed="false">
      <c r="A3544" s="41"/>
      <c r="G3544" s="38" t="n">
        <f aca="false">MONTH(A3544)</f>
        <v>12</v>
      </c>
      <c r="H3544" s="38" t="n">
        <f aca="false">YEAR(Tabela1[[#This Row],[FECHA]])</f>
        <v>1900</v>
      </c>
      <c r="I35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45" customFormat="false" ht="15" hidden="false" customHeight="false" outlineLevel="0" collapsed="false">
      <c r="A3545" s="41"/>
      <c r="G3545" s="38" t="n">
        <f aca="false">MONTH(A3545)</f>
        <v>12</v>
      </c>
      <c r="H3545" s="38" t="n">
        <f aca="false">YEAR(Tabela1[[#This Row],[FECHA]])</f>
        <v>1900</v>
      </c>
      <c r="I35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46" customFormat="false" ht="15" hidden="false" customHeight="false" outlineLevel="0" collapsed="false">
      <c r="A3546" s="41"/>
      <c r="G3546" s="38" t="n">
        <f aca="false">MONTH(A3546)</f>
        <v>12</v>
      </c>
      <c r="H3546" s="38" t="n">
        <f aca="false">YEAR(Tabela1[[#This Row],[FECHA]])</f>
        <v>1900</v>
      </c>
      <c r="I35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47" customFormat="false" ht="15" hidden="false" customHeight="false" outlineLevel="0" collapsed="false">
      <c r="A3547" s="41"/>
      <c r="G3547" s="38" t="n">
        <f aca="false">MONTH(A3547)</f>
        <v>12</v>
      </c>
      <c r="H3547" s="38" t="n">
        <f aca="false">YEAR(Tabela1[[#This Row],[FECHA]])</f>
        <v>1900</v>
      </c>
      <c r="I35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48" customFormat="false" ht="15" hidden="false" customHeight="false" outlineLevel="0" collapsed="false">
      <c r="A3548" s="41"/>
      <c r="G3548" s="38" t="n">
        <f aca="false">MONTH(A3548)</f>
        <v>12</v>
      </c>
      <c r="H3548" s="38" t="n">
        <f aca="false">YEAR(Tabela1[[#This Row],[FECHA]])</f>
        <v>1900</v>
      </c>
      <c r="I35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49" customFormat="false" ht="15" hidden="false" customHeight="false" outlineLevel="0" collapsed="false">
      <c r="A3549" s="41"/>
      <c r="G3549" s="38" t="n">
        <f aca="false">MONTH(A3549)</f>
        <v>12</v>
      </c>
      <c r="H3549" s="38" t="n">
        <f aca="false">YEAR(Tabela1[[#This Row],[FECHA]])</f>
        <v>1900</v>
      </c>
      <c r="I35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50" customFormat="false" ht="15" hidden="false" customHeight="false" outlineLevel="0" collapsed="false">
      <c r="A3550" s="41"/>
      <c r="G3550" s="38" t="n">
        <f aca="false">MONTH(A3550)</f>
        <v>12</v>
      </c>
      <c r="H3550" s="38" t="n">
        <f aca="false">YEAR(Tabela1[[#This Row],[FECHA]])</f>
        <v>1900</v>
      </c>
      <c r="I35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51" customFormat="false" ht="15" hidden="false" customHeight="false" outlineLevel="0" collapsed="false">
      <c r="A3551" s="41"/>
      <c r="G3551" s="38" t="n">
        <f aca="false">MONTH(A3551)</f>
        <v>12</v>
      </c>
      <c r="H3551" s="38" t="n">
        <f aca="false">YEAR(Tabela1[[#This Row],[FECHA]])</f>
        <v>1900</v>
      </c>
      <c r="I35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52" customFormat="false" ht="15" hidden="false" customHeight="false" outlineLevel="0" collapsed="false">
      <c r="A3552" s="41"/>
      <c r="G3552" s="38" t="n">
        <f aca="false">MONTH(A3552)</f>
        <v>12</v>
      </c>
      <c r="H3552" s="38" t="n">
        <f aca="false">YEAR(Tabela1[[#This Row],[FECHA]])</f>
        <v>1900</v>
      </c>
      <c r="I35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53" customFormat="false" ht="15" hidden="false" customHeight="false" outlineLevel="0" collapsed="false">
      <c r="A3553" s="41"/>
      <c r="G3553" s="38" t="n">
        <f aca="false">MONTH(A3553)</f>
        <v>12</v>
      </c>
      <c r="H3553" s="38" t="n">
        <f aca="false">YEAR(Tabela1[[#This Row],[FECHA]])</f>
        <v>1900</v>
      </c>
      <c r="I35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54" customFormat="false" ht="15" hidden="false" customHeight="false" outlineLevel="0" collapsed="false">
      <c r="A3554" s="41"/>
      <c r="G3554" s="38" t="n">
        <f aca="false">MONTH(A3554)</f>
        <v>12</v>
      </c>
      <c r="H3554" s="38" t="n">
        <f aca="false">YEAR(Tabela1[[#This Row],[FECHA]])</f>
        <v>1900</v>
      </c>
      <c r="I35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55" customFormat="false" ht="15" hidden="false" customHeight="false" outlineLevel="0" collapsed="false">
      <c r="A3555" s="41"/>
      <c r="G3555" s="38" t="n">
        <f aca="false">MONTH(A3555)</f>
        <v>12</v>
      </c>
      <c r="H3555" s="38" t="n">
        <f aca="false">YEAR(Tabela1[[#This Row],[FECHA]])</f>
        <v>1900</v>
      </c>
      <c r="I35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56" customFormat="false" ht="15" hidden="false" customHeight="false" outlineLevel="0" collapsed="false">
      <c r="A3556" s="41"/>
      <c r="G3556" s="38" t="n">
        <f aca="false">MONTH(A3556)</f>
        <v>12</v>
      </c>
      <c r="H3556" s="38" t="n">
        <f aca="false">YEAR(Tabela1[[#This Row],[FECHA]])</f>
        <v>1900</v>
      </c>
      <c r="I35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57" customFormat="false" ht="15" hidden="false" customHeight="false" outlineLevel="0" collapsed="false">
      <c r="A3557" s="41"/>
      <c r="G3557" s="38" t="n">
        <f aca="false">MONTH(A3557)</f>
        <v>12</v>
      </c>
      <c r="H3557" s="38" t="n">
        <f aca="false">YEAR(Tabela1[[#This Row],[FECHA]])</f>
        <v>1900</v>
      </c>
      <c r="I35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58" customFormat="false" ht="15" hidden="false" customHeight="false" outlineLevel="0" collapsed="false">
      <c r="A3558" s="41"/>
      <c r="G3558" s="38" t="n">
        <f aca="false">MONTH(A3558)</f>
        <v>12</v>
      </c>
      <c r="H3558" s="38" t="n">
        <f aca="false">YEAR(Tabela1[[#This Row],[FECHA]])</f>
        <v>1900</v>
      </c>
      <c r="I35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59" customFormat="false" ht="15" hidden="false" customHeight="false" outlineLevel="0" collapsed="false">
      <c r="A3559" s="41"/>
      <c r="G3559" s="38" t="n">
        <f aca="false">MONTH(A3559)</f>
        <v>12</v>
      </c>
      <c r="H3559" s="38" t="n">
        <f aca="false">YEAR(Tabela1[[#This Row],[FECHA]])</f>
        <v>1900</v>
      </c>
      <c r="I35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60" customFormat="false" ht="15" hidden="false" customHeight="false" outlineLevel="0" collapsed="false">
      <c r="A3560" s="41"/>
      <c r="G3560" s="38" t="n">
        <f aca="false">MONTH(A3560)</f>
        <v>12</v>
      </c>
      <c r="H3560" s="38" t="n">
        <f aca="false">YEAR(Tabela1[[#This Row],[FECHA]])</f>
        <v>1900</v>
      </c>
      <c r="I35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61" customFormat="false" ht="15" hidden="false" customHeight="false" outlineLevel="0" collapsed="false">
      <c r="A3561" s="41"/>
      <c r="G3561" s="38" t="n">
        <f aca="false">MONTH(A3561)</f>
        <v>12</v>
      </c>
      <c r="H3561" s="38" t="n">
        <f aca="false">YEAR(Tabela1[[#This Row],[FECHA]])</f>
        <v>1900</v>
      </c>
      <c r="I35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62" customFormat="false" ht="15" hidden="false" customHeight="false" outlineLevel="0" collapsed="false">
      <c r="A3562" s="41"/>
      <c r="G3562" s="38" t="n">
        <f aca="false">MONTH(A3562)</f>
        <v>12</v>
      </c>
      <c r="H3562" s="38" t="n">
        <f aca="false">YEAR(Tabela1[[#This Row],[FECHA]])</f>
        <v>1900</v>
      </c>
      <c r="I35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63" customFormat="false" ht="15" hidden="false" customHeight="false" outlineLevel="0" collapsed="false">
      <c r="A3563" s="41"/>
      <c r="G3563" s="38" t="n">
        <f aca="false">MONTH(A3563)</f>
        <v>12</v>
      </c>
      <c r="H3563" s="38" t="n">
        <f aca="false">YEAR(Tabela1[[#This Row],[FECHA]])</f>
        <v>1900</v>
      </c>
      <c r="I35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64" customFormat="false" ht="15" hidden="false" customHeight="false" outlineLevel="0" collapsed="false">
      <c r="A3564" s="41"/>
      <c r="G3564" s="38" t="n">
        <f aca="false">MONTH(A3564)</f>
        <v>12</v>
      </c>
      <c r="H3564" s="38" t="n">
        <f aca="false">YEAR(Tabela1[[#This Row],[FECHA]])</f>
        <v>1900</v>
      </c>
      <c r="I35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65" customFormat="false" ht="15" hidden="false" customHeight="false" outlineLevel="0" collapsed="false">
      <c r="A3565" s="41"/>
      <c r="G3565" s="38" t="n">
        <f aca="false">MONTH(A3565)</f>
        <v>12</v>
      </c>
      <c r="H3565" s="38" t="n">
        <f aca="false">YEAR(Tabela1[[#This Row],[FECHA]])</f>
        <v>1900</v>
      </c>
      <c r="I35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66" customFormat="false" ht="15" hidden="false" customHeight="false" outlineLevel="0" collapsed="false">
      <c r="A3566" s="41"/>
      <c r="G3566" s="38" t="n">
        <f aca="false">MONTH(A3566)</f>
        <v>12</v>
      </c>
      <c r="H3566" s="38" t="n">
        <f aca="false">YEAR(Tabela1[[#This Row],[FECHA]])</f>
        <v>1900</v>
      </c>
      <c r="I35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67" customFormat="false" ht="15" hidden="false" customHeight="false" outlineLevel="0" collapsed="false">
      <c r="A3567" s="41"/>
      <c r="G3567" s="38" t="n">
        <f aca="false">MONTH(A3567)</f>
        <v>12</v>
      </c>
      <c r="H3567" s="38" t="n">
        <f aca="false">YEAR(Tabela1[[#This Row],[FECHA]])</f>
        <v>1900</v>
      </c>
      <c r="I35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68" customFormat="false" ht="15" hidden="false" customHeight="false" outlineLevel="0" collapsed="false">
      <c r="A3568" s="41"/>
      <c r="G3568" s="38" t="n">
        <f aca="false">MONTH(A3568)</f>
        <v>12</v>
      </c>
      <c r="H3568" s="38" t="n">
        <f aca="false">YEAR(Tabela1[[#This Row],[FECHA]])</f>
        <v>1900</v>
      </c>
      <c r="I35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69" customFormat="false" ht="15" hidden="false" customHeight="false" outlineLevel="0" collapsed="false">
      <c r="A3569" s="41"/>
      <c r="G3569" s="38" t="n">
        <f aca="false">MONTH(A3569)</f>
        <v>12</v>
      </c>
      <c r="H3569" s="38" t="n">
        <f aca="false">YEAR(Tabela1[[#This Row],[FECHA]])</f>
        <v>1900</v>
      </c>
      <c r="I35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70" customFormat="false" ht="15" hidden="false" customHeight="false" outlineLevel="0" collapsed="false">
      <c r="A3570" s="41"/>
      <c r="G3570" s="38" t="n">
        <f aca="false">MONTH(A3570)</f>
        <v>12</v>
      </c>
      <c r="H3570" s="38" t="n">
        <f aca="false">YEAR(Tabela1[[#This Row],[FECHA]])</f>
        <v>1900</v>
      </c>
      <c r="I35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71" customFormat="false" ht="15" hidden="false" customHeight="false" outlineLevel="0" collapsed="false">
      <c r="A3571" s="41"/>
      <c r="G3571" s="38" t="n">
        <f aca="false">MONTH(A3571)</f>
        <v>12</v>
      </c>
      <c r="H3571" s="38" t="n">
        <f aca="false">YEAR(Tabela1[[#This Row],[FECHA]])</f>
        <v>1900</v>
      </c>
      <c r="I35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72" customFormat="false" ht="15" hidden="false" customHeight="false" outlineLevel="0" collapsed="false">
      <c r="A3572" s="41"/>
      <c r="G3572" s="38" t="n">
        <f aca="false">MONTH(A3572)</f>
        <v>12</v>
      </c>
      <c r="H3572" s="38" t="n">
        <f aca="false">YEAR(Tabela1[[#This Row],[FECHA]])</f>
        <v>1900</v>
      </c>
      <c r="I35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73" customFormat="false" ht="15" hidden="false" customHeight="false" outlineLevel="0" collapsed="false">
      <c r="A3573" s="41"/>
      <c r="G3573" s="38" t="n">
        <f aca="false">MONTH(A3573)</f>
        <v>12</v>
      </c>
      <c r="H3573" s="38" t="n">
        <f aca="false">YEAR(Tabela1[[#This Row],[FECHA]])</f>
        <v>1900</v>
      </c>
      <c r="I35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74" customFormat="false" ht="15" hidden="false" customHeight="false" outlineLevel="0" collapsed="false">
      <c r="A3574" s="41"/>
      <c r="G3574" s="38" t="n">
        <f aca="false">MONTH(A3574)</f>
        <v>12</v>
      </c>
      <c r="H3574" s="38" t="n">
        <f aca="false">YEAR(Tabela1[[#This Row],[FECHA]])</f>
        <v>1900</v>
      </c>
      <c r="I35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75" customFormat="false" ht="15" hidden="false" customHeight="false" outlineLevel="0" collapsed="false">
      <c r="A3575" s="41"/>
      <c r="G3575" s="38" t="n">
        <f aca="false">MONTH(A3575)</f>
        <v>12</v>
      </c>
      <c r="H3575" s="38" t="n">
        <f aca="false">YEAR(Tabela1[[#This Row],[FECHA]])</f>
        <v>1900</v>
      </c>
      <c r="I35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76" customFormat="false" ht="15" hidden="false" customHeight="false" outlineLevel="0" collapsed="false">
      <c r="A3576" s="41"/>
      <c r="G3576" s="38" t="n">
        <f aca="false">MONTH(A3576)</f>
        <v>12</v>
      </c>
      <c r="H3576" s="38" t="n">
        <f aca="false">YEAR(Tabela1[[#This Row],[FECHA]])</f>
        <v>1900</v>
      </c>
      <c r="I35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77" customFormat="false" ht="15" hidden="false" customHeight="false" outlineLevel="0" collapsed="false">
      <c r="A3577" s="41"/>
      <c r="G3577" s="38" t="n">
        <f aca="false">MONTH(A3577)</f>
        <v>12</v>
      </c>
      <c r="H3577" s="38" t="n">
        <f aca="false">YEAR(Tabela1[[#This Row],[FECHA]])</f>
        <v>1900</v>
      </c>
      <c r="I35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78" customFormat="false" ht="15" hidden="false" customHeight="false" outlineLevel="0" collapsed="false">
      <c r="A3578" s="41"/>
      <c r="G3578" s="38" t="n">
        <f aca="false">MONTH(A3578)</f>
        <v>12</v>
      </c>
      <c r="H3578" s="38" t="n">
        <f aca="false">YEAR(Tabela1[[#This Row],[FECHA]])</f>
        <v>1900</v>
      </c>
      <c r="I35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79" customFormat="false" ht="15" hidden="false" customHeight="false" outlineLevel="0" collapsed="false">
      <c r="A3579" s="41"/>
      <c r="G3579" s="38" t="n">
        <f aca="false">MONTH(A3579)</f>
        <v>12</v>
      </c>
      <c r="H3579" s="38" t="n">
        <f aca="false">YEAR(Tabela1[[#This Row],[FECHA]])</f>
        <v>1900</v>
      </c>
      <c r="I35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80" customFormat="false" ht="15" hidden="false" customHeight="false" outlineLevel="0" collapsed="false">
      <c r="A3580" s="41"/>
      <c r="G3580" s="38" t="n">
        <f aca="false">MONTH(A3580)</f>
        <v>12</v>
      </c>
      <c r="H3580" s="38" t="n">
        <f aca="false">YEAR(Tabela1[[#This Row],[FECHA]])</f>
        <v>1900</v>
      </c>
      <c r="I35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81" customFormat="false" ht="15" hidden="false" customHeight="false" outlineLevel="0" collapsed="false">
      <c r="A3581" s="41"/>
      <c r="G3581" s="38" t="n">
        <f aca="false">MONTH(A3581)</f>
        <v>12</v>
      </c>
      <c r="H3581" s="38" t="n">
        <f aca="false">YEAR(Tabela1[[#This Row],[FECHA]])</f>
        <v>1900</v>
      </c>
      <c r="I35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82" customFormat="false" ht="15" hidden="false" customHeight="false" outlineLevel="0" collapsed="false">
      <c r="A3582" s="41"/>
      <c r="G3582" s="38" t="n">
        <f aca="false">MONTH(A3582)</f>
        <v>12</v>
      </c>
      <c r="H3582" s="38" t="n">
        <f aca="false">YEAR(Tabela1[[#This Row],[FECHA]])</f>
        <v>1900</v>
      </c>
      <c r="I35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83" customFormat="false" ht="15" hidden="false" customHeight="false" outlineLevel="0" collapsed="false">
      <c r="A3583" s="41"/>
      <c r="G3583" s="38" t="n">
        <f aca="false">MONTH(A3583)</f>
        <v>12</v>
      </c>
      <c r="H3583" s="38" t="n">
        <f aca="false">YEAR(Tabela1[[#This Row],[FECHA]])</f>
        <v>1900</v>
      </c>
      <c r="I35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84" customFormat="false" ht="15" hidden="false" customHeight="false" outlineLevel="0" collapsed="false">
      <c r="A3584" s="41"/>
      <c r="G3584" s="38" t="n">
        <f aca="false">MONTH(A3584)</f>
        <v>12</v>
      </c>
      <c r="H3584" s="38" t="n">
        <f aca="false">YEAR(Tabela1[[#This Row],[FECHA]])</f>
        <v>1900</v>
      </c>
      <c r="I35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85" customFormat="false" ht="15" hidden="false" customHeight="false" outlineLevel="0" collapsed="false">
      <c r="A3585" s="41"/>
      <c r="G3585" s="38" t="n">
        <f aca="false">MONTH(A3585)</f>
        <v>12</v>
      </c>
      <c r="H3585" s="38" t="n">
        <f aca="false">YEAR(Tabela1[[#This Row],[FECHA]])</f>
        <v>1900</v>
      </c>
      <c r="I35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86" customFormat="false" ht="15" hidden="false" customHeight="false" outlineLevel="0" collapsed="false">
      <c r="A3586" s="41"/>
      <c r="G3586" s="38" t="n">
        <f aca="false">MONTH(A3586)</f>
        <v>12</v>
      </c>
      <c r="H3586" s="38" t="n">
        <f aca="false">YEAR(Tabela1[[#This Row],[FECHA]])</f>
        <v>1900</v>
      </c>
      <c r="I35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87" customFormat="false" ht="15" hidden="false" customHeight="false" outlineLevel="0" collapsed="false">
      <c r="A3587" s="41"/>
      <c r="G3587" s="38" t="n">
        <f aca="false">MONTH(A3587)</f>
        <v>12</v>
      </c>
      <c r="H3587" s="38" t="n">
        <f aca="false">YEAR(Tabela1[[#This Row],[FECHA]])</f>
        <v>1900</v>
      </c>
      <c r="I35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88" customFormat="false" ht="15" hidden="false" customHeight="false" outlineLevel="0" collapsed="false">
      <c r="A3588" s="41"/>
      <c r="G3588" s="38" t="n">
        <f aca="false">MONTH(A3588)</f>
        <v>12</v>
      </c>
      <c r="H3588" s="38" t="n">
        <f aca="false">YEAR(Tabela1[[#This Row],[FECHA]])</f>
        <v>1900</v>
      </c>
      <c r="I35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89" customFormat="false" ht="15" hidden="false" customHeight="false" outlineLevel="0" collapsed="false">
      <c r="A3589" s="41"/>
      <c r="G3589" s="38" t="n">
        <f aca="false">MONTH(A3589)</f>
        <v>12</v>
      </c>
      <c r="H3589" s="38" t="n">
        <f aca="false">YEAR(Tabela1[[#This Row],[FECHA]])</f>
        <v>1900</v>
      </c>
      <c r="I35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90" customFormat="false" ht="15" hidden="false" customHeight="false" outlineLevel="0" collapsed="false">
      <c r="A3590" s="41"/>
      <c r="G3590" s="38" t="n">
        <f aca="false">MONTH(A3590)</f>
        <v>12</v>
      </c>
      <c r="H3590" s="38" t="n">
        <f aca="false">YEAR(Tabela1[[#This Row],[FECHA]])</f>
        <v>1900</v>
      </c>
      <c r="I35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91" customFormat="false" ht="15" hidden="false" customHeight="false" outlineLevel="0" collapsed="false">
      <c r="A3591" s="41"/>
      <c r="G3591" s="38" t="n">
        <f aca="false">MONTH(A3591)</f>
        <v>12</v>
      </c>
      <c r="H3591" s="38" t="n">
        <f aca="false">YEAR(Tabela1[[#This Row],[FECHA]])</f>
        <v>1900</v>
      </c>
      <c r="I35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92" customFormat="false" ht="15" hidden="false" customHeight="false" outlineLevel="0" collapsed="false">
      <c r="A3592" s="41"/>
      <c r="G3592" s="38" t="n">
        <f aca="false">MONTH(A3592)</f>
        <v>12</v>
      </c>
      <c r="H3592" s="38" t="n">
        <f aca="false">YEAR(Tabela1[[#This Row],[FECHA]])</f>
        <v>1900</v>
      </c>
      <c r="I35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93" customFormat="false" ht="15" hidden="false" customHeight="false" outlineLevel="0" collapsed="false">
      <c r="A3593" s="41"/>
      <c r="G3593" s="38" t="n">
        <f aca="false">MONTH(A3593)</f>
        <v>12</v>
      </c>
      <c r="H3593" s="38" t="n">
        <f aca="false">YEAR(Tabela1[[#This Row],[FECHA]])</f>
        <v>1900</v>
      </c>
      <c r="I35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94" customFormat="false" ht="15" hidden="false" customHeight="false" outlineLevel="0" collapsed="false">
      <c r="A3594" s="41"/>
      <c r="G3594" s="38" t="n">
        <f aca="false">MONTH(A3594)</f>
        <v>12</v>
      </c>
      <c r="H3594" s="38" t="n">
        <f aca="false">YEAR(Tabela1[[#This Row],[FECHA]])</f>
        <v>1900</v>
      </c>
      <c r="I35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95" customFormat="false" ht="15" hidden="false" customHeight="false" outlineLevel="0" collapsed="false">
      <c r="A3595" s="41"/>
      <c r="G3595" s="38" t="n">
        <f aca="false">MONTH(A3595)</f>
        <v>12</v>
      </c>
      <c r="H3595" s="38" t="n">
        <f aca="false">YEAR(Tabela1[[#This Row],[FECHA]])</f>
        <v>1900</v>
      </c>
      <c r="I35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96" customFormat="false" ht="15" hidden="false" customHeight="false" outlineLevel="0" collapsed="false">
      <c r="A3596" s="41"/>
      <c r="G3596" s="38" t="n">
        <f aca="false">MONTH(A3596)</f>
        <v>12</v>
      </c>
      <c r="H3596" s="38" t="n">
        <f aca="false">YEAR(Tabela1[[#This Row],[FECHA]])</f>
        <v>1900</v>
      </c>
      <c r="I35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97" customFormat="false" ht="15" hidden="false" customHeight="false" outlineLevel="0" collapsed="false">
      <c r="A3597" s="41"/>
      <c r="G3597" s="38" t="n">
        <f aca="false">MONTH(A3597)</f>
        <v>12</v>
      </c>
      <c r="H3597" s="38" t="n">
        <f aca="false">YEAR(Tabela1[[#This Row],[FECHA]])</f>
        <v>1900</v>
      </c>
      <c r="I35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98" customFormat="false" ht="15" hidden="false" customHeight="false" outlineLevel="0" collapsed="false">
      <c r="A3598" s="41"/>
      <c r="G3598" s="38" t="n">
        <f aca="false">MONTH(A3598)</f>
        <v>12</v>
      </c>
      <c r="H3598" s="38" t="n">
        <f aca="false">YEAR(Tabela1[[#This Row],[FECHA]])</f>
        <v>1900</v>
      </c>
      <c r="I35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599" customFormat="false" ht="15" hidden="false" customHeight="false" outlineLevel="0" collapsed="false">
      <c r="A3599" s="41"/>
      <c r="G3599" s="38" t="n">
        <f aca="false">MONTH(A3599)</f>
        <v>12</v>
      </c>
      <c r="H3599" s="38" t="n">
        <f aca="false">YEAR(Tabela1[[#This Row],[FECHA]])</f>
        <v>1900</v>
      </c>
      <c r="I35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00" customFormat="false" ht="15" hidden="false" customHeight="false" outlineLevel="0" collapsed="false">
      <c r="A3600" s="41"/>
      <c r="G3600" s="38" t="n">
        <f aca="false">MONTH(A3600)</f>
        <v>12</v>
      </c>
      <c r="H3600" s="38" t="n">
        <f aca="false">YEAR(Tabela1[[#This Row],[FECHA]])</f>
        <v>1900</v>
      </c>
      <c r="I36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01" customFormat="false" ht="15" hidden="false" customHeight="false" outlineLevel="0" collapsed="false">
      <c r="A3601" s="41"/>
      <c r="G3601" s="38" t="n">
        <f aca="false">MONTH(A3601)</f>
        <v>12</v>
      </c>
      <c r="H3601" s="38" t="n">
        <f aca="false">YEAR(Tabela1[[#This Row],[FECHA]])</f>
        <v>1900</v>
      </c>
      <c r="I36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02" customFormat="false" ht="15" hidden="false" customHeight="false" outlineLevel="0" collapsed="false">
      <c r="A3602" s="41"/>
      <c r="G3602" s="38" t="n">
        <f aca="false">MONTH(A3602)</f>
        <v>12</v>
      </c>
      <c r="H3602" s="38" t="n">
        <f aca="false">YEAR(Tabela1[[#This Row],[FECHA]])</f>
        <v>1900</v>
      </c>
      <c r="I36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03" customFormat="false" ht="15" hidden="false" customHeight="false" outlineLevel="0" collapsed="false">
      <c r="A3603" s="41"/>
      <c r="G3603" s="38" t="n">
        <f aca="false">MONTH(A3603)</f>
        <v>12</v>
      </c>
      <c r="H3603" s="38" t="n">
        <f aca="false">YEAR(Tabela1[[#This Row],[FECHA]])</f>
        <v>1900</v>
      </c>
      <c r="I36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04" customFormat="false" ht="15" hidden="false" customHeight="false" outlineLevel="0" collapsed="false">
      <c r="A3604" s="41"/>
      <c r="G3604" s="38" t="n">
        <f aca="false">MONTH(A3604)</f>
        <v>12</v>
      </c>
      <c r="H3604" s="38" t="n">
        <f aca="false">YEAR(Tabela1[[#This Row],[FECHA]])</f>
        <v>1900</v>
      </c>
      <c r="I36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05" customFormat="false" ht="15" hidden="false" customHeight="false" outlineLevel="0" collapsed="false">
      <c r="A3605" s="41"/>
      <c r="G3605" s="38" t="n">
        <f aca="false">MONTH(A3605)</f>
        <v>12</v>
      </c>
      <c r="H3605" s="38" t="n">
        <f aca="false">YEAR(Tabela1[[#This Row],[FECHA]])</f>
        <v>1900</v>
      </c>
      <c r="I36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06" customFormat="false" ht="15" hidden="false" customHeight="false" outlineLevel="0" collapsed="false">
      <c r="A3606" s="41"/>
      <c r="G3606" s="38" t="n">
        <f aca="false">MONTH(A3606)</f>
        <v>12</v>
      </c>
      <c r="H3606" s="38" t="n">
        <f aca="false">YEAR(Tabela1[[#This Row],[FECHA]])</f>
        <v>1900</v>
      </c>
      <c r="I36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07" customFormat="false" ht="15" hidden="false" customHeight="false" outlineLevel="0" collapsed="false">
      <c r="A3607" s="41"/>
      <c r="G3607" s="38" t="n">
        <f aca="false">MONTH(A3607)</f>
        <v>12</v>
      </c>
      <c r="H3607" s="38" t="n">
        <f aca="false">YEAR(Tabela1[[#This Row],[FECHA]])</f>
        <v>1900</v>
      </c>
      <c r="I36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08" customFormat="false" ht="15" hidden="false" customHeight="false" outlineLevel="0" collapsed="false">
      <c r="A3608" s="41"/>
      <c r="G3608" s="38" t="n">
        <f aca="false">MONTH(A3608)</f>
        <v>12</v>
      </c>
      <c r="H3608" s="38" t="n">
        <f aca="false">YEAR(Tabela1[[#This Row],[FECHA]])</f>
        <v>1900</v>
      </c>
      <c r="I36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09" customFormat="false" ht="15" hidden="false" customHeight="false" outlineLevel="0" collapsed="false">
      <c r="A3609" s="41"/>
      <c r="G3609" s="38" t="n">
        <f aca="false">MONTH(A3609)</f>
        <v>12</v>
      </c>
      <c r="H3609" s="38" t="n">
        <f aca="false">YEAR(Tabela1[[#This Row],[FECHA]])</f>
        <v>1900</v>
      </c>
      <c r="I36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10" customFormat="false" ht="15" hidden="false" customHeight="false" outlineLevel="0" collapsed="false">
      <c r="A3610" s="41"/>
      <c r="G3610" s="38" t="n">
        <f aca="false">MONTH(A3610)</f>
        <v>12</v>
      </c>
      <c r="H3610" s="38" t="n">
        <f aca="false">YEAR(Tabela1[[#This Row],[FECHA]])</f>
        <v>1900</v>
      </c>
      <c r="I36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11" customFormat="false" ht="15" hidden="false" customHeight="false" outlineLevel="0" collapsed="false">
      <c r="A3611" s="41"/>
      <c r="G3611" s="38" t="n">
        <f aca="false">MONTH(A3611)</f>
        <v>12</v>
      </c>
      <c r="H3611" s="38" t="n">
        <f aca="false">YEAR(Tabela1[[#This Row],[FECHA]])</f>
        <v>1900</v>
      </c>
      <c r="I36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12" customFormat="false" ht="15" hidden="false" customHeight="false" outlineLevel="0" collapsed="false">
      <c r="A3612" s="41"/>
      <c r="G3612" s="38" t="n">
        <f aca="false">MONTH(A3612)</f>
        <v>12</v>
      </c>
      <c r="H3612" s="38" t="n">
        <f aca="false">YEAR(Tabela1[[#This Row],[FECHA]])</f>
        <v>1900</v>
      </c>
      <c r="I36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13" customFormat="false" ht="15" hidden="false" customHeight="false" outlineLevel="0" collapsed="false">
      <c r="A3613" s="41"/>
      <c r="G3613" s="38" t="n">
        <f aca="false">MONTH(A3613)</f>
        <v>12</v>
      </c>
      <c r="H3613" s="38" t="n">
        <f aca="false">YEAR(Tabela1[[#This Row],[FECHA]])</f>
        <v>1900</v>
      </c>
      <c r="I36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14" customFormat="false" ht="15" hidden="false" customHeight="false" outlineLevel="0" collapsed="false">
      <c r="A3614" s="41"/>
      <c r="G3614" s="38" t="n">
        <f aca="false">MONTH(A3614)</f>
        <v>12</v>
      </c>
      <c r="H3614" s="38" t="n">
        <f aca="false">YEAR(Tabela1[[#This Row],[FECHA]])</f>
        <v>1900</v>
      </c>
      <c r="I36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15" customFormat="false" ht="15" hidden="false" customHeight="false" outlineLevel="0" collapsed="false">
      <c r="A3615" s="41"/>
      <c r="G3615" s="38" t="n">
        <f aca="false">MONTH(A3615)</f>
        <v>12</v>
      </c>
      <c r="H3615" s="38" t="n">
        <f aca="false">YEAR(Tabela1[[#This Row],[FECHA]])</f>
        <v>1900</v>
      </c>
      <c r="I36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16" customFormat="false" ht="15" hidden="false" customHeight="false" outlineLevel="0" collapsed="false">
      <c r="A3616" s="41"/>
      <c r="G3616" s="38" t="n">
        <f aca="false">MONTH(A3616)</f>
        <v>12</v>
      </c>
      <c r="H3616" s="38" t="n">
        <f aca="false">YEAR(Tabela1[[#This Row],[FECHA]])</f>
        <v>1900</v>
      </c>
      <c r="I36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17" customFormat="false" ht="15" hidden="false" customHeight="false" outlineLevel="0" collapsed="false">
      <c r="A3617" s="41"/>
      <c r="G3617" s="38" t="n">
        <f aca="false">MONTH(A3617)</f>
        <v>12</v>
      </c>
      <c r="H3617" s="38" t="n">
        <f aca="false">YEAR(Tabela1[[#This Row],[FECHA]])</f>
        <v>1900</v>
      </c>
      <c r="I36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18" customFormat="false" ht="15" hidden="false" customHeight="false" outlineLevel="0" collapsed="false">
      <c r="A3618" s="41"/>
      <c r="G3618" s="38" t="n">
        <f aca="false">MONTH(A3618)</f>
        <v>12</v>
      </c>
      <c r="H3618" s="38" t="n">
        <f aca="false">YEAR(Tabela1[[#This Row],[FECHA]])</f>
        <v>1900</v>
      </c>
      <c r="I36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19" customFormat="false" ht="15" hidden="false" customHeight="false" outlineLevel="0" collapsed="false">
      <c r="A3619" s="41"/>
      <c r="G3619" s="38" t="n">
        <f aca="false">MONTH(A3619)</f>
        <v>12</v>
      </c>
      <c r="H3619" s="38" t="n">
        <f aca="false">YEAR(Tabela1[[#This Row],[FECHA]])</f>
        <v>1900</v>
      </c>
      <c r="I36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20" customFormat="false" ht="15" hidden="false" customHeight="false" outlineLevel="0" collapsed="false">
      <c r="A3620" s="41"/>
      <c r="G3620" s="38" t="n">
        <f aca="false">MONTH(A3620)</f>
        <v>12</v>
      </c>
      <c r="H3620" s="38" t="n">
        <f aca="false">YEAR(Tabela1[[#This Row],[FECHA]])</f>
        <v>1900</v>
      </c>
      <c r="I36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21" customFormat="false" ht="15" hidden="false" customHeight="false" outlineLevel="0" collapsed="false">
      <c r="A3621" s="41"/>
      <c r="G3621" s="38" t="n">
        <f aca="false">MONTH(A3621)</f>
        <v>12</v>
      </c>
      <c r="H3621" s="38" t="n">
        <f aca="false">YEAR(Tabela1[[#This Row],[FECHA]])</f>
        <v>1900</v>
      </c>
      <c r="I36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22" customFormat="false" ht="15" hidden="false" customHeight="false" outlineLevel="0" collapsed="false">
      <c r="A3622" s="41"/>
      <c r="G3622" s="38" t="n">
        <f aca="false">MONTH(A3622)</f>
        <v>12</v>
      </c>
      <c r="H3622" s="38" t="n">
        <f aca="false">YEAR(Tabela1[[#This Row],[FECHA]])</f>
        <v>1900</v>
      </c>
      <c r="I36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23" customFormat="false" ht="15" hidden="false" customHeight="false" outlineLevel="0" collapsed="false">
      <c r="A3623" s="41"/>
      <c r="G3623" s="38" t="n">
        <f aca="false">MONTH(A3623)</f>
        <v>12</v>
      </c>
      <c r="H3623" s="38" t="n">
        <f aca="false">YEAR(Tabela1[[#This Row],[FECHA]])</f>
        <v>1900</v>
      </c>
      <c r="I36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24" customFormat="false" ht="15" hidden="false" customHeight="false" outlineLevel="0" collapsed="false">
      <c r="A3624" s="41"/>
      <c r="G3624" s="38" t="n">
        <f aca="false">MONTH(A3624)</f>
        <v>12</v>
      </c>
      <c r="H3624" s="38" t="n">
        <f aca="false">YEAR(Tabela1[[#This Row],[FECHA]])</f>
        <v>1900</v>
      </c>
      <c r="I36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25" customFormat="false" ht="15" hidden="false" customHeight="false" outlineLevel="0" collapsed="false">
      <c r="A3625" s="41"/>
      <c r="G3625" s="38" t="n">
        <f aca="false">MONTH(A3625)</f>
        <v>12</v>
      </c>
      <c r="H3625" s="38" t="n">
        <f aca="false">YEAR(Tabela1[[#This Row],[FECHA]])</f>
        <v>1900</v>
      </c>
      <c r="I36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26" customFormat="false" ht="15" hidden="false" customHeight="false" outlineLevel="0" collapsed="false">
      <c r="A3626" s="41"/>
      <c r="G3626" s="38" t="n">
        <f aca="false">MONTH(A3626)</f>
        <v>12</v>
      </c>
      <c r="H3626" s="38" t="n">
        <f aca="false">YEAR(Tabela1[[#This Row],[FECHA]])</f>
        <v>1900</v>
      </c>
      <c r="I36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27" customFormat="false" ht="15" hidden="false" customHeight="false" outlineLevel="0" collapsed="false">
      <c r="A3627" s="41"/>
      <c r="G3627" s="38" t="n">
        <f aca="false">MONTH(A3627)</f>
        <v>12</v>
      </c>
      <c r="H3627" s="38" t="n">
        <f aca="false">YEAR(Tabela1[[#This Row],[FECHA]])</f>
        <v>1900</v>
      </c>
      <c r="I36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28" customFormat="false" ht="15" hidden="false" customHeight="false" outlineLevel="0" collapsed="false">
      <c r="A3628" s="41"/>
      <c r="G3628" s="38" t="n">
        <f aca="false">MONTH(A3628)</f>
        <v>12</v>
      </c>
      <c r="H3628" s="38" t="n">
        <f aca="false">YEAR(Tabela1[[#This Row],[FECHA]])</f>
        <v>1900</v>
      </c>
      <c r="I36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29" customFormat="false" ht="15" hidden="false" customHeight="false" outlineLevel="0" collapsed="false">
      <c r="A3629" s="41"/>
      <c r="G3629" s="38" t="n">
        <f aca="false">MONTH(A3629)</f>
        <v>12</v>
      </c>
      <c r="H3629" s="38" t="n">
        <f aca="false">YEAR(Tabela1[[#This Row],[FECHA]])</f>
        <v>1900</v>
      </c>
      <c r="I36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30" customFormat="false" ht="15" hidden="false" customHeight="false" outlineLevel="0" collapsed="false">
      <c r="A3630" s="41"/>
      <c r="G3630" s="38" t="n">
        <f aca="false">MONTH(A3630)</f>
        <v>12</v>
      </c>
      <c r="H3630" s="38" t="n">
        <f aca="false">YEAR(Tabela1[[#This Row],[FECHA]])</f>
        <v>1900</v>
      </c>
      <c r="I36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31" customFormat="false" ht="15" hidden="false" customHeight="false" outlineLevel="0" collapsed="false">
      <c r="A3631" s="41"/>
      <c r="G3631" s="38" t="n">
        <f aca="false">MONTH(A3631)</f>
        <v>12</v>
      </c>
      <c r="H3631" s="38" t="n">
        <f aca="false">YEAR(Tabela1[[#This Row],[FECHA]])</f>
        <v>1900</v>
      </c>
      <c r="I36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32" customFormat="false" ht="15" hidden="false" customHeight="false" outlineLevel="0" collapsed="false">
      <c r="A3632" s="41"/>
      <c r="G3632" s="38" t="n">
        <f aca="false">MONTH(A3632)</f>
        <v>12</v>
      </c>
      <c r="H3632" s="38" t="n">
        <f aca="false">YEAR(Tabela1[[#This Row],[FECHA]])</f>
        <v>1900</v>
      </c>
      <c r="I36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33" customFormat="false" ht="15" hidden="false" customHeight="false" outlineLevel="0" collapsed="false">
      <c r="A3633" s="41"/>
      <c r="G3633" s="38" t="n">
        <f aca="false">MONTH(A3633)</f>
        <v>12</v>
      </c>
      <c r="H3633" s="38" t="n">
        <f aca="false">YEAR(Tabela1[[#This Row],[FECHA]])</f>
        <v>1900</v>
      </c>
      <c r="I36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34" customFormat="false" ht="15" hidden="false" customHeight="false" outlineLevel="0" collapsed="false">
      <c r="A3634" s="41"/>
      <c r="G3634" s="38" t="n">
        <f aca="false">MONTH(A3634)</f>
        <v>12</v>
      </c>
      <c r="H3634" s="38" t="n">
        <f aca="false">YEAR(Tabela1[[#This Row],[FECHA]])</f>
        <v>1900</v>
      </c>
      <c r="I36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35" customFormat="false" ht="15" hidden="false" customHeight="false" outlineLevel="0" collapsed="false">
      <c r="A3635" s="41"/>
      <c r="G3635" s="38" t="n">
        <f aca="false">MONTH(A3635)</f>
        <v>12</v>
      </c>
      <c r="H3635" s="38" t="n">
        <f aca="false">YEAR(Tabela1[[#This Row],[FECHA]])</f>
        <v>1900</v>
      </c>
      <c r="I36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36" customFormat="false" ht="15" hidden="false" customHeight="false" outlineLevel="0" collapsed="false">
      <c r="A3636" s="41"/>
      <c r="G3636" s="38" t="n">
        <f aca="false">MONTH(A3636)</f>
        <v>12</v>
      </c>
      <c r="H3636" s="38" t="n">
        <f aca="false">YEAR(Tabela1[[#This Row],[FECHA]])</f>
        <v>1900</v>
      </c>
      <c r="I36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37" customFormat="false" ht="15" hidden="false" customHeight="false" outlineLevel="0" collapsed="false">
      <c r="A3637" s="41"/>
      <c r="G3637" s="38" t="n">
        <f aca="false">MONTH(A3637)</f>
        <v>12</v>
      </c>
      <c r="H3637" s="38" t="n">
        <f aca="false">YEAR(Tabela1[[#This Row],[FECHA]])</f>
        <v>1900</v>
      </c>
      <c r="I36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38" customFormat="false" ht="15" hidden="false" customHeight="false" outlineLevel="0" collapsed="false">
      <c r="A3638" s="41"/>
      <c r="G3638" s="38" t="n">
        <f aca="false">MONTH(A3638)</f>
        <v>12</v>
      </c>
      <c r="H3638" s="38" t="n">
        <f aca="false">YEAR(Tabela1[[#This Row],[FECHA]])</f>
        <v>1900</v>
      </c>
      <c r="I36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39" customFormat="false" ht="15" hidden="false" customHeight="false" outlineLevel="0" collapsed="false">
      <c r="A3639" s="41"/>
      <c r="G3639" s="38" t="n">
        <f aca="false">MONTH(A3639)</f>
        <v>12</v>
      </c>
      <c r="H3639" s="38" t="n">
        <f aca="false">YEAR(Tabela1[[#This Row],[FECHA]])</f>
        <v>1900</v>
      </c>
      <c r="I36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40" customFormat="false" ht="15" hidden="false" customHeight="false" outlineLevel="0" collapsed="false">
      <c r="A3640" s="41"/>
      <c r="G3640" s="38" t="n">
        <f aca="false">MONTH(A3640)</f>
        <v>12</v>
      </c>
      <c r="H3640" s="38" t="n">
        <f aca="false">YEAR(Tabela1[[#This Row],[FECHA]])</f>
        <v>1900</v>
      </c>
      <c r="I36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41" customFormat="false" ht="15" hidden="false" customHeight="false" outlineLevel="0" collapsed="false">
      <c r="A3641" s="41"/>
      <c r="G3641" s="38" t="n">
        <f aca="false">MONTH(A3641)</f>
        <v>12</v>
      </c>
      <c r="H3641" s="38" t="n">
        <f aca="false">YEAR(Tabela1[[#This Row],[FECHA]])</f>
        <v>1900</v>
      </c>
      <c r="I36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42" customFormat="false" ht="15" hidden="false" customHeight="false" outlineLevel="0" collapsed="false">
      <c r="A3642" s="41"/>
      <c r="G3642" s="38" t="n">
        <f aca="false">MONTH(A3642)</f>
        <v>12</v>
      </c>
      <c r="H3642" s="38" t="n">
        <f aca="false">YEAR(Tabela1[[#This Row],[FECHA]])</f>
        <v>1900</v>
      </c>
      <c r="I36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43" customFormat="false" ht="15" hidden="false" customHeight="false" outlineLevel="0" collapsed="false">
      <c r="A3643" s="41"/>
      <c r="G3643" s="38" t="n">
        <f aca="false">MONTH(A3643)</f>
        <v>12</v>
      </c>
      <c r="H3643" s="38" t="n">
        <f aca="false">YEAR(Tabela1[[#This Row],[FECHA]])</f>
        <v>1900</v>
      </c>
      <c r="I36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44" customFormat="false" ht="15" hidden="false" customHeight="false" outlineLevel="0" collapsed="false">
      <c r="A3644" s="41"/>
      <c r="G3644" s="38" t="n">
        <f aca="false">MONTH(A3644)</f>
        <v>12</v>
      </c>
      <c r="H3644" s="38" t="n">
        <f aca="false">YEAR(Tabela1[[#This Row],[FECHA]])</f>
        <v>1900</v>
      </c>
      <c r="I36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45" customFormat="false" ht="15" hidden="false" customHeight="false" outlineLevel="0" collapsed="false">
      <c r="A3645" s="41"/>
      <c r="G3645" s="38" t="n">
        <f aca="false">MONTH(A3645)</f>
        <v>12</v>
      </c>
      <c r="H3645" s="38" t="n">
        <f aca="false">YEAR(Tabela1[[#This Row],[FECHA]])</f>
        <v>1900</v>
      </c>
      <c r="I36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46" customFormat="false" ht="15" hidden="false" customHeight="false" outlineLevel="0" collapsed="false">
      <c r="A3646" s="41"/>
      <c r="G3646" s="38" t="n">
        <f aca="false">MONTH(A3646)</f>
        <v>12</v>
      </c>
      <c r="H3646" s="38" t="n">
        <f aca="false">YEAR(Tabela1[[#This Row],[FECHA]])</f>
        <v>1900</v>
      </c>
      <c r="I36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47" customFormat="false" ht="15" hidden="false" customHeight="false" outlineLevel="0" collapsed="false">
      <c r="A3647" s="41"/>
      <c r="G3647" s="38" t="n">
        <f aca="false">MONTH(A3647)</f>
        <v>12</v>
      </c>
      <c r="H3647" s="38" t="n">
        <f aca="false">YEAR(Tabela1[[#This Row],[FECHA]])</f>
        <v>1900</v>
      </c>
      <c r="I36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48" customFormat="false" ht="15" hidden="false" customHeight="false" outlineLevel="0" collapsed="false">
      <c r="A3648" s="41"/>
      <c r="G3648" s="38" t="n">
        <f aca="false">MONTH(A3648)</f>
        <v>12</v>
      </c>
      <c r="H3648" s="38" t="n">
        <f aca="false">YEAR(Tabela1[[#This Row],[FECHA]])</f>
        <v>1900</v>
      </c>
      <c r="I36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49" customFormat="false" ht="15" hidden="false" customHeight="false" outlineLevel="0" collapsed="false">
      <c r="A3649" s="41"/>
      <c r="G3649" s="38" t="n">
        <f aca="false">MONTH(A3649)</f>
        <v>12</v>
      </c>
      <c r="H3649" s="38" t="n">
        <f aca="false">YEAR(Tabela1[[#This Row],[FECHA]])</f>
        <v>1900</v>
      </c>
      <c r="I36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50" customFormat="false" ht="15" hidden="false" customHeight="false" outlineLevel="0" collapsed="false">
      <c r="A3650" s="41"/>
      <c r="G3650" s="38" t="n">
        <f aca="false">MONTH(A3650)</f>
        <v>12</v>
      </c>
      <c r="H3650" s="38" t="n">
        <f aca="false">YEAR(Tabela1[[#This Row],[FECHA]])</f>
        <v>1900</v>
      </c>
      <c r="I36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51" customFormat="false" ht="15" hidden="false" customHeight="false" outlineLevel="0" collapsed="false">
      <c r="A3651" s="41"/>
      <c r="G3651" s="38" t="n">
        <f aca="false">MONTH(A3651)</f>
        <v>12</v>
      </c>
      <c r="H3651" s="38" t="n">
        <f aca="false">YEAR(Tabela1[[#This Row],[FECHA]])</f>
        <v>1900</v>
      </c>
      <c r="I36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52" customFormat="false" ht="15" hidden="false" customHeight="false" outlineLevel="0" collapsed="false">
      <c r="A3652" s="41"/>
      <c r="G3652" s="38" t="n">
        <f aca="false">MONTH(A3652)</f>
        <v>12</v>
      </c>
      <c r="H3652" s="38" t="n">
        <f aca="false">YEAR(Tabela1[[#This Row],[FECHA]])</f>
        <v>1900</v>
      </c>
      <c r="I36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53" customFormat="false" ht="15" hidden="false" customHeight="false" outlineLevel="0" collapsed="false">
      <c r="A3653" s="41"/>
      <c r="G3653" s="38" t="n">
        <f aca="false">MONTH(A3653)</f>
        <v>12</v>
      </c>
      <c r="H3653" s="38" t="n">
        <f aca="false">YEAR(Tabela1[[#This Row],[FECHA]])</f>
        <v>1900</v>
      </c>
      <c r="I36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54" customFormat="false" ht="15" hidden="false" customHeight="false" outlineLevel="0" collapsed="false">
      <c r="A3654" s="41"/>
      <c r="G3654" s="38" t="n">
        <f aca="false">MONTH(A3654)</f>
        <v>12</v>
      </c>
      <c r="H3654" s="38" t="n">
        <f aca="false">YEAR(Tabela1[[#This Row],[FECHA]])</f>
        <v>1900</v>
      </c>
      <c r="I36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55" customFormat="false" ht="15" hidden="false" customHeight="false" outlineLevel="0" collapsed="false">
      <c r="A3655" s="41"/>
      <c r="G3655" s="38" t="n">
        <f aca="false">MONTH(A3655)</f>
        <v>12</v>
      </c>
      <c r="H3655" s="38" t="n">
        <f aca="false">YEAR(Tabela1[[#This Row],[FECHA]])</f>
        <v>1900</v>
      </c>
      <c r="I36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56" customFormat="false" ht="15" hidden="false" customHeight="false" outlineLevel="0" collapsed="false">
      <c r="A3656" s="41"/>
      <c r="G3656" s="38" t="n">
        <f aca="false">MONTH(A3656)</f>
        <v>12</v>
      </c>
      <c r="H3656" s="38" t="n">
        <f aca="false">YEAR(Tabela1[[#This Row],[FECHA]])</f>
        <v>1900</v>
      </c>
      <c r="I36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57" customFormat="false" ht="15" hidden="false" customHeight="false" outlineLevel="0" collapsed="false">
      <c r="A3657" s="41"/>
      <c r="G3657" s="38" t="n">
        <f aca="false">MONTH(A3657)</f>
        <v>12</v>
      </c>
      <c r="H3657" s="38" t="n">
        <f aca="false">YEAR(Tabela1[[#This Row],[FECHA]])</f>
        <v>1900</v>
      </c>
      <c r="I36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58" customFormat="false" ht="15" hidden="false" customHeight="false" outlineLevel="0" collapsed="false">
      <c r="A3658" s="41"/>
      <c r="G3658" s="38" t="n">
        <f aca="false">MONTH(A3658)</f>
        <v>12</v>
      </c>
      <c r="H3658" s="38" t="n">
        <f aca="false">YEAR(Tabela1[[#This Row],[FECHA]])</f>
        <v>1900</v>
      </c>
      <c r="I36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59" customFormat="false" ht="15" hidden="false" customHeight="false" outlineLevel="0" collapsed="false">
      <c r="A3659" s="41"/>
      <c r="G3659" s="38" t="n">
        <f aca="false">MONTH(A3659)</f>
        <v>12</v>
      </c>
      <c r="H3659" s="38" t="n">
        <f aca="false">YEAR(Tabela1[[#This Row],[FECHA]])</f>
        <v>1900</v>
      </c>
      <c r="I36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60" customFormat="false" ht="15" hidden="false" customHeight="false" outlineLevel="0" collapsed="false">
      <c r="A3660" s="41"/>
      <c r="G3660" s="38" t="n">
        <f aca="false">MONTH(A3660)</f>
        <v>12</v>
      </c>
      <c r="H3660" s="38" t="n">
        <f aca="false">YEAR(Tabela1[[#This Row],[FECHA]])</f>
        <v>1900</v>
      </c>
      <c r="I36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61" customFormat="false" ht="15" hidden="false" customHeight="false" outlineLevel="0" collapsed="false">
      <c r="A3661" s="41"/>
      <c r="G3661" s="38" t="n">
        <f aca="false">MONTH(A3661)</f>
        <v>12</v>
      </c>
      <c r="H3661" s="38" t="n">
        <f aca="false">YEAR(Tabela1[[#This Row],[FECHA]])</f>
        <v>1900</v>
      </c>
      <c r="I36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62" customFormat="false" ht="15" hidden="false" customHeight="false" outlineLevel="0" collapsed="false">
      <c r="A3662" s="41"/>
      <c r="G3662" s="38" t="n">
        <f aca="false">MONTH(A3662)</f>
        <v>12</v>
      </c>
      <c r="H3662" s="38" t="n">
        <f aca="false">YEAR(Tabela1[[#This Row],[FECHA]])</f>
        <v>1900</v>
      </c>
      <c r="I36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63" customFormat="false" ht="15" hidden="false" customHeight="false" outlineLevel="0" collapsed="false">
      <c r="A3663" s="41"/>
      <c r="G3663" s="38" t="n">
        <f aca="false">MONTH(A3663)</f>
        <v>12</v>
      </c>
      <c r="H3663" s="38" t="n">
        <f aca="false">YEAR(Tabela1[[#This Row],[FECHA]])</f>
        <v>1900</v>
      </c>
      <c r="I36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64" customFormat="false" ht="15" hidden="false" customHeight="false" outlineLevel="0" collapsed="false">
      <c r="A3664" s="41"/>
      <c r="G3664" s="38" t="n">
        <f aca="false">MONTH(A3664)</f>
        <v>12</v>
      </c>
      <c r="H3664" s="38" t="n">
        <f aca="false">YEAR(Tabela1[[#This Row],[FECHA]])</f>
        <v>1900</v>
      </c>
      <c r="I36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65" customFormat="false" ht="15" hidden="false" customHeight="false" outlineLevel="0" collapsed="false">
      <c r="A3665" s="41"/>
      <c r="G3665" s="38" t="n">
        <f aca="false">MONTH(A3665)</f>
        <v>12</v>
      </c>
      <c r="H3665" s="38" t="n">
        <f aca="false">YEAR(Tabela1[[#This Row],[FECHA]])</f>
        <v>1900</v>
      </c>
      <c r="I36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66" customFormat="false" ht="15" hidden="false" customHeight="false" outlineLevel="0" collapsed="false">
      <c r="A3666" s="41"/>
      <c r="G3666" s="38" t="n">
        <f aca="false">MONTH(A3666)</f>
        <v>12</v>
      </c>
      <c r="H3666" s="38" t="n">
        <f aca="false">YEAR(Tabela1[[#This Row],[FECHA]])</f>
        <v>1900</v>
      </c>
      <c r="I36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67" customFormat="false" ht="15" hidden="false" customHeight="false" outlineLevel="0" collapsed="false">
      <c r="A3667" s="41"/>
      <c r="G3667" s="38" t="n">
        <f aca="false">MONTH(A3667)</f>
        <v>12</v>
      </c>
      <c r="H3667" s="38" t="n">
        <f aca="false">YEAR(Tabela1[[#This Row],[FECHA]])</f>
        <v>1900</v>
      </c>
      <c r="I36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68" customFormat="false" ht="15" hidden="false" customHeight="false" outlineLevel="0" collapsed="false">
      <c r="A3668" s="41"/>
      <c r="G3668" s="38" t="n">
        <f aca="false">MONTH(A3668)</f>
        <v>12</v>
      </c>
      <c r="H3668" s="38" t="n">
        <f aca="false">YEAR(Tabela1[[#This Row],[FECHA]])</f>
        <v>1900</v>
      </c>
      <c r="I36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69" customFormat="false" ht="15" hidden="false" customHeight="false" outlineLevel="0" collapsed="false">
      <c r="A3669" s="41"/>
      <c r="G3669" s="38" t="n">
        <f aca="false">MONTH(A3669)</f>
        <v>12</v>
      </c>
      <c r="H3669" s="38" t="n">
        <f aca="false">YEAR(Tabela1[[#This Row],[FECHA]])</f>
        <v>1900</v>
      </c>
      <c r="I36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70" customFormat="false" ht="15" hidden="false" customHeight="false" outlineLevel="0" collapsed="false">
      <c r="A3670" s="41"/>
      <c r="G3670" s="38" t="n">
        <f aca="false">MONTH(A3670)</f>
        <v>12</v>
      </c>
      <c r="H3670" s="38" t="n">
        <f aca="false">YEAR(Tabela1[[#This Row],[FECHA]])</f>
        <v>1900</v>
      </c>
      <c r="I36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71" customFormat="false" ht="15" hidden="false" customHeight="false" outlineLevel="0" collapsed="false">
      <c r="A3671" s="41"/>
      <c r="G3671" s="38" t="n">
        <f aca="false">MONTH(A3671)</f>
        <v>12</v>
      </c>
      <c r="H3671" s="38" t="n">
        <f aca="false">YEAR(Tabela1[[#This Row],[FECHA]])</f>
        <v>1900</v>
      </c>
      <c r="I36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72" customFormat="false" ht="15" hidden="false" customHeight="false" outlineLevel="0" collapsed="false">
      <c r="A3672" s="41"/>
      <c r="G3672" s="38" t="n">
        <f aca="false">MONTH(A3672)</f>
        <v>12</v>
      </c>
      <c r="H3672" s="38" t="n">
        <f aca="false">YEAR(Tabela1[[#This Row],[FECHA]])</f>
        <v>1900</v>
      </c>
      <c r="I36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73" customFormat="false" ht="15" hidden="false" customHeight="false" outlineLevel="0" collapsed="false">
      <c r="A3673" s="41"/>
      <c r="G3673" s="38" t="n">
        <f aca="false">MONTH(A3673)</f>
        <v>12</v>
      </c>
      <c r="H3673" s="38" t="n">
        <f aca="false">YEAR(Tabela1[[#This Row],[FECHA]])</f>
        <v>1900</v>
      </c>
      <c r="I36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74" customFormat="false" ht="15" hidden="false" customHeight="false" outlineLevel="0" collapsed="false">
      <c r="A3674" s="41"/>
      <c r="G3674" s="38" t="n">
        <f aca="false">MONTH(A3674)</f>
        <v>12</v>
      </c>
      <c r="H3674" s="38" t="n">
        <f aca="false">YEAR(Tabela1[[#This Row],[FECHA]])</f>
        <v>1900</v>
      </c>
      <c r="I36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75" customFormat="false" ht="15" hidden="false" customHeight="false" outlineLevel="0" collapsed="false">
      <c r="A3675" s="41"/>
      <c r="G3675" s="38" t="n">
        <f aca="false">MONTH(A3675)</f>
        <v>12</v>
      </c>
      <c r="H3675" s="38" t="n">
        <f aca="false">YEAR(Tabela1[[#This Row],[FECHA]])</f>
        <v>1900</v>
      </c>
      <c r="I36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76" customFormat="false" ht="15" hidden="false" customHeight="false" outlineLevel="0" collapsed="false">
      <c r="A3676" s="41"/>
      <c r="G3676" s="38" t="n">
        <f aca="false">MONTH(A3676)</f>
        <v>12</v>
      </c>
      <c r="H3676" s="38" t="n">
        <f aca="false">YEAR(Tabela1[[#This Row],[FECHA]])</f>
        <v>1900</v>
      </c>
      <c r="I36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77" customFormat="false" ht="15" hidden="false" customHeight="false" outlineLevel="0" collapsed="false">
      <c r="A3677" s="41"/>
      <c r="G3677" s="38" t="n">
        <f aca="false">MONTH(A3677)</f>
        <v>12</v>
      </c>
      <c r="H3677" s="38" t="n">
        <f aca="false">YEAR(Tabela1[[#This Row],[FECHA]])</f>
        <v>1900</v>
      </c>
      <c r="I36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78" customFormat="false" ht="15" hidden="false" customHeight="false" outlineLevel="0" collapsed="false">
      <c r="A3678" s="41"/>
      <c r="G3678" s="38" t="n">
        <f aca="false">MONTH(A3678)</f>
        <v>12</v>
      </c>
      <c r="H3678" s="38" t="n">
        <f aca="false">YEAR(Tabela1[[#This Row],[FECHA]])</f>
        <v>1900</v>
      </c>
      <c r="I36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79" customFormat="false" ht="15" hidden="false" customHeight="false" outlineLevel="0" collapsed="false">
      <c r="A3679" s="41"/>
      <c r="G3679" s="38" t="n">
        <f aca="false">MONTH(A3679)</f>
        <v>12</v>
      </c>
      <c r="H3679" s="38" t="n">
        <f aca="false">YEAR(Tabela1[[#This Row],[FECHA]])</f>
        <v>1900</v>
      </c>
      <c r="I36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80" customFormat="false" ht="15" hidden="false" customHeight="false" outlineLevel="0" collapsed="false">
      <c r="A3680" s="41"/>
      <c r="G3680" s="38" t="n">
        <f aca="false">MONTH(A3680)</f>
        <v>12</v>
      </c>
      <c r="H3680" s="38" t="n">
        <f aca="false">YEAR(Tabela1[[#This Row],[FECHA]])</f>
        <v>1900</v>
      </c>
      <c r="I36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81" customFormat="false" ht="15" hidden="false" customHeight="false" outlineLevel="0" collapsed="false">
      <c r="A3681" s="41"/>
      <c r="G3681" s="38" t="n">
        <f aca="false">MONTH(A3681)</f>
        <v>12</v>
      </c>
      <c r="H3681" s="38" t="n">
        <f aca="false">YEAR(Tabela1[[#This Row],[FECHA]])</f>
        <v>1900</v>
      </c>
      <c r="I36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82" customFormat="false" ht="15" hidden="false" customHeight="false" outlineLevel="0" collapsed="false">
      <c r="A3682" s="41"/>
      <c r="G3682" s="38" t="n">
        <f aca="false">MONTH(A3682)</f>
        <v>12</v>
      </c>
      <c r="H3682" s="38" t="n">
        <f aca="false">YEAR(Tabela1[[#This Row],[FECHA]])</f>
        <v>1900</v>
      </c>
      <c r="I36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83" customFormat="false" ht="15" hidden="false" customHeight="false" outlineLevel="0" collapsed="false">
      <c r="A3683" s="41"/>
      <c r="G3683" s="38" t="n">
        <f aca="false">MONTH(A3683)</f>
        <v>12</v>
      </c>
      <c r="H3683" s="38" t="n">
        <f aca="false">YEAR(Tabela1[[#This Row],[FECHA]])</f>
        <v>1900</v>
      </c>
      <c r="I36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84" customFormat="false" ht="15" hidden="false" customHeight="false" outlineLevel="0" collapsed="false">
      <c r="A3684" s="41"/>
      <c r="G3684" s="38" t="n">
        <f aca="false">MONTH(A3684)</f>
        <v>12</v>
      </c>
      <c r="H3684" s="38" t="n">
        <f aca="false">YEAR(Tabela1[[#This Row],[FECHA]])</f>
        <v>1900</v>
      </c>
      <c r="I36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85" customFormat="false" ht="15" hidden="false" customHeight="false" outlineLevel="0" collapsed="false">
      <c r="A3685" s="41"/>
      <c r="G3685" s="38" t="n">
        <f aca="false">MONTH(A3685)</f>
        <v>12</v>
      </c>
      <c r="H3685" s="38" t="n">
        <f aca="false">YEAR(Tabela1[[#This Row],[FECHA]])</f>
        <v>1900</v>
      </c>
      <c r="I36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86" customFormat="false" ht="15" hidden="false" customHeight="false" outlineLevel="0" collapsed="false">
      <c r="A3686" s="41"/>
      <c r="G3686" s="38" t="n">
        <f aca="false">MONTH(A3686)</f>
        <v>12</v>
      </c>
      <c r="H3686" s="38" t="n">
        <f aca="false">YEAR(Tabela1[[#This Row],[FECHA]])</f>
        <v>1900</v>
      </c>
      <c r="I36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87" customFormat="false" ht="15" hidden="false" customHeight="false" outlineLevel="0" collapsed="false">
      <c r="A3687" s="41"/>
      <c r="G3687" s="38" t="n">
        <f aca="false">MONTH(A3687)</f>
        <v>12</v>
      </c>
      <c r="H3687" s="38" t="n">
        <f aca="false">YEAR(Tabela1[[#This Row],[FECHA]])</f>
        <v>1900</v>
      </c>
      <c r="I36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88" customFormat="false" ht="15" hidden="false" customHeight="false" outlineLevel="0" collapsed="false">
      <c r="A3688" s="41"/>
      <c r="G3688" s="38" t="n">
        <f aca="false">MONTH(A3688)</f>
        <v>12</v>
      </c>
      <c r="H3688" s="38" t="n">
        <f aca="false">YEAR(Tabela1[[#This Row],[FECHA]])</f>
        <v>1900</v>
      </c>
      <c r="I36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89" customFormat="false" ht="15" hidden="false" customHeight="false" outlineLevel="0" collapsed="false">
      <c r="A3689" s="41"/>
      <c r="G3689" s="38" t="n">
        <f aca="false">MONTH(A3689)</f>
        <v>12</v>
      </c>
      <c r="H3689" s="38" t="n">
        <f aca="false">YEAR(Tabela1[[#This Row],[FECHA]])</f>
        <v>1900</v>
      </c>
      <c r="I36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90" customFormat="false" ht="15" hidden="false" customHeight="false" outlineLevel="0" collapsed="false">
      <c r="A3690" s="41"/>
      <c r="G3690" s="38" t="n">
        <f aca="false">MONTH(A3690)</f>
        <v>12</v>
      </c>
      <c r="H3690" s="38" t="n">
        <f aca="false">YEAR(Tabela1[[#This Row],[FECHA]])</f>
        <v>1900</v>
      </c>
      <c r="I36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91" customFormat="false" ht="15" hidden="false" customHeight="false" outlineLevel="0" collapsed="false">
      <c r="A3691" s="41"/>
      <c r="G3691" s="38" t="n">
        <f aca="false">MONTH(A3691)</f>
        <v>12</v>
      </c>
      <c r="H3691" s="38" t="n">
        <f aca="false">YEAR(Tabela1[[#This Row],[FECHA]])</f>
        <v>1900</v>
      </c>
      <c r="I36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92" customFormat="false" ht="15" hidden="false" customHeight="false" outlineLevel="0" collapsed="false">
      <c r="A3692" s="41"/>
      <c r="G3692" s="38" t="n">
        <f aca="false">MONTH(A3692)</f>
        <v>12</v>
      </c>
      <c r="H3692" s="38" t="n">
        <f aca="false">YEAR(Tabela1[[#This Row],[FECHA]])</f>
        <v>1900</v>
      </c>
      <c r="I36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93" customFormat="false" ht="15" hidden="false" customHeight="false" outlineLevel="0" collapsed="false">
      <c r="A3693" s="41"/>
      <c r="G3693" s="38" t="n">
        <f aca="false">MONTH(A3693)</f>
        <v>12</v>
      </c>
      <c r="H3693" s="38" t="n">
        <f aca="false">YEAR(Tabela1[[#This Row],[FECHA]])</f>
        <v>1900</v>
      </c>
      <c r="I36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94" customFormat="false" ht="15" hidden="false" customHeight="false" outlineLevel="0" collapsed="false">
      <c r="A3694" s="41"/>
      <c r="G3694" s="38" t="n">
        <f aca="false">MONTH(A3694)</f>
        <v>12</v>
      </c>
      <c r="H3694" s="38" t="n">
        <f aca="false">YEAR(Tabela1[[#This Row],[FECHA]])</f>
        <v>1900</v>
      </c>
      <c r="I36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95" customFormat="false" ht="15" hidden="false" customHeight="false" outlineLevel="0" collapsed="false">
      <c r="A3695" s="41"/>
      <c r="G3695" s="38" t="n">
        <f aca="false">MONTH(A3695)</f>
        <v>12</v>
      </c>
      <c r="H3695" s="38" t="n">
        <f aca="false">YEAR(Tabela1[[#This Row],[FECHA]])</f>
        <v>1900</v>
      </c>
      <c r="I36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96" customFormat="false" ht="15" hidden="false" customHeight="false" outlineLevel="0" collapsed="false">
      <c r="A3696" s="41"/>
      <c r="G3696" s="38" t="n">
        <f aca="false">MONTH(A3696)</f>
        <v>12</v>
      </c>
      <c r="H3696" s="38" t="n">
        <f aca="false">YEAR(Tabela1[[#This Row],[FECHA]])</f>
        <v>1900</v>
      </c>
      <c r="I36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97" customFormat="false" ht="15" hidden="false" customHeight="false" outlineLevel="0" collapsed="false">
      <c r="A3697" s="41"/>
      <c r="G3697" s="38" t="n">
        <f aca="false">MONTH(A3697)</f>
        <v>12</v>
      </c>
      <c r="H3697" s="38" t="n">
        <f aca="false">YEAR(Tabela1[[#This Row],[FECHA]])</f>
        <v>1900</v>
      </c>
      <c r="I36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98" customFormat="false" ht="15" hidden="false" customHeight="false" outlineLevel="0" collapsed="false">
      <c r="A3698" s="41"/>
      <c r="G3698" s="38" t="n">
        <f aca="false">MONTH(A3698)</f>
        <v>12</v>
      </c>
      <c r="H3698" s="38" t="n">
        <f aca="false">YEAR(Tabela1[[#This Row],[FECHA]])</f>
        <v>1900</v>
      </c>
      <c r="I36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699" customFormat="false" ht="15" hidden="false" customHeight="false" outlineLevel="0" collapsed="false">
      <c r="A3699" s="41"/>
      <c r="G3699" s="38" t="n">
        <f aca="false">MONTH(A3699)</f>
        <v>12</v>
      </c>
      <c r="H3699" s="38" t="n">
        <f aca="false">YEAR(Tabela1[[#This Row],[FECHA]])</f>
        <v>1900</v>
      </c>
      <c r="I36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00" customFormat="false" ht="15" hidden="false" customHeight="false" outlineLevel="0" collapsed="false">
      <c r="A3700" s="41"/>
      <c r="G3700" s="38" t="n">
        <f aca="false">MONTH(A3700)</f>
        <v>12</v>
      </c>
      <c r="H3700" s="38" t="n">
        <f aca="false">YEAR(Tabela1[[#This Row],[FECHA]])</f>
        <v>1900</v>
      </c>
      <c r="I37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01" customFormat="false" ht="15" hidden="false" customHeight="false" outlineLevel="0" collapsed="false">
      <c r="A3701" s="41"/>
      <c r="G3701" s="38" t="n">
        <f aca="false">MONTH(A3701)</f>
        <v>12</v>
      </c>
      <c r="H3701" s="38" t="n">
        <f aca="false">YEAR(Tabela1[[#This Row],[FECHA]])</f>
        <v>1900</v>
      </c>
      <c r="I37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02" customFormat="false" ht="15" hidden="false" customHeight="false" outlineLevel="0" collapsed="false">
      <c r="A3702" s="41"/>
      <c r="G3702" s="38" t="n">
        <f aca="false">MONTH(A3702)</f>
        <v>12</v>
      </c>
      <c r="H3702" s="38" t="n">
        <f aca="false">YEAR(Tabela1[[#This Row],[FECHA]])</f>
        <v>1900</v>
      </c>
      <c r="I37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03" customFormat="false" ht="15" hidden="false" customHeight="false" outlineLevel="0" collapsed="false">
      <c r="A3703" s="41"/>
      <c r="G3703" s="38" t="n">
        <f aca="false">MONTH(A3703)</f>
        <v>12</v>
      </c>
      <c r="H3703" s="38" t="n">
        <f aca="false">YEAR(Tabela1[[#This Row],[FECHA]])</f>
        <v>1900</v>
      </c>
      <c r="I37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04" customFormat="false" ht="15" hidden="false" customHeight="false" outlineLevel="0" collapsed="false">
      <c r="A3704" s="41"/>
      <c r="G3704" s="38" t="n">
        <f aca="false">MONTH(A3704)</f>
        <v>12</v>
      </c>
      <c r="H3704" s="38" t="n">
        <f aca="false">YEAR(Tabela1[[#This Row],[FECHA]])</f>
        <v>1900</v>
      </c>
      <c r="I37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05" customFormat="false" ht="15" hidden="false" customHeight="false" outlineLevel="0" collapsed="false">
      <c r="A3705" s="41"/>
      <c r="G3705" s="38" t="n">
        <f aca="false">MONTH(A3705)</f>
        <v>12</v>
      </c>
      <c r="H3705" s="38" t="n">
        <f aca="false">YEAR(Tabela1[[#This Row],[FECHA]])</f>
        <v>1900</v>
      </c>
      <c r="I37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06" customFormat="false" ht="15" hidden="false" customHeight="false" outlineLevel="0" collapsed="false">
      <c r="A3706" s="41"/>
      <c r="G3706" s="38" t="n">
        <f aca="false">MONTH(A3706)</f>
        <v>12</v>
      </c>
      <c r="H3706" s="38" t="n">
        <f aca="false">YEAR(Tabela1[[#This Row],[FECHA]])</f>
        <v>1900</v>
      </c>
      <c r="I37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07" customFormat="false" ht="15" hidden="false" customHeight="false" outlineLevel="0" collapsed="false">
      <c r="A3707" s="41"/>
      <c r="G3707" s="38" t="n">
        <f aca="false">MONTH(A3707)</f>
        <v>12</v>
      </c>
      <c r="H3707" s="38" t="n">
        <f aca="false">YEAR(Tabela1[[#This Row],[FECHA]])</f>
        <v>1900</v>
      </c>
      <c r="I37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08" customFormat="false" ht="15" hidden="false" customHeight="false" outlineLevel="0" collapsed="false">
      <c r="A3708" s="41"/>
      <c r="G3708" s="38" t="n">
        <f aca="false">MONTH(A3708)</f>
        <v>12</v>
      </c>
      <c r="H3708" s="38" t="n">
        <f aca="false">YEAR(Tabela1[[#This Row],[FECHA]])</f>
        <v>1900</v>
      </c>
      <c r="I37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09" customFormat="false" ht="15" hidden="false" customHeight="false" outlineLevel="0" collapsed="false">
      <c r="A3709" s="41"/>
      <c r="G3709" s="38" t="n">
        <f aca="false">MONTH(A3709)</f>
        <v>12</v>
      </c>
      <c r="H3709" s="38" t="n">
        <f aca="false">YEAR(Tabela1[[#This Row],[FECHA]])</f>
        <v>1900</v>
      </c>
      <c r="I37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10" customFormat="false" ht="15" hidden="false" customHeight="false" outlineLevel="0" collapsed="false">
      <c r="A3710" s="41"/>
      <c r="G3710" s="38" t="n">
        <f aca="false">MONTH(A3710)</f>
        <v>12</v>
      </c>
      <c r="H3710" s="38" t="n">
        <f aca="false">YEAR(Tabela1[[#This Row],[FECHA]])</f>
        <v>1900</v>
      </c>
      <c r="I37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11" customFormat="false" ht="15" hidden="false" customHeight="false" outlineLevel="0" collapsed="false">
      <c r="A3711" s="41"/>
      <c r="G3711" s="38" t="n">
        <f aca="false">MONTH(A3711)</f>
        <v>12</v>
      </c>
      <c r="H3711" s="38" t="n">
        <f aca="false">YEAR(Tabela1[[#This Row],[FECHA]])</f>
        <v>1900</v>
      </c>
      <c r="I37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12" customFormat="false" ht="15" hidden="false" customHeight="false" outlineLevel="0" collapsed="false">
      <c r="A3712" s="41"/>
      <c r="G3712" s="38" t="n">
        <f aca="false">MONTH(A3712)</f>
        <v>12</v>
      </c>
      <c r="H3712" s="38" t="n">
        <f aca="false">YEAR(Tabela1[[#This Row],[FECHA]])</f>
        <v>1900</v>
      </c>
      <c r="I37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13" customFormat="false" ht="15" hidden="false" customHeight="false" outlineLevel="0" collapsed="false">
      <c r="A3713" s="41"/>
      <c r="G3713" s="38" t="n">
        <f aca="false">MONTH(A3713)</f>
        <v>12</v>
      </c>
      <c r="H3713" s="38" t="n">
        <f aca="false">YEAR(Tabela1[[#This Row],[FECHA]])</f>
        <v>1900</v>
      </c>
      <c r="I37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14" customFormat="false" ht="15" hidden="false" customHeight="false" outlineLevel="0" collapsed="false">
      <c r="A3714" s="41"/>
      <c r="G3714" s="38" t="n">
        <f aca="false">MONTH(A3714)</f>
        <v>12</v>
      </c>
      <c r="H3714" s="38" t="n">
        <f aca="false">YEAR(Tabela1[[#This Row],[FECHA]])</f>
        <v>1900</v>
      </c>
      <c r="I37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15" customFormat="false" ht="15" hidden="false" customHeight="false" outlineLevel="0" collapsed="false">
      <c r="A3715" s="41"/>
      <c r="G3715" s="38" t="n">
        <f aca="false">MONTH(A3715)</f>
        <v>12</v>
      </c>
      <c r="H3715" s="38" t="n">
        <f aca="false">YEAR(Tabela1[[#This Row],[FECHA]])</f>
        <v>1900</v>
      </c>
      <c r="I37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16" customFormat="false" ht="15" hidden="false" customHeight="false" outlineLevel="0" collapsed="false">
      <c r="A3716" s="41"/>
      <c r="G3716" s="38" t="n">
        <f aca="false">MONTH(A3716)</f>
        <v>12</v>
      </c>
      <c r="H3716" s="38" t="n">
        <f aca="false">YEAR(Tabela1[[#This Row],[FECHA]])</f>
        <v>1900</v>
      </c>
      <c r="I37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17" customFormat="false" ht="15" hidden="false" customHeight="false" outlineLevel="0" collapsed="false">
      <c r="A3717" s="41"/>
      <c r="G3717" s="38" t="n">
        <f aca="false">MONTH(A3717)</f>
        <v>12</v>
      </c>
      <c r="H3717" s="38" t="n">
        <f aca="false">YEAR(Tabela1[[#This Row],[FECHA]])</f>
        <v>1900</v>
      </c>
      <c r="I37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18" customFormat="false" ht="15" hidden="false" customHeight="false" outlineLevel="0" collapsed="false">
      <c r="A3718" s="41"/>
      <c r="G3718" s="38" t="n">
        <f aca="false">MONTH(A3718)</f>
        <v>12</v>
      </c>
      <c r="H3718" s="38" t="n">
        <f aca="false">YEAR(Tabela1[[#This Row],[FECHA]])</f>
        <v>1900</v>
      </c>
      <c r="I37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19" customFormat="false" ht="15" hidden="false" customHeight="false" outlineLevel="0" collapsed="false">
      <c r="A3719" s="41"/>
      <c r="G3719" s="38" t="n">
        <f aca="false">MONTH(A3719)</f>
        <v>12</v>
      </c>
      <c r="H3719" s="38" t="n">
        <f aca="false">YEAR(Tabela1[[#This Row],[FECHA]])</f>
        <v>1900</v>
      </c>
      <c r="I37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20" customFormat="false" ht="15" hidden="false" customHeight="false" outlineLevel="0" collapsed="false">
      <c r="A3720" s="41"/>
      <c r="G3720" s="38" t="n">
        <f aca="false">MONTH(A3720)</f>
        <v>12</v>
      </c>
      <c r="H3720" s="38" t="n">
        <f aca="false">YEAR(Tabela1[[#This Row],[FECHA]])</f>
        <v>1900</v>
      </c>
      <c r="I37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21" customFormat="false" ht="15" hidden="false" customHeight="false" outlineLevel="0" collapsed="false">
      <c r="A3721" s="41"/>
      <c r="G3721" s="38" t="n">
        <f aca="false">MONTH(A3721)</f>
        <v>12</v>
      </c>
      <c r="H3721" s="38" t="n">
        <f aca="false">YEAR(Tabela1[[#This Row],[FECHA]])</f>
        <v>1900</v>
      </c>
      <c r="I37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22" customFormat="false" ht="15" hidden="false" customHeight="false" outlineLevel="0" collapsed="false">
      <c r="A3722" s="41"/>
      <c r="G3722" s="38" t="n">
        <f aca="false">MONTH(A3722)</f>
        <v>12</v>
      </c>
      <c r="H3722" s="38" t="n">
        <f aca="false">YEAR(Tabela1[[#This Row],[FECHA]])</f>
        <v>1900</v>
      </c>
      <c r="I37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23" customFormat="false" ht="15" hidden="false" customHeight="false" outlineLevel="0" collapsed="false">
      <c r="A3723" s="41"/>
      <c r="G3723" s="38" t="n">
        <f aca="false">MONTH(A3723)</f>
        <v>12</v>
      </c>
      <c r="H3723" s="38" t="n">
        <f aca="false">YEAR(Tabela1[[#This Row],[FECHA]])</f>
        <v>1900</v>
      </c>
      <c r="I37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24" customFormat="false" ht="15" hidden="false" customHeight="false" outlineLevel="0" collapsed="false">
      <c r="A3724" s="41"/>
      <c r="G3724" s="38" t="n">
        <f aca="false">MONTH(A3724)</f>
        <v>12</v>
      </c>
      <c r="H3724" s="38" t="n">
        <f aca="false">YEAR(Tabela1[[#This Row],[FECHA]])</f>
        <v>1900</v>
      </c>
      <c r="I37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25" customFormat="false" ht="15" hidden="false" customHeight="false" outlineLevel="0" collapsed="false">
      <c r="A3725" s="41"/>
      <c r="G3725" s="38" t="n">
        <f aca="false">MONTH(A3725)</f>
        <v>12</v>
      </c>
      <c r="H3725" s="38" t="n">
        <f aca="false">YEAR(Tabela1[[#This Row],[FECHA]])</f>
        <v>1900</v>
      </c>
      <c r="I37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26" customFormat="false" ht="15" hidden="false" customHeight="false" outlineLevel="0" collapsed="false">
      <c r="A3726" s="41"/>
      <c r="G3726" s="38" t="n">
        <f aca="false">MONTH(A3726)</f>
        <v>12</v>
      </c>
      <c r="H3726" s="38" t="n">
        <f aca="false">YEAR(Tabela1[[#This Row],[FECHA]])</f>
        <v>1900</v>
      </c>
      <c r="I37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27" customFormat="false" ht="15" hidden="false" customHeight="false" outlineLevel="0" collapsed="false">
      <c r="A3727" s="41"/>
      <c r="G3727" s="38" t="n">
        <f aca="false">MONTH(A3727)</f>
        <v>12</v>
      </c>
      <c r="H3727" s="38" t="n">
        <f aca="false">YEAR(Tabela1[[#This Row],[FECHA]])</f>
        <v>1900</v>
      </c>
      <c r="I37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28" customFormat="false" ht="15" hidden="false" customHeight="false" outlineLevel="0" collapsed="false">
      <c r="A3728" s="41"/>
      <c r="G3728" s="38" t="n">
        <f aca="false">MONTH(A3728)</f>
        <v>12</v>
      </c>
      <c r="H3728" s="38" t="n">
        <f aca="false">YEAR(Tabela1[[#This Row],[FECHA]])</f>
        <v>1900</v>
      </c>
      <c r="I37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29" customFormat="false" ht="15" hidden="false" customHeight="false" outlineLevel="0" collapsed="false">
      <c r="A3729" s="41"/>
      <c r="G3729" s="38" t="n">
        <f aca="false">MONTH(A3729)</f>
        <v>12</v>
      </c>
      <c r="H3729" s="38" t="n">
        <f aca="false">YEAR(Tabela1[[#This Row],[FECHA]])</f>
        <v>1900</v>
      </c>
      <c r="I37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30" customFormat="false" ht="15" hidden="false" customHeight="false" outlineLevel="0" collapsed="false">
      <c r="A3730" s="41"/>
      <c r="G3730" s="38" t="n">
        <f aca="false">MONTH(A3730)</f>
        <v>12</v>
      </c>
      <c r="H3730" s="38" t="n">
        <f aca="false">YEAR(Tabela1[[#This Row],[FECHA]])</f>
        <v>1900</v>
      </c>
      <c r="I37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31" customFormat="false" ht="15" hidden="false" customHeight="false" outlineLevel="0" collapsed="false">
      <c r="A3731" s="41"/>
      <c r="G3731" s="38" t="n">
        <f aca="false">MONTH(A3731)</f>
        <v>12</v>
      </c>
      <c r="H3731" s="38" t="n">
        <f aca="false">YEAR(Tabela1[[#This Row],[FECHA]])</f>
        <v>1900</v>
      </c>
      <c r="I37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32" customFormat="false" ht="15" hidden="false" customHeight="false" outlineLevel="0" collapsed="false">
      <c r="A3732" s="41"/>
      <c r="G3732" s="38" t="n">
        <f aca="false">MONTH(A3732)</f>
        <v>12</v>
      </c>
      <c r="H3732" s="38" t="n">
        <f aca="false">YEAR(Tabela1[[#This Row],[FECHA]])</f>
        <v>1900</v>
      </c>
      <c r="I37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33" customFormat="false" ht="15" hidden="false" customHeight="false" outlineLevel="0" collapsed="false">
      <c r="A3733" s="41"/>
      <c r="G3733" s="38" t="n">
        <f aca="false">MONTH(A3733)</f>
        <v>12</v>
      </c>
      <c r="H3733" s="38" t="n">
        <f aca="false">YEAR(Tabela1[[#This Row],[FECHA]])</f>
        <v>1900</v>
      </c>
      <c r="I37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34" customFormat="false" ht="15" hidden="false" customHeight="false" outlineLevel="0" collapsed="false">
      <c r="A3734" s="41"/>
      <c r="G3734" s="38" t="n">
        <f aca="false">MONTH(A3734)</f>
        <v>12</v>
      </c>
      <c r="H3734" s="38" t="n">
        <f aca="false">YEAR(Tabela1[[#This Row],[FECHA]])</f>
        <v>1900</v>
      </c>
      <c r="I37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35" customFormat="false" ht="15" hidden="false" customHeight="false" outlineLevel="0" collapsed="false">
      <c r="A3735" s="41"/>
      <c r="G3735" s="38" t="n">
        <f aca="false">MONTH(A3735)</f>
        <v>12</v>
      </c>
      <c r="H3735" s="38" t="n">
        <f aca="false">YEAR(Tabela1[[#This Row],[FECHA]])</f>
        <v>1900</v>
      </c>
      <c r="I37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36" customFormat="false" ht="15" hidden="false" customHeight="false" outlineLevel="0" collapsed="false">
      <c r="A3736" s="41"/>
      <c r="G3736" s="38" t="n">
        <f aca="false">MONTH(A3736)</f>
        <v>12</v>
      </c>
      <c r="H3736" s="38" t="n">
        <f aca="false">YEAR(Tabela1[[#This Row],[FECHA]])</f>
        <v>1900</v>
      </c>
      <c r="I37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37" customFormat="false" ht="15" hidden="false" customHeight="false" outlineLevel="0" collapsed="false">
      <c r="A3737" s="41"/>
      <c r="G3737" s="38" t="n">
        <f aca="false">MONTH(A3737)</f>
        <v>12</v>
      </c>
      <c r="H3737" s="38" t="n">
        <f aca="false">YEAR(Tabela1[[#This Row],[FECHA]])</f>
        <v>1900</v>
      </c>
      <c r="I37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38" customFormat="false" ht="15" hidden="false" customHeight="false" outlineLevel="0" collapsed="false">
      <c r="A3738" s="41"/>
      <c r="G3738" s="38" t="n">
        <f aca="false">MONTH(A3738)</f>
        <v>12</v>
      </c>
      <c r="H3738" s="38" t="n">
        <f aca="false">YEAR(Tabela1[[#This Row],[FECHA]])</f>
        <v>1900</v>
      </c>
      <c r="I37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39" customFormat="false" ht="15" hidden="false" customHeight="false" outlineLevel="0" collapsed="false">
      <c r="A3739" s="41"/>
      <c r="G3739" s="38" t="n">
        <f aca="false">MONTH(A3739)</f>
        <v>12</v>
      </c>
      <c r="H3739" s="38" t="n">
        <f aca="false">YEAR(Tabela1[[#This Row],[FECHA]])</f>
        <v>1900</v>
      </c>
      <c r="I37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40" customFormat="false" ht="15" hidden="false" customHeight="false" outlineLevel="0" collapsed="false">
      <c r="A3740" s="41"/>
      <c r="G3740" s="38" t="n">
        <f aca="false">MONTH(A3740)</f>
        <v>12</v>
      </c>
      <c r="H3740" s="38" t="n">
        <f aca="false">YEAR(Tabela1[[#This Row],[FECHA]])</f>
        <v>1900</v>
      </c>
      <c r="I37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41" customFormat="false" ht="15" hidden="false" customHeight="false" outlineLevel="0" collapsed="false">
      <c r="A3741" s="41"/>
      <c r="G3741" s="38" t="n">
        <f aca="false">MONTH(A3741)</f>
        <v>12</v>
      </c>
      <c r="H3741" s="38" t="n">
        <f aca="false">YEAR(Tabela1[[#This Row],[FECHA]])</f>
        <v>1900</v>
      </c>
      <c r="I37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42" customFormat="false" ht="15" hidden="false" customHeight="false" outlineLevel="0" collapsed="false">
      <c r="A3742" s="41"/>
      <c r="G3742" s="38" t="n">
        <f aca="false">MONTH(A3742)</f>
        <v>12</v>
      </c>
      <c r="H3742" s="38" t="n">
        <f aca="false">YEAR(Tabela1[[#This Row],[FECHA]])</f>
        <v>1900</v>
      </c>
      <c r="I37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43" customFormat="false" ht="15" hidden="false" customHeight="false" outlineLevel="0" collapsed="false">
      <c r="A3743" s="41"/>
      <c r="G3743" s="38" t="n">
        <f aca="false">MONTH(A3743)</f>
        <v>12</v>
      </c>
      <c r="H3743" s="38" t="n">
        <f aca="false">YEAR(Tabela1[[#This Row],[FECHA]])</f>
        <v>1900</v>
      </c>
      <c r="I37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44" customFormat="false" ht="15" hidden="false" customHeight="false" outlineLevel="0" collapsed="false">
      <c r="A3744" s="41"/>
      <c r="G3744" s="38" t="n">
        <f aca="false">MONTH(A3744)</f>
        <v>12</v>
      </c>
      <c r="H3744" s="38" t="n">
        <f aca="false">YEAR(Tabela1[[#This Row],[FECHA]])</f>
        <v>1900</v>
      </c>
      <c r="I37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45" customFormat="false" ht="15" hidden="false" customHeight="false" outlineLevel="0" collapsed="false">
      <c r="A3745" s="41"/>
      <c r="G3745" s="38" t="n">
        <f aca="false">MONTH(A3745)</f>
        <v>12</v>
      </c>
      <c r="H3745" s="38" t="n">
        <f aca="false">YEAR(Tabela1[[#This Row],[FECHA]])</f>
        <v>1900</v>
      </c>
      <c r="I37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46" customFormat="false" ht="15" hidden="false" customHeight="false" outlineLevel="0" collapsed="false">
      <c r="A3746" s="41"/>
      <c r="G3746" s="38" t="n">
        <f aca="false">MONTH(A3746)</f>
        <v>12</v>
      </c>
      <c r="H3746" s="38" t="n">
        <f aca="false">YEAR(Tabela1[[#This Row],[FECHA]])</f>
        <v>1900</v>
      </c>
      <c r="I37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47" customFormat="false" ht="15" hidden="false" customHeight="false" outlineLevel="0" collapsed="false">
      <c r="A3747" s="41"/>
      <c r="G3747" s="38" t="n">
        <f aca="false">MONTH(A3747)</f>
        <v>12</v>
      </c>
      <c r="H3747" s="38" t="n">
        <f aca="false">YEAR(Tabela1[[#This Row],[FECHA]])</f>
        <v>1900</v>
      </c>
      <c r="I37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48" customFormat="false" ht="15" hidden="false" customHeight="false" outlineLevel="0" collapsed="false">
      <c r="A3748" s="41"/>
      <c r="G3748" s="38" t="n">
        <f aca="false">MONTH(A3748)</f>
        <v>12</v>
      </c>
      <c r="H3748" s="38" t="n">
        <f aca="false">YEAR(Tabela1[[#This Row],[FECHA]])</f>
        <v>1900</v>
      </c>
      <c r="I37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49" customFormat="false" ht="15" hidden="false" customHeight="false" outlineLevel="0" collapsed="false">
      <c r="A3749" s="41"/>
      <c r="G3749" s="38" t="n">
        <f aca="false">MONTH(A3749)</f>
        <v>12</v>
      </c>
      <c r="H3749" s="38" t="n">
        <f aca="false">YEAR(Tabela1[[#This Row],[FECHA]])</f>
        <v>1900</v>
      </c>
      <c r="I37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50" customFormat="false" ht="15" hidden="false" customHeight="false" outlineLevel="0" collapsed="false">
      <c r="A3750" s="41"/>
      <c r="G3750" s="38" t="n">
        <f aca="false">MONTH(A3750)</f>
        <v>12</v>
      </c>
      <c r="H3750" s="38" t="n">
        <f aca="false">YEAR(Tabela1[[#This Row],[FECHA]])</f>
        <v>1900</v>
      </c>
      <c r="I37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51" customFormat="false" ht="15" hidden="false" customHeight="false" outlineLevel="0" collapsed="false">
      <c r="A3751" s="41"/>
      <c r="G3751" s="38" t="n">
        <f aca="false">MONTH(A3751)</f>
        <v>12</v>
      </c>
      <c r="H3751" s="38" t="n">
        <f aca="false">YEAR(Tabela1[[#This Row],[FECHA]])</f>
        <v>1900</v>
      </c>
      <c r="I37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52" customFormat="false" ht="15" hidden="false" customHeight="false" outlineLevel="0" collapsed="false">
      <c r="A3752" s="41"/>
      <c r="G3752" s="38" t="n">
        <f aca="false">MONTH(A3752)</f>
        <v>12</v>
      </c>
      <c r="H3752" s="38" t="n">
        <f aca="false">YEAR(Tabela1[[#This Row],[FECHA]])</f>
        <v>1900</v>
      </c>
      <c r="I37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53" customFormat="false" ht="15" hidden="false" customHeight="false" outlineLevel="0" collapsed="false">
      <c r="A3753" s="41"/>
      <c r="G3753" s="38" t="n">
        <f aca="false">MONTH(A3753)</f>
        <v>12</v>
      </c>
      <c r="H3753" s="38" t="n">
        <f aca="false">YEAR(Tabela1[[#This Row],[FECHA]])</f>
        <v>1900</v>
      </c>
      <c r="I37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54" customFormat="false" ht="15" hidden="false" customHeight="false" outlineLevel="0" collapsed="false">
      <c r="A3754" s="41"/>
      <c r="G3754" s="38" t="n">
        <f aca="false">MONTH(A3754)</f>
        <v>12</v>
      </c>
      <c r="H3754" s="38" t="n">
        <f aca="false">YEAR(Tabela1[[#This Row],[FECHA]])</f>
        <v>1900</v>
      </c>
      <c r="I37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55" customFormat="false" ht="15" hidden="false" customHeight="false" outlineLevel="0" collapsed="false">
      <c r="A3755" s="41"/>
      <c r="G3755" s="38" t="n">
        <f aca="false">MONTH(A3755)</f>
        <v>12</v>
      </c>
      <c r="H3755" s="38" t="n">
        <f aca="false">YEAR(Tabela1[[#This Row],[FECHA]])</f>
        <v>1900</v>
      </c>
      <c r="I37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56" customFormat="false" ht="15" hidden="false" customHeight="false" outlineLevel="0" collapsed="false">
      <c r="A3756" s="41"/>
      <c r="G3756" s="38" t="n">
        <f aca="false">MONTH(A3756)</f>
        <v>12</v>
      </c>
      <c r="H3756" s="38" t="n">
        <f aca="false">YEAR(Tabela1[[#This Row],[FECHA]])</f>
        <v>1900</v>
      </c>
      <c r="I37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57" customFormat="false" ht="15" hidden="false" customHeight="false" outlineLevel="0" collapsed="false">
      <c r="A3757" s="41"/>
      <c r="G3757" s="38" t="n">
        <f aca="false">MONTH(A3757)</f>
        <v>12</v>
      </c>
      <c r="H3757" s="38" t="n">
        <f aca="false">YEAR(Tabela1[[#This Row],[FECHA]])</f>
        <v>1900</v>
      </c>
      <c r="I37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58" customFormat="false" ht="15" hidden="false" customHeight="false" outlineLevel="0" collapsed="false">
      <c r="A3758" s="41"/>
      <c r="G3758" s="38" t="n">
        <f aca="false">MONTH(A3758)</f>
        <v>12</v>
      </c>
      <c r="H3758" s="38" t="n">
        <f aca="false">YEAR(Tabela1[[#This Row],[FECHA]])</f>
        <v>1900</v>
      </c>
      <c r="I37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59" customFormat="false" ht="15" hidden="false" customHeight="false" outlineLevel="0" collapsed="false">
      <c r="A3759" s="41"/>
      <c r="G3759" s="38" t="n">
        <f aca="false">MONTH(A3759)</f>
        <v>12</v>
      </c>
      <c r="H3759" s="38" t="n">
        <f aca="false">YEAR(Tabela1[[#This Row],[FECHA]])</f>
        <v>1900</v>
      </c>
      <c r="I37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60" customFormat="false" ht="15" hidden="false" customHeight="false" outlineLevel="0" collapsed="false">
      <c r="A3760" s="41"/>
      <c r="G3760" s="38" t="n">
        <f aca="false">MONTH(A3760)</f>
        <v>12</v>
      </c>
      <c r="H3760" s="38" t="n">
        <f aca="false">YEAR(Tabela1[[#This Row],[FECHA]])</f>
        <v>1900</v>
      </c>
      <c r="I37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61" customFormat="false" ht="15" hidden="false" customHeight="false" outlineLevel="0" collapsed="false">
      <c r="A3761" s="41"/>
      <c r="G3761" s="38" t="n">
        <f aca="false">MONTH(A3761)</f>
        <v>12</v>
      </c>
      <c r="H3761" s="38" t="n">
        <f aca="false">YEAR(Tabela1[[#This Row],[FECHA]])</f>
        <v>1900</v>
      </c>
      <c r="I37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62" customFormat="false" ht="15" hidden="false" customHeight="false" outlineLevel="0" collapsed="false">
      <c r="A3762" s="41"/>
      <c r="G3762" s="38" t="n">
        <f aca="false">MONTH(A3762)</f>
        <v>12</v>
      </c>
      <c r="H3762" s="38" t="n">
        <f aca="false">YEAR(Tabela1[[#This Row],[FECHA]])</f>
        <v>1900</v>
      </c>
      <c r="I37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63" customFormat="false" ht="15" hidden="false" customHeight="false" outlineLevel="0" collapsed="false">
      <c r="A3763" s="41"/>
      <c r="G3763" s="38" t="n">
        <f aca="false">MONTH(A3763)</f>
        <v>12</v>
      </c>
      <c r="H3763" s="38" t="n">
        <f aca="false">YEAR(Tabela1[[#This Row],[FECHA]])</f>
        <v>1900</v>
      </c>
      <c r="I37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64" customFormat="false" ht="15" hidden="false" customHeight="false" outlineLevel="0" collapsed="false">
      <c r="A3764" s="41"/>
      <c r="G3764" s="38" t="n">
        <f aca="false">MONTH(A3764)</f>
        <v>12</v>
      </c>
      <c r="H3764" s="38" t="n">
        <f aca="false">YEAR(Tabela1[[#This Row],[FECHA]])</f>
        <v>1900</v>
      </c>
      <c r="I37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65" customFormat="false" ht="15" hidden="false" customHeight="false" outlineLevel="0" collapsed="false">
      <c r="A3765" s="41"/>
      <c r="G3765" s="38" t="n">
        <f aca="false">MONTH(A3765)</f>
        <v>12</v>
      </c>
      <c r="H3765" s="38" t="n">
        <f aca="false">YEAR(Tabela1[[#This Row],[FECHA]])</f>
        <v>1900</v>
      </c>
      <c r="I37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66" customFormat="false" ht="15" hidden="false" customHeight="false" outlineLevel="0" collapsed="false">
      <c r="A3766" s="41"/>
      <c r="G3766" s="38" t="n">
        <f aca="false">MONTH(A3766)</f>
        <v>12</v>
      </c>
      <c r="H3766" s="38" t="n">
        <f aca="false">YEAR(Tabela1[[#This Row],[FECHA]])</f>
        <v>1900</v>
      </c>
      <c r="I37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67" customFormat="false" ht="15" hidden="false" customHeight="false" outlineLevel="0" collapsed="false">
      <c r="A3767" s="41"/>
      <c r="G3767" s="38" t="n">
        <f aca="false">MONTH(A3767)</f>
        <v>12</v>
      </c>
      <c r="H3767" s="38" t="n">
        <f aca="false">YEAR(Tabela1[[#This Row],[FECHA]])</f>
        <v>1900</v>
      </c>
      <c r="I37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68" customFormat="false" ht="15" hidden="false" customHeight="false" outlineLevel="0" collapsed="false">
      <c r="A3768" s="41"/>
      <c r="G3768" s="38" t="n">
        <f aca="false">MONTH(A3768)</f>
        <v>12</v>
      </c>
      <c r="H3768" s="38" t="n">
        <f aca="false">YEAR(Tabela1[[#This Row],[FECHA]])</f>
        <v>1900</v>
      </c>
      <c r="I37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69" customFormat="false" ht="15" hidden="false" customHeight="false" outlineLevel="0" collapsed="false">
      <c r="A3769" s="41"/>
      <c r="G3769" s="38" t="n">
        <f aca="false">MONTH(A3769)</f>
        <v>12</v>
      </c>
      <c r="H3769" s="38" t="n">
        <f aca="false">YEAR(Tabela1[[#This Row],[FECHA]])</f>
        <v>1900</v>
      </c>
      <c r="I37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70" customFormat="false" ht="15" hidden="false" customHeight="false" outlineLevel="0" collapsed="false">
      <c r="A3770" s="41"/>
      <c r="G3770" s="38" t="n">
        <f aca="false">MONTH(A3770)</f>
        <v>12</v>
      </c>
      <c r="H3770" s="38" t="n">
        <f aca="false">YEAR(Tabela1[[#This Row],[FECHA]])</f>
        <v>1900</v>
      </c>
      <c r="I37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71" customFormat="false" ht="15" hidden="false" customHeight="false" outlineLevel="0" collapsed="false">
      <c r="A3771" s="41"/>
      <c r="G3771" s="38" t="n">
        <f aca="false">MONTH(A3771)</f>
        <v>12</v>
      </c>
      <c r="H3771" s="38" t="n">
        <f aca="false">YEAR(Tabela1[[#This Row],[FECHA]])</f>
        <v>1900</v>
      </c>
      <c r="I37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72" customFormat="false" ht="15" hidden="false" customHeight="false" outlineLevel="0" collapsed="false">
      <c r="A3772" s="41"/>
      <c r="G3772" s="38" t="n">
        <f aca="false">MONTH(A3772)</f>
        <v>12</v>
      </c>
      <c r="H3772" s="38" t="n">
        <f aca="false">YEAR(Tabela1[[#This Row],[FECHA]])</f>
        <v>1900</v>
      </c>
      <c r="I37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73" customFormat="false" ht="15" hidden="false" customHeight="false" outlineLevel="0" collapsed="false">
      <c r="A3773" s="41"/>
      <c r="G3773" s="38" t="n">
        <f aca="false">MONTH(A3773)</f>
        <v>12</v>
      </c>
      <c r="H3773" s="38" t="n">
        <f aca="false">YEAR(Tabela1[[#This Row],[FECHA]])</f>
        <v>1900</v>
      </c>
      <c r="I37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74" customFormat="false" ht="15" hidden="false" customHeight="false" outlineLevel="0" collapsed="false">
      <c r="A3774" s="41"/>
      <c r="G3774" s="38" t="n">
        <f aca="false">MONTH(A3774)</f>
        <v>12</v>
      </c>
      <c r="H3774" s="38" t="n">
        <f aca="false">YEAR(Tabela1[[#This Row],[FECHA]])</f>
        <v>1900</v>
      </c>
      <c r="I37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75" customFormat="false" ht="15" hidden="false" customHeight="false" outlineLevel="0" collapsed="false">
      <c r="A3775" s="41"/>
      <c r="G3775" s="38" t="n">
        <f aca="false">MONTH(A3775)</f>
        <v>12</v>
      </c>
      <c r="H3775" s="38" t="n">
        <f aca="false">YEAR(Tabela1[[#This Row],[FECHA]])</f>
        <v>1900</v>
      </c>
      <c r="I37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76" customFormat="false" ht="15" hidden="false" customHeight="false" outlineLevel="0" collapsed="false">
      <c r="A3776" s="41"/>
      <c r="G3776" s="38" t="n">
        <f aca="false">MONTH(A3776)</f>
        <v>12</v>
      </c>
      <c r="H3776" s="38" t="n">
        <f aca="false">YEAR(Tabela1[[#This Row],[FECHA]])</f>
        <v>1900</v>
      </c>
      <c r="I37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77" customFormat="false" ht="15" hidden="false" customHeight="false" outlineLevel="0" collapsed="false">
      <c r="A3777" s="41"/>
      <c r="G3777" s="38" t="n">
        <f aca="false">MONTH(A3777)</f>
        <v>12</v>
      </c>
      <c r="H3777" s="38" t="n">
        <f aca="false">YEAR(Tabela1[[#This Row],[FECHA]])</f>
        <v>1900</v>
      </c>
      <c r="I37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78" customFormat="false" ht="15" hidden="false" customHeight="false" outlineLevel="0" collapsed="false">
      <c r="A3778" s="41"/>
      <c r="G3778" s="38" t="n">
        <f aca="false">MONTH(A3778)</f>
        <v>12</v>
      </c>
      <c r="H3778" s="38" t="n">
        <f aca="false">YEAR(Tabela1[[#This Row],[FECHA]])</f>
        <v>1900</v>
      </c>
      <c r="I37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79" customFormat="false" ht="15" hidden="false" customHeight="false" outlineLevel="0" collapsed="false">
      <c r="A3779" s="41"/>
      <c r="G3779" s="38" t="n">
        <f aca="false">MONTH(A3779)</f>
        <v>12</v>
      </c>
      <c r="H3779" s="38" t="n">
        <f aca="false">YEAR(Tabela1[[#This Row],[FECHA]])</f>
        <v>1900</v>
      </c>
      <c r="I37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80" customFormat="false" ht="15" hidden="false" customHeight="false" outlineLevel="0" collapsed="false">
      <c r="A3780" s="41"/>
      <c r="G3780" s="38" t="n">
        <f aca="false">MONTH(A3780)</f>
        <v>12</v>
      </c>
      <c r="H3780" s="38" t="n">
        <f aca="false">YEAR(Tabela1[[#This Row],[FECHA]])</f>
        <v>1900</v>
      </c>
      <c r="I37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81" customFormat="false" ht="15" hidden="false" customHeight="false" outlineLevel="0" collapsed="false">
      <c r="A3781" s="41"/>
      <c r="G3781" s="38" t="n">
        <f aca="false">MONTH(A3781)</f>
        <v>12</v>
      </c>
      <c r="H3781" s="38" t="n">
        <f aca="false">YEAR(Tabela1[[#This Row],[FECHA]])</f>
        <v>1900</v>
      </c>
      <c r="I37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82" customFormat="false" ht="15" hidden="false" customHeight="false" outlineLevel="0" collapsed="false">
      <c r="A3782" s="41"/>
      <c r="G3782" s="38" t="n">
        <f aca="false">MONTH(A3782)</f>
        <v>12</v>
      </c>
      <c r="H3782" s="38" t="n">
        <f aca="false">YEAR(Tabela1[[#This Row],[FECHA]])</f>
        <v>1900</v>
      </c>
      <c r="I37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83" customFormat="false" ht="15" hidden="false" customHeight="false" outlineLevel="0" collapsed="false">
      <c r="A3783" s="41"/>
      <c r="G3783" s="38" t="n">
        <f aca="false">MONTH(A3783)</f>
        <v>12</v>
      </c>
      <c r="H3783" s="38" t="n">
        <f aca="false">YEAR(Tabela1[[#This Row],[FECHA]])</f>
        <v>1900</v>
      </c>
      <c r="I37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84" customFormat="false" ht="15" hidden="false" customHeight="false" outlineLevel="0" collapsed="false">
      <c r="A3784" s="41"/>
      <c r="G3784" s="38" t="n">
        <f aca="false">MONTH(A3784)</f>
        <v>12</v>
      </c>
      <c r="H3784" s="38" t="n">
        <f aca="false">YEAR(Tabela1[[#This Row],[FECHA]])</f>
        <v>1900</v>
      </c>
      <c r="I37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85" customFormat="false" ht="15" hidden="false" customHeight="false" outlineLevel="0" collapsed="false">
      <c r="A3785" s="41"/>
      <c r="G3785" s="38" t="n">
        <f aca="false">MONTH(A3785)</f>
        <v>12</v>
      </c>
      <c r="H3785" s="38" t="n">
        <f aca="false">YEAR(Tabela1[[#This Row],[FECHA]])</f>
        <v>1900</v>
      </c>
      <c r="I37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86" customFormat="false" ht="15" hidden="false" customHeight="false" outlineLevel="0" collapsed="false">
      <c r="A3786" s="41"/>
      <c r="G3786" s="38" t="n">
        <f aca="false">MONTH(A3786)</f>
        <v>12</v>
      </c>
      <c r="H3786" s="38" t="n">
        <f aca="false">YEAR(Tabela1[[#This Row],[FECHA]])</f>
        <v>1900</v>
      </c>
      <c r="I37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87" customFormat="false" ht="15" hidden="false" customHeight="false" outlineLevel="0" collapsed="false">
      <c r="A3787" s="41"/>
      <c r="G3787" s="38" t="n">
        <f aca="false">MONTH(A3787)</f>
        <v>12</v>
      </c>
      <c r="H3787" s="38" t="n">
        <f aca="false">YEAR(Tabela1[[#This Row],[FECHA]])</f>
        <v>1900</v>
      </c>
      <c r="I37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88" customFormat="false" ht="15" hidden="false" customHeight="false" outlineLevel="0" collapsed="false">
      <c r="A3788" s="41"/>
      <c r="G3788" s="38" t="n">
        <f aca="false">MONTH(A3788)</f>
        <v>12</v>
      </c>
      <c r="H3788" s="38" t="n">
        <f aca="false">YEAR(Tabela1[[#This Row],[FECHA]])</f>
        <v>1900</v>
      </c>
      <c r="I37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89" customFormat="false" ht="15" hidden="false" customHeight="false" outlineLevel="0" collapsed="false">
      <c r="A3789" s="41"/>
      <c r="G3789" s="38" t="n">
        <f aca="false">MONTH(A3789)</f>
        <v>12</v>
      </c>
      <c r="H3789" s="38" t="n">
        <f aca="false">YEAR(Tabela1[[#This Row],[FECHA]])</f>
        <v>1900</v>
      </c>
      <c r="I37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90" customFormat="false" ht="15" hidden="false" customHeight="false" outlineLevel="0" collapsed="false">
      <c r="A3790" s="41"/>
      <c r="G3790" s="38" t="n">
        <f aca="false">MONTH(A3790)</f>
        <v>12</v>
      </c>
      <c r="H3790" s="38" t="n">
        <f aca="false">YEAR(Tabela1[[#This Row],[FECHA]])</f>
        <v>1900</v>
      </c>
      <c r="I37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91" customFormat="false" ht="15" hidden="false" customHeight="false" outlineLevel="0" collapsed="false">
      <c r="A3791" s="41"/>
      <c r="G3791" s="38" t="n">
        <f aca="false">MONTH(A3791)</f>
        <v>12</v>
      </c>
      <c r="H3791" s="38" t="n">
        <f aca="false">YEAR(Tabela1[[#This Row],[FECHA]])</f>
        <v>1900</v>
      </c>
      <c r="I37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92" customFormat="false" ht="15" hidden="false" customHeight="false" outlineLevel="0" collapsed="false">
      <c r="A3792" s="41"/>
      <c r="G3792" s="38" t="n">
        <f aca="false">MONTH(A3792)</f>
        <v>12</v>
      </c>
      <c r="H3792" s="38" t="n">
        <f aca="false">YEAR(Tabela1[[#This Row],[FECHA]])</f>
        <v>1900</v>
      </c>
      <c r="I37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93" customFormat="false" ht="15" hidden="false" customHeight="false" outlineLevel="0" collapsed="false">
      <c r="A3793" s="41"/>
      <c r="G3793" s="38" t="n">
        <f aca="false">MONTH(A3793)</f>
        <v>12</v>
      </c>
      <c r="H3793" s="38" t="n">
        <f aca="false">YEAR(Tabela1[[#This Row],[FECHA]])</f>
        <v>1900</v>
      </c>
      <c r="I37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94" customFormat="false" ht="15" hidden="false" customHeight="false" outlineLevel="0" collapsed="false">
      <c r="A3794" s="41"/>
      <c r="G3794" s="38" t="n">
        <f aca="false">MONTH(A3794)</f>
        <v>12</v>
      </c>
      <c r="H3794" s="38" t="n">
        <f aca="false">YEAR(Tabela1[[#This Row],[FECHA]])</f>
        <v>1900</v>
      </c>
      <c r="I37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95" customFormat="false" ht="15" hidden="false" customHeight="false" outlineLevel="0" collapsed="false">
      <c r="A3795" s="41"/>
      <c r="G3795" s="38" t="n">
        <f aca="false">MONTH(A3795)</f>
        <v>12</v>
      </c>
      <c r="H3795" s="38" t="n">
        <f aca="false">YEAR(Tabela1[[#This Row],[FECHA]])</f>
        <v>1900</v>
      </c>
      <c r="I37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96" customFormat="false" ht="15" hidden="false" customHeight="false" outlineLevel="0" collapsed="false">
      <c r="A3796" s="41"/>
      <c r="G3796" s="38" t="n">
        <f aca="false">MONTH(A3796)</f>
        <v>12</v>
      </c>
      <c r="H3796" s="38" t="n">
        <f aca="false">YEAR(Tabela1[[#This Row],[FECHA]])</f>
        <v>1900</v>
      </c>
      <c r="I37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97" customFormat="false" ht="15" hidden="false" customHeight="false" outlineLevel="0" collapsed="false">
      <c r="A3797" s="41"/>
      <c r="G3797" s="38" t="n">
        <f aca="false">MONTH(A3797)</f>
        <v>12</v>
      </c>
      <c r="H3797" s="38" t="n">
        <f aca="false">YEAR(Tabela1[[#This Row],[FECHA]])</f>
        <v>1900</v>
      </c>
      <c r="I37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98" customFormat="false" ht="15" hidden="false" customHeight="false" outlineLevel="0" collapsed="false">
      <c r="A3798" s="41"/>
      <c r="G3798" s="38" t="n">
        <f aca="false">MONTH(A3798)</f>
        <v>12</v>
      </c>
      <c r="H3798" s="38" t="n">
        <f aca="false">YEAR(Tabela1[[#This Row],[FECHA]])</f>
        <v>1900</v>
      </c>
      <c r="I37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799" customFormat="false" ht="15" hidden="false" customHeight="false" outlineLevel="0" collapsed="false">
      <c r="A3799" s="41"/>
      <c r="G3799" s="38" t="n">
        <f aca="false">MONTH(A3799)</f>
        <v>12</v>
      </c>
      <c r="H3799" s="38" t="n">
        <f aca="false">YEAR(Tabela1[[#This Row],[FECHA]])</f>
        <v>1900</v>
      </c>
      <c r="I37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00" customFormat="false" ht="15" hidden="false" customHeight="false" outlineLevel="0" collapsed="false">
      <c r="A3800" s="41"/>
      <c r="G3800" s="38" t="n">
        <f aca="false">MONTH(A3800)</f>
        <v>12</v>
      </c>
      <c r="H3800" s="38" t="n">
        <f aca="false">YEAR(Tabela1[[#This Row],[FECHA]])</f>
        <v>1900</v>
      </c>
      <c r="I38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01" customFormat="false" ht="15" hidden="false" customHeight="false" outlineLevel="0" collapsed="false">
      <c r="A3801" s="41"/>
      <c r="G3801" s="38" t="n">
        <f aca="false">MONTH(A3801)</f>
        <v>12</v>
      </c>
      <c r="H3801" s="38" t="n">
        <f aca="false">YEAR(Tabela1[[#This Row],[FECHA]])</f>
        <v>1900</v>
      </c>
      <c r="I38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02" customFormat="false" ht="15" hidden="false" customHeight="false" outlineLevel="0" collapsed="false">
      <c r="A3802" s="41"/>
      <c r="G3802" s="38" t="n">
        <f aca="false">MONTH(A3802)</f>
        <v>12</v>
      </c>
      <c r="H3802" s="38" t="n">
        <f aca="false">YEAR(Tabela1[[#This Row],[FECHA]])</f>
        <v>1900</v>
      </c>
      <c r="I38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03" customFormat="false" ht="15" hidden="false" customHeight="false" outlineLevel="0" collapsed="false">
      <c r="A3803" s="41"/>
      <c r="G3803" s="38" t="n">
        <f aca="false">MONTH(A3803)</f>
        <v>12</v>
      </c>
      <c r="H3803" s="38" t="n">
        <f aca="false">YEAR(Tabela1[[#This Row],[FECHA]])</f>
        <v>1900</v>
      </c>
      <c r="I38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04" customFormat="false" ht="15" hidden="false" customHeight="false" outlineLevel="0" collapsed="false">
      <c r="A3804" s="41"/>
      <c r="G3804" s="38" t="n">
        <f aca="false">MONTH(A3804)</f>
        <v>12</v>
      </c>
      <c r="H3804" s="38" t="n">
        <f aca="false">YEAR(Tabela1[[#This Row],[FECHA]])</f>
        <v>1900</v>
      </c>
      <c r="I38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05" customFormat="false" ht="15" hidden="false" customHeight="false" outlineLevel="0" collapsed="false">
      <c r="A3805" s="41"/>
      <c r="G3805" s="38" t="n">
        <f aca="false">MONTH(A3805)</f>
        <v>12</v>
      </c>
      <c r="H3805" s="38" t="n">
        <f aca="false">YEAR(Tabela1[[#This Row],[FECHA]])</f>
        <v>1900</v>
      </c>
      <c r="I38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06" customFormat="false" ht="15" hidden="false" customHeight="false" outlineLevel="0" collapsed="false">
      <c r="A3806" s="41"/>
      <c r="G3806" s="38" t="n">
        <f aca="false">MONTH(A3806)</f>
        <v>12</v>
      </c>
      <c r="H3806" s="38" t="n">
        <f aca="false">YEAR(Tabela1[[#This Row],[FECHA]])</f>
        <v>1900</v>
      </c>
      <c r="I38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07" customFormat="false" ht="15" hidden="false" customHeight="false" outlineLevel="0" collapsed="false">
      <c r="A3807" s="41"/>
      <c r="G3807" s="38" t="n">
        <f aca="false">MONTH(A3807)</f>
        <v>12</v>
      </c>
      <c r="H3807" s="38" t="n">
        <f aca="false">YEAR(Tabela1[[#This Row],[FECHA]])</f>
        <v>1900</v>
      </c>
      <c r="I38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08" customFormat="false" ht="15" hidden="false" customHeight="false" outlineLevel="0" collapsed="false">
      <c r="A3808" s="41"/>
      <c r="G3808" s="38" t="n">
        <f aca="false">MONTH(A3808)</f>
        <v>12</v>
      </c>
      <c r="H3808" s="38" t="n">
        <f aca="false">YEAR(Tabela1[[#This Row],[FECHA]])</f>
        <v>1900</v>
      </c>
      <c r="I38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09" customFormat="false" ht="15" hidden="false" customHeight="false" outlineLevel="0" collapsed="false">
      <c r="A3809" s="41"/>
      <c r="G3809" s="38" t="n">
        <f aca="false">MONTH(A3809)</f>
        <v>12</v>
      </c>
      <c r="H3809" s="38" t="n">
        <f aca="false">YEAR(Tabela1[[#This Row],[FECHA]])</f>
        <v>1900</v>
      </c>
      <c r="I38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10" customFormat="false" ht="15" hidden="false" customHeight="false" outlineLevel="0" collapsed="false">
      <c r="A3810" s="41"/>
      <c r="G3810" s="38" t="n">
        <f aca="false">MONTH(A3810)</f>
        <v>12</v>
      </c>
      <c r="H3810" s="38" t="n">
        <f aca="false">YEAR(Tabela1[[#This Row],[FECHA]])</f>
        <v>1900</v>
      </c>
      <c r="I38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11" customFormat="false" ht="15" hidden="false" customHeight="false" outlineLevel="0" collapsed="false">
      <c r="A3811" s="41"/>
      <c r="G3811" s="38" t="n">
        <f aca="false">MONTH(A3811)</f>
        <v>12</v>
      </c>
      <c r="H3811" s="38" t="n">
        <f aca="false">YEAR(Tabela1[[#This Row],[FECHA]])</f>
        <v>1900</v>
      </c>
      <c r="I38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12" customFormat="false" ht="15" hidden="false" customHeight="false" outlineLevel="0" collapsed="false">
      <c r="A3812" s="41"/>
      <c r="G3812" s="38" t="n">
        <f aca="false">MONTH(A3812)</f>
        <v>12</v>
      </c>
      <c r="H3812" s="38" t="n">
        <f aca="false">YEAR(Tabela1[[#This Row],[FECHA]])</f>
        <v>1900</v>
      </c>
      <c r="I38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13" customFormat="false" ht="15" hidden="false" customHeight="false" outlineLevel="0" collapsed="false">
      <c r="A3813" s="41"/>
      <c r="G3813" s="38" t="n">
        <f aca="false">MONTH(A3813)</f>
        <v>12</v>
      </c>
      <c r="H3813" s="38" t="n">
        <f aca="false">YEAR(Tabela1[[#This Row],[FECHA]])</f>
        <v>1900</v>
      </c>
      <c r="I38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14" customFormat="false" ht="15" hidden="false" customHeight="false" outlineLevel="0" collapsed="false">
      <c r="A3814" s="41"/>
      <c r="G3814" s="38" t="n">
        <f aca="false">MONTH(A3814)</f>
        <v>12</v>
      </c>
      <c r="H3814" s="38" t="n">
        <f aca="false">YEAR(Tabela1[[#This Row],[FECHA]])</f>
        <v>1900</v>
      </c>
      <c r="I38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15" customFormat="false" ht="15" hidden="false" customHeight="false" outlineLevel="0" collapsed="false">
      <c r="A3815" s="41"/>
      <c r="G3815" s="38" t="n">
        <f aca="false">MONTH(A3815)</f>
        <v>12</v>
      </c>
      <c r="H3815" s="38" t="n">
        <f aca="false">YEAR(Tabela1[[#This Row],[FECHA]])</f>
        <v>1900</v>
      </c>
      <c r="I38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16" customFormat="false" ht="15" hidden="false" customHeight="false" outlineLevel="0" collapsed="false">
      <c r="A3816" s="41"/>
      <c r="G3816" s="38" t="n">
        <f aca="false">MONTH(A3816)</f>
        <v>12</v>
      </c>
      <c r="H3816" s="38" t="n">
        <f aca="false">YEAR(Tabela1[[#This Row],[FECHA]])</f>
        <v>1900</v>
      </c>
      <c r="I38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17" customFormat="false" ht="15" hidden="false" customHeight="false" outlineLevel="0" collapsed="false">
      <c r="A3817" s="41"/>
      <c r="G3817" s="38" t="n">
        <f aca="false">MONTH(A3817)</f>
        <v>12</v>
      </c>
      <c r="H3817" s="38" t="n">
        <f aca="false">YEAR(Tabela1[[#This Row],[FECHA]])</f>
        <v>1900</v>
      </c>
      <c r="I38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18" customFormat="false" ht="15" hidden="false" customHeight="false" outlineLevel="0" collapsed="false">
      <c r="A3818" s="41"/>
      <c r="G3818" s="38" t="n">
        <f aca="false">MONTH(A3818)</f>
        <v>12</v>
      </c>
      <c r="H3818" s="38" t="n">
        <f aca="false">YEAR(Tabela1[[#This Row],[FECHA]])</f>
        <v>1900</v>
      </c>
      <c r="I38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19" customFormat="false" ht="15" hidden="false" customHeight="false" outlineLevel="0" collapsed="false">
      <c r="A3819" s="41"/>
      <c r="G3819" s="38" t="n">
        <f aca="false">MONTH(A3819)</f>
        <v>12</v>
      </c>
      <c r="H3819" s="38" t="n">
        <f aca="false">YEAR(Tabela1[[#This Row],[FECHA]])</f>
        <v>1900</v>
      </c>
      <c r="I38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20" customFormat="false" ht="15" hidden="false" customHeight="false" outlineLevel="0" collapsed="false">
      <c r="A3820" s="41"/>
      <c r="G3820" s="38" t="n">
        <f aca="false">MONTH(A3820)</f>
        <v>12</v>
      </c>
      <c r="H3820" s="38" t="n">
        <f aca="false">YEAR(Tabela1[[#This Row],[FECHA]])</f>
        <v>1900</v>
      </c>
      <c r="I38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21" customFormat="false" ht="15" hidden="false" customHeight="false" outlineLevel="0" collapsed="false">
      <c r="A3821" s="41"/>
      <c r="G3821" s="38" t="n">
        <f aca="false">MONTH(A3821)</f>
        <v>12</v>
      </c>
      <c r="H3821" s="38" t="n">
        <f aca="false">YEAR(Tabela1[[#This Row],[FECHA]])</f>
        <v>1900</v>
      </c>
      <c r="I38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22" customFormat="false" ht="15" hidden="false" customHeight="false" outlineLevel="0" collapsed="false">
      <c r="A3822" s="41"/>
      <c r="G3822" s="38" t="n">
        <f aca="false">MONTH(A3822)</f>
        <v>12</v>
      </c>
      <c r="H3822" s="38" t="n">
        <f aca="false">YEAR(Tabela1[[#This Row],[FECHA]])</f>
        <v>1900</v>
      </c>
      <c r="I38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23" customFormat="false" ht="15" hidden="false" customHeight="false" outlineLevel="0" collapsed="false">
      <c r="A3823" s="41"/>
      <c r="G3823" s="38" t="n">
        <f aca="false">MONTH(A3823)</f>
        <v>12</v>
      </c>
      <c r="H3823" s="38" t="n">
        <f aca="false">YEAR(Tabela1[[#This Row],[FECHA]])</f>
        <v>1900</v>
      </c>
      <c r="I38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24" customFormat="false" ht="15" hidden="false" customHeight="false" outlineLevel="0" collapsed="false">
      <c r="A3824" s="41"/>
      <c r="G3824" s="38" t="n">
        <f aca="false">MONTH(A3824)</f>
        <v>12</v>
      </c>
      <c r="H3824" s="38" t="n">
        <f aca="false">YEAR(Tabela1[[#This Row],[FECHA]])</f>
        <v>1900</v>
      </c>
      <c r="I38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25" customFormat="false" ht="15" hidden="false" customHeight="false" outlineLevel="0" collapsed="false">
      <c r="A3825" s="41"/>
      <c r="G3825" s="38" t="n">
        <f aca="false">MONTH(A3825)</f>
        <v>12</v>
      </c>
      <c r="H3825" s="38" t="n">
        <f aca="false">YEAR(Tabela1[[#This Row],[FECHA]])</f>
        <v>1900</v>
      </c>
      <c r="I38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26" customFormat="false" ht="15" hidden="false" customHeight="false" outlineLevel="0" collapsed="false">
      <c r="A3826" s="41"/>
      <c r="G3826" s="38" t="n">
        <f aca="false">MONTH(A3826)</f>
        <v>12</v>
      </c>
      <c r="H3826" s="38" t="n">
        <f aca="false">YEAR(Tabela1[[#This Row],[FECHA]])</f>
        <v>1900</v>
      </c>
      <c r="I38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27" customFormat="false" ht="15" hidden="false" customHeight="false" outlineLevel="0" collapsed="false">
      <c r="A3827" s="41"/>
      <c r="G3827" s="38" t="n">
        <f aca="false">MONTH(A3827)</f>
        <v>12</v>
      </c>
      <c r="H3827" s="38" t="n">
        <f aca="false">YEAR(Tabela1[[#This Row],[FECHA]])</f>
        <v>1900</v>
      </c>
      <c r="I38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28" customFormat="false" ht="15" hidden="false" customHeight="false" outlineLevel="0" collapsed="false">
      <c r="A3828" s="41"/>
      <c r="G3828" s="38" t="n">
        <f aca="false">MONTH(A3828)</f>
        <v>12</v>
      </c>
      <c r="H3828" s="38" t="n">
        <f aca="false">YEAR(Tabela1[[#This Row],[FECHA]])</f>
        <v>1900</v>
      </c>
      <c r="I38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29" customFormat="false" ht="15" hidden="false" customHeight="false" outlineLevel="0" collapsed="false">
      <c r="A3829" s="41"/>
      <c r="G3829" s="38" t="n">
        <f aca="false">MONTH(A3829)</f>
        <v>12</v>
      </c>
      <c r="H3829" s="38" t="n">
        <f aca="false">YEAR(Tabela1[[#This Row],[FECHA]])</f>
        <v>1900</v>
      </c>
      <c r="I38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30" customFormat="false" ht="15" hidden="false" customHeight="false" outlineLevel="0" collapsed="false">
      <c r="A3830" s="41"/>
      <c r="G3830" s="38" t="n">
        <f aca="false">MONTH(A3830)</f>
        <v>12</v>
      </c>
      <c r="H3830" s="38" t="n">
        <f aca="false">YEAR(Tabela1[[#This Row],[FECHA]])</f>
        <v>1900</v>
      </c>
      <c r="I38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31" customFormat="false" ht="15" hidden="false" customHeight="false" outlineLevel="0" collapsed="false">
      <c r="A3831" s="41"/>
      <c r="G3831" s="38" t="n">
        <f aca="false">MONTH(A3831)</f>
        <v>12</v>
      </c>
      <c r="H3831" s="38" t="n">
        <f aca="false">YEAR(Tabela1[[#This Row],[FECHA]])</f>
        <v>1900</v>
      </c>
      <c r="I38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32" customFormat="false" ht="15" hidden="false" customHeight="false" outlineLevel="0" collapsed="false">
      <c r="A3832" s="41"/>
      <c r="G3832" s="38" t="n">
        <f aca="false">MONTH(A3832)</f>
        <v>12</v>
      </c>
      <c r="H3832" s="38" t="n">
        <f aca="false">YEAR(Tabela1[[#This Row],[FECHA]])</f>
        <v>1900</v>
      </c>
      <c r="I38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33" customFormat="false" ht="15" hidden="false" customHeight="false" outlineLevel="0" collapsed="false">
      <c r="A3833" s="41"/>
      <c r="G3833" s="38" t="n">
        <f aca="false">MONTH(A3833)</f>
        <v>12</v>
      </c>
      <c r="H3833" s="38" t="n">
        <f aca="false">YEAR(Tabela1[[#This Row],[FECHA]])</f>
        <v>1900</v>
      </c>
      <c r="I38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34" customFormat="false" ht="15" hidden="false" customHeight="false" outlineLevel="0" collapsed="false">
      <c r="A3834" s="41"/>
      <c r="G3834" s="38" t="n">
        <f aca="false">MONTH(A3834)</f>
        <v>12</v>
      </c>
      <c r="H3834" s="38" t="n">
        <f aca="false">YEAR(Tabela1[[#This Row],[FECHA]])</f>
        <v>1900</v>
      </c>
      <c r="I38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35" customFormat="false" ht="15" hidden="false" customHeight="false" outlineLevel="0" collapsed="false">
      <c r="A3835" s="41"/>
      <c r="G3835" s="38" t="n">
        <f aca="false">MONTH(A3835)</f>
        <v>12</v>
      </c>
      <c r="H3835" s="38" t="n">
        <f aca="false">YEAR(Tabela1[[#This Row],[FECHA]])</f>
        <v>1900</v>
      </c>
      <c r="I38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36" customFormat="false" ht="15" hidden="false" customHeight="false" outlineLevel="0" collapsed="false">
      <c r="A3836" s="41"/>
      <c r="G3836" s="38" t="n">
        <f aca="false">MONTH(A3836)</f>
        <v>12</v>
      </c>
      <c r="H3836" s="38" t="n">
        <f aca="false">YEAR(Tabela1[[#This Row],[FECHA]])</f>
        <v>1900</v>
      </c>
      <c r="I38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37" customFormat="false" ht="15" hidden="false" customHeight="false" outlineLevel="0" collapsed="false">
      <c r="A3837" s="41"/>
      <c r="G3837" s="38" t="n">
        <f aca="false">MONTH(A3837)</f>
        <v>12</v>
      </c>
      <c r="H3837" s="38" t="n">
        <f aca="false">YEAR(Tabela1[[#This Row],[FECHA]])</f>
        <v>1900</v>
      </c>
      <c r="I38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38" customFormat="false" ht="15" hidden="false" customHeight="false" outlineLevel="0" collapsed="false">
      <c r="A3838" s="41"/>
      <c r="G3838" s="38" t="n">
        <f aca="false">MONTH(A3838)</f>
        <v>12</v>
      </c>
      <c r="H3838" s="38" t="n">
        <f aca="false">YEAR(Tabela1[[#This Row],[FECHA]])</f>
        <v>1900</v>
      </c>
      <c r="I38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39" customFormat="false" ht="15" hidden="false" customHeight="false" outlineLevel="0" collapsed="false">
      <c r="A3839" s="41"/>
      <c r="G3839" s="38" t="n">
        <f aca="false">MONTH(A3839)</f>
        <v>12</v>
      </c>
      <c r="H3839" s="38" t="n">
        <f aca="false">YEAR(Tabela1[[#This Row],[FECHA]])</f>
        <v>1900</v>
      </c>
      <c r="I38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40" customFormat="false" ht="15" hidden="false" customHeight="false" outlineLevel="0" collapsed="false">
      <c r="A3840" s="41"/>
      <c r="G3840" s="38" t="n">
        <f aca="false">MONTH(A3840)</f>
        <v>12</v>
      </c>
      <c r="H3840" s="38" t="n">
        <f aca="false">YEAR(Tabela1[[#This Row],[FECHA]])</f>
        <v>1900</v>
      </c>
      <c r="I38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41" customFormat="false" ht="15" hidden="false" customHeight="false" outlineLevel="0" collapsed="false">
      <c r="A3841" s="41"/>
      <c r="G3841" s="38" t="n">
        <f aca="false">MONTH(A3841)</f>
        <v>12</v>
      </c>
      <c r="H3841" s="38" t="n">
        <f aca="false">YEAR(Tabela1[[#This Row],[FECHA]])</f>
        <v>1900</v>
      </c>
      <c r="I38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42" customFormat="false" ht="15" hidden="false" customHeight="false" outlineLevel="0" collapsed="false">
      <c r="A3842" s="41"/>
      <c r="G3842" s="38" t="n">
        <f aca="false">MONTH(A3842)</f>
        <v>12</v>
      </c>
      <c r="H3842" s="38" t="n">
        <f aca="false">YEAR(Tabela1[[#This Row],[FECHA]])</f>
        <v>1900</v>
      </c>
      <c r="I38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43" customFormat="false" ht="15" hidden="false" customHeight="false" outlineLevel="0" collapsed="false">
      <c r="A3843" s="41"/>
      <c r="G3843" s="38" t="n">
        <f aca="false">MONTH(A3843)</f>
        <v>12</v>
      </c>
      <c r="H3843" s="38" t="n">
        <f aca="false">YEAR(Tabela1[[#This Row],[FECHA]])</f>
        <v>1900</v>
      </c>
      <c r="I38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44" customFormat="false" ht="15" hidden="false" customHeight="false" outlineLevel="0" collapsed="false">
      <c r="A3844" s="41"/>
      <c r="G3844" s="38" t="n">
        <f aca="false">MONTH(A3844)</f>
        <v>12</v>
      </c>
      <c r="H3844" s="38" t="n">
        <f aca="false">YEAR(Tabela1[[#This Row],[FECHA]])</f>
        <v>1900</v>
      </c>
      <c r="I38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45" customFormat="false" ht="15" hidden="false" customHeight="false" outlineLevel="0" collapsed="false">
      <c r="A3845" s="41"/>
      <c r="G3845" s="38" t="n">
        <f aca="false">MONTH(A3845)</f>
        <v>12</v>
      </c>
      <c r="H3845" s="38" t="n">
        <f aca="false">YEAR(Tabela1[[#This Row],[FECHA]])</f>
        <v>1900</v>
      </c>
      <c r="I38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46" customFormat="false" ht="15" hidden="false" customHeight="false" outlineLevel="0" collapsed="false">
      <c r="A3846" s="41"/>
      <c r="G3846" s="38" t="n">
        <f aca="false">MONTH(A3846)</f>
        <v>12</v>
      </c>
      <c r="H3846" s="38" t="n">
        <f aca="false">YEAR(Tabela1[[#This Row],[FECHA]])</f>
        <v>1900</v>
      </c>
      <c r="I38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47" customFormat="false" ht="15" hidden="false" customHeight="false" outlineLevel="0" collapsed="false">
      <c r="A3847" s="41"/>
      <c r="G3847" s="38" t="n">
        <f aca="false">MONTH(A3847)</f>
        <v>12</v>
      </c>
      <c r="H3847" s="38" t="n">
        <f aca="false">YEAR(Tabela1[[#This Row],[FECHA]])</f>
        <v>1900</v>
      </c>
      <c r="I38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48" customFormat="false" ht="15" hidden="false" customHeight="false" outlineLevel="0" collapsed="false">
      <c r="A3848" s="41"/>
      <c r="G3848" s="38" t="n">
        <f aca="false">MONTH(A3848)</f>
        <v>12</v>
      </c>
      <c r="H3848" s="38" t="n">
        <f aca="false">YEAR(Tabela1[[#This Row],[FECHA]])</f>
        <v>1900</v>
      </c>
      <c r="I38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49" customFormat="false" ht="15" hidden="false" customHeight="false" outlineLevel="0" collapsed="false">
      <c r="A3849" s="41"/>
      <c r="G3849" s="38" t="n">
        <f aca="false">MONTH(A3849)</f>
        <v>12</v>
      </c>
      <c r="H3849" s="38" t="n">
        <f aca="false">YEAR(Tabela1[[#This Row],[FECHA]])</f>
        <v>1900</v>
      </c>
      <c r="I38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50" customFormat="false" ht="15" hidden="false" customHeight="false" outlineLevel="0" collapsed="false">
      <c r="A3850" s="41"/>
      <c r="G3850" s="38" t="n">
        <f aca="false">MONTH(A3850)</f>
        <v>12</v>
      </c>
      <c r="H3850" s="38" t="n">
        <f aca="false">YEAR(Tabela1[[#This Row],[FECHA]])</f>
        <v>1900</v>
      </c>
      <c r="I38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51" customFormat="false" ht="15" hidden="false" customHeight="false" outlineLevel="0" collapsed="false">
      <c r="A3851" s="41"/>
      <c r="G3851" s="38" t="n">
        <f aca="false">MONTH(A3851)</f>
        <v>12</v>
      </c>
      <c r="H3851" s="38" t="n">
        <f aca="false">YEAR(Tabela1[[#This Row],[FECHA]])</f>
        <v>1900</v>
      </c>
      <c r="I38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52" customFormat="false" ht="15" hidden="false" customHeight="false" outlineLevel="0" collapsed="false">
      <c r="A3852" s="41"/>
      <c r="G3852" s="38" t="n">
        <f aca="false">MONTH(A3852)</f>
        <v>12</v>
      </c>
      <c r="H3852" s="38" t="n">
        <f aca="false">YEAR(Tabela1[[#This Row],[FECHA]])</f>
        <v>1900</v>
      </c>
      <c r="I38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53" customFormat="false" ht="15" hidden="false" customHeight="false" outlineLevel="0" collapsed="false">
      <c r="A3853" s="41"/>
      <c r="G3853" s="38" t="n">
        <f aca="false">MONTH(A3853)</f>
        <v>12</v>
      </c>
      <c r="H3853" s="38" t="n">
        <f aca="false">YEAR(Tabela1[[#This Row],[FECHA]])</f>
        <v>1900</v>
      </c>
      <c r="I38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54" customFormat="false" ht="15" hidden="false" customHeight="false" outlineLevel="0" collapsed="false">
      <c r="A3854" s="41"/>
      <c r="G3854" s="38" t="n">
        <f aca="false">MONTH(A3854)</f>
        <v>12</v>
      </c>
      <c r="H3854" s="38" t="n">
        <f aca="false">YEAR(Tabela1[[#This Row],[FECHA]])</f>
        <v>1900</v>
      </c>
      <c r="I38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55" customFormat="false" ht="15" hidden="false" customHeight="false" outlineLevel="0" collapsed="false">
      <c r="A3855" s="41"/>
      <c r="G3855" s="38" t="n">
        <f aca="false">MONTH(A3855)</f>
        <v>12</v>
      </c>
      <c r="H3855" s="38" t="n">
        <f aca="false">YEAR(Tabela1[[#This Row],[FECHA]])</f>
        <v>1900</v>
      </c>
      <c r="I38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56" customFormat="false" ht="15" hidden="false" customHeight="false" outlineLevel="0" collapsed="false">
      <c r="A3856" s="41"/>
      <c r="G3856" s="38" t="n">
        <f aca="false">MONTH(A3856)</f>
        <v>12</v>
      </c>
      <c r="H3856" s="38" t="n">
        <f aca="false">YEAR(Tabela1[[#This Row],[FECHA]])</f>
        <v>1900</v>
      </c>
      <c r="I38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57" customFormat="false" ht="15" hidden="false" customHeight="false" outlineLevel="0" collapsed="false">
      <c r="A3857" s="41"/>
      <c r="G3857" s="38" t="n">
        <f aca="false">MONTH(A3857)</f>
        <v>12</v>
      </c>
      <c r="H3857" s="38" t="n">
        <f aca="false">YEAR(Tabela1[[#This Row],[FECHA]])</f>
        <v>1900</v>
      </c>
      <c r="I38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58" customFormat="false" ht="15" hidden="false" customHeight="false" outlineLevel="0" collapsed="false">
      <c r="A3858" s="41"/>
      <c r="G3858" s="38" t="n">
        <f aca="false">MONTH(A3858)</f>
        <v>12</v>
      </c>
      <c r="H3858" s="38" t="n">
        <f aca="false">YEAR(Tabela1[[#This Row],[FECHA]])</f>
        <v>1900</v>
      </c>
      <c r="I38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59" customFormat="false" ht="15" hidden="false" customHeight="false" outlineLevel="0" collapsed="false">
      <c r="A3859" s="41"/>
      <c r="G3859" s="38" t="n">
        <f aca="false">MONTH(A3859)</f>
        <v>12</v>
      </c>
      <c r="H3859" s="38" t="n">
        <f aca="false">YEAR(Tabela1[[#This Row],[FECHA]])</f>
        <v>1900</v>
      </c>
      <c r="I38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60" customFormat="false" ht="15" hidden="false" customHeight="false" outlineLevel="0" collapsed="false">
      <c r="A3860" s="41"/>
      <c r="G3860" s="38" t="n">
        <f aca="false">MONTH(A3860)</f>
        <v>12</v>
      </c>
      <c r="H3860" s="38" t="n">
        <f aca="false">YEAR(Tabela1[[#This Row],[FECHA]])</f>
        <v>1900</v>
      </c>
      <c r="I38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61" customFormat="false" ht="15" hidden="false" customHeight="false" outlineLevel="0" collapsed="false">
      <c r="A3861" s="41"/>
      <c r="G3861" s="38" t="n">
        <f aca="false">MONTH(A3861)</f>
        <v>12</v>
      </c>
      <c r="H3861" s="38" t="n">
        <f aca="false">YEAR(Tabela1[[#This Row],[FECHA]])</f>
        <v>1900</v>
      </c>
      <c r="I38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62" customFormat="false" ht="15" hidden="false" customHeight="false" outlineLevel="0" collapsed="false">
      <c r="A3862" s="41"/>
      <c r="G3862" s="38" t="n">
        <f aca="false">MONTH(A3862)</f>
        <v>12</v>
      </c>
      <c r="H3862" s="38" t="n">
        <f aca="false">YEAR(Tabela1[[#This Row],[FECHA]])</f>
        <v>1900</v>
      </c>
      <c r="I38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63" customFormat="false" ht="15" hidden="false" customHeight="false" outlineLevel="0" collapsed="false">
      <c r="A3863" s="41"/>
      <c r="G3863" s="38" t="n">
        <f aca="false">MONTH(A3863)</f>
        <v>12</v>
      </c>
      <c r="H3863" s="38" t="n">
        <f aca="false">YEAR(Tabela1[[#This Row],[FECHA]])</f>
        <v>1900</v>
      </c>
      <c r="I38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64" customFormat="false" ht="15" hidden="false" customHeight="false" outlineLevel="0" collapsed="false">
      <c r="A3864" s="41"/>
      <c r="G3864" s="38" t="n">
        <f aca="false">MONTH(A3864)</f>
        <v>12</v>
      </c>
      <c r="H3864" s="38" t="n">
        <f aca="false">YEAR(Tabela1[[#This Row],[FECHA]])</f>
        <v>1900</v>
      </c>
      <c r="I38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65" customFormat="false" ht="15" hidden="false" customHeight="false" outlineLevel="0" collapsed="false">
      <c r="A3865" s="41"/>
      <c r="G3865" s="38" t="n">
        <f aca="false">MONTH(A3865)</f>
        <v>12</v>
      </c>
      <c r="H3865" s="38" t="n">
        <f aca="false">YEAR(Tabela1[[#This Row],[FECHA]])</f>
        <v>1900</v>
      </c>
      <c r="I38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66" customFormat="false" ht="15" hidden="false" customHeight="false" outlineLevel="0" collapsed="false">
      <c r="A3866" s="41"/>
      <c r="G3866" s="38" t="n">
        <f aca="false">MONTH(A3866)</f>
        <v>12</v>
      </c>
      <c r="H3866" s="38" t="n">
        <f aca="false">YEAR(Tabela1[[#This Row],[FECHA]])</f>
        <v>1900</v>
      </c>
      <c r="I38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67" customFormat="false" ht="15" hidden="false" customHeight="false" outlineLevel="0" collapsed="false">
      <c r="A3867" s="41"/>
      <c r="G3867" s="38" t="n">
        <f aca="false">MONTH(A3867)</f>
        <v>12</v>
      </c>
      <c r="H3867" s="38" t="n">
        <f aca="false">YEAR(Tabela1[[#This Row],[FECHA]])</f>
        <v>1900</v>
      </c>
      <c r="I38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68" customFormat="false" ht="15" hidden="false" customHeight="false" outlineLevel="0" collapsed="false">
      <c r="A3868" s="41"/>
      <c r="G3868" s="38" t="n">
        <f aca="false">MONTH(A3868)</f>
        <v>12</v>
      </c>
      <c r="H3868" s="38" t="n">
        <f aca="false">YEAR(Tabela1[[#This Row],[FECHA]])</f>
        <v>1900</v>
      </c>
      <c r="I38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69" customFormat="false" ht="15" hidden="false" customHeight="false" outlineLevel="0" collapsed="false">
      <c r="A3869" s="41"/>
      <c r="G3869" s="38" t="n">
        <f aca="false">MONTH(A3869)</f>
        <v>12</v>
      </c>
      <c r="H3869" s="38" t="n">
        <f aca="false">YEAR(Tabela1[[#This Row],[FECHA]])</f>
        <v>1900</v>
      </c>
      <c r="I38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70" customFormat="false" ht="15" hidden="false" customHeight="false" outlineLevel="0" collapsed="false">
      <c r="A3870" s="41"/>
      <c r="G3870" s="38" t="n">
        <f aca="false">MONTH(A3870)</f>
        <v>12</v>
      </c>
      <c r="H3870" s="38" t="n">
        <f aca="false">YEAR(Tabela1[[#This Row],[FECHA]])</f>
        <v>1900</v>
      </c>
      <c r="I38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71" customFormat="false" ht="15" hidden="false" customHeight="false" outlineLevel="0" collapsed="false">
      <c r="A3871" s="41"/>
      <c r="G3871" s="38" t="n">
        <f aca="false">MONTH(A3871)</f>
        <v>12</v>
      </c>
      <c r="H3871" s="38" t="n">
        <f aca="false">YEAR(Tabela1[[#This Row],[FECHA]])</f>
        <v>1900</v>
      </c>
      <c r="I38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72" customFormat="false" ht="15" hidden="false" customHeight="false" outlineLevel="0" collapsed="false">
      <c r="A3872" s="41"/>
      <c r="G3872" s="38" t="n">
        <f aca="false">MONTH(A3872)</f>
        <v>12</v>
      </c>
      <c r="H3872" s="38" t="n">
        <f aca="false">YEAR(Tabela1[[#This Row],[FECHA]])</f>
        <v>1900</v>
      </c>
      <c r="I38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73" customFormat="false" ht="15" hidden="false" customHeight="false" outlineLevel="0" collapsed="false">
      <c r="A3873" s="41"/>
      <c r="G3873" s="38" t="n">
        <f aca="false">MONTH(A3873)</f>
        <v>12</v>
      </c>
      <c r="H3873" s="38" t="n">
        <f aca="false">YEAR(Tabela1[[#This Row],[FECHA]])</f>
        <v>1900</v>
      </c>
      <c r="I38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74" customFormat="false" ht="15" hidden="false" customHeight="false" outlineLevel="0" collapsed="false">
      <c r="A3874" s="41"/>
      <c r="G3874" s="38" t="n">
        <f aca="false">MONTH(A3874)</f>
        <v>12</v>
      </c>
      <c r="H3874" s="38" t="n">
        <f aca="false">YEAR(Tabela1[[#This Row],[FECHA]])</f>
        <v>1900</v>
      </c>
      <c r="I38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75" customFormat="false" ht="15" hidden="false" customHeight="false" outlineLevel="0" collapsed="false">
      <c r="A3875" s="41"/>
      <c r="G3875" s="38" t="n">
        <f aca="false">MONTH(A3875)</f>
        <v>12</v>
      </c>
      <c r="H3875" s="38" t="n">
        <f aca="false">YEAR(Tabela1[[#This Row],[FECHA]])</f>
        <v>1900</v>
      </c>
      <c r="I38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76" customFormat="false" ht="15" hidden="false" customHeight="false" outlineLevel="0" collapsed="false">
      <c r="A3876" s="41"/>
      <c r="G3876" s="38" t="n">
        <f aca="false">MONTH(A3876)</f>
        <v>12</v>
      </c>
      <c r="H3876" s="38" t="n">
        <f aca="false">YEAR(Tabela1[[#This Row],[FECHA]])</f>
        <v>1900</v>
      </c>
      <c r="I38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77" customFormat="false" ht="15" hidden="false" customHeight="false" outlineLevel="0" collapsed="false">
      <c r="A3877" s="41"/>
      <c r="G3877" s="38" t="n">
        <f aca="false">MONTH(A3877)</f>
        <v>12</v>
      </c>
      <c r="H3877" s="38" t="n">
        <f aca="false">YEAR(Tabela1[[#This Row],[FECHA]])</f>
        <v>1900</v>
      </c>
      <c r="I38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78" customFormat="false" ht="15" hidden="false" customHeight="false" outlineLevel="0" collapsed="false">
      <c r="A3878" s="41"/>
      <c r="G3878" s="38" t="n">
        <f aca="false">MONTH(A3878)</f>
        <v>12</v>
      </c>
      <c r="H3878" s="38" t="n">
        <f aca="false">YEAR(Tabela1[[#This Row],[FECHA]])</f>
        <v>1900</v>
      </c>
      <c r="I38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79" customFormat="false" ht="15" hidden="false" customHeight="false" outlineLevel="0" collapsed="false">
      <c r="A3879" s="41"/>
      <c r="G3879" s="38" t="n">
        <f aca="false">MONTH(A3879)</f>
        <v>12</v>
      </c>
      <c r="H3879" s="38" t="n">
        <f aca="false">YEAR(Tabela1[[#This Row],[FECHA]])</f>
        <v>1900</v>
      </c>
      <c r="I38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80" customFormat="false" ht="15" hidden="false" customHeight="false" outlineLevel="0" collapsed="false">
      <c r="A3880" s="41"/>
      <c r="G3880" s="38" t="n">
        <f aca="false">MONTH(A3880)</f>
        <v>12</v>
      </c>
      <c r="H3880" s="38" t="n">
        <f aca="false">YEAR(Tabela1[[#This Row],[FECHA]])</f>
        <v>1900</v>
      </c>
      <c r="I38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81" customFormat="false" ht="15" hidden="false" customHeight="false" outlineLevel="0" collapsed="false">
      <c r="A3881" s="41"/>
      <c r="G3881" s="38" t="n">
        <f aca="false">MONTH(A3881)</f>
        <v>12</v>
      </c>
      <c r="H3881" s="38" t="n">
        <f aca="false">YEAR(Tabela1[[#This Row],[FECHA]])</f>
        <v>1900</v>
      </c>
      <c r="I38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82" customFormat="false" ht="15" hidden="false" customHeight="false" outlineLevel="0" collapsed="false">
      <c r="A3882" s="41"/>
      <c r="G3882" s="38" t="n">
        <f aca="false">MONTH(A3882)</f>
        <v>12</v>
      </c>
      <c r="H3882" s="38" t="n">
        <f aca="false">YEAR(Tabela1[[#This Row],[FECHA]])</f>
        <v>1900</v>
      </c>
      <c r="I38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83" customFormat="false" ht="15" hidden="false" customHeight="false" outlineLevel="0" collapsed="false">
      <c r="A3883" s="41"/>
      <c r="G3883" s="38" t="n">
        <f aca="false">MONTH(A3883)</f>
        <v>12</v>
      </c>
      <c r="H3883" s="38" t="n">
        <f aca="false">YEAR(Tabela1[[#This Row],[FECHA]])</f>
        <v>1900</v>
      </c>
      <c r="I38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84" customFormat="false" ht="15" hidden="false" customHeight="false" outlineLevel="0" collapsed="false">
      <c r="A3884" s="41"/>
      <c r="G3884" s="38" t="n">
        <f aca="false">MONTH(A3884)</f>
        <v>12</v>
      </c>
      <c r="H3884" s="38" t="n">
        <f aca="false">YEAR(Tabela1[[#This Row],[FECHA]])</f>
        <v>1900</v>
      </c>
      <c r="I38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85" customFormat="false" ht="15" hidden="false" customHeight="false" outlineLevel="0" collapsed="false">
      <c r="A3885" s="41"/>
      <c r="G3885" s="38" t="n">
        <f aca="false">MONTH(A3885)</f>
        <v>12</v>
      </c>
      <c r="H3885" s="38" t="n">
        <f aca="false">YEAR(Tabela1[[#This Row],[FECHA]])</f>
        <v>1900</v>
      </c>
      <c r="I38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86" customFormat="false" ht="15" hidden="false" customHeight="false" outlineLevel="0" collapsed="false">
      <c r="A3886" s="41"/>
      <c r="G3886" s="38" t="n">
        <f aca="false">MONTH(A3886)</f>
        <v>12</v>
      </c>
      <c r="H3886" s="38" t="n">
        <f aca="false">YEAR(Tabela1[[#This Row],[FECHA]])</f>
        <v>1900</v>
      </c>
      <c r="I38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87" customFormat="false" ht="15" hidden="false" customHeight="false" outlineLevel="0" collapsed="false">
      <c r="A3887" s="41"/>
      <c r="G3887" s="38" t="n">
        <f aca="false">MONTH(A3887)</f>
        <v>12</v>
      </c>
      <c r="H3887" s="38" t="n">
        <f aca="false">YEAR(Tabela1[[#This Row],[FECHA]])</f>
        <v>1900</v>
      </c>
      <c r="I38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88" customFormat="false" ht="15" hidden="false" customHeight="false" outlineLevel="0" collapsed="false">
      <c r="A3888" s="41"/>
      <c r="G3888" s="38" t="n">
        <f aca="false">MONTH(A3888)</f>
        <v>12</v>
      </c>
      <c r="H3888" s="38" t="n">
        <f aca="false">YEAR(Tabela1[[#This Row],[FECHA]])</f>
        <v>1900</v>
      </c>
      <c r="I38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89" customFormat="false" ht="15" hidden="false" customHeight="false" outlineLevel="0" collapsed="false">
      <c r="A3889" s="41"/>
      <c r="G3889" s="38" t="n">
        <f aca="false">MONTH(A3889)</f>
        <v>12</v>
      </c>
      <c r="H3889" s="38" t="n">
        <f aca="false">YEAR(Tabela1[[#This Row],[FECHA]])</f>
        <v>1900</v>
      </c>
      <c r="I38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90" customFormat="false" ht="15" hidden="false" customHeight="false" outlineLevel="0" collapsed="false">
      <c r="A3890" s="41"/>
      <c r="G3890" s="38" t="n">
        <f aca="false">MONTH(A3890)</f>
        <v>12</v>
      </c>
      <c r="H3890" s="38" t="n">
        <f aca="false">YEAR(Tabela1[[#This Row],[FECHA]])</f>
        <v>1900</v>
      </c>
      <c r="I38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91" customFormat="false" ht="15" hidden="false" customHeight="false" outlineLevel="0" collapsed="false">
      <c r="A3891" s="41"/>
      <c r="G3891" s="38" t="n">
        <f aca="false">MONTH(A3891)</f>
        <v>12</v>
      </c>
      <c r="H3891" s="38" t="n">
        <f aca="false">YEAR(Tabela1[[#This Row],[FECHA]])</f>
        <v>1900</v>
      </c>
      <c r="I38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92" customFormat="false" ht="15" hidden="false" customHeight="false" outlineLevel="0" collapsed="false">
      <c r="A3892" s="41"/>
      <c r="G3892" s="38" t="n">
        <f aca="false">MONTH(A3892)</f>
        <v>12</v>
      </c>
      <c r="H3892" s="38" t="n">
        <f aca="false">YEAR(Tabela1[[#This Row],[FECHA]])</f>
        <v>1900</v>
      </c>
      <c r="I38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93" customFormat="false" ht="15" hidden="false" customHeight="false" outlineLevel="0" collapsed="false">
      <c r="A3893" s="41"/>
      <c r="G3893" s="38" t="n">
        <f aca="false">MONTH(A3893)</f>
        <v>12</v>
      </c>
      <c r="H3893" s="38" t="n">
        <f aca="false">YEAR(Tabela1[[#This Row],[FECHA]])</f>
        <v>1900</v>
      </c>
      <c r="I38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94" customFormat="false" ht="15" hidden="false" customHeight="false" outlineLevel="0" collapsed="false">
      <c r="A3894" s="41"/>
      <c r="G3894" s="38" t="n">
        <f aca="false">MONTH(A3894)</f>
        <v>12</v>
      </c>
      <c r="H3894" s="38" t="n">
        <f aca="false">YEAR(Tabela1[[#This Row],[FECHA]])</f>
        <v>1900</v>
      </c>
      <c r="I38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95" customFormat="false" ht="15" hidden="false" customHeight="false" outlineLevel="0" collapsed="false">
      <c r="A3895" s="41"/>
      <c r="G3895" s="38" t="n">
        <f aca="false">MONTH(A3895)</f>
        <v>12</v>
      </c>
      <c r="H3895" s="38" t="n">
        <f aca="false">YEAR(Tabela1[[#This Row],[FECHA]])</f>
        <v>1900</v>
      </c>
      <c r="I38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96" customFormat="false" ht="15" hidden="false" customHeight="false" outlineLevel="0" collapsed="false">
      <c r="A3896" s="41"/>
      <c r="G3896" s="38" t="n">
        <f aca="false">MONTH(A3896)</f>
        <v>12</v>
      </c>
      <c r="H3896" s="38" t="n">
        <f aca="false">YEAR(Tabela1[[#This Row],[FECHA]])</f>
        <v>1900</v>
      </c>
      <c r="I38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97" customFormat="false" ht="15" hidden="false" customHeight="false" outlineLevel="0" collapsed="false">
      <c r="A3897" s="41"/>
      <c r="G3897" s="38" t="n">
        <f aca="false">MONTH(A3897)</f>
        <v>12</v>
      </c>
      <c r="H3897" s="38" t="n">
        <f aca="false">YEAR(Tabela1[[#This Row],[FECHA]])</f>
        <v>1900</v>
      </c>
      <c r="I38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98" customFormat="false" ht="15" hidden="false" customHeight="false" outlineLevel="0" collapsed="false">
      <c r="A3898" s="41"/>
      <c r="G3898" s="38" t="n">
        <f aca="false">MONTH(A3898)</f>
        <v>12</v>
      </c>
      <c r="H3898" s="38" t="n">
        <f aca="false">YEAR(Tabela1[[#This Row],[FECHA]])</f>
        <v>1900</v>
      </c>
      <c r="I38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899" customFormat="false" ht="15" hidden="false" customHeight="false" outlineLevel="0" collapsed="false">
      <c r="A3899" s="41"/>
      <c r="G3899" s="38" t="n">
        <f aca="false">MONTH(A3899)</f>
        <v>12</v>
      </c>
      <c r="H3899" s="38" t="n">
        <f aca="false">YEAR(Tabela1[[#This Row],[FECHA]])</f>
        <v>1900</v>
      </c>
      <c r="I38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00" customFormat="false" ht="15" hidden="false" customHeight="false" outlineLevel="0" collapsed="false">
      <c r="A3900" s="41"/>
      <c r="G3900" s="38" t="n">
        <f aca="false">MONTH(A3900)</f>
        <v>12</v>
      </c>
      <c r="H3900" s="38" t="n">
        <f aca="false">YEAR(Tabela1[[#This Row],[FECHA]])</f>
        <v>1900</v>
      </c>
      <c r="I39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01" customFormat="false" ht="15" hidden="false" customHeight="false" outlineLevel="0" collapsed="false">
      <c r="A3901" s="41"/>
      <c r="G3901" s="38" t="n">
        <f aca="false">MONTH(A3901)</f>
        <v>12</v>
      </c>
      <c r="H3901" s="38" t="n">
        <f aca="false">YEAR(Tabela1[[#This Row],[FECHA]])</f>
        <v>1900</v>
      </c>
      <c r="I39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02" customFormat="false" ht="15" hidden="false" customHeight="false" outlineLevel="0" collapsed="false">
      <c r="A3902" s="41"/>
      <c r="G3902" s="38" t="n">
        <f aca="false">MONTH(A3902)</f>
        <v>12</v>
      </c>
      <c r="H3902" s="38" t="n">
        <f aca="false">YEAR(Tabela1[[#This Row],[FECHA]])</f>
        <v>1900</v>
      </c>
      <c r="I39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03" customFormat="false" ht="15" hidden="false" customHeight="false" outlineLevel="0" collapsed="false">
      <c r="A3903" s="41"/>
      <c r="G3903" s="38" t="n">
        <f aca="false">MONTH(A3903)</f>
        <v>12</v>
      </c>
      <c r="H3903" s="38" t="n">
        <f aca="false">YEAR(Tabela1[[#This Row],[FECHA]])</f>
        <v>1900</v>
      </c>
      <c r="I39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04" customFormat="false" ht="15" hidden="false" customHeight="false" outlineLevel="0" collapsed="false">
      <c r="A3904" s="41"/>
      <c r="G3904" s="38" t="n">
        <f aca="false">MONTH(A3904)</f>
        <v>12</v>
      </c>
      <c r="H3904" s="38" t="n">
        <f aca="false">YEAR(Tabela1[[#This Row],[FECHA]])</f>
        <v>1900</v>
      </c>
      <c r="I39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05" customFormat="false" ht="15" hidden="false" customHeight="false" outlineLevel="0" collapsed="false">
      <c r="A3905" s="41"/>
      <c r="G3905" s="38" t="n">
        <f aca="false">MONTH(A3905)</f>
        <v>12</v>
      </c>
      <c r="H3905" s="38" t="n">
        <f aca="false">YEAR(Tabela1[[#This Row],[FECHA]])</f>
        <v>1900</v>
      </c>
      <c r="I39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06" customFormat="false" ht="15" hidden="false" customHeight="false" outlineLevel="0" collapsed="false">
      <c r="A3906" s="41"/>
      <c r="G3906" s="38" t="n">
        <f aca="false">MONTH(A3906)</f>
        <v>12</v>
      </c>
      <c r="H3906" s="38" t="n">
        <f aca="false">YEAR(Tabela1[[#This Row],[FECHA]])</f>
        <v>1900</v>
      </c>
      <c r="I39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07" customFormat="false" ht="15" hidden="false" customHeight="false" outlineLevel="0" collapsed="false">
      <c r="A3907" s="41"/>
      <c r="G3907" s="38" t="n">
        <f aca="false">MONTH(A3907)</f>
        <v>12</v>
      </c>
      <c r="H3907" s="38" t="n">
        <f aca="false">YEAR(Tabela1[[#This Row],[FECHA]])</f>
        <v>1900</v>
      </c>
      <c r="I39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08" customFormat="false" ht="15" hidden="false" customHeight="false" outlineLevel="0" collapsed="false">
      <c r="A3908" s="41"/>
      <c r="G3908" s="38" t="n">
        <f aca="false">MONTH(A3908)</f>
        <v>12</v>
      </c>
      <c r="H3908" s="38" t="n">
        <f aca="false">YEAR(Tabela1[[#This Row],[FECHA]])</f>
        <v>1900</v>
      </c>
      <c r="I39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09" customFormat="false" ht="15" hidden="false" customHeight="false" outlineLevel="0" collapsed="false">
      <c r="A3909" s="41"/>
      <c r="G3909" s="38" t="n">
        <f aca="false">MONTH(A3909)</f>
        <v>12</v>
      </c>
      <c r="H3909" s="38" t="n">
        <f aca="false">YEAR(Tabela1[[#This Row],[FECHA]])</f>
        <v>1900</v>
      </c>
      <c r="I39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10" customFormat="false" ht="15" hidden="false" customHeight="false" outlineLevel="0" collapsed="false">
      <c r="A3910" s="41"/>
      <c r="G3910" s="38" t="n">
        <f aca="false">MONTH(A3910)</f>
        <v>12</v>
      </c>
      <c r="H3910" s="38" t="n">
        <f aca="false">YEAR(Tabela1[[#This Row],[FECHA]])</f>
        <v>1900</v>
      </c>
      <c r="I39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11" customFormat="false" ht="15" hidden="false" customHeight="false" outlineLevel="0" collapsed="false">
      <c r="A3911" s="41"/>
      <c r="G3911" s="38" t="n">
        <f aca="false">MONTH(A3911)</f>
        <v>12</v>
      </c>
      <c r="H3911" s="38" t="n">
        <f aca="false">YEAR(Tabela1[[#This Row],[FECHA]])</f>
        <v>1900</v>
      </c>
      <c r="I39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12" customFormat="false" ht="15" hidden="false" customHeight="false" outlineLevel="0" collapsed="false">
      <c r="A3912" s="41"/>
      <c r="G3912" s="38" t="n">
        <f aca="false">MONTH(A3912)</f>
        <v>12</v>
      </c>
      <c r="H3912" s="38" t="n">
        <f aca="false">YEAR(Tabela1[[#This Row],[FECHA]])</f>
        <v>1900</v>
      </c>
      <c r="I39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13" customFormat="false" ht="15" hidden="false" customHeight="false" outlineLevel="0" collapsed="false">
      <c r="A3913" s="41"/>
      <c r="G3913" s="38" t="n">
        <f aca="false">MONTH(A3913)</f>
        <v>12</v>
      </c>
      <c r="H3913" s="38" t="n">
        <f aca="false">YEAR(Tabela1[[#This Row],[FECHA]])</f>
        <v>1900</v>
      </c>
      <c r="I39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14" customFormat="false" ht="15" hidden="false" customHeight="false" outlineLevel="0" collapsed="false">
      <c r="A3914" s="41"/>
      <c r="G3914" s="38" t="n">
        <f aca="false">MONTH(A3914)</f>
        <v>12</v>
      </c>
      <c r="H3914" s="38" t="n">
        <f aca="false">YEAR(Tabela1[[#This Row],[FECHA]])</f>
        <v>1900</v>
      </c>
      <c r="I39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15" customFormat="false" ht="15" hidden="false" customHeight="false" outlineLevel="0" collapsed="false">
      <c r="A3915" s="41"/>
      <c r="G3915" s="38" t="n">
        <f aca="false">MONTH(A3915)</f>
        <v>12</v>
      </c>
      <c r="H3915" s="38" t="n">
        <f aca="false">YEAR(Tabela1[[#This Row],[FECHA]])</f>
        <v>1900</v>
      </c>
      <c r="I39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16" customFormat="false" ht="15" hidden="false" customHeight="false" outlineLevel="0" collapsed="false">
      <c r="A3916" s="41"/>
      <c r="G3916" s="38" t="n">
        <f aca="false">MONTH(A3916)</f>
        <v>12</v>
      </c>
      <c r="H3916" s="38" t="n">
        <f aca="false">YEAR(Tabela1[[#This Row],[FECHA]])</f>
        <v>1900</v>
      </c>
      <c r="I39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17" customFormat="false" ht="15" hidden="false" customHeight="false" outlineLevel="0" collapsed="false">
      <c r="A3917" s="41"/>
      <c r="G3917" s="38" t="n">
        <f aca="false">MONTH(A3917)</f>
        <v>12</v>
      </c>
      <c r="H3917" s="38" t="n">
        <f aca="false">YEAR(Tabela1[[#This Row],[FECHA]])</f>
        <v>1900</v>
      </c>
      <c r="I39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18" customFormat="false" ht="15" hidden="false" customHeight="false" outlineLevel="0" collapsed="false">
      <c r="A3918" s="41"/>
      <c r="G3918" s="38" t="n">
        <f aca="false">MONTH(A3918)</f>
        <v>12</v>
      </c>
      <c r="H3918" s="38" t="n">
        <f aca="false">YEAR(Tabela1[[#This Row],[FECHA]])</f>
        <v>1900</v>
      </c>
      <c r="I39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19" customFormat="false" ht="15" hidden="false" customHeight="false" outlineLevel="0" collapsed="false">
      <c r="A3919" s="41"/>
      <c r="G3919" s="38" t="n">
        <f aca="false">MONTH(A3919)</f>
        <v>12</v>
      </c>
      <c r="H3919" s="38" t="n">
        <f aca="false">YEAR(Tabela1[[#This Row],[FECHA]])</f>
        <v>1900</v>
      </c>
      <c r="I39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20" customFormat="false" ht="15" hidden="false" customHeight="false" outlineLevel="0" collapsed="false">
      <c r="A3920" s="41"/>
      <c r="G3920" s="38" t="n">
        <f aca="false">MONTH(A3920)</f>
        <v>12</v>
      </c>
      <c r="H3920" s="38" t="n">
        <f aca="false">YEAR(Tabela1[[#This Row],[FECHA]])</f>
        <v>1900</v>
      </c>
      <c r="I39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21" customFormat="false" ht="15" hidden="false" customHeight="false" outlineLevel="0" collapsed="false">
      <c r="A3921" s="41"/>
      <c r="G3921" s="38" t="n">
        <f aca="false">MONTH(A3921)</f>
        <v>12</v>
      </c>
      <c r="H3921" s="38" t="n">
        <f aca="false">YEAR(Tabela1[[#This Row],[FECHA]])</f>
        <v>1900</v>
      </c>
      <c r="I39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22" customFormat="false" ht="15" hidden="false" customHeight="false" outlineLevel="0" collapsed="false">
      <c r="A3922" s="41"/>
      <c r="G3922" s="38" t="n">
        <f aca="false">MONTH(A3922)</f>
        <v>12</v>
      </c>
      <c r="H3922" s="38" t="n">
        <f aca="false">YEAR(Tabela1[[#This Row],[FECHA]])</f>
        <v>1900</v>
      </c>
      <c r="I39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23" customFormat="false" ht="15" hidden="false" customHeight="false" outlineLevel="0" collapsed="false">
      <c r="A3923" s="41"/>
      <c r="G3923" s="38" t="n">
        <f aca="false">MONTH(A3923)</f>
        <v>12</v>
      </c>
      <c r="H3923" s="38" t="n">
        <f aca="false">YEAR(Tabela1[[#This Row],[FECHA]])</f>
        <v>1900</v>
      </c>
      <c r="I39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24" customFormat="false" ht="15" hidden="false" customHeight="false" outlineLevel="0" collapsed="false">
      <c r="A3924" s="41"/>
      <c r="G3924" s="38" t="n">
        <f aca="false">MONTH(A3924)</f>
        <v>12</v>
      </c>
      <c r="H3924" s="38" t="n">
        <f aca="false">YEAR(Tabela1[[#This Row],[FECHA]])</f>
        <v>1900</v>
      </c>
      <c r="I39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25" customFormat="false" ht="15" hidden="false" customHeight="false" outlineLevel="0" collapsed="false">
      <c r="A3925" s="41"/>
      <c r="G3925" s="38" t="n">
        <f aca="false">MONTH(A3925)</f>
        <v>12</v>
      </c>
      <c r="H3925" s="38" t="n">
        <f aca="false">YEAR(Tabela1[[#This Row],[FECHA]])</f>
        <v>1900</v>
      </c>
      <c r="I39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26" customFormat="false" ht="15" hidden="false" customHeight="false" outlineLevel="0" collapsed="false">
      <c r="A3926" s="41"/>
      <c r="G3926" s="38" t="n">
        <f aca="false">MONTH(A3926)</f>
        <v>12</v>
      </c>
      <c r="H3926" s="38" t="n">
        <f aca="false">YEAR(Tabela1[[#This Row],[FECHA]])</f>
        <v>1900</v>
      </c>
      <c r="I39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27" customFormat="false" ht="15" hidden="false" customHeight="false" outlineLevel="0" collapsed="false">
      <c r="A3927" s="41"/>
      <c r="G3927" s="38" t="n">
        <f aca="false">MONTH(A3927)</f>
        <v>12</v>
      </c>
      <c r="H3927" s="38" t="n">
        <f aca="false">YEAR(Tabela1[[#This Row],[FECHA]])</f>
        <v>1900</v>
      </c>
      <c r="I39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28" customFormat="false" ht="15" hidden="false" customHeight="false" outlineLevel="0" collapsed="false">
      <c r="A3928" s="41"/>
      <c r="G3928" s="38" t="n">
        <f aca="false">MONTH(A3928)</f>
        <v>12</v>
      </c>
      <c r="H3928" s="38" t="n">
        <f aca="false">YEAR(Tabela1[[#This Row],[FECHA]])</f>
        <v>1900</v>
      </c>
      <c r="I39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29" customFormat="false" ht="15" hidden="false" customHeight="false" outlineLevel="0" collapsed="false">
      <c r="A3929" s="41"/>
      <c r="G3929" s="38" t="n">
        <f aca="false">MONTH(A3929)</f>
        <v>12</v>
      </c>
      <c r="H3929" s="38" t="n">
        <f aca="false">YEAR(Tabela1[[#This Row],[FECHA]])</f>
        <v>1900</v>
      </c>
      <c r="I39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30" customFormat="false" ht="15" hidden="false" customHeight="false" outlineLevel="0" collapsed="false">
      <c r="A3930" s="41"/>
      <c r="G3930" s="38" t="n">
        <f aca="false">MONTH(A3930)</f>
        <v>12</v>
      </c>
      <c r="H3930" s="38" t="n">
        <f aca="false">YEAR(Tabela1[[#This Row],[FECHA]])</f>
        <v>1900</v>
      </c>
      <c r="I39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31" customFormat="false" ht="15" hidden="false" customHeight="false" outlineLevel="0" collapsed="false">
      <c r="A3931" s="41"/>
      <c r="G3931" s="38" t="n">
        <f aca="false">MONTH(A3931)</f>
        <v>12</v>
      </c>
      <c r="H3931" s="38" t="n">
        <f aca="false">YEAR(Tabela1[[#This Row],[FECHA]])</f>
        <v>1900</v>
      </c>
      <c r="I39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32" customFormat="false" ht="15" hidden="false" customHeight="false" outlineLevel="0" collapsed="false">
      <c r="A3932" s="41"/>
      <c r="G3932" s="38" t="n">
        <f aca="false">MONTH(A3932)</f>
        <v>12</v>
      </c>
      <c r="H3932" s="38" t="n">
        <f aca="false">YEAR(Tabela1[[#This Row],[FECHA]])</f>
        <v>1900</v>
      </c>
      <c r="I39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33" customFormat="false" ht="15" hidden="false" customHeight="false" outlineLevel="0" collapsed="false">
      <c r="A3933" s="41"/>
      <c r="G3933" s="38" t="n">
        <f aca="false">MONTH(A3933)</f>
        <v>12</v>
      </c>
      <c r="H3933" s="38" t="n">
        <f aca="false">YEAR(Tabela1[[#This Row],[FECHA]])</f>
        <v>1900</v>
      </c>
      <c r="I39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34" customFormat="false" ht="15" hidden="false" customHeight="false" outlineLevel="0" collapsed="false">
      <c r="A3934" s="41"/>
      <c r="G3934" s="38" t="n">
        <f aca="false">MONTH(A3934)</f>
        <v>12</v>
      </c>
      <c r="H3934" s="38" t="n">
        <f aca="false">YEAR(Tabela1[[#This Row],[FECHA]])</f>
        <v>1900</v>
      </c>
      <c r="I39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35" customFormat="false" ht="15" hidden="false" customHeight="false" outlineLevel="0" collapsed="false">
      <c r="A3935" s="41"/>
      <c r="G3935" s="38" t="n">
        <f aca="false">MONTH(A3935)</f>
        <v>12</v>
      </c>
      <c r="H3935" s="38" t="n">
        <f aca="false">YEAR(Tabela1[[#This Row],[FECHA]])</f>
        <v>1900</v>
      </c>
      <c r="I39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36" customFormat="false" ht="15" hidden="false" customHeight="false" outlineLevel="0" collapsed="false">
      <c r="A3936" s="41"/>
      <c r="G3936" s="38" t="n">
        <f aca="false">MONTH(A3936)</f>
        <v>12</v>
      </c>
      <c r="H3936" s="38" t="n">
        <f aca="false">YEAR(Tabela1[[#This Row],[FECHA]])</f>
        <v>1900</v>
      </c>
      <c r="I39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37" customFormat="false" ht="15" hidden="false" customHeight="false" outlineLevel="0" collapsed="false">
      <c r="A3937" s="41"/>
      <c r="G3937" s="38" t="n">
        <f aca="false">MONTH(A3937)</f>
        <v>12</v>
      </c>
      <c r="H3937" s="38" t="n">
        <f aca="false">YEAR(Tabela1[[#This Row],[FECHA]])</f>
        <v>1900</v>
      </c>
      <c r="I39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38" customFormat="false" ht="15" hidden="false" customHeight="false" outlineLevel="0" collapsed="false">
      <c r="A3938" s="41"/>
      <c r="G3938" s="38" t="n">
        <f aca="false">MONTH(A3938)</f>
        <v>12</v>
      </c>
      <c r="H3938" s="38" t="n">
        <f aca="false">YEAR(Tabela1[[#This Row],[FECHA]])</f>
        <v>1900</v>
      </c>
      <c r="I39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39" customFormat="false" ht="15" hidden="false" customHeight="false" outlineLevel="0" collapsed="false">
      <c r="A3939" s="41"/>
      <c r="G3939" s="38" t="n">
        <f aca="false">MONTH(A3939)</f>
        <v>12</v>
      </c>
      <c r="H3939" s="38" t="n">
        <f aca="false">YEAR(Tabela1[[#This Row],[FECHA]])</f>
        <v>1900</v>
      </c>
      <c r="I39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40" customFormat="false" ht="15" hidden="false" customHeight="false" outlineLevel="0" collapsed="false">
      <c r="A3940" s="41"/>
      <c r="G3940" s="38" t="n">
        <f aca="false">MONTH(A3940)</f>
        <v>12</v>
      </c>
      <c r="H3940" s="38" t="n">
        <f aca="false">YEAR(Tabela1[[#This Row],[FECHA]])</f>
        <v>1900</v>
      </c>
      <c r="I39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41" customFormat="false" ht="15" hidden="false" customHeight="false" outlineLevel="0" collapsed="false">
      <c r="A3941" s="41"/>
      <c r="G3941" s="38" t="n">
        <f aca="false">MONTH(A3941)</f>
        <v>12</v>
      </c>
      <c r="H3941" s="38" t="n">
        <f aca="false">YEAR(Tabela1[[#This Row],[FECHA]])</f>
        <v>1900</v>
      </c>
      <c r="I39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42" customFormat="false" ht="15" hidden="false" customHeight="false" outlineLevel="0" collapsed="false">
      <c r="A3942" s="41"/>
      <c r="G3942" s="38" t="n">
        <f aca="false">MONTH(A3942)</f>
        <v>12</v>
      </c>
      <c r="H3942" s="38" t="n">
        <f aca="false">YEAR(Tabela1[[#This Row],[FECHA]])</f>
        <v>1900</v>
      </c>
      <c r="I39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43" customFormat="false" ht="15" hidden="false" customHeight="false" outlineLevel="0" collapsed="false">
      <c r="A3943" s="41"/>
      <c r="G3943" s="38" t="n">
        <f aca="false">MONTH(A3943)</f>
        <v>12</v>
      </c>
      <c r="H3943" s="38" t="n">
        <f aca="false">YEAR(Tabela1[[#This Row],[FECHA]])</f>
        <v>1900</v>
      </c>
      <c r="I39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44" customFormat="false" ht="15" hidden="false" customHeight="false" outlineLevel="0" collapsed="false">
      <c r="A3944" s="41"/>
      <c r="G3944" s="38" t="n">
        <f aca="false">MONTH(A3944)</f>
        <v>12</v>
      </c>
      <c r="H3944" s="38" t="n">
        <f aca="false">YEAR(Tabela1[[#This Row],[FECHA]])</f>
        <v>1900</v>
      </c>
      <c r="I39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45" customFormat="false" ht="15" hidden="false" customHeight="false" outlineLevel="0" collapsed="false">
      <c r="A3945" s="41"/>
      <c r="G3945" s="38" t="n">
        <f aca="false">MONTH(A3945)</f>
        <v>12</v>
      </c>
      <c r="H3945" s="38" t="n">
        <f aca="false">YEAR(Tabela1[[#This Row],[FECHA]])</f>
        <v>1900</v>
      </c>
      <c r="I39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46" customFormat="false" ht="15" hidden="false" customHeight="false" outlineLevel="0" collapsed="false">
      <c r="A3946" s="41"/>
      <c r="G3946" s="38" t="n">
        <f aca="false">MONTH(A3946)</f>
        <v>12</v>
      </c>
      <c r="H3946" s="38" t="n">
        <f aca="false">YEAR(Tabela1[[#This Row],[FECHA]])</f>
        <v>1900</v>
      </c>
      <c r="I39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47" customFormat="false" ht="15" hidden="false" customHeight="false" outlineLevel="0" collapsed="false">
      <c r="A3947" s="41"/>
      <c r="G3947" s="38" t="n">
        <f aca="false">MONTH(A3947)</f>
        <v>12</v>
      </c>
      <c r="H3947" s="38" t="n">
        <f aca="false">YEAR(Tabela1[[#This Row],[FECHA]])</f>
        <v>1900</v>
      </c>
      <c r="I39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48" customFormat="false" ht="15" hidden="false" customHeight="false" outlineLevel="0" collapsed="false">
      <c r="A3948" s="41"/>
      <c r="G3948" s="38" t="n">
        <f aca="false">MONTH(A3948)</f>
        <v>12</v>
      </c>
      <c r="H3948" s="38" t="n">
        <f aca="false">YEAR(Tabela1[[#This Row],[FECHA]])</f>
        <v>1900</v>
      </c>
      <c r="I39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49" customFormat="false" ht="15" hidden="false" customHeight="false" outlineLevel="0" collapsed="false">
      <c r="A3949" s="41"/>
      <c r="G3949" s="38" t="n">
        <f aca="false">MONTH(A3949)</f>
        <v>12</v>
      </c>
      <c r="H3949" s="38" t="n">
        <f aca="false">YEAR(Tabela1[[#This Row],[FECHA]])</f>
        <v>1900</v>
      </c>
      <c r="I39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50" customFormat="false" ht="15" hidden="false" customHeight="false" outlineLevel="0" collapsed="false">
      <c r="A3950" s="41"/>
      <c r="G3950" s="38" t="n">
        <f aca="false">MONTH(A3950)</f>
        <v>12</v>
      </c>
      <c r="H3950" s="38" t="n">
        <f aca="false">YEAR(Tabela1[[#This Row],[FECHA]])</f>
        <v>1900</v>
      </c>
      <c r="I39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51" customFormat="false" ht="15" hidden="false" customHeight="false" outlineLevel="0" collapsed="false">
      <c r="A3951" s="41"/>
      <c r="G3951" s="38" t="n">
        <f aca="false">MONTH(A3951)</f>
        <v>12</v>
      </c>
      <c r="H3951" s="38" t="n">
        <f aca="false">YEAR(Tabela1[[#This Row],[FECHA]])</f>
        <v>1900</v>
      </c>
      <c r="I39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52" customFormat="false" ht="15" hidden="false" customHeight="false" outlineLevel="0" collapsed="false">
      <c r="A3952" s="41"/>
      <c r="G3952" s="38" t="n">
        <f aca="false">MONTH(A3952)</f>
        <v>12</v>
      </c>
      <c r="H3952" s="38" t="n">
        <f aca="false">YEAR(Tabela1[[#This Row],[FECHA]])</f>
        <v>1900</v>
      </c>
      <c r="I39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53" customFormat="false" ht="15" hidden="false" customHeight="false" outlineLevel="0" collapsed="false">
      <c r="A3953" s="41"/>
      <c r="G3953" s="38" t="n">
        <f aca="false">MONTH(A3953)</f>
        <v>12</v>
      </c>
      <c r="H3953" s="38" t="n">
        <f aca="false">YEAR(Tabela1[[#This Row],[FECHA]])</f>
        <v>1900</v>
      </c>
      <c r="I39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54" customFormat="false" ht="15" hidden="false" customHeight="false" outlineLevel="0" collapsed="false">
      <c r="A3954" s="41"/>
      <c r="G3954" s="38" t="n">
        <f aca="false">MONTH(A3954)</f>
        <v>12</v>
      </c>
      <c r="H3954" s="38" t="n">
        <f aca="false">YEAR(Tabela1[[#This Row],[FECHA]])</f>
        <v>1900</v>
      </c>
      <c r="I39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55" customFormat="false" ht="15" hidden="false" customHeight="false" outlineLevel="0" collapsed="false">
      <c r="A3955" s="41"/>
      <c r="G3955" s="38" t="n">
        <f aca="false">MONTH(A3955)</f>
        <v>12</v>
      </c>
      <c r="H3955" s="38" t="n">
        <f aca="false">YEAR(Tabela1[[#This Row],[FECHA]])</f>
        <v>1900</v>
      </c>
      <c r="I39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56" customFormat="false" ht="15" hidden="false" customHeight="false" outlineLevel="0" collapsed="false">
      <c r="A3956" s="41"/>
      <c r="G3956" s="38" t="n">
        <f aca="false">MONTH(A3956)</f>
        <v>12</v>
      </c>
      <c r="H3956" s="38" t="n">
        <f aca="false">YEAR(Tabela1[[#This Row],[FECHA]])</f>
        <v>1900</v>
      </c>
      <c r="I39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57" customFormat="false" ht="15" hidden="false" customHeight="false" outlineLevel="0" collapsed="false">
      <c r="A3957" s="41"/>
      <c r="G3957" s="38" t="n">
        <f aca="false">MONTH(A3957)</f>
        <v>12</v>
      </c>
      <c r="H3957" s="38" t="n">
        <f aca="false">YEAR(Tabela1[[#This Row],[FECHA]])</f>
        <v>1900</v>
      </c>
      <c r="I39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58" customFormat="false" ht="15" hidden="false" customHeight="false" outlineLevel="0" collapsed="false">
      <c r="A3958" s="41"/>
      <c r="G3958" s="38" t="n">
        <f aca="false">MONTH(A3958)</f>
        <v>12</v>
      </c>
      <c r="H3958" s="38" t="n">
        <f aca="false">YEAR(Tabela1[[#This Row],[FECHA]])</f>
        <v>1900</v>
      </c>
      <c r="I39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59" customFormat="false" ht="15" hidden="false" customHeight="false" outlineLevel="0" collapsed="false">
      <c r="A3959" s="41"/>
      <c r="G3959" s="38" t="n">
        <f aca="false">MONTH(A3959)</f>
        <v>12</v>
      </c>
      <c r="H3959" s="38" t="n">
        <f aca="false">YEAR(Tabela1[[#This Row],[FECHA]])</f>
        <v>1900</v>
      </c>
      <c r="I39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60" customFormat="false" ht="15" hidden="false" customHeight="false" outlineLevel="0" collapsed="false">
      <c r="A3960" s="41"/>
      <c r="G3960" s="38" t="n">
        <f aca="false">MONTH(A3960)</f>
        <v>12</v>
      </c>
      <c r="H3960" s="38" t="n">
        <f aca="false">YEAR(Tabela1[[#This Row],[FECHA]])</f>
        <v>1900</v>
      </c>
      <c r="I39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61" customFormat="false" ht="15" hidden="false" customHeight="false" outlineLevel="0" collapsed="false">
      <c r="A3961" s="41"/>
      <c r="G3961" s="38" t="n">
        <f aca="false">MONTH(A3961)</f>
        <v>12</v>
      </c>
      <c r="H3961" s="38" t="n">
        <f aca="false">YEAR(Tabela1[[#This Row],[FECHA]])</f>
        <v>1900</v>
      </c>
      <c r="I39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62" customFormat="false" ht="15" hidden="false" customHeight="false" outlineLevel="0" collapsed="false">
      <c r="A3962" s="41"/>
      <c r="G3962" s="38" t="n">
        <f aca="false">MONTH(A3962)</f>
        <v>12</v>
      </c>
      <c r="H3962" s="38" t="n">
        <f aca="false">YEAR(Tabela1[[#This Row],[FECHA]])</f>
        <v>1900</v>
      </c>
      <c r="I39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63" customFormat="false" ht="15" hidden="false" customHeight="false" outlineLevel="0" collapsed="false">
      <c r="A3963" s="41"/>
      <c r="G3963" s="38" t="n">
        <f aca="false">MONTH(A3963)</f>
        <v>12</v>
      </c>
      <c r="H3963" s="38" t="n">
        <f aca="false">YEAR(Tabela1[[#This Row],[FECHA]])</f>
        <v>1900</v>
      </c>
      <c r="I39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64" customFormat="false" ht="15" hidden="false" customHeight="false" outlineLevel="0" collapsed="false">
      <c r="A3964" s="41"/>
      <c r="G3964" s="38" t="n">
        <f aca="false">MONTH(A3964)</f>
        <v>12</v>
      </c>
      <c r="H3964" s="38" t="n">
        <f aca="false">YEAR(Tabela1[[#This Row],[FECHA]])</f>
        <v>1900</v>
      </c>
      <c r="I39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65" customFormat="false" ht="15" hidden="false" customHeight="false" outlineLevel="0" collapsed="false">
      <c r="A3965" s="41"/>
      <c r="G3965" s="38" t="n">
        <f aca="false">MONTH(A3965)</f>
        <v>12</v>
      </c>
      <c r="H3965" s="38" t="n">
        <f aca="false">YEAR(Tabela1[[#This Row],[FECHA]])</f>
        <v>1900</v>
      </c>
      <c r="I39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66" customFormat="false" ht="15" hidden="false" customHeight="false" outlineLevel="0" collapsed="false">
      <c r="A3966" s="41"/>
      <c r="G3966" s="38" t="n">
        <f aca="false">MONTH(A3966)</f>
        <v>12</v>
      </c>
      <c r="H3966" s="38" t="n">
        <f aca="false">YEAR(Tabela1[[#This Row],[FECHA]])</f>
        <v>1900</v>
      </c>
      <c r="I39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67" customFormat="false" ht="15" hidden="false" customHeight="false" outlineLevel="0" collapsed="false">
      <c r="A3967" s="41"/>
      <c r="G3967" s="38" t="n">
        <f aca="false">MONTH(A3967)</f>
        <v>12</v>
      </c>
      <c r="H3967" s="38" t="n">
        <f aca="false">YEAR(Tabela1[[#This Row],[FECHA]])</f>
        <v>1900</v>
      </c>
      <c r="I39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68" customFormat="false" ht="15" hidden="false" customHeight="false" outlineLevel="0" collapsed="false">
      <c r="A3968" s="41"/>
      <c r="G3968" s="38" t="n">
        <f aca="false">MONTH(A3968)</f>
        <v>12</v>
      </c>
      <c r="H3968" s="38" t="n">
        <f aca="false">YEAR(Tabela1[[#This Row],[FECHA]])</f>
        <v>1900</v>
      </c>
      <c r="I39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69" customFormat="false" ht="15" hidden="false" customHeight="false" outlineLevel="0" collapsed="false">
      <c r="A3969" s="41"/>
      <c r="G3969" s="38" t="n">
        <f aca="false">MONTH(A3969)</f>
        <v>12</v>
      </c>
      <c r="H3969" s="38" t="n">
        <f aca="false">YEAR(Tabela1[[#This Row],[FECHA]])</f>
        <v>1900</v>
      </c>
      <c r="I39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70" customFormat="false" ht="15" hidden="false" customHeight="false" outlineLevel="0" collapsed="false">
      <c r="A3970" s="41"/>
      <c r="G3970" s="38" t="n">
        <f aca="false">MONTH(A3970)</f>
        <v>12</v>
      </c>
      <c r="H3970" s="38" t="n">
        <f aca="false">YEAR(Tabela1[[#This Row],[FECHA]])</f>
        <v>1900</v>
      </c>
      <c r="I39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71" customFormat="false" ht="15" hidden="false" customHeight="false" outlineLevel="0" collapsed="false">
      <c r="A3971" s="41"/>
      <c r="G3971" s="38" t="n">
        <f aca="false">MONTH(A3971)</f>
        <v>12</v>
      </c>
      <c r="H3971" s="38" t="n">
        <f aca="false">YEAR(Tabela1[[#This Row],[FECHA]])</f>
        <v>1900</v>
      </c>
      <c r="I39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72" customFormat="false" ht="15" hidden="false" customHeight="false" outlineLevel="0" collapsed="false">
      <c r="A3972" s="41"/>
      <c r="G3972" s="38" t="n">
        <f aca="false">MONTH(A3972)</f>
        <v>12</v>
      </c>
      <c r="H3972" s="38" t="n">
        <f aca="false">YEAR(Tabela1[[#This Row],[FECHA]])</f>
        <v>1900</v>
      </c>
      <c r="I39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73" customFormat="false" ht="15" hidden="false" customHeight="false" outlineLevel="0" collapsed="false">
      <c r="A3973" s="41"/>
      <c r="G3973" s="38" t="n">
        <f aca="false">MONTH(A3973)</f>
        <v>12</v>
      </c>
      <c r="H3973" s="38" t="n">
        <f aca="false">YEAR(Tabela1[[#This Row],[FECHA]])</f>
        <v>1900</v>
      </c>
      <c r="I39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74" customFormat="false" ht="15" hidden="false" customHeight="false" outlineLevel="0" collapsed="false">
      <c r="A3974" s="41"/>
      <c r="G3974" s="38" t="n">
        <f aca="false">MONTH(A3974)</f>
        <v>12</v>
      </c>
      <c r="H3974" s="38" t="n">
        <f aca="false">YEAR(Tabela1[[#This Row],[FECHA]])</f>
        <v>1900</v>
      </c>
      <c r="I39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75" customFormat="false" ht="15" hidden="false" customHeight="false" outlineLevel="0" collapsed="false">
      <c r="A3975" s="41"/>
      <c r="G3975" s="38" t="n">
        <f aca="false">MONTH(A3975)</f>
        <v>12</v>
      </c>
      <c r="H3975" s="38" t="n">
        <f aca="false">YEAR(Tabela1[[#This Row],[FECHA]])</f>
        <v>1900</v>
      </c>
      <c r="I39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76" customFormat="false" ht="15" hidden="false" customHeight="false" outlineLevel="0" collapsed="false">
      <c r="A3976" s="41"/>
      <c r="G3976" s="38" t="n">
        <f aca="false">MONTH(A3976)</f>
        <v>12</v>
      </c>
      <c r="H3976" s="38" t="n">
        <f aca="false">YEAR(Tabela1[[#This Row],[FECHA]])</f>
        <v>1900</v>
      </c>
      <c r="I39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77" customFormat="false" ht="15" hidden="false" customHeight="false" outlineLevel="0" collapsed="false">
      <c r="A3977" s="41"/>
      <c r="G3977" s="38" t="n">
        <f aca="false">MONTH(A3977)</f>
        <v>12</v>
      </c>
      <c r="H3977" s="38" t="n">
        <f aca="false">YEAR(Tabela1[[#This Row],[FECHA]])</f>
        <v>1900</v>
      </c>
      <c r="I39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78" customFormat="false" ht="15" hidden="false" customHeight="false" outlineLevel="0" collapsed="false">
      <c r="A3978" s="41"/>
      <c r="G3978" s="38" t="n">
        <f aca="false">MONTH(A3978)</f>
        <v>12</v>
      </c>
      <c r="H3978" s="38" t="n">
        <f aca="false">YEAR(Tabela1[[#This Row],[FECHA]])</f>
        <v>1900</v>
      </c>
      <c r="I39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79" customFormat="false" ht="15" hidden="false" customHeight="false" outlineLevel="0" collapsed="false">
      <c r="A3979" s="41"/>
      <c r="G3979" s="38" t="n">
        <f aca="false">MONTH(A3979)</f>
        <v>12</v>
      </c>
      <c r="H3979" s="38" t="n">
        <f aca="false">YEAR(Tabela1[[#This Row],[FECHA]])</f>
        <v>1900</v>
      </c>
      <c r="I39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80" customFormat="false" ht="15" hidden="false" customHeight="false" outlineLevel="0" collapsed="false">
      <c r="A3980" s="41"/>
      <c r="G3980" s="38" t="n">
        <f aca="false">MONTH(A3980)</f>
        <v>12</v>
      </c>
      <c r="H3980" s="38" t="n">
        <f aca="false">YEAR(Tabela1[[#This Row],[FECHA]])</f>
        <v>1900</v>
      </c>
      <c r="I39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81" customFormat="false" ht="15" hidden="false" customHeight="false" outlineLevel="0" collapsed="false">
      <c r="A3981" s="41"/>
      <c r="G3981" s="38" t="n">
        <f aca="false">MONTH(A3981)</f>
        <v>12</v>
      </c>
      <c r="H3981" s="38" t="n">
        <f aca="false">YEAR(Tabela1[[#This Row],[FECHA]])</f>
        <v>1900</v>
      </c>
      <c r="I39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82" customFormat="false" ht="15" hidden="false" customHeight="false" outlineLevel="0" collapsed="false">
      <c r="A3982" s="41"/>
      <c r="G3982" s="38" t="n">
        <f aca="false">MONTH(A3982)</f>
        <v>12</v>
      </c>
      <c r="H3982" s="38" t="n">
        <f aca="false">YEAR(Tabela1[[#This Row],[FECHA]])</f>
        <v>1900</v>
      </c>
      <c r="I39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83" customFormat="false" ht="15" hidden="false" customHeight="false" outlineLevel="0" collapsed="false">
      <c r="A3983" s="41"/>
      <c r="G3983" s="38" t="n">
        <f aca="false">MONTH(A3983)</f>
        <v>12</v>
      </c>
      <c r="H3983" s="38" t="n">
        <f aca="false">YEAR(Tabela1[[#This Row],[FECHA]])</f>
        <v>1900</v>
      </c>
      <c r="I39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84" customFormat="false" ht="15" hidden="false" customHeight="false" outlineLevel="0" collapsed="false">
      <c r="A3984" s="41"/>
      <c r="G3984" s="38" t="n">
        <f aca="false">MONTH(A3984)</f>
        <v>12</v>
      </c>
      <c r="H3984" s="38" t="n">
        <f aca="false">YEAR(Tabela1[[#This Row],[FECHA]])</f>
        <v>1900</v>
      </c>
      <c r="I39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85" customFormat="false" ht="15" hidden="false" customHeight="false" outlineLevel="0" collapsed="false">
      <c r="A3985" s="41"/>
      <c r="G3985" s="38" t="n">
        <f aca="false">MONTH(A3985)</f>
        <v>12</v>
      </c>
      <c r="H3985" s="38" t="n">
        <f aca="false">YEAR(Tabela1[[#This Row],[FECHA]])</f>
        <v>1900</v>
      </c>
      <c r="I39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86" customFormat="false" ht="15" hidden="false" customHeight="false" outlineLevel="0" collapsed="false">
      <c r="A3986" s="41"/>
      <c r="G3986" s="38" t="n">
        <f aca="false">MONTH(A3986)</f>
        <v>12</v>
      </c>
      <c r="H3986" s="38" t="n">
        <f aca="false">YEAR(Tabela1[[#This Row],[FECHA]])</f>
        <v>1900</v>
      </c>
      <c r="I39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87" customFormat="false" ht="15" hidden="false" customHeight="false" outlineLevel="0" collapsed="false">
      <c r="A3987" s="41"/>
      <c r="G3987" s="38" t="n">
        <f aca="false">MONTH(A3987)</f>
        <v>12</v>
      </c>
      <c r="H3987" s="38" t="n">
        <f aca="false">YEAR(Tabela1[[#This Row],[FECHA]])</f>
        <v>1900</v>
      </c>
      <c r="I39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88" customFormat="false" ht="15" hidden="false" customHeight="false" outlineLevel="0" collapsed="false">
      <c r="A3988" s="41"/>
      <c r="G3988" s="38" t="n">
        <f aca="false">MONTH(A3988)</f>
        <v>12</v>
      </c>
      <c r="H3988" s="38" t="n">
        <f aca="false">YEAR(Tabela1[[#This Row],[FECHA]])</f>
        <v>1900</v>
      </c>
      <c r="I39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89" customFormat="false" ht="15" hidden="false" customHeight="false" outlineLevel="0" collapsed="false">
      <c r="A3989" s="41"/>
      <c r="G3989" s="38" t="n">
        <f aca="false">MONTH(A3989)</f>
        <v>12</v>
      </c>
      <c r="H3989" s="38" t="n">
        <f aca="false">YEAR(Tabela1[[#This Row],[FECHA]])</f>
        <v>1900</v>
      </c>
      <c r="I39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90" customFormat="false" ht="15" hidden="false" customHeight="false" outlineLevel="0" collapsed="false">
      <c r="A3990" s="41"/>
      <c r="G3990" s="38" t="n">
        <f aca="false">MONTH(A3990)</f>
        <v>12</v>
      </c>
      <c r="H3990" s="38" t="n">
        <f aca="false">YEAR(Tabela1[[#This Row],[FECHA]])</f>
        <v>1900</v>
      </c>
      <c r="I39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91" customFormat="false" ht="15" hidden="false" customHeight="false" outlineLevel="0" collapsed="false">
      <c r="A3991" s="41"/>
      <c r="G3991" s="38" t="n">
        <f aca="false">MONTH(A3991)</f>
        <v>12</v>
      </c>
      <c r="H3991" s="38" t="n">
        <f aca="false">YEAR(Tabela1[[#This Row],[FECHA]])</f>
        <v>1900</v>
      </c>
      <c r="I39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92" customFormat="false" ht="15" hidden="false" customHeight="false" outlineLevel="0" collapsed="false">
      <c r="A3992" s="41"/>
      <c r="G3992" s="38" t="n">
        <f aca="false">MONTH(A3992)</f>
        <v>12</v>
      </c>
      <c r="H3992" s="38" t="n">
        <f aca="false">YEAR(Tabela1[[#This Row],[FECHA]])</f>
        <v>1900</v>
      </c>
      <c r="I39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93" customFormat="false" ht="15" hidden="false" customHeight="false" outlineLevel="0" collapsed="false">
      <c r="A3993" s="41"/>
      <c r="G3993" s="38" t="n">
        <f aca="false">MONTH(A3993)</f>
        <v>12</v>
      </c>
      <c r="H3993" s="38" t="n">
        <f aca="false">YEAR(Tabela1[[#This Row],[FECHA]])</f>
        <v>1900</v>
      </c>
      <c r="I39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94" customFormat="false" ht="15" hidden="false" customHeight="false" outlineLevel="0" collapsed="false">
      <c r="A3994" s="41"/>
      <c r="G3994" s="38" t="n">
        <f aca="false">MONTH(A3994)</f>
        <v>12</v>
      </c>
      <c r="H3994" s="38" t="n">
        <f aca="false">YEAR(Tabela1[[#This Row],[FECHA]])</f>
        <v>1900</v>
      </c>
      <c r="I39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95" customFormat="false" ht="15" hidden="false" customHeight="false" outlineLevel="0" collapsed="false">
      <c r="A3995" s="41"/>
      <c r="G3995" s="38" t="n">
        <f aca="false">MONTH(A3995)</f>
        <v>12</v>
      </c>
      <c r="H3995" s="38" t="n">
        <f aca="false">YEAR(Tabela1[[#This Row],[FECHA]])</f>
        <v>1900</v>
      </c>
      <c r="I39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96" customFormat="false" ht="15" hidden="false" customHeight="false" outlineLevel="0" collapsed="false">
      <c r="A3996" s="41"/>
      <c r="G3996" s="38" t="n">
        <f aca="false">MONTH(A3996)</f>
        <v>12</v>
      </c>
      <c r="H3996" s="38" t="n">
        <f aca="false">YEAR(Tabela1[[#This Row],[FECHA]])</f>
        <v>1900</v>
      </c>
      <c r="I39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97" customFormat="false" ht="15" hidden="false" customHeight="false" outlineLevel="0" collapsed="false">
      <c r="A3997" s="41"/>
      <c r="G3997" s="38" t="n">
        <f aca="false">MONTH(A3997)</f>
        <v>12</v>
      </c>
      <c r="H3997" s="38" t="n">
        <f aca="false">YEAR(Tabela1[[#This Row],[FECHA]])</f>
        <v>1900</v>
      </c>
      <c r="I39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98" customFormat="false" ht="15" hidden="false" customHeight="false" outlineLevel="0" collapsed="false">
      <c r="A3998" s="41"/>
      <c r="G3998" s="38" t="n">
        <f aca="false">MONTH(A3998)</f>
        <v>12</v>
      </c>
      <c r="H3998" s="38" t="n">
        <f aca="false">YEAR(Tabela1[[#This Row],[FECHA]])</f>
        <v>1900</v>
      </c>
      <c r="I39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3999" customFormat="false" ht="15" hidden="false" customHeight="false" outlineLevel="0" collapsed="false">
      <c r="A3999" s="41"/>
      <c r="G3999" s="38" t="n">
        <f aca="false">MONTH(A3999)</f>
        <v>12</v>
      </c>
      <c r="H3999" s="38" t="n">
        <f aca="false">YEAR(Tabela1[[#This Row],[FECHA]])</f>
        <v>1900</v>
      </c>
      <c r="I39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00" customFormat="false" ht="15" hidden="false" customHeight="false" outlineLevel="0" collapsed="false">
      <c r="A4000" s="41"/>
      <c r="G4000" s="38" t="n">
        <f aca="false">MONTH(A4000)</f>
        <v>12</v>
      </c>
      <c r="H4000" s="38" t="n">
        <f aca="false">YEAR(Tabela1[[#This Row],[FECHA]])</f>
        <v>1900</v>
      </c>
      <c r="I40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01" customFormat="false" ht="15" hidden="false" customHeight="false" outlineLevel="0" collapsed="false">
      <c r="A4001" s="41"/>
      <c r="G4001" s="38" t="n">
        <f aca="false">MONTH(A4001)</f>
        <v>12</v>
      </c>
      <c r="H4001" s="38" t="n">
        <f aca="false">YEAR(Tabela1[[#This Row],[FECHA]])</f>
        <v>1900</v>
      </c>
      <c r="I40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02" customFormat="false" ht="15" hidden="false" customHeight="false" outlineLevel="0" collapsed="false">
      <c r="A4002" s="41"/>
      <c r="G4002" s="38" t="n">
        <f aca="false">MONTH(A4002)</f>
        <v>12</v>
      </c>
      <c r="H4002" s="38" t="n">
        <f aca="false">YEAR(Tabela1[[#This Row],[FECHA]])</f>
        <v>1900</v>
      </c>
      <c r="I40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03" customFormat="false" ht="15" hidden="false" customHeight="false" outlineLevel="0" collapsed="false">
      <c r="A4003" s="41"/>
      <c r="G4003" s="38" t="n">
        <f aca="false">MONTH(A4003)</f>
        <v>12</v>
      </c>
      <c r="H4003" s="38" t="n">
        <f aca="false">YEAR(Tabela1[[#This Row],[FECHA]])</f>
        <v>1900</v>
      </c>
      <c r="I40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04" customFormat="false" ht="15" hidden="false" customHeight="false" outlineLevel="0" collapsed="false">
      <c r="A4004" s="41"/>
      <c r="G4004" s="38" t="n">
        <f aca="false">MONTH(A4004)</f>
        <v>12</v>
      </c>
      <c r="H4004" s="38" t="n">
        <f aca="false">YEAR(Tabela1[[#This Row],[FECHA]])</f>
        <v>1900</v>
      </c>
      <c r="I40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05" customFormat="false" ht="15" hidden="false" customHeight="false" outlineLevel="0" collapsed="false">
      <c r="A4005" s="41"/>
      <c r="G4005" s="38" t="n">
        <f aca="false">MONTH(A4005)</f>
        <v>12</v>
      </c>
      <c r="H4005" s="38" t="n">
        <f aca="false">YEAR(Tabela1[[#This Row],[FECHA]])</f>
        <v>1900</v>
      </c>
      <c r="I40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06" customFormat="false" ht="15" hidden="false" customHeight="false" outlineLevel="0" collapsed="false">
      <c r="A4006" s="41"/>
      <c r="G4006" s="38" t="n">
        <f aca="false">MONTH(A4006)</f>
        <v>12</v>
      </c>
      <c r="H4006" s="38" t="n">
        <f aca="false">YEAR(Tabela1[[#This Row],[FECHA]])</f>
        <v>1900</v>
      </c>
      <c r="I40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07" customFormat="false" ht="15" hidden="false" customHeight="false" outlineLevel="0" collapsed="false">
      <c r="A4007" s="41"/>
      <c r="G4007" s="38" t="n">
        <f aca="false">MONTH(A4007)</f>
        <v>12</v>
      </c>
      <c r="H4007" s="38" t="n">
        <f aca="false">YEAR(Tabela1[[#This Row],[FECHA]])</f>
        <v>1900</v>
      </c>
      <c r="I40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08" customFormat="false" ht="15" hidden="false" customHeight="false" outlineLevel="0" collapsed="false">
      <c r="A4008" s="41"/>
      <c r="G4008" s="38" t="n">
        <f aca="false">MONTH(A4008)</f>
        <v>12</v>
      </c>
      <c r="H4008" s="38" t="n">
        <f aca="false">YEAR(Tabela1[[#This Row],[FECHA]])</f>
        <v>1900</v>
      </c>
      <c r="I40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09" customFormat="false" ht="15" hidden="false" customHeight="false" outlineLevel="0" collapsed="false">
      <c r="A4009" s="41"/>
      <c r="G4009" s="38" t="n">
        <f aca="false">MONTH(A4009)</f>
        <v>12</v>
      </c>
      <c r="H4009" s="38" t="n">
        <f aca="false">YEAR(Tabela1[[#This Row],[FECHA]])</f>
        <v>1900</v>
      </c>
      <c r="I40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10" customFormat="false" ht="15" hidden="false" customHeight="false" outlineLevel="0" collapsed="false">
      <c r="A4010" s="41"/>
      <c r="G4010" s="38" t="n">
        <f aca="false">MONTH(A4010)</f>
        <v>12</v>
      </c>
      <c r="H4010" s="38" t="n">
        <f aca="false">YEAR(Tabela1[[#This Row],[FECHA]])</f>
        <v>1900</v>
      </c>
      <c r="I40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11" customFormat="false" ht="15" hidden="false" customHeight="false" outlineLevel="0" collapsed="false">
      <c r="A4011" s="41"/>
      <c r="G4011" s="38" t="n">
        <f aca="false">MONTH(A4011)</f>
        <v>12</v>
      </c>
      <c r="H4011" s="38" t="n">
        <f aca="false">YEAR(Tabela1[[#This Row],[FECHA]])</f>
        <v>1900</v>
      </c>
      <c r="I40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12" customFormat="false" ht="15" hidden="false" customHeight="false" outlineLevel="0" collapsed="false">
      <c r="A4012" s="41"/>
      <c r="G4012" s="38" t="n">
        <f aca="false">MONTH(A4012)</f>
        <v>12</v>
      </c>
      <c r="H4012" s="38" t="n">
        <f aca="false">YEAR(Tabela1[[#This Row],[FECHA]])</f>
        <v>1900</v>
      </c>
      <c r="I40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13" customFormat="false" ht="15" hidden="false" customHeight="false" outlineLevel="0" collapsed="false">
      <c r="A4013" s="41"/>
      <c r="G4013" s="38" t="n">
        <f aca="false">MONTH(A4013)</f>
        <v>12</v>
      </c>
      <c r="H4013" s="38" t="n">
        <f aca="false">YEAR(Tabela1[[#This Row],[FECHA]])</f>
        <v>1900</v>
      </c>
      <c r="I40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14" customFormat="false" ht="15" hidden="false" customHeight="false" outlineLevel="0" collapsed="false">
      <c r="A4014" s="41"/>
      <c r="G4014" s="38" t="n">
        <f aca="false">MONTH(A4014)</f>
        <v>12</v>
      </c>
      <c r="H4014" s="38" t="n">
        <f aca="false">YEAR(Tabela1[[#This Row],[FECHA]])</f>
        <v>1900</v>
      </c>
      <c r="I40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15" customFormat="false" ht="15" hidden="false" customHeight="false" outlineLevel="0" collapsed="false">
      <c r="A4015" s="41"/>
      <c r="G4015" s="38" t="n">
        <f aca="false">MONTH(A4015)</f>
        <v>12</v>
      </c>
      <c r="H4015" s="38" t="n">
        <f aca="false">YEAR(Tabela1[[#This Row],[FECHA]])</f>
        <v>1900</v>
      </c>
      <c r="I40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16" customFormat="false" ht="15" hidden="false" customHeight="false" outlineLevel="0" collapsed="false">
      <c r="A4016" s="41"/>
      <c r="G4016" s="38" t="n">
        <f aca="false">MONTH(A4016)</f>
        <v>12</v>
      </c>
      <c r="H4016" s="38" t="n">
        <f aca="false">YEAR(Tabela1[[#This Row],[FECHA]])</f>
        <v>1900</v>
      </c>
      <c r="I40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17" customFormat="false" ht="15" hidden="false" customHeight="false" outlineLevel="0" collapsed="false">
      <c r="A4017" s="41"/>
      <c r="G4017" s="38" t="n">
        <f aca="false">MONTH(A4017)</f>
        <v>12</v>
      </c>
      <c r="H4017" s="38" t="n">
        <f aca="false">YEAR(Tabela1[[#This Row],[FECHA]])</f>
        <v>1900</v>
      </c>
      <c r="I40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18" customFormat="false" ht="15" hidden="false" customHeight="false" outlineLevel="0" collapsed="false">
      <c r="A4018" s="41"/>
      <c r="G4018" s="38" t="n">
        <f aca="false">MONTH(A4018)</f>
        <v>12</v>
      </c>
      <c r="H4018" s="38" t="n">
        <f aca="false">YEAR(Tabela1[[#This Row],[FECHA]])</f>
        <v>1900</v>
      </c>
      <c r="I40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19" customFormat="false" ht="15" hidden="false" customHeight="false" outlineLevel="0" collapsed="false">
      <c r="A4019" s="41"/>
      <c r="G4019" s="38" t="n">
        <f aca="false">MONTH(A4019)</f>
        <v>12</v>
      </c>
      <c r="H4019" s="38" t="n">
        <f aca="false">YEAR(Tabela1[[#This Row],[FECHA]])</f>
        <v>1900</v>
      </c>
      <c r="I40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20" customFormat="false" ht="15" hidden="false" customHeight="false" outlineLevel="0" collapsed="false">
      <c r="A4020" s="41"/>
      <c r="G4020" s="38" t="n">
        <f aca="false">MONTH(A4020)</f>
        <v>12</v>
      </c>
      <c r="H4020" s="38" t="n">
        <f aca="false">YEAR(Tabela1[[#This Row],[FECHA]])</f>
        <v>1900</v>
      </c>
      <c r="I40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21" customFormat="false" ht="15" hidden="false" customHeight="false" outlineLevel="0" collapsed="false">
      <c r="A4021" s="41"/>
      <c r="G4021" s="38" t="n">
        <f aca="false">MONTH(A4021)</f>
        <v>12</v>
      </c>
      <c r="H4021" s="38" t="n">
        <f aca="false">YEAR(Tabela1[[#This Row],[FECHA]])</f>
        <v>1900</v>
      </c>
      <c r="I40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22" customFormat="false" ht="15" hidden="false" customHeight="false" outlineLevel="0" collapsed="false">
      <c r="A4022" s="41"/>
      <c r="G4022" s="38" t="n">
        <f aca="false">MONTH(A4022)</f>
        <v>12</v>
      </c>
      <c r="H4022" s="38" t="n">
        <f aca="false">YEAR(Tabela1[[#This Row],[FECHA]])</f>
        <v>1900</v>
      </c>
      <c r="I40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23" customFormat="false" ht="15" hidden="false" customHeight="false" outlineLevel="0" collapsed="false">
      <c r="A4023" s="41"/>
      <c r="G4023" s="38" t="n">
        <f aca="false">MONTH(A4023)</f>
        <v>12</v>
      </c>
      <c r="H4023" s="38" t="n">
        <f aca="false">YEAR(Tabela1[[#This Row],[FECHA]])</f>
        <v>1900</v>
      </c>
      <c r="I40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24" customFormat="false" ht="15" hidden="false" customHeight="false" outlineLevel="0" collapsed="false">
      <c r="A4024" s="41"/>
      <c r="G4024" s="38" t="n">
        <f aca="false">MONTH(A4024)</f>
        <v>12</v>
      </c>
      <c r="H4024" s="38" t="n">
        <f aca="false">YEAR(Tabela1[[#This Row],[FECHA]])</f>
        <v>1900</v>
      </c>
      <c r="I40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25" customFormat="false" ht="15" hidden="false" customHeight="false" outlineLevel="0" collapsed="false">
      <c r="A4025" s="41"/>
      <c r="G4025" s="38" t="n">
        <f aca="false">MONTH(A4025)</f>
        <v>12</v>
      </c>
      <c r="H4025" s="38" t="n">
        <f aca="false">YEAR(Tabela1[[#This Row],[FECHA]])</f>
        <v>1900</v>
      </c>
      <c r="I40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26" customFormat="false" ht="15" hidden="false" customHeight="false" outlineLevel="0" collapsed="false">
      <c r="A4026" s="41"/>
      <c r="G4026" s="38" t="n">
        <f aca="false">MONTH(A4026)</f>
        <v>12</v>
      </c>
      <c r="H4026" s="38" t="n">
        <f aca="false">YEAR(Tabela1[[#This Row],[FECHA]])</f>
        <v>1900</v>
      </c>
      <c r="I40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27" customFormat="false" ht="15" hidden="false" customHeight="false" outlineLevel="0" collapsed="false">
      <c r="A4027" s="41"/>
      <c r="G4027" s="38" t="n">
        <f aca="false">MONTH(A4027)</f>
        <v>12</v>
      </c>
      <c r="H4027" s="38" t="n">
        <f aca="false">YEAR(Tabela1[[#This Row],[FECHA]])</f>
        <v>1900</v>
      </c>
      <c r="I40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28" customFormat="false" ht="15" hidden="false" customHeight="false" outlineLevel="0" collapsed="false">
      <c r="A4028" s="41"/>
      <c r="G4028" s="38" t="n">
        <f aca="false">MONTH(A4028)</f>
        <v>12</v>
      </c>
      <c r="H4028" s="38" t="n">
        <f aca="false">YEAR(Tabela1[[#This Row],[FECHA]])</f>
        <v>1900</v>
      </c>
      <c r="I40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29" customFormat="false" ht="15" hidden="false" customHeight="false" outlineLevel="0" collapsed="false">
      <c r="A4029" s="41"/>
      <c r="G4029" s="38" t="n">
        <f aca="false">MONTH(A4029)</f>
        <v>12</v>
      </c>
      <c r="H4029" s="38" t="n">
        <f aca="false">YEAR(Tabela1[[#This Row],[FECHA]])</f>
        <v>1900</v>
      </c>
      <c r="I40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30" customFormat="false" ht="15" hidden="false" customHeight="false" outlineLevel="0" collapsed="false">
      <c r="A4030" s="41"/>
      <c r="G4030" s="38" t="n">
        <f aca="false">MONTH(A4030)</f>
        <v>12</v>
      </c>
      <c r="H4030" s="38" t="n">
        <f aca="false">YEAR(Tabela1[[#This Row],[FECHA]])</f>
        <v>1900</v>
      </c>
      <c r="I40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31" customFormat="false" ht="15" hidden="false" customHeight="false" outlineLevel="0" collapsed="false">
      <c r="A4031" s="41"/>
      <c r="G4031" s="38" t="n">
        <f aca="false">MONTH(A4031)</f>
        <v>12</v>
      </c>
      <c r="H4031" s="38" t="n">
        <f aca="false">YEAR(Tabela1[[#This Row],[FECHA]])</f>
        <v>1900</v>
      </c>
      <c r="I40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32" customFormat="false" ht="15" hidden="false" customHeight="false" outlineLevel="0" collapsed="false">
      <c r="A4032" s="41"/>
      <c r="G4032" s="38" t="n">
        <f aca="false">MONTH(A4032)</f>
        <v>12</v>
      </c>
      <c r="H4032" s="38" t="n">
        <f aca="false">YEAR(Tabela1[[#This Row],[FECHA]])</f>
        <v>1900</v>
      </c>
      <c r="I40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33" customFormat="false" ht="15" hidden="false" customHeight="false" outlineLevel="0" collapsed="false">
      <c r="A4033" s="41"/>
      <c r="G4033" s="38" t="n">
        <f aca="false">MONTH(A4033)</f>
        <v>12</v>
      </c>
      <c r="H4033" s="38" t="n">
        <f aca="false">YEAR(Tabela1[[#This Row],[FECHA]])</f>
        <v>1900</v>
      </c>
      <c r="I40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34" customFormat="false" ht="15" hidden="false" customHeight="false" outlineLevel="0" collapsed="false">
      <c r="A4034" s="41"/>
      <c r="G4034" s="38" t="n">
        <f aca="false">MONTH(A4034)</f>
        <v>12</v>
      </c>
      <c r="H4034" s="38" t="n">
        <f aca="false">YEAR(Tabela1[[#This Row],[FECHA]])</f>
        <v>1900</v>
      </c>
      <c r="I40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35" customFormat="false" ht="15" hidden="false" customHeight="false" outlineLevel="0" collapsed="false">
      <c r="A4035" s="41"/>
      <c r="G4035" s="38" t="n">
        <f aca="false">MONTH(A4035)</f>
        <v>12</v>
      </c>
      <c r="H4035" s="38" t="n">
        <f aca="false">YEAR(Tabela1[[#This Row],[FECHA]])</f>
        <v>1900</v>
      </c>
      <c r="I40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36" customFormat="false" ht="15" hidden="false" customHeight="false" outlineLevel="0" collapsed="false">
      <c r="A4036" s="41"/>
      <c r="G4036" s="38" t="n">
        <f aca="false">MONTH(A4036)</f>
        <v>12</v>
      </c>
      <c r="H4036" s="38" t="n">
        <f aca="false">YEAR(Tabela1[[#This Row],[FECHA]])</f>
        <v>1900</v>
      </c>
      <c r="I40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37" customFormat="false" ht="15" hidden="false" customHeight="false" outlineLevel="0" collapsed="false">
      <c r="A4037" s="41"/>
      <c r="G4037" s="38" t="n">
        <f aca="false">MONTH(A4037)</f>
        <v>12</v>
      </c>
      <c r="H4037" s="38" t="n">
        <f aca="false">YEAR(Tabela1[[#This Row],[FECHA]])</f>
        <v>1900</v>
      </c>
      <c r="I40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38" customFormat="false" ht="15" hidden="false" customHeight="false" outlineLevel="0" collapsed="false">
      <c r="A4038" s="41"/>
      <c r="G4038" s="38" t="n">
        <f aca="false">MONTH(A4038)</f>
        <v>12</v>
      </c>
      <c r="H4038" s="38" t="n">
        <f aca="false">YEAR(Tabela1[[#This Row],[FECHA]])</f>
        <v>1900</v>
      </c>
      <c r="I40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39" customFormat="false" ht="15" hidden="false" customHeight="false" outlineLevel="0" collapsed="false">
      <c r="A4039" s="41"/>
      <c r="G4039" s="38" t="n">
        <f aca="false">MONTH(A4039)</f>
        <v>12</v>
      </c>
      <c r="H4039" s="38" t="n">
        <f aca="false">YEAR(Tabela1[[#This Row],[FECHA]])</f>
        <v>1900</v>
      </c>
      <c r="I40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40" customFormat="false" ht="15" hidden="false" customHeight="false" outlineLevel="0" collapsed="false">
      <c r="A4040" s="41"/>
      <c r="G4040" s="38" t="n">
        <f aca="false">MONTH(A4040)</f>
        <v>12</v>
      </c>
      <c r="H4040" s="38" t="n">
        <f aca="false">YEAR(Tabela1[[#This Row],[FECHA]])</f>
        <v>1900</v>
      </c>
      <c r="I40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41" customFormat="false" ht="15" hidden="false" customHeight="false" outlineLevel="0" collapsed="false">
      <c r="A4041" s="41"/>
      <c r="G4041" s="38" t="n">
        <f aca="false">MONTH(A4041)</f>
        <v>12</v>
      </c>
      <c r="H4041" s="38" t="n">
        <f aca="false">YEAR(Tabela1[[#This Row],[FECHA]])</f>
        <v>1900</v>
      </c>
      <c r="I40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42" customFormat="false" ht="15" hidden="false" customHeight="false" outlineLevel="0" collapsed="false">
      <c r="A4042" s="41"/>
      <c r="G4042" s="38" t="n">
        <f aca="false">MONTH(A4042)</f>
        <v>12</v>
      </c>
      <c r="H4042" s="38" t="n">
        <f aca="false">YEAR(Tabela1[[#This Row],[FECHA]])</f>
        <v>1900</v>
      </c>
      <c r="I40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43" customFormat="false" ht="15" hidden="false" customHeight="false" outlineLevel="0" collapsed="false">
      <c r="A4043" s="41"/>
      <c r="G4043" s="38" t="n">
        <f aca="false">MONTH(A4043)</f>
        <v>12</v>
      </c>
      <c r="H4043" s="38" t="n">
        <f aca="false">YEAR(Tabela1[[#This Row],[FECHA]])</f>
        <v>1900</v>
      </c>
      <c r="I40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44" customFormat="false" ht="15" hidden="false" customHeight="false" outlineLevel="0" collapsed="false">
      <c r="A4044" s="41"/>
      <c r="G4044" s="38" t="n">
        <f aca="false">MONTH(A4044)</f>
        <v>12</v>
      </c>
      <c r="H4044" s="38" t="n">
        <f aca="false">YEAR(Tabela1[[#This Row],[FECHA]])</f>
        <v>1900</v>
      </c>
      <c r="I40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45" customFormat="false" ht="15" hidden="false" customHeight="false" outlineLevel="0" collapsed="false">
      <c r="A4045" s="41"/>
      <c r="G4045" s="38" t="n">
        <f aca="false">MONTH(A4045)</f>
        <v>12</v>
      </c>
      <c r="H4045" s="38" t="n">
        <f aca="false">YEAR(Tabela1[[#This Row],[FECHA]])</f>
        <v>1900</v>
      </c>
      <c r="I40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46" customFormat="false" ht="15" hidden="false" customHeight="false" outlineLevel="0" collapsed="false">
      <c r="A4046" s="41"/>
      <c r="G4046" s="38" t="n">
        <f aca="false">MONTH(A4046)</f>
        <v>12</v>
      </c>
      <c r="H4046" s="38" t="n">
        <f aca="false">YEAR(Tabela1[[#This Row],[FECHA]])</f>
        <v>1900</v>
      </c>
      <c r="I40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47" customFormat="false" ht="15" hidden="false" customHeight="false" outlineLevel="0" collapsed="false">
      <c r="A4047" s="41"/>
      <c r="G4047" s="38" t="n">
        <f aca="false">MONTH(A4047)</f>
        <v>12</v>
      </c>
      <c r="H4047" s="38" t="n">
        <f aca="false">YEAR(Tabela1[[#This Row],[FECHA]])</f>
        <v>1900</v>
      </c>
      <c r="I40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48" customFormat="false" ht="15" hidden="false" customHeight="false" outlineLevel="0" collapsed="false">
      <c r="A4048" s="41"/>
      <c r="G4048" s="38" t="n">
        <f aca="false">MONTH(A4048)</f>
        <v>12</v>
      </c>
      <c r="H4048" s="38" t="n">
        <f aca="false">YEAR(Tabela1[[#This Row],[FECHA]])</f>
        <v>1900</v>
      </c>
      <c r="I40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49" customFormat="false" ht="15" hidden="false" customHeight="false" outlineLevel="0" collapsed="false">
      <c r="A4049" s="41"/>
      <c r="G4049" s="38" t="n">
        <f aca="false">MONTH(A4049)</f>
        <v>12</v>
      </c>
      <c r="H4049" s="38" t="n">
        <f aca="false">YEAR(Tabela1[[#This Row],[FECHA]])</f>
        <v>1900</v>
      </c>
      <c r="I40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50" customFormat="false" ht="15" hidden="false" customHeight="false" outlineLevel="0" collapsed="false">
      <c r="A4050" s="41"/>
      <c r="G4050" s="38" t="n">
        <f aca="false">MONTH(A4050)</f>
        <v>12</v>
      </c>
      <c r="H4050" s="38" t="n">
        <f aca="false">YEAR(Tabela1[[#This Row],[FECHA]])</f>
        <v>1900</v>
      </c>
      <c r="I40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51" customFormat="false" ht="15" hidden="false" customHeight="false" outlineLevel="0" collapsed="false">
      <c r="A4051" s="41"/>
      <c r="G4051" s="38" t="n">
        <f aca="false">MONTH(A4051)</f>
        <v>12</v>
      </c>
      <c r="H4051" s="38" t="n">
        <f aca="false">YEAR(Tabela1[[#This Row],[FECHA]])</f>
        <v>1900</v>
      </c>
      <c r="I40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52" customFormat="false" ht="15" hidden="false" customHeight="false" outlineLevel="0" collapsed="false">
      <c r="A4052" s="41"/>
      <c r="G4052" s="38" t="n">
        <f aca="false">MONTH(A4052)</f>
        <v>12</v>
      </c>
      <c r="H4052" s="38" t="n">
        <f aca="false">YEAR(Tabela1[[#This Row],[FECHA]])</f>
        <v>1900</v>
      </c>
      <c r="I40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53" customFormat="false" ht="15" hidden="false" customHeight="false" outlineLevel="0" collapsed="false">
      <c r="A4053" s="41"/>
      <c r="G4053" s="38" t="n">
        <f aca="false">MONTH(A4053)</f>
        <v>12</v>
      </c>
      <c r="H4053" s="38" t="n">
        <f aca="false">YEAR(Tabela1[[#This Row],[FECHA]])</f>
        <v>1900</v>
      </c>
      <c r="I40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54" customFormat="false" ht="15" hidden="false" customHeight="false" outlineLevel="0" collapsed="false">
      <c r="A4054" s="41"/>
      <c r="G4054" s="38" t="n">
        <f aca="false">MONTH(A4054)</f>
        <v>12</v>
      </c>
      <c r="H4054" s="38" t="n">
        <f aca="false">YEAR(Tabela1[[#This Row],[FECHA]])</f>
        <v>1900</v>
      </c>
      <c r="I40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55" customFormat="false" ht="15" hidden="false" customHeight="false" outlineLevel="0" collapsed="false">
      <c r="A4055" s="41"/>
      <c r="G4055" s="38" t="n">
        <f aca="false">MONTH(A4055)</f>
        <v>12</v>
      </c>
      <c r="H4055" s="38" t="n">
        <f aca="false">YEAR(Tabela1[[#This Row],[FECHA]])</f>
        <v>1900</v>
      </c>
      <c r="I40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56" customFormat="false" ht="15" hidden="false" customHeight="false" outlineLevel="0" collapsed="false">
      <c r="A4056" s="41"/>
      <c r="G4056" s="38" t="n">
        <f aca="false">MONTH(A4056)</f>
        <v>12</v>
      </c>
      <c r="H4056" s="38" t="n">
        <f aca="false">YEAR(Tabela1[[#This Row],[FECHA]])</f>
        <v>1900</v>
      </c>
      <c r="I40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57" customFormat="false" ht="15" hidden="false" customHeight="false" outlineLevel="0" collapsed="false">
      <c r="A4057" s="41"/>
      <c r="G4057" s="38" t="n">
        <f aca="false">MONTH(A4057)</f>
        <v>12</v>
      </c>
      <c r="H4057" s="38" t="n">
        <f aca="false">YEAR(Tabela1[[#This Row],[FECHA]])</f>
        <v>1900</v>
      </c>
      <c r="I40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58" customFormat="false" ht="15" hidden="false" customHeight="false" outlineLevel="0" collapsed="false">
      <c r="A4058" s="41"/>
      <c r="G4058" s="38" t="n">
        <f aca="false">MONTH(A4058)</f>
        <v>12</v>
      </c>
      <c r="H4058" s="38" t="n">
        <f aca="false">YEAR(Tabela1[[#This Row],[FECHA]])</f>
        <v>1900</v>
      </c>
      <c r="I40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59" customFormat="false" ht="15" hidden="false" customHeight="false" outlineLevel="0" collapsed="false">
      <c r="A4059" s="41"/>
      <c r="G4059" s="38" t="n">
        <f aca="false">MONTH(A4059)</f>
        <v>12</v>
      </c>
      <c r="H4059" s="38" t="n">
        <f aca="false">YEAR(Tabela1[[#This Row],[FECHA]])</f>
        <v>1900</v>
      </c>
      <c r="I40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60" customFormat="false" ht="15" hidden="false" customHeight="false" outlineLevel="0" collapsed="false">
      <c r="A4060" s="41"/>
      <c r="G4060" s="38" t="n">
        <f aca="false">MONTH(A4060)</f>
        <v>12</v>
      </c>
      <c r="H4060" s="38" t="n">
        <f aca="false">YEAR(Tabela1[[#This Row],[FECHA]])</f>
        <v>1900</v>
      </c>
      <c r="I40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61" customFormat="false" ht="15" hidden="false" customHeight="false" outlineLevel="0" collapsed="false">
      <c r="A4061" s="41"/>
      <c r="G4061" s="38" t="n">
        <f aca="false">MONTH(A4061)</f>
        <v>12</v>
      </c>
      <c r="H4061" s="38" t="n">
        <f aca="false">YEAR(Tabela1[[#This Row],[FECHA]])</f>
        <v>1900</v>
      </c>
      <c r="I40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62" customFormat="false" ht="15" hidden="false" customHeight="false" outlineLevel="0" collapsed="false">
      <c r="A4062" s="41"/>
      <c r="G4062" s="38" t="n">
        <f aca="false">MONTH(A4062)</f>
        <v>12</v>
      </c>
      <c r="H4062" s="38" t="n">
        <f aca="false">YEAR(Tabela1[[#This Row],[FECHA]])</f>
        <v>1900</v>
      </c>
      <c r="I40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63" customFormat="false" ht="15" hidden="false" customHeight="false" outlineLevel="0" collapsed="false">
      <c r="A4063" s="41"/>
      <c r="G4063" s="38" t="n">
        <f aca="false">MONTH(A4063)</f>
        <v>12</v>
      </c>
      <c r="H4063" s="38" t="n">
        <f aca="false">YEAR(Tabela1[[#This Row],[FECHA]])</f>
        <v>1900</v>
      </c>
      <c r="I40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64" customFormat="false" ht="15" hidden="false" customHeight="false" outlineLevel="0" collapsed="false">
      <c r="A4064" s="41"/>
      <c r="G4064" s="38" t="n">
        <f aca="false">MONTH(A4064)</f>
        <v>12</v>
      </c>
      <c r="H4064" s="38" t="n">
        <f aca="false">YEAR(Tabela1[[#This Row],[FECHA]])</f>
        <v>1900</v>
      </c>
      <c r="I40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65" customFormat="false" ht="15" hidden="false" customHeight="false" outlineLevel="0" collapsed="false">
      <c r="A4065" s="41"/>
      <c r="G4065" s="38" t="n">
        <f aca="false">MONTH(A4065)</f>
        <v>12</v>
      </c>
      <c r="H4065" s="38" t="n">
        <f aca="false">YEAR(Tabela1[[#This Row],[FECHA]])</f>
        <v>1900</v>
      </c>
      <c r="I40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66" customFormat="false" ht="15" hidden="false" customHeight="false" outlineLevel="0" collapsed="false">
      <c r="A4066" s="41"/>
      <c r="G4066" s="38" t="n">
        <f aca="false">MONTH(A4066)</f>
        <v>12</v>
      </c>
      <c r="H4066" s="38" t="n">
        <f aca="false">YEAR(Tabela1[[#This Row],[FECHA]])</f>
        <v>1900</v>
      </c>
      <c r="I40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67" customFormat="false" ht="15" hidden="false" customHeight="false" outlineLevel="0" collapsed="false">
      <c r="A4067" s="41"/>
      <c r="G4067" s="38" t="n">
        <f aca="false">MONTH(A4067)</f>
        <v>12</v>
      </c>
      <c r="H4067" s="38" t="n">
        <f aca="false">YEAR(Tabela1[[#This Row],[FECHA]])</f>
        <v>1900</v>
      </c>
      <c r="I40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68" customFormat="false" ht="15" hidden="false" customHeight="false" outlineLevel="0" collapsed="false">
      <c r="A4068" s="41"/>
      <c r="G4068" s="38" t="n">
        <f aca="false">MONTH(A4068)</f>
        <v>12</v>
      </c>
      <c r="H4068" s="38" t="n">
        <f aca="false">YEAR(Tabela1[[#This Row],[FECHA]])</f>
        <v>1900</v>
      </c>
      <c r="I40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69" customFormat="false" ht="15" hidden="false" customHeight="false" outlineLevel="0" collapsed="false">
      <c r="A4069" s="41"/>
      <c r="G4069" s="38" t="n">
        <f aca="false">MONTH(A4069)</f>
        <v>12</v>
      </c>
      <c r="H4069" s="38" t="n">
        <f aca="false">YEAR(Tabela1[[#This Row],[FECHA]])</f>
        <v>1900</v>
      </c>
      <c r="I40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70" customFormat="false" ht="15" hidden="false" customHeight="false" outlineLevel="0" collapsed="false">
      <c r="A4070" s="41"/>
      <c r="G4070" s="38" t="n">
        <f aca="false">MONTH(A4070)</f>
        <v>12</v>
      </c>
      <c r="H4070" s="38" t="n">
        <f aca="false">YEAR(Tabela1[[#This Row],[FECHA]])</f>
        <v>1900</v>
      </c>
      <c r="I40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71" customFormat="false" ht="15" hidden="false" customHeight="false" outlineLevel="0" collapsed="false">
      <c r="A4071" s="41"/>
      <c r="G4071" s="38" t="n">
        <f aca="false">MONTH(A4071)</f>
        <v>12</v>
      </c>
      <c r="H4071" s="38" t="n">
        <f aca="false">YEAR(Tabela1[[#This Row],[FECHA]])</f>
        <v>1900</v>
      </c>
      <c r="I40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72" customFormat="false" ht="15" hidden="false" customHeight="false" outlineLevel="0" collapsed="false">
      <c r="A4072" s="41"/>
      <c r="G4072" s="38" t="n">
        <f aca="false">MONTH(A4072)</f>
        <v>12</v>
      </c>
      <c r="H4072" s="38" t="n">
        <f aca="false">YEAR(Tabela1[[#This Row],[FECHA]])</f>
        <v>1900</v>
      </c>
      <c r="I40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73" customFormat="false" ht="15" hidden="false" customHeight="false" outlineLevel="0" collapsed="false">
      <c r="A4073" s="41"/>
      <c r="G4073" s="38" t="n">
        <f aca="false">MONTH(A4073)</f>
        <v>12</v>
      </c>
      <c r="H4073" s="38" t="n">
        <f aca="false">YEAR(Tabela1[[#This Row],[FECHA]])</f>
        <v>1900</v>
      </c>
      <c r="I40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74" customFormat="false" ht="15" hidden="false" customHeight="false" outlineLevel="0" collapsed="false">
      <c r="A4074" s="41"/>
      <c r="G4074" s="38" t="n">
        <f aca="false">MONTH(A4074)</f>
        <v>12</v>
      </c>
      <c r="H4074" s="38" t="n">
        <f aca="false">YEAR(Tabela1[[#This Row],[FECHA]])</f>
        <v>1900</v>
      </c>
      <c r="I40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75" customFormat="false" ht="15" hidden="false" customHeight="false" outlineLevel="0" collapsed="false">
      <c r="A4075" s="41"/>
      <c r="G4075" s="38" t="n">
        <f aca="false">MONTH(A4075)</f>
        <v>12</v>
      </c>
      <c r="H4075" s="38" t="n">
        <f aca="false">YEAR(Tabela1[[#This Row],[FECHA]])</f>
        <v>1900</v>
      </c>
      <c r="I40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76" customFormat="false" ht="15" hidden="false" customHeight="false" outlineLevel="0" collapsed="false">
      <c r="A4076" s="41"/>
      <c r="G4076" s="38" t="n">
        <f aca="false">MONTH(A4076)</f>
        <v>12</v>
      </c>
      <c r="H4076" s="38" t="n">
        <f aca="false">YEAR(Tabela1[[#This Row],[FECHA]])</f>
        <v>1900</v>
      </c>
      <c r="I40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77" customFormat="false" ht="15" hidden="false" customHeight="false" outlineLevel="0" collapsed="false">
      <c r="A4077" s="41"/>
      <c r="G4077" s="38" t="n">
        <f aca="false">MONTH(A4077)</f>
        <v>12</v>
      </c>
      <c r="H4077" s="38" t="n">
        <f aca="false">YEAR(Tabela1[[#This Row],[FECHA]])</f>
        <v>1900</v>
      </c>
      <c r="I40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78" customFormat="false" ht="15" hidden="false" customHeight="false" outlineLevel="0" collapsed="false">
      <c r="A4078" s="41"/>
      <c r="G4078" s="38" t="n">
        <f aca="false">MONTH(A4078)</f>
        <v>12</v>
      </c>
      <c r="H4078" s="38" t="n">
        <f aca="false">YEAR(Tabela1[[#This Row],[FECHA]])</f>
        <v>1900</v>
      </c>
      <c r="I40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79" customFormat="false" ht="15" hidden="false" customHeight="false" outlineLevel="0" collapsed="false">
      <c r="A4079" s="41"/>
      <c r="G4079" s="38" t="n">
        <f aca="false">MONTH(A4079)</f>
        <v>12</v>
      </c>
      <c r="H4079" s="38" t="n">
        <f aca="false">YEAR(Tabela1[[#This Row],[FECHA]])</f>
        <v>1900</v>
      </c>
      <c r="I40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80" customFormat="false" ht="15" hidden="false" customHeight="false" outlineLevel="0" collapsed="false">
      <c r="A4080" s="41"/>
      <c r="G4080" s="38" t="n">
        <f aca="false">MONTH(A4080)</f>
        <v>12</v>
      </c>
      <c r="H4080" s="38" t="n">
        <f aca="false">YEAR(Tabela1[[#This Row],[FECHA]])</f>
        <v>1900</v>
      </c>
      <c r="I40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81" customFormat="false" ht="15" hidden="false" customHeight="false" outlineLevel="0" collapsed="false">
      <c r="A4081" s="41"/>
      <c r="G4081" s="38" t="n">
        <f aca="false">MONTH(A4081)</f>
        <v>12</v>
      </c>
      <c r="H4081" s="38" t="n">
        <f aca="false">YEAR(Tabela1[[#This Row],[FECHA]])</f>
        <v>1900</v>
      </c>
      <c r="I40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82" customFormat="false" ht="15" hidden="false" customHeight="false" outlineLevel="0" collapsed="false">
      <c r="A4082" s="41"/>
      <c r="G4082" s="38" t="n">
        <f aca="false">MONTH(A4082)</f>
        <v>12</v>
      </c>
      <c r="H4082" s="38" t="n">
        <f aca="false">YEAR(Tabela1[[#This Row],[FECHA]])</f>
        <v>1900</v>
      </c>
      <c r="I40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83" customFormat="false" ht="15" hidden="false" customHeight="false" outlineLevel="0" collapsed="false">
      <c r="A4083" s="41"/>
      <c r="G4083" s="38" t="n">
        <f aca="false">MONTH(A4083)</f>
        <v>12</v>
      </c>
      <c r="H4083" s="38" t="n">
        <f aca="false">YEAR(Tabela1[[#This Row],[FECHA]])</f>
        <v>1900</v>
      </c>
      <c r="I40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84" customFormat="false" ht="15" hidden="false" customHeight="false" outlineLevel="0" collapsed="false">
      <c r="A4084" s="41"/>
      <c r="G4084" s="38" t="n">
        <f aca="false">MONTH(A4084)</f>
        <v>12</v>
      </c>
      <c r="H4084" s="38" t="n">
        <f aca="false">YEAR(Tabela1[[#This Row],[FECHA]])</f>
        <v>1900</v>
      </c>
      <c r="I40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85" customFormat="false" ht="15" hidden="false" customHeight="false" outlineLevel="0" collapsed="false">
      <c r="A4085" s="41"/>
      <c r="G4085" s="38" t="n">
        <f aca="false">MONTH(A4085)</f>
        <v>12</v>
      </c>
      <c r="H4085" s="38" t="n">
        <f aca="false">YEAR(Tabela1[[#This Row],[FECHA]])</f>
        <v>1900</v>
      </c>
      <c r="I40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86" customFormat="false" ht="15" hidden="false" customHeight="false" outlineLevel="0" collapsed="false">
      <c r="A4086" s="41"/>
      <c r="G4086" s="38" t="n">
        <f aca="false">MONTH(A4086)</f>
        <v>12</v>
      </c>
      <c r="H4086" s="38" t="n">
        <f aca="false">YEAR(Tabela1[[#This Row],[FECHA]])</f>
        <v>1900</v>
      </c>
      <c r="I40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87" customFormat="false" ht="15" hidden="false" customHeight="false" outlineLevel="0" collapsed="false">
      <c r="A4087" s="41"/>
      <c r="G4087" s="38" t="n">
        <f aca="false">MONTH(A4087)</f>
        <v>12</v>
      </c>
      <c r="H4087" s="38" t="n">
        <f aca="false">YEAR(Tabela1[[#This Row],[FECHA]])</f>
        <v>1900</v>
      </c>
      <c r="I40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88" customFormat="false" ht="15" hidden="false" customHeight="false" outlineLevel="0" collapsed="false">
      <c r="A4088" s="41"/>
      <c r="G4088" s="38" t="n">
        <f aca="false">MONTH(A4088)</f>
        <v>12</v>
      </c>
      <c r="H4088" s="38" t="n">
        <f aca="false">YEAR(Tabela1[[#This Row],[FECHA]])</f>
        <v>1900</v>
      </c>
      <c r="I40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89" customFormat="false" ht="15" hidden="false" customHeight="false" outlineLevel="0" collapsed="false">
      <c r="A4089" s="41"/>
      <c r="G4089" s="38" t="n">
        <f aca="false">MONTH(A4089)</f>
        <v>12</v>
      </c>
      <c r="H4089" s="38" t="n">
        <f aca="false">YEAR(Tabela1[[#This Row],[FECHA]])</f>
        <v>1900</v>
      </c>
      <c r="I40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90" customFormat="false" ht="15" hidden="false" customHeight="false" outlineLevel="0" collapsed="false">
      <c r="A4090" s="41"/>
      <c r="G4090" s="38" t="n">
        <f aca="false">MONTH(A4090)</f>
        <v>12</v>
      </c>
      <c r="H4090" s="38" t="n">
        <f aca="false">YEAR(Tabela1[[#This Row],[FECHA]])</f>
        <v>1900</v>
      </c>
      <c r="I40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91" customFormat="false" ht="15" hidden="false" customHeight="false" outlineLevel="0" collapsed="false">
      <c r="A4091" s="41"/>
      <c r="G4091" s="38" t="n">
        <f aca="false">MONTH(A4091)</f>
        <v>12</v>
      </c>
      <c r="H4091" s="38" t="n">
        <f aca="false">YEAR(Tabela1[[#This Row],[FECHA]])</f>
        <v>1900</v>
      </c>
      <c r="I40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92" customFormat="false" ht="15" hidden="false" customHeight="false" outlineLevel="0" collapsed="false">
      <c r="A4092" s="41"/>
      <c r="G4092" s="38" t="n">
        <f aca="false">MONTH(A4092)</f>
        <v>12</v>
      </c>
      <c r="H4092" s="38" t="n">
        <f aca="false">YEAR(Tabela1[[#This Row],[FECHA]])</f>
        <v>1900</v>
      </c>
      <c r="I40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93" customFormat="false" ht="15" hidden="false" customHeight="false" outlineLevel="0" collapsed="false">
      <c r="A4093" s="41"/>
      <c r="G4093" s="38" t="n">
        <f aca="false">MONTH(A4093)</f>
        <v>12</v>
      </c>
      <c r="H4093" s="38" t="n">
        <f aca="false">YEAR(Tabela1[[#This Row],[FECHA]])</f>
        <v>1900</v>
      </c>
      <c r="I40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94" customFormat="false" ht="15" hidden="false" customHeight="false" outlineLevel="0" collapsed="false">
      <c r="A4094" s="41"/>
      <c r="G4094" s="38" t="n">
        <f aca="false">MONTH(A4094)</f>
        <v>12</v>
      </c>
      <c r="H4094" s="38" t="n">
        <f aca="false">YEAR(Tabela1[[#This Row],[FECHA]])</f>
        <v>1900</v>
      </c>
      <c r="I40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95" customFormat="false" ht="15" hidden="false" customHeight="false" outlineLevel="0" collapsed="false">
      <c r="A4095" s="41"/>
      <c r="G4095" s="38" t="n">
        <f aca="false">MONTH(A4095)</f>
        <v>12</v>
      </c>
      <c r="H4095" s="38" t="n">
        <f aca="false">YEAR(Tabela1[[#This Row],[FECHA]])</f>
        <v>1900</v>
      </c>
      <c r="I40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96" customFormat="false" ht="15" hidden="false" customHeight="false" outlineLevel="0" collapsed="false">
      <c r="A4096" s="41"/>
      <c r="G4096" s="38" t="n">
        <f aca="false">MONTH(A4096)</f>
        <v>12</v>
      </c>
      <c r="H4096" s="38" t="n">
        <f aca="false">YEAR(Tabela1[[#This Row],[FECHA]])</f>
        <v>1900</v>
      </c>
      <c r="I40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97" customFormat="false" ht="15" hidden="false" customHeight="false" outlineLevel="0" collapsed="false">
      <c r="A4097" s="41"/>
      <c r="G4097" s="38" t="n">
        <f aca="false">MONTH(A4097)</f>
        <v>12</v>
      </c>
      <c r="H4097" s="38" t="n">
        <f aca="false">YEAR(Tabela1[[#This Row],[FECHA]])</f>
        <v>1900</v>
      </c>
      <c r="I40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98" customFormat="false" ht="15" hidden="false" customHeight="false" outlineLevel="0" collapsed="false">
      <c r="A4098" s="41"/>
      <c r="G4098" s="38" t="n">
        <f aca="false">MONTH(A4098)</f>
        <v>12</v>
      </c>
      <c r="H4098" s="38" t="n">
        <f aca="false">YEAR(Tabela1[[#This Row],[FECHA]])</f>
        <v>1900</v>
      </c>
      <c r="I40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099" customFormat="false" ht="15" hidden="false" customHeight="false" outlineLevel="0" collapsed="false">
      <c r="A4099" s="41"/>
      <c r="G4099" s="38" t="n">
        <f aca="false">MONTH(A4099)</f>
        <v>12</v>
      </c>
      <c r="H4099" s="38" t="n">
        <f aca="false">YEAR(Tabela1[[#This Row],[FECHA]])</f>
        <v>1900</v>
      </c>
      <c r="I40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00" customFormat="false" ht="15" hidden="false" customHeight="false" outlineLevel="0" collapsed="false">
      <c r="A4100" s="41"/>
      <c r="G4100" s="38" t="n">
        <f aca="false">MONTH(A4100)</f>
        <v>12</v>
      </c>
      <c r="H4100" s="38" t="n">
        <f aca="false">YEAR(Tabela1[[#This Row],[FECHA]])</f>
        <v>1900</v>
      </c>
      <c r="I41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01" customFormat="false" ht="15" hidden="false" customHeight="false" outlineLevel="0" collapsed="false">
      <c r="A4101" s="41"/>
      <c r="G4101" s="38" t="n">
        <f aca="false">MONTH(A4101)</f>
        <v>12</v>
      </c>
      <c r="H4101" s="38" t="n">
        <f aca="false">YEAR(Tabela1[[#This Row],[FECHA]])</f>
        <v>1900</v>
      </c>
      <c r="I41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02" customFormat="false" ht="15" hidden="false" customHeight="false" outlineLevel="0" collapsed="false">
      <c r="A4102" s="41"/>
      <c r="G4102" s="38" t="n">
        <f aca="false">MONTH(A4102)</f>
        <v>12</v>
      </c>
      <c r="H4102" s="38" t="n">
        <f aca="false">YEAR(Tabela1[[#This Row],[FECHA]])</f>
        <v>1900</v>
      </c>
      <c r="I41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03" customFormat="false" ht="15" hidden="false" customHeight="false" outlineLevel="0" collapsed="false">
      <c r="A4103" s="41"/>
      <c r="G4103" s="38" t="n">
        <f aca="false">MONTH(A4103)</f>
        <v>12</v>
      </c>
      <c r="H4103" s="38" t="n">
        <f aca="false">YEAR(Tabela1[[#This Row],[FECHA]])</f>
        <v>1900</v>
      </c>
      <c r="I41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04" customFormat="false" ht="15" hidden="false" customHeight="false" outlineLevel="0" collapsed="false">
      <c r="A4104" s="41"/>
      <c r="G4104" s="38" t="n">
        <f aca="false">MONTH(A4104)</f>
        <v>12</v>
      </c>
      <c r="H4104" s="38" t="n">
        <f aca="false">YEAR(Tabela1[[#This Row],[FECHA]])</f>
        <v>1900</v>
      </c>
      <c r="I41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05" customFormat="false" ht="15" hidden="false" customHeight="false" outlineLevel="0" collapsed="false">
      <c r="A4105" s="41"/>
      <c r="G4105" s="38" t="n">
        <f aca="false">MONTH(A4105)</f>
        <v>12</v>
      </c>
      <c r="H4105" s="38" t="n">
        <f aca="false">YEAR(Tabela1[[#This Row],[FECHA]])</f>
        <v>1900</v>
      </c>
      <c r="I41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06" customFormat="false" ht="15" hidden="false" customHeight="false" outlineLevel="0" collapsed="false">
      <c r="A4106" s="41"/>
      <c r="G4106" s="38" t="n">
        <f aca="false">MONTH(A4106)</f>
        <v>12</v>
      </c>
      <c r="H4106" s="38" t="n">
        <f aca="false">YEAR(Tabela1[[#This Row],[FECHA]])</f>
        <v>1900</v>
      </c>
      <c r="I41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07" customFormat="false" ht="15" hidden="false" customHeight="false" outlineLevel="0" collapsed="false">
      <c r="A4107" s="41"/>
      <c r="G4107" s="38" t="n">
        <f aca="false">MONTH(A4107)</f>
        <v>12</v>
      </c>
      <c r="H4107" s="38" t="n">
        <f aca="false">YEAR(Tabela1[[#This Row],[FECHA]])</f>
        <v>1900</v>
      </c>
      <c r="I41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08" customFormat="false" ht="15" hidden="false" customHeight="false" outlineLevel="0" collapsed="false">
      <c r="A4108" s="41"/>
      <c r="G4108" s="38" t="n">
        <f aca="false">MONTH(A4108)</f>
        <v>12</v>
      </c>
      <c r="H4108" s="38" t="n">
        <f aca="false">YEAR(Tabela1[[#This Row],[FECHA]])</f>
        <v>1900</v>
      </c>
      <c r="I41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09" customFormat="false" ht="15" hidden="false" customHeight="false" outlineLevel="0" collapsed="false">
      <c r="A4109" s="41"/>
      <c r="G4109" s="38" t="n">
        <f aca="false">MONTH(A4109)</f>
        <v>12</v>
      </c>
      <c r="H4109" s="38" t="n">
        <f aca="false">YEAR(Tabela1[[#This Row],[FECHA]])</f>
        <v>1900</v>
      </c>
      <c r="I41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10" customFormat="false" ht="15" hidden="false" customHeight="false" outlineLevel="0" collapsed="false">
      <c r="A4110" s="41"/>
      <c r="G4110" s="38" t="n">
        <f aca="false">MONTH(A4110)</f>
        <v>12</v>
      </c>
      <c r="H4110" s="38" t="n">
        <f aca="false">YEAR(Tabela1[[#This Row],[FECHA]])</f>
        <v>1900</v>
      </c>
      <c r="I41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11" customFormat="false" ht="15" hidden="false" customHeight="false" outlineLevel="0" collapsed="false">
      <c r="A4111" s="41"/>
      <c r="G4111" s="38" t="n">
        <f aca="false">MONTH(A4111)</f>
        <v>12</v>
      </c>
      <c r="H4111" s="38" t="n">
        <f aca="false">YEAR(Tabela1[[#This Row],[FECHA]])</f>
        <v>1900</v>
      </c>
      <c r="I41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12" customFormat="false" ht="15" hidden="false" customHeight="false" outlineLevel="0" collapsed="false">
      <c r="A4112" s="41"/>
      <c r="G4112" s="38" t="n">
        <f aca="false">MONTH(A4112)</f>
        <v>12</v>
      </c>
      <c r="H4112" s="38" t="n">
        <f aca="false">YEAR(Tabela1[[#This Row],[FECHA]])</f>
        <v>1900</v>
      </c>
      <c r="I41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13" customFormat="false" ht="15" hidden="false" customHeight="false" outlineLevel="0" collapsed="false">
      <c r="A4113" s="41"/>
      <c r="G4113" s="38" t="n">
        <f aca="false">MONTH(A4113)</f>
        <v>12</v>
      </c>
      <c r="H4113" s="38" t="n">
        <f aca="false">YEAR(Tabela1[[#This Row],[FECHA]])</f>
        <v>1900</v>
      </c>
      <c r="I41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14" customFormat="false" ht="15" hidden="false" customHeight="false" outlineLevel="0" collapsed="false">
      <c r="A4114" s="41"/>
      <c r="G4114" s="38" t="n">
        <f aca="false">MONTH(A4114)</f>
        <v>12</v>
      </c>
      <c r="H4114" s="38" t="n">
        <f aca="false">YEAR(Tabela1[[#This Row],[FECHA]])</f>
        <v>1900</v>
      </c>
      <c r="I41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15" customFormat="false" ht="15" hidden="false" customHeight="false" outlineLevel="0" collapsed="false">
      <c r="A4115" s="41"/>
      <c r="G4115" s="38" t="n">
        <f aca="false">MONTH(A4115)</f>
        <v>12</v>
      </c>
      <c r="H4115" s="38" t="n">
        <f aca="false">YEAR(Tabela1[[#This Row],[FECHA]])</f>
        <v>1900</v>
      </c>
      <c r="I41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16" customFormat="false" ht="15" hidden="false" customHeight="false" outlineLevel="0" collapsed="false">
      <c r="A4116" s="41"/>
      <c r="G4116" s="38" t="n">
        <f aca="false">MONTH(A4116)</f>
        <v>12</v>
      </c>
      <c r="H4116" s="38" t="n">
        <f aca="false">YEAR(Tabela1[[#This Row],[FECHA]])</f>
        <v>1900</v>
      </c>
      <c r="I41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17" customFormat="false" ht="15" hidden="false" customHeight="false" outlineLevel="0" collapsed="false">
      <c r="A4117" s="41"/>
      <c r="G4117" s="38" t="n">
        <f aca="false">MONTH(A4117)</f>
        <v>12</v>
      </c>
      <c r="H4117" s="38" t="n">
        <f aca="false">YEAR(Tabela1[[#This Row],[FECHA]])</f>
        <v>1900</v>
      </c>
      <c r="I41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18" customFormat="false" ht="15" hidden="false" customHeight="false" outlineLevel="0" collapsed="false">
      <c r="A4118" s="41"/>
      <c r="G4118" s="38" t="n">
        <f aca="false">MONTH(A4118)</f>
        <v>12</v>
      </c>
      <c r="H4118" s="38" t="n">
        <f aca="false">YEAR(Tabela1[[#This Row],[FECHA]])</f>
        <v>1900</v>
      </c>
      <c r="I41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19" customFormat="false" ht="15" hidden="false" customHeight="false" outlineLevel="0" collapsed="false">
      <c r="A4119" s="41"/>
      <c r="G4119" s="38" t="n">
        <f aca="false">MONTH(A4119)</f>
        <v>12</v>
      </c>
      <c r="H4119" s="38" t="n">
        <f aca="false">YEAR(Tabela1[[#This Row],[FECHA]])</f>
        <v>1900</v>
      </c>
      <c r="I41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20" customFormat="false" ht="15" hidden="false" customHeight="false" outlineLevel="0" collapsed="false">
      <c r="A4120" s="41"/>
      <c r="G4120" s="38" t="n">
        <f aca="false">MONTH(A4120)</f>
        <v>12</v>
      </c>
      <c r="H4120" s="38" t="n">
        <f aca="false">YEAR(Tabela1[[#This Row],[FECHA]])</f>
        <v>1900</v>
      </c>
      <c r="I41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21" customFormat="false" ht="15" hidden="false" customHeight="false" outlineLevel="0" collapsed="false">
      <c r="A4121" s="41"/>
      <c r="G4121" s="38" t="n">
        <f aca="false">MONTH(A4121)</f>
        <v>12</v>
      </c>
      <c r="H4121" s="38" t="n">
        <f aca="false">YEAR(Tabela1[[#This Row],[FECHA]])</f>
        <v>1900</v>
      </c>
      <c r="I41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22" customFormat="false" ht="15" hidden="false" customHeight="false" outlineLevel="0" collapsed="false">
      <c r="A4122" s="41"/>
      <c r="G4122" s="38" t="n">
        <f aca="false">MONTH(A4122)</f>
        <v>12</v>
      </c>
      <c r="H4122" s="38" t="n">
        <f aca="false">YEAR(Tabela1[[#This Row],[FECHA]])</f>
        <v>1900</v>
      </c>
      <c r="I41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23" customFormat="false" ht="15" hidden="false" customHeight="false" outlineLevel="0" collapsed="false">
      <c r="A4123" s="41"/>
      <c r="G4123" s="38" t="n">
        <f aca="false">MONTH(A4123)</f>
        <v>12</v>
      </c>
      <c r="H4123" s="38" t="n">
        <f aca="false">YEAR(Tabela1[[#This Row],[FECHA]])</f>
        <v>1900</v>
      </c>
      <c r="I41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24" customFormat="false" ht="15" hidden="false" customHeight="false" outlineLevel="0" collapsed="false">
      <c r="A4124" s="41"/>
      <c r="G4124" s="38" t="n">
        <f aca="false">MONTH(A4124)</f>
        <v>12</v>
      </c>
      <c r="H4124" s="38" t="n">
        <f aca="false">YEAR(Tabela1[[#This Row],[FECHA]])</f>
        <v>1900</v>
      </c>
      <c r="I41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25" customFormat="false" ht="15" hidden="false" customHeight="false" outlineLevel="0" collapsed="false">
      <c r="A4125" s="41"/>
      <c r="G4125" s="38" t="n">
        <f aca="false">MONTH(A4125)</f>
        <v>12</v>
      </c>
      <c r="H4125" s="38" t="n">
        <f aca="false">YEAR(Tabela1[[#This Row],[FECHA]])</f>
        <v>1900</v>
      </c>
      <c r="I41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26" customFormat="false" ht="15" hidden="false" customHeight="false" outlineLevel="0" collapsed="false">
      <c r="A4126" s="41"/>
      <c r="G4126" s="38" t="n">
        <f aca="false">MONTH(A4126)</f>
        <v>12</v>
      </c>
      <c r="H4126" s="38" t="n">
        <f aca="false">YEAR(Tabela1[[#This Row],[FECHA]])</f>
        <v>1900</v>
      </c>
      <c r="I41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27" customFormat="false" ht="15" hidden="false" customHeight="false" outlineLevel="0" collapsed="false">
      <c r="A4127" s="41"/>
      <c r="G4127" s="38" t="n">
        <f aca="false">MONTH(A4127)</f>
        <v>12</v>
      </c>
      <c r="H4127" s="38" t="n">
        <f aca="false">YEAR(Tabela1[[#This Row],[FECHA]])</f>
        <v>1900</v>
      </c>
      <c r="I41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28" customFormat="false" ht="15" hidden="false" customHeight="false" outlineLevel="0" collapsed="false">
      <c r="A4128" s="41"/>
      <c r="G4128" s="38" t="n">
        <f aca="false">MONTH(A4128)</f>
        <v>12</v>
      </c>
      <c r="H4128" s="38" t="n">
        <f aca="false">YEAR(Tabela1[[#This Row],[FECHA]])</f>
        <v>1900</v>
      </c>
      <c r="I41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29" customFormat="false" ht="15" hidden="false" customHeight="false" outlineLevel="0" collapsed="false">
      <c r="A4129" s="41"/>
      <c r="G4129" s="38" t="n">
        <f aca="false">MONTH(A4129)</f>
        <v>12</v>
      </c>
      <c r="H4129" s="38" t="n">
        <f aca="false">YEAR(Tabela1[[#This Row],[FECHA]])</f>
        <v>1900</v>
      </c>
      <c r="I41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30" customFormat="false" ht="15" hidden="false" customHeight="false" outlineLevel="0" collapsed="false">
      <c r="A4130" s="41"/>
      <c r="G4130" s="38" t="n">
        <f aca="false">MONTH(A4130)</f>
        <v>12</v>
      </c>
      <c r="H4130" s="38" t="n">
        <f aca="false">YEAR(Tabela1[[#This Row],[FECHA]])</f>
        <v>1900</v>
      </c>
      <c r="I41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31" customFormat="false" ht="15" hidden="false" customHeight="false" outlineLevel="0" collapsed="false">
      <c r="A4131" s="41"/>
      <c r="G4131" s="38" t="n">
        <f aca="false">MONTH(A4131)</f>
        <v>12</v>
      </c>
      <c r="H4131" s="38" t="n">
        <f aca="false">YEAR(Tabela1[[#This Row],[FECHA]])</f>
        <v>1900</v>
      </c>
      <c r="I41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32" customFormat="false" ht="15" hidden="false" customHeight="false" outlineLevel="0" collapsed="false">
      <c r="A4132" s="41"/>
      <c r="G4132" s="38" t="n">
        <f aca="false">MONTH(A4132)</f>
        <v>12</v>
      </c>
      <c r="H4132" s="38" t="n">
        <f aca="false">YEAR(Tabela1[[#This Row],[FECHA]])</f>
        <v>1900</v>
      </c>
      <c r="I41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33" customFormat="false" ht="15" hidden="false" customHeight="false" outlineLevel="0" collapsed="false">
      <c r="A4133" s="41"/>
      <c r="G4133" s="38" t="n">
        <f aca="false">MONTH(A4133)</f>
        <v>12</v>
      </c>
      <c r="H4133" s="38" t="n">
        <f aca="false">YEAR(Tabela1[[#This Row],[FECHA]])</f>
        <v>1900</v>
      </c>
      <c r="I41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34" customFormat="false" ht="15" hidden="false" customHeight="false" outlineLevel="0" collapsed="false">
      <c r="A4134" s="41"/>
      <c r="G4134" s="38" t="n">
        <f aca="false">MONTH(A4134)</f>
        <v>12</v>
      </c>
      <c r="H4134" s="38" t="n">
        <f aca="false">YEAR(Tabela1[[#This Row],[FECHA]])</f>
        <v>1900</v>
      </c>
      <c r="I41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35" customFormat="false" ht="15" hidden="false" customHeight="false" outlineLevel="0" collapsed="false">
      <c r="A4135" s="41"/>
      <c r="G4135" s="38" t="n">
        <f aca="false">MONTH(A4135)</f>
        <v>12</v>
      </c>
      <c r="H4135" s="38" t="n">
        <f aca="false">YEAR(Tabela1[[#This Row],[FECHA]])</f>
        <v>1900</v>
      </c>
      <c r="I41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36" customFormat="false" ht="15" hidden="false" customHeight="false" outlineLevel="0" collapsed="false">
      <c r="A4136" s="41"/>
      <c r="G4136" s="38" t="n">
        <f aca="false">MONTH(A4136)</f>
        <v>12</v>
      </c>
      <c r="H4136" s="38" t="n">
        <f aca="false">YEAR(Tabela1[[#This Row],[FECHA]])</f>
        <v>1900</v>
      </c>
      <c r="I41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37" customFormat="false" ht="15" hidden="false" customHeight="false" outlineLevel="0" collapsed="false">
      <c r="A4137" s="41"/>
      <c r="G4137" s="38" t="n">
        <f aca="false">MONTH(A4137)</f>
        <v>12</v>
      </c>
      <c r="H4137" s="38" t="n">
        <f aca="false">YEAR(Tabela1[[#This Row],[FECHA]])</f>
        <v>1900</v>
      </c>
      <c r="I41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38" customFormat="false" ht="15" hidden="false" customHeight="false" outlineLevel="0" collapsed="false">
      <c r="A4138" s="41"/>
      <c r="G4138" s="38" t="n">
        <f aca="false">MONTH(A4138)</f>
        <v>12</v>
      </c>
      <c r="H4138" s="38" t="n">
        <f aca="false">YEAR(Tabela1[[#This Row],[FECHA]])</f>
        <v>1900</v>
      </c>
      <c r="I41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39" customFormat="false" ht="15" hidden="false" customHeight="false" outlineLevel="0" collapsed="false">
      <c r="A4139" s="41"/>
      <c r="G4139" s="38" t="n">
        <f aca="false">MONTH(A4139)</f>
        <v>12</v>
      </c>
      <c r="H4139" s="38" t="n">
        <f aca="false">YEAR(Tabela1[[#This Row],[FECHA]])</f>
        <v>1900</v>
      </c>
      <c r="I41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40" customFormat="false" ht="15" hidden="false" customHeight="false" outlineLevel="0" collapsed="false">
      <c r="A4140" s="41"/>
      <c r="G4140" s="38" t="n">
        <f aca="false">MONTH(A4140)</f>
        <v>12</v>
      </c>
      <c r="H4140" s="38" t="n">
        <f aca="false">YEAR(Tabela1[[#This Row],[FECHA]])</f>
        <v>1900</v>
      </c>
      <c r="I41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41" customFormat="false" ht="15" hidden="false" customHeight="false" outlineLevel="0" collapsed="false">
      <c r="A4141" s="41"/>
      <c r="G4141" s="38" t="n">
        <f aca="false">MONTH(A4141)</f>
        <v>12</v>
      </c>
      <c r="H4141" s="38" t="n">
        <f aca="false">YEAR(Tabela1[[#This Row],[FECHA]])</f>
        <v>1900</v>
      </c>
      <c r="I41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42" customFormat="false" ht="15" hidden="false" customHeight="false" outlineLevel="0" collapsed="false">
      <c r="A4142" s="41"/>
      <c r="G4142" s="38" t="n">
        <f aca="false">MONTH(A4142)</f>
        <v>12</v>
      </c>
      <c r="H4142" s="38" t="n">
        <f aca="false">YEAR(Tabela1[[#This Row],[FECHA]])</f>
        <v>1900</v>
      </c>
      <c r="I41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43" customFormat="false" ht="15" hidden="false" customHeight="false" outlineLevel="0" collapsed="false">
      <c r="A4143" s="41"/>
      <c r="G4143" s="38" t="n">
        <f aca="false">MONTH(A4143)</f>
        <v>12</v>
      </c>
      <c r="H4143" s="38" t="n">
        <f aca="false">YEAR(Tabela1[[#This Row],[FECHA]])</f>
        <v>1900</v>
      </c>
      <c r="I41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44" customFormat="false" ht="15" hidden="false" customHeight="false" outlineLevel="0" collapsed="false">
      <c r="A4144" s="41"/>
      <c r="G4144" s="38" t="n">
        <f aca="false">MONTH(A4144)</f>
        <v>12</v>
      </c>
      <c r="H4144" s="38" t="n">
        <f aca="false">YEAR(Tabela1[[#This Row],[FECHA]])</f>
        <v>1900</v>
      </c>
      <c r="I41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45" customFormat="false" ht="15" hidden="false" customHeight="false" outlineLevel="0" collapsed="false">
      <c r="A4145" s="41"/>
      <c r="G4145" s="38" t="n">
        <f aca="false">MONTH(A4145)</f>
        <v>12</v>
      </c>
      <c r="H4145" s="38" t="n">
        <f aca="false">YEAR(Tabela1[[#This Row],[FECHA]])</f>
        <v>1900</v>
      </c>
      <c r="I41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46" customFormat="false" ht="15" hidden="false" customHeight="false" outlineLevel="0" collapsed="false">
      <c r="A4146" s="41"/>
      <c r="G4146" s="38" t="n">
        <f aca="false">MONTH(A4146)</f>
        <v>12</v>
      </c>
      <c r="H4146" s="38" t="n">
        <f aca="false">YEAR(Tabela1[[#This Row],[FECHA]])</f>
        <v>1900</v>
      </c>
      <c r="I41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47" customFormat="false" ht="15" hidden="false" customHeight="false" outlineLevel="0" collapsed="false">
      <c r="A4147" s="41"/>
      <c r="G4147" s="38" t="n">
        <f aca="false">MONTH(A4147)</f>
        <v>12</v>
      </c>
      <c r="H4147" s="38" t="n">
        <f aca="false">YEAR(Tabela1[[#This Row],[FECHA]])</f>
        <v>1900</v>
      </c>
      <c r="I41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48" customFormat="false" ht="15" hidden="false" customHeight="false" outlineLevel="0" collapsed="false">
      <c r="A4148" s="41"/>
      <c r="G4148" s="38" t="n">
        <f aca="false">MONTH(A4148)</f>
        <v>12</v>
      </c>
      <c r="H4148" s="38" t="n">
        <f aca="false">YEAR(Tabela1[[#This Row],[FECHA]])</f>
        <v>1900</v>
      </c>
      <c r="I41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49" customFormat="false" ht="15" hidden="false" customHeight="false" outlineLevel="0" collapsed="false">
      <c r="A4149" s="41"/>
      <c r="G4149" s="38" t="n">
        <f aca="false">MONTH(A4149)</f>
        <v>12</v>
      </c>
      <c r="H4149" s="38" t="n">
        <f aca="false">YEAR(Tabela1[[#This Row],[FECHA]])</f>
        <v>1900</v>
      </c>
      <c r="I41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50" customFormat="false" ht="15" hidden="false" customHeight="false" outlineLevel="0" collapsed="false">
      <c r="A4150" s="41"/>
      <c r="G4150" s="38" t="n">
        <f aca="false">MONTH(A4150)</f>
        <v>12</v>
      </c>
      <c r="H4150" s="38" t="n">
        <f aca="false">YEAR(Tabela1[[#This Row],[FECHA]])</f>
        <v>1900</v>
      </c>
      <c r="I41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51" customFormat="false" ht="15" hidden="false" customHeight="false" outlineLevel="0" collapsed="false">
      <c r="A4151" s="41"/>
      <c r="G4151" s="38" t="n">
        <f aca="false">MONTH(A4151)</f>
        <v>12</v>
      </c>
      <c r="H4151" s="38" t="n">
        <f aca="false">YEAR(Tabela1[[#This Row],[FECHA]])</f>
        <v>1900</v>
      </c>
      <c r="I41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52" customFormat="false" ht="15" hidden="false" customHeight="false" outlineLevel="0" collapsed="false">
      <c r="A4152" s="41"/>
      <c r="G4152" s="38" t="n">
        <f aca="false">MONTH(A4152)</f>
        <v>12</v>
      </c>
      <c r="H4152" s="38" t="n">
        <f aca="false">YEAR(Tabela1[[#This Row],[FECHA]])</f>
        <v>1900</v>
      </c>
      <c r="I41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53" customFormat="false" ht="15" hidden="false" customHeight="false" outlineLevel="0" collapsed="false">
      <c r="A4153" s="41"/>
      <c r="G4153" s="38" t="n">
        <f aca="false">MONTH(A4153)</f>
        <v>12</v>
      </c>
      <c r="H4153" s="38" t="n">
        <f aca="false">YEAR(Tabela1[[#This Row],[FECHA]])</f>
        <v>1900</v>
      </c>
      <c r="I41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54" customFormat="false" ht="15" hidden="false" customHeight="false" outlineLevel="0" collapsed="false">
      <c r="A4154" s="41"/>
      <c r="G4154" s="38" t="n">
        <f aca="false">MONTH(A4154)</f>
        <v>12</v>
      </c>
      <c r="H4154" s="38" t="n">
        <f aca="false">YEAR(Tabela1[[#This Row],[FECHA]])</f>
        <v>1900</v>
      </c>
      <c r="I41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55" customFormat="false" ht="15" hidden="false" customHeight="false" outlineLevel="0" collapsed="false">
      <c r="A4155" s="41"/>
      <c r="G4155" s="38" t="n">
        <f aca="false">MONTH(A4155)</f>
        <v>12</v>
      </c>
      <c r="H4155" s="38" t="n">
        <f aca="false">YEAR(Tabela1[[#This Row],[FECHA]])</f>
        <v>1900</v>
      </c>
      <c r="I41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56" customFormat="false" ht="15" hidden="false" customHeight="false" outlineLevel="0" collapsed="false">
      <c r="A4156" s="41"/>
      <c r="G4156" s="38" t="n">
        <f aca="false">MONTH(A4156)</f>
        <v>12</v>
      </c>
      <c r="H4156" s="38" t="n">
        <f aca="false">YEAR(Tabela1[[#This Row],[FECHA]])</f>
        <v>1900</v>
      </c>
      <c r="I41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57" customFormat="false" ht="15" hidden="false" customHeight="false" outlineLevel="0" collapsed="false">
      <c r="A4157" s="41"/>
      <c r="G4157" s="38" t="n">
        <f aca="false">MONTH(A4157)</f>
        <v>12</v>
      </c>
      <c r="H4157" s="38" t="n">
        <f aca="false">YEAR(Tabela1[[#This Row],[FECHA]])</f>
        <v>1900</v>
      </c>
      <c r="I41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58" customFormat="false" ht="15" hidden="false" customHeight="false" outlineLevel="0" collapsed="false">
      <c r="A4158" s="41"/>
      <c r="G4158" s="38" t="n">
        <f aca="false">MONTH(A4158)</f>
        <v>12</v>
      </c>
      <c r="H4158" s="38" t="n">
        <f aca="false">YEAR(Tabela1[[#This Row],[FECHA]])</f>
        <v>1900</v>
      </c>
      <c r="I41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59" customFormat="false" ht="15" hidden="false" customHeight="false" outlineLevel="0" collapsed="false">
      <c r="A4159" s="41"/>
      <c r="G4159" s="38" t="n">
        <f aca="false">MONTH(A4159)</f>
        <v>12</v>
      </c>
      <c r="H4159" s="38" t="n">
        <f aca="false">YEAR(Tabela1[[#This Row],[FECHA]])</f>
        <v>1900</v>
      </c>
      <c r="I41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60" customFormat="false" ht="15" hidden="false" customHeight="false" outlineLevel="0" collapsed="false">
      <c r="A4160" s="41"/>
      <c r="G4160" s="38" t="n">
        <f aca="false">MONTH(A4160)</f>
        <v>12</v>
      </c>
      <c r="H4160" s="38" t="n">
        <f aca="false">YEAR(Tabela1[[#This Row],[FECHA]])</f>
        <v>1900</v>
      </c>
      <c r="I41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61" customFormat="false" ht="15" hidden="false" customHeight="false" outlineLevel="0" collapsed="false">
      <c r="A4161" s="41"/>
      <c r="G4161" s="38" t="n">
        <f aca="false">MONTH(A4161)</f>
        <v>12</v>
      </c>
      <c r="H4161" s="38" t="n">
        <f aca="false">YEAR(Tabela1[[#This Row],[FECHA]])</f>
        <v>1900</v>
      </c>
      <c r="I41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62" customFormat="false" ht="15" hidden="false" customHeight="false" outlineLevel="0" collapsed="false">
      <c r="A4162" s="41"/>
      <c r="G4162" s="38" t="n">
        <f aca="false">MONTH(A4162)</f>
        <v>12</v>
      </c>
      <c r="H4162" s="38" t="n">
        <f aca="false">YEAR(Tabela1[[#This Row],[FECHA]])</f>
        <v>1900</v>
      </c>
      <c r="I41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63" customFormat="false" ht="15" hidden="false" customHeight="false" outlineLevel="0" collapsed="false">
      <c r="A4163" s="41"/>
      <c r="G4163" s="38" t="n">
        <f aca="false">MONTH(A4163)</f>
        <v>12</v>
      </c>
      <c r="H4163" s="38" t="n">
        <f aca="false">YEAR(Tabela1[[#This Row],[FECHA]])</f>
        <v>1900</v>
      </c>
      <c r="I41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64" customFormat="false" ht="15" hidden="false" customHeight="false" outlineLevel="0" collapsed="false">
      <c r="A4164" s="41"/>
      <c r="G4164" s="38" t="n">
        <f aca="false">MONTH(A4164)</f>
        <v>12</v>
      </c>
      <c r="H4164" s="38" t="n">
        <f aca="false">YEAR(Tabela1[[#This Row],[FECHA]])</f>
        <v>1900</v>
      </c>
      <c r="I41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65" customFormat="false" ht="15" hidden="false" customHeight="false" outlineLevel="0" collapsed="false">
      <c r="A4165" s="41"/>
      <c r="G4165" s="38" t="n">
        <f aca="false">MONTH(A4165)</f>
        <v>12</v>
      </c>
      <c r="H4165" s="38" t="n">
        <f aca="false">YEAR(Tabela1[[#This Row],[FECHA]])</f>
        <v>1900</v>
      </c>
      <c r="I41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66" customFormat="false" ht="15" hidden="false" customHeight="false" outlineLevel="0" collapsed="false">
      <c r="A4166" s="41"/>
      <c r="G4166" s="38" t="n">
        <f aca="false">MONTH(A4166)</f>
        <v>12</v>
      </c>
      <c r="H4166" s="38" t="n">
        <f aca="false">YEAR(Tabela1[[#This Row],[FECHA]])</f>
        <v>1900</v>
      </c>
      <c r="I41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67" customFormat="false" ht="15" hidden="false" customHeight="false" outlineLevel="0" collapsed="false">
      <c r="A4167" s="41"/>
      <c r="G4167" s="38" t="n">
        <f aca="false">MONTH(A4167)</f>
        <v>12</v>
      </c>
      <c r="H4167" s="38" t="n">
        <f aca="false">YEAR(Tabela1[[#This Row],[FECHA]])</f>
        <v>1900</v>
      </c>
      <c r="I41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68" customFormat="false" ht="15" hidden="false" customHeight="false" outlineLevel="0" collapsed="false">
      <c r="A4168" s="41"/>
      <c r="G4168" s="38" t="n">
        <f aca="false">MONTH(A4168)</f>
        <v>12</v>
      </c>
      <c r="H4168" s="38" t="n">
        <f aca="false">YEAR(Tabela1[[#This Row],[FECHA]])</f>
        <v>1900</v>
      </c>
      <c r="I41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69" customFormat="false" ht="15" hidden="false" customHeight="false" outlineLevel="0" collapsed="false">
      <c r="A4169" s="41"/>
      <c r="G4169" s="38" t="n">
        <f aca="false">MONTH(A4169)</f>
        <v>12</v>
      </c>
      <c r="H4169" s="38" t="n">
        <f aca="false">YEAR(Tabela1[[#This Row],[FECHA]])</f>
        <v>1900</v>
      </c>
      <c r="I41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70" customFormat="false" ht="15" hidden="false" customHeight="false" outlineLevel="0" collapsed="false">
      <c r="A4170" s="41"/>
      <c r="G4170" s="38" t="n">
        <f aca="false">MONTH(A4170)</f>
        <v>12</v>
      </c>
      <c r="H4170" s="38" t="n">
        <f aca="false">YEAR(Tabela1[[#This Row],[FECHA]])</f>
        <v>1900</v>
      </c>
      <c r="I41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71" customFormat="false" ht="15" hidden="false" customHeight="false" outlineLevel="0" collapsed="false">
      <c r="A4171" s="41"/>
      <c r="G4171" s="38" t="n">
        <f aca="false">MONTH(A4171)</f>
        <v>12</v>
      </c>
      <c r="H4171" s="38" t="n">
        <f aca="false">YEAR(Tabela1[[#This Row],[FECHA]])</f>
        <v>1900</v>
      </c>
      <c r="I41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72" customFormat="false" ht="15" hidden="false" customHeight="false" outlineLevel="0" collapsed="false">
      <c r="A4172" s="41"/>
      <c r="G4172" s="38" t="n">
        <f aca="false">MONTH(A4172)</f>
        <v>12</v>
      </c>
      <c r="H4172" s="38" t="n">
        <f aca="false">YEAR(Tabela1[[#This Row],[FECHA]])</f>
        <v>1900</v>
      </c>
      <c r="I41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73" customFormat="false" ht="15" hidden="false" customHeight="false" outlineLevel="0" collapsed="false">
      <c r="A4173" s="41"/>
      <c r="G4173" s="38" t="n">
        <f aca="false">MONTH(A4173)</f>
        <v>12</v>
      </c>
      <c r="H4173" s="38" t="n">
        <f aca="false">YEAR(Tabela1[[#This Row],[FECHA]])</f>
        <v>1900</v>
      </c>
      <c r="I41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74" customFormat="false" ht="15" hidden="false" customHeight="false" outlineLevel="0" collapsed="false">
      <c r="A4174" s="41"/>
      <c r="G4174" s="38" t="n">
        <f aca="false">MONTH(A4174)</f>
        <v>12</v>
      </c>
      <c r="H4174" s="38" t="n">
        <f aca="false">YEAR(Tabela1[[#This Row],[FECHA]])</f>
        <v>1900</v>
      </c>
      <c r="I41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75" customFormat="false" ht="15" hidden="false" customHeight="false" outlineLevel="0" collapsed="false">
      <c r="A4175" s="41"/>
      <c r="G4175" s="38" t="n">
        <f aca="false">MONTH(A4175)</f>
        <v>12</v>
      </c>
      <c r="H4175" s="38" t="n">
        <f aca="false">YEAR(Tabela1[[#This Row],[FECHA]])</f>
        <v>1900</v>
      </c>
      <c r="I41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76" customFormat="false" ht="15" hidden="false" customHeight="false" outlineLevel="0" collapsed="false">
      <c r="A4176" s="41"/>
      <c r="G4176" s="38" t="n">
        <f aca="false">MONTH(A4176)</f>
        <v>12</v>
      </c>
      <c r="H4176" s="38" t="n">
        <f aca="false">YEAR(Tabela1[[#This Row],[FECHA]])</f>
        <v>1900</v>
      </c>
      <c r="I41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77" customFormat="false" ht="15" hidden="false" customHeight="false" outlineLevel="0" collapsed="false">
      <c r="A4177" s="41"/>
      <c r="G4177" s="38" t="n">
        <f aca="false">MONTH(A4177)</f>
        <v>12</v>
      </c>
      <c r="H4177" s="38" t="n">
        <f aca="false">YEAR(Tabela1[[#This Row],[FECHA]])</f>
        <v>1900</v>
      </c>
      <c r="I41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78" customFormat="false" ht="15" hidden="false" customHeight="false" outlineLevel="0" collapsed="false">
      <c r="A4178" s="41"/>
      <c r="G4178" s="38" t="n">
        <f aca="false">MONTH(A4178)</f>
        <v>12</v>
      </c>
      <c r="H4178" s="38" t="n">
        <f aca="false">YEAR(Tabela1[[#This Row],[FECHA]])</f>
        <v>1900</v>
      </c>
      <c r="I41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79" customFormat="false" ht="15" hidden="false" customHeight="false" outlineLevel="0" collapsed="false">
      <c r="A4179" s="41"/>
      <c r="G4179" s="38" t="n">
        <f aca="false">MONTH(A4179)</f>
        <v>12</v>
      </c>
      <c r="H4179" s="38" t="n">
        <f aca="false">YEAR(Tabela1[[#This Row],[FECHA]])</f>
        <v>1900</v>
      </c>
      <c r="I41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80" customFormat="false" ht="15" hidden="false" customHeight="false" outlineLevel="0" collapsed="false">
      <c r="A4180" s="41"/>
      <c r="G4180" s="38" t="n">
        <f aca="false">MONTH(A4180)</f>
        <v>12</v>
      </c>
      <c r="H4180" s="38" t="n">
        <f aca="false">YEAR(Tabela1[[#This Row],[FECHA]])</f>
        <v>1900</v>
      </c>
      <c r="I41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81" customFormat="false" ht="15" hidden="false" customHeight="false" outlineLevel="0" collapsed="false">
      <c r="A4181" s="41"/>
      <c r="G4181" s="38" t="n">
        <f aca="false">MONTH(A4181)</f>
        <v>12</v>
      </c>
      <c r="H4181" s="38" t="n">
        <f aca="false">YEAR(Tabela1[[#This Row],[FECHA]])</f>
        <v>1900</v>
      </c>
      <c r="I41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82" customFormat="false" ht="15" hidden="false" customHeight="false" outlineLevel="0" collapsed="false">
      <c r="A4182" s="41"/>
      <c r="G4182" s="38" t="n">
        <f aca="false">MONTH(A4182)</f>
        <v>12</v>
      </c>
      <c r="H4182" s="38" t="n">
        <f aca="false">YEAR(Tabela1[[#This Row],[FECHA]])</f>
        <v>1900</v>
      </c>
      <c r="I41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83" customFormat="false" ht="15" hidden="false" customHeight="false" outlineLevel="0" collapsed="false">
      <c r="A4183" s="41"/>
      <c r="G4183" s="38" t="n">
        <f aca="false">MONTH(A4183)</f>
        <v>12</v>
      </c>
      <c r="H4183" s="38" t="n">
        <f aca="false">YEAR(Tabela1[[#This Row],[FECHA]])</f>
        <v>1900</v>
      </c>
      <c r="I41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84" customFormat="false" ht="15" hidden="false" customHeight="false" outlineLevel="0" collapsed="false">
      <c r="A4184" s="41"/>
      <c r="G4184" s="38" t="n">
        <f aca="false">MONTH(A4184)</f>
        <v>12</v>
      </c>
      <c r="H4184" s="38" t="n">
        <f aca="false">YEAR(Tabela1[[#This Row],[FECHA]])</f>
        <v>1900</v>
      </c>
      <c r="I41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85" customFormat="false" ht="15" hidden="false" customHeight="false" outlineLevel="0" collapsed="false">
      <c r="A4185" s="41"/>
      <c r="G4185" s="38" t="n">
        <f aca="false">MONTH(A4185)</f>
        <v>12</v>
      </c>
      <c r="H4185" s="38" t="n">
        <f aca="false">YEAR(Tabela1[[#This Row],[FECHA]])</f>
        <v>1900</v>
      </c>
      <c r="I41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86" customFormat="false" ht="15" hidden="false" customHeight="false" outlineLevel="0" collapsed="false">
      <c r="A4186" s="41"/>
      <c r="G4186" s="38" t="n">
        <f aca="false">MONTH(A4186)</f>
        <v>12</v>
      </c>
      <c r="H4186" s="38" t="n">
        <f aca="false">YEAR(Tabela1[[#This Row],[FECHA]])</f>
        <v>1900</v>
      </c>
      <c r="I41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87" customFormat="false" ht="15" hidden="false" customHeight="false" outlineLevel="0" collapsed="false">
      <c r="A4187" s="41"/>
      <c r="G4187" s="38" t="n">
        <f aca="false">MONTH(A4187)</f>
        <v>12</v>
      </c>
      <c r="H4187" s="38" t="n">
        <f aca="false">YEAR(Tabela1[[#This Row],[FECHA]])</f>
        <v>1900</v>
      </c>
      <c r="I41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88" customFormat="false" ht="15" hidden="false" customHeight="false" outlineLevel="0" collapsed="false">
      <c r="A4188" s="41"/>
      <c r="G4188" s="38" t="n">
        <f aca="false">MONTH(A4188)</f>
        <v>12</v>
      </c>
      <c r="H4188" s="38" t="n">
        <f aca="false">YEAR(Tabela1[[#This Row],[FECHA]])</f>
        <v>1900</v>
      </c>
      <c r="I41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89" customFormat="false" ht="15" hidden="false" customHeight="false" outlineLevel="0" collapsed="false">
      <c r="A4189" s="41"/>
      <c r="G4189" s="38" t="n">
        <f aca="false">MONTH(A4189)</f>
        <v>12</v>
      </c>
      <c r="H4189" s="38" t="n">
        <f aca="false">YEAR(Tabela1[[#This Row],[FECHA]])</f>
        <v>1900</v>
      </c>
      <c r="I41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90" customFormat="false" ht="15" hidden="false" customHeight="false" outlineLevel="0" collapsed="false">
      <c r="A4190" s="41"/>
      <c r="G4190" s="38" t="n">
        <f aca="false">MONTH(A4190)</f>
        <v>12</v>
      </c>
      <c r="H4190" s="38" t="n">
        <f aca="false">YEAR(Tabela1[[#This Row],[FECHA]])</f>
        <v>1900</v>
      </c>
      <c r="I41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91" customFormat="false" ht="15" hidden="false" customHeight="false" outlineLevel="0" collapsed="false">
      <c r="A4191" s="41"/>
      <c r="G4191" s="38" t="n">
        <f aca="false">MONTH(A4191)</f>
        <v>12</v>
      </c>
      <c r="H4191" s="38" t="n">
        <f aca="false">YEAR(Tabela1[[#This Row],[FECHA]])</f>
        <v>1900</v>
      </c>
      <c r="I41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92" customFormat="false" ht="15" hidden="false" customHeight="false" outlineLevel="0" collapsed="false">
      <c r="A4192" s="41"/>
      <c r="G4192" s="38" t="n">
        <f aca="false">MONTH(A4192)</f>
        <v>12</v>
      </c>
      <c r="H4192" s="38" t="n">
        <f aca="false">YEAR(Tabela1[[#This Row],[FECHA]])</f>
        <v>1900</v>
      </c>
      <c r="I41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93" customFormat="false" ht="15" hidden="false" customHeight="false" outlineLevel="0" collapsed="false">
      <c r="A4193" s="41"/>
      <c r="G4193" s="38" t="n">
        <f aca="false">MONTH(A4193)</f>
        <v>12</v>
      </c>
      <c r="H4193" s="38" t="n">
        <f aca="false">YEAR(Tabela1[[#This Row],[FECHA]])</f>
        <v>1900</v>
      </c>
      <c r="I41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94" customFormat="false" ht="15" hidden="false" customHeight="false" outlineLevel="0" collapsed="false">
      <c r="A4194" s="41"/>
      <c r="G4194" s="38" t="n">
        <f aca="false">MONTH(A4194)</f>
        <v>12</v>
      </c>
      <c r="H4194" s="38" t="n">
        <f aca="false">YEAR(Tabela1[[#This Row],[FECHA]])</f>
        <v>1900</v>
      </c>
      <c r="I41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95" customFormat="false" ht="15" hidden="false" customHeight="false" outlineLevel="0" collapsed="false">
      <c r="A4195" s="41"/>
      <c r="G4195" s="38" t="n">
        <f aca="false">MONTH(A4195)</f>
        <v>12</v>
      </c>
      <c r="H4195" s="38" t="n">
        <f aca="false">YEAR(Tabela1[[#This Row],[FECHA]])</f>
        <v>1900</v>
      </c>
      <c r="I41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96" customFormat="false" ht="15" hidden="false" customHeight="false" outlineLevel="0" collapsed="false">
      <c r="A4196" s="41"/>
      <c r="G4196" s="38" t="n">
        <f aca="false">MONTH(A4196)</f>
        <v>12</v>
      </c>
      <c r="H4196" s="38" t="n">
        <f aca="false">YEAR(Tabela1[[#This Row],[FECHA]])</f>
        <v>1900</v>
      </c>
      <c r="I41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97" customFormat="false" ht="15" hidden="false" customHeight="false" outlineLevel="0" collapsed="false">
      <c r="A4197" s="41"/>
      <c r="G4197" s="38" t="n">
        <f aca="false">MONTH(A4197)</f>
        <v>12</v>
      </c>
      <c r="H4197" s="38" t="n">
        <f aca="false">YEAR(Tabela1[[#This Row],[FECHA]])</f>
        <v>1900</v>
      </c>
      <c r="I41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98" customFormat="false" ht="15" hidden="false" customHeight="false" outlineLevel="0" collapsed="false">
      <c r="A4198" s="41"/>
      <c r="G4198" s="38" t="n">
        <f aca="false">MONTH(A4198)</f>
        <v>12</v>
      </c>
      <c r="H4198" s="38" t="n">
        <f aca="false">YEAR(Tabela1[[#This Row],[FECHA]])</f>
        <v>1900</v>
      </c>
      <c r="I41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199" customFormat="false" ht="15" hidden="false" customHeight="false" outlineLevel="0" collapsed="false">
      <c r="A4199" s="41"/>
      <c r="G4199" s="38" t="n">
        <f aca="false">MONTH(A4199)</f>
        <v>12</v>
      </c>
      <c r="H4199" s="38" t="n">
        <f aca="false">YEAR(Tabela1[[#This Row],[FECHA]])</f>
        <v>1900</v>
      </c>
      <c r="I41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00" customFormat="false" ht="15" hidden="false" customHeight="false" outlineLevel="0" collapsed="false">
      <c r="A4200" s="41"/>
      <c r="G4200" s="38" t="n">
        <f aca="false">MONTH(A4200)</f>
        <v>12</v>
      </c>
      <c r="H4200" s="38" t="n">
        <f aca="false">YEAR(Tabela1[[#This Row],[FECHA]])</f>
        <v>1900</v>
      </c>
      <c r="I42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01" customFormat="false" ht="15" hidden="false" customHeight="false" outlineLevel="0" collapsed="false">
      <c r="A4201" s="41"/>
      <c r="G4201" s="38" t="n">
        <f aca="false">MONTH(A4201)</f>
        <v>12</v>
      </c>
      <c r="H4201" s="38" t="n">
        <f aca="false">YEAR(Tabela1[[#This Row],[FECHA]])</f>
        <v>1900</v>
      </c>
      <c r="I42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02" customFormat="false" ht="15" hidden="false" customHeight="false" outlineLevel="0" collapsed="false">
      <c r="A4202" s="41"/>
      <c r="G4202" s="38" t="n">
        <f aca="false">MONTH(A4202)</f>
        <v>12</v>
      </c>
      <c r="H4202" s="38" t="n">
        <f aca="false">YEAR(Tabela1[[#This Row],[FECHA]])</f>
        <v>1900</v>
      </c>
      <c r="I42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03" customFormat="false" ht="15" hidden="false" customHeight="false" outlineLevel="0" collapsed="false">
      <c r="A4203" s="41"/>
      <c r="G4203" s="38" t="n">
        <f aca="false">MONTH(A4203)</f>
        <v>12</v>
      </c>
      <c r="H4203" s="38" t="n">
        <f aca="false">YEAR(Tabela1[[#This Row],[FECHA]])</f>
        <v>1900</v>
      </c>
      <c r="I42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04" customFormat="false" ht="15" hidden="false" customHeight="false" outlineLevel="0" collapsed="false">
      <c r="A4204" s="41"/>
      <c r="G4204" s="38" t="n">
        <f aca="false">MONTH(A4204)</f>
        <v>12</v>
      </c>
      <c r="H4204" s="38" t="n">
        <f aca="false">YEAR(Tabela1[[#This Row],[FECHA]])</f>
        <v>1900</v>
      </c>
      <c r="I42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05" customFormat="false" ht="15" hidden="false" customHeight="false" outlineLevel="0" collapsed="false">
      <c r="A4205" s="41"/>
      <c r="G4205" s="38" t="n">
        <f aca="false">MONTH(A4205)</f>
        <v>12</v>
      </c>
      <c r="H4205" s="38" t="n">
        <f aca="false">YEAR(Tabela1[[#This Row],[FECHA]])</f>
        <v>1900</v>
      </c>
      <c r="I42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06" customFormat="false" ht="15" hidden="false" customHeight="false" outlineLevel="0" collapsed="false">
      <c r="A4206" s="41"/>
      <c r="G4206" s="38" t="n">
        <f aca="false">MONTH(A4206)</f>
        <v>12</v>
      </c>
      <c r="H4206" s="38" t="n">
        <f aca="false">YEAR(Tabela1[[#This Row],[FECHA]])</f>
        <v>1900</v>
      </c>
      <c r="I42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07" customFormat="false" ht="15" hidden="false" customHeight="false" outlineLevel="0" collapsed="false">
      <c r="A4207" s="41"/>
      <c r="G4207" s="38" t="n">
        <f aca="false">MONTH(A4207)</f>
        <v>12</v>
      </c>
      <c r="H4207" s="38" t="n">
        <f aca="false">YEAR(Tabela1[[#This Row],[FECHA]])</f>
        <v>1900</v>
      </c>
      <c r="I42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08" customFormat="false" ht="15" hidden="false" customHeight="false" outlineLevel="0" collapsed="false">
      <c r="A4208" s="41"/>
      <c r="G4208" s="38" t="n">
        <f aca="false">MONTH(A4208)</f>
        <v>12</v>
      </c>
      <c r="H4208" s="38" t="n">
        <f aca="false">YEAR(Tabela1[[#This Row],[FECHA]])</f>
        <v>1900</v>
      </c>
      <c r="I42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09" customFormat="false" ht="15" hidden="false" customHeight="false" outlineLevel="0" collapsed="false">
      <c r="A4209" s="41"/>
      <c r="G4209" s="38" t="n">
        <f aca="false">MONTH(A4209)</f>
        <v>12</v>
      </c>
      <c r="H4209" s="38" t="n">
        <f aca="false">YEAR(Tabela1[[#This Row],[FECHA]])</f>
        <v>1900</v>
      </c>
      <c r="I42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10" customFormat="false" ht="15" hidden="false" customHeight="false" outlineLevel="0" collapsed="false">
      <c r="A4210" s="41"/>
      <c r="G4210" s="38" t="n">
        <f aca="false">MONTH(A4210)</f>
        <v>12</v>
      </c>
      <c r="H4210" s="38" t="n">
        <f aca="false">YEAR(Tabela1[[#This Row],[FECHA]])</f>
        <v>1900</v>
      </c>
      <c r="I42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11" customFormat="false" ht="15" hidden="false" customHeight="false" outlineLevel="0" collapsed="false">
      <c r="A4211" s="41"/>
      <c r="G4211" s="38" t="n">
        <f aca="false">MONTH(A4211)</f>
        <v>12</v>
      </c>
      <c r="H4211" s="38" t="n">
        <f aca="false">YEAR(Tabela1[[#This Row],[FECHA]])</f>
        <v>1900</v>
      </c>
      <c r="I42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12" customFormat="false" ht="15" hidden="false" customHeight="false" outlineLevel="0" collapsed="false">
      <c r="A4212" s="41"/>
      <c r="G4212" s="38" t="n">
        <f aca="false">MONTH(A4212)</f>
        <v>12</v>
      </c>
      <c r="H4212" s="38" t="n">
        <f aca="false">YEAR(Tabela1[[#This Row],[FECHA]])</f>
        <v>1900</v>
      </c>
      <c r="I42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13" customFormat="false" ht="15" hidden="false" customHeight="false" outlineLevel="0" collapsed="false">
      <c r="A4213" s="41"/>
      <c r="G4213" s="38" t="n">
        <f aca="false">MONTH(A4213)</f>
        <v>12</v>
      </c>
      <c r="H4213" s="38" t="n">
        <f aca="false">YEAR(Tabela1[[#This Row],[FECHA]])</f>
        <v>1900</v>
      </c>
      <c r="I42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14" customFormat="false" ht="15" hidden="false" customHeight="false" outlineLevel="0" collapsed="false">
      <c r="A4214" s="41"/>
      <c r="G4214" s="38" t="n">
        <f aca="false">MONTH(A4214)</f>
        <v>12</v>
      </c>
      <c r="H4214" s="38" t="n">
        <f aca="false">YEAR(Tabela1[[#This Row],[FECHA]])</f>
        <v>1900</v>
      </c>
      <c r="I42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15" customFormat="false" ht="15" hidden="false" customHeight="false" outlineLevel="0" collapsed="false">
      <c r="A4215" s="41"/>
      <c r="G4215" s="38" t="n">
        <f aca="false">MONTH(A4215)</f>
        <v>12</v>
      </c>
      <c r="H4215" s="38" t="n">
        <f aca="false">YEAR(Tabela1[[#This Row],[FECHA]])</f>
        <v>1900</v>
      </c>
      <c r="I42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16" customFormat="false" ht="15" hidden="false" customHeight="false" outlineLevel="0" collapsed="false">
      <c r="A4216" s="41"/>
      <c r="G4216" s="38" t="n">
        <f aca="false">MONTH(A4216)</f>
        <v>12</v>
      </c>
      <c r="H4216" s="38" t="n">
        <f aca="false">YEAR(Tabela1[[#This Row],[FECHA]])</f>
        <v>1900</v>
      </c>
      <c r="I42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17" customFormat="false" ht="15" hidden="false" customHeight="false" outlineLevel="0" collapsed="false">
      <c r="A4217" s="41"/>
      <c r="G4217" s="38" t="n">
        <f aca="false">MONTH(A4217)</f>
        <v>12</v>
      </c>
      <c r="H4217" s="38" t="n">
        <f aca="false">YEAR(Tabela1[[#This Row],[FECHA]])</f>
        <v>1900</v>
      </c>
      <c r="I42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18" customFormat="false" ht="15" hidden="false" customHeight="false" outlineLevel="0" collapsed="false">
      <c r="A4218" s="41"/>
      <c r="G4218" s="38" t="n">
        <f aca="false">MONTH(A4218)</f>
        <v>12</v>
      </c>
      <c r="H4218" s="38" t="n">
        <f aca="false">YEAR(Tabela1[[#This Row],[FECHA]])</f>
        <v>1900</v>
      </c>
      <c r="I42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19" customFormat="false" ht="15" hidden="false" customHeight="false" outlineLevel="0" collapsed="false">
      <c r="A4219" s="41"/>
      <c r="G4219" s="38" t="n">
        <f aca="false">MONTH(A4219)</f>
        <v>12</v>
      </c>
      <c r="H4219" s="38" t="n">
        <f aca="false">YEAR(Tabela1[[#This Row],[FECHA]])</f>
        <v>1900</v>
      </c>
      <c r="I42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20" customFormat="false" ht="15" hidden="false" customHeight="false" outlineLevel="0" collapsed="false">
      <c r="A4220" s="41"/>
      <c r="G4220" s="38" t="n">
        <f aca="false">MONTH(A4220)</f>
        <v>12</v>
      </c>
      <c r="H4220" s="38" t="n">
        <f aca="false">YEAR(Tabela1[[#This Row],[FECHA]])</f>
        <v>1900</v>
      </c>
      <c r="I42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21" customFormat="false" ht="15" hidden="false" customHeight="false" outlineLevel="0" collapsed="false">
      <c r="A4221" s="41"/>
      <c r="G4221" s="38" t="n">
        <f aca="false">MONTH(A4221)</f>
        <v>12</v>
      </c>
      <c r="H4221" s="38" t="n">
        <f aca="false">YEAR(Tabela1[[#This Row],[FECHA]])</f>
        <v>1900</v>
      </c>
      <c r="I42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22" customFormat="false" ht="15" hidden="false" customHeight="false" outlineLevel="0" collapsed="false">
      <c r="A4222" s="41"/>
      <c r="G4222" s="38" t="n">
        <f aca="false">MONTH(A4222)</f>
        <v>12</v>
      </c>
      <c r="H4222" s="38" t="n">
        <f aca="false">YEAR(Tabela1[[#This Row],[FECHA]])</f>
        <v>1900</v>
      </c>
      <c r="I42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23" customFormat="false" ht="15" hidden="false" customHeight="false" outlineLevel="0" collapsed="false">
      <c r="A4223" s="41"/>
      <c r="G4223" s="38" t="n">
        <f aca="false">MONTH(A4223)</f>
        <v>12</v>
      </c>
      <c r="H4223" s="38" t="n">
        <f aca="false">YEAR(Tabela1[[#This Row],[FECHA]])</f>
        <v>1900</v>
      </c>
      <c r="I42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24" customFormat="false" ht="15" hidden="false" customHeight="false" outlineLevel="0" collapsed="false">
      <c r="A4224" s="41"/>
      <c r="G4224" s="38" t="n">
        <f aca="false">MONTH(A4224)</f>
        <v>12</v>
      </c>
      <c r="H4224" s="38" t="n">
        <f aca="false">YEAR(Tabela1[[#This Row],[FECHA]])</f>
        <v>1900</v>
      </c>
      <c r="I42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25" customFormat="false" ht="15" hidden="false" customHeight="false" outlineLevel="0" collapsed="false">
      <c r="A4225" s="41"/>
      <c r="G4225" s="38" t="n">
        <f aca="false">MONTH(A4225)</f>
        <v>12</v>
      </c>
      <c r="H4225" s="38" t="n">
        <f aca="false">YEAR(Tabela1[[#This Row],[FECHA]])</f>
        <v>1900</v>
      </c>
      <c r="I42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26" customFormat="false" ht="15" hidden="false" customHeight="false" outlineLevel="0" collapsed="false">
      <c r="A4226" s="41"/>
      <c r="G4226" s="38" t="n">
        <f aca="false">MONTH(A4226)</f>
        <v>12</v>
      </c>
      <c r="H4226" s="38" t="n">
        <f aca="false">YEAR(Tabela1[[#This Row],[FECHA]])</f>
        <v>1900</v>
      </c>
      <c r="I42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27" customFormat="false" ht="15" hidden="false" customHeight="false" outlineLevel="0" collapsed="false">
      <c r="A4227" s="41"/>
      <c r="G4227" s="38" t="n">
        <f aca="false">MONTH(A4227)</f>
        <v>12</v>
      </c>
      <c r="H4227" s="38" t="n">
        <f aca="false">YEAR(Tabela1[[#This Row],[FECHA]])</f>
        <v>1900</v>
      </c>
      <c r="I42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28" customFormat="false" ht="15" hidden="false" customHeight="false" outlineLevel="0" collapsed="false">
      <c r="A4228" s="41"/>
      <c r="G4228" s="38" t="n">
        <f aca="false">MONTH(A4228)</f>
        <v>12</v>
      </c>
      <c r="H4228" s="38" t="n">
        <f aca="false">YEAR(Tabela1[[#This Row],[FECHA]])</f>
        <v>1900</v>
      </c>
      <c r="I42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29" customFormat="false" ht="15" hidden="false" customHeight="false" outlineLevel="0" collapsed="false">
      <c r="A4229" s="41"/>
      <c r="G4229" s="38" t="n">
        <f aca="false">MONTH(A4229)</f>
        <v>12</v>
      </c>
      <c r="H4229" s="38" t="n">
        <f aca="false">YEAR(Tabela1[[#This Row],[FECHA]])</f>
        <v>1900</v>
      </c>
      <c r="I42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30" customFormat="false" ht="15" hidden="false" customHeight="false" outlineLevel="0" collapsed="false">
      <c r="A4230" s="41"/>
      <c r="G4230" s="38" t="n">
        <f aca="false">MONTH(A4230)</f>
        <v>12</v>
      </c>
      <c r="H4230" s="38" t="n">
        <f aca="false">YEAR(Tabela1[[#This Row],[FECHA]])</f>
        <v>1900</v>
      </c>
      <c r="I42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31" customFormat="false" ht="15" hidden="false" customHeight="false" outlineLevel="0" collapsed="false">
      <c r="A4231" s="41"/>
      <c r="G4231" s="38" t="n">
        <f aca="false">MONTH(A4231)</f>
        <v>12</v>
      </c>
      <c r="H4231" s="38" t="n">
        <f aca="false">YEAR(Tabela1[[#This Row],[FECHA]])</f>
        <v>1900</v>
      </c>
      <c r="I42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32" customFormat="false" ht="15" hidden="false" customHeight="false" outlineLevel="0" collapsed="false">
      <c r="A4232" s="41"/>
      <c r="G4232" s="38" t="n">
        <f aca="false">MONTH(A4232)</f>
        <v>12</v>
      </c>
      <c r="H4232" s="38" t="n">
        <f aca="false">YEAR(Tabela1[[#This Row],[FECHA]])</f>
        <v>1900</v>
      </c>
      <c r="I42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33" customFormat="false" ht="15" hidden="false" customHeight="false" outlineLevel="0" collapsed="false">
      <c r="A4233" s="41"/>
      <c r="G4233" s="38" t="n">
        <f aca="false">MONTH(A4233)</f>
        <v>12</v>
      </c>
      <c r="H4233" s="38" t="n">
        <f aca="false">YEAR(Tabela1[[#This Row],[FECHA]])</f>
        <v>1900</v>
      </c>
      <c r="I42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34" customFormat="false" ht="15" hidden="false" customHeight="false" outlineLevel="0" collapsed="false">
      <c r="A4234" s="41"/>
      <c r="G4234" s="38" t="n">
        <f aca="false">MONTH(A4234)</f>
        <v>12</v>
      </c>
      <c r="H4234" s="38" t="n">
        <f aca="false">YEAR(Tabela1[[#This Row],[FECHA]])</f>
        <v>1900</v>
      </c>
      <c r="I42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35" customFormat="false" ht="15" hidden="false" customHeight="false" outlineLevel="0" collapsed="false">
      <c r="A4235" s="41"/>
      <c r="G4235" s="38" t="n">
        <f aca="false">MONTH(A4235)</f>
        <v>12</v>
      </c>
      <c r="H4235" s="38" t="n">
        <f aca="false">YEAR(Tabela1[[#This Row],[FECHA]])</f>
        <v>1900</v>
      </c>
      <c r="I42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36" customFormat="false" ht="15" hidden="false" customHeight="false" outlineLevel="0" collapsed="false">
      <c r="A4236" s="41"/>
      <c r="G4236" s="38" t="n">
        <f aca="false">MONTH(A4236)</f>
        <v>12</v>
      </c>
      <c r="H4236" s="38" t="n">
        <f aca="false">YEAR(Tabela1[[#This Row],[FECHA]])</f>
        <v>1900</v>
      </c>
      <c r="I42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37" customFormat="false" ht="15" hidden="false" customHeight="false" outlineLevel="0" collapsed="false">
      <c r="A4237" s="41"/>
      <c r="G4237" s="38" t="n">
        <f aca="false">MONTH(A4237)</f>
        <v>12</v>
      </c>
      <c r="H4237" s="38" t="n">
        <f aca="false">YEAR(Tabela1[[#This Row],[FECHA]])</f>
        <v>1900</v>
      </c>
      <c r="I42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38" customFormat="false" ht="15" hidden="false" customHeight="false" outlineLevel="0" collapsed="false">
      <c r="A4238" s="41"/>
      <c r="G4238" s="38" t="n">
        <f aca="false">MONTH(A4238)</f>
        <v>12</v>
      </c>
      <c r="H4238" s="38" t="n">
        <f aca="false">YEAR(Tabela1[[#This Row],[FECHA]])</f>
        <v>1900</v>
      </c>
      <c r="I42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39" customFormat="false" ht="15" hidden="false" customHeight="false" outlineLevel="0" collapsed="false">
      <c r="A4239" s="41"/>
      <c r="G4239" s="38" t="n">
        <f aca="false">MONTH(A4239)</f>
        <v>12</v>
      </c>
      <c r="H4239" s="38" t="n">
        <f aca="false">YEAR(Tabela1[[#This Row],[FECHA]])</f>
        <v>1900</v>
      </c>
      <c r="I42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40" customFormat="false" ht="15" hidden="false" customHeight="false" outlineLevel="0" collapsed="false">
      <c r="A4240" s="41"/>
      <c r="G4240" s="38" t="n">
        <f aca="false">MONTH(A4240)</f>
        <v>12</v>
      </c>
      <c r="H4240" s="38" t="n">
        <f aca="false">YEAR(Tabela1[[#This Row],[FECHA]])</f>
        <v>1900</v>
      </c>
      <c r="I42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41" customFormat="false" ht="15" hidden="false" customHeight="false" outlineLevel="0" collapsed="false">
      <c r="A4241" s="41"/>
      <c r="G4241" s="38" t="n">
        <f aca="false">MONTH(A4241)</f>
        <v>12</v>
      </c>
      <c r="H4241" s="38" t="n">
        <f aca="false">YEAR(Tabela1[[#This Row],[FECHA]])</f>
        <v>1900</v>
      </c>
      <c r="I42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42" customFormat="false" ht="15" hidden="false" customHeight="false" outlineLevel="0" collapsed="false">
      <c r="A4242" s="41"/>
      <c r="G4242" s="38" t="n">
        <f aca="false">MONTH(A4242)</f>
        <v>12</v>
      </c>
      <c r="H4242" s="38" t="n">
        <f aca="false">YEAR(Tabela1[[#This Row],[FECHA]])</f>
        <v>1900</v>
      </c>
      <c r="I42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43" customFormat="false" ht="15" hidden="false" customHeight="false" outlineLevel="0" collapsed="false">
      <c r="A4243" s="41"/>
      <c r="G4243" s="38" t="n">
        <f aca="false">MONTH(A4243)</f>
        <v>12</v>
      </c>
      <c r="H4243" s="38" t="n">
        <f aca="false">YEAR(Tabela1[[#This Row],[FECHA]])</f>
        <v>1900</v>
      </c>
      <c r="I42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44" customFormat="false" ht="15" hidden="false" customHeight="false" outlineLevel="0" collapsed="false">
      <c r="A4244" s="41"/>
      <c r="G4244" s="38" t="n">
        <f aca="false">MONTH(A4244)</f>
        <v>12</v>
      </c>
      <c r="H4244" s="38" t="n">
        <f aca="false">YEAR(Tabela1[[#This Row],[FECHA]])</f>
        <v>1900</v>
      </c>
      <c r="I42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45" customFormat="false" ht="15" hidden="false" customHeight="false" outlineLevel="0" collapsed="false">
      <c r="A4245" s="41"/>
      <c r="G4245" s="38" t="n">
        <f aca="false">MONTH(A4245)</f>
        <v>12</v>
      </c>
      <c r="H4245" s="38" t="n">
        <f aca="false">YEAR(Tabela1[[#This Row],[FECHA]])</f>
        <v>1900</v>
      </c>
      <c r="I42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46" customFormat="false" ht="15" hidden="false" customHeight="false" outlineLevel="0" collapsed="false">
      <c r="A4246" s="41"/>
      <c r="G4246" s="38" t="n">
        <f aca="false">MONTH(A4246)</f>
        <v>12</v>
      </c>
      <c r="H4246" s="38" t="n">
        <f aca="false">YEAR(Tabela1[[#This Row],[FECHA]])</f>
        <v>1900</v>
      </c>
      <c r="I42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47" customFormat="false" ht="15" hidden="false" customHeight="false" outlineLevel="0" collapsed="false">
      <c r="A4247" s="41"/>
      <c r="G4247" s="38" t="n">
        <f aca="false">MONTH(A4247)</f>
        <v>12</v>
      </c>
      <c r="H4247" s="38" t="n">
        <f aca="false">YEAR(Tabela1[[#This Row],[FECHA]])</f>
        <v>1900</v>
      </c>
      <c r="I42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48" customFormat="false" ht="15" hidden="false" customHeight="false" outlineLevel="0" collapsed="false">
      <c r="A4248" s="41"/>
      <c r="G4248" s="38" t="n">
        <f aca="false">MONTH(A4248)</f>
        <v>12</v>
      </c>
      <c r="H4248" s="38" t="n">
        <f aca="false">YEAR(Tabela1[[#This Row],[FECHA]])</f>
        <v>1900</v>
      </c>
      <c r="I42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49" customFormat="false" ht="15" hidden="false" customHeight="false" outlineLevel="0" collapsed="false">
      <c r="A4249" s="41"/>
      <c r="G4249" s="38" t="n">
        <f aca="false">MONTH(A4249)</f>
        <v>12</v>
      </c>
      <c r="H4249" s="38" t="n">
        <f aca="false">YEAR(Tabela1[[#This Row],[FECHA]])</f>
        <v>1900</v>
      </c>
      <c r="I42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50" customFormat="false" ht="15" hidden="false" customHeight="false" outlineLevel="0" collapsed="false">
      <c r="A4250" s="41"/>
      <c r="G4250" s="38" t="n">
        <f aca="false">MONTH(A4250)</f>
        <v>12</v>
      </c>
      <c r="H4250" s="38" t="n">
        <f aca="false">YEAR(Tabela1[[#This Row],[FECHA]])</f>
        <v>1900</v>
      </c>
      <c r="I42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51" customFormat="false" ht="15" hidden="false" customHeight="false" outlineLevel="0" collapsed="false">
      <c r="A4251" s="41"/>
      <c r="G4251" s="38" t="n">
        <f aca="false">MONTH(A4251)</f>
        <v>12</v>
      </c>
      <c r="H4251" s="38" t="n">
        <f aca="false">YEAR(Tabela1[[#This Row],[FECHA]])</f>
        <v>1900</v>
      </c>
      <c r="I42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52" customFormat="false" ht="15" hidden="false" customHeight="false" outlineLevel="0" collapsed="false">
      <c r="A4252" s="41"/>
      <c r="G4252" s="38" t="n">
        <f aca="false">MONTH(A4252)</f>
        <v>12</v>
      </c>
      <c r="H4252" s="38" t="n">
        <f aca="false">YEAR(Tabela1[[#This Row],[FECHA]])</f>
        <v>1900</v>
      </c>
      <c r="I42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53" customFormat="false" ht="15" hidden="false" customHeight="false" outlineLevel="0" collapsed="false">
      <c r="A4253" s="41"/>
      <c r="G4253" s="38" t="n">
        <f aca="false">MONTH(A4253)</f>
        <v>12</v>
      </c>
      <c r="H4253" s="38" t="n">
        <f aca="false">YEAR(Tabela1[[#This Row],[FECHA]])</f>
        <v>1900</v>
      </c>
      <c r="I42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54" customFormat="false" ht="15" hidden="false" customHeight="false" outlineLevel="0" collapsed="false">
      <c r="A4254" s="41"/>
      <c r="G4254" s="38" t="n">
        <f aca="false">MONTH(A4254)</f>
        <v>12</v>
      </c>
      <c r="H4254" s="38" t="n">
        <f aca="false">YEAR(Tabela1[[#This Row],[FECHA]])</f>
        <v>1900</v>
      </c>
      <c r="I42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55" customFormat="false" ht="15" hidden="false" customHeight="false" outlineLevel="0" collapsed="false">
      <c r="A4255" s="41"/>
      <c r="G4255" s="38" t="n">
        <f aca="false">MONTH(A4255)</f>
        <v>12</v>
      </c>
      <c r="H4255" s="38" t="n">
        <f aca="false">YEAR(Tabela1[[#This Row],[FECHA]])</f>
        <v>1900</v>
      </c>
      <c r="I42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56" customFormat="false" ht="15" hidden="false" customHeight="false" outlineLevel="0" collapsed="false">
      <c r="A4256" s="41"/>
      <c r="G4256" s="38" t="n">
        <f aca="false">MONTH(A4256)</f>
        <v>12</v>
      </c>
      <c r="H4256" s="38" t="n">
        <f aca="false">YEAR(Tabela1[[#This Row],[FECHA]])</f>
        <v>1900</v>
      </c>
      <c r="I42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57" customFormat="false" ht="15" hidden="false" customHeight="false" outlineLevel="0" collapsed="false">
      <c r="A4257" s="41"/>
      <c r="G4257" s="38" t="n">
        <f aca="false">MONTH(A4257)</f>
        <v>12</v>
      </c>
      <c r="H4257" s="38" t="n">
        <f aca="false">YEAR(Tabela1[[#This Row],[FECHA]])</f>
        <v>1900</v>
      </c>
      <c r="I42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58" customFormat="false" ht="15" hidden="false" customHeight="false" outlineLevel="0" collapsed="false">
      <c r="A4258" s="41"/>
      <c r="G4258" s="38" t="n">
        <f aca="false">MONTH(A4258)</f>
        <v>12</v>
      </c>
      <c r="H4258" s="38" t="n">
        <f aca="false">YEAR(Tabela1[[#This Row],[FECHA]])</f>
        <v>1900</v>
      </c>
      <c r="I42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59" customFormat="false" ht="15" hidden="false" customHeight="false" outlineLevel="0" collapsed="false">
      <c r="A4259" s="41"/>
      <c r="G4259" s="38" t="n">
        <f aca="false">MONTH(A4259)</f>
        <v>12</v>
      </c>
      <c r="H4259" s="38" t="n">
        <f aca="false">YEAR(Tabela1[[#This Row],[FECHA]])</f>
        <v>1900</v>
      </c>
      <c r="I42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60" customFormat="false" ht="15" hidden="false" customHeight="false" outlineLevel="0" collapsed="false">
      <c r="A4260" s="41"/>
      <c r="G4260" s="38" t="n">
        <f aca="false">MONTH(A4260)</f>
        <v>12</v>
      </c>
      <c r="H4260" s="38" t="n">
        <f aca="false">YEAR(Tabela1[[#This Row],[FECHA]])</f>
        <v>1900</v>
      </c>
      <c r="I42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61" customFormat="false" ht="15" hidden="false" customHeight="false" outlineLevel="0" collapsed="false">
      <c r="A4261" s="41"/>
      <c r="G4261" s="38" t="n">
        <f aca="false">MONTH(A4261)</f>
        <v>12</v>
      </c>
      <c r="H4261" s="38" t="n">
        <f aca="false">YEAR(Tabela1[[#This Row],[FECHA]])</f>
        <v>1900</v>
      </c>
      <c r="I42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62" customFormat="false" ht="15" hidden="false" customHeight="false" outlineLevel="0" collapsed="false">
      <c r="A4262" s="41"/>
      <c r="G4262" s="38" t="n">
        <f aca="false">MONTH(A4262)</f>
        <v>12</v>
      </c>
      <c r="H4262" s="38" t="n">
        <f aca="false">YEAR(Tabela1[[#This Row],[FECHA]])</f>
        <v>1900</v>
      </c>
      <c r="I42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63" customFormat="false" ht="15" hidden="false" customHeight="false" outlineLevel="0" collapsed="false">
      <c r="A4263" s="41"/>
      <c r="G4263" s="38" t="n">
        <f aca="false">MONTH(A4263)</f>
        <v>12</v>
      </c>
      <c r="H4263" s="38" t="n">
        <f aca="false">YEAR(Tabela1[[#This Row],[FECHA]])</f>
        <v>1900</v>
      </c>
      <c r="I42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64" customFormat="false" ht="15" hidden="false" customHeight="false" outlineLevel="0" collapsed="false">
      <c r="A4264" s="41"/>
      <c r="G4264" s="38" t="n">
        <f aca="false">MONTH(A4264)</f>
        <v>12</v>
      </c>
      <c r="H4264" s="38" t="n">
        <f aca="false">YEAR(Tabela1[[#This Row],[FECHA]])</f>
        <v>1900</v>
      </c>
      <c r="I42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65" customFormat="false" ht="15" hidden="false" customHeight="false" outlineLevel="0" collapsed="false">
      <c r="A4265" s="41"/>
      <c r="G4265" s="38" t="n">
        <f aca="false">MONTH(A4265)</f>
        <v>12</v>
      </c>
      <c r="H4265" s="38" t="n">
        <f aca="false">YEAR(Tabela1[[#This Row],[FECHA]])</f>
        <v>1900</v>
      </c>
      <c r="I42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66" customFormat="false" ht="15" hidden="false" customHeight="false" outlineLevel="0" collapsed="false">
      <c r="A4266" s="41"/>
      <c r="G4266" s="38" t="n">
        <f aca="false">MONTH(A4266)</f>
        <v>12</v>
      </c>
      <c r="H4266" s="38" t="n">
        <f aca="false">YEAR(Tabela1[[#This Row],[FECHA]])</f>
        <v>1900</v>
      </c>
      <c r="I42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67" customFormat="false" ht="15" hidden="false" customHeight="false" outlineLevel="0" collapsed="false">
      <c r="A4267" s="41"/>
      <c r="G4267" s="38" t="n">
        <f aca="false">MONTH(A4267)</f>
        <v>12</v>
      </c>
      <c r="H4267" s="38" t="n">
        <f aca="false">YEAR(Tabela1[[#This Row],[FECHA]])</f>
        <v>1900</v>
      </c>
      <c r="I42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68" customFormat="false" ht="15" hidden="false" customHeight="false" outlineLevel="0" collapsed="false">
      <c r="A4268" s="41"/>
      <c r="G4268" s="38" t="n">
        <f aca="false">MONTH(A4268)</f>
        <v>12</v>
      </c>
      <c r="H4268" s="38" t="n">
        <f aca="false">YEAR(Tabela1[[#This Row],[FECHA]])</f>
        <v>1900</v>
      </c>
      <c r="I42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69" customFormat="false" ht="15" hidden="false" customHeight="false" outlineLevel="0" collapsed="false">
      <c r="A4269" s="41"/>
      <c r="G4269" s="38" t="n">
        <f aca="false">MONTH(A4269)</f>
        <v>12</v>
      </c>
      <c r="H4269" s="38" t="n">
        <f aca="false">YEAR(Tabela1[[#This Row],[FECHA]])</f>
        <v>1900</v>
      </c>
      <c r="I42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70" customFormat="false" ht="15" hidden="false" customHeight="false" outlineLevel="0" collapsed="false">
      <c r="A4270" s="41"/>
      <c r="G4270" s="38" t="n">
        <f aca="false">MONTH(A4270)</f>
        <v>12</v>
      </c>
      <c r="H4270" s="38" t="n">
        <f aca="false">YEAR(Tabela1[[#This Row],[FECHA]])</f>
        <v>1900</v>
      </c>
      <c r="I42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71" customFormat="false" ht="15" hidden="false" customHeight="false" outlineLevel="0" collapsed="false">
      <c r="A4271" s="41"/>
      <c r="G4271" s="38" t="n">
        <f aca="false">MONTH(A4271)</f>
        <v>12</v>
      </c>
      <c r="H4271" s="38" t="n">
        <f aca="false">YEAR(Tabela1[[#This Row],[FECHA]])</f>
        <v>1900</v>
      </c>
      <c r="I42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72" customFormat="false" ht="15" hidden="false" customHeight="false" outlineLevel="0" collapsed="false">
      <c r="A4272" s="41"/>
      <c r="G4272" s="38" t="n">
        <f aca="false">MONTH(A4272)</f>
        <v>12</v>
      </c>
      <c r="H4272" s="38" t="n">
        <f aca="false">YEAR(Tabela1[[#This Row],[FECHA]])</f>
        <v>1900</v>
      </c>
      <c r="I42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73" customFormat="false" ht="15" hidden="false" customHeight="false" outlineLevel="0" collapsed="false">
      <c r="A4273" s="41"/>
      <c r="G4273" s="38" t="n">
        <f aca="false">MONTH(A4273)</f>
        <v>12</v>
      </c>
      <c r="H4273" s="38" t="n">
        <f aca="false">YEAR(Tabela1[[#This Row],[FECHA]])</f>
        <v>1900</v>
      </c>
      <c r="I42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74" customFormat="false" ht="15" hidden="false" customHeight="false" outlineLevel="0" collapsed="false">
      <c r="A4274" s="41"/>
      <c r="G4274" s="38" t="n">
        <f aca="false">MONTH(A4274)</f>
        <v>12</v>
      </c>
      <c r="H4274" s="38" t="n">
        <f aca="false">YEAR(Tabela1[[#This Row],[FECHA]])</f>
        <v>1900</v>
      </c>
      <c r="I42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75" customFormat="false" ht="15" hidden="false" customHeight="false" outlineLevel="0" collapsed="false">
      <c r="A4275" s="41"/>
      <c r="G4275" s="38" t="n">
        <f aca="false">MONTH(A4275)</f>
        <v>12</v>
      </c>
      <c r="H4275" s="38" t="n">
        <f aca="false">YEAR(Tabela1[[#This Row],[FECHA]])</f>
        <v>1900</v>
      </c>
      <c r="I42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76" customFormat="false" ht="15" hidden="false" customHeight="false" outlineLevel="0" collapsed="false">
      <c r="A4276" s="41"/>
      <c r="G4276" s="38" t="n">
        <f aca="false">MONTH(A4276)</f>
        <v>12</v>
      </c>
      <c r="H4276" s="38" t="n">
        <f aca="false">YEAR(Tabela1[[#This Row],[FECHA]])</f>
        <v>1900</v>
      </c>
      <c r="I42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77" customFormat="false" ht="15" hidden="false" customHeight="false" outlineLevel="0" collapsed="false">
      <c r="A4277" s="41"/>
      <c r="G4277" s="38" t="n">
        <f aca="false">MONTH(A4277)</f>
        <v>12</v>
      </c>
      <c r="H4277" s="38" t="n">
        <f aca="false">YEAR(Tabela1[[#This Row],[FECHA]])</f>
        <v>1900</v>
      </c>
      <c r="I42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78" customFormat="false" ht="15" hidden="false" customHeight="false" outlineLevel="0" collapsed="false">
      <c r="A4278" s="41"/>
      <c r="G4278" s="38" t="n">
        <f aca="false">MONTH(A4278)</f>
        <v>12</v>
      </c>
      <c r="H4278" s="38" t="n">
        <f aca="false">YEAR(Tabela1[[#This Row],[FECHA]])</f>
        <v>1900</v>
      </c>
      <c r="I42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79" customFormat="false" ht="15" hidden="false" customHeight="false" outlineLevel="0" collapsed="false">
      <c r="A4279" s="41"/>
      <c r="G4279" s="38" t="n">
        <f aca="false">MONTH(A4279)</f>
        <v>12</v>
      </c>
      <c r="H4279" s="38" t="n">
        <f aca="false">YEAR(Tabela1[[#This Row],[FECHA]])</f>
        <v>1900</v>
      </c>
      <c r="I42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80" customFormat="false" ht="15" hidden="false" customHeight="false" outlineLevel="0" collapsed="false">
      <c r="A4280" s="41"/>
      <c r="G4280" s="38" t="n">
        <f aca="false">MONTH(A4280)</f>
        <v>12</v>
      </c>
      <c r="H4280" s="38" t="n">
        <f aca="false">YEAR(Tabela1[[#This Row],[FECHA]])</f>
        <v>1900</v>
      </c>
      <c r="I42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81" customFormat="false" ht="15" hidden="false" customHeight="false" outlineLevel="0" collapsed="false">
      <c r="A4281" s="41"/>
      <c r="G4281" s="38" t="n">
        <f aca="false">MONTH(A4281)</f>
        <v>12</v>
      </c>
      <c r="H4281" s="38" t="n">
        <f aca="false">YEAR(Tabela1[[#This Row],[FECHA]])</f>
        <v>1900</v>
      </c>
      <c r="I42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82" customFormat="false" ht="15" hidden="false" customHeight="false" outlineLevel="0" collapsed="false">
      <c r="A4282" s="41"/>
      <c r="G4282" s="38" t="n">
        <f aca="false">MONTH(A4282)</f>
        <v>12</v>
      </c>
      <c r="H4282" s="38" t="n">
        <f aca="false">YEAR(Tabela1[[#This Row],[FECHA]])</f>
        <v>1900</v>
      </c>
      <c r="I42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83" customFormat="false" ht="15" hidden="false" customHeight="false" outlineLevel="0" collapsed="false">
      <c r="A4283" s="41"/>
      <c r="G4283" s="38" t="n">
        <f aca="false">MONTH(A4283)</f>
        <v>12</v>
      </c>
      <c r="H4283" s="38" t="n">
        <f aca="false">YEAR(Tabela1[[#This Row],[FECHA]])</f>
        <v>1900</v>
      </c>
      <c r="I42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84" customFormat="false" ht="15" hidden="false" customHeight="false" outlineLevel="0" collapsed="false">
      <c r="A4284" s="41"/>
      <c r="G4284" s="38" t="n">
        <f aca="false">MONTH(A4284)</f>
        <v>12</v>
      </c>
      <c r="H4284" s="38" t="n">
        <f aca="false">YEAR(Tabela1[[#This Row],[FECHA]])</f>
        <v>1900</v>
      </c>
      <c r="I42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85" customFormat="false" ht="15" hidden="false" customHeight="false" outlineLevel="0" collapsed="false">
      <c r="A4285" s="41"/>
      <c r="G4285" s="38" t="n">
        <f aca="false">MONTH(A4285)</f>
        <v>12</v>
      </c>
      <c r="H4285" s="38" t="n">
        <f aca="false">YEAR(Tabela1[[#This Row],[FECHA]])</f>
        <v>1900</v>
      </c>
      <c r="I42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86" customFormat="false" ht="15" hidden="false" customHeight="false" outlineLevel="0" collapsed="false">
      <c r="A4286" s="41"/>
      <c r="G4286" s="38" t="n">
        <f aca="false">MONTH(A4286)</f>
        <v>12</v>
      </c>
      <c r="H4286" s="38" t="n">
        <f aca="false">YEAR(Tabela1[[#This Row],[FECHA]])</f>
        <v>1900</v>
      </c>
      <c r="I42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87" customFormat="false" ht="15" hidden="false" customHeight="false" outlineLevel="0" collapsed="false">
      <c r="A4287" s="41"/>
      <c r="G4287" s="38" t="n">
        <f aca="false">MONTH(A4287)</f>
        <v>12</v>
      </c>
      <c r="H4287" s="38" t="n">
        <f aca="false">YEAR(Tabela1[[#This Row],[FECHA]])</f>
        <v>1900</v>
      </c>
      <c r="I42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88" customFormat="false" ht="15" hidden="false" customHeight="false" outlineLevel="0" collapsed="false">
      <c r="A4288" s="41"/>
      <c r="G4288" s="38" t="n">
        <f aca="false">MONTH(A4288)</f>
        <v>12</v>
      </c>
      <c r="H4288" s="38" t="n">
        <f aca="false">YEAR(Tabela1[[#This Row],[FECHA]])</f>
        <v>1900</v>
      </c>
      <c r="I42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89" customFormat="false" ht="15" hidden="false" customHeight="false" outlineLevel="0" collapsed="false">
      <c r="A4289" s="41"/>
      <c r="G4289" s="38" t="n">
        <f aca="false">MONTH(A4289)</f>
        <v>12</v>
      </c>
      <c r="H4289" s="38" t="n">
        <f aca="false">YEAR(Tabela1[[#This Row],[FECHA]])</f>
        <v>1900</v>
      </c>
      <c r="I42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90" customFormat="false" ht="15" hidden="false" customHeight="false" outlineLevel="0" collapsed="false">
      <c r="A4290" s="41"/>
      <c r="G4290" s="38" t="n">
        <f aca="false">MONTH(A4290)</f>
        <v>12</v>
      </c>
      <c r="H4290" s="38" t="n">
        <f aca="false">YEAR(Tabela1[[#This Row],[FECHA]])</f>
        <v>1900</v>
      </c>
      <c r="I42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91" customFormat="false" ht="15" hidden="false" customHeight="false" outlineLevel="0" collapsed="false">
      <c r="A4291" s="41"/>
      <c r="G4291" s="38" t="n">
        <f aca="false">MONTH(A4291)</f>
        <v>12</v>
      </c>
      <c r="H4291" s="38" t="n">
        <f aca="false">YEAR(Tabela1[[#This Row],[FECHA]])</f>
        <v>1900</v>
      </c>
      <c r="I42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92" customFormat="false" ht="15" hidden="false" customHeight="false" outlineLevel="0" collapsed="false">
      <c r="A4292" s="41"/>
      <c r="G4292" s="38" t="n">
        <f aca="false">MONTH(A4292)</f>
        <v>12</v>
      </c>
      <c r="H4292" s="38" t="n">
        <f aca="false">YEAR(Tabela1[[#This Row],[FECHA]])</f>
        <v>1900</v>
      </c>
      <c r="I42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93" customFormat="false" ht="15" hidden="false" customHeight="false" outlineLevel="0" collapsed="false">
      <c r="A4293" s="41"/>
      <c r="G4293" s="38" t="n">
        <f aca="false">MONTH(A4293)</f>
        <v>12</v>
      </c>
      <c r="H4293" s="38" t="n">
        <f aca="false">YEAR(Tabela1[[#This Row],[FECHA]])</f>
        <v>1900</v>
      </c>
      <c r="I42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94" customFormat="false" ht="15" hidden="false" customHeight="false" outlineLevel="0" collapsed="false">
      <c r="A4294" s="41"/>
      <c r="G4294" s="38" t="n">
        <f aca="false">MONTH(A4294)</f>
        <v>12</v>
      </c>
      <c r="H4294" s="38" t="n">
        <f aca="false">YEAR(Tabela1[[#This Row],[FECHA]])</f>
        <v>1900</v>
      </c>
      <c r="I42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95" customFormat="false" ht="15" hidden="false" customHeight="false" outlineLevel="0" collapsed="false">
      <c r="A4295" s="41"/>
      <c r="G4295" s="38" t="n">
        <f aca="false">MONTH(A4295)</f>
        <v>12</v>
      </c>
      <c r="H4295" s="38" t="n">
        <f aca="false">YEAR(Tabela1[[#This Row],[FECHA]])</f>
        <v>1900</v>
      </c>
      <c r="I42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96" customFormat="false" ht="15" hidden="false" customHeight="false" outlineLevel="0" collapsed="false">
      <c r="A4296" s="41"/>
      <c r="G4296" s="38" t="n">
        <f aca="false">MONTH(A4296)</f>
        <v>12</v>
      </c>
      <c r="H4296" s="38" t="n">
        <f aca="false">YEAR(Tabela1[[#This Row],[FECHA]])</f>
        <v>1900</v>
      </c>
      <c r="I42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97" customFormat="false" ht="15" hidden="false" customHeight="false" outlineLevel="0" collapsed="false">
      <c r="A4297" s="41"/>
      <c r="G4297" s="38" t="n">
        <f aca="false">MONTH(A4297)</f>
        <v>12</v>
      </c>
      <c r="H4297" s="38" t="n">
        <f aca="false">YEAR(Tabela1[[#This Row],[FECHA]])</f>
        <v>1900</v>
      </c>
      <c r="I42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98" customFormat="false" ht="15" hidden="false" customHeight="false" outlineLevel="0" collapsed="false">
      <c r="A4298" s="41"/>
      <c r="G4298" s="38" t="n">
        <f aca="false">MONTH(A4298)</f>
        <v>12</v>
      </c>
      <c r="H4298" s="38" t="n">
        <f aca="false">YEAR(Tabela1[[#This Row],[FECHA]])</f>
        <v>1900</v>
      </c>
      <c r="I42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299" customFormat="false" ht="15" hidden="false" customHeight="false" outlineLevel="0" collapsed="false">
      <c r="A4299" s="41"/>
      <c r="G4299" s="38" t="n">
        <f aca="false">MONTH(A4299)</f>
        <v>12</v>
      </c>
      <c r="H4299" s="38" t="n">
        <f aca="false">YEAR(Tabela1[[#This Row],[FECHA]])</f>
        <v>1900</v>
      </c>
      <c r="I42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00" customFormat="false" ht="15" hidden="false" customHeight="false" outlineLevel="0" collapsed="false">
      <c r="A4300" s="41"/>
      <c r="G4300" s="38" t="n">
        <f aca="false">MONTH(A4300)</f>
        <v>12</v>
      </c>
      <c r="H4300" s="38" t="n">
        <f aca="false">YEAR(Tabela1[[#This Row],[FECHA]])</f>
        <v>1900</v>
      </c>
      <c r="I43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01" customFormat="false" ht="15" hidden="false" customHeight="false" outlineLevel="0" collapsed="false">
      <c r="A4301" s="41"/>
      <c r="G4301" s="38" t="n">
        <f aca="false">MONTH(A4301)</f>
        <v>12</v>
      </c>
      <c r="H4301" s="38" t="n">
        <f aca="false">YEAR(Tabela1[[#This Row],[FECHA]])</f>
        <v>1900</v>
      </c>
      <c r="I43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02" customFormat="false" ht="15" hidden="false" customHeight="false" outlineLevel="0" collapsed="false">
      <c r="A4302" s="41"/>
      <c r="G4302" s="38" t="n">
        <f aca="false">MONTH(A4302)</f>
        <v>12</v>
      </c>
      <c r="H4302" s="38" t="n">
        <f aca="false">YEAR(Tabela1[[#This Row],[FECHA]])</f>
        <v>1900</v>
      </c>
      <c r="I43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03" customFormat="false" ht="15" hidden="false" customHeight="false" outlineLevel="0" collapsed="false">
      <c r="A4303" s="41"/>
      <c r="G4303" s="38" t="n">
        <f aca="false">MONTH(A4303)</f>
        <v>12</v>
      </c>
      <c r="H4303" s="38" t="n">
        <f aca="false">YEAR(Tabela1[[#This Row],[FECHA]])</f>
        <v>1900</v>
      </c>
      <c r="I43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04" customFormat="false" ht="15" hidden="false" customHeight="false" outlineLevel="0" collapsed="false">
      <c r="A4304" s="41"/>
      <c r="G4304" s="38" t="n">
        <f aca="false">MONTH(A4304)</f>
        <v>12</v>
      </c>
      <c r="H4304" s="38" t="n">
        <f aca="false">YEAR(Tabela1[[#This Row],[FECHA]])</f>
        <v>1900</v>
      </c>
      <c r="I43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05" customFormat="false" ht="15" hidden="false" customHeight="false" outlineLevel="0" collapsed="false">
      <c r="A4305" s="41"/>
      <c r="G4305" s="38" t="n">
        <f aca="false">MONTH(A4305)</f>
        <v>12</v>
      </c>
      <c r="H4305" s="38" t="n">
        <f aca="false">YEAR(Tabela1[[#This Row],[FECHA]])</f>
        <v>1900</v>
      </c>
      <c r="I43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06" customFormat="false" ht="15" hidden="false" customHeight="false" outlineLevel="0" collapsed="false">
      <c r="A4306" s="41"/>
      <c r="G4306" s="38" t="n">
        <f aca="false">MONTH(A4306)</f>
        <v>12</v>
      </c>
      <c r="H4306" s="38" t="n">
        <f aca="false">YEAR(Tabela1[[#This Row],[FECHA]])</f>
        <v>1900</v>
      </c>
      <c r="I43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07" customFormat="false" ht="15" hidden="false" customHeight="false" outlineLevel="0" collapsed="false">
      <c r="A4307" s="41"/>
      <c r="G4307" s="38" t="n">
        <f aca="false">MONTH(A4307)</f>
        <v>12</v>
      </c>
      <c r="H4307" s="38" t="n">
        <f aca="false">YEAR(Tabela1[[#This Row],[FECHA]])</f>
        <v>1900</v>
      </c>
      <c r="I43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08" customFormat="false" ht="15" hidden="false" customHeight="false" outlineLevel="0" collapsed="false">
      <c r="A4308" s="41"/>
      <c r="G4308" s="38" t="n">
        <f aca="false">MONTH(A4308)</f>
        <v>12</v>
      </c>
      <c r="H4308" s="38" t="n">
        <f aca="false">YEAR(Tabela1[[#This Row],[FECHA]])</f>
        <v>1900</v>
      </c>
      <c r="I43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09" customFormat="false" ht="15" hidden="false" customHeight="false" outlineLevel="0" collapsed="false">
      <c r="A4309" s="41"/>
      <c r="G4309" s="38" t="n">
        <f aca="false">MONTH(A4309)</f>
        <v>12</v>
      </c>
      <c r="H4309" s="38" t="n">
        <f aca="false">YEAR(Tabela1[[#This Row],[FECHA]])</f>
        <v>1900</v>
      </c>
      <c r="I43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10" customFormat="false" ht="15" hidden="false" customHeight="false" outlineLevel="0" collapsed="false">
      <c r="A4310" s="41"/>
      <c r="G4310" s="38" t="n">
        <f aca="false">MONTH(A4310)</f>
        <v>12</v>
      </c>
      <c r="H4310" s="38" t="n">
        <f aca="false">YEAR(Tabela1[[#This Row],[FECHA]])</f>
        <v>1900</v>
      </c>
      <c r="I43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11" customFormat="false" ht="15" hidden="false" customHeight="false" outlineLevel="0" collapsed="false">
      <c r="A4311" s="41"/>
      <c r="G4311" s="38" t="n">
        <f aca="false">MONTH(A4311)</f>
        <v>12</v>
      </c>
      <c r="H4311" s="38" t="n">
        <f aca="false">YEAR(Tabela1[[#This Row],[FECHA]])</f>
        <v>1900</v>
      </c>
      <c r="I43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12" customFormat="false" ht="15" hidden="false" customHeight="false" outlineLevel="0" collapsed="false">
      <c r="A4312" s="41"/>
      <c r="G4312" s="38" t="n">
        <f aca="false">MONTH(A4312)</f>
        <v>12</v>
      </c>
      <c r="H4312" s="38" t="n">
        <f aca="false">YEAR(Tabela1[[#This Row],[FECHA]])</f>
        <v>1900</v>
      </c>
      <c r="I43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13" customFormat="false" ht="15" hidden="false" customHeight="false" outlineLevel="0" collapsed="false">
      <c r="A4313" s="41"/>
      <c r="G4313" s="38" t="n">
        <f aca="false">MONTH(A4313)</f>
        <v>12</v>
      </c>
      <c r="H4313" s="38" t="n">
        <f aca="false">YEAR(Tabela1[[#This Row],[FECHA]])</f>
        <v>1900</v>
      </c>
      <c r="I43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14" customFormat="false" ht="15" hidden="false" customHeight="false" outlineLevel="0" collapsed="false">
      <c r="A4314" s="41"/>
      <c r="G4314" s="38" t="n">
        <f aca="false">MONTH(A4314)</f>
        <v>12</v>
      </c>
      <c r="H4314" s="38" t="n">
        <f aca="false">YEAR(Tabela1[[#This Row],[FECHA]])</f>
        <v>1900</v>
      </c>
      <c r="I43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15" customFormat="false" ht="15" hidden="false" customHeight="false" outlineLevel="0" collapsed="false">
      <c r="A4315" s="41"/>
      <c r="G4315" s="38" t="n">
        <f aca="false">MONTH(A4315)</f>
        <v>12</v>
      </c>
      <c r="H4315" s="38" t="n">
        <f aca="false">YEAR(Tabela1[[#This Row],[FECHA]])</f>
        <v>1900</v>
      </c>
      <c r="I43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16" customFormat="false" ht="15" hidden="false" customHeight="false" outlineLevel="0" collapsed="false">
      <c r="A4316" s="41"/>
      <c r="G4316" s="38" t="n">
        <f aca="false">MONTH(A4316)</f>
        <v>12</v>
      </c>
      <c r="H4316" s="38" t="n">
        <f aca="false">YEAR(Tabela1[[#This Row],[FECHA]])</f>
        <v>1900</v>
      </c>
      <c r="I43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17" customFormat="false" ht="15" hidden="false" customHeight="false" outlineLevel="0" collapsed="false">
      <c r="A4317" s="41"/>
      <c r="G4317" s="38" t="n">
        <f aca="false">MONTH(A4317)</f>
        <v>12</v>
      </c>
      <c r="H4317" s="38" t="n">
        <f aca="false">YEAR(Tabela1[[#This Row],[FECHA]])</f>
        <v>1900</v>
      </c>
      <c r="I43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18" customFormat="false" ht="15" hidden="false" customHeight="false" outlineLevel="0" collapsed="false">
      <c r="A4318" s="41"/>
      <c r="G4318" s="38" t="n">
        <f aca="false">MONTH(A4318)</f>
        <v>12</v>
      </c>
      <c r="H4318" s="38" t="n">
        <f aca="false">YEAR(Tabela1[[#This Row],[FECHA]])</f>
        <v>1900</v>
      </c>
      <c r="I43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19" customFormat="false" ht="15" hidden="false" customHeight="false" outlineLevel="0" collapsed="false">
      <c r="A4319" s="41"/>
      <c r="G4319" s="38" t="n">
        <f aca="false">MONTH(A4319)</f>
        <v>12</v>
      </c>
      <c r="H4319" s="38" t="n">
        <f aca="false">YEAR(Tabela1[[#This Row],[FECHA]])</f>
        <v>1900</v>
      </c>
      <c r="I43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20" customFormat="false" ht="15" hidden="false" customHeight="false" outlineLevel="0" collapsed="false">
      <c r="A4320" s="41"/>
      <c r="G4320" s="38" t="n">
        <f aca="false">MONTH(A4320)</f>
        <v>12</v>
      </c>
      <c r="H4320" s="38" t="n">
        <f aca="false">YEAR(Tabela1[[#This Row],[FECHA]])</f>
        <v>1900</v>
      </c>
      <c r="I43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21" customFormat="false" ht="15" hidden="false" customHeight="false" outlineLevel="0" collapsed="false">
      <c r="A4321" s="41"/>
      <c r="G4321" s="38" t="n">
        <f aca="false">MONTH(A4321)</f>
        <v>12</v>
      </c>
      <c r="H4321" s="38" t="n">
        <f aca="false">YEAR(Tabela1[[#This Row],[FECHA]])</f>
        <v>1900</v>
      </c>
      <c r="I43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22" customFormat="false" ht="15" hidden="false" customHeight="false" outlineLevel="0" collapsed="false">
      <c r="A4322" s="41"/>
      <c r="G4322" s="38" t="n">
        <f aca="false">MONTH(A4322)</f>
        <v>12</v>
      </c>
      <c r="H4322" s="38" t="n">
        <f aca="false">YEAR(Tabela1[[#This Row],[FECHA]])</f>
        <v>1900</v>
      </c>
      <c r="I43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23" customFormat="false" ht="15" hidden="false" customHeight="false" outlineLevel="0" collapsed="false">
      <c r="A4323" s="41"/>
      <c r="G4323" s="38" t="n">
        <f aca="false">MONTH(A4323)</f>
        <v>12</v>
      </c>
      <c r="H4323" s="38" t="n">
        <f aca="false">YEAR(Tabela1[[#This Row],[FECHA]])</f>
        <v>1900</v>
      </c>
      <c r="I43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24" customFormat="false" ht="15" hidden="false" customHeight="false" outlineLevel="0" collapsed="false">
      <c r="A4324" s="41"/>
      <c r="G4324" s="38" t="n">
        <f aca="false">MONTH(A4324)</f>
        <v>12</v>
      </c>
      <c r="H4324" s="38" t="n">
        <f aca="false">YEAR(Tabela1[[#This Row],[FECHA]])</f>
        <v>1900</v>
      </c>
      <c r="I43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25" customFormat="false" ht="15" hidden="false" customHeight="false" outlineLevel="0" collapsed="false">
      <c r="A4325" s="41"/>
      <c r="G4325" s="38" t="n">
        <f aca="false">MONTH(A4325)</f>
        <v>12</v>
      </c>
      <c r="H4325" s="38" t="n">
        <f aca="false">YEAR(Tabela1[[#This Row],[FECHA]])</f>
        <v>1900</v>
      </c>
      <c r="I43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26" customFormat="false" ht="15" hidden="false" customHeight="false" outlineLevel="0" collapsed="false">
      <c r="A4326" s="41"/>
      <c r="G4326" s="38" t="n">
        <f aca="false">MONTH(A4326)</f>
        <v>12</v>
      </c>
      <c r="H4326" s="38" t="n">
        <f aca="false">YEAR(Tabela1[[#This Row],[FECHA]])</f>
        <v>1900</v>
      </c>
      <c r="I43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27" customFormat="false" ht="15" hidden="false" customHeight="false" outlineLevel="0" collapsed="false">
      <c r="A4327" s="41"/>
      <c r="G4327" s="38" t="n">
        <f aca="false">MONTH(A4327)</f>
        <v>12</v>
      </c>
      <c r="H4327" s="38" t="n">
        <f aca="false">YEAR(Tabela1[[#This Row],[FECHA]])</f>
        <v>1900</v>
      </c>
      <c r="I43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28" customFormat="false" ht="15" hidden="false" customHeight="false" outlineLevel="0" collapsed="false">
      <c r="A4328" s="41"/>
      <c r="G4328" s="38" t="n">
        <f aca="false">MONTH(A4328)</f>
        <v>12</v>
      </c>
      <c r="H4328" s="38" t="n">
        <f aca="false">YEAR(Tabela1[[#This Row],[FECHA]])</f>
        <v>1900</v>
      </c>
      <c r="I43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29" customFormat="false" ht="15" hidden="false" customHeight="false" outlineLevel="0" collapsed="false">
      <c r="A4329" s="41"/>
      <c r="G4329" s="38" t="n">
        <f aca="false">MONTH(A4329)</f>
        <v>12</v>
      </c>
      <c r="H4329" s="38" t="n">
        <f aca="false">YEAR(Tabela1[[#This Row],[FECHA]])</f>
        <v>1900</v>
      </c>
      <c r="I43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30" customFormat="false" ht="15" hidden="false" customHeight="false" outlineLevel="0" collapsed="false">
      <c r="A4330" s="41"/>
      <c r="G4330" s="38" t="n">
        <f aca="false">MONTH(A4330)</f>
        <v>12</v>
      </c>
      <c r="H4330" s="38" t="n">
        <f aca="false">YEAR(Tabela1[[#This Row],[FECHA]])</f>
        <v>1900</v>
      </c>
      <c r="I43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31" customFormat="false" ht="15" hidden="false" customHeight="false" outlineLevel="0" collapsed="false">
      <c r="A4331" s="41"/>
      <c r="G4331" s="38" t="n">
        <f aca="false">MONTH(A4331)</f>
        <v>12</v>
      </c>
      <c r="H4331" s="38" t="n">
        <f aca="false">YEAR(Tabela1[[#This Row],[FECHA]])</f>
        <v>1900</v>
      </c>
      <c r="I43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32" customFormat="false" ht="15" hidden="false" customHeight="false" outlineLevel="0" collapsed="false">
      <c r="A4332" s="41"/>
      <c r="G4332" s="38" t="n">
        <f aca="false">MONTH(A4332)</f>
        <v>12</v>
      </c>
      <c r="H4332" s="38" t="n">
        <f aca="false">YEAR(Tabela1[[#This Row],[FECHA]])</f>
        <v>1900</v>
      </c>
      <c r="I43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33" customFormat="false" ht="15" hidden="false" customHeight="false" outlineLevel="0" collapsed="false">
      <c r="A4333" s="41"/>
      <c r="G4333" s="38" t="n">
        <f aca="false">MONTH(A4333)</f>
        <v>12</v>
      </c>
      <c r="H4333" s="38" t="n">
        <f aca="false">YEAR(Tabela1[[#This Row],[FECHA]])</f>
        <v>1900</v>
      </c>
      <c r="I43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34" customFormat="false" ht="15" hidden="false" customHeight="false" outlineLevel="0" collapsed="false">
      <c r="A4334" s="41"/>
      <c r="G4334" s="38" t="n">
        <f aca="false">MONTH(A4334)</f>
        <v>12</v>
      </c>
      <c r="H4334" s="38" t="n">
        <f aca="false">YEAR(Tabela1[[#This Row],[FECHA]])</f>
        <v>1900</v>
      </c>
      <c r="I43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35" customFormat="false" ht="15" hidden="false" customHeight="false" outlineLevel="0" collapsed="false">
      <c r="A4335" s="41"/>
      <c r="G4335" s="38" t="n">
        <f aca="false">MONTH(A4335)</f>
        <v>12</v>
      </c>
      <c r="H4335" s="38" t="n">
        <f aca="false">YEAR(Tabela1[[#This Row],[FECHA]])</f>
        <v>1900</v>
      </c>
      <c r="I43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36" customFormat="false" ht="15" hidden="false" customHeight="false" outlineLevel="0" collapsed="false">
      <c r="A4336" s="41"/>
      <c r="G4336" s="38" t="n">
        <f aca="false">MONTH(A4336)</f>
        <v>12</v>
      </c>
      <c r="H4336" s="38" t="n">
        <f aca="false">YEAR(Tabela1[[#This Row],[FECHA]])</f>
        <v>1900</v>
      </c>
      <c r="I43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37" customFormat="false" ht="15" hidden="false" customHeight="false" outlineLevel="0" collapsed="false">
      <c r="A4337" s="41"/>
      <c r="G4337" s="38" t="n">
        <f aca="false">MONTH(A4337)</f>
        <v>12</v>
      </c>
      <c r="H4337" s="38" t="n">
        <f aca="false">YEAR(Tabela1[[#This Row],[FECHA]])</f>
        <v>1900</v>
      </c>
      <c r="I43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38" customFormat="false" ht="15" hidden="false" customHeight="false" outlineLevel="0" collapsed="false">
      <c r="A4338" s="41"/>
      <c r="G4338" s="38" t="n">
        <f aca="false">MONTH(A4338)</f>
        <v>12</v>
      </c>
      <c r="H4338" s="38" t="n">
        <f aca="false">YEAR(Tabela1[[#This Row],[FECHA]])</f>
        <v>1900</v>
      </c>
      <c r="I43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39" customFormat="false" ht="15" hidden="false" customHeight="false" outlineLevel="0" collapsed="false">
      <c r="A4339" s="41"/>
      <c r="G4339" s="38" t="n">
        <f aca="false">MONTH(A4339)</f>
        <v>12</v>
      </c>
      <c r="H4339" s="38" t="n">
        <f aca="false">YEAR(Tabela1[[#This Row],[FECHA]])</f>
        <v>1900</v>
      </c>
      <c r="I43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40" customFormat="false" ht="15" hidden="false" customHeight="false" outlineLevel="0" collapsed="false">
      <c r="A4340" s="41"/>
      <c r="G4340" s="38" t="n">
        <f aca="false">MONTH(A4340)</f>
        <v>12</v>
      </c>
      <c r="H4340" s="38" t="n">
        <f aca="false">YEAR(Tabela1[[#This Row],[FECHA]])</f>
        <v>1900</v>
      </c>
      <c r="I43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41" customFormat="false" ht="15" hidden="false" customHeight="false" outlineLevel="0" collapsed="false">
      <c r="A4341" s="41"/>
      <c r="G4341" s="38" t="n">
        <f aca="false">MONTH(A4341)</f>
        <v>12</v>
      </c>
      <c r="H4341" s="38" t="n">
        <f aca="false">YEAR(Tabela1[[#This Row],[FECHA]])</f>
        <v>1900</v>
      </c>
      <c r="I43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42" customFormat="false" ht="15" hidden="false" customHeight="false" outlineLevel="0" collapsed="false">
      <c r="A4342" s="41"/>
      <c r="G4342" s="38" t="n">
        <f aca="false">MONTH(A4342)</f>
        <v>12</v>
      </c>
      <c r="H4342" s="38" t="n">
        <f aca="false">YEAR(Tabela1[[#This Row],[FECHA]])</f>
        <v>1900</v>
      </c>
      <c r="I43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43" customFormat="false" ht="15" hidden="false" customHeight="false" outlineLevel="0" collapsed="false">
      <c r="A4343" s="41"/>
      <c r="G4343" s="38" t="n">
        <f aca="false">MONTH(A4343)</f>
        <v>12</v>
      </c>
      <c r="H4343" s="38" t="n">
        <f aca="false">YEAR(Tabela1[[#This Row],[FECHA]])</f>
        <v>1900</v>
      </c>
      <c r="I43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44" customFormat="false" ht="15" hidden="false" customHeight="false" outlineLevel="0" collapsed="false">
      <c r="A4344" s="41"/>
      <c r="G4344" s="38" t="n">
        <f aca="false">MONTH(A4344)</f>
        <v>12</v>
      </c>
      <c r="H4344" s="38" t="n">
        <f aca="false">YEAR(Tabela1[[#This Row],[FECHA]])</f>
        <v>1900</v>
      </c>
      <c r="I43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45" customFormat="false" ht="15" hidden="false" customHeight="false" outlineLevel="0" collapsed="false">
      <c r="A4345" s="41"/>
      <c r="G4345" s="38" t="n">
        <f aca="false">MONTH(A4345)</f>
        <v>12</v>
      </c>
      <c r="H4345" s="38" t="n">
        <f aca="false">YEAR(Tabela1[[#This Row],[FECHA]])</f>
        <v>1900</v>
      </c>
      <c r="I43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46" customFormat="false" ht="15" hidden="false" customHeight="false" outlineLevel="0" collapsed="false">
      <c r="A4346" s="41"/>
      <c r="G4346" s="38" t="n">
        <f aca="false">MONTH(A4346)</f>
        <v>12</v>
      </c>
      <c r="H4346" s="38" t="n">
        <f aca="false">YEAR(Tabela1[[#This Row],[FECHA]])</f>
        <v>1900</v>
      </c>
      <c r="I43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47" customFormat="false" ht="15" hidden="false" customHeight="false" outlineLevel="0" collapsed="false">
      <c r="A4347" s="41"/>
      <c r="G4347" s="38" t="n">
        <f aca="false">MONTH(A4347)</f>
        <v>12</v>
      </c>
      <c r="H4347" s="38" t="n">
        <f aca="false">YEAR(Tabela1[[#This Row],[FECHA]])</f>
        <v>1900</v>
      </c>
      <c r="I43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48" customFormat="false" ht="15" hidden="false" customHeight="false" outlineLevel="0" collapsed="false">
      <c r="A4348" s="41"/>
      <c r="G4348" s="38" t="n">
        <f aca="false">MONTH(A4348)</f>
        <v>12</v>
      </c>
      <c r="H4348" s="38" t="n">
        <f aca="false">YEAR(Tabela1[[#This Row],[FECHA]])</f>
        <v>1900</v>
      </c>
      <c r="I43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49" customFormat="false" ht="15" hidden="false" customHeight="false" outlineLevel="0" collapsed="false">
      <c r="A4349" s="41"/>
      <c r="G4349" s="38" t="n">
        <f aca="false">MONTH(A4349)</f>
        <v>12</v>
      </c>
      <c r="H4349" s="38" t="n">
        <f aca="false">YEAR(Tabela1[[#This Row],[FECHA]])</f>
        <v>1900</v>
      </c>
      <c r="I43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50" customFormat="false" ht="15" hidden="false" customHeight="false" outlineLevel="0" collapsed="false">
      <c r="A4350" s="41"/>
      <c r="G4350" s="38" t="n">
        <f aca="false">MONTH(A4350)</f>
        <v>12</v>
      </c>
      <c r="H4350" s="38" t="n">
        <f aca="false">YEAR(Tabela1[[#This Row],[FECHA]])</f>
        <v>1900</v>
      </c>
      <c r="I43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51" customFormat="false" ht="15" hidden="false" customHeight="false" outlineLevel="0" collapsed="false">
      <c r="A4351" s="41"/>
      <c r="G4351" s="38" t="n">
        <f aca="false">MONTH(A4351)</f>
        <v>12</v>
      </c>
      <c r="H4351" s="38" t="n">
        <f aca="false">YEAR(Tabela1[[#This Row],[FECHA]])</f>
        <v>1900</v>
      </c>
      <c r="I43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52" customFormat="false" ht="15" hidden="false" customHeight="false" outlineLevel="0" collapsed="false">
      <c r="A4352" s="41"/>
      <c r="G4352" s="38" t="n">
        <f aca="false">MONTH(A4352)</f>
        <v>12</v>
      </c>
      <c r="H4352" s="38" t="n">
        <f aca="false">YEAR(Tabela1[[#This Row],[FECHA]])</f>
        <v>1900</v>
      </c>
      <c r="I43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53" customFormat="false" ht="15" hidden="false" customHeight="false" outlineLevel="0" collapsed="false">
      <c r="A4353" s="41"/>
      <c r="G4353" s="38" t="n">
        <f aca="false">MONTH(A4353)</f>
        <v>12</v>
      </c>
      <c r="H4353" s="38" t="n">
        <f aca="false">YEAR(Tabela1[[#This Row],[FECHA]])</f>
        <v>1900</v>
      </c>
      <c r="I43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54" customFormat="false" ht="15" hidden="false" customHeight="false" outlineLevel="0" collapsed="false">
      <c r="A4354" s="41"/>
      <c r="G4354" s="38" t="n">
        <f aca="false">MONTH(A4354)</f>
        <v>12</v>
      </c>
      <c r="H4354" s="38" t="n">
        <f aca="false">YEAR(Tabela1[[#This Row],[FECHA]])</f>
        <v>1900</v>
      </c>
      <c r="I43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55" customFormat="false" ht="15" hidden="false" customHeight="false" outlineLevel="0" collapsed="false">
      <c r="A4355" s="41"/>
      <c r="G4355" s="38" t="n">
        <f aca="false">MONTH(A4355)</f>
        <v>12</v>
      </c>
      <c r="H4355" s="38" t="n">
        <f aca="false">YEAR(Tabela1[[#This Row],[FECHA]])</f>
        <v>1900</v>
      </c>
      <c r="I43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56" customFormat="false" ht="15" hidden="false" customHeight="false" outlineLevel="0" collapsed="false">
      <c r="A4356" s="41"/>
      <c r="G4356" s="38" t="n">
        <f aca="false">MONTH(A4356)</f>
        <v>12</v>
      </c>
      <c r="H4356" s="38" t="n">
        <f aca="false">YEAR(Tabela1[[#This Row],[FECHA]])</f>
        <v>1900</v>
      </c>
      <c r="I43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57" customFormat="false" ht="15" hidden="false" customHeight="false" outlineLevel="0" collapsed="false">
      <c r="A4357" s="41"/>
      <c r="G4357" s="38" t="n">
        <f aca="false">MONTH(A4357)</f>
        <v>12</v>
      </c>
      <c r="H4357" s="38" t="n">
        <f aca="false">YEAR(Tabela1[[#This Row],[FECHA]])</f>
        <v>1900</v>
      </c>
      <c r="I43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58" customFormat="false" ht="15" hidden="false" customHeight="false" outlineLevel="0" collapsed="false">
      <c r="A4358" s="41"/>
      <c r="G4358" s="38" t="n">
        <f aca="false">MONTH(A4358)</f>
        <v>12</v>
      </c>
      <c r="H4358" s="38" t="n">
        <f aca="false">YEAR(Tabela1[[#This Row],[FECHA]])</f>
        <v>1900</v>
      </c>
      <c r="I43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59" customFormat="false" ht="15" hidden="false" customHeight="false" outlineLevel="0" collapsed="false">
      <c r="A4359" s="41"/>
      <c r="G4359" s="38" t="n">
        <f aca="false">MONTH(A4359)</f>
        <v>12</v>
      </c>
      <c r="H4359" s="38" t="n">
        <f aca="false">YEAR(Tabela1[[#This Row],[FECHA]])</f>
        <v>1900</v>
      </c>
      <c r="I43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60" customFormat="false" ht="15" hidden="false" customHeight="false" outlineLevel="0" collapsed="false">
      <c r="A4360" s="41"/>
      <c r="G4360" s="38" t="n">
        <f aca="false">MONTH(A4360)</f>
        <v>12</v>
      </c>
      <c r="H4360" s="38" t="n">
        <f aca="false">YEAR(Tabela1[[#This Row],[FECHA]])</f>
        <v>1900</v>
      </c>
      <c r="I43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61" customFormat="false" ht="15" hidden="false" customHeight="false" outlineLevel="0" collapsed="false">
      <c r="A4361" s="41"/>
      <c r="G4361" s="38" t="n">
        <f aca="false">MONTH(A4361)</f>
        <v>12</v>
      </c>
      <c r="H4361" s="38" t="n">
        <f aca="false">YEAR(Tabela1[[#This Row],[FECHA]])</f>
        <v>1900</v>
      </c>
      <c r="I43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62" customFormat="false" ht="15" hidden="false" customHeight="false" outlineLevel="0" collapsed="false">
      <c r="A4362" s="41"/>
      <c r="G4362" s="38" t="n">
        <f aca="false">MONTH(A4362)</f>
        <v>12</v>
      </c>
      <c r="H4362" s="38" t="n">
        <f aca="false">YEAR(Tabela1[[#This Row],[FECHA]])</f>
        <v>1900</v>
      </c>
      <c r="I43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63" customFormat="false" ht="15" hidden="false" customHeight="false" outlineLevel="0" collapsed="false">
      <c r="A4363" s="41"/>
      <c r="G4363" s="38" t="n">
        <f aca="false">MONTH(A4363)</f>
        <v>12</v>
      </c>
      <c r="H4363" s="38" t="n">
        <f aca="false">YEAR(Tabela1[[#This Row],[FECHA]])</f>
        <v>1900</v>
      </c>
      <c r="I43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64" customFormat="false" ht="15" hidden="false" customHeight="false" outlineLevel="0" collapsed="false">
      <c r="A4364" s="41"/>
      <c r="G4364" s="38" t="n">
        <f aca="false">MONTH(A4364)</f>
        <v>12</v>
      </c>
      <c r="H4364" s="38" t="n">
        <f aca="false">YEAR(Tabela1[[#This Row],[FECHA]])</f>
        <v>1900</v>
      </c>
      <c r="I43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65" customFormat="false" ht="15" hidden="false" customHeight="false" outlineLevel="0" collapsed="false">
      <c r="A4365" s="41"/>
      <c r="G4365" s="38" t="n">
        <f aca="false">MONTH(A4365)</f>
        <v>12</v>
      </c>
      <c r="H4365" s="38" t="n">
        <f aca="false">YEAR(Tabela1[[#This Row],[FECHA]])</f>
        <v>1900</v>
      </c>
      <c r="I43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66" customFormat="false" ht="15" hidden="false" customHeight="false" outlineLevel="0" collapsed="false">
      <c r="A4366" s="41"/>
      <c r="G4366" s="38" t="n">
        <f aca="false">MONTH(A4366)</f>
        <v>12</v>
      </c>
      <c r="H4366" s="38" t="n">
        <f aca="false">YEAR(Tabela1[[#This Row],[FECHA]])</f>
        <v>1900</v>
      </c>
      <c r="I43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67" customFormat="false" ht="15" hidden="false" customHeight="false" outlineLevel="0" collapsed="false">
      <c r="A4367" s="41"/>
      <c r="G4367" s="38" t="n">
        <f aca="false">MONTH(A4367)</f>
        <v>12</v>
      </c>
      <c r="H4367" s="38" t="n">
        <f aca="false">YEAR(Tabela1[[#This Row],[FECHA]])</f>
        <v>1900</v>
      </c>
      <c r="I43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68" customFormat="false" ht="15" hidden="false" customHeight="false" outlineLevel="0" collapsed="false">
      <c r="A4368" s="41"/>
      <c r="G4368" s="38" t="n">
        <f aca="false">MONTH(A4368)</f>
        <v>12</v>
      </c>
      <c r="H4368" s="38" t="n">
        <f aca="false">YEAR(Tabela1[[#This Row],[FECHA]])</f>
        <v>1900</v>
      </c>
      <c r="I43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69" customFormat="false" ht="15" hidden="false" customHeight="false" outlineLevel="0" collapsed="false">
      <c r="A4369" s="41"/>
      <c r="G4369" s="38" t="n">
        <f aca="false">MONTH(A4369)</f>
        <v>12</v>
      </c>
      <c r="H4369" s="38" t="n">
        <f aca="false">YEAR(Tabela1[[#This Row],[FECHA]])</f>
        <v>1900</v>
      </c>
      <c r="I43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70" customFormat="false" ht="15" hidden="false" customHeight="false" outlineLevel="0" collapsed="false">
      <c r="A4370" s="41"/>
      <c r="G4370" s="38" t="n">
        <f aca="false">MONTH(A4370)</f>
        <v>12</v>
      </c>
      <c r="H4370" s="38" t="n">
        <f aca="false">YEAR(Tabela1[[#This Row],[FECHA]])</f>
        <v>1900</v>
      </c>
      <c r="I43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71" customFormat="false" ht="15" hidden="false" customHeight="false" outlineLevel="0" collapsed="false">
      <c r="A4371" s="41"/>
      <c r="G4371" s="38" t="n">
        <f aca="false">MONTH(A4371)</f>
        <v>12</v>
      </c>
      <c r="H4371" s="38" t="n">
        <f aca="false">YEAR(Tabela1[[#This Row],[FECHA]])</f>
        <v>1900</v>
      </c>
      <c r="I43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72" customFormat="false" ht="15" hidden="false" customHeight="false" outlineLevel="0" collapsed="false">
      <c r="A4372" s="41"/>
      <c r="G4372" s="38" t="n">
        <f aca="false">MONTH(A4372)</f>
        <v>12</v>
      </c>
      <c r="H4372" s="38" t="n">
        <f aca="false">YEAR(Tabela1[[#This Row],[FECHA]])</f>
        <v>1900</v>
      </c>
      <c r="I43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73" customFormat="false" ht="15" hidden="false" customHeight="false" outlineLevel="0" collapsed="false">
      <c r="A4373" s="41"/>
      <c r="G4373" s="38" t="n">
        <f aca="false">MONTH(A4373)</f>
        <v>12</v>
      </c>
      <c r="H4373" s="38" t="n">
        <f aca="false">YEAR(Tabela1[[#This Row],[FECHA]])</f>
        <v>1900</v>
      </c>
      <c r="I43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74" customFormat="false" ht="15" hidden="false" customHeight="false" outlineLevel="0" collapsed="false">
      <c r="A4374" s="41"/>
      <c r="G4374" s="38" t="n">
        <f aca="false">MONTH(A4374)</f>
        <v>12</v>
      </c>
      <c r="H4374" s="38" t="n">
        <f aca="false">YEAR(Tabela1[[#This Row],[FECHA]])</f>
        <v>1900</v>
      </c>
      <c r="I43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75" customFormat="false" ht="15" hidden="false" customHeight="false" outlineLevel="0" collapsed="false">
      <c r="A4375" s="41"/>
      <c r="G4375" s="38" t="n">
        <f aca="false">MONTH(A4375)</f>
        <v>12</v>
      </c>
      <c r="H4375" s="38" t="n">
        <f aca="false">YEAR(Tabela1[[#This Row],[FECHA]])</f>
        <v>1900</v>
      </c>
      <c r="I43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76" customFormat="false" ht="15" hidden="false" customHeight="false" outlineLevel="0" collapsed="false">
      <c r="A4376" s="41"/>
      <c r="G4376" s="38" t="n">
        <f aca="false">MONTH(A4376)</f>
        <v>12</v>
      </c>
      <c r="H4376" s="38" t="n">
        <f aca="false">YEAR(Tabela1[[#This Row],[FECHA]])</f>
        <v>1900</v>
      </c>
      <c r="I43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77" customFormat="false" ht="15" hidden="false" customHeight="false" outlineLevel="0" collapsed="false">
      <c r="A4377" s="41"/>
      <c r="G4377" s="38" t="n">
        <f aca="false">MONTH(A4377)</f>
        <v>12</v>
      </c>
      <c r="H4377" s="38" t="n">
        <f aca="false">YEAR(Tabela1[[#This Row],[FECHA]])</f>
        <v>1900</v>
      </c>
      <c r="I43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78" customFormat="false" ht="15" hidden="false" customHeight="false" outlineLevel="0" collapsed="false">
      <c r="A4378" s="41"/>
      <c r="G4378" s="38" t="n">
        <f aca="false">MONTH(A4378)</f>
        <v>12</v>
      </c>
      <c r="H4378" s="38" t="n">
        <f aca="false">YEAR(Tabela1[[#This Row],[FECHA]])</f>
        <v>1900</v>
      </c>
      <c r="I43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79" customFormat="false" ht="15" hidden="false" customHeight="false" outlineLevel="0" collapsed="false">
      <c r="A4379" s="41"/>
      <c r="G4379" s="38" t="n">
        <f aca="false">MONTH(A4379)</f>
        <v>12</v>
      </c>
      <c r="H4379" s="38" t="n">
        <f aca="false">YEAR(Tabela1[[#This Row],[FECHA]])</f>
        <v>1900</v>
      </c>
      <c r="I43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80" customFormat="false" ht="15" hidden="false" customHeight="false" outlineLevel="0" collapsed="false">
      <c r="A4380" s="41"/>
      <c r="G4380" s="38" t="n">
        <f aca="false">MONTH(A4380)</f>
        <v>12</v>
      </c>
      <c r="H4380" s="38" t="n">
        <f aca="false">YEAR(Tabela1[[#This Row],[FECHA]])</f>
        <v>1900</v>
      </c>
      <c r="I43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81" customFormat="false" ht="15" hidden="false" customHeight="false" outlineLevel="0" collapsed="false">
      <c r="A4381" s="41"/>
      <c r="G4381" s="38" t="n">
        <f aca="false">MONTH(A4381)</f>
        <v>12</v>
      </c>
      <c r="H4381" s="38" t="n">
        <f aca="false">YEAR(Tabela1[[#This Row],[FECHA]])</f>
        <v>1900</v>
      </c>
      <c r="I43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82" customFormat="false" ht="15" hidden="false" customHeight="false" outlineLevel="0" collapsed="false">
      <c r="A4382" s="41"/>
      <c r="G4382" s="38" t="n">
        <f aca="false">MONTH(A4382)</f>
        <v>12</v>
      </c>
      <c r="H4382" s="38" t="n">
        <f aca="false">YEAR(Tabela1[[#This Row],[FECHA]])</f>
        <v>1900</v>
      </c>
      <c r="I43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83" customFormat="false" ht="15" hidden="false" customHeight="false" outlineLevel="0" collapsed="false">
      <c r="A4383" s="41"/>
      <c r="G4383" s="38" t="n">
        <f aca="false">MONTH(A4383)</f>
        <v>12</v>
      </c>
      <c r="H4383" s="38" t="n">
        <f aca="false">YEAR(Tabela1[[#This Row],[FECHA]])</f>
        <v>1900</v>
      </c>
      <c r="I43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84" customFormat="false" ht="15" hidden="false" customHeight="false" outlineLevel="0" collapsed="false">
      <c r="A4384" s="41"/>
      <c r="G4384" s="38" t="n">
        <f aca="false">MONTH(A4384)</f>
        <v>12</v>
      </c>
      <c r="H4384" s="38" t="n">
        <f aca="false">YEAR(Tabela1[[#This Row],[FECHA]])</f>
        <v>1900</v>
      </c>
      <c r="I43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85" customFormat="false" ht="15" hidden="false" customHeight="false" outlineLevel="0" collapsed="false">
      <c r="A4385" s="41"/>
      <c r="G4385" s="38" t="n">
        <f aca="false">MONTH(A4385)</f>
        <v>12</v>
      </c>
      <c r="H4385" s="38" t="n">
        <f aca="false">YEAR(Tabela1[[#This Row],[FECHA]])</f>
        <v>1900</v>
      </c>
      <c r="I43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86" customFormat="false" ht="15" hidden="false" customHeight="false" outlineLevel="0" collapsed="false">
      <c r="A4386" s="41"/>
      <c r="G4386" s="38" t="n">
        <f aca="false">MONTH(A4386)</f>
        <v>12</v>
      </c>
      <c r="H4386" s="38" t="n">
        <f aca="false">YEAR(Tabela1[[#This Row],[FECHA]])</f>
        <v>1900</v>
      </c>
      <c r="I43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87" customFormat="false" ht="15" hidden="false" customHeight="false" outlineLevel="0" collapsed="false">
      <c r="A4387" s="41"/>
      <c r="G4387" s="38" t="n">
        <f aca="false">MONTH(A4387)</f>
        <v>12</v>
      </c>
      <c r="H4387" s="38" t="n">
        <f aca="false">YEAR(Tabela1[[#This Row],[FECHA]])</f>
        <v>1900</v>
      </c>
      <c r="I43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88" customFormat="false" ht="15" hidden="false" customHeight="false" outlineLevel="0" collapsed="false">
      <c r="A4388" s="41"/>
      <c r="G4388" s="38" t="n">
        <f aca="false">MONTH(A4388)</f>
        <v>12</v>
      </c>
      <c r="H4388" s="38" t="n">
        <f aca="false">YEAR(Tabela1[[#This Row],[FECHA]])</f>
        <v>1900</v>
      </c>
      <c r="I43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89" customFormat="false" ht="15" hidden="false" customHeight="false" outlineLevel="0" collapsed="false">
      <c r="A4389" s="41"/>
      <c r="G4389" s="38" t="n">
        <f aca="false">MONTH(A4389)</f>
        <v>12</v>
      </c>
      <c r="H4389" s="38" t="n">
        <f aca="false">YEAR(Tabela1[[#This Row],[FECHA]])</f>
        <v>1900</v>
      </c>
      <c r="I43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90" customFormat="false" ht="15" hidden="false" customHeight="false" outlineLevel="0" collapsed="false">
      <c r="A4390" s="41"/>
      <c r="G4390" s="38" t="n">
        <f aca="false">MONTH(A4390)</f>
        <v>12</v>
      </c>
      <c r="H4390" s="38" t="n">
        <f aca="false">YEAR(Tabela1[[#This Row],[FECHA]])</f>
        <v>1900</v>
      </c>
      <c r="I43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91" customFormat="false" ht="15" hidden="false" customHeight="false" outlineLevel="0" collapsed="false">
      <c r="A4391" s="41"/>
      <c r="G4391" s="38" t="n">
        <f aca="false">MONTH(A4391)</f>
        <v>12</v>
      </c>
      <c r="H4391" s="38" t="n">
        <f aca="false">YEAR(Tabela1[[#This Row],[FECHA]])</f>
        <v>1900</v>
      </c>
      <c r="I43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92" customFormat="false" ht="15" hidden="false" customHeight="false" outlineLevel="0" collapsed="false">
      <c r="A4392" s="41"/>
      <c r="G4392" s="38" t="n">
        <f aca="false">MONTH(A4392)</f>
        <v>12</v>
      </c>
      <c r="H4392" s="38" t="n">
        <f aca="false">YEAR(Tabela1[[#This Row],[FECHA]])</f>
        <v>1900</v>
      </c>
      <c r="I43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93" customFormat="false" ht="15" hidden="false" customHeight="false" outlineLevel="0" collapsed="false">
      <c r="A4393" s="41"/>
      <c r="G4393" s="38" t="n">
        <f aca="false">MONTH(A4393)</f>
        <v>12</v>
      </c>
      <c r="H4393" s="38" t="n">
        <f aca="false">YEAR(Tabela1[[#This Row],[FECHA]])</f>
        <v>1900</v>
      </c>
      <c r="I43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94" customFormat="false" ht="15" hidden="false" customHeight="false" outlineLevel="0" collapsed="false">
      <c r="A4394" s="41"/>
      <c r="G4394" s="38" t="n">
        <f aca="false">MONTH(A4394)</f>
        <v>12</v>
      </c>
      <c r="H4394" s="38" t="n">
        <f aca="false">YEAR(Tabela1[[#This Row],[FECHA]])</f>
        <v>1900</v>
      </c>
      <c r="I43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95" customFormat="false" ht="15" hidden="false" customHeight="false" outlineLevel="0" collapsed="false">
      <c r="A4395" s="41"/>
      <c r="G4395" s="38" t="n">
        <f aca="false">MONTH(A4395)</f>
        <v>12</v>
      </c>
      <c r="H4395" s="38" t="n">
        <f aca="false">YEAR(Tabela1[[#This Row],[FECHA]])</f>
        <v>1900</v>
      </c>
      <c r="I43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96" customFormat="false" ht="15" hidden="false" customHeight="false" outlineLevel="0" collapsed="false">
      <c r="A4396" s="41"/>
      <c r="G4396" s="38" t="n">
        <f aca="false">MONTH(A4396)</f>
        <v>12</v>
      </c>
      <c r="H4396" s="38" t="n">
        <f aca="false">YEAR(Tabela1[[#This Row],[FECHA]])</f>
        <v>1900</v>
      </c>
      <c r="I43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97" customFormat="false" ht="15" hidden="false" customHeight="false" outlineLevel="0" collapsed="false">
      <c r="A4397" s="41"/>
      <c r="G4397" s="38" t="n">
        <f aca="false">MONTH(A4397)</f>
        <v>12</v>
      </c>
      <c r="H4397" s="38" t="n">
        <f aca="false">YEAR(Tabela1[[#This Row],[FECHA]])</f>
        <v>1900</v>
      </c>
      <c r="I43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98" customFormat="false" ht="15" hidden="false" customHeight="false" outlineLevel="0" collapsed="false">
      <c r="A4398" s="41"/>
      <c r="G4398" s="38" t="n">
        <f aca="false">MONTH(A4398)</f>
        <v>12</v>
      </c>
      <c r="H4398" s="38" t="n">
        <f aca="false">YEAR(Tabela1[[#This Row],[FECHA]])</f>
        <v>1900</v>
      </c>
      <c r="I43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399" customFormat="false" ht="15" hidden="false" customHeight="false" outlineLevel="0" collapsed="false">
      <c r="A4399" s="41"/>
      <c r="G4399" s="38" t="n">
        <f aca="false">MONTH(A4399)</f>
        <v>12</v>
      </c>
      <c r="H4399" s="38" t="n">
        <f aca="false">YEAR(Tabela1[[#This Row],[FECHA]])</f>
        <v>1900</v>
      </c>
      <c r="I43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00" customFormat="false" ht="15" hidden="false" customHeight="false" outlineLevel="0" collapsed="false">
      <c r="A4400" s="41"/>
      <c r="G4400" s="38" t="n">
        <f aca="false">MONTH(A4400)</f>
        <v>12</v>
      </c>
      <c r="H4400" s="38" t="n">
        <f aca="false">YEAR(Tabela1[[#This Row],[FECHA]])</f>
        <v>1900</v>
      </c>
      <c r="I44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01" customFormat="false" ht="15" hidden="false" customHeight="false" outlineLevel="0" collapsed="false">
      <c r="A4401" s="41"/>
      <c r="G4401" s="38" t="n">
        <f aca="false">MONTH(A4401)</f>
        <v>12</v>
      </c>
      <c r="H4401" s="38" t="n">
        <f aca="false">YEAR(Tabela1[[#This Row],[FECHA]])</f>
        <v>1900</v>
      </c>
      <c r="I44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02" customFormat="false" ht="15" hidden="false" customHeight="false" outlineLevel="0" collapsed="false">
      <c r="A4402" s="41"/>
      <c r="G4402" s="38" t="n">
        <f aca="false">MONTH(A4402)</f>
        <v>12</v>
      </c>
      <c r="H4402" s="38" t="n">
        <f aca="false">YEAR(Tabela1[[#This Row],[FECHA]])</f>
        <v>1900</v>
      </c>
      <c r="I44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03" customFormat="false" ht="15" hidden="false" customHeight="false" outlineLevel="0" collapsed="false">
      <c r="A4403" s="41"/>
      <c r="G4403" s="38" t="n">
        <f aca="false">MONTH(A4403)</f>
        <v>12</v>
      </c>
      <c r="H4403" s="38" t="n">
        <f aca="false">YEAR(Tabela1[[#This Row],[FECHA]])</f>
        <v>1900</v>
      </c>
      <c r="I44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04" customFormat="false" ht="15" hidden="false" customHeight="false" outlineLevel="0" collapsed="false">
      <c r="A4404" s="41"/>
      <c r="G4404" s="38" t="n">
        <f aca="false">MONTH(A4404)</f>
        <v>12</v>
      </c>
      <c r="H4404" s="38" t="n">
        <f aca="false">YEAR(Tabela1[[#This Row],[FECHA]])</f>
        <v>1900</v>
      </c>
      <c r="I44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05" customFormat="false" ht="15" hidden="false" customHeight="false" outlineLevel="0" collapsed="false">
      <c r="A4405" s="41"/>
      <c r="G4405" s="38" t="n">
        <f aca="false">MONTH(A4405)</f>
        <v>12</v>
      </c>
      <c r="H4405" s="38" t="n">
        <f aca="false">YEAR(Tabela1[[#This Row],[FECHA]])</f>
        <v>1900</v>
      </c>
      <c r="I44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06" customFormat="false" ht="15" hidden="false" customHeight="false" outlineLevel="0" collapsed="false">
      <c r="A4406" s="41"/>
      <c r="G4406" s="38" t="n">
        <f aca="false">MONTH(A4406)</f>
        <v>12</v>
      </c>
      <c r="H4406" s="38" t="n">
        <f aca="false">YEAR(Tabela1[[#This Row],[FECHA]])</f>
        <v>1900</v>
      </c>
      <c r="I44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07" customFormat="false" ht="15" hidden="false" customHeight="false" outlineLevel="0" collapsed="false">
      <c r="A4407" s="41"/>
      <c r="G4407" s="38" t="n">
        <f aca="false">MONTH(A4407)</f>
        <v>12</v>
      </c>
      <c r="H4407" s="38" t="n">
        <f aca="false">YEAR(Tabela1[[#This Row],[FECHA]])</f>
        <v>1900</v>
      </c>
      <c r="I44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08" customFormat="false" ht="15" hidden="false" customHeight="false" outlineLevel="0" collapsed="false">
      <c r="A4408" s="41"/>
      <c r="G4408" s="38" t="n">
        <f aca="false">MONTH(A4408)</f>
        <v>12</v>
      </c>
      <c r="H4408" s="38" t="n">
        <f aca="false">YEAR(Tabela1[[#This Row],[FECHA]])</f>
        <v>1900</v>
      </c>
      <c r="I44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09" customFormat="false" ht="15" hidden="false" customHeight="false" outlineLevel="0" collapsed="false">
      <c r="A4409" s="41"/>
      <c r="G4409" s="38" t="n">
        <f aca="false">MONTH(A4409)</f>
        <v>12</v>
      </c>
      <c r="H4409" s="38" t="n">
        <f aca="false">YEAR(Tabela1[[#This Row],[FECHA]])</f>
        <v>1900</v>
      </c>
      <c r="I44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10" customFormat="false" ht="15" hidden="false" customHeight="false" outlineLevel="0" collapsed="false">
      <c r="A4410" s="41"/>
      <c r="G4410" s="38" t="n">
        <f aca="false">MONTH(A4410)</f>
        <v>12</v>
      </c>
      <c r="H4410" s="38" t="n">
        <f aca="false">YEAR(Tabela1[[#This Row],[FECHA]])</f>
        <v>1900</v>
      </c>
      <c r="I44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11" customFormat="false" ht="15" hidden="false" customHeight="false" outlineLevel="0" collapsed="false">
      <c r="A4411" s="41"/>
      <c r="G4411" s="38" t="n">
        <f aca="false">MONTH(A4411)</f>
        <v>12</v>
      </c>
      <c r="H4411" s="38" t="n">
        <f aca="false">YEAR(Tabela1[[#This Row],[FECHA]])</f>
        <v>1900</v>
      </c>
      <c r="I44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12" customFormat="false" ht="15" hidden="false" customHeight="false" outlineLevel="0" collapsed="false">
      <c r="A4412" s="41"/>
      <c r="G4412" s="38" t="n">
        <f aca="false">MONTH(A4412)</f>
        <v>12</v>
      </c>
      <c r="H4412" s="38" t="n">
        <f aca="false">YEAR(Tabela1[[#This Row],[FECHA]])</f>
        <v>1900</v>
      </c>
      <c r="I44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13" customFormat="false" ht="15" hidden="false" customHeight="false" outlineLevel="0" collapsed="false">
      <c r="A4413" s="41"/>
      <c r="G4413" s="38" t="n">
        <f aca="false">MONTH(A4413)</f>
        <v>12</v>
      </c>
      <c r="H4413" s="38" t="n">
        <f aca="false">YEAR(Tabela1[[#This Row],[FECHA]])</f>
        <v>1900</v>
      </c>
      <c r="I44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14" customFormat="false" ht="15" hidden="false" customHeight="false" outlineLevel="0" collapsed="false">
      <c r="A4414" s="41"/>
      <c r="G4414" s="38" t="n">
        <f aca="false">MONTH(A4414)</f>
        <v>12</v>
      </c>
      <c r="H4414" s="38" t="n">
        <f aca="false">YEAR(Tabela1[[#This Row],[FECHA]])</f>
        <v>1900</v>
      </c>
      <c r="I44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15" customFormat="false" ht="15" hidden="false" customHeight="false" outlineLevel="0" collapsed="false">
      <c r="A4415" s="41"/>
      <c r="G4415" s="38" t="n">
        <f aca="false">MONTH(A4415)</f>
        <v>12</v>
      </c>
      <c r="H4415" s="38" t="n">
        <f aca="false">YEAR(Tabela1[[#This Row],[FECHA]])</f>
        <v>1900</v>
      </c>
      <c r="I44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16" customFormat="false" ht="15" hidden="false" customHeight="false" outlineLevel="0" collapsed="false">
      <c r="A4416" s="41"/>
      <c r="G4416" s="38" t="n">
        <f aca="false">MONTH(A4416)</f>
        <v>12</v>
      </c>
      <c r="H4416" s="38" t="n">
        <f aca="false">YEAR(Tabela1[[#This Row],[FECHA]])</f>
        <v>1900</v>
      </c>
      <c r="I44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17" customFormat="false" ht="15" hidden="false" customHeight="false" outlineLevel="0" collapsed="false">
      <c r="A4417" s="41"/>
      <c r="G4417" s="38" t="n">
        <f aca="false">MONTH(A4417)</f>
        <v>12</v>
      </c>
      <c r="H4417" s="38" t="n">
        <f aca="false">YEAR(Tabela1[[#This Row],[FECHA]])</f>
        <v>1900</v>
      </c>
      <c r="I44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18" customFormat="false" ht="15" hidden="false" customHeight="false" outlineLevel="0" collapsed="false">
      <c r="A4418" s="41"/>
      <c r="G4418" s="38" t="n">
        <f aca="false">MONTH(A4418)</f>
        <v>12</v>
      </c>
      <c r="H4418" s="38" t="n">
        <f aca="false">YEAR(Tabela1[[#This Row],[FECHA]])</f>
        <v>1900</v>
      </c>
      <c r="I44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19" customFormat="false" ht="15" hidden="false" customHeight="false" outlineLevel="0" collapsed="false">
      <c r="A4419" s="41"/>
      <c r="G4419" s="38" t="n">
        <f aca="false">MONTH(A4419)</f>
        <v>12</v>
      </c>
      <c r="H4419" s="38" t="n">
        <f aca="false">YEAR(Tabela1[[#This Row],[FECHA]])</f>
        <v>1900</v>
      </c>
      <c r="I44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20" customFormat="false" ht="15" hidden="false" customHeight="false" outlineLevel="0" collapsed="false">
      <c r="A4420" s="41"/>
      <c r="G4420" s="38" t="n">
        <f aca="false">MONTH(A4420)</f>
        <v>12</v>
      </c>
      <c r="H4420" s="38" t="n">
        <f aca="false">YEAR(Tabela1[[#This Row],[FECHA]])</f>
        <v>1900</v>
      </c>
      <c r="I44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21" customFormat="false" ht="15" hidden="false" customHeight="false" outlineLevel="0" collapsed="false">
      <c r="A4421" s="41"/>
      <c r="G4421" s="38" t="n">
        <f aca="false">MONTH(A4421)</f>
        <v>12</v>
      </c>
      <c r="H4421" s="38" t="n">
        <f aca="false">YEAR(Tabela1[[#This Row],[FECHA]])</f>
        <v>1900</v>
      </c>
      <c r="I44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22" customFormat="false" ht="15" hidden="false" customHeight="false" outlineLevel="0" collapsed="false">
      <c r="A4422" s="41"/>
      <c r="G4422" s="38" t="n">
        <f aca="false">MONTH(A4422)</f>
        <v>12</v>
      </c>
      <c r="H4422" s="38" t="n">
        <f aca="false">YEAR(Tabela1[[#This Row],[FECHA]])</f>
        <v>1900</v>
      </c>
      <c r="I44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23" customFormat="false" ht="15" hidden="false" customHeight="false" outlineLevel="0" collapsed="false">
      <c r="A4423" s="41"/>
      <c r="G4423" s="38" t="n">
        <f aca="false">MONTH(A4423)</f>
        <v>12</v>
      </c>
      <c r="H4423" s="38" t="n">
        <f aca="false">YEAR(Tabela1[[#This Row],[FECHA]])</f>
        <v>1900</v>
      </c>
      <c r="I44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24" customFormat="false" ht="15" hidden="false" customHeight="false" outlineLevel="0" collapsed="false">
      <c r="A4424" s="41"/>
      <c r="G4424" s="38" t="n">
        <f aca="false">MONTH(A4424)</f>
        <v>12</v>
      </c>
      <c r="H4424" s="38" t="n">
        <f aca="false">YEAR(Tabela1[[#This Row],[FECHA]])</f>
        <v>1900</v>
      </c>
      <c r="I44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25" customFormat="false" ht="15" hidden="false" customHeight="false" outlineLevel="0" collapsed="false">
      <c r="A4425" s="41"/>
      <c r="G4425" s="38" t="n">
        <f aca="false">MONTH(A4425)</f>
        <v>12</v>
      </c>
      <c r="H4425" s="38" t="n">
        <f aca="false">YEAR(Tabela1[[#This Row],[FECHA]])</f>
        <v>1900</v>
      </c>
      <c r="I44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26" customFormat="false" ht="15" hidden="false" customHeight="false" outlineLevel="0" collapsed="false">
      <c r="A4426" s="41"/>
      <c r="G4426" s="38" t="n">
        <f aca="false">MONTH(A4426)</f>
        <v>12</v>
      </c>
      <c r="H4426" s="38" t="n">
        <f aca="false">YEAR(Tabela1[[#This Row],[FECHA]])</f>
        <v>1900</v>
      </c>
      <c r="I44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27" customFormat="false" ht="15" hidden="false" customHeight="false" outlineLevel="0" collapsed="false">
      <c r="A4427" s="41"/>
      <c r="G4427" s="38" t="n">
        <f aca="false">MONTH(A4427)</f>
        <v>12</v>
      </c>
      <c r="H4427" s="38" t="n">
        <f aca="false">YEAR(Tabela1[[#This Row],[FECHA]])</f>
        <v>1900</v>
      </c>
      <c r="I44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28" customFormat="false" ht="15" hidden="false" customHeight="false" outlineLevel="0" collapsed="false">
      <c r="A4428" s="41"/>
      <c r="G4428" s="38" t="n">
        <f aca="false">MONTH(A4428)</f>
        <v>12</v>
      </c>
      <c r="H4428" s="38" t="n">
        <f aca="false">YEAR(Tabela1[[#This Row],[FECHA]])</f>
        <v>1900</v>
      </c>
      <c r="I44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29" customFormat="false" ht="15" hidden="false" customHeight="false" outlineLevel="0" collapsed="false">
      <c r="A4429" s="41"/>
      <c r="G4429" s="38" t="n">
        <f aca="false">MONTH(A4429)</f>
        <v>12</v>
      </c>
      <c r="H4429" s="38" t="n">
        <f aca="false">YEAR(Tabela1[[#This Row],[FECHA]])</f>
        <v>1900</v>
      </c>
      <c r="I44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30" customFormat="false" ht="15" hidden="false" customHeight="false" outlineLevel="0" collapsed="false">
      <c r="A4430" s="41"/>
      <c r="G4430" s="38" t="n">
        <f aca="false">MONTH(A4430)</f>
        <v>12</v>
      </c>
      <c r="H4430" s="38" t="n">
        <f aca="false">YEAR(Tabela1[[#This Row],[FECHA]])</f>
        <v>1900</v>
      </c>
      <c r="I44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31" customFormat="false" ht="15" hidden="false" customHeight="false" outlineLevel="0" collapsed="false">
      <c r="A4431" s="41"/>
      <c r="G4431" s="38" t="n">
        <f aca="false">MONTH(A4431)</f>
        <v>12</v>
      </c>
      <c r="H4431" s="38" t="n">
        <f aca="false">YEAR(Tabela1[[#This Row],[FECHA]])</f>
        <v>1900</v>
      </c>
      <c r="I44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32" customFormat="false" ht="15" hidden="false" customHeight="false" outlineLevel="0" collapsed="false">
      <c r="A4432" s="41"/>
      <c r="G4432" s="38" t="n">
        <f aca="false">MONTH(A4432)</f>
        <v>12</v>
      </c>
      <c r="H4432" s="38" t="n">
        <f aca="false">YEAR(Tabela1[[#This Row],[FECHA]])</f>
        <v>1900</v>
      </c>
      <c r="I44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33" customFormat="false" ht="15" hidden="false" customHeight="false" outlineLevel="0" collapsed="false">
      <c r="A4433" s="41"/>
      <c r="G4433" s="38" t="n">
        <f aca="false">MONTH(A4433)</f>
        <v>12</v>
      </c>
      <c r="H4433" s="38" t="n">
        <f aca="false">YEAR(Tabela1[[#This Row],[FECHA]])</f>
        <v>1900</v>
      </c>
      <c r="I44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34" customFormat="false" ht="15" hidden="false" customHeight="false" outlineLevel="0" collapsed="false">
      <c r="A4434" s="41"/>
      <c r="G4434" s="38" t="n">
        <f aca="false">MONTH(A4434)</f>
        <v>12</v>
      </c>
      <c r="H4434" s="38" t="n">
        <f aca="false">YEAR(Tabela1[[#This Row],[FECHA]])</f>
        <v>1900</v>
      </c>
      <c r="I44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35" customFormat="false" ht="15" hidden="false" customHeight="false" outlineLevel="0" collapsed="false">
      <c r="A4435" s="41"/>
      <c r="G4435" s="38" t="n">
        <f aca="false">MONTH(A4435)</f>
        <v>12</v>
      </c>
      <c r="H4435" s="38" t="n">
        <f aca="false">YEAR(Tabela1[[#This Row],[FECHA]])</f>
        <v>1900</v>
      </c>
      <c r="I44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36" customFormat="false" ht="15" hidden="false" customHeight="false" outlineLevel="0" collapsed="false">
      <c r="A4436" s="41"/>
      <c r="G4436" s="38" t="n">
        <f aca="false">MONTH(A4436)</f>
        <v>12</v>
      </c>
      <c r="H4436" s="38" t="n">
        <f aca="false">YEAR(Tabela1[[#This Row],[FECHA]])</f>
        <v>1900</v>
      </c>
      <c r="I44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37" customFormat="false" ht="15" hidden="false" customHeight="false" outlineLevel="0" collapsed="false">
      <c r="A4437" s="41"/>
      <c r="G4437" s="38" t="n">
        <f aca="false">MONTH(A4437)</f>
        <v>12</v>
      </c>
      <c r="H4437" s="38" t="n">
        <f aca="false">YEAR(Tabela1[[#This Row],[FECHA]])</f>
        <v>1900</v>
      </c>
      <c r="I44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38" customFormat="false" ht="15" hidden="false" customHeight="false" outlineLevel="0" collapsed="false">
      <c r="A4438" s="41"/>
      <c r="G4438" s="38" t="n">
        <f aca="false">MONTH(A4438)</f>
        <v>12</v>
      </c>
      <c r="H4438" s="38" t="n">
        <f aca="false">YEAR(Tabela1[[#This Row],[FECHA]])</f>
        <v>1900</v>
      </c>
      <c r="I44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39" customFormat="false" ht="15" hidden="false" customHeight="false" outlineLevel="0" collapsed="false">
      <c r="A4439" s="41"/>
      <c r="G4439" s="38" t="n">
        <f aca="false">MONTH(A4439)</f>
        <v>12</v>
      </c>
      <c r="H4439" s="38" t="n">
        <f aca="false">YEAR(Tabela1[[#This Row],[FECHA]])</f>
        <v>1900</v>
      </c>
      <c r="I44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40" customFormat="false" ht="15" hidden="false" customHeight="false" outlineLevel="0" collapsed="false">
      <c r="A4440" s="41"/>
      <c r="G4440" s="38" t="n">
        <f aca="false">MONTH(A4440)</f>
        <v>12</v>
      </c>
      <c r="H4440" s="38" t="n">
        <f aca="false">YEAR(Tabela1[[#This Row],[FECHA]])</f>
        <v>1900</v>
      </c>
      <c r="I44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41" customFormat="false" ht="15" hidden="false" customHeight="false" outlineLevel="0" collapsed="false">
      <c r="A4441" s="41"/>
      <c r="G4441" s="38" t="n">
        <f aca="false">MONTH(A4441)</f>
        <v>12</v>
      </c>
      <c r="H4441" s="38" t="n">
        <f aca="false">YEAR(Tabela1[[#This Row],[FECHA]])</f>
        <v>1900</v>
      </c>
      <c r="I44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42" customFormat="false" ht="15" hidden="false" customHeight="false" outlineLevel="0" collapsed="false">
      <c r="A4442" s="41"/>
      <c r="G4442" s="38" t="n">
        <f aca="false">MONTH(A4442)</f>
        <v>12</v>
      </c>
      <c r="H4442" s="38" t="n">
        <f aca="false">YEAR(Tabela1[[#This Row],[FECHA]])</f>
        <v>1900</v>
      </c>
      <c r="I44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43" customFormat="false" ht="15" hidden="false" customHeight="false" outlineLevel="0" collapsed="false">
      <c r="A4443" s="41"/>
      <c r="G4443" s="38" t="n">
        <f aca="false">MONTH(A4443)</f>
        <v>12</v>
      </c>
      <c r="H4443" s="38" t="n">
        <f aca="false">YEAR(Tabela1[[#This Row],[FECHA]])</f>
        <v>1900</v>
      </c>
      <c r="I44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44" customFormat="false" ht="15" hidden="false" customHeight="false" outlineLevel="0" collapsed="false">
      <c r="A4444" s="41"/>
      <c r="G4444" s="38" t="n">
        <f aca="false">MONTH(A4444)</f>
        <v>12</v>
      </c>
      <c r="H4444" s="38" t="n">
        <f aca="false">YEAR(Tabela1[[#This Row],[FECHA]])</f>
        <v>1900</v>
      </c>
      <c r="I44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45" customFormat="false" ht="15" hidden="false" customHeight="false" outlineLevel="0" collapsed="false">
      <c r="A4445" s="41"/>
      <c r="G4445" s="38" t="n">
        <f aca="false">MONTH(A4445)</f>
        <v>12</v>
      </c>
      <c r="H4445" s="38" t="n">
        <f aca="false">YEAR(Tabela1[[#This Row],[FECHA]])</f>
        <v>1900</v>
      </c>
      <c r="I44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46" customFormat="false" ht="15" hidden="false" customHeight="false" outlineLevel="0" collapsed="false">
      <c r="A4446" s="41"/>
      <c r="G4446" s="38" t="n">
        <f aca="false">MONTH(A4446)</f>
        <v>12</v>
      </c>
      <c r="H4446" s="38" t="n">
        <f aca="false">YEAR(Tabela1[[#This Row],[FECHA]])</f>
        <v>1900</v>
      </c>
      <c r="I44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47" customFormat="false" ht="15" hidden="false" customHeight="false" outlineLevel="0" collapsed="false">
      <c r="A4447" s="41"/>
      <c r="G4447" s="38" t="n">
        <f aca="false">MONTH(A4447)</f>
        <v>12</v>
      </c>
      <c r="H4447" s="38" t="n">
        <f aca="false">YEAR(Tabela1[[#This Row],[FECHA]])</f>
        <v>1900</v>
      </c>
      <c r="I44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48" customFormat="false" ht="15" hidden="false" customHeight="false" outlineLevel="0" collapsed="false">
      <c r="A4448" s="41"/>
      <c r="G4448" s="38" t="n">
        <f aca="false">MONTH(A4448)</f>
        <v>12</v>
      </c>
      <c r="H4448" s="38" t="n">
        <f aca="false">YEAR(Tabela1[[#This Row],[FECHA]])</f>
        <v>1900</v>
      </c>
      <c r="I44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49" customFormat="false" ht="15" hidden="false" customHeight="false" outlineLevel="0" collapsed="false">
      <c r="A4449" s="41"/>
      <c r="G4449" s="38" t="n">
        <f aca="false">MONTH(A4449)</f>
        <v>12</v>
      </c>
      <c r="H4449" s="38" t="n">
        <f aca="false">YEAR(Tabela1[[#This Row],[FECHA]])</f>
        <v>1900</v>
      </c>
      <c r="I44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50" customFormat="false" ht="15" hidden="false" customHeight="false" outlineLevel="0" collapsed="false">
      <c r="A4450" s="41"/>
      <c r="G4450" s="38" t="n">
        <f aca="false">MONTH(A4450)</f>
        <v>12</v>
      </c>
      <c r="H4450" s="38" t="n">
        <f aca="false">YEAR(Tabela1[[#This Row],[FECHA]])</f>
        <v>1900</v>
      </c>
      <c r="I44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51" customFormat="false" ht="15" hidden="false" customHeight="false" outlineLevel="0" collapsed="false">
      <c r="A4451" s="41"/>
      <c r="G4451" s="38" t="n">
        <f aca="false">MONTH(A4451)</f>
        <v>12</v>
      </c>
      <c r="H4451" s="38" t="n">
        <f aca="false">YEAR(Tabela1[[#This Row],[FECHA]])</f>
        <v>1900</v>
      </c>
      <c r="I44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52" customFormat="false" ht="15" hidden="false" customHeight="false" outlineLevel="0" collapsed="false">
      <c r="A4452" s="41"/>
      <c r="G4452" s="38" t="n">
        <f aca="false">MONTH(A4452)</f>
        <v>12</v>
      </c>
      <c r="H4452" s="38" t="n">
        <f aca="false">YEAR(Tabela1[[#This Row],[FECHA]])</f>
        <v>1900</v>
      </c>
      <c r="I44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53" customFormat="false" ht="15" hidden="false" customHeight="false" outlineLevel="0" collapsed="false">
      <c r="A4453" s="41"/>
      <c r="G4453" s="38" t="n">
        <f aca="false">MONTH(A4453)</f>
        <v>12</v>
      </c>
      <c r="H4453" s="38" t="n">
        <f aca="false">YEAR(Tabela1[[#This Row],[FECHA]])</f>
        <v>1900</v>
      </c>
      <c r="I44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54" customFormat="false" ht="15" hidden="false" customHeight="false" outlineLevel="0" collapsed="false">
      <c r="A4454" s="41"/>
      <c r="G4454" s="38" t="n">
        <f aca="false">MONTH(A4454)</f>
        <v>12</v>
      </c>
      <c r="H4454" s="38" t="n">
        <f aca="false">YEAR(Tabela1[[#This Row],[FECHA]])</f>
        <v>1900</v>
      </c>
      <c r="I44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55" customFormat="false" ht="15" hidden="false" customHeight="false" outlineLevel="0" collapsed="false">
      <c r="A4455" s="41"/>
      <c r="G4455" s="38" t="n">
        <f aca="false">MONTH(A4455)</f>
        <v>12</v>
      </c>
      <c r="H4455" s="38" t="n">
        <f aca="false">YEAR(Tabela1[[#This Row],[FECHA]])</f>
        <v>1900</v>
      </c>
      <c r="I44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56" customFormat="false" ht="15" hidden="false" customHeight="false" outlineLevel="0" collapsed="false">
      <c r="A4456" s="41"/>
      <c r="G4456" s="38" t="n">
        <f aca="false">MONTH(A4456)</f>
        <v>12</v>
      </c>
      <c r="H4456" s="38" t="n">
        <f aca="false">YEAR(Tabela1[[#This Row],[FECHA]])</f>
        <v>1900</v>
      </c>
      <c r="I44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57" customFormat="false" ht="15" hidden="false" customHeight="false" outlineLevel="0" collapsed="false">
      <c r="A4457" s="41"/>
      <c r="G4457" s="38" t="n">
        <f aca="false">MONTH(A4457)</f>
        <v>12</v>
      </c>
      <c r="H4457" s="38" t="n">
        <f aca="false">YEAR(Tabela1[[#This Row],[FECHA]])</f>
        <v>1900</v>
      </c>
      <c r="I44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58" customFormat="false" ht="15" hidden="false" customHeight="false" outlineLevel="0" collapsed="false">
      <c r="A4458" s="41"/>
      <c r="G4458" s="38" t="n">
        <f aca="false">MONTH(A4458)</f>
        <v>12</v>
      </c>
      <c r="H4458" s="38" t="n">
        <f aca="false">YEAR(Tabela1[[#This Row],[FECHA]])</f>
        <v>1900</v>
      </c>
      <c r="I44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59" customFormat="false" ht="15" hidden="false" customHeight="false" outlineLevel="0" collapsed="false">
      <c r="A4459" s="41"/>
      <c r="G4459" s="38" t="n">
        <f aca="false">MONTH(A4459)</f>
        <v>12</v>
      </c>
      <c r="H4459" s="38" t="n">
        <f aca="false">YEAR(Tabela1[[#This Row],[FECHA]])</f>
        <v>1900</v>
      </c>
      <c r="I44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60" customFormat="false" ht="15" hidden="false" customHeight="false" outlineLevel="0" collapsed="false">
      <c r="A4460" s="41"/>
      <c r="G4460" s="38" t="n">
        <f aca="false">MONTH(A4460)</f>
        <v>12</v>
      </c>
      <c r="H4460" s="38" t="n">
        <f aca="false">YEAR(Tabela1[[#This Row],[FECHA]])</f>
        <v>1900</v>
      </c>
      <c r="I44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61" customFormat="false" ht="15" hidden="false" customHeight="false" outlineLevel="0" collapsed="false">
      <c r="A4461" s="41"/>
      <c r="G4461" s="38" t="n">
        <f aca="false">MONTH(A4461)</f>
        <v>12</v>
      </c>
      <c r="H4461" s="38" t="n">
        <f aca="false">YEAR(Tabela1[[#This Row],[FECHA]])</f>
        <v>1900</v>
      </c>
      <c r="I44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62" customFormat="false" ht="15" hidden="false" customHeight="false" outlineLevel="0" collapsed="false">
      <c r="A4462" s="41"/>
      <c r="G4462" s="38" t="n">
        <f aca="false">MONTH(A4462)</f>
        <v>12</v>
      </c>
      <c r="H4462" s="38" t="n">
        <f aca="false">YEAR(Tabela1[[#This Row],[FECHA]])</f>
        <v>1900</v>
      </c>
      <c r="I44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63" customFormat="false" ht="15" hidden="false" customHeight="false" outlineLevel="0" collapsed="false">
      <c r="A4463" s="41"/>
      <c r="G4463" s="38" t="n">
        <f aca="false">MONTH(A4463)</f>
        <v>12</v>
      </c>
      <c r="H4463" s="38" t="n">
        <f aca="false">YEAR(Tabela1[[#This Row],[FECHA]])</f>
        <v>1900</v>
      </c>
      <c r="I44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64" customFormat="false" ht="15" hidden="false" customHeight="false" outlineLevel="0" collapsed="false">
      <c r="A4464" s="41"/>
      <c r="G4464" s="38" t="n">
        <f aca="false">MONTH(A4464)</f>
        <v>12</v>
      </c>
      <c r="H4464" s="38" t="n">
        <f aca="false">YEAR(Tabela1[[#This Row],[FECHA]])</f>
        <v>1900</v>
      </c>
      <c r="I44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65" customFormat="false" ht="15" hidden="false" customHeight="false" outlineLevel="0" collapsed="false">
      <c r="A4465" s="41"/>
      <c r="G4465" s="38" t="n">
        <f aca="false">MONTH(A4465)</f>
        <v>12</v>
      </c>
      <c r="H4465" s="38" t="n">
        <f aca="false">YEAR(Tabela1[[#This Row],[FECHA]])</f>
        <v>1900</v>
      </c>
      <c r="I44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66" customFormat="false" ht="15" hidden="false" customHeight="false" outlineLevel="0" collapsed="false">
      <c r="A4466" s="41"/>
      <c r="G4466" s="38" t="n">
        <f aca="false">MONTH(A4466)</f>
        <v>12</v>
      </c>
      <c r="H4466" s="38" t="n">
        <f aca="false">YEAR(Tabela1[[#This Row],[FECHA]])</f>
        <v>1900</v>
      </c>
      <c r="I44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67" customFormat="false" ht="15" hidden="false" customHeight="false" outlineLevel="0" collapsed="false">
      <c r="A4467" s="41"/>
      <c r="G4467" s="38" t="n">
        <f aca="false">MONTH(A4467)</f>
        <v>12</v>
      </c>
      <c r="H4467" s="38" t="n">
        <f aca="false">YEAR(Tabela1[[#This Row],[FECHA]])</f>
        <v>1900</v>
      </c>
      <c r="I44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68" customFormat="false" ht="15" hidden="false" customHeight="false" outlineLevel="0" collapsed="false">
      <c r="A4468" s="41"/>
      <c r="G4468" s="38" t="n">
        <f aca="false">MONTH(A4468)</f>
        <v>12</v>
      </c>
      <c r="H4468" s="38" t="n">
        <f aca="false">YEAR(Tabela1[[#This Row],[FECHA]])</f>
        <v>1900</v>
      </c>
      <c r="I44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69" customFormat="false" ht="15" hidden="false" customHeight="false" outlineLevel="0" collapsed="false">
      <c r="A4469" s="41"/>
      <c r="G4469" s="38" t="n">
        <f aca="false">MONTH(A4469)</f>
        <v>12</v>
      </c>
      <c r="H4469" s="38" t="n">
        <f aca="false">YEAR(Tabela1[[#This Row],[FECHA]])</f>
        <v>1900</v>
      </c>
      <c r="I44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70" customFormat="false" ht="15" hidden="false" customHeight="false" outlineLevel="0" collapsed="false">
      <c r="A4470" s="41"/>
      <c r="G4470" s="38" t="n">
        <f aca="false">MONTH(A4470)</f>
        <v>12</v>
      </c>
      <c r="H4470" s="38" t="n">
        <f aca="false">YEAR(Tabela1[[#This Row],[FECHA]])</f>
        <v>1900</v>
      </c>
      <c r="I44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71" customFormat="false" ht="15" hidden="false" customHeight="false" outlineLevel="0" collapsed="false">
      <c r="A4471" s="41"/>
      <c r="G4471" s="38" t="n">
        <f aca="false">MONTH(A4471)</f>
        <v>12</v>
      </c>
      <c r="H4471" s="38" t="n">
        <f aca="false">YEAR(Tabela1[[#This Row],[FECHA]])</f>
        <v>1900</v>
      </c>
      <c r="I44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72" customFormat="false" ht="15" hidden="false" customHeight="false" outlineLevel="0" collapsed="false">
      <c r="A4472" s="41"/>
      <c r="G4472" s="38" t="n">
        <f aca="false">MONTH(A4472)</f>
        <v>12</v>
      </c>
      <c r="H4472" s="38" t="n">
        <f aca="false">YEAR(Tabela1[[#This Row],[FECHA]])</f>
        <v>1900</v>
      </c>
      <c r="I44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73" customFormat="false" ht="15" hidden="false" customHeight="false" outlineLevel="0" collapsed="false">
      <c r="A4473" s="41"/>
      <c r="G4473" s="38" t="n">
        <f aca="false">MONTH(A4473)</f>
        <v>12</v>
      </c>
      <c r="H4473" s="38" t="n">
        <f aca="false">YEAR(Tabela1[[#This Row],[FECHA]])</f>
        <v>1900</v>
      </c>
      <c r="I44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74" customFormat="false" ht="15" hidden="false" customHeight="false" outlineLevel="0" collapsed="false">
      <c r="A4474" s="41"/>
      <c r="G4474" s="38" t="n">
        <f aca="false">MONTH(A4474)</f>
        <v>12</v>
      </c>
      <c r="H4474" s="38" t="n">
        <f aca="false">YEAR(Tabela1[[#This Row],[FECHA]])</f>
        <v>1900</v>
      </c>
      <c r="I44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75" customFormat="false" ht="15" hidden="false" customHeight="false" outlineLevel="0" collapsed="false">
      <c r="A4475" s="41"/>
      <c r="G4475" s="38" t="n">
        <f aca="false">MONTH(A4475)</f>
        <v>12</v>
      </c>
      <c r="H4475" s="38" t="n">
        <f aca="false">YEAR(Tabela1[[#This Row],[FECHA]])</f>
        <v>1900</v>
      </c>
      <c r="I44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76" customFormat="false" ht="15" hidden="false" customHeight="false" outlineLevel="0" collapsed="false">
      <c r="A4476" s="41"/>
      <c r="G4476" s="38" t="n">
        <f aca="false">MONTH(A4476)</f>
        <v>12</v>
      </c>
      <c r="H4476" s="38" t="n">
        <f aca="false">YEAR(Tabela1[[#This Row],[FECHA]])</f>
        <v>1900</v>
      </c>
      <c r="I44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77" customFormat="false" ht="15" hidden="false" customHeight="false" outlineLevel="0" collapsed="false">
      <c r="A4477" s="41"/>
      <c r="G4477" s="38" t="n">
        <f aca="false">MONTH(A4477)</f>
        <v>12</v>
      </c>
      <c r="H4477" s="38" t="n">
        <f aca="false">YEAR(Tabela1[[#This Row],[FECHA]])</f>
        <v>1900</v>
      </c>
      <c r="I44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78" customFormat="false" ht="15" hidden="false" customHeight="false" outlineLevel="0" collapsed="false">
      <c r="A4478" s="41"/>
      <c r="G4478" s="38" t="n">
        <f aca="false">MONTH(A4478)</f>
        <v>12</v>
      </c>
      <c r="H4478" s="38" t="n">
        <f aca="false">YEAR(Tabela1[[#This Row],[FECHA]])</f>
        <v>1900</v>
      </c>
      <c r="I44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79" customFormat="false" ht="15" hidden="false" customHeight="false" outlineLevel="0" collapsed="false">
      <c r="A4479" s="41"/>
      <c r="G4479" s="38" t="n">
        <f aca="false">MONTH(A4479)</f>
        <v>12</v>
      </c>
      <c r="H4479" s="38" t="n">
        <f aca="false">YEAR(Tabela1[[#This Row],[FECHA]])</f>
        <v>1900</v>
      </c>
      <c r="I44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80" customFormat="false" ht="15" hidden="false" customHeight="false" outlineLevel="0" collapsed="false">
      <c r="A4480" s="41"/>
      <c r="G4480" s="38" t="n">
        <f aca="false">MONTH(A4480)</f>
        <v>12</v>
      </c>
      <c r="H4480" s="38" t="n">
        <f aca="false">YEAR(Tabela1[[#This Row],[FECHA]])</f>
        <v>1900</v>
      </c>
      <c r="I44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81" customFormat="false" ht="15" hidden="false" customHeight="false" outlineLevel="0" collapsed="false">
      <c r="A4481" s="41"/>
      <c r="G4481" s="38" t="n">
        <f aca="false">MONTH(A4481)</f>
        <v>12</v>
      </c>
      <c r="H4481" s="38" t="n">
        <f aca="false">YEAR(Tabela1[[#This Row],[FECHA]])</f>
        <v>1900</v>
      </c>
      <c r="I44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82" customFormat="false" ht="15" hidden="false" customHeight="false" outlineLevel="0" collapsed="false">
      <c r="A4482" s="41"/>
      <c r="G4482" s="38" t="n">
        <f aca="false">MONTH(A4482)</f>
        <v>12</v>
      </c>
      <c r="H4482" s="38" t="n">
        <f aca="false">YEAR(Tabela1[[#This Row],[FECHA]])</f>
        <v>1900</v>
      </c>
      <c r="I44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83" customFormat="false" ht="15" hidden="false" customHeight="false" outlineLevel="0" collapsed="false">
      <c r="A4483" s="41"/>
      <c r="G4483" s="38" t="n">
        <f aca="false">MONTH(A4483)</f>
        <v>12</v>
      </c>
      <c r="H4483" s="38" t="n">
        <f aca="false">YEAR(Tabela1[[#This Row],[FECHA]])</f>
        <v>1900</v>
      </c>
      <c r="I44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84" customFormat="false" ht="15" hidden="false" customHeight="false" outlineLevel="0" collapsed="false">
      <c r="A4484" s="41"/>
      <c r="G4484" s="38" t="n">
        <f aca="false">MONTH(A4484)</f>
        <v>12</v>
      </c>
      <c r="H4484" s="38" t="n">
        <f aca="false">YEAR(Tabela1[[#This Row],[FECHA]])</f>
        <v>1900</v>
      </c>
      <c r="I44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85" customFormat="false" ht="15" hidden="false" customHeight="false" outlineLevel="0" collapsed="false">
      <c r="A4485" s="41"/>
      <c r="G4485" s="38" t="n">
        <f aca="false">MONTH(A4485)</f>
        <v>12</v>
      </c>
      <c r="H4485" s="38" t="n">
        <f aca="false">YEAR(Tabela1[[#This Row],[FECHA]])</f>
        <v>1900</v>
      </c>
      <c r="I44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86" customFormat="false" ht="15" hidden="false" customHeight="false" outlineLevel="0" collapsed="false">
      <c r="A4486" s="41"/>
      <c r="G4486" s="38" t="n">
        <f aca="false">MONTH(A4486)</f>
        <v>12</v>
      </c>
      <c r="H4486" s="38" t="n">
        <f aca="false">YEAR(Tabela1[[#This Row],[FECHA]])</f>
        <v>1900</v>
      </c>
      <c r="I44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87" customFormat="false" ht="15" hidden="false" customHeight="false" outlineLevel="0" collapsed="false">
      <c r="A4487" s="41"/>
      <c r="G4487" s="38" t="n">
        <f aca="false">MONTH(A4487)</f>
        <v>12</v>
      </c>
      <c r="H4487" s="38" t="n">
        <f aca="false">YEAR(Tabela1[[#This Row],[FECHA]])</f>
        <v>1900</v>
      </c>
      <c r="I44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88" customFormat="false" ht="15" hidden="false" customHeight="false" outlineLevel="0" collapsed="false">
      <c r="A4488" s="41"/>
      <c r="G4488" s="38" t="n">
        <f aca="false">MONTH(A4488)</f>
        <v>12</v>
      </c>
      <c r="H4488" s="38" t="n">
        <f aca="false">YEAR(Tabela1[[#This Row],[FECHA]])</f>
        <v>1900</v>
      </c>
      <c r="I44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89" customFormat="false" ht="15" hidden="false" customHeight="false" outlineLevel="0" collapsed="false">
      <c r="A4489" s="41"/>
      <c r="G4489" s="38" t="n">
        <f aca="false">MONTH(A4489)</f>
        <v>12</v>
      </c>
      <c r="H4489" s="38" t="n">
        <f aca="false">YEAR(Tabela1[[#This Row],[FECHA]])</f>
        <v>1900</v>
      </c>
      <c r="I44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90" customFormat="false" ht="15" hidden="false" customHeight="false" outlineLevel="0" collapsed="false">
      <c r="A4490" s="41"/>
      <c r="G4490" s="38" t="n">
        <f aca="false">MONTH(A4490)</f>
        <v>12</v>
      </c>
      <c r="H4490" s="38" t="n">
        <f aca="false">YEAR(Tabela1[[#This Row],[FECHA]])</f>
        <v>1900</v>
      </c>
      <c r="I44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91" customFormat="false" ht="15" hidden="false" customHeight="false" outlineLevel="0" collapsed="false">
      <c r="A4491" s="41"/>
      <c r="G4491" s="38" t="n">
        <f aca="false">MONTH(A4491)</f>
        <v>12</v>
      </c>
      <c r="H4491" s="38" t="n">
        <f aca="false">YEAR(Tabela1[[#This Row],[FECHA]])</f>
        <v>1900</v>
      </c>
      <c r="I44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92" customFormat="false" ht="15" hidden="false" customHeight="false" outlineLevel="0" collapsed="false">
      <c r="A4492" s="41"/>
      <c r="G4492" s="38" t="n">
        <f aca="false">MONTH(A4492)</f>
        <v>12</v>
      </c>
      <c r="H4492" s="38" t="n">
        <f aca="false">YEAR(Tabela1[[#This Row],[FECHA]])</f>
        <v>1900</v>
      </c>
      <c r="I44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93" customFormat="false" ht="15" hidden="false" customHeight="false" outlineLevel="0" collapsed="false">
      <c r="A4493" s="41"/>
      <c r="G4493" s="38" t="n">
        <f aca="false">MONTH(A4493)</f>
        <v>12</v>
      </c>
      <c r="H4493" s="38" t="n">
        <f aca="false">YEAR(Tabela1[[#This Row],[FECHA]])</f>
        <v>1900</v>
      </c>
      <c r="I44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94" customFormat="false" ht="15" hidden="false" customHeight="false" outlineLevel="0" collapsed="false">
      <c r="A4494" s="41"/>
      <c r="G4494" s="38" t="n">
        <f aca="false">MONTH(A4494)</f>
        <v>12</v>
      </c>
      <c r="H4494" s="38" t="n">
        <f aca="false">YEAR(Tabela1[[#This Row],[FECHA]])</f>
        <v>1900</v>
      </c>
      <c r="I44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95" customFormat="false" ht="15" hidden="false" customHeight="false" outlineLevel="0" collapsed="false">
      <c r="A4495" s="41"/>
      <c r="G4495" s="38" t="n">
        <f aca="false">MONTH(A4495)</f>
        <v>12</v>
      </c>
      <c r="H4495" s="38" t="n">
        <f aca="false">YEAR(Tabela1[[#This Row],[FECHA]])</f>
        <v>1900</v>
      </c>
      <c r="I44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96" customFormat="false" ht="15" hidden="false" customHeight="false" outlineLevel="0" collapsed="false">
      <c r="A4496" s="41"/>
      <c r="G4496" s="38" t="n">
        <f aca="false">MONTH(A4496)</f>
        <v>12</v>
      </c>
      <c r="H4496" s="38" t="n">
        <f aca="false">YEAR(Tabela1[[#This Row],[FECHA]])</f>
        <v>1900</v>
      </c>
      <c r="I44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97" customFormat="false" ht="15" hidden="false" customHeight="false" outlineLevel="0" collapsed="false">
      <c r="A4497" s="41"/>
      <c r="G4497" s="38" t="n">
        <f aca="false">MONTH(A4497)</f>
        <v>12</v>
      </c>
      <c r="H4497" s="38" t="n">
        <f aca="false">YEAR(Tabela1[[#This Row],[FECHA]])</f>
        <v>1900</v>
      </c>
      <c r="I44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98" customFormat="false" ht="15" hidden="false" customHeight="false" outlineLevel="0" collapsed="false">
      <c r="A4498" s="41"/>
      <c r="G4498" s="38" t="n">
        <f aca="false">MONTH(A4498)</f>
        <v>12</v>
      </c>
      <c r="H4498" s="38" t="n">
        <f aca="false">YEAR(Tabela1[[#This Row],[FECHA]])</f>
        <v>1900</v>
      </c>
      <c r="I44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499" customFormat="false" ht="15" hidden="false" customHeight="false" outlineLevel="0" collapsed="false">
      <c r="A4499" s="41"/>
      <c r="G4499" s="38" t="n">
        <f aca="false">MONTH(A4499)</f>
        <v>12</v>
      </c>
      <c r="H4499" s="38" t="n">
        <f aca="false">YEAR(Tabela1[[#This Row],[FECHA]])</f>
        <v>1900</v>
      </c>
      <c r="I44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00" customFormat="false" ht="15" hidden="false" customHeight="false" outlineLevel="0" collapsed="false">
      <c r="A4500" s="41"/>
      <c r="G4500" s="38" t="n">
        <f aca="false">MONTH(A4500)</f>
        <v>12</v>
      </c>
      <c r="H4500" s="38" t="n">
        <f aca="false">YEAR(Tabela1[[#This Row],[FECHA]])</f>
        <v>1900</v>
      </c>
      <c r="I45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01" customFormat="false" ht="15" hidden="false" customHeight="false" outlineLevel="0" collapsed="false">
      <c r="A4501" s="41"/>
      <c r="G4501" s="38" t="n">
        <f aca="false">MONTH(A4501)</f>
        <v>12</v>
      </c>
      <c r="H4501" s="38" t="n">
        <f aca="false">YEAR(Tabela1[[#This Row],[FECHA]])</f>
        <v>1900</v>
      </c>
      <c r="I45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02" customFormat="false" ht="15" hidden="false" customHeight="false" outlineLevel="0" collapsed="false">
      <c r="A4502" s="41"/>
      <c r="G4502" s="38" t="n">
        <f aca="false">MONTH(A4502)</f>
        <v>12</v>
      </c>
      <c r="H4502" s="38" t="n">
        <f aca="false">YEAR(Tabela1[[#This Row],[FECHA]])</f>
        <v>1900</v>
      </c>
      <c r="I45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03" customFormat="false" ht="15" hidden="false" customHeight="false" outlineLevel="0" collapsed="false">
      <c r="A4503" s="41"/>
      <c r="G4503" s="38" t="n">
        <f aca="false">MONTH(A4503)</f>
        <v>12</v>
      </c>
      <c r="H4503" s="38" t="n">
        <f aca="false">YEAR(Tabela1[[#This Row],[FECHA]])</f>
        <v>1900</v>
      </c>
      <c r="I45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04" customFormat="false" ht="15" hidden="false" customHeight="false" outlineLevel="0" collapsed="false">
      <c r="A4504" s="41"/>
      <c r="G4504" s="38" t="n">
        <f aca="false">MONTH(A4504)</f>
        <v>12</v>
      </c>
      <c r="H4504" s="38" t="n">
        <f aca="false">YEAR(Tabela1[[#This Row],[FECHA]])</f>
        <v>1900</v>
      </c>
      <c r="I45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05" customFormat="false" ht="15" hidden="false" customHeight="false" outlineLevel="0" collapsed="false">
      <c r="A4505" s="41"/>
      <c r="G4505" s="38" t="n">
        <f aca="false">MONTH(A4505)</f>
        <v>12</v>
      </c>
      <c r="H4505" s="38" t="n">
        <f aca="false">YEAR(Tabela1[[#This Row],[FECHA]])</f>
        <v>1900</v>
      </c>
      <c r="I45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06" customFormat="false" ht="15" hidden="false" customHeight="false" outlineLevel="0" collapsed="false">
      <c r="A4506" s="41"/>
      <c r="G4506" s="38" t="n">
        <f aca="false">MONTH(A4506)</f>
        <v>12</v>
      </c>
      <c r="H4506" s="38" t="n">
        <f aca="false">YEAR(Tabela1[[#This Row],[FECHA]])</f>
        <v>1900</v>
      </c>
      <c r="I45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07" customFormat="false" ht="15" hidden="false" customHeight="false" outlineLevel="0" collapsed="false">
      <c r="A4507" s="41"/>
      <c r="G4507" s="38" t="n">
        <f aca="false">MONTH(A4507)</f>
        <v>12</v>
      </c>
      <c r="H4507" s="38" t="n">
        <f aca="false">YEAR(Tabela1[[#This Row],[FECHA]])</f>
        <v>1900</v>
      </c>
      <c r="I45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08" customFormat="false" ht="15" hidden="false" customHeight="false" outlineLevel="0" collapsed="false">
      <c r="A4508" s="41"/>
      <c r="G4508" s="38" t="n">
        <f aca="false">MONTH(A4508)</f>
        <v>12</v>
      </c>
      <c r="H4508" s="38" t="n">
        <f aca="false">YEAR(Tabela1[[#This Row],[FECHA]])</f>
        <v>1900</v>
      </c>
      <c r="I45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09" customFormat="false" ht="15" hidden="false" customHeight="false" outlineLevel="0" collapsed="false">
      <c r="A4509" s="41"/>
      <c r="G4509" s="38" t="n">
        <f aca="false">MONTH(A4509)</f>
        <v>12</v>
      </c>
      <c r="H4509" s="38" t="n">
        <f aca="false">YEAR(Tabela1[[#This Row],[FECHA]])</f>
        <v>1900</v>
      </c>
      <c r="I45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10" customFormat="false" ht="15" hidden="false" customHeight="false" outlineLevel="0" collapsed="false">
      <c r="A4510" s="41"/>
      <c r="G4510" s="38" t="n">
        <f aca="false">MONTH(A4510)</f>
        <v>12</v>
      </c>
      <c r="H4510" s="38" t="n">
        <f aca="false">YEAR(Tabela1[[#This Row],[FECHA]])</f>
        <v>1900</v>
      </c>
      <c r="I45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11" customFormat="false" ht="15" hidden="false" customHeight="false" outlineLevel="0" collapsed="false">
      <c r="A4511" s="41"/>
      <c r="G4511" s="38" t="n">
        <f aca="false">MONTH(A4511)</f>
        <v>12</v>
      </c>
      <c r="H4511" s="38" t="n">
        <f aca="false">YEAR(Tabela1[[#This Row],[FECHA]])</f>
        <v>1900</v>
      </c>
      <c r="I45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12" customFormat="false" ht="15" hidden="false" customHeight="false" outlineLevel="0" collapsed="false">
      <c r="A4512" s="41"/>
      <c r="G4512" s="38" t="n">
        <f aca="false">MONTH(A4512)</f>
        <v>12</v>
      </c>
      <c r="H4512" s="38" t="n">
        <f aca="false">YEAR(Tabela1[[#This Row],[FECHA]])</f>
        <v>1900</v>
      </c>
      <c r="I45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13" customFormat="false" ht="15" hidden="false" customHeight="false" outlineLevel="0" collapsed="false">
      <c r="A4513" s="41"/>
      <c r="G4513" s="38" t="n">
        <f aca="false">MONTH(A4513)</f>
        <v>12</v>
      </c>
      <c r="H4513" s="38" t="n">
        <f aca="false">YEAR(Tabela1[[#This Row],[FECHA]])</f>
        <v>1900</v>
      </c>
      <c r="I45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14" customFormat="false" ht="15" hidden="false" customHeight="false" outlineLevel="0" collapsed="false">
      <c r="A4514" s="41"/>
      <c r="G4514" s="38" t="n">
        <f aca="false">MONTH(A4514)</f>
        <v>12</v>
      </c>
      <c r="H4514" s="38" t="n">
        <f aca="false">YEAR(Tabela1[[#This Row],[FECHA]])</f>
        <v>1900</v>
      </c>
      <c r="I45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15" customFormat="false" ht="15" hidden="false" customHeight="false" outlineLevel="0" collapsed="false">
      <c r="A4515" s="41"/>
      <c r="G4515" s="38" t="n">
        <f aca="false">MONTH(A4515)</f>
        <v>12</v>
      </c>
      <c r="H4515" s="38" t="n">
        <f aca="false">YEAR(Tabela1[[#This Row],[FECHA]])</f>
        <v>1900</v>
      </c>
      <c r="I45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16" customFormat="false" ht="15" hidden="false" customHeight="false" outlineLevel="0" collapsed="false">
      <c r="A4516" s="41"/>
      <c r="G4516" s="38" t="n">
        <f aca="false">MONTH(A4516)</f>
        <v>12</v>
      </c>
      <c r="H4516" s="38" t="n">
        <f aca="false">YEAR(Tabela1[[#This Row],[FECHA]])</f>
        <v>1900</v>
      </c>
      <c r="I45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17" customFormat="false" ht="15" hidden="false" customHeight="false" outlineLevel="0" collapsed="false">
      <c r="A4517" s="41"/>
      <c r="G4517" s="38" t="n">
        <f aca="false">MONTH(A4517)</f>
        <v>12</v>
      </c>
      <c r="H4517" s="38" t="n">
        <f aca="false">YEAR(Tabela1[[#This Row],[FECHA]])</f>
        <v>1900</v>
      </c>
      <c r="I45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18" customFormat="false" ht="15" hidden="false" customHeight="false" outlineLevel="0" collapsed="false">
      <c r="A4518" s="41"/>
      <c r="G4518" s="38" t="n">
        <f aca="false">MONTH(A4518)</f>
        <v>12</v>
      </c>
      <c r="H4518" s="38" t="n">
        <f aca="false">YEAR(Tabela1[[#This Row],[FECHA]])</f>
        <v>1900</v>
      </c>
      <c r="I45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19" customFormat="false" ht="15" hidden="false" customHeight="false" outlineLevel="0" collapsed="false">
      <c r="A4519" s="41"/>
      <c r="G4519" s="38" t="n">
        <f aca="false">MONTH(A4519)</f>
        <v>12</v>
      </c>
      <c r="H4519" s="38" t="n">
        <f aca="false">YEAR(Tabela1[[#This Row],[FECHA]])</f>
        <v>1900</v>
      </c>
      <c r="I45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20" customFormat="false" ht="15" hidden="false" customHeight="false" outlineLevel="0" collapsed="false">
      <c r="A4520" s="41"/>
      <c r="G4520" s="38" t="n">
        <f aca="false">MONTH(A4520)</f>
        <v>12</v>
      </c>
      <c r="H4520" s="38" t="n">
        <f aca="false">YEAR(Tabela1[[#This Row],[FECHA]])</f>
        <v>1900</v>
      </c>
      <c r="I45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21" customFormat="false" ht="15" hidden="false" customHeight="false" outlineLevel="0" collapsed="false">
      <c r="A4521" s="41"/>
      <c r="G4521" s="38" t="n">
        <f aca="false">MONTH(A4521)</f>
        <v>12</v>
      </c>
      <c r="H4521" s="38" t="n">
        <f aca="false">YEAR(Tabela1[[#This Row],[FECHA]])</f>
        <v>1900</v>
      </c>
      <c r="I45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22" customFormat="false" ht="15" hidden="false" customHeight="false" outlineLevel="0" collapsed="false">
      <c r="A4522" s="41"/>
      <c r="G4522" s="38" t="n">
        <f aca="false">MONTH(A4522)</f>
        <v>12</v>
      </c>
      <c r="H4522" s="38" t="n">
        <f aca="false">YEAR(Tabela1[[#This Row],[FECHA]])</f>
        <v>1900</v>
      </c>
      <c r="I45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23" customFormat="false" ht="15" hidden="false" customHeight="false" outlineLevel="0" collapsed="false">
      <c r="A4523" s="41"/>
      <c r="G4523" s="38" t="n">
        <f aca="false">MONTH(A4523)</f>
        <v>12</v>
      </c>
      <c r="H4523" s="38" t="n">
        <f aca="false">YEAR(Tabela1[[#This Row],[FECHA]])</f>
        <v>1900</v>
      </c>
      <c r="I45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24" customFormat="false" ht="15" hidden="false" customHeight="false" outlineLevel="0" collapsed="false">
      <c r="A4524" s="41"/>
      <c r="G4524" s="38" t="n">
        <f aca="false">MONTH(A4524)</f>
        <v>12</v>
      </c>
      <c r="H4524" s="38" t="n">
        <f aca="false">YEAR(Tabela1[[#This Row],[FECHA]])</f>
        <v>1900</v>
      </c>
      <c r="I45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25" customFormat="false" ht="15" hidden="false" customHeight="false" outlineLevel="0" collapsed="false">
      <c r="A4525" s="41"/>
      <c r="G4525" s="38" t="n">
        <f aca="false">MONTH(A4525)</f>
        <v>12</v>
      </c>
      <c r="H4525" s="38" t="n">
        <f aca="false">YEAR(Tabela1[[#This Row],[FECHA]])</f>
        <v>1900</v>
      </c>
      <c r="I45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26" customFormat="false" ht="15" hidden="false" customHeight="false" outlineLevel="0" collapsed="false">
      <c r="A4526" s="41"/>
      <c r="G4526" s="38" t="n">
        <f aca="false">MONTH(A4526)</f>
        <v>12</v>
      </c>
      <c r="H4526" s="38" t="n">
        <f aca="false">YEAR(Tabela1[[#This Row],[FECHA]])</f>
        <v>1900</v>
      </c>
      <c r="I45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27" customFormat="false" ht="15" hidden="false" customHeight="false" outlineLevel="0" collapsed="false">
      <c r="A4527" s="41"/>
      <c r="G4527" s="38" t="n">
        <f aca="false">MONTH(A4527)</f>
        <v>12</v>
      </c>
      <c r="H4527" s="38" t="n">
        <f aca="false">YEAR(Tabela1[[#This Row],[FECHA]])</f>
        <v>1900</v>
      </c>
      <c r="I45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28" customFormat="false" ht="15" hidden="false" customHeight="false" outlineLevel="0" collapsed="false">
      <c r="A4528" s="41"/>
      <c r="G4528" s="38" t="n">
        <f aca="false">MONTH(A4528)</f>
        <v>12</v>
      </c>
      <c r="H4528" s="38" t="n">
        <f aca="false">YEAR(Tabela1[[#This Row],[FECHA]])</f>
        <v>1900</v>
      </c>
      <c r="I45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29" customFormat="false" ht="15" hidden="false" customHeight="false" outlineLevel="0" collapsed="false">
      <c r="A4529" s="41"/>
      <c r="G4529" s="38" t="n">
        <f aca="false">MONTH(A4529)</f>
        <v>12</v>
      </c>
      <c r="H4529" s="38" t="n">
        <f aca="false">YEAR(Tabela1[[#This Row],[FECHA]])</f>
        <v>1900</v>
      </c>
      <c r="I45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30" customFormat="false" ht="15" hidden="false" customHeight="false" outlineLevel="0" collapsed="false">
      <c r="A4530" s="41"/>
      <c r="G4530" s="38" t="n">
        <f aca="false">MONTH(A4530)</f>
        <v>12</v>
      </c>
      <c r="H4530" s="38" t="n">
        <f aca="false">YEAR(Tabela1[[#This Row],[FECHA]])</f>
        <v>1900</v>
      </c>
      <c r="I45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31" customFormat="false" ht="15" hidden="false" customHeight="false" outlineLevel="0" collapsed="false">
      <c r="A4531" s="41"/>
      <c r="G4531" s="38" t="n">
        <f aca="false">MONTH(A4531)</f>
        <v>12</v>
      </c>
      <c r="H4531" s="38" t="n">
        <f aca="false">YEAR(Tabela1[[#This Row],[FECHA]])</f>
        <v>1900</v>
      </c>
      <c r="I45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32" customFormat="false" ht="15" hidden="false" customHeight="false" outlineLevel="0" collapsed="false">
      <c r="A4532" s="41"/>
      <c r="G4532" s="38" t="n">
        <f aca="false">MONTH(A4532)</f>
        <v>12</v>
      </c>
      <c r="H4532" s="38" t="n">
        <f aca="false">YEAR(Tabela1[[#This Row],[FECHA]])</f>
        <v>1900</v>
      </c>
      <c r="I45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33" customFormat="false" ht="15" hidden="false" customHeight="false" outlineLevel="0" collapsed="false">
      <c r="A4533" s="41"/>
      <c r="G4533" s="38" t="n">
        <f aca="false">MONTH(A4533)</f>
        <v>12</v>
      </c>
      <c r="H4533" s="38" t="n">
        <f aca="false">YEAR(Tabela1[[#This Row],[FECHA]])</f>
        <v>1900</v>
      </c>
      <c r="I45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34" customFormat="false" ht="15" hidden="false" customHeight="false" outlineLevel="0" collapsed="false">
      <c r="A4534" s="41"/>
      <c r="G4534" s="38" t="n">
        <f aca="false">MONTH(A4534)</f>
        <v>12</v>
      </c>
      <c r="H4534" s="38" t="n">
        <f aca="false">YEAR(Tabela1[[#This Row],[FECHA]])</f>
        <v>1900</v>
      </c>
      <c r="I45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35" customFormat="false" ht="15" hidden="false" customHeight="false" outlineLevel="0" collapsed="false">
      <c r="A4535" s="41"/>
      <c r="G4535" s="38" t="n">
        <f aca="false">MONTH(A4535)</f>
        <v>12</v>
      </c>
      <c r="H4535" s="38" t="n">
        <f aca="false">YEAR(Tabela1[[#This Row],[FECHA]])</f>
        <v>1900</v>
      </c>
      <c r="I45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36" customFormat="false" ht="15" hidden="false" customHeight="false" outlineLevel="0" collapsed="false">
      <c r="A4536" s="41"/>
      <c r="G4536" s="38" t="n">
        <f aca="false">MONTH(A4536)</f>
        <v>12</v>
      </c>
      <c r="H4536" s="38" t="n">
        <f aca="false">YEAR(Tabela1[[#This Row],[FECHA]])</f>
        <v>1900</v>
      </c>
      <c r="I45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37" customFormat="false" ht="15" hidden="false" customHeight="false" outlineLevel="0" collapsed="false">
      <c r="A4537" s="41"/>
      <c r="G4537" s="38" t="n">
        <f aca="false">MONTH(A4537)</f>
        <v>12</v>
      </c>
      <c r="H4537" s="38" t="n">
        <f aca="false">YEAR(Tabela1[[#This Row],[FECHA]])</f>
        <v>1900</v>
      </c>
      <c r="I45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38" customFormat="false" ht="15" hidden="false" customHeight="false" outlineLevel="0" collapsed="false">
      <c r="A4538" s="41"/>
      <c r="G4538" s="38" t="n">
        <f aca="false">MONTH(A4538)</f>
        <v>12</v>
      </c>
      <c r="H4538" s="38" t="n">
        <f aca="false">YEAR(Tabela1[[#This Row],[FECHA]])</f>
        <v>1900</v>
      </c>
      <c r="I45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39" customFormat="false" ht="15" hidden="false" customHeight="false" outlineLevel="0" collapsed="false">
      <c r="A4539" s="41"/>
      <c r="G4539" s="38" t="n">
        <f aca="false">MONTH(A4539)</f>
        <v>12</v>
      </c>
      <c r="H4539" s="38" t="n">
        <f aca="false">YEAR(Tabela1[[#This Row],[FECHA]])</f>
        <v>1900</v>
      </c>
      <c r="I45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40" customFormat="false" ht="15" hidden="false" customHeight="false" outlineLevel="0" collapsed="false">
      <c r="A4540" s="41"/>
      <c r="G4540" s="38" t="n">
        <f aca="false">MONTH(A4540)</f>
        <v>12</v>
      </c>
      <c r="H4540" s="38" t="n">
        <f aca="false">YEAR(Tabela1[[#This Row],[FECHA]])</f>
        <v>1900</v>
      </c>
      <c r="I45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41" customFormat="false" ht="15" hidden="false" customHeight="false" outlineLevel="0" collapsed="false">
      <c r="A4541" s="41"/>
      <c r="G4541" s="38" t="n">
        <f aca="false">MONTH(A4541)</f>
        <v>12</v>
      </c>
      <c r="H4541" s="38" t="n">
        <f aca="false">YEAR(Tabela1[[#This Row],[FECHA]])</f>
        <v>1900</v>
      </c>
      <c r="I45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42" customFormat="false" ht="15" hidden="false" customHeight="false" outlineLevel="0" collapsed="false">
      <c r="A4542" s="41"/>
      <c r="G4542" s="38" t="n">
        <f aca="false">MONTH(A4542)</f>
        <v>12</v>
      </c>
      <c r="H4542" s="38" t="n">
        <f aca="false">YEAR(Tabela1[[#This Row],[FECHA]])</f>
        <v>1900</v>
      </c>
      <c r="I45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43" customFormat="false" ht="15" hidden="false" customHeight="false" outlineLevel="0" collapsed="false">
      <c r="A4543" s="41"/>
      <c r="G4543" s="38" t="n">
        <f aca="false">MONTH(A4543)</f>
        <v>12</v>
      </c>
      <c r="H4543" s="38" t="n">
        <f aca="false">YEAR(Tabela1[[#This Row],[FECHA]])</f>
        <v>1900</v>
      </c>
      <c r="I45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44" customFormat="false" ht="15" hidden="false" customHeight="false" outlineLevel="0" collapsed="false">
      <c r="A4544" s="41"/>
      <c r="G4544" s="38" t="n">
        <f aca="false">MONTH(A4544)</f>
        <v>12</v>
      </c>
      <c r="H4544" s="38" t="n">
        <f aca="false">YEAR(Tabela1[[#This Row],[FECHA]])</f>
        <v>1900</v>
      </c>
      <c r="I45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45" customFormat="false" ht="15" hidden="false" customHeight="false" outlineLevel="0" collapsed="false">
      <c r="A4545" s="41"/>
      <c r="G4545" s="38" t="n">
        <f aca="false">MONTH(A4545)</f>
        <v>12</v>
      </c>
      <c r="H4545" s="38" t="n">
        <f aca="false">YEAR(Tabela1[[#This Row],[FECHA]])</f>
        <v>1900</v>
      </c>
      <c r="I45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46" customFormat="false" ht="15" hidden="false" customHeight="false" outlineLevel="0" collapsed="false">
      <c r="A4546" s="41"/>
      <c r="G4546" s="38" t="n">
        <f aca="false">MONTH(A4546)</f>
        <v>12</v>
      </c>
      <c r="H4546" s="38" t="n">
        <f aca="false">YEAR(Tabela1[[#This Row],[FECHA]])</f>
        <v>1900</v>
      </c>
      <c r="I45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47" customFormat="false" ht="15" hidden="false" customHeight="false" outlineLevel="0" collapsed="false">
      <c r="A4547" s="41"/>
      <c r="G4547" s="38" t="n">
        <f aca="false">MONTH(A4547)</f>
        <v>12</v>
      </c>
      <c r="H4547" s="38" t="n">
        <f aca="false">YEAR(Tabela1[[#This Row],[FECHA]])</f>
        <v>1900</v>
      </c>
      <c r="I45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48" customFormat="false" ht="15" hidden="false" customHeight="false" outlineLevel="0" collapsed="false">
      <c r="A4548" s="41"/>
      <c r="G4548" s="38" t="n">
        <f aca="false">MONTH(A4548)</f>
        <v>12</v>
      </c>
      <c r="H4548" s="38" t="n">
        <f aca="false">YEAR(Tabela1[[#This Row],[FECHA]])</f>
        <v>1900</v>
      </c>
      <c r="I45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49" customFormat="false" ht="15" hidden="false" customHeight="false" outlineLevel="0" collapsed="false">
      <c r="A4549" s="41"/>
      <c r="G4549" s="38" t="n">
        <f aca="false">MONTH(A4549)</f>
        <v>12</v>
      </c>
      <c r="H4549" s="38" t="n">
        <f aca="false">YEAR(Tabela1[[#This Row],[FECHA]])</f>
        <v>1900</v>
      </c>
      <c r="I45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50" customFormat="false" ht="15" hidden="false" customHeight="false" outlineLevel="0" collapsed="false">
      <c r="A4550" s="41"/>
      <c r="G4550" s="38" t="n">
        <f aca="false">MONTH(A4550)</f>
        <v>12</v>
      </c>
      <c r="H4550" s="38" t="n">
        <f aca="false">YEAR(Tabela1[[#This Row],[FECHA]])</f>
        <v>1900</v>
      </c>
      <c r="I45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51" customFormat="false" ht="15" hidden="false" customHeight="false" outlineLevel="0" collapsed="false">
      <c r="A4551" s="41"/>
      <c r="G4551" s="38" t="n">
        <f aca="false">MONTH(A4551)</f>
        <v>12</v>
      </c>
      <c r="H4551" s="38" t="n">
        <f aca="false">YEAR(Tabela1[[#This Row],[FECHA]])</f>
        <v>1900</v>
      </c>
      <c r="I45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52" customFormat="false" ht="15" hidden="false" customHeight="false" outlineLevel="0" collapsed="false">
      <c r="A4552" s="41"/>
      <c r="G4552" s="38" t="n">
        <f aca="false">MONTH(A4552)</f>
        <v>12</v>
      </c>
      <c r="H4552" s="38" t="n">
        <f aca="false">YEAR(Tabela1[[#This Row],[FECHA]])</f>
        <v>1900</v>
      </c>
      <c r="I45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53" customFormat="false" ht="15" hidden="false" customHeight="false" outlineLevel="0" collapsed="false">
      <c r="A4553" s="41"/>
      <c r="G4553" s="38" t="n">
        <f aca="false">MONTH(A4553)</f>
        <v>12</v>
      </c>
      <c r="H4553" s="38" t="n">
        <f aca="false">YEAR(Tabela1[[#This Row],[FECHA]])</f>
        <v>1900</v>
      </c>
      <c r="I45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54" customFormat="false" ht="15" hidden="false" customHeight="false" outlineLevel="0" collapsed="false">
      <c r="A4554" s="41"/>
      <c r="G4554" s="38" t="n">
        <f aca="false">MONTH(A4554)</f>
        <v>12</v>
      </c>
      <c r="H4554" s="38" t="n">
        <f aca="false">YEAR(Tabela1[[#This Row],[FECHA]])</f>
        <v>1900</v>
      </c>
      <c r="I45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55" customFormat="false" ht="15" hidden="false" customHeight="false" outlineLevel="0" collapsed="false">
      <c r="A4555" s="41"/>
      <c r="G4555" s="38" t="n">
        <f aca="false">MONTH(A4555)</f>
        <v>12</v>
      </c>
      <c r="H4555" s="38" t="n">
        <f aca="false">YEAR(Tabela1[[#This Row],[FECHA]])</f>
        <v>1900</v>
      </c>
      <c r="I45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56" customFormat="false" ht="15" hidden="false" customHeight="false" outlineLevel="0" collapsed="false">
      <c r="A4556" s="41"/>
      <c r="G4556" s="38" t="n">
        <f aca="false">MONTH(A4556)</f>
        <v>12</v>
      </c>
      <c r="H4556" s="38" t="n">
        <f aca="false">YEAR(Tabela1[[#This Row],[FECHA]])</f>
        <v>1900</v>
      </c>
      <c r="I45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57" customFormat="false" ht="15" hidden="false" customHeight="false" outlineLevel="0" collapsed="false">
      <c r="A4557" s="41"/>
      <c r="G4557" s="38" t="n">
        <f aca="false">MONTH(A4557)</f>
        <v>12</v>
      </c>
      <c r="H4557" s="38" t="n">
        <f aca="false">YEAR(Tabela1[[#This Row],[FECHA]])</f>
        <v>1900</v>
      </c>
      <c r="I45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58" customFormat="false" ht="15" hidden="false" customHeight="false" outlineLevel="0" collapsed="false">
      <c r="A4558" s="41"/>
      <c r="G4558" s="38" t="n">
        <f aca="false">MONTH(A4558)</f>
        <v>12</v>
      </c>
      <c r="H4558" s="38" t="n">
        <f aca="false">YEAR(Tabela1[[#This Row],[FECHA]])</f>
        <v>1900</v>
      </c>
      <c r="I45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59" customFormat="false" ht="15" hidden="false" customHeight="false" outlineLevel="0" collapsed="false">
      <c r="A4559" s="41"/>
      <c r="G4559" s="38" t="n">
        <f aca="false">MONTH(A4559)</f>
        <v>12</v>
      </c>
      <c r="H4559" s="38" t="n">
        <f aca="false">YEAR(Tabela1[[#This Row],[FECHA]])</f>
        <v>1900</v>
      </c>
      <c r="I45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60" customFormat="false" ht="15" hidden="false" customHeight="false" outlineLevel="0" collapsed="false">
      <c r="A4560" s="41"/>
      <c r="G4560" s="38" t="n">
        <f aca="false">MONTH(A4560)</f>
        <v>12</v>
      </c>
      <c r="H4560" s="38" t="n">
        <f aca="false">YEAR(Tabela1[[#This Row],[FECHA]])</f>
        <v>1900</v>
      </c>
      <c r="I45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61" customFormat="false" ht="15" hidden="false" customHeight="false" outlineLevel="0" collapsed="false">
      <c r="A4561" s="41"/>
      <c r="G4561" s="38" t="n">
        <f aca="false">MONTH(A4561)</f>
        <v>12</v>
      </c>
      <c r="H4561" s="38" t="n">
        <f aca="false">YEAR(Tabela1[[#This Row],[FECHA]])</f>
        <v>1900</v>
      </c>
      <c r="I45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62" customFormat="false" ht="15" hidden="false" customHeight="false" outlineLevel="0" collapsed="false">
      <c r="A4562" s="41"/>
      <c r="G4562" s="38" t="n">
        <f aca="false">MONTH(A4562)</f>
        <v>12</v>
      </c>
      <c r="H4562" s="38" t="n">
        <f aca="false">YEAR(Tabela1[[#This Row],[FECHA]])</f>
        <v>1900</v>
      </c>
      <c r="I45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63" customFormat="false" ht="15" hidden="false" customHeight="false" outlineLevel="0" collapsed="false">
      <c r="A4563" s="41"/>
      <c r="G4563" s="38" t="n">
        <f aca="false">MONTH(A4563)</f>
        <v>12</v>
      </c>
      <c r="H4563" s="38" t="n">
        <f aca="false">YEAR(Tabela1[[#This Row],[FECHA]])</f>
        <v>1900</v>
      </c>
      <c r="I45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64" customFormat="false" ht="15" hidden="false" customHeight="false" outlineLevel="0" collapsed="false">
      <c r="A4564" s="41"/>
      <c r="G4564" s="38" t="n">
        <f aca="false">MONTH(A4564)</f>
        <v>12</v>
      </c>
      <c r="H4564" s="38" t="n">
        <f aca="false">YEAR(Tabela1[[#This Row],[FECHA]])</f>
        <v>1900</v>
      </c>
      <c r="I45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65" customFormat="false" ht="15" hidden="false" customHeight="false" outlineLevel="0" collapsed="false">
      <c r="A4565" s="41"/>
      <c r="G4565" s="38" t="n">
        <f aca="false">MONTH(A4565)</f>
        <v>12</v>
      </c>
      <c r="H4565" s="38" t="n">
        <f aca="false">YEAR(Tabela1[[#This Row],[FECHA]])</f>
        <v>1900</v>
      </c>
      <c r="I45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66" customFormat="false" ht="15" hidden="false" customHeight="false" outlineLevel="0" collapsed="false">
      <c r="A4566" s="41"/>
      <c r="G4566" s="38" t="n">
        <f aca="false">MONTH(A4566)</f>
        <v>12</v>
      </c>
      <c r="H4566" s="38" t="n">
        <f aca="false">YEAR(Tabela1[[#This Row],[FECHA]])</f>
        <v>1900</v>
      </c>
      <c r="I45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67" customFormat="false" ht="15" hidden="false" customHeight="false" outlineLevel="0" collapsed="false">
      <c r="A4567" s="41"/>
      <c r="G4567" s="38" t="n">
        <f aca="false">MONTH(A4567)</f>
        <v>12</v>
      </c>
      <c r="H4567" s="38" t="n">
        <f aca="false">YEAR(Tabela1[[#This Row],[FECHA]])</f>
        <v>1900</v>
      </c>
      <c r="I45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68" customFormat="false" ht="15" hidden="false" customHeight="false" outlineLevel="0" collapsed="false">
      <c r="A4568" s="41"/>
      <c r="G4568" s="38" t="n">
        <f aca="false">MONTH(A4568)</f>
        <v>12</v>
      </c>
      <c r="H4568" s="38" t="n">
        <f aca="false">YEAR(Tabela1[[#This Row],[FECHA]])</f>
        <v>1900</v>
      </c>
      <c r="I45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69" customFormat="false" ht="15" hidden="false" customHeight="false" outlineLevel="0" collapsed="false">
      <c r="A4569" s="41"/>
      <c r="G4569" s="38" t="n">
        <f aca="false">MONTH(A4569)</f>
        <v>12</v>
      </c>
      <c r="H4569" s="38" t="n">
        <f aca="false">YEAR(Tabela1[[#This Row],[FECHA]])</f>
        <v>1900</v>
      </c>
      <c r="I45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70" customFormat="false" ht="15" hidden="false" customHeight="false" outlineLevel="0" collapsed="false">
      <c r="A4570" s="41"/>
      <c r="G4570" s="38" t="n">
        <f aca="false">MONTH(A4570)</f>
        <v>12</v>
      </c>
      <c r="H4570" s="38" t="n">
        <f aca="false">YEAR(Tabela1[[#This Row],[FECHA]])</f>
        <v>1900</v>
      </c>
      <c r="I45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71" customFormat="false" ht="15" hidden="false" customHeight="false" outlineLevel="0" collapsed="false">
      <c r="A4571" s="41"/>
      <c r="G4571" s="38" t="n">
        <f aca="false">MONTH(A4571)</f>
        <v>12</v>
      </c>
      <c r="H4571" s="38" t="n">
        <f aca="false">YEAR(Tabela1[[#This Row],[FECHA]])</f>
        <v>1900</v>
      </c>
      <c r="I45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72" customFormat="false" ht="15" hidden="false" customHeight="false" outlineLevel="0" collapsed="false">
      <c r="A4572" s="41"/>
      <c r="G4572" s="38" t="n">
        <f aca="false">MONTH(A4572)</f>
        <v>12</v>
      </c>
      <c r="H4572" s="38" t="n">
        <f aca="false">YEAR(Tabela1[[#This Row],[FECHA]])</f>
        <v>1900</v>
      </c>
      <c r="I45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73" customFormat="false" ht="15" hidden="false" customHeight="false" outlineLevel="0" collapsed="false">
      <c r="A4573" s="41"/>
      <c r="G4573" s="38" t="n">
        <f aca="false">MONTH(A4573)</f>
        <v>12</v>
      </c>
      <c r="H4573" s="38" t="n">
        <f aca="false">YEAR(Tabela1[[#This Row],[FECHA]])</f>
        <v>1900</v>
      </c>
      <c r="I45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74" customFormat="false" ht="15" hidden="false" customHeight="false" outlineLevel="0" collapsed="false">
      <c r="A4574" s="41"/>
      <c r="G4574" s="38" t="n">
        <f aca="false">MONTH(A4574)</f>
        <v>12</v>
      </c>
      <c r="H4574" s="38" t="n">
        <f aca="false">YEAR(Tabela1[[#This Row],[FECHA]])</f>
        <v>1900</v>
      </c>
      <c r="I45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75" customFormat="false" ht="15" hidden="false" customHeight="false" outlineLevel="0" collapsed="false">
      <c r="A4575" s="41"/>
      <c r="G4575" s="38" t="n">
        <f aca="false">MONTH(A4575)</f>
        <v>12</v>
      </c>
      <c r="H4575" s="38" t="n">
        <f aca="false">YEAR(Tabela1[[#This Row],[FECHA]])</f>
        <v>1900</v>
      </c>
      <c r="I45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76" customFormat="false" ht="15" hidden="false" customHeight="false" outlineLevel="0" collapsed="false">
      <c r="A4576" s="41"/>
      <c r="G4576" s="38" t="n">
        <f aca="false">MONTH(A4576)</f>
        <v>12</v>
      </c>
      <c r="H4576" s="38" t="n">
        <f aca="false">YEAR(Tabela1[[#This Row],[FECHA]])</f>
        <v>1900</v>
      </c>
      <c r="I45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77" customFormat="false" ht="15" hidden="false" customHeight="false" outlineLevel="0" collapsed="false">
      <c r="A4577" s="41"/>
      <c r="G4577" s="38" t="n">
        <f aca="false">MONTH(A4577)</f>
        <v>12</v>
      </c>
      <c r="H4577" s="38" t="n">
        <f aca="false">YEAR(Tabela1[[#This Row],[FECHA]])</f>
        <v>1900</v>
      </c>
      <c r="I45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78" customFormat="false" ht="15" hidden="false" customHeight="false" outlineLevel="0" collapsed="false">
      <c r="A4578" s="41"/>
      <c r="G4578" s="38" t="n">
        <f aca="false">MONTH(A4578)</f>
        <v>12</v>
      </c>
      <c r="H4578" s="38" t="n">
        <f aca="false">YEAR(Tabela1[[#This Row],[FECHA]])</f>
        <v>1900</v>
      </c>
      <c r="I45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79" customFormat="false" ht="15" hidden="false" customHeight="false" outlineLevel="0" collapsed="false">
      <c r="A4579" s="41"/>
      <c r="G4579" s="38" t="n">
        <f aca="false">MONTH(A4579)</f>
        <v>12</v>
      </c>
      <c r="H4579" s="38" t="n">
        <f aca="false">YEAR(Tabela1[[#This Row],[FECHA]])</f>
        <v>1900</v>
      </c>
      <c r="I45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80" customFormat="false" ht="15" hidden="false" customHeight="false" outlineLevel="0" collapsed="false">
      <c r="A4580" s="41"/>
      <c r="G4580" s="38" t="n">
        <f aca="false">MONTH(A4580)</f>
        <v>12</v>
      </c>
      <c r="H4580" s="38" t="n">
        <f aca="false">YEAR(Tabela1[[#This Row],[FECHA]])</f>
        <v>1900</v>
      </c>
      <c r="I45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81" customFormat="false" ht="15" hidden="false" customHeight="false" outlineLevel="0" collapsed="false">
      <c r="A4581" s="41"/>
      <c r="G4581" s="38" t="n">
        <f aca="false">MONTH(A4581)</f>
        <v>12</v>
      </c>
      <c r="H4581" s="38" t="n">
        <f aca="false">YEAR(Tabela1[[#This Row],[FECHA]])</f>
        <v>1900</v>
      </c>
      <c r="I45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82" customFormat="false" ht="15" hidden="false" customHeight="false" outlineLevel="0" collapsed="false">
      <c r="A4582" s="41"/>
      <c r="G4582" s="38" t="n">
        <f aca="false">MONTH(A4582)</f>
        <v>12</v>
      </c>
      <c r="H4582" s="38" t="n">
        <f aca="false">YEAR(Tabela1[[#This Row],[FECHA]])</f>
        <v>1900</v>
      </c>
      <c r="I45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83" customFormat="false" ht="15" hidden="false" customHeight="false" outlineLevel="0" collapsed="false">
      <c r="A4583" s="41"/>
      <c r="G4583" s="38" t="n">
        <f aca="false">MONTH(A4583)</f>
        <v>12</v>
      </c>
      <c r="H4583" s="38" t="n">
        <f aca="false">YEAR(Tabela1[[#This Row],[FECHA]])</f>
        <v>1900</v>
      </c>
      <c r="I45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84" customFormat="false" ht="15" hidden="false" customHeight="false" outlineLevel="0" collapsed="false">
      <c r="A4584" s="41"/>
      <c r="G4584" s="38" t="n">
        <f aca="false">MONTH(A4584)</f>
        <v>12</v>
      </c>
      <c r="H4584" s="38" t="n">
        <f aca="false">YEAR(Tabela1[[#This Row],[FECHA]])</f>
        <v>1900</v>
      </c>
      <c r="I45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85" customFormat="false" ht="15" hidden="false" customHeight="false" outlineLevel="0" collapsed="false">
      <c r="A4585" s="41"/>
      <c r="G4585" s="38" t="n">
        <f aca="false">MONTH(A4585)</f>
        <v>12</v>
      </c>
      <c r="H4585" s="38" t="n">
        <f aca="false">YEAR(Tabela1[[#This Row],[FECHA]])</f>
        <v>1900</v>
      </c>
      <c r="I45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86" customFormat="false" ht="15" hidden="false" customHeight="false" outlineLevel="0" collapsed="false">
      <c r="A4586" s="41"/>
      <c r="G4586" s="38" t="n">
        <f aca="false">MONTH(A4586)</f>
        <v>12</v>
      </c>
      <c r="H4586" s="38" t="n">
        <f aca="false">YEAR(Tabela1[[#This Row],[FECHA]])</f>
        <v>1900</v>
      </c>
      <c r="I45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87" customFormat="false" ht="15" hidden="false" customHeight="false" outlineLevel="0" collapsed="false">
      <c r="A4587" s="41"/>
      <c r="G4587" s="38" t="n">
        <f aca="false">MONTH(A4587)</f>
        <v>12</v>
      </c>
      <c r="H4587" s="38" t="n">
        <f aca="false">YEAR(Tabela1[[#This Row],[FECHA]])</f>
        <v>1900</v>
      </c>
      <c r="I45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88" customFormat="false" ht="15" hidden="false" customHeight="false" outlineLevel="0" collapsed="false">
      <c r="A4588" s="41"/>
      <c r="G4588" s="38" t="n">
        <f aca="false">MONTH(A4588)</f>
        <v>12</v>
      </c>
      <c r="H4588" s="38" t="n">
        <f aca="false">YEAR(Tabela1[[#This Row],[FECHA]])</f>
        <v>1900</v>
      </c>
      <c r="I45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89" customFormat="false" ht="15" hidden="false" customHeight="false" outlineLevel="0" collapsed="false">
      <c r="A4589" s="41"/>
      <c r="G4589" s="38" t="n">
        <f aca="false">MONTH(A4589)</f>
        <v>12</v>
      </c>
      <c r="H4589" s="38" t="n">
        <f aca="false">YEAR(Tabela1[[#This Row],[FECHA]])</f>
        <v>1900</v>
      </c>
      <c r="I45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90" customFormat="false" ht="15" hidden="false" customHeight="false" outlineLevel="0" collapsed="false">
      <c r="A4590" s="41"/>
      <c r="G4590" s="38" t="n">
        <f aca="false">MONTH(A4590)</f>
        <v>12</v>
      </c>
      <c r="H4590" s="38" t="n">
        <f aca="false">YEAR(Tabela1[[#This Row],[FECHA]])</f>
        <v>1900</v>
      </c>
      <c r="I45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91" customFormat="false" ht="15" hidden="false" customHeight="false" outlineLevel="0" collapsed="false">
      <c r="A4591" s="41"/>
      <c r="G4591" s="38" t="n">
        <f aca="false">MONTH(A4591)</f>
        <v>12</v>
      </c>
      <c r="H4591" s="38" t="n">
        <f aca="false">YEAR(Tabela1[[#This Row],[FECHA]])</f>
        <v>1900</v>
      </c>
      <c r="I45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92" customFormat="false" ht="15" hidden="false" customHeight="false" outlineLevel="0" collapsed="false">
      <c r="A4592" s="41"/>
      <c r="G4592" s="38" t="n">
        <f aca="false">MONTH(A4592)</f>
        <v>12</v>
      </c>
      <c r="H4592" s="38" t="n">
        <f aca="false">YEAR(Tabela1[[#This Row],[FECHA]])</f>
        <v>1900</v>
      </c>
      <c r="I45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93" customFormat="false" ht="15" hidden="false" customHeight="false" outlineLevel="0" collapsed="false">
      <c r="A4593" s="41"/>
      <c r="G4593" s="38" t="n">
        <f aca="false">MONTH(A4593)</f>
        <v>12</v>
      </c>
      <c r="H4593" s="38" t="n">
        <f aca="false">YEAR(Tabela1[[#This Row],[FECHA]])</f>
        <v>1900</v>
      </c>
      <c r="I45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94" customFormat="false" ht="15" hidden="false" customHeight="false" outlineLevel="0" collapsed="false">
      <c r="A4594" s="41"/>
      <c r="G4594" s="38" t="n">
        <f aca="false">MONTH(A4594)</f>
        <v>12</v>
      </c>
      <c r="H4594" s="38" t="n">
        <f aca="false">YEAR(Tabela1[[#This Row],[FECHA]])</f>
        <v>1900</v>
      </c>
      <c r="I45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95" customFormat="false" ht="15" hidden="false" customHeight="false" outlineLevel="0" collapsed="false">
      <c r="A4595" s="41"/>
      <c r="G4595" s="38" t="n">
        <f aca="false">MONTH(A4595)</f>
        <v>12</v>
      </c>
      <c r="H4595" s="38" t="n">
        <f aca="false">YEAR(Tabela1[[#This Row],[FECHA]])</f>
        <v>1900</v>
      </c>
      <c r="I45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96" customFormat="false" ht="15" hidden="false" customHeight="false" outlineLevel="0" collapsed="false">
      <c r="A4596" s="41"/>
      <c r="G4596" s="38" t="n">
        <f aca="false">MONTH(A4596)</f>
        <v>12</v>
      </c>
      <c r="H4596" s="38" t="n">
        <f aca="false">YEAR(Tabela1[[#This Row],[FECHA]])</f>
        <v>1900</v>
      </c>
      <c r="I45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97" customFormat="false" ht="15" hidden="false" customHeight="false" outlineLevel="0" collapsed="false">
      <c r="A4597" s="41"/>
      <c r="G4597" s="38" t="n">
        <f aca="false">MONTH(A4597)</f>
        <v>12</v>
      </c>
      <c r="H4597" s="38" t="n">
        <f aca="false">YEAR(Tabela1[[#This Row],[FECHA]])</f>
        <v>1900</v>
      </c>
      <c r="I45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98" customFormat="false" ht="15" hidden="false" customHeight="false" outlineLevel="0" collapsed="false">
      <c r="A4598" s="41"/>
      <c r="G4598" s="38" t="n">
        <f aca="false">MONTH(A4598)</f>
        <v>12</v>
      </c>
      <c r="H4598" s="38" t="n">
        <f aca="false">YEAR(Tabela1[[#This Row],[FECHA]])</f>
        <v>1900</v>
      </c>
      <c r="I45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599" customFormat="false" ht="15" hidden="false" customHeight="false" outlineLevel="0" collapsed="false">
      <c r="A4599" s="41"/>
      <c r="G4599" s="38" t="n">
        <f aca="false">MONTH(A4599)</f>
        <v>12</v>
      </c>
      <c r="H4599" s="38" t="n">
        <f aca="false">YEAR(Tabela1[[#This Row],[FECHA]])</f>
        <v>1900</v>
      </c>
      <c r="I45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00" customFormat="false" ht="15" hidden="false" customHeight="false" outlineLevel="0" collapsed="false">
      <c r="A4600" s="41"/>
      <c r="G4600" s="38" t="n">
        <f aca="false">MONTH(A4600)</f>
        <v>12</v>
      </c>
      <c r="H4600" s="38" t="n">
        <f aca="false">YEAR(Tabela1[[#This Row],[FECHA]])</f>
        <v>1900</v>
      </c>
      <c r="I46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01" customFormat="false" ht="15" hidden="false" customHeight="false" outlineLevel="0" collapsed="false">
      <c r="A4601" s="41"/>
      <c r="G4601" s="38" t="n">
        <f aca="false">MONTH(A4601)</f>
        <v>12</v>
      </c>
      <c r="H4601" s="38" t="n">
        <f aca="false">YEAR(Tabela1[[#This Row],[FECHA]])</f>
        <v>1900</v>
      </c>
      <c r="I46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02" customFormat="false" ht="15" hidden="false" customHeight="false" outlineLevel="0" collapsed="false">
      <c r="A4602" s="41"/>
      <c r="G4602" s="38" t="n">
        <f aca="false">MONTH(A4602)</f>
        <v>12</v>
      </c>
      <c r="H4602" s="38" t="n">
        <f aca="false">YEAR(Tabela1[[#This Row],[FECHA]])</f>
        <v>1900</v>
      </c>
      <c r="I46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03" customFormat="false" ht="15" hidden="false" customHeight="false" outlineLevel="0" collapsed="false">
      <c r="A4603" s="41"/>
      <c r="G4603" s="38" t="n">
        <f aca="false">MONTH(A4603)</f>
        <v>12</v>
      </c>
      <c r="H4603" s="38" t="n">
        <f aca="false">YEAR(Tabela1[[#This Row],[FECHA]])</f>
        <v>1900</v>
      </c>
      <c r="I46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04" customFormat="false" ht="15" hidden="false" customHeight="false" outlineLevel="0" collapsed="false">
      <c r="A4604" s="41"/>
      <c r="G4604" s="38" t="n">
        <f aca="false">MONTH(A4604)</f>
        <v>12</v>
      </c>
      <c r="H4604" s="38" t="n">
        <f aca="false">YEAR(Tabela1[[#This Row],[FECHA]])</f>
        <v>1900</v>
      </c>
      <c r="I46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05" customFormat="false" ht="15" hidden="false" customHeight="false" outlineLevel="0" collapsed="false">
      <c r="A4605" s="41"/>
      <c r="G4605" s="38" t="n">
        <f aca="false">MONTH(A4605)</f>
        <v>12</v>
      </c>
      <c r="H4605" s="38" t="n">
        <f aca="false">YEAR(Tabela1[[#This Row],[FECHA]])</f>
        <v>1900</v>
      </c>
      <c r="I46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06" customFormat="false" ht="15" hidden="false" customHeight="false" outlineLevel="0" collapsed="false">
      <c r="A4606" s="41"/>
      <c r="G4606" s="38" t="n">
        <f aca="false">MONTH(A4606)</f>
        <v>12</v>
      </c>
      <c r="H4606" s="38" t="n">
        <f aca="false">YEAR(Tabela1[[#This Row],[FECHA]])</f>
        <v>1900</v>
      </c>
      <c r="I46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07" customFormat="false" ht="15" hidden="false" customHeight="false" outlineLevel="0" collapsed="false">
      <c r="A4607" s="41"/>
      <c r="G4607" s="38" t="n">
        <f aca="false">MONTH(A4607)</f>
        <v>12</v>
      </c>
      <c r="H4607" s="38" t="n">
        <f aca="false">YEAR(Tabela1[[#This Row],[FECHA]])</f>
        <v>1900</v>
      </c>
      <c r="I46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08" customFormat="false" ht="15" hidden="false" customHeight="false" outlineLevel="0" collapsed="false">
      <c r="A4608" s="41"/>
      <c r="G4608" s="38" t="n">
        <f aca="false">MONTH(A4608)</f>
        <v>12</v>
      </c>
      <c r="H4608" s="38" t="n">
        <f aca="false">YEAR(Tabela1[[#This Row],[FECHA]])</f>
        <v>1900</v>
      </c>
      <c r="I46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09" customFormat="false" ht="15" hidden="false" customHeight="false" outlineLevel="0" collapsed="false">
      <c r="A4609" s="41"/>
      <c r="G4609" s="38" t="n">
        <f aca="false">MONTH(A4609)</f>
        <v>12</v>
      </c>
      <c r="H4609" s="38" t="n">
        <f aca="false">YEAR(Tabela1[[#This Row],[FECHA]])</f>
        <v>1900</v>
      </c>
      <c r="I46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10" customFormat="false" ht="15" hidden="false" customHeight="false" outlineLevel="0" collapsed="false">
      <c r="A4610" s="41"/>
      <c r="G4610" s="38" t="n">
        <f aca="false">MONTH(A4610)</f>
        <v>12</v>
      </c>
      <c r="H4610" s="38" t="n">
        <f aca="false">YEAR(Tabela1[[#This Row],[FECHA]])</f>
        <v>1900</v>
      </c>
      <c r="I46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11" customFormat="false" ht="15" hidden="false" customHeight="false" outlineLevel="0" collapsed="false">
      <c r="A4611" s="41"/>
      <c r="G4611" s="38" t="n">
        <f aca="false">MONTH(A4611)</f>
        <v>12</v>
      </c>
      <c r="H4611" s="38" t="n">
        <f aca="false">YEAR(Tabela1[[#This Row],[FECHA]])</f>
        <v>1900</v>
      </c>
      <c r="I46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12" customFormat="false" ht="15" hidden="false" customHeight="false" outlineLevel="0" collapsed="false">
      <c r="A4612" s="41"/>
      <c r="G4612" s="38" t="n">
        <f aca="false">MONTH(A4612)</f>
        <v>12</v>
      </c>
      <c r="H4612" s="38" t="n">
        <f aca="false">YEAR(Tabela1[[#This Row],[FECHA]])</f>
        <v>1900</v>
      </c>
      <c r="I46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13" customFormat="false" ht="15" hidden="false" customHeight="false" outlineLevel="0" collapsed="false">
      <c r="A4613" s="41"/>
      <c r="G4613" s="38" t="n">
        <f aca="false">MONTH(A4613)</f>
        <v>12</v>
      </c>
      <c r="H4613" s="38" t="n">
        <f aca="false">YEAR(Tabela1[[#This Row],[FECHA]])</f>
        <v>1900</v>
      </c>
      <c r="I46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14" customFormat="false" ht="15" hidden="false" customHeight="false" outlineLevel="0" collapsed="false">
      <c r="A4614" s="41"/>
      <c r="G4614" s="38" t="n">
        <f aca="false">MONTH(A4614)</f>
        <v>12</v>
      </c>
      <c r="H4614" s="38" t="n">
        <f aca="false">YEAR(Tabela1[[#This Row],[FECHA]])</f>
        <v>1900</v>
      </c>
      <c r="I46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15" customFormat="false" ht="15" hidden="false" customHeight="false" outlineLevel="0" collapsed="false">
      <c r="A4615" s="41"/>
      <c r="G4615" s="38" t="n">
        <f aca="false">MONTH(A4615)</f>
        <v>12</v>
      </c>
      <c r="H4615" s="38" t="n">
        <f aca="false">YEAR(Tabela1[[#This Row],[FECHA]])</f>
        <v>1900</v>
      </c>
      <c r="I46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16" customFormat="false" ht="15" hidden="false" customHeight="false" outlineLevel="0" collapsed="false">
      <c r="A4616" s="41"/>
      <c r="G4616" s="38" t="n">
        <f aca="false">MONTH(A4616)</f>
        <v>12</v>
      </c>
      <c r="H4616" s="38" t="n">
        <f aca="false">YEAR(Tabela1[[#This Row],[FECHA]])</f>
        <v>1900</v>
      </c>
      <c r="I46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17" customFormat="false" ht="15" hidden="false" customHeight="false" outlineLevel="0" collapsed="false">
      <c r="A4617" s="41"/>
      <c r="G4617" s="38" t="n">
        <f aca="false">MONTH(A4617)</f>
        <v>12</v>
      </c>
      <c r="H4617" s="38" t="n">
        <f aca="false">YEAR(Tabela1[[#This Row],[FECHA]])</f>
        <v>1900</v>
      </c>
      <c r="I46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18" customFormat="false" ht="15" hidden="false" customHeight="false" outlineLevel="0" collapsed="false">
      <c r="A4618" s="41"/>
      <c r="G4618" s="38" t="n">
        <f aca="false">MONTH(A4618)</f>
        <v>12</v>
      </c>
      <c r="H4618" s="38" t="n">
        <f aca="false">YEAR(Tabela1[[#This Row],[FECHA]])</f>
        <v>1900</v>
      </c>
      <c r="I46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19" customFormat="false" ht="15" hidden="false" customHeight="false" outlineLevel="0" collapsed="false">
      <c r="A4619" s="41"/>
      <c r="G4619" s="38" t="n">
        <f aca="false">MONTH(A4619)</f>
        <v>12</v>
      </c>
      <c r="H4619" s="38" t="n">
        <f aca="false">YEAR(Tabela1[[#This Row],[FECHA]])</f>
        <v>1900</v>
      </c>
      <c r="I46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20" customFormat="false" ht="15" hidden="false" customHeight="false" outlineLevel="0" collapsed="false">
      <c r="A4620" s="41"/>
      <c r="G4620" s="38" t="n">
        <f aca="false">MONTH(A4620)</f>
        <v>12</v>
      </c>
      <c r="H4620" s="38" t="n">
        <f aca="false">YEAR(Tabela1[[#This Row],[FECHA]])</f>
        <v>1900</v>
      </c>
      <c r="I46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21" customFormat="false" ht="15" hidden="false" customHeight="false" outlineLevel="0" collapsed="false">
      <c r="A4621" s="41"/>
      <c r="G4621" s="38" t="n">
        <f aca="false">MONTH(A4621)</f>
        <v>12</v>
      </c>
      <c r="H4621" s="38" t="n">
        <f aca="false">YEAR(Tabela1[[#This Row],[FECHA]])</f>
        <v>1900</v>
      </c>
      <c r="I46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22" customFormat="false" ht="15" hidden="false" customHeight="false" outlineLevel="0" collapsed="false">
      <c r="A4622" s="41"/>
      <c r="G4622" s="38" t="n">
        <f aca="false">MONTH(A4622)</f>
        <v>12</v>
      </c>
      <c r="H4622" s="38" t="n">
        <f aca="false">YEAR(Tabela1[[#This Row],[FECHA]])</f>
        <v>1900</v>
      </c>
      <c r="I46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23" customFormat="false" ht="15" hidden="false" customHeight="false" outlineLevel="0" collapsed="false">
      <c r="A4623" s="41"/>
      <c r="G4623" s="38" t="n">
        <f aca="false">MONTH(A4623)</f>
        <v>12</v>
      </c>
      <c r="H4623" s="38" t="n">
        <f aca="false">YEAR(Tabela1[[#This Row],[FECHA]])</f>
        <v>1900</v>
      </c>
      <c r="I46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24" customFormat="false" ht="15" hidden="false" customHeight="false" outlineLevel="0" collapsed="false">
      <c r="A4624" s="41"/>
      <c r="G4624" s="38" t="n">
        <f aca="false">MONTH(A4624)</f>
        <v>12</v>
      </c>
      <c r="H4624" s="38" t="n">
        <f aca="false">YEAR(Tabela1[[#This Row],[FECHA]])</f>
        <v>1900</v>
      </c>
      <c r="I46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25" customFormat="false" ht="15" hidden="false" customHeight="false" outlineLevel="0" collapsed="false">
      <c r="A4625" s="41"/>
      <c r="G4625" s="38" t="n">
        <f aca="false">MONTH(A4625)</f>
        <v>12</v>
      </c>
      <c r="H4625" s="38" t="n">
        <f aca="false">YEAR(Tabela1[[#This Row],[FECHA]])</f>
        <v>1900</v>
      </c>
      <c r="I46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26" customFormat="false" ht="15" hidden="false" customHeight="false" outlineLevel="0" collapsed="false">
      <c r="A4626" s="41"/>
      <c r="G4626" s="38" t="n">
        <f aca="false">MONTH(A4626)</f>
        <v>12</v>
      </c>
      <c r="H4626" s="38" t="n">
        <f aca="false">YEAR(Tabela1[[#This Row],[FECHA]])</f>
        <v>1900</v>
      </c>
      <c r="I46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27" customFormat="false" ht="15" hidden="false" customHeight="false" outlineLevel="0" collapsed="false">
      <c r="A4627" s="41"/>
      <c r="G4627" s="38" t="n">
        <f aca="false">MONTH(A4627)</f>
        <v>12</v>
      </c>
      <c r="H4627" s="38" t="n">
        <f aca="false">YEAR(Tabela1[[#This Row],[FECHA]])</f>
        <v>1900</v>
      </c>
      <c r="I46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28" customFormat="false" ht="15" hidden="false" customHeight="false" outlineLevel="0" collapsed="false">
      <c r="A4628" s="41"/>
      <c r="G4628" s="38" t="n">
        <f aca="false">MONTH(A4628)</f>
        <v>12</v>
      </c>
      <c r="H4628" s="38" t="n">
        <f aca="false">YEAR(Tabela1[[#This Row],[FECHA]])</f>
        <v>1900</v>
      </c>
      <c r="I46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29" customFormat="false" ht="15" hidden="false" customHeight="false" outlineLevel="0" collapsed="false">
      <c r="A4629" s="41"/>
      <c r="G4629" s="38" t="n">
        <f aca="false">MONTH(A4629)</f>
        <v>12</v>
      </c>
      <c r="H4629" s="38" t="n">
        <f aca="false">YEAR(Tabela1[[#This Row],[FECHA]])</f>
        <v>1900</v>
      </c>
      <c r="I46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30" customFormat="false" ht="15" hidden="false" customHeight="false" outlineLevel="0" collapsed="false">
      <c r="A4630" s="41"/>
      <c r="G4630" s="38" t="n">
        <f aca="false">MONTH(A4630)</f>
        <v>12</v>
      </c>
      <c r="H4630" s="38" t="n">
        <f aca="false">YEAR(Tabela1[[#This Row],[FECHA]])</f>
        <v>1900</v>
      </c>
      <c r="I46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31" customFormat="false" ht="15" hidden="false" customHeight="false" outlineLevel="0" collapsed="false">
      <c r="A4631" s="41"/>
      <c r="G4631" s="38" t="n">
        <f aca="false">MONTH(A4631)</f>
        <v>12</v>
      </c>
      <c r="H4631" s="38" t="n">
        <f aca="false">YEAR(Tabela1[[#This Row],[FECHA]])</f>
        <v>1900</v>
      </c>
      <c r="I46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32" customFormat="false" ht="15" hidden="false" customHeight="false" outlineLevel="0" collapsed="false">
      <c r="A4632" s="41"/>
      <c r="G4632" s="38" t="n">
        <f aca="false">MONTH(A4632)</f>
        <v>12</v>
      </c>
      <c r="H4632" s="38" t="n">
        <f aca="false">YEAR(Tabela1[[#This Row],[FECHA]])</f>
        <v>1900</v>
      </c>
      <c r="I46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33" customFormat="false" ht="15" hidden="false" customHeight="false" outlineLevel="0" collapsed="false">
      <c r="A4633" s="41"/>
      <c r="G4633" s="38" t="n">
        <f aca="false">MONTH(A4633)</f>
        <v>12</v>
      </c>
      <c r="H4633" s="38" t="n">
        <f aca="false">YEAR(Tabela1[[#This Row],[FECHA]])</f>
        <v>1900</v>
      </c>
      <c r="I46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34" customFormat="false" ht="15" hidden="false" customHeight="false" outlineLevel="0" collapsed="false">
      <c r="A4634" s="41"/>
      <c r="G4634" s="38" t="n">
        <f aca="false">MONTH(A4634)</f>
        <v>12</v>
      </c>
      <c r="H4634" s="38" t="n">
        <f aca="false">YEAR(Tabela1[[#This Row],[FECHA]])</f>
        <v>1900</v>
      </c>
      <c r="I46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35" customFormat="false" ht="15" hidden="false" customHeight="false" outlineLevel="0" collapsed="false">
      <c r="A4635" s="41"/>
      <c r="G4635" s="38" t="n">
        <f aca="false">MONTH(A4635)</f>
        <v>12</v>
      </c>
      <c r="H4635" s="38" t="n">
        <f aca="false">YEAR(Tabela1[[#This Row],[FECHA]])</f>
        <v>1900</v>
      </c>
      <c r="I46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36" customFormat="false" ht="15" hidden="false" customHeight="false" outlineLevel="0" collapsed="false">
      <c r="A4636" s="41"/>
      <c r="G4636" s="38" t="n">
        <f aca="false">MONTH(A4636)</f>
        <v>12</v>
      </c>
      <c r="H4636" s="38" t="n">
        <f aca="false">YEAR(Tabela1[[#This Row],[FECHA]])</f>
        <v>1900</v>
      </c>
      <c r="I46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37" customFormat="false" ht="15" hidden="false" customHeight="false" outlineLevel="0" collapsed="false">
      <c r="A4637" s="41"/>
      <c r="G4637" s="38" t="n">
        <f aca="false">MONTH(A4637)</f>
        <v>12</v>
      </c>
      <c r="H4637" s="38" t="n">
        <f aca="false">YEAR(Tabela1[[#This Row],[FECHA]])</f>
        <v>1900</v>
      </c>
      <c r="I46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38" customFormat="false" ht="15" hidden="false" customHeight="false" outlineLevel="0" collapsed="false">
      <c r="A4638" s="41"/>
      <c r="G4638" s="38" t="n">
        <f aca="false">MONTH(A4638)</f>
        <v>12</v>
      </c>
      <c r="H4638" s="38" t="n">
        <f aca="false">YEAR(Tabela1[[#This Row],[FECHA]])</f>
        <v>1900</v>
      </c>
      <c r="I46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39" customFormat="false" ht="15" hidden="false" customHeight="false" outlineLevel="0" collapsed="false">
      <c r="A4639" s="41"/>
      <c r="G4639" s="38" t="n">
        <f aca="false">MONTH(A4639)</f>
        <v>12</v>
      </c>
      <c r="H4639" s="38" t="n">
        <f aca="false">YEAR(Tabela1[[#This Row],[FECHA]])</f>
        <v>1900</v>
      </c>
      <c r="I46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40" customFormat="false" ht="15" hidden="false" customHeight="false" outlineLevel="0" collapsed="false">
      <c r="A4640" s="41"/>
      <c r="G4640" s="38" t="n">
        <f aca="false">MONTH(A4640)</f>
        <v>12</v>
      </c>
      <c r="H4640" s="38" t="n">
        <f aca="false">YEAR(Tabela1[[#This Row],[FECHA]])</f>
        <v>1900</v>
      </c>
      <c r="I46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41" customFormat="false" ht="15" hidden="false" customHeight="false" outlineLevel="0" collapsed="false">
      <c r="A4641" s="41"/>
      <c r="G4641" s="38" t="n">
        <f aca="false">MONTH(A4641)</f>
        <v>12</v>
      </c>
      <c r="H4641" s="38" t="n">
        <f aca="false">YEAR(Tabela1[[#This Row],[FECHA]])</f>
        <v>1900</v>
      </c>
      <c r="I46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42" customFormat="false" ht="15" hidden="false" customHeight="false" outlineLevel="0" collapsed="false">
      <c r="A4642" s="41"/>
      <c r="G4642" s="38" t="n">
        <f aca="false">MONTH(A4642)</f>
        <v>12</v>
      </c>
      <c r="H4642" s="38" t="n">
        <f aca="false">YEAR(Tabela1[[#This Row],[FECHA]])</f>
        <v>1900</v>
      </c>
      <c r="I46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43" customFormat="false" ht="15" hidden="false" customHeight="false" outlineLevel="0" collapsed="false">
      <c r="A4643" s="41"/>
      <c r="G4643" s="38" t="n">
        <f aca="false">MONTH(A4643)</f>
        <v>12</v>
      </c>
      <c r="H4643" s="38" t="n">
        <f aca="false">YEAR(Tabela1[[#This Row],[FECHA]])</f>
        <v>1900</v>
      </c>
      <c r="I46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44" customFormat="false" ht="15" hidden="false" customHeight="false" outlineLevel="0" collapsed="false">
      <c r="A4644" s="41"/>
      <c r="G4644" s="38" t="n">
        <f aca="false">MONTH(A4644)</f>
        <v>12</v>
      </c>
      <c r="H4644" s="38" t="n">
        <f aca="false">YEAR(Tabela1[[#This Row],[FECHA]])</f>
        <v>1900</v>
      </c>
      <c r="I46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45" customFormat="false" ht="15" hidden="false" customHeight="false" outlineLevel="0" collapsed="false">
      <c r="A4645" s="41"/>
      <c r="G4645" s="38" t="n">
        <f aca="false">MONTH(A4645)</f>
        <v>12</v>
      </c>
      <c r="H4645" s="38" t="n">
        <f aca="false">YEAR(Tabela1[[#This Row],[FECHA]])</f>
        <v>1900</v>
      </c>
      <c r="I46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46" customFormat="false" ht="15" hidden="false" customHeight="false" outlineLevel="0" collapsed="false">
      <c r="A4646" s="41"/>
      <c r="G4646" s="38" t="n">
        <f aca="false">MONTH(A4646)</f>
        <v>12</v>
      </c>
      <c r="H4646" s="38" t="n">
        <f aca="false">YEAR(Tabela1[[#This Row],[FECHA]])</f>
        <v>1900</v>
      </c>
      <c r="I46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47" customFormat="false" ht="15" hidden="false" customHeight="false" outlineLevel="0" collapsed="false">
      <c r="A4647" s="41"/>
      <c r="G4647" s="38" t="n">
        <f aca="false">MONTH(A4647)</f>
        <v>12</v>
      </c>
      <c r="H4647" s="38" t="n">
        <f aca="false">YEAR(Tabela1[[#This Row],[FECHA]])</f>
        <v>1900</v>
      </c>
      <c r="I46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48" customFormat="false" ht="15" hidden="false" customHeight="false" outlineLevel="0" collapsed="false">
      <c r="A4648" s="41"/>
      <c r="G4648" s="38" t="n">
        <f aca="false">MONTH(A4648)</f>
        <v>12</v>
      </c>
      <c r="H4648" s="38" t="n">
        <f aca="false">YEAR(Tabela1[[#This Row],[FECHA]])</f>
        <v>1900</v>
      </c>
      <c r="I46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49" customFormat="false" ht="15" hidden="false" customHeight="false" outlineLevel="0" collapsed="false">
      <c r="A4649" s="41"/>
      <c r="G4649" s="38" t="n">
        <f aca="false">MONTH(A4649)</f>
        <v>12</v>
      </c>
      <c r="H4649" s="38" t="n">
        <f aca="false">YEAR(Tabela1[[#This Row],[FECHA]])</f>
        <v>1900</v>
      </c>
      <c r="I46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50" customFormat="false" ht="15" hidden="false" customHeight="false" outlineLevel="0" collapsed="false">
      <c r="A4650" s="41"/>
      <c r="G4650" s="38" t="n">
        <f aca="false">MONTH(A4650)</f>
        <v>12</v>
      </c>
      <c r="H4650" s="38" t="n">
        <f aca="false">YEAR(Tabela1[[#This Row],[FECHA]])</f>
        <v>1900</v>
      </c>
      <c r="I46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51" customFormat="false" ht="15" hidden="false" customHeight="false" outlineLevel="0" collapsed="false">
      <c r="A4651" s="41"/>
      <c r="G4651" s="38" t="n">
        <f aca="false">MONTH(A4651)</f>
        <v>12</v>
      </c>
      <c r="H4651" s="38" t="n">
        <f aca="false">YEAR(Tabela1[[#This Row],[FECHA]])</f>
        <v>1900</v>
      </c>
      <c r="I46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52" customFormat="false" ht="15" hidden="false" customHeight="false" outlineLevel="0" collapsed="false">
      <c r="A4652" s="41"/>
      <c r="G4652" s="38" t="n">
        <f aca="false">MONTH(A4652)</f>
        <v>12</v>
      </c>
      <c r="H4652" s="38" t="n">
        <f aca="false">YEAR(Tabela1[[#This Row],[FECHA]])</f>
        <v>1900</v>
      </c>
      <c r="I46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53" customFormat="false" ht="15" hidden="false" customHeight="false" outlineLevel="0" collapsed="false">
      <c r="A4653" s="41"/>
      <c r="G4653" s="38" t="n">
        <f aca="false">MONTH(A4653)</f>
        <v>12</v>
      </c>
      <c r="H4653" s="38" t="n">
        <f aca="false">YEAR(Tabela1[[#This Row],[FECHA]])</f>
        <v>1900</v>
      </c>
      <c r="I46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54" customFormat="false" ht="15" hidden="false" customHeight="false" outlineLevel="0" collapsed="false">
      <c r="A4654" s="41"/>
      <c r="G4654" s="38" t="n">
        <f aca="false">MONTH(A4654)</f>
        <v>12</v>
      </c>
      <c r="H4654" s="38" t="n">
        <f aca="false">YEAR(Tabela1[[#This Row],[FECHA]])</f>
        <v>1900</v>
      </c>
      <c r="I46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55" customFormat="false" ht="15" hidden="false" customHeight="false" outlineLevel="0" collapsed="false">
      <c r="A4655" s="41"/>
      <c r="G4655" s="38" t="n">
        <f aca="false">MONTH(A4655)</f>
        <v>12</v>
      </c>
      <c r="H4655" s="38" t="n">
        <f aca="false">YEAR(Tabela1[[#This Row],[FECHA]])</f>
        <v>1900</v>
      </c>
      <c r="I46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56" customFormat="false" ht="15" hidden="false" customHeight="false" outlineLevel="0" collapsed="false">
      <c r="A4656" s="41"/>
      <c r="G4656" s="38" t="n">
        <f aca="false">MONTH(A4656)</f>
        <v>12</v>
      </c>
      <c r="H4656" s="38" t="n">
        <f aca="false">YEAR(Tabela1[[#This Row],[FECHA]])</f>
        <v>1900</v>
      </c>
      <c r="I46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57" customFormat="false" ht="15" hidden="false" customHeight="false" outlineLevel="0" collapsed="false">
      <c r="A4657" s="41"/>
      <c r="G4657" s="38" t="n">
        <f aca="false">MONTH(A4657)</f>
        <v>12</v>
      </c>
      <c r="H4657" s="38" t="n">
        <f aca="false">YEAR(Tabela1[[#This Row],[FECHA]])</f>
        <v>1900</v>
      </c>
      <c r="I46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58" customFormat="false" ht="15" hidden="false" customHeight="false" outlineLevel="0" collapsed="false">
      <c r="A4658" s="41"/>
      <c r="G4658" s="38" t="n">
        <f aca="false">MONTH(A4658)</f>
        <v>12</v>
      </c>
      <c r="H4658" s="38" t="n">
        <f aca="false">YEAR(Tabela1[[#This Row],[FECHA]])</f>
        <v>1900</v>
      </c>
      <c r="I46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59" customFormat="false" ht="15" hidden="false" customHeight="false" outlineLevel="0" collapsed="false">
      <c r="A4659" s="41"/>
      <c r="G4659" s="38" t="n">
        <f aca="false">MONTH(A4659)</f>
        <v>12</v>
      </c>
      <c r="H4659" s="38" t="n">
        <f aca="false">YEAR(Tabela1[[#This Row],[FECHA]])</f>
        <v>1900</v>
      </c>
      <c r="I46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60" customFormat="false" ht="15" hidden="false" customHeight="false" outlineLevel="0" collapsed="false">
      <c r="A4660" s="41"/>
      <c r="G4660" s="38" t="n">
        <f aca="false">MONTH(A4660)</f>
        <v>12</v>
      </c>
      <c r="H4660" s="38" t="n">
        <f aca="false">YEAR(Tabela1[[#This Row],[FECHA]])</f>
        <v>1900</v>
      </c>
      <c r="I46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61" customFormat="false" ht="15" hidden="false" customHeight="false" outlineLevel="0" collapsed="false">
      <c r="A4661" s="41"/>
      <c r="G4661" s="38" t="n">
        <f aca="false">MONTH(A4661)</f>
        <v>12</v>
      </c>
      <c r="H4661" s="38" t="n">
        <f aca="false">YEAR(Tabela1[[#This Row],[FECHA]])</f>
        <v>1900</v>
      </c>
      <c r="I46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62" customFormat="false" ht="15" hidden="false" customHeight="false" outlineLevel="0" collapsed="false">
      <c r="A4662" s="41"/>
      <c r="G4662" s="38" t="n">
        <f aca="false">MONTH(A4662)</f>
        <v>12</v>
      </c>
      <c r="H4662" s="38" t="n">
        <f aca="false">YEAR(Tabela1[[#This Row],[FECHA]])</f>
        <v>1900</v>
      </c>
      <c r="I46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63" customFormat="false" ht="15" hidden="false" customHeight="false" outlineLevel="0" collapsed="false">
      <c r="A4663" s="41"/>
      <c r="G4663" s="38" t="n">
        <f aca="false">MONTH(A4663)</f>
        <v>12</v>
      </c>
      <c r="H4663" s="38" t="n">
        <f aca="false">YEAR(Tabela1[[#This Row],[FECHA]])</f>
        <v>1900</v>
      </c>
      <c r="I46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64" customFormat="false" ht="15" hidden="false" customHeight="false" outlineLevel="0" collapsed="false">
      <c r="A4664" s="41"/>
      <c r="G4664" s="38" t="n">
        <f aca="false">MONTH(A4664)</f>
        <v>12</v>
      </c>
      <c r="H4664" s="38" t="n">
        <f aca="false">YEAR(Tabela1[[#This Row],[FECHA]])</f>
        <v>1900</v>
      </c>
      <c r="I46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65" customFormat="false" ht="15" hidden="false" customHeight="false" outlineLevel="0" collapsed="false">
      <c r="A4665" s="41"/>
      <c r="G4665" s="38" t="n">
        <f aca="false">MONTH(A4665)</f>
        <v>12</v>
      </c>
      <c r="H4665" s="38" t="n">
        <f aca="false">YEAR(Tabela1[[#This Row],[FECHA]])</f>
        <v>1900</v>
      </c>
      <c r="I46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66" customFormat="false" ht="15" hidden="false" customHeight="false" outlineLevel="0" collapsed="false">
      <c r="A4666" s="41"/>
      <c r="G4666" s="38" t="n">
        <f aca="false">MONTH(A4666)</f>
        <v>12</v>
      </c>
      <c r="H4666" s="38" t="n">
        <f aca="false">YEAR(Tabela1[[#This Row],[FECHA]])</f>
        <v>1900</v>
      </c>
      <c r="I46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67" customFormat="false" ht="15" hidden="false" customHeight="false" outlineLevel="0" collapsed="false">
      <c r="A4667" s="41"/>
      <c r="G4667" s="38" t="n">
        <f aca="false">MONTH(A4667)</f>
        <v>12</v>
      </c>
      <c r="H4667" s="38" t="n">
        <f aca="false">YEAR(Tabela1[[#This Row],[FECHA]])</f>
        <v>1900</v>
      </c>
      <c r="I46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68" customFormat="false" ht="15" hidden="false" customHeight="false" outlineLevel="0" collapsed="false">
      <c r="A4668" s="41"/>
      <c r="G4668" s="38" t="n">
        <f aca="false">MONTH(A4668)</f>
        <v>12</v>
      </c>
      <c r="H4668" s="38" t="n">
        <f aca="false">YEAR(Tabela1[[#This Row],[FECHA]])</f>
        <v>1900</v>
      </c>
      <c r="I46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69" customFormat="false" ht="15" hidden="false" customHeight="false" outlineLevel="0" collapsed="false">
      <c r="A4669" s="41"/>
      <c r="G4669" s="38" t="n">
        <f aca="false">MONTH(A4669)</f>
        <v>12</v>
      </c>
      <c r="H4669" s="38" t="n">
        <f aca="false">YEAR(Tabela1[[#This Row],[FECHA]])</f>
        <v>1900</v>
      </c>
      <c r="I46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70" customFormat="false" ht="15" hidden="false" customHeight="false" outlineLevel="0" collapsed="false">
      <c r="A4670" s="41"/>
      <c r="G4670" s="38" t="n">
        <f aca="false">MONTH(A4670)</f>
        <v>12</v>
      </c>
      <c r="H4670" s="38" t="n">
        <f aca="false">YEAR(Tabela1[[#This Row],[FECHA]])</f>
        <v>1900</v>
      </c>
      <c r="I46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71" customFormat="false" ht="15" hidden="false" customHeight="false" outlineLevel="0" collapsed="false">
      <c r="A4671" s="41"/>
      <c r="G4671" s="38" t="n">
        <f aca="false">MONTH(A4671)</f>
        <v>12</v>
      </c>
      <c r="H4671" s="38" t="n">
        <f aca="false">YEAR(Tabela1[[#This Row],[FECHA]])</f>
        <v>1900</v>
      </c>
      <c r="I46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72" customFormat="false" ht="15" hidden="false" customHeight="false" outlineLevel="0" collapsed="false">
      <c r="A4672" s="41"/>
      <c r="G4672" s="38" t="n">
        <f aca="false">MONTH(A4672)</f>
        <v>12</v>
      </c>
      <c r="H4672" s="38" t="n">
        <f aca="false">YEAR(Tabela1[[#This Row],[FECHA]])</f>
        <v>1900</v>
      </c>
      <c r="I46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73" customFormat="false" ht="15" hidden="false" customHeight="false" outlineLevel="0" collapsed="false">
      <c r="A4673" s="41"/>
      <c r="G4673" s="38" t="n">
        <f aca="false">MONTH(A4673)</f>
        <v>12</v>
      </c>
      <c r="H4673" s="38" t="n">
        <f aca="false">YEAR(Tabela1[[#This Row],[FECHA]])</f>
        <v>1900</v>
      </c>
      <c r="I46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74" customFormat="false" ht="15" hidden="false" customHeight="false" outlineLevel="0" collapsed="false">
      <c r="A4674" s="41"/>
      <c r="G4674" s="38" t="n">
        <f aca="false">MONTH(A4674)</f>
        <v>12</v>
      </c>
      <c r="H4674" s="38" t="n">
        <f aca="false">YEAR(Tabela1[[#This Row],[FECHA]])</f>
        <v>1900</v>
      </c>
      <c r="I46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75" customFormat="false" ht="15" hidden="false" customHeight="false" outlineLevel="0" collapsed="false">
      <c r="A4675" s="41"/>
      <c r="G4675" s="38" t="n">
        <f aca="false">MONTH(A4675)</f>
        <v>12</v>
      </c>
      <c r="H4675" s="38" t="n">
        <f aca="false">YEAR(Tabela1[[#This Row],[FECHA]])</f>
        <v>1900</v>
      </c>
      <c r="I46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76" customFormat="false" ht="15" hidden="false" customHeight="false" outlineLevel="0" collapsed="false">
      <c r="A4676" s="41"/>
      <c r="G4676" s="38" t="n">
        <f aca="false">MONTH(A4676)</f>
        <v>12</v>
      </c>
      <c r="H4676" s="38" t="n">
        <f aca="false">YEAR(Tabela1[[#This Row],[FECHA]])</f>
        <v>1900</v>
      </c>
      <c r="I46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77" customFormat="false" ht="15" hidden="false" customHeight="false" outlineLevel="0" collapsed="false">
      <c r="A4677" s="41"/>
      <c r="G4677" s="38" t="n">
        <f aca="false">MONTH(A4677)</f>
        <v>12</v>
      </c>
      <c r="H4677" s="38" t="n">
        <f aca="false">YEAR(Tabela1[[#This Row],[FECHA]])</f>
        <v>1900</v>
      </c>
      <c r="I46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78" customFormat="false" ht="15" hidden="false" customHeight="false" outlineLevel="0" collapsed="false">
      <c r="A4678" s="41"/>
      <c r="G4678" s="38" t="n">
        <f aca="false">MONTH(A4678)</f>
        <v>12</v>
      </c>
      <c r="H4678" s="38" t="n">
        <f aca="false">YEAR(Tabela1[[#This Row],[FECHA]])</f>
        <v>1900</v>
      </c>
      <c r="I46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79" customFormat="false" ht="15" hidden="false" customHeight="false" outlineLevel="0" collapsed="false">
      <c r="A4679" s="41"/>
      <c r="G4679" s="38" t="n">
        <f aca="false">MONTH(A4679)</f>
        <v>12</v>
      </c>
      <c r="H4679" s="38" t="n">
        <f aca="false">YEAR(Tabela1[[#This Row],[FECHA]])</f>
        <v>1900</v>
      </c>
      <c r="I46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80" customFormat="false" ht="15" hidden="false" customHeight="false" outlineLevel="0" collapsed="false">
      <c r="A4680" s="41"/>
      <c r="G4680" s="38" t="n">
        <f aca="false">MONTH(A4680)</f>
        <v>12</v>
      </c>
      <c r="H4680" s="38" t="n">
        <f aca="false">YEAR(Tabela1[[#This Row],[FECHA]])</f>
        <v>1900</v>
      </c>
      <c r="I46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81" customFormat="false" ht="15" hidden="false" customHeight="false" outlineLevel="0" collapsed="false">
      <c r="A4681" s="41"/>
      <c r="G4681" s="38" t="n">
        <f aca="false">MONTH(A4681)</f>
        <v>12</v>
      </c>
      <c r="H4681" s="38" t="n">
        <f aca="false">YEAR(Tabela1[[#This Row],[FECHA]])</f>
        <v>1900</v>
      </c>
      <c r="I46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82" customFormat="false" ht="15" hidden="false" customHeight="false" outlineLevel="0" collapsed="false">
      <c r="A4682" s="41"/>
      <c r="G4682" s="38" t="n">
        <f aca="false">MONTH(A4682)</f>
        <v>12</v>
      </c>
      <c r="H4682" s="38" t="n">
        <f aca="false">YEAR(Tabela1[[#This Row],[FECHA]])</f>
        <v>1900</v>
      </c>
      <c r="I46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83" customFormat="false" ht="15" hidden="false" customHeight="false" outlineLevel="0" collapsed="false">
      <c r="A4683" s="41"/>
      <c r="G4683" s="38" t="n">
        <f aca="false">MONTH(A4683)</f>
        <v>12</v>
      </c>
      <c r="H4683" s="38" t="n">
        <f aca="false">YEAR(Tabela1[[#This Row],[FECHA]])</f>
        <v>1900</v>
      </c>
      <c r="I46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84" customFormat="false" ht="15" hidden="false" customHeight="false" outlineLevel="0" collapsed="false">
      <c r="A4684" s="41"/>
      <c r="G4684" s="38" t="n">
        <f aca="false">MONTH(A4684)</f>
        <v>12</v>
      </c>
      <c r="H4684" s="38" t="n">
        <f aca="false">YEAR(Tabela1[[#This Row],[FECHA]])</f>
        <v>1900</v>
      </c>
      <c r="I46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85" customFormat="false" ht="15" hidden="false" customHeight="false" outlineLevel="0" collapsed="false">
      <c r="A4685" s="41"/>
      <c r="G4685" s="38" t="n">
        <f aca="false">MONTH(A4685)</f>
        <v>12</v>
      </c>
      <c r="H4685" s="38" t="n">
        <f aca="false">YEAR(Tabela1[[#This Row],[FECHA]])</f>
        <v>1900</v>
      </c>
      <c r="I46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86" customFormat="false" ht="15" hidden="false" customHeight="false" outlineLevel="0" collapsed="false">
      <c r="A4686" s="41"/>
      <c r="G4686" s="38" t="n">
        <f aca="false">MONTH(A4686)</f>
        <v>12</v>
      </c>
      <c r="H4686" s="38" t="n">
        <f aca="false">YEAR(Tabela1[[#This Row],[FECHA]])</f>
        <v>1900</v>
      </c>
      <c r="I46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87" customFormat="false" ht="15" hidden="false" customHeight="false" outlineLevel="0" collapsed="false">
      <c r="A4687" s="41"/>
      <c r="G4687" s="38" t="n">
        <f aca="false">MONTH(A4687)</f>
        <v>12</v>
      </c>
      <c r="H4687" s="38" t="n">
        <f aca="false">YEAR(Tabela1[[#This Row],[FECHA]])</f>
        <v>1900</v>
      </c>
      <c r="I46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88" customFormat="false" ht="15" hidden="false" customHeight="false" outlineLevel="0" collapsed="false">
      <c r="A4688" s="41"/>
      <c r="G4688" s="38" t="n">
        <f aca="false">MONTH(A4688)</f>
        <v>12</v>
      </c>
      <c r="H4688" s="38" t="n">
        <f aca="false">YEAR(Tabela1[[#This Row],[FECHA]])</f>
        <v>1900</v>
      </c>
      <c r="I46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89" customFormat="false" ht="15" hidden="false" customHeight="false" outlineLevel="0" collapsed="false">
      <c r="A4689" s="41"/>
      <c r="G4689" s="38" t="n">
        <f aca="false">MONTH(A4689)</f>
        <v>12</v>
      </c>
      <c r="H4689" s="38" t="n">
        <f aca="false">YEAR(Tabela1[[#This Row],[FECHA]])</f>
        <v>1900</v>
      </c>
      <c r="I46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90" customFormat="false" ht="15" hidden="false" customHeight="false" outlineLevel="0" collapsed="false">
      <c r="A4690" s="41"/>
      <c r="G4690" s="38" t="n">
        <f aca="false">MONTH(A4690)</f>
        <v>12</v>
      </c>
      <c r="H4690" s="38" t="n">
        <f aca="false">YEAR(Tabela1[[#This Row],[FECHA]])</f>
        <v>1900</v>
      </c>
      <c r="I46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91" customFormat="false" ht="15" hidden="false" customHeight="false" outlineLevel="0" collapsed="false">
      <c r="A4691" s="41"/>
      <c r="G4691" s="38" t="n">
        <f aca="false">MONTH(A4691)</f>
        <v>12</v>
      </c>
      <c r="H4691" s="38" t="n">
        <f aca="false">YEAR(Tabela1[[#This Row],[FECHA]])</f>
        <v>1900</v>
      </c>
      <c r="I46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92" customFormat="false" ht="15" hidden="false" customHeight="false" outlineLevel="0" collapsed="false">
      <c r="A4692" s="41"/>
      <c r="G4692" s="38" t="n">
        <f aca="false">MONTH(A4692)</f>
        <v>12</v>
      </c>
      <c r="H4692" s="38" t="n">
        <f aca="false">YEAR(Tabela1[[#This Row],[FECHA]])</f>
        <v>1900</v>
      </c>
      <c r="I46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93" customFormat="false" ht="15" hidden="false" customHeight="false" outlineLevel="0" collapsed="false">
      <c r="A4693" s="41"/>
      <c r="G4693" s="38" t="n">
        <f aca="false">MONTH(A4693)</f>
        <v>12</v>
      </c>
      <c r="H4693" s="38" t="n">
        <f aca="false">YEAR(Tabela1[[#This Row],[FECHA]])</f>
        <v>1900</v>
      </c>
      <c r="I46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94" customFormat="false" ht="15" hidden="false" customHeight="false" outlineLevel="0" collapsed="false">
      <c r="A4694" s="41"/>
      <c r="G4694" s="38" t="n">
        <f aca="false">MONTH(A4694)</f>
        <v>12</v>
      </c>
      <c r="H4694" s="38" t="n">
        <f aca="false">YEAR(Tabela1[[#This Row],[FECHA]])</f>
        <v>1900</v>
      </c>
      <c r="I46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95" customFormat="false" ht="15" hidden="false" customHeight="false" outlineLevel="0" collapsed="false">
      <c r="A4695" s="41"/>
      <c r="G4695" s="38" t="n">
        <f aca="false">MONTH(A4695)</f>
        <v>12</v>
      </c>
      <c r="H4695" s="38" t="n">
        <f aca="false">YEAR(Tabela1[[#This Row],[FECHA]])</f>
        <v>1900</v>
      </c>
      <c r="I46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96" customFormat="false" ht="15" hidden="false" customHeight="false" outlineLevel="0" collapsed="false">
      <c r="A4696" s="41"/>
      <c r="G4696" s="38" t="n">
        <f aca="false">MONTH(A4696)</f>
        <v>12</v>
      </c>
      <c r="H4696" s="38" t="n">
        <f aca="false">YEAR(Tabela1[[#This Row],[FECHA]])</f>
        <v>1900</v>
      </c>
      <c r="I46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97" customFormat="false" ht="15" hidden="false" customHeight="false" outlineLevel="0" collapsed="false">
      <c r="A4697" s="41"/>
      <c r="G4697" s="38" t="n">
        <f aca="false">MONTH(A4697)</f>
        <v>12</v>
      </c>
      <c r="H4697" s="38" t="n">
        <f aca="false">YEAR(Tabela1[[#This Row],[FECHA]])</f>
        <v>1900</v>
      </c>
      <c r="I46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98" customFormat="false" ht="15" hidden="false" customHeight="false" outlineLevel="0" collapsed="false">
      <c r="A4698" s="41"/>
      <c r="G4698" s="38" t="n">
        <f aca="false">MONTH(A4698)</f>
        <v>12</v>
      </c>
      <c r="H4698" s="38" t="n">
        <f aca="false">YEAR(Tabela1[[#This Row],[FECHA]])</f>
        <v>1900</v>
      </c>
      <c r="I46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699" customFormat="false" ht="15" hidden="false" customHeight="false" outlineLevel="0" collapsed="false">
      <c r="A4699" s="41"/>
      <c r="G4699" s="38" t="n">
        <f aca="false">MONTH(A4699)</f>
        <v>12</v>
      </c>
      <c r="H4699" s="38" t="n">
        <f aca="false">YEAR(Tabela1[[#This Row],[FECHA]])</f>
        <v>1900</v>
      </c>
      <c r="I46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00" customFormat="false" ht="15" hidden="false" customHeight="false" outlineLevel="0" collapsed="false">
      <c r="A4700" s="41"/>
      <c r="G4700" s="38" t="n">
        <f aca="false">MONTH(A4700)</f>
        <v>12</v>
      </c>
      <c r="H4700" s="38" t="n">
        <f aca="false">YEAR(Tabela1[[#This Row],[FECHA]])</f>
        <v>1900</v>
      </c>
      <c r="I47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01" customFormat="false" ht="15" hidden="false" customHeight="false" outlineLevel="0" collapsed="false">
      <c r="A4701" s="41"/>
      <c r="G4701" s="38" t="n">
        <f aca="false">MONTH(A4701)</f>
        <v>12</v>
      </c>
      <c r="H4701" s="38" t="n">
        <f aca="false">YEAR(Tabela1[[#This Row],[FECHA]])</f>
        <v>1900</v>
      </c>
      <c r="I47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02" customFormat="false" ht="15" hidden="false" customHeight="false" outlineLevel="0" collapsed="false">
      <c r="A4702" s="41"/>
      <c r="G4702" s="38" t="n">
        <f aca="false">MONTH(A4702)</f>
        <v>12</v>
      </c>
      <c r="H4702" s="38" t="n">
        <f aca="false">YEAR(Tabela1[[#This Row],[FECHA]])</f>
        <v>1900</v>
      </c>
      <c r="I47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03" customFormat="false" ht="15" hidden="false" customHeight="false" outlineLevel="0" collapsed="false">
      <c r="A4703" s="41"/>
      <c r="G4703" s="38" t="n">
        <f aca="false">MONTH(A4703)</f>
        <v>12</v>
      </c>
      <c r="H4703" s="38" t="n">
        <f aca="false">YEAR(Tabela1[[#This Row],[FECHA]])</f>
        <v>1900</v>
      </c>
      <c r="I47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04" customFormat="false" ht="15" hidden="false" customHeight="false" outlineLevel="0" collapsed="false">
      <c r="A4704" s="41"/>
      <c r="G4704" s="38" t="n">
        <f aca="false">MONTH(A4704)</f>
        <v>12</v>
      </c>
      <c r="H4704" s="38" t="n">
        <f aca="false">YEAR(Tabela1[[#This Row],[FECHA]])</f>
        <v>1900</v>
      </c>
      <c r="I47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05" customFormat="false" ht="15" hidden="false" customHeight="false" outlineLevel="0" collapsed="false">
      <c r="A4705" s="41"/>
      <c r="G4705" s="38" t="n">
        <f aca="false">MONTH(A4705)</f>
        <v>12</v>
      </c>
      <c r="H4705" s="38" t="n">
        <f aca="false">YEAR(Tabela1[[#This Row],[FECHA]])</f>
        <v>1900</v>
      </c>
      <c r="I47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06" customFormat="false" ht="15" hidden="false" customHeight="false" outlineLevel="0" collapsed="false">
      <c r="A4706" s="41"/>
      <c r="G4706" s="38" t="n">
        <f aca="false">MONTH(A4706)</f>
        <v>12</v>
      </c>
      <c r="H4706" s="38" t="n">
        <f aca="false">YEAR(Tabela1[[#This Row],[FECHA]])</f>
        <v>1900</v>
      </c>
      <c r="I47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07" customFormat="false" ht="15" hidden="false" customHeight="false" outlineLevel="0" collapsed="false">
      <c r="A4707" s="41"/>
      <c r="G4707" s="38" t="n">
        <f aca="false">MONTH(A4707)</f>
        <v>12</v>
      </c>
      <c r="H4707" s="38" t="n">
        <f aca="false">YEAR(Tabela1[[#This Row],[FECHA]])</f>
        <v>1900</v>
      </c>
      <c r="I47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08" customFormat="false" ht="15" hidden="false" customHeight="false" outlineLevel="0" collapsed="false">
      <c r="A4708" s="41"/>
      <c r="G4708" s="38" t="n">
        <f aca="false">MONTH(A4708)</f>
        <v>12</v>
      </c>
      <c r="H4708" s="38" t="n">
        <f aca="false">YEAR(Tabela1[[#This Row],[FECHA]])</f>
        <v>1900</v>
      </c>
      <c r="I47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09" customFormat="false" ht="15" hidden="false" customHeight="false" outlineLevel="0" collapsed="false">
      <c r="A4709" s="41"/>
      <c r="G4709" s="38" t="n">
        <f aca="false">MONTH(A4709)</f>
        <v>12</v>
      </c>
      <c r="H4709" s="38" t="n">
        <f aca="false">YEAR(Tabela1[[#This Row],[FECHA]])</f>
        <v>1900</v>
      </c>
      <c r="I47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10" customFormat="false" ht="15" hidden="false" customHeight="false" outlineLevel="0" collapsed="false">
      <c r="A4710" s="41"/>
      <c r="G4710" s="38" t="n">
        <f aca="false">MONTH(A4710)</f>
        <v>12</v>
      </c>
      <c r="H4710" s="38" t="n">
        <f aca="false">YEAR(Tabela1[[#This Row],[FECHA]])</f>
        <v>1900</v>
      </c>
      <c r="I47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11" customFormat="false" ht="15" hidden="false" customHeight="false" outlineLevel="0" collapsed="false">
      <c r="A4711" s="41"/>
      <c r="G4711" s="38" t="n">
        <f aca="false">MONTH(A4711)</f>
        <v>12</v>
      </c>
      <c r="H4711" s="38" t="n">
        <f aca="false">YEAR(Tabela1[[#This Row],[FECHA]])</f>
        <v>1900</v>
      </c>
      <c r="I47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12" customFormat="false" ht="15" hidden="false" customHeight="false" outlineLevel="0" collapsed="false">
      <c r="A4712" s="41"/>
      <c r="G4712" s="38" t="n">
        <f aca="false">MONTH(A4712)</f>
        <v>12</v>
      </c>
      <c r="H4712" s="38" t="n">
        <f aca="false">YEAR(Tabela1[[#This Row],[FECHA]])</f>
        <v>1900</v>
      </c>
      <c r="I47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13" customFormat="false" ht="15" hidden="false" customHeight="false" outlineLevel="0" collapsed="false">
      <c r="A4713" s="41"/>
      <c r="G4713" s="38" t="n">
        <f aca="false">MONTH(A4713)</f>
        <v>12</v>
      </c>
      <c r="H4713" s="38" t="n">
        <f aca="false">YEAR(Tabela1[[#This Row],[FECHA]])</f>
        <v>1900</v>
      </c>
      <c r="I47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14" customFormat="false" ht="15" hidden="false" customHeight="false" outlineLevel="0" collapsed="false">
      <c r="A4714" s="41"/>
      <c r="G4714" s="38" t="n">
        <f aca="false">MONTH(A4714)</f>
        <v>12</v>
      </c>
      <c r="H4714" s="38" t="n">
        <f aca="false">YEAR(Tabela1[[#This Row],[FECHA]])</f>
        <v>1900</v>
      </c>
      <c r="I47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15" customFormat="false" ht="15" hidden="false" customHeight="false" outlineLevel="0" collapsed="false">
      <c r="A4715" s="41"/>
      <c r="G4715" s="38" t="n">
        <f aca="false">MONTH(A4715)</f>
        <v>12</v>
      </c>
      <c r="H4715" s="38" t="n">
        <f aca="false">YEAR(Tabela1[[#This Row],[FECHA]])</f>
        <v>1900</v>
      </c>
      <c r="I47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16" customFormat="false" ht="15" hidden="false" customHeight="false" outlineLevel="0" collapsed="false">
      <c r="A4716" s="41"/>
      <c r="G4716" s="38" t="n">
        <f aca="false">MONTH(A4716)</f>
        <v>12</v>
      </c>
      <c r="H4716" s="38" t="n">
        <f aca="false">YEAR(Tabela1[[#This Row],[FECHA]])</f>
        <v>1900</v>
      </c>
      <c r="I47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17" customFormat="false" ht="15" hidden="false" customHeight="false" outlineLevel="0" collapsed="false">
      <c r="A4717" s="41"/>
      <c r="G4717" s="38" t="n">
        <f aca="false">MONTH(A4717)</f>
        <v>12</v>
      </c>
      <c r="H4717" s="38" t="n">
        <f aca="false">YEAR(Tabela1[[#This Row],[FECHA]])</f>
        <v>1900</v>
      </c>
      <c r="I47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18" customFormat="false" ht="15" hidden="false" customHeight="false" outlineLevel="0" collapsed="false">
      <c r="A4718" s="41"/>
      <c r="G4718" s="38" t="n">
        <f aca="false">MONTH(A4718)</f>
        <v>12</v>
      </c>
      <c r="H4718" s="38" t="n">
        <f aca="false">YEAR(Tabela1[[#This Row],[FECHA]])</f>
        <v>1900</v>
      </c>
      <c r="I47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19" customFormat="false" ht="15" hidden="false" customHeight="false" outlineLevel="0" collapsed="false">
      <c r="A4719" s="41"/>
      <c r="G4719" s="38" t="n">
        <f aca="false">MONTH(A4719)</f>
        <v>12</v>
      </c>
      <c r="H4719" s="38" t="n">
        <f aca="false">YEAR(Tabela1[[#This Row],[FECHA]])</f>
        <v>1900</v>
      </c>
      <c r="I47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20" customFormat="false" ht="15" hidden="false" customHeight="false" outlineLevel="0" collapsed="false">
      <c r="A4720" s="41"/>
      <c r="G4720" s="38" t="n">
        <f aca="false">MONTH(A4720)</f>
        <v>12</v>
      </c>
      <c r="H4720" s="38" t="n">
        <f aca="false">YEAR(Tabela1[[#This Row],[FECHA]])</f>
        <v>1900</v>
      </c>
      <c r="I47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21" customFormat="false" ht="15" hidden="false" customHeight="false" outlineLevel="0" collapsed="false">
      <c r="A4721" s="41"/>
      <c r="G4721" s="38" t="n">
        <f aca="false">MONTH(A4721)</f>
        <v>12</v>
      </c>
      <c r="H4721" s="38" t="n">
        <f aca="false">YEAR(Tabela1[[#This Row],[FECHA]])</f>
        <v>1900</v>
      </c>
      <c r="I47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22" customFormat="false" ht="15" hidden="false" customHeight="false" outlineLevel="0" collapsed="false">
      <c r="A4722" s="41"/>
      <c r="G4722" s="38" t="n">
        <f aca="false">MONTH(A4722)</f>
        <v>12</v>
      </c>
      <c r="H4722" s="38" t="n">
        <f aca="false">YEAR(Tabela1[[#This Row],[FECHA]])</f>
        <v>1900</v>
      </c>
      <c r="I47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23" customFormat="false" ht="15" hidden="false" customHeight="false" outlineLevel="0" collapsed="false">
      <c r="A4723" s="41"/>
      <c r="G4723" s="38" t="n">
        <f aca="false">MONTH(A4723)</f>
        <v>12</v>
      </c>
      <c r="H4723" s="38" t="n">
        <f aca="false">YEAR(Tabela1[[#This Row],[FECHA]])</f>
        <v>1900</v>
      </c>
      <c r="I47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24" customFormat="false" ht="15" hidden="false" customHeight="false" outlineLevel="0" collapsed="false">
      <c r="A4724" s="41"/>
      <c r="G4724" s="38" t="n">
        <f aca="false">MONTH(A4724)</f>
        <v>12</v>
      </c>
      <c r="H4724" s="38" t="n">
        <f aca="false">YEAR(Tabela1[[#This Row],[FECHA]])</f>
        <v>1900</v>
      </c>
      <c r="I47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25" customFormat="false" ht="15" hidden="false" customHeight="false" outlineLevel="0" collapsed="false">
      <c r="A4725" s="41"/>
      <c r="G4725" s="38" t="n">
        <f aca="false">MONTH(A4725)</f>
        <v>12</v>
      </c>
      <c r="H4725" s="38" t="n">
        <f aca="false">YEAR(Tabela1[[#This Row],[FECHA]])</f>
        <v>1900</v>
      </c>
      <c r="I47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26" customFormat="false" ht="15" hidden="false" customHeight="false" outlineLevel="0" collapsed="false">
      <c r="A4726" s="41"/>
      <c r="G4726" s="38" t="n">
        <f aca="false">MONTH(A4726)</f>
        <v>12</v>
      </c>
      <c r="H4726" s="38" t="n">
        <f aca="false">YEAR(Tabela1[[#This Row],[FECHA]])</f>
        <v>1900</v>
      </c>
      <c r="I47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27" customFormat="false" ht="15" hidden="false" customHeight="false" outlineLevel="0" collapsed="false">
      <c r="A4727" s="41"/>
      <c r="G4727" s="38" t="n">
        <f aca="false">MONTH(A4727)</f>
        <v>12</v>
      </c>
      <c r="H4727" s="38" t="n">
        <f aca="false">YEAR(Tabela1[[#This Row],[FECHA]])</f>
        <v>1900</v>
      </c>
      <c r="I47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28" customFormat="false" ht="15" hidden="false" customHeight="false" outlineLevel="0" collapsed="false">
      <c r="A4728" s="41"/>
      <c r="G4728" s="38" t="n">
        <f aca="false">MONTH(A4728)</f>
        <v>12</v>
      </c>
      <c r="H4728" s="38" t="n">
        <f aca="false">YEAR(Tabela1[[#This Row],[FECHA]])</f>
        <v>1900</v>
      </c>
      <c r="I47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29" customFormat="false" ht="15" hidden="false" customHeight="false" outlineLevel="0" collapsed="false">
      <c r="A4729" s="41"/>
      <c r="G4729" s="38" t="n">
        <f aca="false">MONTH(A4729)</f>
        <v>12</v>
      </c>
      <c r="H4729" s="38" t="n">
        <f aca="false">YEAR(Tabela1[[#This Row],[FECHA]])</f>
        <v>1900</v>
      </c>
      <c r="I47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30" customFormat="false" ht="15" hidden="false" customHeight="false" outlineLevel="0" collapsed="false">
      <c r="A4730" s="41"/>
      <c r="G4730" s="38" t="n">
        <f aca="false">MONTH(A4730)</f>
        <v>12</v>
      </c>
      <c r="H4730" s="38" t="n">
        <f aca="false">YEAR(Tabela1[[#This Row],[FECHA]])</f>
        <v>1900</v>
      </c>
      <c r="I47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31" customFormat="false" ht="15" hidden="false" customHeight="false" outlineLevel="0" collapsed="false">
      <c r="A4731" s="41"/>
      <c r="G4731" s="38" t="n">
        <f aca="false">MONTH(A4731)</f>
        <v>12</v>
      </c>
      <c r="H4731" s="38" t="n">
        <f aca="false">YEAR(Tabela1[[#This Row],[FECHA]])</f>
        <v>1900</v>
      </c>
      <c r="I47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32" customFormat="false" ht="15" hidden="false" customHeight="false" outlineLevel="0" collapsed="false">
      <c r="A4732" s="41"/>
      <c r="G4732" s="38" t="n">
        <f aca="false">MONTH(A4732)</f>
        <v>12</v>
      </c>
      <c r="H4732" s="38" t="n">
        <f aca="false">YEAR(Tabela1[[#This Row],[FECHA]])</f>
        <v>1900</v>
      </c>
      <c r="I47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33" customFormat="false" ht="15" hidden="false" customHeight="false" outlineLevel="0" collapsed="false">
      <c r="A4733" s="41"/>
      <c r="G4733" s="38" t="n">
        <f aca="false">MONTH(A4733)</f>
        <v>12</v>
      </c>
      <c r="H4733" s="38" t="n">
        <f aca="false">YEAR(Tabela1[[#This Row],[FECHA]])</f>
        <v>1900</v>
      </c>
      <c r="I47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34" customFormat="false" ht="15" hidden="false" customHeight="false" outlineLevel="0" collapsed="false">
      <c r="A4734" s="41"/>
      <c r="G4734" s="38" t="n">
        <f aca="false">MONTH(A4734)</f>
        <v>12</v>
      </c>
      <c r="H4734" s="38" t="n">
        <f aca="false">YEAR(Tabela1[[#This Row],[FECHA]])</f>
        <v>1900</v>
      </c>
      <c r="I47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35" customFormat="false" ht="15" hidden="false" customHeight="false" outlineLevel="0" collapsed="false">
      <c r="A4735" s="41"/>
      <c r="G4735" s="38" t="n">
        <f aca="false">MONTH(A4735)</f>
        <v>12</v>
      </c>
      <c r="H4735" s="38" t="n">
        <f aca="false">YEAR(Tabela1[[#This Row],[FECHA]])</f>
        <v>1900</v>
      </c>
      <c r="I47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36" customFormat="false" ht="15" hidden="false" customHeight="false" outlineLevel="0" collapsed="false">
      <c r="A4736" s="41"/>
      <c r="G4736" s="38" t="n">
        <f aca="false">MONTH(A4736)</f>
        <v>12</v>
      </c>
      <c r="H4736" s="38" t="n">
        <f aca="false">YEAR(Tabela1[[#This Row],[FECHA]])</f>
        <v>1900</v>
      </c>
      <c r="I47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37" customFormat="false" ht="15" hidden="false" customHeight="false" outlineLevel="0" collapsed="false">
      <c r="A4737" s="41"/>
      <c r="G4737" s="38" t="n">
        <f aca="false">MONTH(A4737)</f>
        <v>12</v>
      </c>
      <c r="H4737" s="38" t="n">
        <f aca="false">YEAR(Tabela1[[#This Row],[FECHA]])</f>
        <v>1900</v>
      </c>
      <c r="I47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38" customFormat="false" ht="15" hidden="false" customHeight="false" outlineLevel="0" collapsed="false">
      <c r="A4738" s="41"/>
      <c r="G4738" s="38" t="n">
        <f aca="false">MONTH(A4738)</f>
        <v>12</v>
      </c>
      <c r="H4738" s="38" t="n">
        <f aca="false">YEAR(Tabela1[[#This Row],[FECHA]])</f>
        <v>1900</v>
      </c>
      <c r="I47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39" customFormat="false" ht="15" hidden="false" customHeight="false" outlineLevel="0" collapsed="false">
      <c r="A4739" s="41"/>
      <c r="G4739" s="38" t="n">
        <f aca="false">MONTH(A4739)</f>
        <v>12</v>
      </c>
      <c r="H4739" s="38" t="n">
        <f aca="false">YEAR(Tabela1[[#This Row],[FECHA]])</f>
        <v>1900</v>
      </c>
      <c r="I47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40" customFormat="false" ht="15" hidden="false" customHeight="false" outlineLevel="0" collapsed="false">
      <c r="A4740" s="41"/>
      <c r="G4740" s="38" t="n">
        <f aca="false">MONTH(A4740)</f>
        <v>12</v>
      </c>
      <c r="H4740" s="38" t="n">
        <f aca="false">YEAR(Tabela1[[#This Row],[FECHA]])</f>
        <v>1900</v>
      </c>
      <c r="I47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41" customFormat="false" ht="15" hidden="false" customHeight="false" outlineLevel="0" collapsed="false">
      <c r="A4741" s="41"/>
      <c r="G4741" s="38" t="n">
        <f aca="false">MONTH(A4741)</f>
        <v>12</v>
      </c>
      <c r="H4741" s="38" t="n">
        <f aca="false">YEAR(Tabela1[[#This Row],[FECHA]])</f>
        <v>1900</v>
      </c>
      <c r="I47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42" customFormat="false" ht="15" hidden="false" customHeight="false" outlineLevel="0" collapsed="false">
      <c r="A4742" s="41"/>
      <c r="G4742" s="38" t="n">
        <f aca="false">MONTH(A4742)</f>
        <v>12</v>
      </c>
      <c r="H4742" s="38" t="n">
        <f aca="false">YEAR(Tabela1[[#This Row],[FECHA]])</f>
        <v>1900</v>
      </c>
      <c r="I47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43" customFormat="false" ht="15" hidden="false" customHeight="false" outlineLevel="0" collapsed="false">
      <c r="A4743" s="41"/>
      <c r="G4743" s="38" t="n">
        <f aca="false">MONTH(A4743)</f>
        <v>12</v>
      </c>
      <c r="H4743" s="38" t="n">
        <f aca="false">YEAR(Tabela1[[#This Row],[FECHA]])</f>
        <v>1900</v>
      </c>
      <c r="I47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44" customFormat="false" ht="15" hidden="false" customHeight="false" outlineLevel="0" collapsed="false">
      <c r="A4744" s="41"/>
      <c r="G4744" s="38" t="n">
        <f aca="false">MONTH(A4744)</f>
        <v>12</v>
      </c>
      <c r="H4744" s="38" t="n">
        <f aca="false">YEAR(Tabela1[[#This Row],[FECHA]])</f>
        <v>1900</v>
      </c>
      <c r="I47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45" customFormat="false" ht="15" hidden="false" customHeight="false" outlineLevel="0" collapsed="false">
      <c r="A4745" s="41"/>
      <c r="G4745" s="38" t="n">
        <f aca="false">MONTH(A4745)</f>
        <v>12</v>
      </c>
      <c r="H4745" s="38" t="n">
        <f aca="false">YEAR(Tabela1[[#This Row],[FECHA]])</f>
        <v>1900</v>
      </c>
      <c r="I47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46" customFormat="false" ht="15" hidden="false" customHeight="false" outlineLevel="0" collapsed="false">
      <c r="A4746" s="41"/>
      <c r="G4746" s="38" t="n">
        <f aca="false">MONTH(A4746)</f>
        <v>12</v>
      </c>
      <c r="H4746" s="38" t="n">
        <f aca="false">YEAR(Tabela1[[#This Row],[FECHA]])</f>
        <v>1900</v>
      </c>
      <c r="I47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47" customFormat="false" ht="15" hidden="false" customHeight="false" outlineLevel="0" collapsed="false">
      <c r="A4747" s="41"/>
      <c r="G4747" s="38" t="n">
        <f aca="false">MONTH(A4747)</f>
        <v>12</v>
      </c>
      <c r="H4747" s="38" t="n">
        <f aca="false">YEAR(Tabela1[[#This Row],[FECHA]])</f>
        <v>1900</v>
      </c>
      <c r="I47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48" customFormat="false" ht="15" hidden="false" customHeight="false" outlineLevel="0" collapsed="false">
      <c r="A4748" s="41"/>
      <c r="G4748" s="38" t="n">
        <f aca="false">MONTH(A4748)</f>
        <v>12</v>
      </c>
      <c r="H4748" s="38" t="n">
        <f aca="false">YEAR(Tabela1[[#This Row],[FECHA]])</f>
        <v>1900</v>
      </c>
      <c r="I47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49" customFormat="false" ht="15" hidden="false" customHeight="false" outlineLevel="0" collapsed="false">
      <c r="A4749" s="41"/>
      <c r="G4749" s="38" t="n">
        <f aca="false">MONTH(A4749)</f>
        <v>12</v>
      </c>
      <c r="H4749" s="38" t="n">
        <f aca="false">YEAR(Tabela1[[#This Row],[FECHA]])</f>
        <v>1900</v>
      </c>
      <c r="I47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50" customFormat="false" ht="15" hidden="false" customHeight="false" outlineLevel="0" collapsed="false">
      <c r="A4750" s="41"/>
      <c r="G4750" s="38" t="n">
        <f aca="false">MONTH(A4750)</f>
        <v>12</v>
      </c>
      <c r="H4750" s="38" t="n">
        <f aca="false">YEAR(Tabela1[[#This Row],[FECHA]])</f>
        <v>1900</v>
      </c>
      <c r="I47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51" customFormat="false" ht="15" hidden="false" customHeight="false" outlineLevel="0" collapsed="false">
      <c r="A4751" s="41"/>
      <c r="G4751" s="38" t="n">
        <f aca="false">MONTH(A4751)</f>
        <v>12</v>
      </c>
      <c r="H4751" s="38" t="n">
        <f aca="false">YEAR(Tabela1[[#This Row],[FECHA]])</f>
        <v>1900</v>
      </c>
      <c r="I47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52" customFormat="false" ht="15" hidden="false" customHeight="false" outlineLevel="0" collapsed="false">
      <c r="A4752" s="41"/>
      <c r="G4752" s="38" t="n">
        <f aca="false">MONTH(A4752)</f>
        <v>12</v>
      </c>
      <c r="H4752" s="38" t="n">
        <f aca="false">YEAR(Tabela1[[#This Row],[FECHA]])</f>
        <v>1900</v>
      </c>
      <c r="I47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53" customFormat="false" ht="15" hidden="false" customHeight="false" outlineLevel="0" collapsed="false">
      <c r="A4753" s="41"/>
      <c r="G4753" s="38" t="n">
        <f aca="false">MONTH(A4753)</f>
        <v>12</v>
      </c>
      <c r="H4753" s="38" t="n">
        <f aca="false">YEAR(Tabela1[[#This Row],[FECHA]])</f>
        <v>1900</v>
      </c>
      <c r="I47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54" customFormat="false" ht="15" hidden="false" customHeight="false" outlineLevel="0" collapsed="false">
      <c r="A4754" s="41"/>
      <c r="G4754" s="38" t="n">
        <f aca="false">MONTH(A4754)</f>
        <v>12</v>
      </c>
      <c r="H4754" s="38" t="n">
        <f aca="false">YEAR(Tabela1[[#This Row],[FECHA]])</f>
        <v>1900</v>
      </c>
      <c r="I47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55" customFormat="false" ht="15" hidden="false" customHeight="false" outlineLevel="0" collapsed="false">
      <c r="A4755" s="41"/>
      <c r="G4755" s="38" t="n">
        <f aca="false">MONTH(A4755)</f>
        <v>12</v>
      </c>
      <c r="H4755" s="38" t="n">
        <f aca="false">YEAR(Tabela1[[#This Row],[FECHA]])</f>
        <v>1900</v>
      </c>
      <c r="I47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56" customFormat="false" ht="15" hidden="false" customHeight="false" outlineLevel="0" collapsed="false">
      <c r="A4756" s="41"/>
      <c r="G4756" s="38" t="n">
        <f aca="false">MONTH(A4756)</f>
        <v>12</v>
      </c>
      <c r="H4756" s="38" t="n">
        <f aca="false">YEAR(Tabela1[[#This Row],[FECHA]])</f>
        <v>1900</v>
      </c>
      <c r="I47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57" customFormat="false" ht="15" hidden="false" customHeight="false" outlineLevel="0" collapsed="false">
      <c r="A4757" s="41"/>
      <c r="G4757" s="38" t="n">
        <f aca="false">MONTH(A4757)</f>
        <v>12</v>
      </c>
      <c r="H4757" s="38" t="n">
        <f aca="false">YEAR(Tabela1[[#This Row],[FECHA]])</f>
        <v>1900</v>
      </c>
      <c r="I47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58" customFormat="false" ht="15" hidden="false" customHeight="false" outlineLevel="0" collapsed="false">
      <c r="A4758" s="41"/>
      <c r="G4758" s="38" t="n">
        <f aca="false">MONTH(A4758)</f>
        <v>12</v>
      </c>
      <c r="H4758" s="38" t="n">
        <f aca="false">YEAR(Tabela1[[#This Row],[FECHA]])</f>
        <v>1900</v>
      </c>
      <c r="I47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59" customFormat="false" ht="15" hidden="false" customHeight="false" outlineLevel="0" collapsed="false">
      <c r="A4759" s="41"/>
      <c r="G4759" s="38" t="n">
        <f aca="false">MONTH(A4759)</f>
        <v>12</v>
      </c>
      <c r="H4759" s="38" t="n">
        <f aca="false">YEAR(Tabela1[[#This Row],[FECHA]])</f>
        <v>1900</v>
      </c>
      <c r="I47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60" customFormat="false" ht="15" hidden="false" customHeight="false" outlineLevel="0" collapsed="false">
      <c r="A4760" s="41"/>
      <c r="G4760" s="38" t="n">
        <f aca="false">MONTH(A4760)</f>
        <v>12</v>
      </c>
      <c r="H4760" s="38" t="n">
        <f aca="false">YEAR(Tabela1[[#This Row],[FECHA]])</f>
        <v>1900</v>
      </c>
      <c r="I47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61" customFormat="false" ht="15" hidden="false" customHeight="false" outlineLevel="0" collapsed="false">
      <c r="A4761" s="41"/>
      <c r="G4761" s="38" t="n">
        <f aca="false">MONTH(A4761)</f>
        <v>12</v>
      </c>
      <c r="H4761" s="38" t="n">
        <f aca="false">YEAR(Tabela1[[#This Row],[FECHA]])</f>
        <v>1900</v>
      </c>
      <c r="I47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62" customFormat="false" ht="15" hidden="false" customHeight="false" outlineLevel="0" collapsed="false">
      <c r="A4762" s="41"/>
      <c r="G4762" s="38" t="n">
        <f aca="false">MONTH(A4762)</f>
        <v>12</v>
      </c>
      <c r="H4762" s="38" t="n">
        <f aca="false">YEAR(Tabela1[[#This Row],[FECHA]])</f>
        <v>1900</v>
      </c>
      <c r="I47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63" customFormat="false" ht="15" hidden="false" customHeight="false" outlineLevel="0" collapsed="false">
      <c r="A4763" s="41"/>
      <c r="G4763" s="38" t="n">
        <f aca="false">MONTH(A4763)</f>
        <v>12</v>
      </c>
      <c r="H4763" s="38" t="n">
        <f aca="false">YEAR(Tabela1[[#This Row],[FECHA]])</f>
        <v>1900</v>
      </c>
      <c r="I47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64" customFormat="false" ht="15" hidden="false" customHeight="false" outlineLevel="0" collapsed="false">
      <c r="A4764" s="41"/>
      <c r="G4764" s="38" t="n">
        <f aca="false">MONTH(A4764)</f>
        <v>12</v>
      </c>
      <c r="H4764" s="38" t="n">
        <f aca="false">YEAR(Tabela1[[#This Row],[FECHA]])</f>
        <v>1900</v>
      </c>
      <c r="I47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65" customFormat="false" ht="15" hidden="false" customHeight="false" outlineLevel="0" collapsed="false">
      <c r="A4765" s="41"/>
      <c r="G4765" s="38" t="n">
        <f aca="false">MONTH(A4765)</f>
        <v>12</v>
      </c>
      <c r="H4765" s="38" t="n">
        <f aca="false">YEAR(Tabela1[[#This Row],[FECHA]])</f>
        <v>1900</v>
      </c>
      <c r="I47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66" customFormat="false" ht="15" hidden="false" customHeight="false" outlineLevel="0" collapsed="false">
      <c r="A4766" s="41"/>
      <c r="G4766" s="38" t="n">
        <f aca="false">MONTH(A4766)</f>
        <v>12</v>
      </c>
      <c r="H4766" s="38" t="n">
        <f aca="false">YEAR(Tabela1[[#This Row],[FECHA]])</f>
        <v>1900</v>
      </c>
      <c r="I47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67" customFormat="false" ht="15" hidden="false" customHeight="false" outlineLevel="0" collapsed="false">
      <c r="A4767" s="41"/>
      <c r="G4767" s="38" t="n">
        <f aca="false">MONTH(A4767)</f>
        <v>12</v>
      </c>
      <c r="H4767" s="38" t="n">
        <f aca="false">YEAR(Tabela1[[#This Row],[FECHA]])</f>
        <v>1900</v>
      </c>
      <c r="I47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68" customFormat="false" ht="15" hidden="false" customHeight="false" outlineLevel="0" collapsed="false">
      <c r="A4768" s="41"/>
      <c r="G4768" s="38" t="n">
        <f aca="false">MONTH(A4768)</f>
        <v>12</v>
      </c>
      <c r="H4768" s="38" t="n">
        <f aca="false">YEAR(Tabela1[[#This Row],[FECHA]])</f>
        <v>1900</v>
      </c>
      <c r="I47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69" customFormat="false" ht="15" hidden="false" customHeight="false" outlineLevel="0" collapsed="false">
      <c r="A4769" s="41"/>
      <c r="G4769" s="38" t="n">
        <f aca="false">MONTH(A4769)</f>
        <v>12</v>
      </c>
      <c r="H4769" s="38" t="n">
        <f aca="false">YEAR(Tabela1[[#This Row],[FECHA]])</f>
        <v>1900</v>
      </c>
      <c r="I47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70" customFormat="false" ht="15" hidden="false" customHeight="false" outlineLevel="0" collapsed="false">
      <c r="A4770" s="41"/>
      <c r="G4770" s="38" t="n">
        <f aca="false">MONTH(A4770)</f>
        <v>12</v>
      </c>
      <c r="H4770" s="38" t="n">
        <f aca="false">YEAR(Tabela1[[#This Row],[FECHA]])</f>
        <v>1900</v>
      </c>
      <c r="I47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71" customFormat="false" ht="15" hidden="false" customHeight="false" outlineLevel="0" collapsed="false">
      <c r="A4771" s="41"/>
      <c r="G4771" s="38" t="n">
        <f aca="false">MONTH(A4771)</f>
        <v>12</v>
      </c>
      <c r="H4771" s="38" t="n">
        <f aca="false">YEAR(Tabela1[[#This Row],[FECHA]])</f>
        <v>1900</v>
      </c>
      <c r="I47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72" customFormat="false" ht="15" hidden="false" customHeight="false" outlineLevel="0" collapsed="false">
      <c r="A4772" s="41"/>
      <c r="G4772" s="38" t="n">
        <f aca="false">MONTH(A4772)</f>
        <v>12</v>
      </c>
      <c r="H4772" s="38" t="n">
        <f aca="false">YEAR(Tabela1[[#This Row],[FECHA]])</f>
        <v>1900</v>
      </c>
      <c r="I47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73" customFormat="false" ht="15" hidden="false" customHeight="false" outlineLevel="0" collapsed="false">
      <c r="A4773" s="41"/>
      <c r="G4773" s="38" t="n">
        <f aca="false">MONTH(A4773)</f>
        <v>12</v>
      </c>
      <c r="H4773" s="38" t="n">
        <f aca="false">YEAR(Tabela1[[#This Row],[FECHA]])</f>
        <v>1900</v>
      </c>
      <c r="I47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74" customFormat="false" ht="15" hidden="false" customHeight="false" outlineLevel="0" collapsed="false">
      <c r="A4774" s="41"/>
      <c r="G4774" s="38" t="n">
        <f aca="false">MONTH(A4774)</f>
        <v>12</v>
      </c>
      <c r="H4774" s="38" t="n">
        <f aca="false">YEAR(Tabela1[[#This Row],[FECHA]])</f>
        <v>1900</v>
      </c>
      <c r="I47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75" customFormat="false" ht="15" hidden="false" customHeight="false" outlineLevel="0" collapsed="false">
      <c r="A4775" s="41"/>
      <c r="G4775" s="38" t="n">
        <f aca="false">MONTH(A4775)</f>
        <v>12</v>
      </c>
      <c r="H4775" s="38" t="n">
        <f aca="false">YEAR(Tabela1[[#This Row],[FECHA]])</f>
        <v>1900</v>
      </c>
      <c r="I47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76" customFormat="false" ht="15" hidden="false" customHeight="false" outlineLevel="0" collapsed="false">
      <c r="A4776" s="41"/>
      <c r="G4776" s="38" t="n">
        <f aca="false">MONTH(A4776)</f>
        <v>12</v>
      </c>
      <c r="H4776" s="38" t="n">
        <f aca="false">YEAR(Tabela1[[#This Row],[FECHA]])</f>
        <v>1900</v>
      </c>
      <c r="I47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77" customFormat="false" ht="15" hidden="false" customHeight="false" outlineLevel="0" collapsed="false">
      <c r="A4777" s="41"/>
      <c r="G4777" s="38" t="n">
        <f aca="false">MONTH(A4777)</f>
        <v>12</v>
      </c>
      <c r="H4777" s="38" t="n">
        <f aca="false">YEAR(Tabela1[[#This Row],[FECHA]])</f>
        <v>1900</v>
      </c>
      <c r="I47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78" customFormat="false" ht="15" hidden="false" customHeight="false" outlineLevel="0" collapsed="false">
      <c r="A4778" s="41"/>
      <c r="G4778" s="38" t="n">
        <f aca="false">MONTH(A4778)</f>
        <v>12</v>
      </c>
      <c r="H4778" s="38" t="n">
        <f aca="false">YEAR(Tabela1[[#This Row],[FECHA]])</f>
        <v>1900</v>
      </c>
      <c r="I47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79" customFormat="false" ht="15" hidden="false" customHeight="false" outlineLevel="0" collapsed="false">
      <c r="A4779" s="41"/>
      <c r="G4779" s="38" t="n">
        <f aca="false">MONTH(A4779)</f>
        <v>12</v>
      </c>
      <c r="H4779" s="38" t="n">
        <f aca="false">YEAR(Tabela1[[#This Row],[FECHA]])</f>
        <v>1900</v>
      </c>
      <c r="I47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80" customFormat="false" ht="15" hidden="false" customHeight="false" outlineLevel="0" collapsed="false">
      <c r="A4780" s="41"/>
      <c r="G4780" s="38" t="n">
        <f aca="false">MONTH(A4780)</f>
        <v>12</v>
      </c>
      <c r="H4780" s="38" t="n">
        <f aca="false">YEAR(Tabela1[[#This Row],[FECHA]])</f>
        <v>1900</v>
      </c>
      <c r="I47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81" customFormat="false" ht="15" hidden="false" customHeight="false" outlineLevel="0" collapsed="false">
      <c r="A4781" s="41"/>
      <c r="G4781" s="38" t="n">
        <f aca="false">MONTH(A4781)</f>
        <v>12</v>
      </c>
      <c r="H4781" s="38" t="n">
        <f aca="false">YEAR(Tabela1[[#This Row],[FECHA]])</f>
        <v>1900</v>
      </c>
      <c r="I47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82" customFormat="false" ht="15" hidden="false" customHeight="false" outlineLevel="0" collapsed="false">
      <c r="A4782" s="41"/>
      <c r="G4782" s="38" t="n">
        <f aca="false">MONTH(A4782)</f>
        <v>12</v>
      </c>
      <c r="H4782" s="38" t="n">
        <f aca="false">YEAR(Tabela1[[#This Row],[FECHA]])</f>
        <v>1900</v>
      </c>
      <c r="I47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83" customFormat="false" ht="15" hidden="false" customHeight="false" outlineLevel="0" collapsed="false">
      <c r="A4783" s="41"/>
      <c r="G4783" s="38" t="n">
        <f aca="false">MONTH(A4783)</f>
        <v>12</v>
      </c>
      <c r="H4783" s="38" t="n">
        <f aca="false">YEAR(Tabela1[[#This Row],[FECHA]])</f>
        <v>1900</v>
      </c>
      <c r="I47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84" customFormat="false" ht="15" hidden="false" customHeight="false" outlineLevel="0" collapsed="false">
      <c r="A4784" s="41"/>
      <c r="G4784" s="38" t="n">
        <f aca="false">MONTH(A4784)</f>
        <v>12</v>
      </c>
      <c r="H4784" s="38" t="n">
        <f aca="false">YEAR(Tabela1[[#This Row],[FECHA]])</f>
        <v>1900</v>
      </c>
      <c r="I47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85" customFormat="false" ht="15" hidden="false" customHeight="false" outlineLevel="0" collapsed="false">
      <c r="A4785" s="41"/>
      <c r="G4785" s="38" t="n">
        <f aca="false">MONTH(A4785)</f>
        <v>12</v>
      </c>
      <c r="H4785" s="38" t="n">
        <f aca="false">YEAR(Tabela1[[#This Row],[FECHA]])</f>
        <v>1900</v>
      </c>
      <c r="I47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86" customFormat="false" ht="15" hidden="false" customHeight="false" outlineLevel="0" collapsed="false">
      <c r="A4786" s="41"/>
      <c r="G4786" s="38" t="n">
        <f aca="false">MONTH(A4786)</f>
        <v>12</v>
      </c>
      <c r="H4786" s="38" t="n">
        <f aca="false">YEAR(Tabela1[[#This Row],[FECHA]])</f>
        <v>1900</v>
      </c>
      <c r="I47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87" customFormat="false" ht="15" hidden="false" customHeight="false" outlineLevel="0" collapsed="false">
      <c r="A4787" s="41"/>
      <c r="G4787" s="38" t="n">
        <f aca="false">MONTH(A4787)</f>
        <v>12</v>
      </c>
      <c r="H4787" s="38" t="n">
        <f aca="false">YEAR(Tabela1[[#This Row],[FECHA]])</f>
        <v>1900</v>
      </c>
      <c r="I47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88" customFormat="false" ht="15" hidden="false" customHeight="false" outlineLevel="0" collapsed="false">
      <c r="A4788" s="41"/>
      <c r="G4788" s="38" t="n">
        <f aca="false">MONTH(A4788)</f>
        <v>12</v>
      </c>
      <c r="H4788" s="38" t="n">
        <f aca="false">YEAR(Tabela1[[#This Row],[FECHA]])</f>
        <v>1900</v>
      </c>
      <c r="I47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89" customFormat="false" ht="15" hidden="false" customHeight="false" outlineLevel="0" collapsed="false">
      <c r="A4789" s="41"/>
      <c r="G4789" s="38" t="n">
        <f aca="false">MONTH(A4789)</f>
        <v>12</v>
      </c>
      <c r="H4789" s="38" t="n">
        <f aca="false">YEAR(Tabela1[[#This Row],[FECHA]])</f>
        <v>1900</v>
      </c>
      <c r="I47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90" customFormat="false" ht="15" hidden="false" customHeight="false" outlineLevel="0" collapsed="false">
      <c r="A4790" s="41"/>
      <c r="G4790" s="38" t="n">
        <f aca="false">MONTH(A4790)</f>
        <v>12</v>
      </c>
      <c r="H4790" s="38" t="n">
        <f aca="false">YEAR(Tabela1[[#This Row],[FECHA]])</f>
        <v>1900</v>
      </c>
      <c r="I47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91" customFormat="false" ht="15" hidden="false" customHeight="false" outlineLevel="0" collapsed="false">
      <c r="A4791" s="41"/>
      <c r="G4791" s="38" t="n">
        <f aca="false">MONTH(A4791)</f>
        <v>12</v>
      </c>
      <c r="H4791" s="38" t="n">
        <f aca="false">YEAR(Tabela1[[#This Row],[FECHA]])</f>
        <v>1900</v>
      </c>
      <c r="I47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92" customFormat="false" ht="15" hidden="false" customHeight="false" outlineLevel="0" collapsed="false">
      <c r="A4792" s="41"/>
      <c r="G4792" s="38" t="n">
        <f aca="false">MONTH(A4792)</f>
        <v>12</v>
      </c>
      <c r="H4792" s="38" t="n">
        <f aca="false">YEAR(Tabela1[[#This Row],[FECHA]])</f>
        <v>1900</v>
      </c>
      <c r="I47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93" customFormat="false" ht="15" hidden="false" customHeight="false" outlineLevel="0" collapsed="false">
      <c r="A4793" s="41"/>
      <c r="G4793" s="38" t="n">
        <f aca="false">MONTH(A4793)</f>
        <v>12</v>
      </c>
      <c r="H4793" s="38" t="n">
        <f aca="false">YEAR(Tabela1[[#This Row],[FECHA]])</f>
        <v>1900</v>
      </c>
      <c r="I47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94" customFormat="false" ht="15" hidden="false" customHeight="false" outlineLevel="0" collapsed="false">
      <c r="A4794" s="41"/>
      <c r="G4794" s="38" t="n">
        <f aca="false">MONTH(A4794)</f>
        <v>12</v>
      </c>
      <c r="H4794" s="38" t="n">
        <f aca="false">YEAR(Tabela1[[#This Row],[FECHA]])</f>
        <v>1900</v>
      </c>
      <c r="I47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95" customFormat="false" ht="15" hidden="false" customHeight="false" outlineLevel="0" collapsed="false">
      <c r="A4795" s="41"/>
      <c r="G4795" s="38" t="n">
        <f aca="false">MONTH(A4795)</f>
        <v>12</v>
      </c>
      <c r="H4795" s="38" t="n">
        <f aca="false">YEAR(Tabela1[[#This Row],[FECHA]])</f>
        <v>1900</v>
      </c>
      <c r="I47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96" customFormat="false" ht="15" hidden="false" customHeight="false" outlineLevel="0" collapsed="false">
      <c r="A4796" s="41"/>
      <c r="G4796" s="38" t="n">
        <f aca="false">MONTH(A4796)</f>
        <v>12</v>
      </c>
      <c r="H4796" s="38" t="n">
        <f aca="false">YEAR(Tabela1[[#This Row],[FECHA]])</f>
        <v>1900</v>
      </c>
      <c r="I47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97" customFormat="false" ht="15" hidden="false" customHeight="false" outlineLevel="0" collapsed="false">
      <c r="A4797" s="41"/>
      <c r="G4797" s="38" t="n">
        <f aca="false">MONTH(A4797)</f>
        <v>12</v>
      </c>
      <c r="H4797" s="38" t="n">
        <f aca="false">YEAR(Tabela1[[#This Row],[FECHA]])</f>
        <v>1900</v>
      </c>
      <c r="I47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98" customFormat="false" ht="15" hidden="false" customHeight="false" outlineLevel="0" collapsed="false">
      <c r="A4798" s="41"/>
      <c r="G4798" s="38" t="n">
        <f aca="false">MONTH(A4798)</f>
        <v>12</v>
      </c>
      <c r="H4798" s="38" t="n">
        <f aca="false">YEAR(Tabela1[[#This Row],[FECHA]])</f>
        <v>1900</v>
      </c>
      <c r="I47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799" customFormat="false" ht="15" hidden="false" customHeight="false" outlineLevel="0" collapsed="false">
      <c r="A4799" s="41"/>
      <c r="G4799" s="38" t="n">
        <f aca="false">MONTH(A4799)</f>
        <v>12</v>
      </c>
      <c r="H4799" s="38" t="n">
        <f aca="false">YEAR(Tabela1[[#This Row],[FECHA]])</f>
        <v>1900</v>
      </c>
      <c r="I47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00" customFormat="false" ht="15" hidden="false" customHeight="false" outlineLevel="0" collapsed="false">
      <c r="A4800" s="41"/>
      <c r="G4800" s="38" t="n">
        <f aca="false">MONTH(A4800)</f>
        <v>12</v>
      </c>
      <c r="H4800" s="38" t="n">
        <f aca="false">YEAR(Tabela1[[#This Row],[FECHA]])</f>
        <v>1900</v>
      </c>
      <c r="I48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01" customFormat="false" ht="15" hidden="false" customHeight="false" outlineLevel="0" collapsed="false">
      <c r="A4801" s="41"/>
      <c r="G4801" s="38" t="n">
        <f aca="false">MONTH(A4801)</f>
        <v>12</v>
      </c>
      <c r="H4801" s="38" t="n">
        <f aca="false">YEAR(Tabela1[[#This Row],[FECHA]])</f>
        <v>1900</v>
      </c>
      <c r="I48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02" customFormat="false" ht="15" hidden="false" customHeight="false" outlineLevel="0" collapsed="false">
      <c r="A4802" s="41"/>
      <c r="G4802" s="38" t="n">
        <f aca="false">MONTH(A4802)</f>
        <v>12</v>
      </c>
      <c r="H4802" s="38" t="n">
        <f aca="false">YEAR(Tabela1[[#This Row],[FECHA]])</f>
        <v>1900</v>
      </c>
      <c r="I48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03" customFormat="false" ht="15" hidden="false" customHeight="false" outlineLevel="0" collapsed="false">
      <c r="A4803" s="41"/>
      <c r="G4803" s="38" t="n">
        <f aca="false">MONTH(A4803)</f>
        <v>12</v>
      </c>
      <c r="H4803" s="38" t="n">
        <f aca="false">YEAR(Tabela1[[#This Row],[FECHA]])</f>
        <v>1900</v>
      </c>
      <c r="I48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04" customFormat="false" ht="15" hidden="false" customHeight="false" outlineLevel="0" collapsed="false">
      <c r="A4804" s="41"/>
      <c r="G4804" s="38" t="n">
        <f aca="false">MONTH(A4804)</f>
        <v>12</v>
      </c>
      <c r="H4804" s="38" t="n">
        <f aca="false">YEAR(Tabela1[[#This Row],[FECHA]])</f>
        <v>1900</v>
      </c>
      <c r="I48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05" customFormat="false" ht="15" hidden="false" customHeight="false" outlineLevel="0" collapsed="false">
      <c r="A4805" s="41"/>
      <c r="G4805" s="38" t="n">
        <f aca="false">MONTH(A4805)</f>
        <v>12</v>
      </c>
      <c r="H4805" s="38" t="n">
        <f aca="false">YEAR(Tabela1[[#This Row],[FECHA]])</f>
        <v>1900</v>
      </c>
      <c r="I48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06" customFormat="false" ht="15" hidden="false" customHeight="false" outlineLevel="0" collapsed="false">
      <c r="A4806" s="41"/>
      <c r="G4806" s="38" t="n">
        <f aca="false">MONTH(A4806)</f>
        <v>12</v>
      </c>
      <c r="H4806" s="38" t="n">
        <f aca="false">YEAR(Tabela1[[#This Row],[FECHA]])</f>
        <v>1900</v>
      </c>
      <c r="I48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07" customFormat="false" ht="15" hidden="false" customHeight="false" outlineLevel="0" collapsed="false">
      <c r="A4807" s="41"/>
      <c r="G4807" s="38" t="n">
        <f aca="false">MONTH(A4807)</f>
        <v>12</v>
      </c>
      <c r="H4807" s="38" t="n">
        <f aca="false">YEAR(Tabela1[[#This Row],[FECHA]])</f>
        <v>1900</v>
      </c>
      <c r="I48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08" customFormat="false" ht="15" hidden="false" customHeight="false" outlineLevel="0" collapsed="false">
      <c r="A4808" s="41"/>
      <c r="G4808" s="38" t="n">
        <f aca="false">MONTH(A4808)</f>
        <v>12</v>
      </c>
      <c r="H4808" s="38" t="n">
        <f aca="false">YEAR(Tabela1[[#This Row],[FECHA]])</f>
        <v>1900</v>
      </c>
      <c r="I48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09" customFormat="false" ht="15" hidden="false" customHeight="false" outlineLevel="0" collapsed="false">
      <c r="A4809" s="41"/>
      <c r="G4809" s="38" t="n">
        <f aca="false">MONTH(A4809)</f>
        <v>12</v>
      </c>
      <c r="H4809" s="38" t="n">
        <f aca="false">YEAR(Tabela1[[#This Row],[FECHA]])</f>
        <v>1900</v>
      </c>
      <c r="I48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10" customFormat="false" ht="15" hidden="false" customHeight="false" outlineLevel="0" collapsed="false">
      <c r="A4810" s="41"/>
      <c r="G4810" s="38" t="n">
        <f aca="false">MONTH(A4810)</f>
        <v>12</v>
      </c>
      <c r="H4810" s="38" t="n">
        <f aca="false">YEAR(Tabela1[[#This Row],[FECHA]])</f>
        <v>1900</v>
      </c>
      <c r="I48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11" customFormat="false" ht="15" hidden="false" customHeight="false" outlineLevel="0" collapsed="false">
      <c r="A4811" s="41"/>
      <c r="G4811" s="38" t="n">
        <f aca="false">MONTH(A4811)</f>
        <v>12</v>
      </c>
      <c r="H4811" s="38" t="n">
        <f aca="false">YEAR(Tabela1[[#This Row],[FECHA]])</f>
        <v>1900</v>
      </c>
      <c r="I48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12" customFormat="false" ht="15" hidden="false" customHeight="false" outlineLevel="0" collapsed="false">
      <c r="A4812" s="41"/>
      <c r="G4812" s="38" t="n">
        <f aca="false">MONTH(A4812)</f>
        <v>12</v>
      </c>
      <c r="H4812" s="38" t="n">
        <f aca="false">YEAR(Tabela1[[#This Row],[FECHA]])</f>
        <v>1900</v>
      </c>
      <c r="I48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13" customFormat="false" ht="15" hidden="false" customHeight="false" outlineLevel="0" collapsed="false">
      <c r="A4813" s="41"/>
      <c r="G4813" s="38" t="n">
        <f aca="false">MONTH(A4813)</f>
        <v>12</v>
      </c>
      <c r="H4813" s="38" t="n">
        <f aca="false">YEAR(Tabela1[[#This Row],[FECHA]])</f>
        <v>1900</v>
      </c>
      <c r="I48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14" customFormat="false" ht="15" hidden="false" customHeight="false" outlineLevel="0" collapsed="false">
      <c r="A4814" s="41"/>
      <c r="G4814" s="38" t="n">
        <f aca="false">MONTH(A4814)</f>
        <v>12</v>
      </c>
      <c r="H4814" s="38" t="n">
        <f aca="false">YEAR(Tabela1[[#This Row],[FECHA]])</f>
        <v>1900</v>
      </c>
      <c r="I48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15" customFormat="false" ht="15" hidden="false" customHeight="false" outlineLevel="0" collapsed="false">
      <c r="A4815" s="41"/>
      <c r="G4815" s="38" t="n">
        <f aca="false">MONTH(A4815)</f>
        <v>12</v>
      </c>
      <c r="H4815" s="38" t="n">
        <f aca="false">YEAR(Tabela1[[#This Row],[FECHA]])</f>
        <v>1900</v>
      </c>
      <c r="I48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16" customFormat="false" ht="15" hidden="false" customHeight="false" outlineLevel="0" collapsed="false">
      <c r="A4816" s="41"/>
      <c r="G4816" s="38" t="n">
        <f aca="false">MONTH(A4816)</f>
        <v>12</v>
      </c>
      <c r="H4816" s="38" t="n">
        <f aca="false">YEAR(Tabela1[[#This Row],[FECHA]])</f>
        <v>1900</v>
      </c>
      <c r="I48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17" customFormat="false" ht="15" hidden="false" customHeight="false" outlineLevel="0" collapsed="false">
      <c r="A4817" s="41"/>
      <c r="G4817" s="38" t="n">
        <f aca="false">MONTH(A4817)</f>
        <v>12</v>
      </c>
      <c r="H4817" s="38" t="n">
        <f aca="false">YEAR(Tabela1[[#This Row],[FECHA]])</f>
        <v>1900</v>
      </c>
      <c r="I48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18" customFormat="false" ht="15" hidden="false" customHeight="false" outlineLevel="0" collapsed="false">
      <c r="A4818" s="41"/>
      <c r="G4818" s="38" t="n">
        <f aca="false">MONTH(A4818)</f>
        <v>12</v>
      </c>
      <c r="H4818" s="38" t="n">
        <f aca="false">YEAR(Tabela1[[#This Row],[FECHA]])</f>
        <v>1900</v>
      </c>
      <c r="I48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19" customFormat="false" ht="15" hidden="false" customHeight="false" outlineLevel="0" collapsed="false">
      <c r="A4819" s="41"/>
      <c r="G4819" s="38" t="n">
        <f aca="false">MONTH(A4819)</f>
        <v>12</v>
      </c>
      <c r="H4819" s="38" t="n">
        <f aca="false">YEAR(Tabela1[[#This Row],[FECHA]])</f>
        <v>1900</v>
      </c>
      <c r="I48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20" customFormat="false" ht="15" hidden="false" customHeight="false" outlineLevel="0" collapsed="false">
      <c r="A4820" s="41"/>
      <c r="G4820" s="38" t="n">
        <f aca="false">MONTH(A4820)</f>
        <v>12</v>
      </c>
      <c r="H4820" s="38" t="n">
        <f aca="false">YEAR(Tabela1[[#This Row],[FECHA]])</f>
        <v>1900</v>
      </c>
      <c r="I48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21" customFormat="false" ht="15" hidden="false" customHeight="false" outlineLevel="0" collapsed="false">
      <c r="A4821" s="41"/>
      <c r="G4821" s="38" t="n">
        <f aca="false">MONTH(A4821)</f>
        <v>12</v>
      </c>
      <c r="H4821" s="38" t="n">
        <f aca="false">YEAR(Tabela1[[#This Row],[FECHA]])</f>
        <v>1900</v>
      </c>
      <c r="I48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22" customFormat="false" ht="15" hidden="false" customHeight="false" outlineLevel="0" collapsed="false">
      <c r="A4822" s="41"/>
      <c r="G4822" s="38" t="n">
        <f aca="false">MONTH(A4822)</f>
        <v>12</v>
      </c>
      <c r="H4822" s="38" t="n">
        <f aca="false">YEAR(Tabela1[[#This Row],[FECHA]])</f>
        <v>1900</v>
      </c>
      <c r="I48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23" customFormat="false" ht="15" hidden="false" customHeight="false" outlineLevel="0" collapsed="false">
      <c r="A4823" s="41"/>
      <c r="G4823" s="38" t="n">
        <f aca="false">MONTH(A4823)</f>
        <v>12</v>
      </c>
      <c r="H4823" s="38" t="n">
        <f aca="false">YEAR(Tabela1[[#This Row],[FECHA]])</f>
        <v>1900</v>
      </c>
      <c r="I48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24" customFormat="false" ht="15" hidden="false" customHeight="false" outlineLevel="0" collapsed="false">
      <c r="A4824" s="41"/>
      <c r="G4824" s="38" t="n">
        <f aca="false">MONTH(A4824)</f>
        <v>12</v>
      </c>
      <c r="H4824" s="38" t="n">
        <f aca="false">YEAR(Tabela1[[#This Row],[FECHA]])</f>
        <v>1900</v>
      </c>
      <c r="I48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25" customFormat="false" ht="15" hidden="false" customHeight="false" outlineLevel="0" collapsed="false">
      <c r="A4825" s="41"/>
      <c r="G4825" s="38" t="n">
        <f aca="false">MONTH(A4825)</f>
        <v>12</v>
      </c>
      <c r="H4825" s="38" t="n">
        <f aca="false">YEAR(Tabela1[[#This Row],[FECHA]])</f>
        <v>1900</v>
      </c>
      <c r="I48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26" customFormat="false" ht="15" hidden="false" customHeight="false" outlineLevel="0" collapsed="false">
      <c r="A4826" s="41"/>
      <c r="G4826" s="38" t="n">
        <f aca="false">MONTH(A4826)</f>
        <v>12</v>
      </c>
      <c r="H4826" s="38" t="n">
        <f aca="false">YEAR(Tabela1[[#This Row],[FECHA]])</f>
        <v>1900</v>
      </c>
      <c r="I48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27" customFormat="false" ht="15" hidden="false" customHeight="false" outlineLevel="0" collapsed="false">
      <c r="A4827" s="41"/>
      <c r="G4827" s="38" t="n">
        <f aca="false">MONTH(A4827)</f>
        <v>12</v>
      </c>
      <c r="H4827" s="38" t="n">
        <f aca="false">YEAR(Tabela1[[#This Row],[FECHA]])</f>
        <v>1900</v>
      </c>
      <c r="I48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28" customFormat="false" ht="15" hidden="false" customHeight="false" outlineLevel="0" collapsed="false">
      <c r="A4828" s="41"/>
      <c r="G4828" s="38" t="n">
        <f aca="false">MONTH(A4828)</f>
        <v>12</v>
      </c>
      <c r="H4828" s="38" t="n">
        <f aca="false">YEAR(Tabela1[[#This Row],[FECHA]])</f>
        <v>1900</v>
      </c>
      <c r="I48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29" customFormat="false" ht="15" hidden="false" customHeight="false" outlineLevel="0" collapsed="false">
      <c r="A4829" s="41"/>
      <c r="G4829" s="38" t="n">
        <f aca="false">MONTH(A4829)</f>
        <v>12</v>
      </c>
      <c r="H4829" s="38" t="n">
        <f aca="false">YEAR(Tabela1[[#This Row],[FECHA]])</f>
        <v>1900</v>
      </c>
      <c r="I48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30" customFormat="false" ht="15" hidden="false" customHeight="false" outlineLevel="0" collapsed="false">
      <c r="A4830" s="41"/>
      <c r="G4830" s="38" t="n">
        <f aca="false">MONTH(A4830)</f>
        <v>12</v>
      </c>
      <c r="H4830" s="38" t="n">
        <f aca="false">YEAR(Tabela1[[#This Row],[FECHA]])</f>
        <v>1900</v>
      </c>
      <c r="I48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31" customFormat="false" ht="15" hidden="false" customHeight="false" outlineLevel="0" collapsed="false">
      <c r="A4831" s="41"/>
      <c r="G4831" s="38" t="n">
        <f aca="false">MONTH(A4831)</f>
        <v>12</v>
      </c>
      <c r="H4831" s="38" t="n">
        <f aca="false">YEAR(Tabela1[[#This Row],[FECHA]])</f>
        <v>1900</v>
      </c>
      <c r="I48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32" customFormat="false" ht="15" hidden="false" customHeight="false" outlineLevel="0" collapsed="false">
      <c r="A4832" s="41"/>
      <c r="G4832" s="38" t="n">
        <f aca="false">MONTH(A4832)</f>
        <v>12</v>
      </c>
      <c r="H4832" s="38" t="n">
        <f aca="false">YEAR(Tabela1[[#This Row],[FECHA]])</f>
        <v>1900</v>
      </c>
      <c r="I48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33" customFormat="false" ht="15" hidden="false" customHeight="false" outlineLevel="0" collapsed="false">
      <c r="A4833" s="41"/>
      <c r="G4833" s="38" t="n">
        <f aca="false">MONTH(A4833)</f>
        <v>12</v>
      </c>
      <c r="H4833" s="38" t="n">
        <f aca="false">YEAR(Tabela1[[#This Row],[FECHA]])</f>
        <v>1900</v>
      </c>
      <c r="I48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34" customFormat="false" ht="15" hidden="false" customHeight="false" outlineLevel="0" collapsed="false">
      <c r="A4834" s="41"/>
      <c r="G4834" s="38" t="n">
        <f aca="false">MONTH(A4834)</f>
        <v>12</v>
      </c>
      <c r="H4834" s="38" t="n">
        <f aca="false">YEAR(Tabela1[[#This Row],[FECHA]])</f>
        <v>1900</v>
      </c>
      <c r="I48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35" customFormat="false" ht="15" hidden="false" customHeight="false" outlineLevel="0" collapsed="false">
      <c r="A4835" s="41"/>
      <c r="G4835" s="38" t="n">
        <f aca="false">MONTH(A4835)</f>
        <v>12</v>
      </c>
      <c r="H4835" s="38" t="n">
        <f aca="false">YEAR(Tabela1[[#This Row],[FECHA]])</f>
        <v>1900</v>
      </c>
      <c r="I48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36" customFormat="false" ht="15" hidden="false" customHeight="false" outlineLevel="0" collapsed="false">
      <c r="A4836" s="41"/>
      <c r="G4836" s="38" t="n">
        <f aca="false">MONTH(A4836)</f>
        <v>12</v>
      </c>
      <c r="H4836" s="38" t="n">
        <f aca="false">YEAR(Tabela1[[#This Row],[FECHA]])</f>
        <v>1900</v>
      </c>
      <c r="I48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37" customFormat="false" ht="15" hidden="false" customHeight="false" outlineLevel="0" collapsed="false">
      <c r="A4837" s="41"/>
      <c r="G4837" s="38" t="n">
        <f aca="false">MONTH(A4837)</f>
        <v>12</v>
      </c>
      <c r="H4837" s="38" t="n">
        <f aca="false">YEAR(Tabela1[[#This Row],[FECHA]])</f>
        <v>1900</v>
      </c>
      <c r="I48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38" customFormat="false" ht="15" hidden="false" customHeight="false" outlineLevel="0" collapsed="false">
      <c r="A4838" s="41"/>
      <c r="G4838" s="38" t="n">
        <f aca="false">MONTH(A4838)</f>
        <v>12</v>
      </c>
      <c r="H4838" s="38" t="n">
        <f aca="false">YEAR(Tabela1[[#This Row],[FECHA]])</f>
        <v>1900</v>
      </c>
      <c r="I48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39" customFormat="false" ht="15" hidden="false" customHeight="false" outlineLevel="0" collapsed="false">
      <c r="A4839" s="41"/>
      <c r="G4839" s="38" t="n">
        <f aca="false">MONTH(A4839)</f>
        <v>12</v>
      </c>
      <c r="H4839" s="38" t="n">
        <f aca="false">YEAR(Tabela1[[#This Row],[FECHA]])</f>
        <v>1900</v>
      </c>
      <c r="I48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40" customFormat="false" ht="15" hidden="false" customHeight="false" outlineLevel="0" collapsed="false">
      <c r="A4840" s="41"/>
      <c r="G4840" s="38" t="n">
        <f aca="false">MONTH(A4840)</f>
        <v>12</v>
      </c>
      <c r="H4840" s="38" t="n">
        <f aca="false">YEAR(Tabela1[[#This Row],[FECHA]])</f>
        <v>1900</v>
      </c>
      <c r="I48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41" customFormat="false" ht="15" hidden="false" customHeight="false" outlineLevel="0" collapsed="false">
      <c r="A4841" s="41"/>
      <c r="G4841" s="38" t="n">
        <f aca="false">MONTH(A4841)</f>
        <v>12</v>
      </c>
      <c r="H4841" s="38" t="n">
        <f aca="false">YEAR(Tabela1[[#This Row],[FECHA]])</f>
        <v>1900</v>
      </c>
      <c r="I48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42" customFormat="false" ht="15" hidden="false" customHeight="false" outlineLevel="0" collapsed="false">
      <c r="A4842" s="41"/>
      <c r="G4842" s="38" t="n">
        <f aca="false">MONTH(A4842)</f>
        <v>12</v>
      </c>
      <c r="H4842" s="38" t="n">
        <f aca="false">YEAR(Tabela1[[#This Row],[FECHA]])</f>
        <v>1900</v>
      </c>
      <c r="I48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43" customFormat="false" ht="15" hidden="false" customHeight="false" outlineLevel="0" collapsed="false">
      <c r="A4843" s="41"/>
      <c r="G4843" s="38" t="n">
        <f aca="false">MONTH(A4843)</f>
        <v>12</v>
      </c>
      <c r="H4843" s="38" t="n">
        <f aca="false">YEAR(Tabela1[[#This Row],[FECHA]])</f>
        <v>1900</v>
      </c>
      <c r="I48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44" customFormat="false" ht="15" hidden="false" customHeight="false" outlineLevel="0" collapsed="false">
      <c r="A4844" s="41"/>
      <c r="G4844" s="38" t="n">
        <f aca="false">MONTH(A4844)</f>
        <v>12</v>
      </c>
      <c r="H4844" s="38" t="n">
        <f aca="false">YEAR(Tabela1[[#This Row],[FECHA]])</f>
        <v>1900</v>
      </c>
      <c r="I48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45" customFormat="false" ht="15" hidden="false" customHeight="false" outlineLevel="0" collapsed="false">
      <c r="A4845" s="41"/>
      <c r="G4845" s="38" t="n">
        <f aca="false">MONTH(A4845)</f>
        <v>12</v>
      </c>
      <c r="H4845" s="38" t="n">
        <f aca="false">YEAR(Tabela1[[#This Row],[FECHA]])</f>
        <v>1900</v>
      </c>
      <c r="I48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46" customFormat="false" ht="15" hidden="false" customHeight="false" outlineLevel="0" collapsed="false">
      <c r="A4846" s="41"/>
      <c r="G4846" s="38" t="n">
        <f aca="false">MONTH(A4846)</f>
        <v>12</v>
      </c>
      <c r="H4846" s="38" t="n">
        <f aca="false">YEAR(Tabela1[[#This Row],[FECHA]])</f>
        <v>1900</v>
      </c>
      <c r="I48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47" customFormat="false" ht="15" hidden="false" customHeight="false" outlineLevel="0" collapsed="false">
      <c r="A4847" s="41"/>
      <c r="G4847" s="38" t="n">
        <f aca="false">MONTH(A4847)</f>
        <v>12</v>
      </c>
      <c r="H4847" s="38" t="n">
        <f aca="false">YEAR(Tabela1[[#This Row],[FECHA]])</f>
        <v>1900</v>
      </c>
      <c r="I48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48" customFormat="false" ht="15" hidden="false" customHeight="false" outlineLevel="0" collapsed="false">
      <c r="A4848" s="41"/>
      <c r="G4848" s="38" t="n">
        <f aca="false">MONTH(A4848)</f>
        <v>12</v>
      </c>
      <c r="H4848" s="38" t="n">
        <f aca="false">YEAR(Tabela1[[#This Row],[FECHA]])</f>
        <v>1900</v>
      </c>
      <c r="I48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49" customFormat="false" ht="15" hidden="false" customHeight="false" outlineLevel="0" collapsed="false">
      <c r="A4849" s="41"/>
      <c r="G4849" s="38" t="n">
        <f aca="false">MONTH(A4849)</f>
        <v>12</v>
      </c>
      <c r="H4849" s="38" t="n">
        <f aca="false">YEAR(Tabela1[[#This Row],[FECHA]])</f>
        <v>1900</v>
      </c>
      <c r="I48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50" customFormat="false" ht="15" hidden="false" customHeight="false" outlineLevel="0" collapsed="false">
      <c r="A4850" s="41"/>
      <c r="G4850" s="38" t="n">
        <f aca="false">MONTH(A4850)</f>
        <v>12</v>
      </c>
      <c r="H4850" s="38" t="n">
        <f aca="false">YEAR(Tabela1[[#This Row],[FECHA]])</f>
        <v>1900</v>
      </c>
      <c r="I48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51" customFormat="false" ht="15" hidden="false" customHeight="false" outlineLevel="0" collapsed="false">
      <c r="A4851" s="41"/>
      <c r="G4851" s="38" t="n">
        <f aca="false">MONTH(A4851)</f>
        <v>12</v>
      </c>
      <c r="H4851" s="38" t="n">
        <f aca="false">YEAR(Tabela1[[#This Row],[FECHA]])</f>
        <v>1900</v>
      </c>
      <c r="I48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52" customFormat="false" ht="15" hidden="false" customHeight="false" outlineLevel="0" collapsed="false">
      <c r="A4852" s="41"/>
      <c r="G4852" s="38" t="n">
        <f aca="false">MONTH(A4852)</f>
        <v>12</v>
      </c>
      <c r="H4852" s="38" t="n">
        <f aca="false">YEAR(Tabela1[[#This Row],[FECHA]])</f>
        <v>1900</v>
      </c>
      <c r="I48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53" customFormat="false" ht="15" hidden="false" customHeight="false" outlineLevel="0" collapsed="false">
      <c r="A4853" s="41"/>
      <c r="G4853" s="38" t="n">
        <f aca="false">MONTH(A4853)</f>
        <v>12</v>
      </c>
      <c r="H4853" s="38" t="n">
        <f aca="false">YEAR(Tabela1[[#This Row],[FECHA]])</f>
        <v>1900</v>
      </c>
      <c r="I48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54" customFormat="false" ht="15" hidden="false" customHeight="false" outlineLevel="0" collapsed="false">
      <c r="A4854" s="41"/>
      <c r="G4854" s="38" t="n">
        <f aca="false">MONTH(A4854)</f>
        <v>12</v>
      </c>
      <c r="H4854" s="38" t="n">
        <f aca="false">YEAR(Tabela1[[#This Row],[FECHA]])</f>
        <v>1900</v>
      </c>
      <c r="I48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55" customFormat="false" ht="15" hidden="false" customHeight="false" outlineLevel="0" collapsed="false">
      <c r="A4855" s="41"/>
      <c r="G4855" s="38" t="n">
        <f aca="false">MONTH(A4855)</f>
        <v>12</v>
      </c>
      <c r="H4855" s="38" t="n">
        <f aca="false">YEAR(Tabela1[[#This Row],[FECHA]])</f>
        <v>1900</v>
      </c>
      <c r="I48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56" customFormat="false" ht="15" hidden="false" customHeight="false" outlineLevel="0" collapsed="false">
      <c r="A4856" s="41"/>
      <c r="G4856" s="38" t="n">
        <f aca="false">MONTH(A4856)</f>
        <v>12</v>
      </c>
      <c r="H4856" s="38" t="n">
        <f aca="false">YEAR(Tabela1[[#This Row],[FECHA]])</f>
        <v>1900</v>
      </c>
      <c r="I48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57" customFormat="false" ht="15" hidden="false" customHeight="false" outlineLevel="0" collapsed="false">
      <c r="A4857" s="41"/>
      <c r="G4857" s="38" t="n">
        <f aca="false">MONTH(A4857)</f>
        <v>12</v>
      </c>
      <c r="H4857" s="38" t="n">
        <f aca="false">YEAR(Tabela1[[#This Row],[FECHA]])</f>
        <v>1900</v>
      </c>
      <c r="I48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58" customFormat="false" ht="15" hidden="false" customHeight="false" outlineLevel="0" collapsed="false">
      <c r="A4858" s="41"/>
      <c r="G4858" s="38" t="n">
        <f aca="false">MONTH(A4858)</f>
        <v>12</v>
      </c>
      <c r="H4858" s="38" t="n">
        <f aca="false">YEAR(Tabela1[[#This Row],[FECHA]])</f>
        <v>1900</v>
      </c>
      <c r="I48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59" customFormat="false" ht="15" hidden="false" customHeight="false" outlineLevel="0" collapsed="false">
      <c r="A4859" s="41"/>
      <c r="G4859" s="38" t="n">
        <f aca="false">MONTH(A4859)</f>
        <v>12</v>
      </c>
      <c r="H4859" s="38" t="n">
        <f aca="false">YEAR(Tabela1[[#This Row],[FECHA]])</f>
        <v>1900</v>
      </c>
      <c r="I48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60" customFormat="false" ht="15" hidden="false" customHeight="false" outlineLevel="0" collapsed="false">
      <c r="A4860" s="41"/>
      <c r="G4860" s="38" t="n">
        <f aca="false">MONTH(A4860)</f>
        <v>12</v>
      </c>
      <c r="H4860" s="38" t="n">
        <f aca="false">YEAR(Tabela1[[#This Row],[FECHA]])</f>
        <v>1900</v>
      </c>
      <c r="I48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61" customFormat="false" ht="15" hidden="false" customHeight="false" outlineLevel="0" collapsed="false">
      <c r="A4861" s="41"/>
      <c r="G4861" s="38" t="n">
        <f aca="false">MONTH(A4861)</f>
        <v>12</v>
      </c>
      <c r="H4861" s="38" t="n">
        <f aca="false">YEAR(Tabela1[[#This Row],[FECHA]])</f>
        <v>1900</v>
      </c>
      <c r="I48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62" customFormat="false" ht="15" hidden="false" customHeight="false" outlineLevel="0" collapsed="false">
      <c r="A4862" s="41"/>
      <c r="G4862" s="38" t="n">
        <f aca="false">MONTH(A4862)</f>
        <v>12</v>
      </c>
      <c r="H4862" s="38" t="n">
        <f aca="false">YEAR(Tabela1[[#This Row],[FECHA]])</f>
        <v>1900</v>
      </c>
      <c r="I48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63" customFormat="false" ht="15" hidden="false" customHeight="false" outlineLevel="0" collapsed="false">
      <c r="A4863" s="41"/>
      <c r="G4863" s="38" t="n">
        <f aca="false">MONTH(A4863)</f>
        <v>12</v>
      </c>
      <c r="H4863" s="38" t="n">
        <f aca="false">YEAR(Tabela1[[#This Row],[FECHA]])</f>
        <v>1900</v>
      </c>
      <c r="I48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64" customFormat="false" ht="15" hidden="false" customHeight="false" outlineLevel="0" collapsed="false">
      <c r="A4864" s="41"/>
      <c r="G4864" s="38" t="n">
        <f aca="false">MONTH(A4864)</f>
        <v>12</v>
      </c>
      <c r="H4864" s="38" t="n">
        <f aca="false">YEAR(Tabela1[[#This Row],[FECHA]])</f>
        <v>1900</v>
      </c>
      <c r="I48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65" customFormat="false" ht="15" hidden="false" customHeight="false" outlineLevel="0" collapsed="false">
      <c r="A4865" s="41"/>
      <c r="G4865" s="38" t="n">
        <f aca="false">MONTH(A4865)</f>
        <v>12</v>
      </c>
      <c r="H4865" s="38" t="n">
        <f aca="false">YEAR(Tabela1[[#This Row],[FECHA]])</f>
        <v>1900</v>
      </c>
      <c r="I48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66" customFormat="false" ht="15" hidden="false" customHeight="false" outlineLevel="0" collapsed="false">
      <c r="A4866" s="41"/>
      <c r="G4866" s="38" t="n">
        <f aca="false">MONTH(A4866)</f>
        <v>12</v>
      </c>
      <c r="H4866" s="38" t="n">
        <f aca="false">YEAR(Tabela1[[#This Row],[FECHA]])</f>
        <v>1900</v>
      </c>
      <c r="I48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67" customFormat="false" ht="15" hidden="false" customHeight="false" outlineLevel="0" collapsed="false">
      <c r="A4867" s="41"/>
      <c r="G4867" s="38" t="n">
        <f aca="false">MONTH(A4867)</f>
        <v>12</v>
      </c>
      <c r="H4867" s="38" t="n">
        <f aca="false">YEAR(Tabela1[[#This Row],[FECHA]])</f>
        <v>1900</v>
      </c>
      <c r="I48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68" customFormat="false" ht="15" hidden="false" customHeight="false" outlineLevel="0" collapsed="false">
      <c r="A4868" s="41"/>
      <c r="G4868" s="38" t="n">
        <f aca="false">MONTH(A4868)</f>
        <v>12</v>
      </c>
      <c r="H4868" s="38" t="n">
        <f aca="false">YEAR(Tabela1[[#This Row],[FECHA]])</f>
        <v>1900</v>
      </c>
      <c r="I48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69" customFormat="false" ht="15" hidden="false" customHeight="false" outlineLevel="0" collapsed="false">
      <c r="A4869" s="41"/>
      <c r="G4869" s="38" t="n">
        <f aca="false">MONTH(A4869)</f>
        <v>12</v>
      </c>
      <c r="H4869" s="38" t="n">
        <f aca="false">YEAR(Tabela1[[#This Row],[FECHA]])</f>
        <v>1900</v>
      </c>
      <c r="I48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70" customFormat="false" ht="15" hidden="false" customHeight="false" outlineLevel="0" collapsed="false">
      <c r="A4870" s="41"/>
      <c r="G4870" s="38" t="n">
        <f aca="false">MONTH(A4870)</f>
        <v>12</v>
      </c>
      <c r="H4870" s="38" t="n">
        <f aca="false">YEAR(Tabela1[[#This Row],[FECHA]])</f>
        <v>1900</v>
      </c>
      <c r="I48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71" customFormat="false" ht="15" hidden="false" customHeight="false" outlineLevel="0" collapsed="false">
      <c r="A4871" s="41"/>
      <c r="G4871" s="38" t="n">
        <f aca="false">MONTH(A4871)</f>
        <v>12</v>
      </c>
      <c r="H4871" s="38" t="n">
        <f aca="false">YEAR(Tabela1[[#This Row],[FECHA]])</f>
        <v>1900</v>
      </c>
      <c r="I48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72" customFormat="false" ht="15" hidden="false" customHeight="false" outlineLevel="0" collapsed="false">
      <c r="A4872" s="41"/>
      <c r="G4872" s="38" t="n">
        <f aca="false">MONTH(A4872)</f>
        <v>12</v>
      </c>
      <c r="H4872" s="38" t="n">
        <f aca="false">YEAR(Tabela1[[#This Row],[FECHA]])</f>
        <v>1900</v>
      </c>
      <c r="I48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73" customFormat="false" ht="15" hidden="false" customHeight="false" outlineLevel="0" collapsed="false">
      <c r="A4873" s="41"/>
      <c r="G4873" s="38" t="n">
        <f aca="false">MONTH(A4873)</f>
        <v>12</v>
      </c>
      <c r="H4873" s="38" t="n">
        <f aca="false">YEAR(Tabela1[[#This Row],[FECHA]])</f>
        <v>1900</v>
      </c>
      <c r="I48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74" customFormat="false" ht="15" hidden="false" customHeight="false" outlineLevel="0" collapsed="false">
      <c r="A4874" s="41"/>
      <c r="G4874" s="38" t="n">
        <f aca="false">MONTH(A4874)</f>
        <v>12</v>
      </c>
      <c r="H4874" s="38" t="n">
        <f aca="false">YEAR(Tabela1[[#This Row],[FECHA]])</f>
        <v>1900</v>
      </c>
      <c r="I48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75" customFormat="false" ht="15" hidden="false" customHeight="false" outlineLevel="0" collapsed="false">
      <c r="A4875" s="41"/>
      <c r="G4875" s="38" t="n">
        <f aca="false">MONTH(A4875)</f>
        <v>12</v>
      </c>
      <c r="H4875" s="38" t="n">
        <f aca="false">YEAR(Tabela1[[#This Row],[FECHA]])</f>
        <v>1900</v>
      </c>
      <c r="I48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76" customFormat="false" ht="15" hidden="false" customHeight="false" outlineLevel="0" collapsed="false">
      <c r="A4876" s="41"/>
      <c r="G4876" s="38" t="n">
        <f aca="false">MONTH(A4876)</f>
        <v>12</v>
      </c>
      <c r="H4876" s="38" t="n">
        <f aca="false">YEAR(Tabela1[[#This Row],[FECHA]])</f>
        <v>1900</v>
      </c>
      <c r="I48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77" customFormat="false" ht="15" hidden="false" customHeight="false" outlineLevel="0" collapsed="false">
      <c r="A4877" s="41"/>
      <c r="G4877" s="38" t="n">
        <f aca="false">MONTH(A4877)</f>
        <v>12</v>
      </c>
      <c r="H4877" s="38" t="n">
        <f aca="false">YEAR(Tabela1[[#This Row],[FECHA]])</f>
        <v>1900</v>
      </c>
      <c r="I48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78" customFormat="false" ht="15" hidden="false" customHeight="false" outlineLevel="0" collapsed="false">
      <c r="A4878" s="41"/>
      <c r="G4878" s="38" t="n">
        <f aca="false">MONTH(A4878)</f>
        <v>12</v>
      </c>
      <c r="H4878" s="38" t="n">
        <f aca="false">YEAR(Tabela1[[#This Row],[FECHA]])</f>
        <v>1900</v>
      </c>
      <c r="I48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79" customFormat="false" ht="15" hidden="false" customHeight="false" outlineLevel="0" collapsed="false">
      <c r="A4879" s="41"/>
      <c r="G4879" s="38" t="n">
        <f aca="false">MONTH(A4879)</f>
        <v>12</v>
      </c>
      <c r="H4879" s="38" t="n">
        <f aca="false">YEAR(Tabela1[[#This Row],[FECHA]])</f>
        <v>1900</v>
      </c>
      <c r="I48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80" customFormat="false" ht="15" hidden="false" customHeight="false" outlineLevel="0" collapsed="false">
      <c r="A4880" s="41"/>
      <c r="G4880" s="38" t="n">
        <f aca="false">MONTH(A4880)</f>
        <v>12</v>
      </c>
      <c r="H4880" s="38" t="n">
        <f aca="false">YEAR(Tabela1[[#This Row],[FECHA]])</f>
        <v>1900</v>
      </c>
      <c r="I48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81" customFormat="false" ht="15" hidden="false" customHeight="false" outlineLevel="0" collapsed="false">
      <c r="A4881" s="41"/>
      <c r="G4881" s="38" t="n">
        <f aca="false">MONTH(A4881)</f>
        <v>12</v>
      </c>
      <c r="H4881" s="38" t="n">
        <f aca="false">YEAR(Tabela1[[#This Row],[FECHA]])</f>
        <v>1900</v>
      </c>
      <c r="I48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82" customFormat="false" ht="15" hidden="false" customHeight="false" outlineLevel="0" collapsed="false">
      <c r="A4882" s="41"/>
      <c r="G4882" s="38" t="n">
        <f aca="false">MONTH(A4882)</f>
        <v>12</v>
      </c>
      <c r="H4882" s="38" t="n">
        <f aca="false">YEAR(Tabela1[[#This Row],[FECHA]])</f>
        <v>1900</v>
      </c>
      <c r="I48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83" customFormat="false" ht="15" hidden="false" customHeight="false" outlineLevel="0" collapsed="false">
      <c r="A4883" s="41"/>
      <c r="G4883" s="38" t="n">
        <f aca="false">MONTH(A4883)</f>
        <v>12</v>
      </c>
      <c r="H4883" s="38" t="n">
        <f aca="false">YEAR(Tabela1[[#This Row],[FECHA]])</f>
        <v>1900</v>
      </c>
      <c r="I48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84" customFormat="false" ht="15" hidden="false" customHeight="false" outlineLevel="0" collapsed="false">
      <c r="A4884" s="41"/>
      <c r="G4884" s="38" t="n">
        <f aca="false">MONTH(A4884)</f>
        <v>12</v>
      </c>
      <c r="H4884" s="38" t="n">
        <f aca="false">YEAR(Tabela1[[#This Row],[FECHA]])</f>
        <v>1900</v>
      </c>
      <c r="I48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85" customFormat="false" ht="15" hidden="false" customHeight="false" outlineLevel="0" collapsed="false">
      <c r="A4885" s="41"/>
      <c r="G4885" s="38" t="n">
        <f aca="false">MONTH(A4885)</f>
        <v>12</v>
      </c>
      <c r="H4885" s="38" t="n">
        <f aca="false">YEAR(Tabela1[[#This Row],[FECHA]])</f>
        <v>1900</v>
      </c>
      <c r="I48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86" customFormat="false" ht="15" hidden="false" customHeight="false" outlineLevel="0" collapsed="false">
      <c r="A4886" s="41"/>
      <c r="G4886" s="38" t="n">
        <f aca="false">MONTH(A4886)</f>
        <v>12</v>
      </c>
      <c r="H4886" s="38" t="n">
        <f aca="false">YEAR(Tabela1[[#This Row],[FECHA]])</f>
        <v>1900</v>
      </c>
      <c r="I48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87" customFormat="false" ht="15" hidden="false" customHeight="false" outlineLevel="0" collapsed="false">
      <c r="A4887" s="41"/>
      <c r="G4887" s="38" t="n">
        <f aca="false">MONTH(A4887)</f>
        <v>12</v>
      </c>
      <c r="H4887" s="38" t="n">
        <f aca="false">YEAR(Tabela1[[#This Row],[FECHA]])</f>
        <v>1900</v>
      </c>
      <c r="I48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88" customFormat="false" ht="15" hidden="false" customHeight="false" outlineLevel="0" collapsed="false">
      <c r="A4888" s="41"/>
      <c r="G4888" s="38" t="n">
        <f aca="false">MONTH(A4888)</f>
        <v>12</v>
      </c>
      <c r="H4888" s="38" t="n">
        <f aca="false">YEAR(Tabela1[[#This Row],[FECHA]])</f>
        <v>1900</v>
      </c>
      <c r="I48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89" customFormat="false" ht="15" hidden="false" customHeight="false" outlineLevel="0" collapsed="false">
      <c r="A4889" s="41"/>
      <c r="G4889" s="38" t="n">
        <f aca="false">MONTH(A4889)</f>
        <v>12</v>
      </c>
      <c r="H4889" s="38" t="n">
        <f aca="false">YEAR(Tabela1[[#This Row],[FECHA]])</f>
        <v>1900</v>
      </c>
      <c r="I48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90" customFormat="false" ht="15" hidden="false" customHeight="false" outlineLevel="0" collapsed="false">
      <c r="A4890" s="41"/>
      <c r="G4890" s="38" t="n">
        <f aca="false">MONTH(A4890)</f>
        <v>12</v>
      </c>
      <c r="H4890" s="38" t="n">
        <f aca="false">YEAR(Tabela1[[#This Row],[FECHA]])</f>
        <v>1900</v>
      </c>
      <c r="I48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91" customFormat="false" ht="15" hidden="false" customHeight="false" outlineLevel="0" collapsed="false">
      <c r="A4891" s="41"/>
      <c r="G4891" s="38" t="n">
        <f aca="false">MONTH(A4891)</f>
        <v>12</v>
      </c>
      <c r="H4891" s="38" t="n">
        <f aca="false">YEAR(Tabela1[[#This Row],[FECHA]])</f>
        <v>1900</v>
      </c>
      <c r="I48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92" customFormat="false" ht="15" hidden="false" customHeight="false" outlineLevel="0" collapsed="false">
      <c r="A4892" s="41"/>
      <c r="G4892" s="38" t="n">
        <f aca="false">MONTH(A4892)</f>
        <v>12</v>
      </c>
      <c r="H4892" s="38" t="n">
        <f aca="false">YEAR(Tabela1[[#This Row],[FECHA]])</f>
        <v>1900</v>
      </c>
      <c r="I48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93" customFormat="false" ht="15" hidden="false" customHeight="false" outlineLevel="0" collapsed="false">
      <c r="A4893" s="41"/>
      <c r="G4893" s="38" t="n">
        <f aca="false">MONTH(A4893)</f>
        <v>12</v>
      </c>
      <c r="H4893" s="38" t="n">
        <f aca="false">YEAR(Tabela1[[#This Row],[FECHA]])</f>
        <v>1900</v>
      </c>
      <c r="I48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94" customFormat="false" ht="15" hidden="false" customHeight="false" outlineLevel="0" collapsed="false">
      <c r="A4894" s="41"/>
      <c r="G4894" s="38" t="n">
        <f aca="false">MONTH(A4894)</f>
        <v>12</v>
      </c>
      <c r="H4894" s="38" t="n">
        <f aca="false">YEAR(Tabela1[[#This Row],[FECHA]])</f>
        <v>1900</v>
      </c>
      <c r="I48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95" customFormat="false" ht="15" hidden="false" customHeight="false" outlineLevel="0" collapsed="false">
      <c r="A4895" s="41"/>
      <c r="G4895" s="38" t="n">
        <f aca="false">MONTH(A4895)</f>
        <v>12</v>
      </c>
      <c r="H4895" s="38" t="n">
        <f aca="false">YEAR(Tabela1[[#This Row],[FECHA]])</f>
        <v>1900</v>
      </c>
      <c r="I48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96" customFormat="false" ht="15" hidden="false" customHeight="false" outlineLevel="0" collapsed="false">
      <c r="A4896" s="41"/>
      <c r="G4896" s="38" t="n">
        <f aca="false">MONTH(A4896)</f>
        <v>12</v>
      </c>
      <c r="H4896" s="38" t="n">
        <f aca="false">YEAR(Tabela1[[#This Row],[FECHA]])</f>
        <v>1900</v>
      </c>
      <c r="I48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97" customFormat="false" ht="15" hidden="false" customHeight="false" outlineLevel="0" collapsed="false">
      <c r="A4897" s="41"/>
      <c r="G4897" s="38" t="n">
        <f aca="false">MONTH(A4897)</f>
        <v>12</v>
      </c>
      <c r="H4897" s="38" t="n">
        <f aca="false">YEAR(Tabela1[[#This Row],[FECHA]])</f>
        <v>1900</v>
      </c>
      <c r="I48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98" customFormat="false" ht="15" hidden="false" customHeight="false" outlineLevel="0" collapsed="false">
      <c r="A4898" s="41"/>
      <c r="G4898" s="38" t="n">
        <f aca="false">MONTH(A4898)</f>
        <v>12</v>
      </c>
      <c r="H4898" s="38" t="n">
        <f aca="false">YEAR(Tabela1[[#This Row],[FECHA]])</f>
        <v>1900</v>
      </c>
      <c r="I48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899" customFormat="false" ht="15" hidden="false" customHeight="false" outlineLevel="0" collapsed="false">
      <c r="A4899" s="41"/>
      <c r="G4899" s="38" t="n">
        <f aca="false">MONTH(A4899)</f>
        <v>12</v>
      </c>
      <c r="H4899" s="38" t="n">
        <f aca="false">YEAR(Tabela1[[#This Row],[FECHA]])</f>
        <v>1900</v>
      </c>
      <c r="I48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00" customFormat="false" ht="15" hidden="false" customHeight="false" outlineLevel="0" collapsed="false">
      <c r="A4900" s="41"/>
      <c r="G4900" s="38" t="n">
        <f aca="false">MONTH(A4900)</f>
        <v>12</v>
      </c>
      <c r="H4900" s="38" t="n">
        <f aca="false">YEAR(Tabela1[[#This Row],[FECHA]])</f>
        <v>1900</v>
      </c>
      <c r="I49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01" customFormat="false" ht="15" hidden="false" customHeight="false" outlineLevel="0" collapsed="false">
      <c r="A4901" s="41"/>
      <c r="G4901" s="38" t="n">
        <f aca="false">MONTH(A4901)</f>
        <v>12</v>
      </c>
      <c r="H4901" s="38" t="n">
        <f aca="false">YEAR(Tabela1[[#This Row],[FECHA]])</f>
        <v>1900</v>
      </c>
      <c r="I49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02" customFormat="false" ht="15" hidden="false" customHeight="false" outlineLevel="0" collapsed="false">
      <c r="A4902" s="41"/>
      <c r="G4902" s="38" t="n">
        <f aca="false">MONTH(A4902)</f>
        <v>12</v>
      </c>
      <c r="H4902" s="38" t="n">
        <f aca="false">YEAR(Tabela1[[#This Row],[FECHA]])</f>
        <v>1900</v>
      </c>
      <c r="I49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03" customFormat="false" ht="15" hidden="false" customHeight="false" outlineLevel="0" collapsed="false">
      <c r="A4903" s="41"/>
      <c r="G4903" s="38" t="n">
        <f aca="false">MONTH(A4903)</f>
        <v>12</v>
      </c>
      <c r="H4903" s="38" t="n">
        <f aca="false">YEAR(Tabela1[[#This Row],[FECHA]])</f>
        <v>1900</v>
      </c>
      <c r="I49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04" customFormat="false" ht="15" hidden="false" customHeight="false" outlineLevel="0" collapsed="false">
      <c r="A4904" s="41"/>
      <c r="G4904" s="38" t="n">
        <f aca="false">MONTH(A4904)</f>
        <v>12</v>
      </c>
      <c r="H4904" s="38" t="n">
        <f aca="false">YEAR(Tabela1[[#This Row],[FECHA]])</f>
        <v>1900</v>
      </c>
      <c r="I49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05" customFormat="false" ht="15" hidden="false" customHeight="false" outlineLevel="0" collapsed="false">
      <c r="A4905" s="41"/>
      <c r="G4905" s="38" t="n">
        <f aca="false">MONTH(A4905)</f>
        <v>12</v>
      </c>
      <c r="H4905" s="38" t="n">
        <f aca="false">YEAR(Tabela1[[#This Row],[FECHA]])</f>
        <v>1900</v>
      </c>
      <c r="I49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06" customFormat="false" ht="15" hidden="false" customHeight="false" outlineLevel="0" collapsed="false">
      <c r="A4906" s="41"/>
      <c r="G4906" s="38" t="n">
        <f aca="false">MONTH(A4906)</f>
        <v>12</v>
      </c>
      <c r="H4906" s="38" t="n">
        <f aca="false">YEAR(Tabela1[[#This Row],[FECHA]])</f>
        <v>1900</v>
      </c>
      <c r="I49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07" customFormat="false" ht="15" hidden="false" customHeight="false" outlineLevel="0" collapsed="false">
      <c r="A4907" s="41"/>
      <c r="G4907" s="38" t="n">
        <f aca="false">MONTH(A4907)</f>
        <v>12</v>
      </c>
      <c r="H4907" s="38" t="n">
        <f aca="false">YEAR(Tabela1[[#This Row],[FECHA]])</f>
        <v>1900</v>
      </c>
      <c r="I49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08" customFormat="false" ht="15" hidden="false" customHeight="false" outlineLevel="0" collapsed="false">
      <c r="A4908" s="41"/>
      <c r="G4908" s="38" t="n">
        <f aca="false">MONTH(A4908)</f>
        <v>12</v>
      </c>
      <c r="H4908" s="38" t="n">
        <f aca="false">YEAR(Tabela1[[#This Row],[FECHA]])</f>
        <v>1900</v>
      </c>
      <c r="I49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09" customFormat="false" ht="15" hidden="false" customHeight="false" outlineLevel="0" collapsed="false">
      <c r="A4909" s="41"/>
      <c r="G4909" s="38" t="n">
        <f aca="false">MONTH(A4909)</f>
        <v>12</v>
      </c>
      <c r="H4909" s="38" t="n">
        <f aca="false">YEAR(Tabela1[[#This Row],[FECHA]])</f>
        <v>1900</v>
      </c>
      <c r="I49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10" customFormat="false" ht="15" hidden="false" customHeight="false" outlineLevel="0" collapsed="false">
      <c r="A4910" s="41"/>
      <c r="G4910" s="38" t="n">
        <f aca="false">MONTH(A4910)</f>
        <v>12</v>
      </c>
      <c r="H4910" s="38" t="n">
        <f aca="false">YEAR(Tabela1[[#This Row],[FECHA]])</f>
        <v>1900</v>
      </c>
      <c r="I49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11" customFormat="false" ht="15" hidden="false" customHeight="false" outlineLevel="0" collapsed="false">
      <c r="A4911" s="41"/>
      <c r="G4911" s="38" t="n">
        <f aca="false">MONTH(A4911)</f>
        <v>12</v>
      </c>
      <c r="H4911" s="38" t="n">
        <f aca="false">YEAR(Tabela1[[#This Row],[FECHA]])</f>
        <v>1900</v>
      </c>
      <c r="I49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12" customFormat="false" ht="15" hidden="false" customHeight="false" outlineLevel="0" collapsed="false">
      <c r="A4912" s="41"/>
      <c r="G4912" s="38" t="n">
        <f aca="false">MONTH(A4912)</f>
        <v>12</v>
      </c>
      <c r="H4912" s="38" t="n">
        <f aca="false">YEAR(Tabela1[[#This Row],[FECHA]])</f>
        <v>1900</v>
      </c>
      <c r="I49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13" customFormat="false" ht="15" hidden="false" customHeight="false" outlineLevel="0" collapsed="false">
      <c r="A4913" s="41"/>
      <c r="G4913" s="38" t="n">
        <f aca="false">MONTH(A4913)</f>
        <v>12</v>
      </c>
      <c r="H4913" s="38" t="n">
        <f aca="false">YEAR(Tabela1[[#This Row],[FECHA]])</f>
        <v>1900</v>
      </c>
      <c r="I49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14" customFormat="false" ht="15" hidden="false" customHeight="false" outlineLevel="0" collapsed="false">
      <c r="A4914" s="41"/>
      <c r="G4914" s="38" t="n">
        <f aca="false">MONTH(A4914)</f>
        <v>12</v>
      </c>
      <c r="H4914" s="38" t="n">
        <f aca="false">YEAR(Tabela1[[#This Row],[FECHA]])</f>
        <v>1900</v>
      </c>
      <c r="I49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15" customFormat="false" ht="15" hidden="false" customHeight="false" outlineLevel="0" collapsed="false">
      <c r="A4915" s="41"/>
      <c r="G4915" s="38" t="n">
        <f aca="false">MONTH(A4915)</f>
        <v>12</v>
      </c>
      <c r="H4915" s="38" t="n">
        <f aca="false">YEAR(Tabela1[[#This Row],[FECHA]])</f>
        <v>1900</v>
      </c>
      <c r="I49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16" customFormat="false" ht="15" hidden="false" customHeight="false" outlineLevel="0" collapsed="false">
      <c r="A4916" s="41"/>
      <c r="G4916" s="38" t="n">
        <f aca="false">MONTH(A4916)</f>
        <v>12</v>
      </c>
      <c r="H4916" s="38" t="n">
        <f aca="false">YEAR(Tabela1[[#This Row],[FECHA]])</f>
        <v>1900</v>
      </c>
      <c r="I49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17" customFormat="false" ht="15" hidden="false" customHeight="false" outlineLevel="0" collapsed="false">
      <c r="A4917" s="41"/>
      <c r="G4917" s="38" t="n">
        <f aca="false">MONTH(A4917)</f>
        <v>12</v>
      </c>
      <c r="H4917" s="38" t="n">
        <f aca="false">YEAR(Tabela1[[#This Row],[FECHA]])</f>
        <v>1900</v>
      </c>
      <c r="I49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18" customFormat="false" ht="15" hidden="false" customHeight="false" outlineLevel="0" collapsed="false">
      <c r="A4918" s="41"/>
      <c r="G4918" s="38" t="n">
        <f aca="false">MONTH(A4918)</f>
        <v>12</v>
      </c>
      <c r="H4918" s="38" t="n">
        <f aca="false">YEAR(Tabela1[[#This Row],[FECHA]])</f>
        <v>1900</v>
      </c>
      <c r="I49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19" customFormat="false" ht="15" hidden="false" customHeight="false" outlineLevel="0" collapsed="false">
      <c r="A4919" s="41"/>
      <c r="G4919" s="38" t="n">
        <f aca="false">MONTH(A4919)</f>
        <v>12</v>
      </c>
      <c r="H4919" s="38" t="n">
        <f aca="false">YEAR(Tabela1[[#This Row],[FECHA]])</f>
        <v>1900</v>
      </c>
      <c r="I49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20" customFormat="false" ht="15" hidden="false" customHeight="false" outlineLevel="0" collapsed="false">
      <c r="A4920" s="41"/>
      <c r="G4920" s="38" t="n">
        <f aca="false">MONTH(A4920)</f>
        <v>12</v>
      </c>
      <c r="H4920" s="38" t="n">
        <f aca="false">YEAR(Tabela1[[#This Row],[FECHA]])</f>
        <v>1900</v>
      </c>
      <c r="I49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21" customFormat="false" ht="15" hidden="false" customHeight="false" outlineLevel="0" collapsed="false">
      <c r="A4921" s="41"/>
      <c r="G4921" s="38" t="n">
        <f aca="false">MONTH(A4921)</f>
        <v>12</v>
      </c>
      <c r="H4921" s="38" t="n">
        <f aca="false">YEAR(Tabela1[[#This Row],[FECHA]])</f>
        <v>1900</v>
      </c>
      <c r="I49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22" customFormat="false" ht="15" hidden="false" customHeight="false" outlineLevel="0" collapsed="false">
      <c r="A4922" s="41"/>
      <c r="G4922" s="38" t="n">
        <f aca="false">MONTH(A4922)</f>
        <v>12</v>
      </c>
      <c r="H4922" s="38" t="n">
        <f aca="false">YEAR(Tabela1[[#This Row],[FECHA]])</f>
        <v>1900</v>
      </c>
      <c r="I49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23" customFormat="false" ht="15" hidden="false" customHeight="false" outlineLevel="0" collapsed="false">
      <c r="A4923" s="41"/>
      <c r="G4923" s="38" t="n">
        <f aca="false">MONTH(A4923)</f>
        <v>12</v>
      </c>
      <c r="H4923" s="38" t="n">
        <f aca="false">YEAR(Tabela1[[#This Row],[FECHA]])</f>
        <v>1900</v>
      </c>
      <c r="I49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24" customFormat="false" ht="15" hidden="false" customHeight="false" outlineLevel="0" collapsed="false">
      <c r="A4924" s="41"/>
      <c r="G4924" s="38" t="n">
        <f aca="false">MONTH(A4924)</f>
        <v>12</v>
      </c>
      <c r="H4924" s="38" t="n">
        <f aca="false">YEAR(Tabela1[[#This Row],[FECHA]])</f>
        <v>1900</v>
      </c>
      <c r="I49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25" customFormat="false" ht="15" hidden="false" customHeight="false" outlineLevel="0" collapsed="false">
      <c r="A4925" s="41"/>
      <c r="G4925" s="38" t="n">
        <f aca="false">MONTH(A4925)</f>
        <v>12</v>
      </c>
      <c r="H4925" s="38" t="n">
        <f aca="false">YEAR(Tabela1[[#This Row],[FECHA]])</f>
        <v>1900</v>
      </c>
      <c r="I49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26" customFormat="false" ht="15" hidden="false" customHeight="false" outlineLevel="0" collapsed="false">
      <c r="A4926" s="41"/>
      <c r="G4926" s="38" t="n">
        <f aca="false">MONTH(A4926)</f>
        <v>12</v>
      </c>
      <c r="H4926" s="38" t="n">
        <f aca="false">YEAR(Tabela1[[#This Row],[FECHA]])</f>
        <v>1900</v>
      </c>
      <c r="I49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27" customFormat="false" ht="15" hidden="false" customHeight="false" outlineLevel="0" collapsed="false">
      <c r="A4927" s="41"/>
      <c r="G4927" s="38" t="n">
        <f aca="false">MONTH(A4927)</f>
        <v>12</v>
      </c>
      <c r="H4927" s="38" t="n">
        <f aca="false">YEAR(Tabela1[[#This Row],[FECHA]])</f>
        <v>1900</v>
      </c>
      <c r="I49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28" customFormat="false" ht="15" hidden="false" customHeight="false" outlineLevel="0" collapsed="false">
      <c r="A4928" s="41"/>
      <c r="G4928" s="38" t="n">
        <f aca="false">MONTH(A4928)</f>
        <v>12</v>
      </c>
      <c r="H4928" s="38" t="n">
        <f aca="false">YEAR(Tabela1[[#This Row],[FECHA]])</f>
        <v>1900</v>
      </c>
      <c r="I49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29" customFormat="false" ht="15" hidden="false" customHeight="false" outlineLevel="0" collapsed="false">
      <c r="A4929" s="41"/>
      <c r="G4929" s="38" t="n">
        <f aca="false">MONTH(A4929)</f>
        <v>12</v>
      </c>
      <c r="H4929" s="38" t="n">
        <f aca="false">YEAR(Tabela1[[#This Row],[FECHA]])</f>
        <v>1900</v>
      </c>
      <c r="I49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30" customFormat="false" ht="15" hidden="false" customHeight="false" outlineLevel="0" collapsed="false">
      <c r="A4930" s="41"/>
      <c r="G4930" s="38" t="n">
        <f aca="false">MONTH(A4930)</f>
        <v>12</v>
      </c>
      <c r="H4930" s="38" t="n">
        <f aca="false">YEAR(Tabela1[[#This Row],[FECHA]])</f>
        <v>1900</v>
      </c>
      <c r="I49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31" customFormat="false" ht="15" hidden="false" customHeight="false" outlineLevel="0" collapsed="false">
      <c r="A4931" s="41"/>
      <c r="G4931" s="38" t="n">
        <f aca="false">MONTH(A4931)</f>
        <v>12</v>
      </c>
      <c r="H4931" s="38" t="n">
        <f aca="false">YEAR(Tabela1[[#This Row],[FECHA]])</f>
        <v>1900</v>
      </c>
      <c r="I49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32" customFormat="false" ht="15" hidden="false" customHeight="false" outlineLevel="0" collapsed="false">
      <c r="A4932" s="41"/>
      <c r="G4932" s="38" t="n">
        <f aca="false">MONTH(A4932)</f>
        <v>12</v>
      </c>
      <c r="H4932" s="38" t="n">
        <f aca="false">YEAR(Tabela1[[#This Row],[FECHA]])</f>
        <v>1900</v>
      </c>
      <c r="I49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33" customFormat="false" ht="15" hidden="false" customHeight="false" outlineLevel="0" collapsed="false">
      <c r="A4933" s="41"/>
      <c r="G4933" s="38" t="n">
        <f aca="false">MONTH(A4933)</f>
        <v>12</v>
      </c>
      <c r="H4933" s="38" t="n">
        <f aca="false">YEAR(Tabela1[[#This Row],[FECHA]])</f>
        <v>1900</v>
      </c>
      <c r="I49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34" customFormat="false" ht="15" hidden="false" customHeight="false" outlineLevel="0" collapsed="false">
      <c r="A4934" s="41"/>
      <c r="G4934" s="38" t="n">
        <f aca="false">MONTH(A4934)</f>
        <v>12</v>
      </c>
      <c r="H4934" s="38" t="n">
        <f aca="false">YEAR(Tabela1[[#This Row],[FECHA]])</f>
        <v>1900</v>
      </c>
      <c r="I49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35" customFormat="false" ht="15" hidden="false" customHeight="false" outlineLevel="0" collapsed="false">
      <c r="A4935" s="41"/>
      <c r="G4935" s="38" t="n">
        <f aca="false">MONTH(A4935)</f>
        <v>12</v>
      </c>
      <c r="H4935" s="38" t="n">
        <f aca="false">YEAR(Tabela1[[#This Row],[FECHA]])</f>
        <v>1900</v>
      </c>
      <c r="I49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36" customFormat="false" ht="15" hidden="false" customHeight="false" outlineLevel="0" collapsed="false">
      <c r="A4936" s="41"/>
      <c r="G4936" s="38" t="n">
        <f aca="false">MONTH(A4936)</f>
        <v>12</v>
      </c>
      <c r="H4936" s="38" t="n">
        <f aca="false">YEAR(Tabela1[[#This Row],[FECHA]])</f>
        <v>1900</v>
      </c>
      <c r="I49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37" customFormat="false" ht="15" hidden="false" customHeight="false" outlineLevel="0" collapsed="false">
      <c r="A4937" s="41"/>
      <c r="G4937" s="38" t="n">
        <f aca="false">MONTH(A4937)</f>
        <v>12</v>
      </c>
      <c r="H4937" s="38" t="n">
        <f aca="false">YEAR(Tabela1[[#This Row],[FECHA]])</f>
        <v>1900</v>
      </c>
      <c r="I49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38" customFormat="false" ht="15" hidden="false" customHeight="false" outlineLevel="0" collapsed="false">
      <c r="A4938" s="41"/>
      <c r="G4938" s="38" t="n">
        <f aca="false">MONTH(A4938)</f>
        <v>12</v>
      </c>
      <c r="H4938" s="38" t="n">
        <f aca="false">YEAR(Tabela1[[#This Row],[FECHA]])</f>
        <v>1900</v>
      </c>
      <c r="I49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39" customFormat="false" ht="15" hidden="false" customHeight="false" outlineLevel="0" collapsed="false">
      <c r="A4939" s="41"/>
      <c r="G4939" s="38" t="n">
        <f aca="false">MONTH(A4939)</f>
        <v>12</v>
      </c>
      <c r="H4939" s="38" t="n">
        <f aca="false">YEAR(Tabela1[[#This Row],[FECHA]])</f>
        <v>1900</v>
      </c>
      <c r="I49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40" customFormat="false" ht="15" hidden="false" customHeight="false" outlineLevel="0" collapsed="false">
      <c r="A4940" s="41"/>
      <c r="G4940" s="38" t="n">
        <f aca="false">MONTH(A4940)</f>
        <v>12</v>
      </c>
      <c r="H4940" s="38" t="n">
        <f aca="false">YEAR(Tabela1[[#This Row],[FECHA]])</f>
        <v>1900</v>
      </c>
      <c r="I49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41" customFormat="false" ht="15" hidden="false" customHeight="false" outlineLevel="0" collapsed="false">
      <c r="A4941" s="41"/>
      <c r="G4941" s="38" t="n">
        <f aca="false">MONTH(A4941)</f>
        <v>12</v>
      </c>
      <c r="H4941" s="38" t="n">
        <f aca="false">YEAR(Tabela1[[#This Row],[FECHA]])</f>
        <v>1900</v>
      </c>
      <c r="I49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42" customFormat="false" ht="15" hidden="false" customHeight="false" outlineLevel="0" collapsed="false">
      <c r="A4942" s="41"/>
      <c r="G4942" s="38" t="n">
        <f aca="false">MONTH(A4942)</f>
        <v>12</v>
      </c>
      <c r="H4942" s="38" t="n">
        <f aca="false">YEAR(Tabela1[[#This Row],[FECHA]])</f>
        <v>1900</v>
      </c>
      <c r="I49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43" customFormat="false" ht="15" hidden="false" customHeight="false" outlineLevel="0" collapsed="false">
      <c r="A4943" s="41"/>
      <c r="G4943" s="38" t="n">
        <f aca="false">MONTH(A4943)</f>
        <v>12</v>
      </c>
      <c r="H4943" s="38" t="n">
        <f aca="false">YEAR(Tabela1[[#This Row],[FECHA]])</f>
        <v>1900</v>
      </c>
      <c r="I49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44" customFormat="false" ht="15" hidden="false" customHeight="false" outlineLevel="0" collapsed="false">
      <c r="A4944" s="41"/>
      <c r="G4944" s="38" t="n">
        <f aca="false">MONTH(A4944)</f>
        <v>12</v>
      </c>
      <c r="H4944" s="38" t="n">
        <f aca="false">YEAR(Tabela1[[#This Row],[FECHA]])</f>
        <v>1900</v>
      </c>
      <c r="I49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45" customFormat="false" ht="15" hidden="false" customHeight="false" outlineLevel="0" collapsed="false">
      <c r="A4945" s="41"/>
      <c r="G4945" s="38" t="n">
        <f aca="false">MONTH(A4945)</f>
        <v>12</v>
      </c>
      <c r="H4945" s="38" t="n">
        <f aca="false">YEAR(Tabela1[[#This Row],[FECHA]])</f>
        <v>1900</v>
      </c>
      <c r="I49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46" customFormat="false" ht="15" hidden="false" customHeight="false" outlineLevel="0" collapsed="false">
      <c r="A4946" s="41"/>
      <c r="G4946" s="38" t="n">
        <f aca="false">MONTH(A4946)</f>
        <v>12</v>
      </c>
      <c r="H4946" s="38" t="n">
        <f aca="false">YEAR(Tabela1[[#This Row],[FECHA]])</f>
        <v>1900</v>
      </c>
      <c r="I49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47" customFormat="false" ht="15" hidden="false" customHeight="false" outlineLevel="0" collapsed="false">
      <c r="A4947" s="41"/>
      <c r="G4947" s="38" t="n">
        <f aca="false">MONTH(A4947)</f>
        <v>12</v>
      </c>
      <c r="H4947" s="38" t="n">
        <f aca="false">YEAR(Tabela1[[#This Row],[FECHA]])</f>
        <v>1900</v>
      </c>
      <c r="I49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48" customFormat="false" ht="15" hidden="false" customHeight="false" outlineLevel="0" collapsed="false">
      <c r="A4948" s="41"/>
      <c r="G4948" s="38" t="n">
        <f aca="false">MONTH(A4948)</f>
        <v>12</v>
      </c>
      <c r="H4948" s="38" t="n">
        <f aca="false">YEAR(Tabela1[[#This Row],[FECHA]])</f>
        <v>1900</v>
      </c>
      <c r="I49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49" customFormat="false" ht="15" hidden="false" customHeight="false" outlineLevel="0" collapsed="false">
      <c r="A4949" s="41"/>
      <c r="G4949" s="38" t="n">
        <f aca="false">MONTH(A4949)</f>
        <v>12</v>
      </c>
      <c r="H4949" s="38" t="n">
        <f aca="false">YEAR(Tabela1[[#This Row],[FECHA]])</f>
        <v>1900</v>
      </c>
      <c r="I49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50" customFormat="false" ht="15" hidden="false" customHeight="false" outlineLevel="0" collapsed="false">
      <c r="A4950" s="41"/>
      <c r="G4950" s="38" t="n">
        <f aca="false">MONTH(A4950)</f>
        <v>12</v>
      </c>
      <c r="H4950" s="38" t="n">
        <f aca="false">YEAR(Tabela1[[#This Row],[FECHA]])</f>
        <v>1900</v>
      </c>
      <c r="I49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51" customFormat="false" ht="15" hidden="false" customHeight="false" outlineLevel="0" collapsed="false">
      <c r="A4951" s="41"/>
      <c r="G4951" s="38" t="n">
        <f aca="false">MONTH(A4951)</f>
        <v>12</v>
      </c>
      <c r="H4951" s="38" t="n">
        <f aca="false">YEAR(Tabela1[[#This Row],[FECHA]])</f>
        <v>1900</v>
      </c>
      <c r="I49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52" customFormat="false" ht="15" hidden="false" customHeight="false" outlineLevel="0" collapsed="false">
      <c r="A4952" s="41"/>
      <c r="G4952" s="38" t="n">
        <f aca="false">MONTH(A4952)</f>
        <v>12</v>
      </c>
      <c r="H4952" s="38" t="n">
        <f aca="false">YEAR(Tabela1[[#This Row],[FECHA]])</f>
        <v>1900</v>
      </c>
      <c r="I49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53" customFormat="false" ht="15" hidden="false" customHeight="false" outlineLevel="0" collapsed="false">
      <c r="A4953" s="41"/>
      <c r="G4953" s="38" t="n">
        <f aca="false">MONTH(A4953)</f>
        <v>12</v>
      </c>
      <c r="H4953" s="38" t="n">
        <f aca="false">YEAR(Tabela1[[#This Row],[FECHA]])</f>
        <v>1900</v>
      </c>
      <c r="I49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54" customFormat="false" ht="15" hidden="false" customHeight="false" outlineLevel="0" collapsed="false">
      <c r="A4954" s="41"/>
      <c r="G4954" s="38" t="n">
        <f aca="false">MONTH(A4954)</f>
        <v>12</v>
      </c>
      <c r="H4954" s="38" t="n">
        <f aca="false">YEAR(Tabela1[[#This Row],[FECHA]])</f>
        <v>1900</v>
      </c>
      <c r="I49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55" customFormat="false" ht="15" hidden="false" customHeight="false" outlineLevel="0" collapsed="false">
      <c r="A4955" s="41"/>
      <c r="G4955" s="38" t="n">
        <f aca="false">MONTH(A4955)</f>
        <v>12</v>
      </c>
      <c r="H4955" s="38" t="n">
        <f aca="false">YEAR(Tabela1[[#This Row],[FECHA]])</f>
        <v>1900</v>
      </c>
      <c r="I49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56" customFormat="false" ht="15" hidden="false" customHeight="false" outlineLevel="0" collapsed="false">
      <c r="A4956" s="41"/>
      <c r="G4956" s="38" t="n">
        <f aca="false">MONTH(A4956)</f>
        <v>12</v>
      </c>
      <c r="H4956" s="38" t="n">
        <f aca="false">YEAR(Tabela1[[#This Row],[FECHA]])</f>
        <v>1900</v>
      </c>
      <c r="I49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57" customFormat="false" ht="15" hidden="false" customHeight="false" outlineLevel="0" collapsed="false">
      <c r="A4957" s="41"/>
      <c r="G4957" s="38" t="n">
        <f aca="false">MONTH(A4957)</f>
        <v>12</v>
      </c>
      <c r="H4957" s="38" t="n">
        <f aca="false">YEAR(Tabela1[[#This Row],[FECHA]])</f>
        <v>1900</v>
      </c>
      <c r="I49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58" customFormat="false" ht="15" hidden="false" customHeight="false" outlineLevel="0" collapsed="false">
      <c r="A4958" s="41"/>
      <c r="G4958" s="38" t="n">
        <f aca="false">MONTH(A4958)</f>
        <v>12</v>
      </c>
      <c r="H4958" s="38" t="n">
        <f aca="false">YEAR(Tabela1[[#This Row],[FECHA]])</f>
        <v>1900</v>
      </c>
      <c r="I49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59" customFormat="false" ht="15" hidden="false" customHeight="false" outlineLevel="0" collapsed="false">
      <c r="A4959" s="41"/>
      <c r="G4959" s="38" t="n">
        <f aca="false">MONTH(A4959)</f>
        <v>12</v>
      </c>
      <c r="H4959" s="38" t="n">
        <f aca="false">YEAR(Tabela1[[#This Row],[FECHA]])</f>
        <v>1900</v>
      </c>
      <c r="I49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60" customFormat="false" ht="15" hidden="false" customHeight="false" outlineLevel="0" collapsed="false">
      <c r="A4960" s="41"/>
      <c r="G4960" s="38" t="n">
        <f aca="false">MONTH(A4960)</f>
        <v>12</v>
      </c>
      <c r="H4960" s="38" t="n">
        <f aca="false">YEAR(Tabela1[[#This Row],[FECHA]])</f>
        <v>1900</v>
      </c>
      <c r="I49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61" customFormat="false" ht="15" hidden="false" customHeight="false" outlineLevel="0" collapsed="false">
      <c r="A4961" s="41"/>
      <c r="G4961" s="38" t="n">
        <f aca="false">MONTH(A4961)</f>
        <v>12</v>
      </c>
      <c r="H4961" s="38" t="n">
        <f aca="false">YEAR(Tabela1[[#This Row],[FECHA]])</f>
        <v>1900</v>
      </c>
      <c r="I49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62" customFormat="false" ht="15" hidden="false" customHeight="false" outlineLevel="0" collapsed="false">
      <c r="A4962" s="41"/>
      <c r="G4962" s="38" t="n">
        <f aca="false">MONTH(A4962)</f>
        <v>12</v>
      </c>
      <c r="H4962" s="38" t="n">
        <f aca="false">YEAR(Tabela1[[#This Row],[FECHA]])</f>
        <v>1900</v>
      </c>
      <c r="I49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63" customFormat="false" ht="15" hidden="false" customHeight="false" outlineLevel="0" collapsed="false">
      <c r="A4963" s="41"/>
      <c r="G4963" s="38" t="n">
        <f aca="false">MONTH(A4963)</f>
        <v>12</v>
      </c>
      <c r="H4963" s="38" t="n">
        <f aca="false">YEAR(Tabela1[[#This Row],[FECHA]])</f>
        <v>1900</v>
      </c>
      <c r="I49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64" customFormat="false" ht="15" hidden="false" customHeight="false" outlineLevel="0" collapsed="false">
      <c r="A4964" s="41"/>
      <c r="G4964" s="38" t="n">
        <f aca="false">MONTH(A4964)</f>
        <v>12</v>
      </c>
      <c r="H4964" s="38" t="n">
        <f aca="false">YEAR(Tabela1[[#This Row],[FECHA]])</f>
        <v>1900</v>
      </c>
      <c r="I49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65" customFormat="false" ht="15" hidden="false" customHeight="false" outlineLevel="0" collapsed="false">
      <c r="A4965" s="41"/>
      <c r="G4965" s="38" t="n">
        <f aca="false">MONTH(A4965)</f>
        <v>12</v>
      </c>
      <c r="H4965" s="38" t="n">
        <f aca="false">YEAR(Tabela1[[#This Row],[FECHA]])</f>
        <v>1900</v>
      </c>
      <c r="I49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66" customFormat="false" ht="15" hidden="false" customHeight="false" outlineLevel="0" collapsed="false">
      <c r="A4966" s="41"/>
      <c r="G4966" s="38" t="n">
        <f aca="false">MONTH(A4966)</f>
        <v>12</v>
      </c>
      <c r="H4966" s="38" t="n">
        <f aca="false">YEAR(Tabela1[[#This Row],[FECHA]])</f>
        <v>1900</v>
      </c>
      <c r="I49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67" customFormat="false" ht="15" hidden="false" customHeight="false" outlineLevel="0" collapsed="false">
      <c r="A4967" s="41"/>
      <c r="G4967" s="38" t="n">
        <f aca="false">MONTH(A4967)</f>
        <v>12</v>
      </c>
      <c r="H4967" s="38" t="n">
        <f aca="false">YEAR(Tabela1[[#This Row],[FECHA]])</f>
        <v>1900</v>
      </c>
      <c r="I49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68" customFormat="false" ht="15" hidden="false" customHeight="false" outlineLevel="0" collapsed="false">
      <c r="A4968" s="41"/>
      <c r="G4968" s="38" t="n">
        <f aca="false">MONTH(A4968)</f>
        <v>12</v>
      </c>
      <c r="H4968" s="38" t="n">
        <f aca="false">YEAR(Tabela1[[#This Row],[FECHA]])</f>
        <v>1900</v>
      </c>
      <c r="I49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69" customFormat="false" ht="15" hidden="false" customHeight="false" outlineLevel="0" collapsed="false">
      <c r="A4969" s="41"/>
      <c r="G4969" s="38" t="n">
        <f aca="false">MONTH(A4969)</f>
        <v>12</v>
      </c>
      <c r="H4969" s="38" t="n">
        <f aca="false">YEAR(Tabela1[[#This Row],[FECHA]])</f>
        <v>1900</v>
      </c>
      <c r="I49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70" customFormat="false" ht="15" hidden="false" customHeight="false" outlineLevel="0" collapsed="false">
      <c r="A4970" s="41"/>
      <c r="G4970" s="38" t="n">
        <f aca="false">MONTH(A4970)</f>
        <v>12</v>
      </c>
      <c r="H4970" s="38" t="n">
        <f aca="false">YEAR(Tabela1[[#This Row],[FECHA]])</f>
        <v>1900</v>
      </c>
      <c r="I49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71" customFormat="false" ht="15" hidden="false" customHeight="false" outlineLevel="0" collapsed="false">
      <c r="A4971" s="41"/>
      <c r="G4971" s="38" t="n">
        <f aca="false">MONTH(A4971)</f>
        <v>12</v>
      </c>
      <c r="H4971" s="38" t="n">
        <f aca="false">YEAR(Tabela1[[#This Row],[FECHA]])</f>
        <v>1900</v>
      </c>
      <c r="I49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72" customFormat="false" ht="15" hidden="false" customHeight="false" outlineLevel="0" collapsed="false">
      <c r="A4972" s="41"/>
      <c r="G4972" s="38" t="n">
        <f aca="false">MONTH(A4972)</f>
        <v>12</v>
      </c>
      <c r="H4972" s="38" t="n">
        <f aca="false">YEAR(Tabela1[[#This Row],[FECHA]])</f>
        <v>1900</v>
      </c>
      <c r="I49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73" customFormat="false" ht="15" hidden="false" customHeight="false" outlineLevel="0" collapsed="false">
      <c r="A4973" s="41"/>
      <c r="G4973" s="38" t="n">
        <f aca="false">MONTH(A4973)</f>
        <v>12</v>
      </c>
      <c r="H4973" s="38" t="n">
        <f aca="false">YEAR(Tabela1[[#This Row],[FECHA]])</f>
        <v>1900</v>
      </c>
      <c r="I49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74" customFormat="false" ht="15" hidden="false" customHeight="false" outlineLevel="0" collapsed="false">
      <c r="A4974" s="41"/>
      <c r="G4974" s="38" t="n">
        <f aca="false">MONTH(A4974)</f>
        <v>12</v>
      </c>
      <c r="H4974" s="38" t="n">
        <f aca="false">YEAR(Tabela1[[#This Row],[FECHA]])</f>
        <v>1900</v>
      </c>
      <c r="I49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75" customFormat="false" ht="15" hidden="false" customHeight="false" outlineLevel="0" collapsed="false">
      <c r="A4975" s="41"/>
      <c r="G4975" s="38" t="n">
        <f aca="false">MONTH(A4975)</f>
        <v>12</v>
      </c>
      <c r="H4975" s="38" t="n">
        <f aca="false">YEAR(Tabela1[[#This Row],[FECHA]])</f>
        <v>1900</v>
      </c>
      <c r="I49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76" customFormat="false" ht="15" hidden="false" customHeight="false" outlineLevel="0" collapsed="false">
      <c r="A4976" s="41"/>
      <c r="G4976" s="38" t="n">
        <f aca="false">MONTH(A4976)</f>
        <v>12</v>
      </c>
      <c r="H4976" s="38" t="n">
        <f aca="false">YEAR(Tabela1[[#This Row],[FECHA]])</f>
        <v>1900</v>
      </c>
      <c r="I49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77" customFormat="false" ht="15" hidden="false" customHeight="false" outlineLevel="0" collapsed="false">
      <c r="A4977" s="41"/>
      <c r="G4977" s="38" t="n">
        <f aca="false">MONTH(A4977)</f>
        <v>12</v>
      </c>
      <c r="H4977" s="38" t="n">
        <f aca="false">YEAR(Tabela1[[#This Row],[FECHA]])</f>
        <v>1900</v>
      </c>
      <c r="I49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78" customFormat="false" ht="15" hidden="false" customHeight="false" outlineLevel="0" collapsed="false">
      <c r="A4978" s="41"/>
      <c r="G4978" s="38" t="n">
        <f aca="false">MONTH(A4978)</f>
        <v>12</v>
      </c>
      <c r="H4978" s="38" t="n">
        <f aca="false">YEAR(Tabela1[[#This Row],[FECHA]])</f>
        <v>1900</v>
      </c>
      <c r="I49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79" customFormat="false" ht="15" hidden="false" customHeight="false" outlineLevel="0" collapsed="false">
      <c r="A4979" s="41"/>
      <c r="G4979" s="38" t="n">
        <f aca="false">MONTH(A4979)</f>
        <v>12</v>
      </c>
      <c r="H4979" s="38" t="n">
        <f aca="false">YEAR(Tabela1[[#This Row],[FECHA]])</f>
        <v>1900</v>
      </c>
      <c r="I49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80" customFormat="false" ht="15" hidden="false" customHeight="false" outlineLevel="0" collapsed="false">
      <c r="A4980" s="41"/>
      <c r="G4980" s="38" t="n">
        <f aca="false">MONTH(A4980)</f>
        <v>12</v>
      </c>
      <c r="H4980" s="38" t="n">
        <f aca="false">YEAR(Tabela1[[#This Row],[FECHA]])</f>
        <v>1900</v>
      </c>
      <c r="I49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81" customFormat="false" ht="15" hidden="false" customHeight="false" outlineLevel="0" collapsed="false">
      <c r="A4981" s="41"/>
      <c r="G4981" s="38" t="n">
        <f aca="false">MONTH(A4981)</f>
        <v>12</v>
      </c>
      <c r="H4981" s="38" t="n">
        <f aca="false">YEAR(Tabela1[[#This Row],[FECHA]])</f>
        <v>1900</v>
      </c>
      <c r="I49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82" customFormat="false" ht="15" hidden="false" customHeight="false" outlineLevel="0" collapsed="false">
      <c r="A4982" s="41"/>
      <c r="G4982" s="38" t="n">
        <f aca="false">MONTH(A4982)</f>
        <v>12</v>
      </c>
      <c r="H4982" s="38" t="n">
        <f aca="false">YEAR(Tabela1[[#This Row],[FECHA]])</f>
        <v>1900</v>
      </c>
      <c r="I49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83" customFormat="false" ht="15" hidden="false" customHeight="false" outlineLevel="0" collapsed="false">
      <c r="A4983" s="41"/>
      <c r="G4983" s="38" t="n">
        <f aca="false">MONTH(A4983)</f>
        <v>12</v>
      </c>
      <c r="H4983" s="38" t="n">
        <f aca="false">YEAR(Tabela1[[#This Row],[FECHA]])</f>
        <v>1900</v>
      </c>
      <c r="I49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84" customFormat="false" ht="15" hidden="false" customHeight="false" outlineLevel="0" collapsed="false">
      <c r="A4984" s="41"/>
      <c r="G4984" s="38" t="n">
        <f aca="false">MONTH(A4984)</f>
        <v>12</v>
      </c>
      <c r="H4984" s="38" t="n">
        <f aca="false">YEAR(Tabela1[[#This Row],[FECHA]])</f>
        <v>1900</v>
      </c>
      <c r="I49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85" customFormat="false" ht="15" hidden="false" customHeight="false" outlineLevel="0" collapsed="false">
      <c r="A4985" s="41"/>
      <c r="G4985" s="38" t="n">
        <f aca="false">MONTH(A4985)</f>
        <v>12</v>
      </c>
      <c r="H4985" s="38" t="n">
        <f aca="false">YEAR(Tabela1[[#This Row],[FECHA]])</f>
        <v>1900</v>
      </c>
      <c r="I49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86" customFormat="false" ht="15" hidden="false" customHeight="false" outlineLevel="0" collapsed="false">
      <c r="A4986" s="41"/>
      <c r="G4986" s="38" t="n">
        <f aca="false">MONTH(A4986)</f>
        <v>12</v>
      </c>
      <c r="H4986" s="38" t="n">
        <f aca="false">YEAR(Tabela1[[#This Row],[FECHA]])</f>
        <v>1900</v>
      </c>
      <c r="I49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87" customFormat="false" ht="15" hidden="false" customHeight="false" outlineLevel="0" collapsed="false">
      <c r="A4987" s="41"/>
      <c r="G4987" s="38" t="n">
        <f aca="false">MONTH(A4987)</f>
        <v>12</v>
      </c>
      <c r="H4987" s="38" t="n">
        <f aca="false">YEAR(Tabela1[[#This Row],[FECHA]])</f>
        <v>1900</v>
      </c>
      <c r="I49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88" customFormat="false" ht="15" hidden="false" customHeight="false" outlineLevel="0" collapsed="false">
      <c r="A4988" s="41"/>
      <c r="G4988" s="38" t="n">
        <f aca="false">MONTH(A4988)</f>
        <v>12</v>
      </c>
      <c r="H4988" s="38" t="n">
        <f aca="false">YEAR(Tabela1[[#This Row],[FECHA]])</f>
        <v>1900</v>
      </c>
      <c r="I49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89" customFormat="false" ht="15" hidden="false" customHeight="false" outlineLevel="0" collapsed="false">
      <c r="A4989" s="41"/>
      <c r="G4989" s="38" t="n">
        <f aca="false">MONTH(A4989)</f>
        <v>12</v>
      </c>
      <c r="H4989" s="38" t="n">
        <f aca="false">YEAR(Tabela1[[#This Row],[FECHA]])</f>
        <v>1900</v>
      </c>
      <c r="I49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90" customFormat="false" ht="15" hidden="false" customHeight="false" outlineLevel="0" collapsed="false">
      <c r="A4990" s="41"/>
      <c r="G4990" s="38" t="n">
        <f aca="false">MONTH(A4990)</f>
        <v>12</v>
      </c>
      <c r="H4990" s="38" t="n">
        <f aca="false">YEAR(Tabela1[[#This Row],[FECHA]])</f>
        <v>1900</v>
      </c>
      <c r="I49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91" customFormat="false" ht="15" hidden="false" customHeight="false" outlineLevel="0" collapsed="false">
      <c r="A4991" s="41"/>
      <c r="G4991" s="38" t="n">
        <f aca="false">MONTH(A4991)</f>
        <v>12</v>
      </c>
      <c r="H4991" s="38" t="n">
        <f aca="false">YEAR(Tabela1[[#This Row],[FECHA]])</f>
        <v>1900</v>
      </c>
      <c r="I49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92" customFormat="false" ht="15" hidden="false" customHeight="false" outlineLevel="0" collapsed="false">
      <c r="A4992" s="41"/>
      <c r="G4992" s="38" t="n">
        <f aca="false">MONTH(A4992)</f>
        <v>12</v>
      </c>
      <c r="H4992" s="38" t="n">
        <f aca="false">YEAR(Tabela1[[#This Row],[FECHA]])</f>
        <v>1900</v>
      </c>
      <c r="I49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93" customFormat="false" ht="15" hidden="false" customHeight="false" outlineLevel="0" collapsed="false">
      <c r="A4993" s="41"/>
      <c r="G4993" s="38" t="n">
        <f aca="false">MONTH(A4993)</f>
        <v>12</v>
      </c>
      <c r="H4993" s="38" t="n">
        <f aca="false">YEAR(Tabela1[[#This Row],[FECHA]])</f>
        <v>1900</v>
      </c>
      <c r="I49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94" customFormat="false" ht="15" hidden="false" customHeight="false" outlineLevel="0" collapsed="false">
      <c r="A4994" s="41"/>
      <c r="G4994" s="38" t="n">
        <f aca="false">MONTH(A4994)</f>
        <v>12</v>
      </c>
      <c r="H4994" s="38" t="n">
        <f aca="false">YEAR(Tabela1[[#This Row],[FECHA]])</f>
        <v>1900</v>
      </c>
      <c r="I49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95" customFormat="false" ht="15" hidden="false" customHeight="false" outlineLevel="0" collapsed="false">
      <c r="A4995" s="41"/>
      <c r="G4995" s="38" t="n">
        <f aca="false">MONTH(A4995)</f>
        <v>12</v>
      </c>
      <c r="H4995" s="38" t="n">
        <f aca="false">YEAR(Tabela1[[#This Row],[FECHA]])</f>
        <v>1900</v>
      </c>
      <c r="I49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96" customFormat="false" ht="15" hidden="false" customHeight="false" outlineLevel="0" collapsed="false">
      <c r="A4996" s="41"/>
      <c r="G4996" s="38" t="n">
        <f aca="false">MONTH(A4996)</f>
        <v>12</v>
      </c>
      <c r="H4996" s="38" t="n">
        <f aca="false">YEAR(Tabela1[[#This Row],[FECHA]])</f>
        <v>1900</v>
      </c>
      <c r="I49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97" customFormat="false" ht="15" hidden="false" customHeight="false" outlineLevel="0" collapsed="false">
      <c r="A4997" s="41"/>
      <c r="G4997" s="38" t="n">
        <f aca="false">MONTH(A4997)</f>
        <v>12</v>
      </c>
      <c r="H4997" s="38" t="n">
        <f aca="false">YEAR(Tabela1[[#This Row],[FECHA]])</f>
        <v>1900</v>
      </c>
      <c r="I49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98" customFormat="false" ht="15" hidden="false" customHeight="false" outlineLevel="0" collapsed="false">
      <c r="A4998" s="41"/>
      <c r="G4998" s="38" t="n">
        <f aca="false">MONTH(A4998)</f>
        <v>12</v>
      </c>
      <c r="H4998" s="38" t="n">
        <f aca="false">YEAR(Tabela1[[#This Row],[FECHA]])</f>
        <v>1900</v>
      </c>
      <c r="I49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4999" customFormat="false" ht="15" hidden="false" customHeight="false" outlineLevel="0" collapsed="false">
      <c r="A4999" s="41"/>
      <c r="G4999" s="38" t="n">
        <f aca="false">MONTH(A4999)</f>
        <v>12</v>
      </c>
      <c r="H4999" s="38" t="n">
        <f aca="false">YEAR(Tabela1[[#This Row],[FECHA]])</f>
        <v>1900</v>
      </c>
      <c r="I49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00" customFormat="false" ht="15" hidden="false" customHeight="false" outlineLevel="0" collapsed="false">
      <c r="A5000" s="41"/>
      <c r="G5000" s="38" t="n">
        <f aca="false">MONTH(A5000)</f>
        <v>12</v>
      </c>
      <c r="H5000" s="38" t="n">
        <f aca="false">YEAR(Tabela1[[#This Row],[FECHA]])</f>
        <v>1900</v>
      </c>
      <c r="I50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01" customFormat="false" ht="15" hidden="false" customHeight="false" outlineLevel="0" collapsed="false">
      <c r="A5001" s="41"/>
      <c r="G5001" s="38" t="n">
        <f aca="false">MONTH(A5001)</f>
        <v>12</v>
      </c>
      <c r="H5001" s="38" t="n">
        <f aca="false">YEAR(Tabela1[[#This Row],[FECHA]])</f>
        <v>1900</v>
      </c>
      <c r="I50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02" customFormat="false" ht="15" hidden="false" customHeight="false" outlineLevel="0" collapsed="false">
      <c r="A5002" s="41"/>
      <c r="G5002" s="38" t="n">
        <f aca="false">MONTH(A5002)</f>
        <v>12</v>
      </c>
      <c r="H5002" s="38" t="n">
        <f aca="false">YEAR(Tabela1[[#This Row],[FECHA]])</f>
        <v>1900</v>
      </c>
      <c r="I50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03" customFormat="false" ht="15" hidden="false" customHeight="false" outlineLevel="0" collapsed="false">
      <c r="A5003" s="41"/>
      <c r="G5003" s="38" t="n">
        <f aca="false">MONTH(A5003)</f>
        <v>12</v>
      </c>
      <c r="H5003" s="38" t="n">
        <f aca="false">YEAR(Tabela1[[#This Row],[FECHA]])</f>
        <v>1900</v>
      </c>
      <c r="I50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04" customFormat="false" ht="15" hidden="false" customHeight="false" outlineLevel="0" collapsed="false">
      <c r="A5004" s="41"/>
      <c r="G5004" s="38" t="n">
        <f aca="false">MONTH(A5004)</f>
        <v>12</v>
      </c>
      <c r="H5004" s="38" t="n">
        <f aca="false">YEAR(Tabela1[[#This Row],[FECHA]])</f>
        <v>1900</v>
      </c>
      <c r="I50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05" customFormat="false" ht="15" hidden="false" customHeight="false" outlineLevel="0" collapsed="false">
      <c r="A5005" s="41"/>
      <c r="G5005" s="38" t="n">
        <f aca="false">MONTH(A5005)</f>
        <v>12</v>
      </c>
      <c r="H5005" s="38" t="n">
        <f aca="false">YEAR(Tabela1[[#This Row],[FECHA]])</f>
        <v>1900</v>
      </c>
      <c r="I50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06" customFormat="false" ht="15" hidden="false" customHeight="false" outlineLevel="0" collapsed="false">
      <c r="A5006" s="41"/>
      <c r="G5006" s="38" t="n">
        <f aca="false">MONTH(A5006)</f>
        <v>12</v>
      </c>
      <c r="H5006" s="38" t="n">
        <f aca="false">YEAR(Tabela1[[#This Row],[FECHA]])</f>
        <v>1900</v>
      </c>
      <c r="I50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07" customFormat="false" ht="15" hidden="false" customHeight="false" outlineLevel="0" collapsed="false">
      <c r="A5007" s="41"/>
      <c r="G5007" s="38" t="n">
        <f aca="false">MONTH(A5007)</f>
        <v>12</v>
      </c>
      <c r="H5007" s="38" t="n">
        <f aca="false">YEAR(Tabela1[[#This Row],[FECHA]])</f>
        <v>1900</v>
      </c>
      <c r="I50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08" customFormat="false" ht="15" hidden="false" customHeight="false" outlineLevel="0" collapsed="false">
      <c r="A5008" s="41"/>
      <c r="G5008" s="38" t="n">
        <f aca="false">MONTH(A5008)</f>
        <v>12</v>
      </c>
      <c r="H5008" s="38" t="n">
        <f aca="false">YEAR(Tabela1[[#This Row],[FECHA]])</f>
        <v>1900</v>
      </c>
      <c r="I50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09" customFormat="false" ht="15" hidden="false" customHeight="false" outlineLevel="0" collapsed="false">
      <c r="A5009" s="41"/>
      <c r="G5009" s="38" t="n">
        <f aca="false">MONTH(A5009)</f>
        <v>12</v>
      </c>
      <c r="H5009" s="38" t="n">
        <f aca="false">YEAR(Tabela1[[#This Row],[FECHA]])</f>
        <v>1900</v>
      </c>
      <c r="I50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10" customFormat="false" ht="15" hidden="false" customHeight="false" outlineLevel="0" collapsed="false">
      <c r="A5010" s="41"/>
      <c r="G5010" s="38" t="n">
        <f aca="false">MONTH(A5010)</f>
        <v>12</v>
      </c>
      <c r="H5010" s="38" t="n">
        <f aca="false">YEAR(Tabela1[[#This Row],[FECHA]])</f>
        <v>1900</v>
      </c>
      <c r="I50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11" customFormat="false" ht="15" hidden="false" customHeight="false" outlineLevel="0" collapsed="false">
      <c r="A5011" s="41"/>
      <c r="G5011" s="38" t="n">
        <f aca="false">MONTH(A5011)</f>
        <v>12</v>
      </c>
      <c r="H5011" s="38" t="n">
        <f aca="false">YEAR(Tabela1[[#This Row],[FECHA]])</f>
        <v>1900</v>
      </c>
      <c r="I50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12" customFormat="false" ht="15" hidden="false" customHeight="false" outlineLevel="0" collapsed="false">
      <c r="A5012" s="41"/>
      <c r="G5012" s="38" t="n">
        <f aca="false">MONTH(A5012)</f>
        <v>12</v>
      </c>
      <c r="H5012" s="38" t="n">
        <f aca="false">YEAR(Tabela1[[#This Row],[FECHA]])</f>
        <v>1900</v>
      </c>
      <c r="I50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13" customFormat="false" ht="15" hidden="false" customHeight="false" outlineLevel="0" collapsed="false">
      <c r="A5013" s="41"/>
      <c r="G5013" s="38" t="n">
        <f aca="false">MONTH(A5013)</f>
        <v>12</v>
      </c>
      <c r="H5013" s="38" t="n">
        <f aca="false">YEAR(Tabela1[[#This Row],[FECHA]])</f>
        <v>1900</v>
      </c>
      <c r="I50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14" customFormat="false" ht="15" hidden="false" customHeight="false" outlineLevel="0" collapsed="false">
      <c r="A5014" s="41"/>
      <c r="G5014" s="38" t="n">
        <f aca="false">MONTH(A5014)</f>
        <v>12</v>
      </c>
      <c r="H5014" s="38" t="n">
        <f aca="false">YEAR(Tabela1[[#This Row],[FECHA]])</f>
        <v>1900</v>
      </c>
      <c r="I50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15" customFormat="false" ht="15" hidden="false" customHeight="false" outlineLevel="0" collapsed="false">
      <c r="A5015" s="41"/>
      <c r="G5015" s="38" t="n">
        <f aca="false">MONTH(A5015)</f>
        <v>12</v>
      </c>
      <c r="H5015" s="38" t="n">
        <f aca="false">YEAR(Tabela1[[#This Row],[FECHA]])</f>
        <v>1900</v>
      </c>
      <c r="I50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16" customFormat="false" ht="15" hidden="false" customHeight="false" outlineLevel="0" collapsed="false">
      <c r="A5016" s="41"/>
      <c r="G5016" s="38" t="n">
        <f aca="false">MONTH(A5016)</f>
        <v>12</v>
      </c>
      <c r="H5016" s="38" t="n">
        <f aca="false">YEAR(Tabela1[[#This Row],[FECHA]])</f>
        <v>1900</v>
      </c>
      <c r="I50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17" customFormat="false" ht="15" hidden="false" customHeight="false" outlineLevel="0" collapsed="false">
      <c r="A5017" s="41"/>
      <c r="G5017" s="38" t="n">
        <f aca="false">MONTH(A5017)</f>
        <v>12</v>
      </c>
      <c r="H5017" s="38" t="n">
        <f aca="false">YEAR(Tabela1[[#This Row],[FECHA]])</f>
        <v>1900</v>
      </c>
      <c r="I50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18" customFormat="false" ht="15" hidden="false" customHeight="false" outlineLevel="0" collapsed="false">
      <c r="A5018" s="41"/>
      <c r="G5018" s="38" t="n">
        <f aca="false">MONTH(A5018)</f>
        <v>12</v>
      </c>
      <c r="H5018" s="38" t="n">
        <f aca="false">YEAR(Tabela1[[#This Row],[FECHA]])</f>
        <v>1900</v>
      </c>
      <c r="I50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19" customFormat="false" ht="15" hidden="false" customHeight="false" outlineLevel="0" collapsed="false">
      <c r="A5019" s="41"/>
      <c r="G5019" s="38" t="n">
        <f aca="false">MONTH(A5019)</f>
        <v>12</v>
      </c>
      <c r="H5019" s="38" t="n">
        <f aca="false">YEAR(Tabela1[[#This Row],[FECHA]])</f>
        <v>1900</v>
      </c>
      <c r="I50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20" customFormat="false" ht="15" hidden="false" customHeight="false" outlineLevel="0" collapsed="false">
      <c r="A5020" s="41"/>
      <c r="G5020" s="38" t="n">
        <f aca="false">MONTH(A5020)</f>
        <v>12</v>
      </c>
      <c r="H5020" s="38" t="n">
        <f aca="false">YEAR(Tabela1[[#This Row],[FECHA]])</f>
        <v>1900</v>
      </c>
      <c r="I50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21" customFormat="false" ht="15" hidden="false" customHeight="false" outlineLevel="0" collapsed="false">
      <c r="A5021" s="41"/>
      <c r="G5021" s="38" t="n">
        <f aca="false">MONTH(A5021)</f>
        <v>12</v>
      </c>
      <c r="H5021" s="38" t="n">
        <f aca="false">YEAR(Tabela1[[#This Row],[FECHA]])</f>
        <v>1900</v>
      </c>
      <c r="I50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22" customFormat="false" ht="15" hidden="false" customHeight="false" outlineLevel="0" collapsed="false">
      <c r="A5022" s="41"/>
      <c r="G5022" s="38" t="n">
        <f aca="false">MONTH(A5022)</f>
        <v>12</v>
      </c>
      <c r="H5022" s="38" t="n">
        <f aca="false">YEAR(Tabela1[[#This Row],[FECHA]])</f>
        <v>1900</v>
      </c>
      <c r="I50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23" customFormat="false" ht="15" hidden="false" customHeight="false" outlineLevel="0" collapsed="false">
      <c r="A5023" s="41"/>
      <c r="G5023" s="38" t="n">
        <f aca="false">MONTH(A5023)</f>
        <v>12</v>
      </c>
      <c r="H5023" s="38" t="n">
        <f aca="false">YEAR(Tabela1[[#This Row],[FECHA]])</f>
        <v>1900</v>
      </c>
      <c r="I50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24" customFormat="false" ht="15" hidden="false" customHeight="false" outlineLevel="0" collapsed="false">
      <c r="A5024" s="41"/>
      <c r="G5024" s="38" t="n">
        <f aca="false">MONTH(A5024)</f>
        <v>12</v>
      </c>
      <c r="H5024" s="38" t="n">
        <f aca="false">YEAR(Tabela1[[#This Row],[FECHA]])</f>
        <v>1900</v>
      </c>
      <c r="I50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25" customFormat="false" ht="15" hidden="false" customHeight="false" outlineLevel="0" collapsed="false">
      <c r="A5025" s="41"/>
      <c r="G5025" s="38" t="n">
        <f aca="false">MONTH(A5025)</f>
        <v>12</v>
      </c>
      <c r="H5025" s="38" t="n">
        <f aca="false">YEAR(Tabela1[[#This Row],[FECHA]])</f>
        <v>1900</v>
      </c>
      <c r="I50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26" customFormat="false" ht="15" hidden="false" customHeight="false" outlineLevel="0" collapsed="false">
      <c r="A5026" s="41"/>
      <c r="G5026" s="38" t="n">
        <f aca="false">MONTH(A5026)</f>
        <v>12</v>
      </c>
      <c r="H5026" s="38" t="n">
        <f aca="false">YEAR(Tabela1[[#This Row],[FECHA]])</f>
        <v>1900</v>
      </c>
      <c r="I50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27" customFormat="false" ht="15" hidden="false" customHeight="false" outlineLevel="0" collapsed="false">
      <c r="A5027" s="41"/>
      <c r="G5027" s="38" t="n">
        <f aca="false">MONTH(A5027)</f>
        <v>12</v>
      </c>
      <c r="H5027" s="38" t="n">
        <f aca="false">YEAR(Tabela1[[#This Row],[FECHA]])</f>
        <v>1900</v>
      </c>
      <c r="I50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28" customFormat="false" ht="15" hidden="false" customHeight="false" outlineLevel="0" collapsed="false">
      <c r="A5028" s="41"/>
      <c r="G5028" s="38" t="n">
        <f aca="false">MONTH(A5028)</f>
        <v>12</v>
      </c>
      <c r="H5028" s="38" t="n">
        <f aca="false">YEAR(Tabela1[[#This Row],[FECHA]])</f>
        <v>1900</v>
      </c>
      <c r="I50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29" customFormat="false" ht="15" hidden="false" customHeight="false" outlineLevel="0" collapsed="false">
      <c r="A5029" s="41"/>
      <c r="G5029" s="38" t="n">
        <f aca="false">MONTH(A5029)</f>
        <v>12</v>
      </c>
      <c r="H5029" s="38" t="n">
        <f aca="false">YEAR(Tabela1[[#This Row],[FECHA]])</f>
        <v>1900</v>
      </c>
      <c r="I50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30" customFormat="false" ht="15" hidden="false" customHeight="false" outlineLevel="0" collapsed="false">
      <c r="A5030" s="41"/>
      <c r="G5030" s="38" t="n">
        <f aca="false">MONTH(A5030)</f>
        <v>12</v>
      </c>
      <c r="H5030" s="38" t="n">
        <f aca="false">YEAR(Tabela1[[#This Row],[FECHA]])</f>
        <v>1900</v>
      </c>
      <c r="I50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31" customFormat="false" ht="15" hidden="false" customHeight="false" outlineLevel="0" collapsed="false">
      <c r="A5031" s="41"/>
      <c r="G5031" s="38" t="n">
        <f aca="false">MONTH(A5031)</f>
        <v>12</v>
      </c>
      <c r="H5031" s="38" t="n">
        <f aca="false">YEAR(Tabela1[[#This Row],[FECHA]])</f>
        <v>1900</v>
      </c>
      <c r="I50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32" customFormat="false" ht="15" hidden="false" customHeight="false" outlineLevel="0" collapsed="false">
      <c r="A5032" s="41"/>
      <c r="G5032" s="38" t="n">
        <f aca="false">MONTH(A5032)</f>
        <v>12</v>
      </c>
      <c r="H5032" s="38" t="n">
        <f aca="false">YEAR(Tabela1[[#This Row],[FECHA]])</f>
        <v>1900</v>
      </c>
      <c r="I50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33" customFormat="false" ht="15" hidden="false" customHeight="false" outlineLevel="0" collapsed="false">
      <c r="A5033" s="41"/>
      <c r="G5033" s="38" t="n">
        <f aca="false">MONTH(A5033)</f>
        <v>12</v>
      </c>
      <c r="H5033" s="38" t="n">
        <f aca="false">YEAR(Tabela1[[#This Row],[FECHA]])</f>
        <v>1900</v>
      </c>
      <c r="I50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34" customFormat="false" ht="15" hidden="false" customHeight="false" outlineLevel="0" collapsed="false">
      <c r="A5034" s="41"/>
      <c r="G5034" s="38" t="n">
        <f aca="false">MONTH(A5034)</f>
        <v>12</v>
      </c>
      <c r="H5034" s="38" t="n">
        <f aca="false">YEAR(Tabela1[[#This Row],[FECHA]])</f>
        <v>1900</v>
      </c>
      <c r="I50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35" customFormat="false" ht="15" hidden="false" customHeight="false" outlineLevel="0" collapsed="false">
      <c r="A5035" s="41"/>
      <c r="G5035" s="38" t="n">
        <f aca="false">MONTH(A5035)</f>
        <v>12</v>
      </c>
      <c r="H5035" s="38" t="n">
        <f aca="false">YEAR(Tabela1[[#This Row],[FECHA]])</f>
        <v>1900</v>
      </c>
      <c r="I50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36" customFormat="false" ht="15" hidden="false" customHeight="false" outlineLevel="0" collapsed="false">
      <c r="A5036" s="41"/>
      <c r="G5036" s="38" t="n">
        <f aca="false">MONTH(A5036)</f>
        <v>12</v>
      </c>
      <c r="H5036" s="38" t="n">
        <f aca="false">YEAR(Tabela1[[#This Row],[FECHA]])</f>
        <v>1900</v>
      </c>
      <c r="I50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37" customFormat="false" ht="15" hidden="false" customHeight="false" outlineLevel="0" collapsed="false">
      <c r="A5037" s="41"/>
      <c r="G5037" s="38" t="n">
        <f aca="false">MONTH(A5037)</f>
        <v>12</v>
      </c>
      <c r="H5037" s="38" t="n">
        <f aca="false">YEAR(Tabela1[[#This Row],[FECHA]])</f>
        <v>1900</v>
      </c>
      <c r="I50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38" customFormat="false" ht="15" hidden="false" customHeight="false" outlineLevel="0" collapsed="false">
      <c r="A5038" s="41"/>
      <c r="G5038" s="38" t="n">
        <f aca="false">MONTH(A5038)</f>
        <v>12</v>
      </c>
      <c r="H5038" s="38" t="n">
        <f aca="false">YEAR(Tabela1[[#This Row],[FECHA]])</f>
        <v>1900</v>
      </c>
      <c r="I50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39" customFormat="false" ht="15" hidden="false" customHeight="false" outlineLevel="0" collapsed="false">
      <c r="A5039" s="41"/>
      <c r="G5039" s="38" t="n">
        <f aca="false">MONTH(A5039)</f>
        <v>12</v>
      </c>
      <c r="H5039" s="38" t="n">
        <f aca="false">YEAR(Tabela1[[#This Row],[FECHA]])</f>
        <v>1900</v>
      </c>
      <c r="I50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40" customFormat="false" ht="15" hidden="false" customHeight="false" outlineLevel="0" collapsed="false">
      <c r="A5040" s="41"/>
      <c r="G5040" s="38" t="n">
        <f aca="false">MONTH(A5040)</f>
        <v>12</v>
      </c>
      <c r="H5040" s="38" t="n">
        <f aca="false">YEAR(Tabela1[[#This Row],[FECHA]])</f>
        <v>1900</v>
      </c>
      <c r="I50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41" customFormat="false" ht="15" hidden="false" customHeight="false" outlineLevel="0" collapsed="false">
      <c r="A5041" s="41"/>
      <c r="G5041" s="38" t="n">
        <f aca="false">MONTH(A5041)</f>
        <v>12</v>
      </c>
      <c r="H5041" s="38" t="n">
        <f aca="false">YEAR(Tabela1[[#This Row],[FECHA]])</f>
        <v>1900</v>
      </c>
      <c r="I50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42" customFormat="false" ht="15" hidden="false" customHeight="false" outlineLevel="0" collapsed="false">
      <c r="A5042" s="41"/>
      <c r="G5042" s="38" t="n">
        <f aca="false">MONTH(A5042)</f>
        <v>12</v>
      </c>
      <c r="H5042" s="38" t="n">
        <f aca="false">YEAR(Tabela1[[#This Row],[FECHA]])</f>
        <v>1900</v>
      </c>
      <c r="I50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43" customFormat="false" ht="15" hidden="false" customHeight="false" outlineLevel="0" collapsed="false">
      <c r="A5043" s="41"/>
      <c r="G5043" s="38" t="n">
        <f aca="false">MONTH(A5043)</f>
        <v>12</v>
      </c>
      <c r="H5043" s="38" t="n">
        <f aca="false">YEAR(Tabela1[[#This Row],[FECHA]])</f>
        <v>1900</v>
      </c>
      <c r="I50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44" customFormat="false" ht="15" hidden="false" customHeight="false" outlineLevel="0" collapsed="false">
      <c r="A5044" s="41"/>
      <c r="G5044" s="38" t="n">
        <f aca="false">MONTH(A5044)</f>
        <v>12</v>
      </c>
      <c r="H5044" s="38" t="n">
        <f aca="false">YEAR(Tabela1[[#This Row],[FECHA]])</f>
        <v>1900</v>
      </c>
      <c r="I50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45" customFormat="false" ht="15" hidden="false" customHeight="false" outlineLevel="0" collapsed="false">
      <c r="A5045" s="41"/>
      <c r="G5045" s="38" t="n">
        <f aca="false">MONTH(A5045)</f>
        <v>12</v>
      </c>
      <c r="H5045" s="38" t="n">
        <f aca="false">YEAR(Tabela1[[#This Row],[FECHA]])</f>
        <v>1900</v>
      </c>
      <c r="I50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46" customFormat="false" ht="15" hidden="false" customHeight="false" outlineLevel="0" collapsed="false">
      <c r="A5046" s="41"/>
      <c r="G5046" s="38" t="n">
        <f aca="false">MONTH(A5046)</f>
        <v>12</v>
      </c>
      <c r="H5046" s="38" t="n">
        <f aca="false">YEAR(Tabela1[[#This Row],[FECHA]])</f>
        <v>1900</v>
      </c>
      <c r="I50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47" customFormat="false" ht="15" hidden="false" customHeight="false" outlineLevel="0" collapsed="false">
      <c r="A5047" s="41"/>
      <c r="G5047" s="38" t="n">
        <f aca="false">MONTH(A5047)</f>
        <v>12</v>
      </c>
      <c r="H5047" s="38" t="n">
        <f aca="false">YEAR(Tabela1[[#This Row],[FECHA]])</f>
        <v>1900</v>
      </c>
      <c r="I50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48" customFormat="false" ht="15" hidden="false" customHeight="false" outlineLevel="0" collapsed="false">
      <c r="A5048" s="41"/>
      <c r="G5048" s="38" t="n">
        <f aca="false">MONTH(A5048)</f>
        <v>12</v>
      </c>
      <c r="H5048" s="38" t="n">
        <f aca="false">YEAR(Tabela1[[#This Row],[FECHA]])</f>
        <v>1900</v>
      </c>
      <c r="I50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49" customFormat="false" ht="15" hidden="false" customHeight="false" outlineLevel="0" collapsed="false">
      <c r="A5049" s="41"/>
      <c r="G5049" s="38" t="n">
        <f aca="false">MONTH(A5049)</f>
        <v>12</v>
      </c>
      <c r="H5049" s="38" t="n">
        <f aca="false">YEAR(Tabela1[[#This Row],[FECHA]])</f>
        <v>1900</v>
      </c>
      <c r="I50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50" customFormat="false" ht="15" hidden="false" customHeight="false" outlineLevel="0" collapsed="false">
      <c r="A5050" s="41"/>
      <c r="G5050" s="38" t="n">
        <f aca="false">MONTH(A5050)</f>
        <v>12</v>
      </c>
      <c r="H5050" s="38" t="n">
        <f aca="false">YEAR(Tabela1[[#This Row],[FECHA]])</f>
        <v>1900</v>
      </c>
      <c r="I50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51" customFormat="false" ht="15" hidden="false" customHeight="false" outlineLevel="0" collapsed="false">
      <c r="A5051" s="41"/>
      <c r="G5051" s="38" t="n">
        <f aca="false">MONTH(A5051)</f>
        <v>12</v>
      </c>
      <c r="H5051" s="38" t="n">
        <f aca="false">YEAR(Tabela1[[#This Row],[FECHA]])</f>
        <v>1900</v>
      </c>
      <c r="I50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52" customFormat="false" ht="15" hidden="false" customHeight="false" outlineLevel="0" collapsed="false">
      <c r="A5052" s="41"/>
      <c r="G5052" s="38" t="n">
        <f aca="false">MONTH(A5052)</f>
        <v>12</v>
      </c>
      <c r="H5052" s="38" t="n">
        <f aca="false">YEAR(Tabela1[[#This Row],[FECHA]])</f>
        <v>1900</v>
      </c>
      <c r="I50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53" customFormat="false" ht="15" hidden="false" customHeight="false" outlineLevel="0" collapsed="false">
      <c r="A5053" s="41"/>
      <c r="G5053" s="38" t="n">
        <f aca="false">MONTH(A5053)</f>
        <v>12</v>
      </c>
      <c r="H5053" s="38" t="n">
        <f aca="false">YEAR(Tabela1[[#This Row],[FECHA]])</f>
        <v>1900</v>
      </c>
      <c r="I50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54" customFormat="false" ht="15" hidden="false" customHeight="false" outlineLevel="0" collapsed="false">
      <c r="A5054" s="41"/>
      <c r="G5054" s="38" t="n">
        <f aca="false">MONTH(A5054)</f>
        <v>12</v>
      </c>
      <c r="H5054" s="38" t="n">
        <f aca="false">YEAR(Tabela1[[#This Row],[FECHA]])</f>
        <v>1900</v>
      </c>
      <c r="I50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55" customFormat="false" ht="15" hidden="false" customHeight="false" outlineLevel="0" collapsed="false">
      <c r="A5055" s="41"/>
      <c r="G5055" s="38" t="n">
        <f aca="false">MONTH(A5055)</f>
        <v>12</v>
      </c>
      <c r="H5055" s="38" t="n">
        <f aca="false">YEAR(Tabela1[[#This Row],[FECHA]])</f>
        <v>1900</v>
      </c>
      <c r="I50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56" customFormat="false" ht="15" hidden="false" customHeight="false" outlineLevel="0" collapsed="false">
      <c r="A5056" s="41"/>
      <c r="G5056" s="38" t="n">
        <f aca="false">MONTH(A5056)</f>
        <v>12</v>
      </c>
      <c r="H5056" s="38" t="n">
        <f aca="false">YEAR(Tabela1[[#This Row],[FECHA]])</f>
        <v>1900</v>
      </c>
      <c r="I50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57" customFormat="false" ht="15" hidden="false" customHeight="false" outlineLevel="0" collapsed="false">
      <c r="A5057" s="41"/>
      <c r="G5057" s="38" t="n">
        <f aca="false">MONTH(A5057)</f>
        <v>12</v>
      </c>
      <c r="H5057" s="38" t="n">
        <f aca="false">YEAR(Tabela1[[#This Row],[FECHA]])</f>
        <v>1900</v>
      </c>
      <c r="I50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58" customFormat="false" ht="15" hidden="false" customHeight="false" outlineLevel="0" collapsed="false">
      <c r="A5058" s="41"/>
      <c r="G5058" s="38" t="n">
        <f aca="false">MONTH(A5058)</f>
        <v>12</v>
      </c>
      <c r="H5058" s="38" t="n">
        <f aca="false">YEAR(Tabela1[[#This Row],[FECHA]])</f>
        <v>1900</v>
      </c>
      <c r="I50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59" customFormat="false" ht="15" hidden="false" customHeight="false" outlineLevel="0" collapsed="false">
      <c r="A5059" s="41"/>
      <c r="G5059" s="38" t="n">
        <f aca="false">MONTH(A5059)</f>
        <v>12</v>
      </c>
      <c r="H5059" s="38" t="n">
        <f aca="false">YEAR(Tabela1[[#This Row],[FECHA]])</f>
        <v>1900</v>
      </c>
      <c r="I50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60" customFormat="false" ht="15" hidden="false" customHeight="false" outlineLevel="0" collapsed="false">
      <c r="A5060" s="41"/>
      <c r="G5060" s="38" t="n">
        <f aca="false">MONTH(A5060)</f>
        <v>12</v>
      </c>
      <c r="H5060" s="38" t="n">
        <f aca="false">YEAR(Tabela1[[#This Row],[FECHA]])</f>
        <v>1900</v>
      </c>
      <c r="I50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61" customFormat="false" ht="15" hidden="false" customHeight="false" outlineLevel="0" collapsed="false">
      <c r="A5061" s="41"/>
      <c r="G5061" s="38" t="n">
        <f aca="false">MONTH(A5061)</f>
        <v>12</v>
      </c>
      <c r="H5061" s="38" t="n">
        <f aca="false">YEAR(Tabela1[[#This Row],[FECHA]])</f>
        <v>1900</v>
      </c>
      <c r="I50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62" customFormat="false" ht="15" hidden="false" customHeight="false" outlineLevel="0" collapsed="false">
      <c r="A5062" s="41"/>
      <c r="G5062" s="38" t="n">
        <f aca="false">MONTH(A5062)</f>
        <v>12</v>
      </c>
      <c r="H5062" s="38" t="n">
        <f aca="false">YEAR(Tabela1[[#This Row],[FECHA]])</f>
        <v>1900</v>
      </c>
      <c r="I50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63" customFormat="false" ht="15" hidden="false" customHeight="false" outlineLevel="0" collapsed="false">
      <c r="A5063" s="41"/>
      <c r="G5063" s="38" t="n">
        <f aca="false">MONTH(A5063)</f>
        <v>12</v>
      </c>
      <c r="H5063" s="38" t="n">
        <f aca="false">YEAR(Tabela1[[#This Row],[FECHA]])</f>
        <v>1900</v>
      </c>
      <c r="I50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64" customFormat="false" ht="15" hidden="false" customHeight="false" outlineLevel="0" collapsed="false">
      <c r="A5064" s="41"/>
      <c r="G5064" s="38" t="n">
        <f aca="false">MONTH(A5064)</f>
        <v>12</v>
      </c>
      <c r="H5064" s="38" t="n">
        <f aca="false">YEAR(Tabela1[[#This Row],[FECHA]])</f>
        <v>1900</v>
      </c>
      <c r="I50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65" customFormat="false" ht="15" hidden="false" customHeight="false" outlineLevel="0" collapsed="false">
      <c r="A5065" s="41"/>
      <c r="G5065" s="38" t="n">
        <f aca="false">MONTH(A5065)</f>
        <v>12</v>
      </c>
      <c r="H5065" s="38" t="n">
        <f aca="false">YEAR(Tabela1[[#This Row],[FECHA]])</f>
        <v>1900</v>
      </c>
      <c r="I50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66" customFormat="false" ht="15" hidden="false" customHeight="false" outlineLevel="0" collapsed="false">
      <c r="A5066" s="41"/>
      <c r="G5066" s="38" t="n">
        <f aca="false">MONTH(A5066)</f>
        <v>12</v>
      </c>
      <c r="H5066" s="38" t="n">
        <f aca="false">YEAR(Tabela1[[#This Row],[FECHA]])</f>
        <v>1900</v>
      </c>
      <c r="I50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67" customFormat="false" ht="15" hidden="false" customHeight="false" outlineLevel="0" collapsed="false">
      <c r="A5067" s="41"/>
      <c r="G5067" s="38" t="n">
        <f aca="false">MONTH(A5067)</f>
        <v>12</v>
      </c>
      <c r="H5067" s="38" t="n">
        <f aca="false">YEAR(Tabela1[[#This Row],[FECHA]])</f>
        <v>1900</v>
      </c>
      <c r="I50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68" customFormat="false" ht="15" hidden="false" customHeight="false" outlineLevel="0" collapsed="false">
      <c r="A5068" s="41"/>
      <c r="G5068" s="38" t="n">
        <f aca="false">MONTH(A5068)</f>
        <v>12</v>
      </c>
      <c r="H5068" s="38" t="n">
        <f aca="false">YEAR(Tabela1[[#This Row],[FECHA]])</f>
        <v>1900</v>
      </c>
      <c r="I50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69" customFormat="false" ht="15" hidden="false" customHeight="false" outlineLevel="0" collapsed="false">
      <c r="A5069" s="41"/>
      <c r="G5069" s="38" t="n">
        <f aca="false">MONTH(A5069)</f>
        <v>12</v>
      </c>
      <c r="H5069" s="38" t="n">
        <f aca="false">YEAR(Tabela1[[#This Row],[FECHA]])</f>
        <v>1900</v>
      </c>
      <c r="I50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70" customFormat="false" ht="15" hidden="false" customHeight="false" outlineLevel="0" collapsed="false">
      <c r="A5070" s="41"/>
      <c r="G5070" s="38" t="n">
        <f aca="false">MONTH(A5070)</f>
        <v>12</v>
      </c>
      <c r="H5070" s="38" t="n">
        <f aca="false">YEAR(Tabela1[[#This Row],[FECHA]])</f>
        <v>1900</v>
      </c>
      <c r="I50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71" customFormat="false" ht="15" hidden="false" customHeight="false" outlineLevel="0" collapsed="false">
      <c r="A5071" s="41"/>
      <c r="G5071" s="38" t="n">
        <f aca="false">MONTH(A5071)</f>
        <v>12</v>
      </c>
      <c r="H5071" s="38" t="n">
        <f aca="false">YEAR(Tabela1[[#This Row],[FECHA]])</f>
        <v>1900</v>
      </c>
      <c r="I50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72" customFormat="false" ht="15" hidden="false" customHeight="false" outlineLevel="0" collapsed="false">
      <c r="A5072" s="41"/>
      <c r="G5072" s="38" t="n">
        <f aca="false">MONTH(A5072)</f>
        <v>12</v>
      </c>
      <c r="H5072" s="38" t="n">
        <f aca="false">YEAR(Tabela1[[#This Row],[FECHA]])</f>
        <v>1900</v>
      </c>
      <c r="I50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73" customFormat="false" ht="15" hidden="false" customHeight="false" outlineLevel="0" collapsed="false">
      <c r="A5073" s="41"/>
      <c r="G5073" s="38" t="n">
        <f aca="false">MONTH(A5073)</f>
        <v>12</v>
      </c>
      <c r="H5073" s="38" t="n">
        <f aca="false">YEAR(Tabela1[[#This Row],[FECHA]])</f>
        <v>1900</v>
      </c>
      <c r="I50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74" customFormat="false" ht="15" hidden="false" customHeight="false" outlineLevel="0" collapsed="false">
      <c r="A5074" s="41"/>
      <c r="G5074" s="38" t="n">
        <f aca="false">MONTH(A5074)</f>
        <v>12</v>
      </c>
      <c r="H5074" s="38" t="n">
        <f aca="false">YEAR(Tabela1[[#This Row],[FECHA]])</f>
        <v>1900</v>
      </c>
      <c r="I50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75" customFormat="false" ht="15" hidden="false" customHeight="false" outlineLevel="0" collapsed="false">
      <c r="A5075" s="41"/>
      <c r="G5075" s="38" t="n">
        <f aca="false">MONTH(A5075)</f>
        <v>12</v>
      </c>
      <c r="H5075" s="38" t="n">
        <f aca="false">YEAR(Tabela1[[#This Row],[FECHA]])</f>
        <v>1900</v>
      </c>
      <c r="I50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76" customFormat="false" ht="15" hidden="false" customHeight="false" outlineLevel="0" collapsed="false">
      <c r="A5076" s="41"/>
      <c r="G5076" s="38" t="n">
        <f aca="false">MONTH(A5076)</f>
        <v>12</v>
      </c>
      <c r="H5076" s="38" t="n">
        <f aca="false">YEAR(Tabela1[[#This Row],[FECHA]])</f>
        <v>1900</v>
      </c>
      <c r="I50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77" customFormat="false" ht="15" hidden="false" customHeight="false" outlineLevel="0" collapsed="false">
      <c r="A5077" s="41"/>
      <c r="G5077" s="38" t="n">
        <f aca="false">MONTH(A5077)</f>
        <v>12</v>
      </c>
      <c r="H5077" s="38" t="n">
        <f aca="false">YEAR(Tabela1[[#This Row],[FECHA]])</f>
        <v>1900</v>
      </c>
      <c r="I50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78" customFormat="false" ht="15" hidden="false" customHeight="false" outlineLevel="0" collapsed="false">
      <c r="A5078" s="41"/>
      <c r="G5078" s="38" t="n">
        <f aca="false">MONTH(A5078)</f>
        <v>12</v>
      </c>
      <c r="H5078" s="38" t="n">
        <f aca="false">YEAR(Tabela1[[#This Row],[FECHA]])</f>
        <v>1900</v>
      </c>
      <c r="I50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79" customFormat="false" ht="15" hidden="false" customHeight="false" outlineLevel="0" collapsed="false">
      <c r="A5079" s="41"/>
      <c r="G5079" s="38" t="n">
        <f aca="false">MONTH(A5079)</f>
        <v>12</v>
      </c>
      <c r="H5079" s="38" t="n">
        <f aca="false">YEAR(Tabela1[[#This Row],[FECHA]])</f>
        <v>1900</v>
      </c>
      <c r="I50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80" customFormat="false" ht="15" hidden="false" customHeight="false" outlineLevel="0" collapsed="false">
      <c r="A5080" s="41"/>
      <c r="G5080" s="38" t="n">
        <f aca="false">MONTH(A5080)</f>
        <v>12</v>
      </c>
      <c r="H5080" s="38" t="n">
        <f aca="false">YEAR(Tabela1[[#This Row],[FECHA]])</f>
        <v>1900</v>
      </c>
      <c r="I50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81" customFormat="false" ht="15" hidden="false" customHeight="false" outlineLevel="0" collapsed="false">
      <c r="A5081" s="41"/>
      <c r="G5081" s="38" t="n">
        <f aca="false">MONTH(A5081)</f>
        <v>12</v>
      </c>
      <c r="H5081" s="38" t="n">
        <f aca="false">YEAR(Tabela1[[#This Row],[FECHA]])</f>
        <v>1900</v>
      </c>
      <c r="I50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82" customFormat="false" ht="15" hidden="false" customHeight="false" outlineLevel="0" collapsed="false">
      <c r="A5082" s="41"/>
      <c r="G5082" s="38" t="n">
        <f aca="false">MONTH(A5082)</f>
        <v>12</v>
      </c>
      <c r="H5082" s="38" t="n">
        <f aca="false">YEAR(Tabela1[[#This Row],[FECHA]])</f>
        <v>1900</v>
      </c>
      <c r="I50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83" customFormat="false" ht="15" hidden="false" customHeight="false" outlineLevel="0" collapsed="false">
      <c r="A5083" s="41"/>
      <c r="G5083" s="38" t="n">
        <f aca="false">MONTH(A5083)</f>
        <v>12</v>
      </c>
      <c r="H5083" s="38" t="n">
        <f aca="false">YEAR(Tabela1[[#This Row],[FECHA]])</f>
        <v>1900</v>
      </c>
      <c r="I50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84" customFormat="false" ht="15" hidden="false" customHeight="false" outlineLevel="0" collapsed="false">
      <c r="A5084" s="41"/>
      <c r="G5084" s="38" t="n">
        <f aca="false">MONTH(A5084)</f>
        <v>12</v>
      </c>
      <c r="H5084" s="38" t="n">
        <f aca="false">YEAR(Tabela1[[#This Row],[FECHA]])</f>
        <v>1900</v>
      </c>
      <c r="I50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85" customFormat="false" ht="15" hidden="false" customHeight="false" outlineLevel="0" collapsed="false">
      <c r="A5085" s="41"/>
      <c r="G5085" s="38" t="n">
        <f aca="false">MONTH(A5085)</f>
        <v>12</v>
      </c>
      <c r="H5085" s="38" t="n">
        <f aca="false">YEAR(Tabela1[[#This Row],[FECHA]])</f>
        <v>1900</v>
      </c>
      <c r="I50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86" customFormat="false" ht="15" hidden="false" customHeight="false" outlineLevel="0" collapsed="false">
      <c r="A5086" s="41"/>
      <c r="G5086" s="38" t="n">
        <f aca="false">MONTH(A5086)</f>
        <v>12</v>
      </c>
      <c r="H5086" s="38" t="n">
        <f aca="false">YEAR(Tabela1[[#This Row],[FECHA]])</f>
        <v>1900</v>
      </c>
      <c r="I50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87" customFormat="false" ht="15" hidden="false" customHeight="false" outlineLevel="0" collapsed="false">
      <c r="A5087" s="41"/>
      <c r="G5087" s="38" t="n">
        <f aca="false">MONTH(A5087)</f>
        <v>12</v>
      </c>
      <c r="H5087" s="38" t="n">
        <f aca="false">YEAR(Tabela1[[#This Row],[FECHA]])</f>
        <v>1900</v>
      </c>
      <c r="I50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88" customFormat="false" ht="15" hidden="false" customHeight="false" outlineLevel="0" collapsed="false">
      <c r="A5088" s="41"/>
      <c r="G5088" s="38" t="n">
        <f aca="false">MONTH(A5088)</f>
        <v>12</v>
      </c>
      <c r="H5088" s="38" t="n">
        <f aca="false">YEAR(Tabela1[[#This Row],[FECHA]])</f>
        <v>1900</v>
      </c>
      <c r="I50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89" customFormat="false" ht="15" hidden="false" customHeight="false" outlineLevel="0" collapsed="false">
      <c r="A5089" s="41"/>
      <c r="G5089" s="38" t="n">
        <f aca="false">MONTH(A5089)</f>
        <v>12</v>
      </c>
      <c r="H5089" s="38" t="n">
        <f aca="false">YEAR(Tabela1[[#This Row],[FECHA]])</f>
        <v>1900</v>
      </c>
      <c r="I50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90" customFormat="false" ht="15" hidden="false" customHeight="false" outlineLevel="0" collapsed="false">
      <c r="A5090" s="41"/>
      <c r="G5090" s="38" t="n">
        <f aca="false">MONTH(A5090)</f>
        <v>12</v>
      </c>
      <c r="H5090" s="38" t="n">
        <f aca="false">YEAR(Tabela1[[#This Row],[FECHA]])</f>
        <v>1900</v>
      </c>
      <c r="I50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91" customFormat="false" ht="15" hidden="false" customHeight="false" outlineLevel="0" collapsed="false">
      <c r="A5091" s="41"/>
      <c r="G5091" s="38" t="n">
        <f aca="false">MONTH(A5091)</f>
        <v>12</v>
      </c>
      <c r="H5091" s="38" t="n">
        <f aca="false">YEAR(Tabela1[[#This Row],[FECHA]])</f>
        <v>1900</v>
      </c>
      <c r="I50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92" customFormat="false" ht="15" hidden="false" customHeight="false" outlineLevel="0" collapsed="false">
      <c r="A5092" s="41"/>
      <c r="G5092" s="38" t="n">
        <f aca="false">MONTH(A5092)</f>
        <v>12</v>
      </c>
      <c r="H5092" s="38" t="n">
        <f aca="false">YEAR(Tabela1[[#This Row],[FECHA]])</f>
        <v>1900</v>
      </c>
      <c r="I50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93" customFormat="false" ht="15" hidden="false" customHeight="false" outlineLevel="0" collapsed="false">
      <c r="A5093" s="41"/>
      <c r="G5093" s="38" t="n">
        <f aca="false">MONTH(A5093)</f>
        <v>12</v>
      </c>
      <c r="H5093" s="38" t="n">
        <f aca="false">YEAR(Tabela1[[#This Row],[FECHA]])</f>
        <v>1900</v>
      </c>
      <c r="I50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94" customFormat="false" ht="15" hidden="false" customHeight="false" outlineLevel="0" collapsed="false">
      <c r="A5094" s="41"/>
      <c r="G5094" s="38" t="n">
        <f aca="false">MONTH(A5094)</f>
        <v>12</v>
      </c>
      <c r="H5094" s="38" t="n">
        <f aca="false">YEAR(Tabela1[[#This Row],[FECHA]])</f>
        <v>1900</v>
      </c>
      <c r="I50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95" customFormat="false" ht="15" hidden="false" customHeight="false" outlineLevel="0" collapsed="false">
      <c r="A5095" s="41"/>
      <c r="G5095" s="38" t="n">
        <f aca="false">MONTH(A5095)</f>
        <v>12</v>
      </c>
      <c r="H5095" s="38" t="n">
        <f aca="false">YEAR(Tabela1[[#This Row],[FECHA]])</f>
        <v>1900</v>
      </c>
      <c r="I50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96" customFormat="false" ht="15" hidden="false" customHeight="false" outlineLevel="0" collapsed="false">
      <c r="A5096" s="41"/>
      <c r="G5096" s="38" t="n">
        <f aca="false">MONTH(A5096)</f>
        <v>12</v>
      </c>
      <c r="H5096" s="38" t="n">
        <f aca="false">YEAR(Tabela1[[#This Row],[FECHA]])</f>
        <v>1900</v>
      </c>
      <c r="I50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97" customFormat="false" ht="15" hidden="false" customHeight="false" outlineLevel="0" collapsed="false">
      <c r="A5097" s="41"/>
      <c r="G5097" s="38" t="n">
        <f aca="false">MONTH(A5097)</f>
        <v>12</v>
      </c>
      <c r="H5097" s="38" t="n">
        <f aca="false">YEAR(Tabela1[[#This Row],[FECHA]])</f>
        <v>1900</v>
      </c>
      <c r="I50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98" customFormat="false" ht="15" hidden="false" customHeight="false" outlineLevel="0" collapsed="false">
      <c r="A5098" s="41"/>
      <c r="G5098" s="38" t="n">
        <f aca="false">MONTH(A5098)</f>
        <v>12</v>
      </c>
      <c r="H5098" s="38" t="n">
        <f aca="false">YEAR(Tabela1[[#This Row],[FECHA]])</f>
        <v>1900</v>
      </c>
      <c r="I50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099" customFormat="false" ht="15" hidden="false" customHeight="false" outlineLevel="0" collapsed="false">
      <c r="A5099" s="41"/>
      <c r="G5099" s="38" t="n">
        <f aca="false">MONTH(A5099)</f>
        <v>12</v>
      </c>
      <c r="H5099" s="38" t="n">
        <f aca="false">YEAR(Tabela1[[#This Row],[FECHA]])</f>
        <v>1900</v>
      </c>
      <c r="I50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00" customFormat="false" ht="15" hidden="false" customHeight="false" outlineLevel="0" collapsed="false">
      <c r="A5100" s="41"/>
      <c r="G5100" s="38" t="n">
        <f aca="false">MONTH(A5100)</f>
        <v>12</v>
      </c>
      <c r="H5100" s="38" t="n">
        <f aca="false">YEAR(Tabela1[[#This Row],[FECHA]])</f>
        <v>1900</v>
      </c>
      <c r="I51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01" customFormat="false" ht="15" hidden="false" customHeight="false" outlineLevel="0" collapsed="false">
      <c r="A5101" s="41"/>
      <c r="G5101" s="38" t="n">
        <f aca="false">MONTH(A5101)</f>
        <v>12</v>
      </c>
      <c r="H5101" s="38" t="n">
        <f aca="false">YEAR(Tabela1[[#This Row],[FECHA]])</f>
        <v>1900</v>
      </c>
      <c r="I51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02" customFormat="false" ht="15" hidden="false" customHeight="false" outlineLevel="0" collapsed="false">
      <c r="A5102" s="41"/>
      <c r="G5102" s="38" t="n">
        <f aca="false">MONTH(A5102)</f>
        <v>12</v>
      </c>
      <c r="H5102" s="38" t="n">
        <f aca="false">YEAR(Tabela1[[#This Row],[FECHA]])</f>
        <v>1900</v>
      </c>
      <c r="I51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03" customFormat="false" ht="15" hidden="false" customHeight="false" outlineLevel="0" collapsed="false">
      <c r="A5103" s="41"/>
      <c r="G5103" s="38" t="n">
        <f aca="false">MONTH(A5103)</f>
        <v>12</v>
      </c>
      <c r="H5103" s="38" t="n">
        <f aca="false">YEAR(Tabela1[[#This Row],[FECHA]])</f>
        <v>1900</v>
      </c>
      <c r="I51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04" customFormat="false" ht="15" hidden="false" customHeight="false" outlineLevel="0" collapsed="false">
      <c r="A5104" s="41"/>
      <c r="G5104" s="38" t="n">
        <f aca="false">MONTH(A5104)</f>
        <v>12</v>
      </c>
      <c r="H5104" s="38" t="n">
        <f aca="false">YEAR(Tabela1[[#This Row],[FECHA]])</f>
        <v>1900</v>
      </c>
      <c r="I51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05" customFormat="false" ht="15" hidden="false" customHeight="false" outlineLevel="0" collapsed="false">
      <c r="A5105" s="41"/>
      <c r="G5105" s="38" t="n">
        <f aca="false">MONTH(A5105)</f>
        <v>12</v>
      </c>
      <c r="H5105" s="38" t="n">
        <f aca="false">YEAR(Tabela1[[#This Row],[FECHA]])</f>
        <v>1900</v>
      </c>
      <c r="I51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06" customFormat="false" ht="15" hidden="false" customHeight="false" outlineLevel="0" collapsed="false">
      <c r="A5106" s="41"/>
      <c r="G5106" s="38" t="n">
        <f aca="false">MONTH(A5106)</f>
        <v>12</v>
      </c>
      <c r="H5106" s="38" t="n">
        <f aca="false">YEAR(Tabela1[[#This Row],[FECHA]])</f>
        <v>1900</v>
      </c>
      <c r="I51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07" customFormat="false" ht="15" hidden="false" customHeight="false" outlineLevel="0" collapsed="false">
      <c r="A5107" s="41"/>
      <c r="G5107" s="38" t="n">
        <f aca="false">MONTH(A5107)</f>
        <v>12</v>
      </c>
      <c r="H5107" s="38" t="n">
        <f aca="false">YEAR(Tabela1[[#This Row],[FECHA]])</f>
        <v>1900</v>
      </c>
      <c r="I51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08" customFormat="false" ht="15" hidden="false" customHeight="false" outlineLevel="0" collapsed="false">
      <c r="A5108" s="41"/>
      <c r="G5108" s="38" t="n">
        <f aca="false">MONTH(A5108)</f>
        <v>12</v>
      </c>
      <c r="H5108" s="38" t="n">
        <f aca="false">YEAR(Tabela1[[#This Row],[FECHA]])</f>
        <v>1900</v>
      </c>
      <c r="I51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09" customFormat="false" ht="15" hidden="false" customHeight="false" outlineLevel="0" collapsed="false">
      <c r="A5109" s="41"/>
      <c r="G5109" s="38" t="n">
        <f aca="false">MONTH(A5109)</f>
        <v>12</v>
      </c>
      <c r="H5109" s="38" t="n">
        <f aca="false">YEAR(Tabela1[[#This Row],[FECHA]])</f>
        <v>1900</v>
      </c>
      <c r="I51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10" customFormat="false" ht="15" hidden="false" customHeight="false" outlineLevel="0" collapsed="false">
      <c r="A5110" s="41"/>
      <c r="G5110" s="38" t="n">
        <f aca="false">MONTH(A5110)</f>
        <v>12</v>
      </c>
      <c r="H5110" s="38" t="n">
        <f aca="false">YEAR(Tabela1[[#This Row],[FECHA]])</f>
        <v>1900</v>
      </c>
      <c r="I51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11" customFormat="false" ht="15" hidden="false" customHeight="false" outlineLevel="0" collapsed="false">
      <c r="A5111" s="41"/>
      <c r="G5111" s="38" t="n">
        <f aca="false">MONTH(A5111)</f>
        <v>12</v>
      </c>
      <c r="H5111" s="38" t="n">
        <f aca="false">YEAR(Tabela1[[#This Row],[FECHA]])</f>
        <v>1900</v>
      </c>
      <c r="I51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12" customFormat="false" ht="15" hidden="false" customHeight="false" outlineLevel="0" collapsed="false">
      <c r="A5112" s="41"/>
      <c r="G5112" s="38" t="n">
        <f aca="false">MONTH(A5112)</f>
        <v>12</v>
      </c>
      <c r="H5112" s="38" t="n">
        <f aca="false">YEAR(Tabela1[[#This Row],[FECHA]])</f>
        <v>1900</v>
      </c>
      <c r="I51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13" customFormat="false" ht="15" hidden="false" customHeight="false" outlineLevel="0" collapsed="false">
      <c r="A5113" s="41"/>
      <c r="G5113" s="38" t="n">
        <f aca="false">MONTH(A5113)</f>
        <v>12</v>
      </c>
      <c r="H5113" s="38" t="n">
        <f aca="false">YEAR(Tabela1[[#This Row],[FECHA]])</f>
        <v>1900</v>
      </c>
      <c r="I51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14" customFormat="false" ht="15" hidden="false" customHeight="false" outlineLevel="0" collapsed="false">
      <c r="A5114" s="41"/>
      <c r="G5114" s="38" t="n">
        <f aca="false">MONTH(A5114)</f>
        <v>12</v>
      </c>
      <c r="H5114" s="38" t="n">
        <f aca="false">YEAR(Tabela1[[#This Row],[FECHA]])</f>
        <v>1900</v>
      </c>
      <c r="I51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15" customFormat="false" ht="15" hidden="false" customHeight="false" outlineLevel="0" collapsed="false">
      <c r="A5115" s="41"/>
      <c r="G5115" s="38" t="n">
        <f aca="false">MONTH(A5115)</f>
        <v>12</v>
      </c>
      <c r="H5115" s="38" t="n">
        <f aca="false">YEAR(Tabela1[[#This Row],[FECHA]])</f>
        <v>1900</v>
      </c>
      <c r="I51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16" customFormat="false" ht="15" hidden="false" customHeight="false" outlineLevel="0" collapsed="false">
      <c r="A5116" s="41"/>
      <c r="G5116" s="38" t="n">
        <f aca="false">MONTH(A5116)</f>
        <v>12</v>
      </c>
      <c r="H5116" s="38" t="n">
        <f aca="false">YEAR(Tabela1[[#This Row],[FECHA]])</f>
        <v>1900</v>
      </c>
      <c r="I51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17" customFormat="false" ht="15" hidden="false" customHeight="false" outlineLevel="0" collapsed="false">
      <c r="A5117" s="41"/>
      <c r="G5117" s="38" t="n">
        <f aca="false">MONTH(A5117)</f>
        <v>12</v>
      </c>
      <c r="H5117" s="38" t="n">
        <f aca="false">YEAR(Tabela1[[#This Row],[FECHA]])</f>
        <v>1900</v>
      </c>
      <c r="I51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18" customFormat="false" ht="15" hidden="false" customHeight="false" outlineLevel="0" collapsed="false">
      <c r="A5118" s="41"/>
      <c r="G5118" s="38" t="n">
        <f aca="false">MONTH(A5118)</f>
        <v>12</v>
      </c>
      <c r="H5118" s="38" t="n">
        <f aca="false">YEAR(Tabela1[[#This Row],[FECHA]])</f>
        <v>1900</v>
      </c>
      <c r="I51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19" customFormat="false" ht="15" hidden="false" customHeight="false" outlineLevel="0" collapsed="false">
      <c r="A5119" s="41"/>
      <c r="G5119" s="38" t="n">
        <f aca="false">MONTH(A5119)</f>
        <v>12</v>
      </c>
      <c r="H5119" s="38" t="n">
        <f aca="false">YEAR(Tabela1[[#This Row],[FECHA]])</f>
        <v>1900</v>
      </c>
      <c r="I51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20" customFormat="false" ht="15" hidden="false" customHeight="false" outlineLevel="0" collapsed="false">
      <c r="A5120" s="41"/>
      <c r="G5120" s="38" t="n">
        <f aca="false">MONTH(A5120)</f>
        <v>12</v>
      </c>
      <c r="H5120" s="38" t="n">
        <f aca="false">YEAR(Tabela1[[#This Row],[FECHA]])</f>
        <v>1900</v>
      </c>
      <c r="I51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21" customFormat="false" ht="15" hidden="false" customHeight="false" outlineLevel="0" collapsed="false">
      <c r="A5121" s="41"/>
      <c r="G5121" s="38" t="n">
        <f aca="false">MONTH(A5121)</f>
        <v>12</v>
      </c>
      <c r="H5121" s="38" t="n">
        <f aca="false">YEAR(Tabela1[[#This Row],[FECHA]])</f>
        <v>1900</v>
      </c>
      <c r="I51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22" customFormat="false" ht="15" hidden="false" customHeight="false" outlineLevel="0" collapsed="false">
      <c r="A5122" s="41"/>
      <c r="G5122" s="38" t="n">
        <f aca="false">MONTH(A5122)</f>
        <v>12</v>
      </c>
      <c r="H5122" s="38" t="n">
        <f aca="false">YEAR(Tabela1[[#This Row],[FECHA]])</f>
        <v>1900</v>
      </c>
      <c r="I51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23" customFormat="false" ht="15" hidden="false" customHeight="false" outlineLevel="0" collapsed="false">
      <c r="A5123" s="41"/>
      <c r="G5123" s="38" t="n">
        <f aca="false">MONTH(A5123)</f>
        <v>12</v>
      </c>
      <c r="H5123" s="38" t="n">
        <f aca="false">YEAR(Tabela1[[#This Row],[FECHA]])</f>
        <v>1900</v>
      </c>
      <c r="I51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24" customFormat="false" ht="15" hidden="false" customHeight="false" outlineLevel="0" collapsed="false">
      <c r="A5124" s="41"/>
      <c r="G5124" s="38" t="n">
        <f aca="false">MONTH(A5124)</f>
        <v>12</v>
      </c>
      <c r="H5124" s="38" t="n">
        <f aca="false">YEAR(Tabela1[[#This Row],[FECHA]])</f>
        <v>1900</v>
      </c>
      <c r="I51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25" customFormat="false" ht="15" hidden="false" customHeight="false" outlineLevel="0" collapsed="false">
      <c r="A5125" s="41"/>
      <c r="G5125" s="38" t="n">
        <f aca="false">MONTH(A5125)</f>
        <v>12</v>
      </c>
      <c r="H5125" s="38" t="n">
        <f aca="false">YEAR(Tabela1[[#This Row],[FECHA]])</f>
        <v>1900</v>
      </c>
      <c r="I51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26" customFormat="false" ht="15" hidden="false" customHeight="false" outlineLevel="0" collapsed="false">
      <c r="A5126" s="41"/>
      <c r="G5126" s="38" t="n">
        <f aca="false">MONTH(A5126)</f>
        <v>12</v>
      </c>
      <c r="H5126" s="38" t="n">
        <f aca="false">YEAR(Tabela1[[#This Row],[FECHA]])</f>
        <v>1900</v>
      </c>
      <c r="I51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27" customFormat="false" ht="15" hidden="false" customHeight="false" outlineLevel="0" collapsed="false">
      <c r="A5127" s="41"/>
      <c r="G5127" s="38" t="n">
        <f aca="false">MONTH(A5127)</f>
        <v>12</v>
      </c>
      <c r="H5127" s="38" t="n">
        <f aca="false">YEAR(Tabela1[[#This Row],[FECHA]])</f>
        <v>1900</v>
      </c>
      <c r="I51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28" customFormat="false" ht="15" hidden="false" customHeight="false" outlineLevel="0" collapsed="false">
      <c r="A5128" s="41"/>
      <c r="G5128" s="38" t="n">
        <f aca="false">MONTH(A5128)</f>
        <v>12</v>
      </c>
      <c r="H5128" s="38" t="n">
        <f aca="false">YEAR(Tabela1[[#This Row],[FECHA]])</f>
        <v>1900</v>
      </c>
      <c r="I51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29" customFormat="false" ht="15" hidden="false" customHeight="false" outlineLevel="0" collapsed="false">
      <c r="A5129" s="41"/>
      <c r="G5129" s="38" t="n">
        <f aca="false">MONTH(A5129)</f>
        <v>12</v>
      </c>
      <c r="H5129" s="38" t="n">
        <f aca="false">YEAR(Tabela1[[#This Row],[FECHA]])</f>
        <v>1900</v>
      </c>
      <c r="I51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30" customFormat="false" ht="15" hidden="false" customHeight="false" outlineLevel="0" collapsed="false">
      <c r="A5130" s="41"/>
      <c r="G5130" s="38" t="n">
        <f aca="false">MONTH(A5130)</f>
        <v>12</v>
      </c>
      <c r="H5130" s="38" t="n">
        <f aca="false">YEAR(Tabela1[[#This Row],[FECHA]])</f>
        <v>1900</v>
      </c>
      <c r="I51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31" customFormat="false" ht="15" hidden="false" customHeight="false" outlineLevel="0" collapsed="false">
      <c r="A5131" s="41"/>
      <c r="G5131" s="38" t="n">
        <f aca="false">MONTH(A5131)</f>
        <v>12</v>
      </c>
      <c r="H5131" s="38" t="n">
        <f aca="false">YEAR(Tabela1[[#This Row],[FECHA]])</f>
        <v>1900</v>
      </c>
      <c r="I51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32" customFormat="false" ht="15" hidden="false" customHeight="false" outlineLevel="0" collapsed="false">
      <c r="A5132" s="41"/>
      <c r="G5132" s="38" t="n">
        <f aca="false">MONTH(A5132)</f>
        <v>12</v>
      </c>
      <c r="H5132" s="38" t="n">
        <f aca="false">YEAR(Tabela1[[#This Row],[FECHA]])</f>
        <v>1900</v>
      </c>
      <c r="I51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33" customFormat="false" ht="15" hidden="false" customHeight="false" outlineLevel="0" collapsed="false">
      <c r="A5133" s="41"/>
      <c r="G5133" s="38" t="n">
        <f aca="false">MONTH(A5133)</f>
        <v>12</v>
      </c>
      <c r="H5133" s="38" t="n">
        <f aca="false">YEAR(Tabela1[[#This Row],[FECHA]])</f>
        <v>1900</v>
      </c>
      <c r="I51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34" customFormat="false" ht="15" hidden="false" customHeight="false" outlineLevel="0" collapsed="false">
      <c r="A5134" s="41"/>
      <c r="G5134" s="38" t="n">
        <f aca="false">MONTH(A5134)</f>
        <v>12</v>
      </c>
      <c r="H5134" s="38" t="n">
        <f aca="false">YEAR(Tabela1[[#This Row],[FECHA]])</f>
        <v>1900</v>
      </c>
      <c r="I51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35" customFormat="false" ht="15" hidden="false" customHeight="false" outlineLevel="0" collapsed="false">
      <c r="A5135" s="41"/>
      <c r="G5135" s="38" t="n">
        <f aca="false">MONTH(A5135)</f>
        <v>12</v>
      </c>
      <c r="H5135" s="38" t="n">
        <f aca="false">YEAR(Tabela1[[#This Row],[FECHA]])</f>
        <v>1900</v>
      </c>
      <c r="I51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36" customFormat="false" ht="15" hidden="false" customHeight="false" outlineLevel="0" collapsed="false">
      <c r="A5136" s="41"/>
      <c r="G5136" s="38" t="n">
        <f aca="false">MONTH(A5136)</f>
        <v>12</v>
      </c>
      <c r="H5136" s="38" t="n">
        <f aca="false">YEAR(Tabela1[[#This Row],[FECHA]])</f>
        <v>1900</v>
      </c>
      <c r="I51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37" customFormat="false" ht="15" hidden="false" customHeight="false" outlineLevel="0" collapsed="false">
      <c r="A5137" s="41"/>
      <c r="G5137" s="38" t="n">
        <f aca="false">MONTH(A5137)</f>
        <v>12</v>
      </c>
      <c r="H5137" s="38" t="n">
        <f aca="false">YEAR(Tabela1[[#This Row],[FECHA]])</f>
        <v>1900</v>
      </c>
      <c r="I51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38" customFormat="false" ht="15" hidden="false" customHeight="false" outlineLevel="0" collapsed="false">
      <c r="A5138" s="41"/>
      <c r="G5138" s="38" t="n">
        <f aca="false">MONTH(A5138)</f>
        <v>12</v>
      </c>
      <c r="H5138" s="38" t="n">
        <f aca="false">YEAR(Tabela1[[#This Row],[FECHA]])</f>
        <v>1900</v>
      </c>
      <c r="I51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39" customFormat="false" ht="15" hidden="false" customHeight="false" outlineLevel="0" collapsed="false">
      <c r="A5139" s="41"/>
      <c r="G5139" s="38" t="n">
        <f aca="false">MONTH(A5139)</f>
        <v>12</v>
      </c>
      <c r="H5139" s="38" t="n">
        <f aca="false">YEAR(Tabela1[[#This Row],[FECHA]])</f>
        <v>1900</v>
      </c>
      <c r="I51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40" customFormat="false" ht="15" hidden="false" customHeight="false" outlineLevel="0" collapsed="false">
      <c r="A5140" s="41"/>
      <c r="G5140" s="38" t="n">
        <f aca="false">MONTH(A5140)</f>
        <v>12</v>
      </c>
      <c r="H5140" s="38" t="n">
        <f aca="false">YEAR(Tabela1[[#This Row],[FECHA]])</f>
        <v>1900</v>
      </c>
      <c r="I51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41" customFormat="false" ht="15" hidden="false" customHeight="false" outlineLevel="0" collapsed="false">
      <c r="A5141" s="41"/>
      <c r="G5141" s="38" t="n">
        <f aca="false">MONTH(A5141)</f>
        <v>12</v>
      </c>
      <c r="H5141" s="38" t="n">
        <f aca="false">YEAR(Tabela1[[#This Row],[FECHA]])</f>
        <v>1900</v>
      </c>
      <c r="I51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42" customFormat="false" ht="15" hidden="false" customHeight="false" outlineLevel="0" collapsed="false">
      <c r="A5142" s="41"/>
      <c r="G5142" s="38" t="n">
        <f aca="false">MONTH(A5142)</f>
        <v>12</v>
      </c>
      <c r="H5142" s="38" t="n">
        <f aca="false">YEAR(Tabela1[[#This Row],[FECHA]])</f>
        <v>1900</v>
      </c>
      <c r="I51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43" customFormat="false" ht="15" hidden="false" customHeight="false" outlineLevel="0" collapsed="false">
      <c r="A5143" s="41"/>
      <c r="G5143" s="38" t="n">
        <f aca="false">MONTH(A5143)</f>
        <v>12</v>
      </c>
      <c r="H5143" s="38" t="n">
        <f aca="false">YEAR(Tabela1[[#This Row],[FECHA]])</f>
        <v>1900</v>
      </c>
      <c r="I51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44" customFormat="false" ht="15" hidden="false" customHeight="false" outlineLevel="0" collapsed="false">
      <c r="A5144" s="41"/>
      <c r="G5144" s="38" t="n">
        <f aca="false">MONTH(A5144)</f>
        <v>12</v>
      </c>
      <c r="H5144" s="38" t="n">
        <f aca="false">YEAR(Tabela1[[#This Row],[FECHA]])</f>
        <v>1900</v>
      </c>
      <c r="I51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45" customFormat="false" ht="15" hidden="false" customHeight="false" outlineLevel="0" collapsed="false">
      <c r="A5145" s="41"/>
      <c r="G5145" s="38" t="n">
        <f aca="false">MONTH(A5145)</f>
        <v>12</v>
      </c>
      <c r="H5145" s="38" t="n">
        <f aca="false">YEAR(Tabela1[[#This Row],[FECHA]])</f>
        <v>1900</v>
      </c>
      <c r="I51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46" customFormat="false" ht="15" hidden="false" customHeight="false" outlineLevel="0" collapsed="false">
      <c r="A5146" s="41"/>
      <c r="G5146" s="38" t="n">
        <f aca="false">MONTH(A5146)</f>
        <v>12</v>
      </c>
      <c r="H5146" s="38" t="n">
        <f aca="false">YEAR(Tabela1[[#This Row],[FECHA]])</f>
        <v>1900</v>
      </c>
      <c r="I51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47" customFormat="false" ht="15" hidden="false" customHeight="false" outlineLevel="0" collapsed="false">
      <c r="A5147" s="41"/>
      <c r="G5147" s="38" t="n">
        <f aca="false">MONTH(A5147)</f>
        <v>12</v>
      </c>
      <c r="H5147" s="38" t="n">
        <f aca="false">YEAR(Tabela1[[#This Row],[FECHA]])</f>
        <v>1900</v>
      </c>
      <c r="I51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48" customFormat="false" ht="15" hidden="false" customHeight="false" outlineLevel="0" collapsed="false">
      <c r="A5148" s="41"/>
      <c r="G5148" s="38" t="n">
        <f aca="false">MONTH(A5148)</f>
        <v>12</v>
      </c>
      <c r="H5148" s="38" t="n">
        <f aca="false">YEAR(Tabela1[[#This Row],[FECHA]])</f>
        <v>1900</v>
      </c>
      <c r="I51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49" customFormat="false" ht="15" hidden="false" customHeight="false" outlineLevel="0" collapsed="false">
      <c r="A5149" s="41"/>
      <c r="G5149" s="38" t="n">
        <f aca="false">MONTH(A5149)</f>
        <v>12</v>
      </c>
      <c r="H5149" s="38" t="n">
        <f aca="false">YEAR(Tabela1[[#This Row],[FECHA]])</f>
        <v>1900</v>
      </c>
      <c r="I51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50" customFormat="false" ht="15" hidden="false" customHeight="false" outlineLevel="0" collapsed="false">
      <c r="A5150" s="41"/>
      <c r="G5150" s="38" t="n">
        <f aca="false">MONTH(A5150)</f>
        <v>12</v>
      </c>
      <c r="H5150" s="38" t="n">
        <f aca="false">YEAR(Tabela1[[#This Row],[FECHA]])</f>
        <v>1900</v>
      </c>
      <c r="I51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51" customFormat="false" ht="15" hidden="false" customHeight="false" outlineLevel="0" collapsed="false">
      <c r="A5151" s="41"/>
      <c r="G5151" s="38" t="n">
        <f aca="false">MONTH(A5151)</f>
        <v>12</v>
      </c>
      <c r="H5151" s="38" t="n">
        <f aca="false">YEAR(Tabela1[[#This Row],[FECHA]])</f>
        <v>1900</v>
      </c>
      <c r="I51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52" customFormat="false" ht="15" hidden="false" customHeight="false" outlineLevel="0" collapsed="false">
      <c r="A5152" s="41"/>
      <c r="G5152" s="38" t="n">
        <f aca="false">MONTH(A5152)</f>
        <v>12</v>
      </c>
      <c r="H5152" s="38" t="n">
        <f aca="false">YEAR(Tabela1[[#This Row],[FECHA]])</f>
        <v>1900</v>
      </c>
      <c r="I51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53" customFormat="false" ht="15" hidden="false" customHeight="false" outlineLevel="0" collapsed="false">
      <c r="A5153" s="41"/>
      <c r="G5153" s="38" t="n">
        <f aca="false">MONTH(A5153)</f>
        <v>12</v>
      </c>
      <c r="H5153" s="38" t="n">
        <f aca="false">YEAR(Tabela1[[#This Row],[FECHA]])</f>
        <v>1900</v>
      </c>
      <c r="I51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54" customFormat="false" ht="15" hidden="false" customHeight="false" outlineLevel="0" collapsed="false">
      <c r="A5154" s="41"/>
      <c r="G5154" s="38" t="n">
        <f aca="false">MONTH(A5154)</f>
        <v>12</v>
      </c>
      <c r="H5154" s="38" t="n">
        <f aca="false">YEAR(Tabela1[[#This Row],[FECHA]])</f>
        <v>1900</v>
      </c>
      <c r="I51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55" customFormat="false" ht="15" hidden="false" customHeight="false" outlineLevel="0" collapsed="false">
      <c r="A5155" s="41"/>
      <c r="G5155" s="38" t="n">
        <f aca="false">MONTH(A5155)</f>
        <v>12</v>
      </c>
      <c r="H5155" s="38" t="n">
        <f aca="false">YEAR(Tabela1[[#This Row],[FECHA]])</f>
        <v>1900</v>
      </c>
      <c r="I51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56" customFormat="false" ht="15" hidden="false" customHeight="false" outlineLevel="0" collapsed="false">
      <c r="A5156" s="41"/>
      <c r="G5156" s="38" t="n">
        <f aca="false">MONTH(A5156)</f>
        <v>12</v>
      </c>
      <c r="H5156" s="38" t="n">
        <f aca="false">YEAR(Tabela1[[#This Row],[FECHA]])</f>
        <v>1900</v>
      </c>
      <c r="I51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57" customFormat="false" ht="15" hidden="false" customHeight="false" outlineLevel="0" collapsed="false">
      <c r="A5157" s="41"/>
      <c r="G5157" s="38" t="n">
        <f aca="false">MONTH(A5157)</f>
        <v>12</v>
      </c>
      <c r="H5157" s="38" t="n">
        <f aca="false">YEAR(Tabela1[[#This Row],[FECHA]])</f>
        <v>1900</v>
      </c>
      <c r="I51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58" customFormat="false" ht="15" hidden="false" customHeight="false" outlineLevel="0" collapsed="false">
      <c r="A5158" s="41"/>
      <c r="G5158" s="38" t="n">
        <f aca="false">MONTH(A5158)</f>
        <v>12</v>
      </c>
      <c r="H5158" s="38" t="n">
        <f aca="false">YEAR(Tabela1[[#This Row],[FECHA]])</f>
        <v>1900</v>
      </c>
      <c r="I51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59" customFormat="false" ht="15" hidden="false" customHeight="false" outlineLevel="0" collapsed="false">
      <c r="A5159" s="41"/>
      <c r="G5159" s="38" t="n">
        <f aca="false">MONTH(A5159)</f>
        <v>12</v>
      </c>
      <c r="H5159" s="38" t="n">
        <f aca="false">YEAR(Tabela1[[#This Row],[FECHA]])</f>
        <v>1900</v>
      </c>
      <c r="I51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60" customFormat="false" ht="15" hidden="false" customHeight="false" outlineLevel="0" collapsed="false">
      <c r="A5160" s="41"/>
      <c r="G5160" s="38" t="n">
        <f aca="false">MONTH(A5160)</f>
        <v>12</v>
      </c>
      <c r="H5160" s="38" t="n">
        <f aca="false">YEAR(Tabela1[[#This Row],[FECHA]])</f>
        <v>1900</v>
      </c>
      <c r="I51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61" customFormat="false" ht="15" hidden="false" customHeight="false" outlineLevel="0" collapsed="false">
      <c r="A5161" s="41"/>
      <c r="G5161" s="38" t="n">
        <f aca="false">MONTH(A5161)</f>
        <v>12</v>
      </c>
      <c r="H5161" s="38" t="n">
        <f aca="false">YEAR(Tabela1[[#This Row],[FECHA]])</f>
        <v>1900</v>
      </c>
      <c r="I51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62" customFormat="false" ht="15" hidden="false" customHeight="false" outlineLevel="0" collapsed="false">
      <c r="A5162" s="41"/>
      <c r="G5162" s="38" t="n">
        <f aca="false">MONTH(A5162)</f>
        <v>12</v>
      </c>
      <c r="H5162" s="38" t="n">
        <f aca="false">YEAR(Tabela1[[#This Row],[FECHA]])</f>
        <v>1900</v>
      </c>
      <c r="I51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63" customFormat="false" ht="15" hidden="false" customHeight="false" outlineLevel="0" collapsed="false">
      <c r="A5163" s="41"/>
      <c r="G5163" s="38" t="n">
        <f aca="false">MONTH(A5163)</f>
        <v>12</v>
      </c>
      <c r="H5163" s="38" t="n">
        <f aca="false">YEAR(Tabela1[[#This Row],[FECHA]])</f>
        <v>1900</v>
      </c>
      <c r="I51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64" customFormat="false" ht="15" hidden="false" customHeight="false" outlineLevel="0" collapsed="false">
      <c r="A5164" s="41"/>
      <c r="G5164" s="38" t="n">
        <f aca="false">MONTH(A5164)</f>
        <v>12</v>
      </c>
      <c r="H5164" s="38" t="n">
        <f aca="false">YEAR(Tabela1[[#This Row],[FECHA]])</f>
        <v>1900</v>
      </c>
      <c r="I51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65" customFormat="false" ht="15" hidden="false" customHeight="false" outlineLevel="0" collapsed="false">
      <c r="A5165" s="41"/>
      <c r="G5165" s="38" t="n">
        <f aca="false">MONTH(A5165)</f>
        <v>12</v>
      </c>
      <c r="H5165" s="38" t="n">
        <f aca="false">YEAR(Tabela1[[#This Row],[FECHA]])</f>
        <v>1900</v>
      </c>
      <c r="I51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66" customFormat="false" ht="15" hidden="false" customHeight="false" outlineLevel="0" collapsed="false">
      <c r="A5166" s="41"/>
      <c r="G5166" s="38" t="n">
        <f aca="false">MONTH(A5166)</f>
        <v>12</v>
      </c>
      <c r="H5166" s="38" t="n">
        <f aca="false">YEAR(Tabela1[[#This Row],[FECHA]])</f>
        <v>1900</v>
      </c>
      <c r="I51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67" customFormat="false" ht="15" hidden="false" customHeight="false" outlineLevel="0" collapsed="false">
      <c r="A5167" s="41"/>
      <c r="G5167" s="38" t="n">
        <f aca="false">MONTH(A5167)</f>
        <v>12</v>
      </c>
      <c r="H5167" s="38" t="n">
        <f aca="false">YEAR(Tabela1[[#This Row],[FECHA]])</f>
        <v>1900</v>
      </c>
      <c r="I51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68" customFormat="false" ht="15" hidden="false" customHeight="false" outlineLevel="0" collapsed="false">
      <c r="A5168" s="41"/>
      <c r="G5168" s="38" t="n">
        <f aca="false">MONTH(A5168)</f>
        <v>12</v>
      </c>
      <c r="H5168" s="38" t="n">
        <f aca="false">YEAR(Tabela1[[#This Row],[FECHA]])</f>
        <v>1900</v>
      </c>
      <c r="I51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69" customFormat="false" ht="15" hidden="false" customHeight="false" outlineLevel="0" collapsed="false">
      <c r="A5169" s="41"/>
      <c r="G5169" s="38" t="n">
        <f aca="false">MONTH(A5169)</f>
        <v>12</v>
      </c>
      <c r="H5169" s="38" t="n">
        <f aca="false">YEAR(Tabela1[[#This Row],[FECHA]])</f>
        <v>1900</v>
      </c>
      <c r="I51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70" customFormat="false" ht="15" hidden="false" customHeight="false" outlineLevel="0" collapsed="false">
      <c r="A5170" s="41"/>
      <c r="G5170" s="38" t="n">
        <f aca="false">MONTH(A5170)</f>
        <v>12</v>
      </c>
      <c r="H5170" s="38" t="n">
        <f aca="false">YEAR(Tabela1[[#This Row],[FECHA]])</f>
        <v>1900</v>
      </c>
      <c r="I51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71" customFormat="false" ht="15" hidden="false" customHeight="false" outlineLevel="0" collapsed="false">
      <c r="A5171" s="41"/>
      <c r="G5171" s="38" t="n">
        <f aca="false">MONTH(A5171)</f>
        <v>12</v>
      </c>
      <c r="H5171" s="38" t="n">
        <f aca="false">YEAR(Tabela1[[#This Row],[FECHA]])</f>
        <v>1900</v>
      </c>
      <c r="I51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72" customFormat="false" ht="15" hidden="false" customHeight="false" outlineLevel="0" collapsed="false">
      <c r="A5172" s="41"/>
      <c r="G5172" s="38" t="n">
        <f aca="false">MONTH(A5172)</f>
        <v>12</v>
      </c>
      <c r="H5172" s="38" t="n">
        <f aca="false">YEAR(Tabela1[[#This Row],[FECHA]])</f>
        <v>1900</v>
      </c>
      <c r="I51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73" customFormat="false" ht="15" hidden="false" customHeight="false" outlineLevel="0" collapsed="false">
      <c r="A5173" s="41"/>
      <c r="G5173" s="38" t="n">
        <f aca="false">MONTH(A5173)</f>
        <v>12</v>
      </c>
      <c r="H5173" s="38" t="n">
        <f aca="false">YEAR(Tabela1[[#This Row],[FECHA]])</f>
        <v>1900</v>
      </c>
      <c r="I51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74" customFormat="false" ht="15" hidden="false" customHeight="false" outlineLevel="0" collapsed="false">
      <c r="A5174" s="41"/>
      <c r="G5174" s="38" t="n">
        <f aca="false">MONTH(A5174)</f>
        <v>12</v>
      </c>
      <c r="H5174" s="38" t="n">
        <f aca="false">YEAR(Tabela1[[#This Row],[FECHA]])</f>
        <v>1900</v>
      </c>
      <c r="I51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75" customFormat="false" ht="15" hidden="false" customHeight="false" outlineLevel="0" collapsed="false">
      <c r="A5175" s="41"/>
      <c r="G5175" s="38" t="n">
        <f aca="false">MONTH(A5175)</f>
        <v>12</v>
      </c>
      <c r="H5175" s="38" t="n">
        <f aca="false">YEAR(Tabela1[[#This Row],[FECHA]])</f>
        <v>1900</v>
      </c>
      <c r="I51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76" customFormat="false" ht="15" hidden="false" customHeight="false" outlineLevel="0" collapsed="false">
      <c r="A5176" s="41"/>
      <c r="G5176" s="38" t="n">
        <f aca="false">MONTH(A5176)</f>
        <v>12</v>
      </c>
      <c r="H5176" s="38" t="n">
        <f aca="false">YEAR(Tabela1[[#This Row],[FECHA]])</f>
        <v>1900</v>
      </c>
      <c r="I51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77" customFormat="false" ht="15" hidden="false" customHeight="false" outlineLevel="0" collapsed="false">
      <c r="A5177" s="41"/>
      <c r="G5177" s="38" t="n">
        <f aca="false">MONTH(A5177)</f>
        <v>12</v>
      </c>
      <c r="H5177" s="38" t="n">
        <f aca="false">YEAR(Tabela1[[#This Row],[FECHA]])</f>
        <v>1900</v>
      </c>
      <c r="I51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78" customFormat="false" ht="15" hidden="false" customHeight="false" outlineLevel="0" collapsed="false">
      <c r="A5178" s="41"/>
      <c r="G5178" s="38" t="n">
        <f aca="false">MONTH(A5178)</f>
        <v>12</v>
      </c>
      <c r="H5178" s="38" t="n">
        <f aca="false">YEAR(Tabela1[[#This Row],[FECHA]])</f>
        <v>1900</v>
      </c>
      <c r="I51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79" customFormat="false" ht="15" hidden="false" customHeight="false" outlineLevel="0" collapsed="false">
      <c r="A5179" s="41"/>
      <c r="G5179" s="38" t="n">
        <f aca="false">MONTH(A5179)</f>
        <v>12</v>
      </c>
      <c r="H5179" s="38" t="n">
        <f aca="false">YEAR(Tabela1[[#This Row],[FECHA]])</f>
        <v>1900</v>
      </c>
      <c r="I51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80" customFormat="false" ht="15" hidden="false" customHeight="false" outlineLevel="0" collapsed="false">
      <c r="A5180" s="41"/>
      <c r="G5180" s="38" t="n">
        <f aca="false">MONTH(A5180)</f>
        <v>12</v>
      </c>
      <c r="H5180" s="38" t="n">
        <f aca="false">YEAR(Tabela1[[#This Row],[FECHA]])</f>
        <v>1900</v>
      </c>
      <c r="I51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81" customFormat="false" ht="15" hidden="false" customHeight="false" outlineLevel="0" collapsed="false">
      <c r="A5181" s="41"/>
      <c r="G5181" s="38" t="n">
        <f aca="false">MONTH(A5181)</f>
        <v>12</v>
      </c>
      <c r="H5181" s="38" t="n">
        <f aca="false">YEAR(Tabela1[[#This Row],[FECHA]])</f>
        <v>1900</v>
      </c>
      <c r="I51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82" customFormat="false" ht="15" hidden="false" customHeight="false" outlineLevel="0" collapsed="false">
      <c r="A5182" s="41"/>
      <c r="G5182" s="38" t="n">
        <f aca="false">MONTH(A5182)</f>
        <v>12</v>
      </c>
      <c r="H5182" s="38" t="n">
        <f aca="false">YEAR(Tabela1[[#This Row],[FECHA]])</f>
        <v>1900</v>
      </c>
      <c r="I51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83" customFormat="false" ht="15" hidden="false" customHeight="false" outlineLevel="0" collapsed="false">
      <c r="A5183" s="41"/>
      <c r="G5183" s="38" t="n">
        <f aca="false">MONTH(A5183)</f>
        <v>12</v>
      </c>
      <c r="H5183" s="38" t="n">
        <f aca="false">YEAR(Tabela1[[#This Row],[FECHA]])</f>
        <v>1900</v>
      </c>
      <c r="I51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84" customFormat="false" ht="15" hidden="false" customHeight="false" outlineLevel="0" collapsed="false">
      <c r="A5184" s="41"/>
      <c r="G5184" s="38" t="n">
        <f aca="false">MONTH(A5184)</f>
        <v>12</v>
      </c>
      <c r="H5184" s="38" t="n">
        <f aca="false">YEAR(Tabela1[[#This Row],[FECHA]])</f>
        <v>1900</v>
      </c>
      <c r="I51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85" customFormat="false" ht="15" hidden="false" customHeight="false" outlineLevel="0" collapsed="false">
      <c r="A5185" s="41"/>
      <c r="G5185" s="38" t="n">
        <f aca="false">MONTH(A5185)</f>
        <v>12</v>
      </c>
      <c r="H5185" s="38" t="n">
        <f aca="false">YEAR(Tabela1[[#This Row],[FECHA]])</f>
        <v>1900</v>
      </c>
      <c r="I51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86" customFormat="false" ht="15" hidden="false" customHeight="false" outlineLevel="0" collapsed="false">
      <c r="A5186" s="41"/>
      <c r="G5186" s="38" t="n">
        <f aca="false">MONTH(A5186)</f>
        <v>12</v>
      </c>
      <c r="H5186" s="38" t="n">
        <f aca="false">YEAR(Tabela1[[#This Row],[FECHA]])</f>
        <v>1900</v>
      </c>
      <c r="I51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87" customFormat="false" ht="15" hidden="false" customHeight="false" outlineLevel="0" collapsed="false">
      <c r="A5187" s="41"/>
      <c r="G5187" s="38" t="n">
        <f aca="false">MONTH(A5187)</f>
        <v>12</v>
      </c>
      <c r="H5187" s="38" t="n">
        <f aca="false">YEAR(Tabela1[[#This Row],[FECHA]])</f>
        <v>1900</v>
      </c>
      <c r="I51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88" customFormat="false" ht="15" hidden="false" customHeight="false" outlineLevel="0" collapsed="false">
      <c r="A5188" s="41"/>
      <c r="G5188" s="38" t="n">
        <f aca="false">MONTH(A5188)</f>
        <v>12</v>
      </c>
      <c r="H5188" s="38" t="n">
        <f aca="false">YEAR(Tabela1[[#This Row],[FECHA]])</f>
        <v>1900</v>
      </c>
      <c r="I51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89" customFormat="false" ht="15" hidden="false" customHeight="false" outlineLevel="0" collapsed="false">
      <c r="A5189" s="41"/>
      <c r="G5189" s="38" t="n">
        <f aca="false">MONTH(A5189)</f>
        <v>12</v>
      </c>
      <c r="H5189" s="38" t="n">
        <f aca="false">YEAR(Tabela1[[#This Row],[FECHA]])</f>
        <v>1900</v>
      </c>
      <c r="I51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90" customFormat="false" ht="15" hidden="false" customHeight="false" outlineLevel="0" collapsed="false">
      <c r="A5190" s="41"/>
      <c r="G5190" s="38" t="n">
        <f aca="false">MONTH(A5190)</f>
        <v>12</v>
      </c>
      <c r="H5190" s="38" t="n">
        <f aca="false">YEAR(Tabela1[[#This Row],[FECHA]])</f>
        <v>1900</v>
      </c>
      <c r="I51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91" customFormat="false" ht="15" hidden="false" customHeight="false" outlineLevel="0" collapsed="false">
      <c r="A5191" s="41"/>
      <c r="G5191" s="38" t="n">
        <f aca="false">MONTH(A5191)</f>
        <v>12</v>
      </c>
      <c r="H5191" s="38" t="n">
        <f aca="false">YEAR(Tabela1[[#This Row],[FECHA]])</f>
        <v>1900</v>
      </c>
      <c r="I51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92" customFormat="false" ht="15" hidden="false" customHeight="false" outlineLevel="0" collapsed="false">
      <c r="A5192" s="41"/>
      <c r="G5192" s="38" t="n">
        <f aca="false">MONTH(A5192)</f>
        <v>12</v>
      </c>
      <c r="H5192" s="38" t="n">
        <f aca="false">YEAR(Tabela1[[#This Row],[FECHA]])</f>
        <v>1900</v>
      </c>
      <c r="I51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93" customFormat="false" ht="15" hidden="false" customHeight="false" outlineLevel="0" collapsed="false">
      <c r="A5193" s="41"/>
      <c r="G5193" s="38" t="n">
        <f aca="false">MONTH(A5193)</f>
        <v>12</v>
      </c>
      <c r="H5193" s="38" t="n">
        <f aca="false">YEAR(Tabela1[[#This Row],[FECHA]])</f>
        <v>1900</v>
      </c>
      <c r="I51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94" customFormat="false" ht="15" hidden="false" customHeight="false" outlineLevel="0" collapsed="false">
      <c r="A5194" s="41"/>
      <c r="G5194" s="38" t="n">
        <f aca="false">MONTH(A5194)</f>
        <v>12</v>
      </c>
      <c r="H5194" s="38" t="n">
        <f aca="false">YEAR(Tabela1[[#This Row],[FECHA]])</f>
        <v>1900</v>
      </c>
      <c r="I51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95" customFormat="false" ht="15" hidden="false" customHeight="false" outlineLevel="0" collapsed="false">
      <c r="A5195" s="41"/>
      <c r="G5195" s="38" t="n">
        <f aca="false">MONTH(A5195)</f>
        <v>12</v>
      </c>
      <c r="H5195" s="38" t="n">
        <f aca="false">YEAR(Tabela1[[#This Row],[FECHA]])</f>
        <v>1900</v>
      </c>
      <c r="I51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96" customFormat="false" ht="15" hidden="false" customHeight="false" outlineLevel="0" collapsed="false">
      <c r="A5196" s="41"/>
      <c r="G5196" s="38" t="n">
        <f aca="false">MONTH(A5196)</f>
        <v>12</v>
      </c>
      <c r="H5196" s="38" t="n">
        <f aca="false">YEAR(Tabela1[[#This Row],[FECHA]])</f>
        <v>1900</v>
      </c>
      <c r="I51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97" customFormat="false" ht="15" hidden="false" customHeight="false" outlineLevel="0" collapsed="false">
      <c r="A5197" s="41"/>
      <c r="G5197" s="38" t="n">
        <f aca="false">MONTH(A5197)</f>
        <v>12</v>
      </c>
      <c r="H5197" s="38" t="n">
        <f aca="false">YEAR(Tabela1[[#This Row],[FECHA]])</f>
        <v>1900</v>
      </c>
      <c r="I51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98" customFormat="false" ht="15" hidden="false" customHeight="false" outlineLevel="0" collapsed="false">
      <c r="A5198" s="41"/>
      <c r="G5198" s="38" t="n">
        <f aca="false">MONTH(A5198)</f>
        <v>12</v>
      </c>
      <c r="H5198" s="38" t="n">
        <f aca="false">YEAR(Tabela1[[#This Row],[FECHA]])</f>
        <v>1900</v>
      </c>
      <c r="I51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199" customFormat="false" ht="15" hidden="false" customHeight="false" outlineLevel="0" collapsed="false">
      <c r="A5199" s="41"/>
      <c r="G5199" s="38" t="n">
        <f aca="false">MONTH(A5199)</f>
        <v>12</v>
      </c>
      <c r="H5199" s="38" t="n">
        <f aca="false">YEAR(Tabela1[[#This Row],[FECHA]])</f>
        <v>1900</v>
      </c>
      <c r="I51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00" customFormat="false" ht="15" hidden="false" customHeight="false" outlineLevel="0" collapsed="false">
      <c r="A5200" s="41"/>
      <c r="G5200" s="38" t="n">
        <f aca="false">MONTH(A5200)</f>
        <v>12</v>
      </c>
      <c r="H5200" s="38" t="n">
        <f aca="false">YEAR(Tabela1[[#This Row],[FECHA]])</f>
        <v>1900</v>
      </c>
      <c r="I52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01" customFormat="false" ht="15" hidden="false" customHeight="false" outlineLevel="0" collapsed="false">
      <c r="A5201" s="41"/>
      <c r="G5201" s="38" t="n">
        <f aca="false">MONTH(A5201)</f>
        <v>12</v>
      </c>
      <c r="H5201" s="38" t="n">
        <f aca="false">YEAR(Tabela1[[#This Row],[FECHA]])</f>
        <v>1900</v>
      </c>
      <c r="I52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02" customFormat="false" ht="15" hidden="false" customHeight="false" outlineLevel="0" collapsed="false">
      <c r="A5202" s="41"/>
      <c r="G5202" s="38" t="n">
        <f aca="false">MONTH(A5202)</f>
        <v>12</v>
      </c>
      <c r="H5202" s="38" t="n">
        <f aca="false">YEAR(Tabela1[[#This Row],[FECHA]])</f>
        <v>1900</v>
      </c>
      <c r="I52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03" customFormat="false" ht="15" hidden="false" customHeight="false" outlineLevel="0" collapsed="false">
      <c r="A5203" s="41"/>
      <c r="G5203" s="38" t="n">
        <f aca="false">MONTH(A5203)</f>
        <v>12</v>
      </c>
      <c r="H5203" s="38" t="n">
        <f aca="false">YEAR(Tabela1[[#This Row],[FECHA]])</f>
        <v>1900</v>
      </c>
      <c r="I52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04" customFormat="false" ht="15" hidden="false" customHeight="false" outlineLevel="0" collapsed="false">
      <c r="A5204" s="41"/>
      <c r="G5204" s="38" t="n">
        <f aca="false">MONTH(A5204)</f>
        <v>12</v>
      </c>
      <c r="H5204" s="38" t="n">
        <f aca="false">YEAR(Tabela1[[#This Row],[FECHA]])</f>
        <v>1900</v>
      </c>
      <c r="I52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05" customFormat="false" ht="15" hidden="false" customHeight="false" outlineLevel="0" collapsed="false">
      <c r="A5205" s="41"/>
      <c r="G5205" s="38" t="n">
        <f aca="false">MONTH(A5205)</f>
        <v>12</v>
      </c>
      <c r="H5205" s="38" t="n">
        <f aca="false">YEAR(Tabela1[[#This Row],[FECHA]])</f>
        <v>1900</v>
      </c>
      <c r="I52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06" customFormat="false" ht="15" hidden="false" customHeight="false" outlineLevel="0" collapsed="false">
      <c r="A5206" s="41"/>
      <c r="G5206" s="38" t="n">
        <f aca="false">MONTH(A5206)</f>
        <v>12</v>
      </c>
      <c r="H5206" s="38" t="n">
        <f aca="false">YEAR(Tabela1[[#This Row],[FECHA]])</f>
        <v>1900</v>
      </c>
      <c r="I52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07" customFormat="false" ht="15" hidden="false" customHeight="false" outlineLevel="0" collapsed="false">
      <c r="A5207" s="41"/>
      <c r="G5207" s="38" t="n">
        <f aca="false">MONTH(A5207)</f>
        <v>12</v>
      </c>
      <c r="H5207" s="38" t="n">
        <f aca="false">YEAR(Tabela1[[#This Row],[FECHA]])</f>
        <v>1900</v>
      </c>
      <c r="I52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08" customFormat="false" ht="15" hidden="false" customHeight="false" outlineLevel="0" collapsed="false">
      <c r="A5208" s="41"/>
      <c r="G5208" s="38" t="n">
        <f aca="false">MONTH(A5208)</f>
        <v>12</v>
      </c>
      <c r="H5208" s="38" t="n">
        <f aca="false">YEAR(Tabela1[[#This Row],[FECHA]])</f>
        <v>1900</v>
      </c>
      <c r="I52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09" customFormat="false" ht="15" hidden="false" customHeight="false" outlineLevel="0" collapsed="false">
      <c r="A5209" s="41"/>
      <c r="G5209" s="38" t="n">
        <f aca="false">MONTH(A5209)</f>
        <v>12</v>
      </c>
      <c r="H5209" s="38" t="n">
        <f aca="false">YEAR(Tabela1[[#This Row],[FECHA]])</f>
        <v>1900</v>
      </c>
      <c r="I52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10" customFormat="false" ht="15" hidden="false" customHeight="false" outlineLevel="0" collapsed="false">
      <c r="A5210" s="41"/>
      <c r="G5210" s="38" t="n">
        <f aca="false">MONTH(A5210)</f>
        <v>12</v>
      </c>
      <c r="H5210" s="38" t="n">
        <f aca="false">YEAR(Tabela1[[#This Row],[FECHA]])</f>
        <v>1900</v>
      </c>
      <c r="I52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11" customFormat="false" ht="15" hidden="false" customHeight="false" outlineLevel="0" collapsed="false">
      <c r="A5211" s="41"/>
      <c r="G5211" s="38" t="n">
        <f aca="false">MONTH(A5211)</f>
        <v>12</v>
      </c>
      <c r="H5211" s="38" t="n">
        <f aca="false">YEAR(Tabela1[[#This Row],[FECHA]])</f>
        <v>1900</v>
      </c>
      <c r="I52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12" customFormat="false" ht="15" hidden="false" customHeight="false" outlineLevel="0" collapsed="false">
      <c r="A5212" s="41"/>
      <c r="G5212" s="38" t="n">
        <f aca="false">MONTH(A5212)</f>
        <v>12</v>
      </c>
      <c r="H5212" s="38" t="n">
        <f aca="false">YEAR(Tabela1[[#This Row],[FECHA]])</f>
        <v>1900</v>
      </c>
      <c r="I52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13" customFormat="false" ht="15" hidden="false" customHeight="false" outlineLevel="0" collapsed="false">
      <c r="A5213" s="41"/>
      <c r="G5213" s="38" t="n">
        <f aca="false">MONTH(A5213)</f>
        <v>12</v>
      </c>
      <c r="H5213" s="38" t="n">
        <f aca="false">YEAR(Tabela1[[#This Row],[FECHA]])</f>
        <v>1900</v>
      </c>
      <c r="I52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14" customFormat="false" ht="15" hidden="false" customHeight="false" outlineLevel="0" collapsed="false">
      <c r="A5214" s="41"/>
      <c r="G5214" s="38" t="n">
        <f aca="false">MONTH(A5214)</f>
        <v>12</v>
      </c>
      <c r="H5214" s="38" t="n">
        <f aca="false">YEAR(Tabela1[[#This Row],[FECHA]])</f>
        <v>1900</v>
      </c>
      <c r="I52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15" customFormat="false" ht="15" hidden="false" customHeight="false" outlineLevel="0" collapsed="false">
      <c r="A5215" s="41"/>
      <c r="G5215" s="38" t="n">
        <f aca="false">MONTH(A5215)</f>
        <v>12</v>
      </c>
      <c r="H5215" s="38" t="n">
        <f aca="false">YEAR(Tabela1[[#This Row],[FECHA]])</f>
        <v>1900</v>
      </c>
      <c r="I52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16" customFormat="false" ht="15" hidden="false" customHeight="false" outlineLevel="0" collapsed="false">
      <c r="A5216" s="41"/>
      <c r="G5216" s="38" t="n">
        <f aca="false">MONTH(A5216)</f>
        <v>12</v>
      </c>
      <c r="H5216" s="38" t="n">
        <f aca="false">YEAR(Tabela1[[#This Row],[FECHA]])</f>
        <v>1900</v>
      </c>
      <c r="I52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17" customFormat="false" ht="15" hidden="false" customHeight="false" outlineLevel="0" collapsed="false">
      <c r="A5217" s="41"/>
      <c r="G5217" s="38" t="n">
        <f aca="false">MONTH(A5217)</f>
        <v>12</v>
      </c>
      <c r="H5217" s="38" t="n">
        <f aca="false">YEAR(Tabela1[[#This Row],[FECHA]])</f>
        <v>1900</v>
      </c>
      <c r="I52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18" customFormat="false" ht="15" hidden="false" customHeight="false" outlineLevel="0" collapsed="false">
      <c r="A5218" s="41"/>
      <c r="G5218" s="38" t="n">
        <f aca="false">MONTH(A5218)</f>
        <v>12</v>
      </c>
      <c r="H5218" s="38" t="n">
        <f aca="false">YEAR(Tabela1[[#This Row],[FECHA]])</f>
        <v>1900</v>
      </c>
      <c r="I52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19" customFormat="false" ht="15" hidden="false" customHeight="false" outlineLevel="0" collapsed="false">
      <c r="A5219" s="41"/>
      <c r="G5219" s="38" t="n">
        <f aca="false">MONTH(A5219)</f>
        <v>12</v>
      </c>
      <c r="H5219" s="38" t="n">
        <f aca="false">YEAR(Tabela1[[#This Row],[FECHA]])</f>
        <v>1900</v>
      </c>
      <c r="I52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20" customFormat="false" ht="15" hidden="false" customHeight="false" outlineLevel="0" collapsed="false">
      <c r="A5220" s="41"/>
      <c r="G5220" s="38" t="n">
        <f aca="false">MONTH(A5220)</f>
        <v>12</v>
      </c>
      <c r="H5220" s="38" t="n">
        <f aca="false">YEAR(Tabela1[[#This Row],[FECHA]])</f>
        <v>1900</v>
      </c>
      <c r="I52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21" customFormat="false" ht="15" hidden="false" customHeight="false" outlineLevel="0" collapsed="false">
      <c r="A5221" s="41"/>
      <c r="G5221" s="38" t="n">
        <f aca="false">MONTH(A5221)</f>
        <v>12</v>
      </c>
      <c r="H5221" s="38" t="n">
        <f aca="false">YEAR(Tabela1[[#This Row],[FECHA]])</f>
        <v>1900</v>
      </c>
      <c r="I52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22" customFormat="false" ht="15" hidden="false" customHeight="false" outlineLevel="0" collapsed="false">
      <c r="A5222" s="41"/>
      <c r="G5222" s="38" t="n">
        <f aca="false">MONTH(A5222)</f>
        <v>12</v>
      </c>
      <c r="H5222" s="38" t="n">
        <f aca="false">YEAR(Tabela1[[#This Row],[FECHA]])</f>
        <v>1900</v>
      </c>
      <c r="I52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23" customFormat="false" ht="15" hidden="false" customHeight="false" outlineLevel="0" collapsed="false">
      <c r="A5223" s="41"/>
      <c r="G5223" s="38" t="n">
        <f aca="false">MONTH(A5223)</f>
        <v>12</v>
      </c>
      <c r="H5223" s="38" t="n">
        <f aca="false">YEAR(Tabela1[[#This Row],[FECHA]])</f>
        <v>1900</v>
      </c>
      <c r="I52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24" customFormat="false" ht="15" hidden="false" customHeight="false" outlineLevel="0" collapsed="false">
      <c r="A5224" s="41"/>
      <c r="G5224" s="38" t="n">
        <f aca="false">MONTH(A5224)</f>
        <v>12</v>
      </c>
      <c r="H5224" s="38" t="n">
        <f aca="false">YEAR(Tabela1[[#This Row],[FECHA]])</f>
        <v>1900</v>
      </c>
      <c r="I52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25" customFormat="false" ht="15" hidden="false" customHeight="false" outlineLevel="0" collapsed="false">
      <c r="A5225" s="41"/>
      <c r="G5225" s="38" t="n">
        <f aca="false">MONTH(A5225)</f>
        <v>12</v>
      </c>
      <c r="H5225" s="38" t="n">
        <f aca="false">YEAR(Tabela1[[#This Row],[FECHA]])</f>
        <v>1900</v>
      </c>
      <c r="I52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26" customFormat="false" ht="15" hidden="false" customHeight="false" outlineLevel="0" collapsed="false">
      <c r="A5226" s="41"/>
      <c r="G5226" s="38" t="n">
        <f aca="false">MONTH(A5226)</f>
        <v>12</v>
      </c>
      <c r="H5226" s="38" t="n">
        <f aca="false">YEAR(Tabela1[[#This Row],[FECHA]])</f>
        <v>1900</v>
      </c>
      <c r="I52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27" customFormat="false" ht="15" hidden="false" customHeight="false" outlineLevel="0" collapsed="false">
      <c r="A5227" s="41"/>
      <c r="G5227" s="38" t="n">
        <f aca="false">MONTH(A5227)</f>
        <v>12</v>
      </c>
      <c r="H5227" s="38" t="n">
        <f aca="false">YEAR(Tabela1[[#This Row],[FECHA]])</f>
        <v>1900</v>
      </c>
      <c r="I52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28" customFormat="false" ht="15" hidden="false" customHeight="false" outlineLevel="0" collapsed="false">
      <c r="A5228" s="41"/>
      <c r="G5228" s="38" t="n">
        <f aca="false">MONTH(A5228)</f>
        <v>12</v>
      </c>
      <c r="H5228" s="38" t="n">
        <f aca="false">YEAR(Tabela1[[#This Row],[FECHA]])</f>
        <v>1900</v>
      </c>
      <c r="I52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29" customFormat="false" ht="15" hidden="false" customHeight="false" outlineLevel="0" collapsed="false">
      <c r="A5229" s="41"/>
      <c r="G5229" s="38" t="n">
        <f aca="false">MONTH(A5229)</f>
        <v>12</v>
      </c>
      <c r="H5229" s="38" t="n">
        <f aca="false">YEAR(Tabela1[[#This Row],[FECHA]])</f>
        <v>1900</v>
      </c>
      <c r="I52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30" customFormat="false" ht="15" hidden="false" customHeight="false" outlineLevel="0" collapsed="false">
      <c r="A5230" s="41"/>
      <c r="G5230" s="38" t="n">
        <f aca="false">MONTH(A5230)</f>
        <v>12</v>
      </c>
      <c r="H5230" s="38" t="n">
        <f aca="false">YEAR(Tabela1[[#This Row],[FECHA]])</f>
        <v>1900</v>
      </c>
      <c r="I52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31" customFormat="false" ht="15" hidden="false" customHeight="false" outlineLevel="0" collapsed="false">
      <c r="A5231" s="41"/>
      <c r="G5231" s="38" t="n">
        <f aca="false">MONTH(A5231)</f>
        <v>12</v>
      </c>
      <c r="H5231" s="38" t="n">
        <f aca="false">YEAR(Tabela1[[#This Row],[FECHA]])</f>
        <v>1900</v>
      </c>
      <c r="I52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32" customFormat="false" ht="15" hidden="false" customHeight="false" outlineLevel="0" collapsed="false">
      <c r="A5232" s="41"/>
      <c r="G5232" s="38" t="n">
        <f aca="false">MONTH(A5232)</f>
        <v>12</v>
      </c>
      <c r="H5232" s="38" t="n">
        <f aca="false">YEAR(Tabela1[[#This Row],[FECHA]])</f>
        <v>1900</v>
      </c>
      <c r="I52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33" customFormat="false" ht="15" hidden="false" customHeight="false" outlineLevel="0" collapsed="false">
      <c r="A5233" s="41"/>
      <c r="G5233" s="38" t="n">
        <f aca="false">MONTH(A5233)</f>
        <v>12</v>
      </c>
      <c r="H5233" s="38" t="n">
        <f aca="false">YEAR(Tabela1[[#This Row],[FECHA]])</f>
        <v>1900</v>
      </c>
      <c r="I52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34" customFormat="false" ht="15" hidden="false" customHeight="false" outlineLevel="0" collapsed="false">
      <c r="A5234" s="41"/>
      <c r="G5234" s="38" t="n">
        <f aca="false">MONTH(A5234)</f>
        <v>12</v>
      </c>
      <c r="H5234" s="38" t="n">
        <f aca="false">YEAR(Tabela1[[#This Row],[FECHA]])</f>
        <v>1900</v>
      </c>
      <c r="I52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35" customFormat="false" ht="15" hidden="false" customHeight="false" outlineLevel="0" collapsed="false">
      <c r="A5235" s="41"/>
      <c r="G5235" s="38" t="n">
        <f aca="false">MONTH(A5235)</f>
        <v>12</v>
      </c>
      <c r="H5235" s="38" t="n">
        <f aca="false">YEAR(Tabela1[[#This Row],[FECHA]])</f>
        <v>1900</v>
      </c>
      <c r="I52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36" customFormat="false" ht="15" hidden="false" customHeight="false" outlineLevel="0" collapsed="false">
      <c r="A5236" s="41"/>
      <c r="G5236" s="38" t="n">
        <f aca="false">MONTH(A5236)</f>
        <v>12</v>
      </c>
      <c r="H5236" s="38" t="n">
        <f aca="false">YEAR(Tabela1[[#This Row],[FECHA]])</f>
        <v>1900</v>
      </c>
      <c r="I52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37" customFormat="false" ht="15" hidden="false" customHeight="false" outlineLevel="0" collapsed="false">
      <c r="A5237" s="41"/>
      <c r="G5237" s="38" t="n">
        <f aca="false">MONTH(A5237)</f>
        <v>12</v>
      </c>
      <c r="H5237" s="38" t="n">
        <f aca="false">YEAR(Tabela1[[#This Row],[FECHA]])</f>
        <v>1900</v>
      </c>
      <c r="I52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38" customFormat="false" ht="15" hidden="false" customHeight="false" outlineLevel="0" collapsed="false">
      <c r="A5238" s="41"/>
      <c r="G5238" s="38" t="n">
        <f aca="false">MONTH(A5238)</f>
        <v>12</v>
      </c>
      <c r="H5238" s="38" t="n">
        <f aca="false">YEAR(Tabela1[[#This Row],[FECHA]])</f>
        <v>1900</v>
      </c>
      <c r="I52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39" customFormat="false" ht="15" hidden="false" customHeight="false" outlineLevel="0" collapsed="false">
      <c r="A5239" s="41"/>
      <c r="G5239" s="38" t="n">
        <f aca="false">MONTH(A5239)</f>
        <v>12</v>
      </c>
      <c r="H5239" s="38" t="n">
        <f aca="false">YEAR(Tabela1[[#This Row],[FECHA]])</f>
        <v>1900</v>
      </c>
      <c r="I52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40" customFormat="false" ht="15" hidden="false" customHeight="false" outlineLevel="0" collapsed="false">
      <c r="A5240" s="41"/>
      <c r="G5240" s="38" t="n">
        <f aca="false">MONTH(A5240)</f>
        <v>12</v>
      </c>
      <c r="H5240" s="38" t="n">
        <f aca="false">YEAR(Tabela1[[#This Row],[FECHA]])</f>
        <v>1900</v>
      </c>
      <c r="I52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41" customFormat="false" ht="15" hidden="false" customHeight="false" outlineLevel="0" collapsed="false">
      <c r="A5241" s="41"/>
      <c r="G5241" s="38" t="n">
        <f aca="false">MONTH(A5241)</f>
        <v>12</v>
      </c>
      <c r="H5241" s="38" t="n">
        <f aca="false">YEAR(Tabela1[[#This Row],[FECHA]])</f>
        <v>1900</v>
      </c>
      <c r="I52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42" customFormat="false" ht="15" hidden="false" customHeight="false" outlineLevel="0" collapsed="false">
      <c r="A5242" s="41"/>
      <c r="G5242" s="38" t="n">
        <f aca="false">MONTH(A5242)</f>
        <v>12</v>
      </c>
      <c r="H5242" s="38" t="n">
        <f aca="false">YEAR(Tabela1[[#This Row],[FECHA]])</f>
        <v>1900</v>
      </c>
      <c r="I52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43" customFormat="false" ht="15" hidden="false" customHeight="false" outlineLevel="0" collapsed="false">
      <c r="A5243" s="41"/>
      <c r="G5243" s="38" t="n">
        <f aca="false">MONTH(A5243)</f>
        <v>12</v>
      </c>
      <c r="H5243" s="38" t="n">
        <f aca="false">YEAR(Tabela1[[#This Row],[FECHA]])</f>
        <v>1900</v>
      </c>
      <c r="I52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44" customFormat="false" ht="15" hidden="false" customHeight="false" outlineLevel="0" collapsed="false">
      <c r="A5244" s="41"/>
      <c r="G5244" s="38" t="n">
        <f aca="false">MONTH(A5244)</f>
        <v>12</v>
      </c>
      <c r="H5244" s="38" t="n">
        <f aca="false">YEAR(Tabela1[[#This Row],[FECHA]])</f>
        <v>1900</v>
      </c>
      <c r="I52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45" customFormat="false" ht="15" hidden="false" customHeight="false" outlineLevel="0" collapsed="false">
      <c r="A5245" s="41"/>
      <c r="G5245" s="38" t="n">
        <f aca="false">MONTH(A5245)</f>
        <v>12</v>
      </c>
      <c r="H5245" s="38" t="n">
        <f aca="false">YEAR(Tabela1[[#This Row],[FECHA]])</f>
        <v>1900</v>
      </c>
      <c r="I52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46" customFormat="false" ht="15" hidden="false" customHeight="false" outlineLevel="0" collapsed="false">
      <c r="A5246" s="41"/>
      <c r="G5246" s="38" t="n">
        <f aca="false">MONTH(A5246)</f>
        <v>12</v>
      </c>
      <c r="H5246" s="38" t="n">
        <f aca="false">YEAR(Tabela1[[#This Row],[FECHA]])</f>
        <v>1900</v>
      </c>
      <c r="I52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47" customFormat="false" ht="15" hidden="false" customHeight="false" outlineLevel="0" collapsed="false">
      <c r="A5247" s="41"/>
      <c r="G5247" s="38" t="n">
        <f aca="false">MONTH(A5247)</f>
        <v>12</v>
      </c>
      <c r="H5247" s="38" t="n">
        <f aca="false">YEAR(Tabela1[[#This Row],[FECHA]])</f>
        <v>1900</v>
      </c>
      <c r="I52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48" customFormat="false" ht="15" hidden="false" customHeight="false" outlineLevel="0" collapsed="false">
      <c r="A5248" s="41"/>
      <c r="G5248" s="38" t="n">
        <f aca="false">MONTH(A5248)</f>
        <v>12</v>
      </c>
      <c r="H5248" s="38" t="n">
        <f aca="false">YEAR(Tabela1[[#This Row],[FECHA]])</f>
        <v>1900</v>
      </c>
      <c r="I52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49" customFormat="false" ht="15" hidden="false" customHeight="false" outlineLevel="0" collapsed="false">
      <c r="A5249" s="41"/>
      <c r="G5249" s="38" t="n">
        <f aca="false">MONTH(A5249)</f>
        <v>12</v>
      </c>
      <c r="H5249" s="38" t="n">
        <f aca="false">YEAR(Tabela1[[#This Row],[FECHA]])</f>
        <v>1900</v>
      </c>
      <c r="I52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50" customFormat="false" ht="15" hidden="false" customHeight="false" outlineLevel="0" collapsed="false">
      <c r="A5250" s="41"/>
      <c r="G5250" s="38" t="n">
        <f aca="false">MONTH(A5250)</f>
        <v>12</v>
      </c>
      <c r="H5250" s="38" t="n">
        <f aca="false">YEAR(Tabela1[[#This Row],[FECHA]])</f>
        <v>1900</v>
      </c>
      <c r="I52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51" customFormat="false" ht="15" hidden="false" customHeight="false" outlineLevel="0" collapsed="false">
      <c r="A5251" s="41"/>
      <c r="G5251" s="38" t="n">
        <f aca="false">MONTH(A5251)</f>
        <v>12</v>
      </c>
      <c r="H5251" s="38" t="n">
        <f aca="false">YEAR(Tabela1[[#This Row],[FECHA]])</f>
        <v>1900</v>
      </c>
      <c r="I52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52" customFormat="false" ht="15" hidden="false" customHeight="false" outlineLevel="0" collapsed="false">
      <c r="A5252" s="41"/>
      <c r="G5252" s="38" t="n">
        <f aca="false">MONTH(A5252)</f>
        <v>12</v>
      </c>
      <c r="H5252" s="38" t="n">
        <f aca="false">YEAR(Tabela1[[#This Row],[FECHA]])</f>
        <v>1900</v>
      </c>
      <c r="I52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53" customFormat="false" ht="15" hidden="false" customHeight="false" outlineLevel="0" collapsed="false">
      <c r="A5253" s="41"/>
      <c r="G5253" s="38" t="n">
        <f aca="false">MONTH(A5253)</f>
        <v>12</v>
      </c>
      <c r="H5253" s="38" t="n">
        <f aca="false">YEAR(Tabela1[[#This Row],[FECHA]])</f>
        <v>1900</v>
      </c>
      <c r="I52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54" customFormat="false" ht="15" hidden="false" customHeight="false" outlineLevel="0" collapsed="false">
      <c r="A5254" s="41"/>
      <c r="G5254" s="38" t="n">
        <f aca="false">MONTH(A5254)</f>
        <v>12</v>
      </c>
      <c r="H5254" s="38" t="n">
        <f aca="false">YEAR(Tabela1[[#This Row],[FECHA]])</f>
        <v>1900</v>
      </c>
      <c r="I52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55" customFormat="false" ht="15" hidden="false" customHeight="false" outlineLevel="0" collapsed="false">
      <c r="A5255" s="41"/>
      <c r="G5255" s="38" t="n">
        <f aca="false">MONTH(A5255)</f>
        <v>12</v>
      </c>
      <c r="H5255" s="38" t="n">
        <f aca="false">YEAR(Tabela1[[#This Row],[FECHA]])</f>
        <v>1900</v>
      </c>
      <c r="I52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56" customFormat="false" ht="15" hidden="false" customHeight="false" outlineLevel="0" collapsed="false">
      <c r="A5256" s="41"/>
      <c r="G5256" s="38" t="n">
        <f aca="false">MONTH(A5256)</f>
        <v>12</v>
      </c>
      <c r="H5256" s="38" t="n">
        <f aca="false">YEAR(Tabela1[[#This Row],[FECHA]])</f>
        <v>1900</v>
      </c>
      <c r="I52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57" customFormat="false" ht="15" hidden="false" customHeight="false" outlineLevel="0" collapsed="false">
      <c r="A5257" s="41"/>
      <c r="G5257" s="38" t="n">
        <f aca="false">MONTH(A5257)</f>
        <v>12</v>
      </c>
      <c r="H5257" s="38" t="n">
        <f aca="false">YEAR(Tabela1[[#This Row],[FECHA]])</f>
        <v>1900</v>
      </c>
      <c r="I52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58" customFormat="false" ht="15" hidden="false" customHeight="false" outlineLevel="0" collapsed="false">
      <c r="A5258" s="41"/>
      <c r="G5258" s="38" t="n">
        <f aca="false">MONTH(A5258)</f>
        <v>12</v>
      </c>
      <c r="H5258" s="38" t="n">
        <f aca="false">YEAR(Tabela1[[#This Row],[FECHA]])</f>
        <v>1900</v>
      </c>
      <c r="I52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59" customFormat="false" ht="15" hidden="false" customHeight="false" outlineLevel="0" collapsed="false">
      <c r="A5259" s="41"/>
      <c r="G5259" s="38" t="n">
        <f aca="false">MONTH(A5259)</f>
        <v>12</v>
      </c>
      <c r="H5259" s="38" t="n">
        <f aca="false">YEAR(Tabela1[[#This Row],[FECHA]])</f>
        <v>1900</v>
      </c>
      <c r="I52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60" customFormat="false" ht="15" hidden="false" customHeight="false" outlineLevel="0" collapsed="false">
      <c r="A5260" s="41"/>
      <c r="G5260" s="38" t="n">
        <f aca="false">MONTH(A5260)</f>
        <v>12</v>
      </c>
      <c r="H5260" s="38" t="n">
        <f aca="false">YEAR(Tabela1[[#This Row],[FECHA]])</f>
        <v>1900</v>
      </c>
      <c r="I52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61" customFormat="false" ht="15" hidden="false" customHeight="false" outlineLevel="0" collapsed="false">
      <c r="A5261" s="41"/>
      <c r="G5261" s="38" t="n">
        <f aca="false">MONTH(A5261)</f>
        <v>12</v>
      </c>
      <c r="H5261" s="38" t="n">
        <f aca="false">YEAR(Tabela1[[#This Row],[FECHA]])</f>
        <v>1900</v>
      </c>
      <c r="I52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62" customFormat="false" ht="15" hidden="false" customHeight="false" outlineLevel="0" collapsed="false">
      <c r="A5262" s="41"/>
      <c r="G5262" s="38" t="n">
        <f aca="false">MONTH(A5262)</f>
        <v>12</v>
      </c>
      <c r="H5262" s="38" t="n">
        <f aca="false">YEAR(Tabela1[[#This Row],[FECHA]])</f>
        <v>1900</v>
      </c>
      <c r="I52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63" customFormat="false" ht="15" hidden="false" customHeight="false" outlineLevel="0" collapsed="false">
      <c r="A5263" s="41"/>
      <c r="G5263" s="38" t="n">
        <f aca="false">MONTH(A5263)</f>
        <v>12</v>
      </c>
      <c r="H5263" s="38" t="n">
        <f aca="false">YEAR(Tabela1[[#This Row],[FECHA]])</f>
        <v>1900</v>
      </c>
      <c r="I52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64" customFormat="false" ht="15" hidden="false" customHeight="false" outlineLevel="0" collapsed="false">
      <c r="A5264" s="41"/>
      <c r="G5264" s="38" t="n">
        <f aca="false">MONTH(A5264)</f>
        <v>12</v>
      </c>
      <c r="H5264" s="38" t="n">
        <f aca="false">YEAR(Tabela1[[#This Row],[FECHA]])</f>
        <v>1900</v>
      </c>
      <c r="I52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65" customFormat="false" ht="15" hidden="false" customHeight="false" outlineLevel="0" collapsed="false">
      <c r="A5265" s="41"/>
      <c r="G5265" s="38" t="n">
        <f aca="false">MONTH(A5265)</f>
        <v>12</v>
      </c>
      <c r="H5265" s="38" t="n">
        <f aca="false">YEAR(Tabela1[[#This Row],[FECHA]])</f>
        <v>1900</v>
      </c>
      <c r="I52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66" customFormat="false" ht="15" hidden="false" customHeight="false" outlineLevel="0" collapsed="false">
      <c r="A5266" s="41"/>
      <c r="G5266" s="38" t="n">
        <f aca="false">MONTH(A5266)</f>
        <v>12</v>
      </c>
      <c r="H5266" s="38" t="n">
        <f aca="false">YEAR(Tabela1[[#This Row],[FECHA]])</f>
        <v>1900</v>
      </c>
      <c r="I52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67" customFormat="false" ht="15" hidden="false" customHeight="false" outlineLevel="0" collapsed="false">
      <c r="A5267" s="41"/>
      <c r="G5267" s="38" t="n">
        <f aca="false">MONTH(A5267)</f>
        <v>12</v>
      </c>
      <c r="H5267" s="38" t="n">
        <f aca="false">YEAR(Tabela1[[#This Row],[FECHA]])</f>
        <v>1900</v>
      </c>
      <c r="I52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68" customFormat="false" ht="15" hidden="false" customHeight="false" outlineLevel="0" collapsed="false">
      <c r="A5268" s="41"/>
      <c r="G5268" s="38" t="n">
        <f aca="false">MONTH(A5268)</f>
        <v>12</v>
      </c>
      <c r="H5268" s="38" t="n">
        <f aca="false">YEAR(Tabela1[[#This Row],[FECHA]])</f>
        <v>1900</v>
      </c>
      <c r="I52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69" customFormat="false" ht="15" hidden="false" customHeight="false" outlineLevel="0" collapsed="false">
      <c r="A5269" s="41"/>
      <c r="G5269" s="38" t="n">
        <f aca="false">MONTH(A5269)</f>
        <v>12</v>
      </c>
      <c r="H5269" s="38" t="n">
        <f aca="false">YEAR(Tabela1[[#This Row],[FECHA]])</f>
        <v>1900</v>
      </c>
      <c r="I52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70" customFormat="false" ht="15" hidden="false" customHeight="false" outlineLevel="0" collapsed="false">
      <c r="A5270" s="41"/>
      <c r="G5270" s="38" t="n">
        <f aca="false">MONTH(A5270)</f>
        <v>12</v>
      </c>
      <c r="H5270" s="38" t="n">
        <f aca="false">YEAR(Tabela1[[#This Row],[FECHA]])</f>
        <v>1900</v>
      </c>
      <c r="I52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71" customFormat="false" ht="15" hidden="false" customHeight="false" outlineLevel="0" collapsed="false">
      <c r="A5271" s="41"/>
      <c r="G5271" s="38" t="n">
        <f aca="false">MONTH(A5271)</f>
        <v>12</v>
      </c>
      <c r="H5271" s="38" t="n">
        <f aca="false">YEAR(Tabela1[[#This Row],[FECHA]])</f>
        <v>1900</v>
      </c>
      <c r="I52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72" customFormat="false" ht="15" hidden="false" customHeight="false" outlineLevel="0" collapsed="false">
      <c r="A5272" s="41"/>
      <c r="G5272" s="38" t="n">
        <f aca="false">MONTH(A5272)</f>
        <v>12</v>
      </c>
      <c r="H5272" s="38" t="n">
        <f aca="false">YEAR(Tabela1[[#This Row],[FECHA]])</f>
        <v>1900</v>
      </c>
      <c r="I52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73" customFormat="false" ht="15" hidden="false" customHeight="false" outlineLevel="0" collapsed="false">
      <c r="A5273" s="41"/>
      <c r="G5273" s="38" t="n">
        <f aca="false">MONTH(A5273)</f>
        <v>12</v>
      </c>
      <c r="H5273" s="38" t="n">
        <f aca="false">YEAR(Tabela1[[#This Row],[FECHA]])</f>
        <v>1900</v>
      </c>
      <c r="I52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74" customFormat="false" ht="15" hidden="false" customHeight="false" outlineLevel="0" collapsed="false">
      <c r="A5274" s="41"/>
      <c r="G5274" s="38" t="n">
        <f aca="false">MONTH(A5274)</f>
        <v>12</v>
      </c>
      <c r="H5274" s="38" t="n">
        <f aca="false">YEAR(Tabela1[[#This Row],[FECHA]])</f>
        <v>1900</v>
      </c>
      <c r="I52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75" customFormat="false" ht="15" hidden="false" customHeight="false" outlineLevel="0" collapsed="false">
      <c r="A5275" s="41"/>
      <c r="G5275" s="38" t="n">
        <f aca="false">MONTH(A5275)</f>
        <v>12</v>
      </c>
      <c r="H5275" s="38" t="n">
        <f aca="false">YEAR(Tabela1[[#This Row],[FECHA]])</f>
        <v>1900</v>
      </c>
      <c r="I52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76" customFormat="false" ht="15" hidden="false" customHeight="false" outlineLevel="0" collapsed="false">
      <c r="A5276" s="41"/>
      <c r="G5276" s="38" t="n">
        <f aca="false">MONTH(A5276)</f>
        <v>12</v>
      </c>
      <c r="H5276" s="38" t="n">
        <f aca="false">YEAR(Tabela1[[#This Row],[FECHA]])</f>
        <v>1900</v>
      </c>
      <c r="I52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77" customFormat="false" ht="15" hidden="false" customHeight="false" outlineLevel="0" collapsed="false">
      <c r="A5277" s="41"/>
      <c r="G5277" s="38" t="n">
        <f aca="false">MONTH(A5277)</f>
        <v>12</v>
      </c>
      <c r="H5277" s="38" t="n">
        <f aca="false">YEAR(Tabela1[[#This Row],[FECHA]])</f>
        <v>1900</v>
      </c>
      <c r="I52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78" customFormat="false" ht="15" hidden="false" customHeight="false" outlineLevel="0" collapsed="false">
      <c r="A5278" s="41"/>
      <c r="G5278" s="38" t="n">
        <f aca="false">MONTH(A5278)</f>
        <v>12</v>
      </c>
      <c r="H5278" s="38" t="n">
        <f aca="false">YEAR(Tabela1[[#This Row],[FECHA]])</f>
        <v>1900</v>
      </c>
      <c r="I52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79" customFormat="false" ht="15" hidden="false" customHeight="false" outlineLevel="0" collapsed="false">
      <c r="A5279" s="41"/>
      <c r="G5279" s="38" t="n">
        <f aca="false">MONTH(A5279)</f>
        <v>12</v>
      </c>
      <c r="H5279" s="38" t="n">
        <f aca="false">YEAR(Tabela1[[#This Row],[FECHA]])</f>
        <v>1900</v>
      </c>
      <c r="I52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80" customFormat="false" ht="15" hidden="false" customHeight="false" outlineLevel="0" collapsed="false">
      <c r="A5280" s="41"/>
      <c r="G5280" s="38" t="n">
        <f aca="false">MONTH(A5280)</f>
        <v>12</v>
      </c>
      <c r="H5280" s="38" t="n">
        <f aca="false">YEAR(Tabela1[[#This Row],[FECHA]])</f>
        <v>1900</v>
      </c>
      <c r="I52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81" customFormat="false" ht="15" hidden="false" customHeight="false" outlineLevel="0" collapsed="false">
      <c r="A5281" s="41"/>
      <c r="G5281" s="38" t="n">
        <f aca="false">MONTH(A5281)</f>
        <v>12</v>
      </c>
      <c r="H5281" s="38" t="n">
        <f aca="false">YEAR(Tabela1[[#This Row],[FECHA]])</f>
        <v>1900</v>
      </c>
      <c r="I52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82" customFormat="false" ht="15" hidden="false" customHeight="false" outlineLevel="0" collapsed="false">
      <c r="A5282" s="41"/>
      <c r="G5282" s="38" t="n">
        <f aca="false">MONTH(A5282)</f>
        <v>12</v>
      </c>
      <c r="H5282" s="38" t="n">
        <f aca="false">YEAR(Tabela1[[#This Row],[FECHA]])</f>
        <v>1900</v>
      </c>
      <c r="I52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83" customFormat="false" ht="15" hidden="false" customHeight="false" outlineLevel="0" collapsed="false">
      <c r="A5283" s="41"/>
      <c r="G5283" s="38" t="n">
        <f aca="false">MONTH(A5283)</f>
        <v>12</v>
      </c>
      <c r="H5283" s="38" t="n">
        <f aca="false">YEAR(Tabela1[[#This Row],[FECHA]])</f>
        <v>1900</v>
      </c>
      <c r="I52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84" customFormat="false" ht="15" hidden="false" customHeight="false" outlineLevel="0" collapsed="false">
      <c r="A5284" s="41"/>
      <c r="G5284" s="38" t="n">
        <f aca="false">MONTH(A5284)</f>
        <v>12</v>
      </c>
      <c r="H5284" s="38" t="n">
        <f aca="false">YEAR(Tabela1[[#This Row],[FECHA]])</f>
        <v>1900</v>
      </c>
      <c r="I52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85" customFormat="false" ht="15" hidden="false" customHeight="false" outlineLevel="0" collapsed="false">
      <c r="A5285" s="41"/>
      <c r="G5285" s="38" t="n">
        <f aca="false">MONTH(A5285)</f>
        <v>12</v>
      </c>
      <c r="H5285" s="38" t="n">
        <f aca="false">YEAR(Tabela1[[#This Row],[FECHA]])</f>
        <v>1900</v>
      </c>
      <c r="I52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86" customFormat="false" ht="15" hidden="false" customHeight="false" outlineLevel="0" collapsed="false">
      <c r="A5286" s="41"/>
      <c r="G5286" s="38" t="n">
        <f aca="false">MONTH(A5286)</f>
        <v>12</v>
      </c>
      <c r="H5286" s="38" t="n">
        <f aca="false">YEAR(Tabela1[[#This Row],[FECHA]])</f>
        <v>1900</v>
      </c>
      <c r="I52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87" customFormat="false" ht="15" hidden="false" customHeight="false" outlineLevel="0" collapsed="false">
      <c r="A5287" s="41"/>
      <c r="G5287" s="38" t="n">
        <f aca="false">MONTH(A5287)</f>
        <v>12</v>
      </c>
      <c r="H5287" s="38" t="n">
        <f aca="false">YEAR(Tabela1[[#This Row],[FECHA]])</f>
        <v>1900</v>
      </c>
      <c r="I52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88" customFormat="false" ht="15" hidden="false" customHeight="false" outlineLevel="0" collapsed="false">
      <c r="A5288" s="41"/>
      <c r="G5288" s="38" t="n">
        <f aca="false">MONTH(A5288)</f>
        <v>12</v>
      </c>
      <c r="H5288" s="38" t="n">
        <f aca="false">YEAR(Tabela1[[#This Row],[FECHA]])</f>
        <v>1900</v>
      </c>
      <c r="I52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89" customFormat="false" ht="15" hidden="false" customHeight="false" outlineLevel="0" collapsed="false">
      <c r="A5289" s="41"/>
      <c r="G5289" s="38" t="n">
        <f aca="false">MONTH(A5289)</f>
        <v>12</v>
      </c>
      <c r="H5289" s="38" t="n">
        <f aca="false">YEAR(Tabela1[[#This Row],[FECHA]])</f>
        <v>1900</v>
      </c>
      <c r="I52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90" customFormat="false" ht="15" hidden="false" customHeight="false" outlineLevel="0" collapsed="false">
      <c r="A5290" s="41"/>
      <c r="G5290" s="38" t="n">
        <f aca="false">MONTH(A5290)</f>
        <v>12</v>
      </c>
      <c r="H5290" s="38" t="n">
        <f aca="false">YEAR(Tabela1[[#This Row],[FECHA]])</f>
        <v>1900</v>
      </c>
      <c r="I52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91" customFormat="false" ht="15" hidden="false" customHeight="false" outlineLevel="0" collapsed="false">
      <c r="A5291" s="41"/>
      <c r="G5291" s="38" t="n">
        <f aca="false">MONTH(A5291)</f>
        <v>12</v>
      </c>
      <c r="H5291" s="38" t="n">
        <f aca="false">YEAR(Tabela1[[#This Row],[FECHA]])</f>
        <v>1900</v>
      </c>
      <c r="I52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92" customFormat="false" ht="15" hidden="false" customHeight="false" outlineLevel="0" collapsed="false">
      <c r="A5292" s="41"/>
      <c r="G5292" s="38" t="n">
        <f aca="false">MONTH(A5292)</f>
        <v>12</v>
      </c>
      <c r="H5292" s="38" t="n">
        <f aca="false">YEAR(Tabela1[[#This Row],[FECHA]])</f>
        <v>1900</v>
      </c>
      <c r="I52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93" customFormat="false" ht="15" hidden="false" customHeight="false" outlineLevel="0" collapsed="false">
      <c r="A5293" s="41"/>
      <c r="G5293" s="38" t="n">
        <f aca="false">MONTH(A5293)</f>
        <v>12</v>
      </c>
      <c r="H5293" s="38" t="n">
        <f aca="false">YEAR(Tabela1[[#This Row],[FECHA]])</f>
        <v>1900</v>
      </c>
      <c r="I52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94" customFormat="false" ht="15" hidden="false" customHeight="false" outlineLevel="0" collapsed="false">
      <c r="A5294" s="41"/>
      <c r="G5294" s="38" t="n">
        <f aca="false">MONTH(A5294)</f>
        <v>12</v>
      </c>
      <c r="H5294" s="38" t="n">
        <f aca="false">YEAR(Tabela1[[#This Row],[FECHA]])</f>
        <v>1900</v>
      </c>
      <c r="I52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95" customFormat="false" ht="15" hidden="false" customHeight="false" outlineLevel="0" collapsed="false">
      <c r="A5295" s="41"/>
      <c r="G5295" s="38" t="n">
        <f aca="false">MONTH(A5295)</f>
        <v>12</v>
      </c>
      <c r="H5295" s="38" t="n">
        <f aca="false">YEAR(Tabela1[[#This Row],[FECHA]])</f>
        <v>1900</v>
      </c>
      <c r="I52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96" customFormat="false" ht="15" hidden="false" customHeight="false" outlineLevel="0" collapsed="false">
      <c r="A5296" s="41"/>
      <c r="G5296" s="38" t="n">
        <f aca="false">MONTH(A5296)</f>
        <v>12</v>
      </c>
      <c r="H5296" s="38" t="n">
        <f aca="false">YEAR(Tabela1[[#This Row],[FECHA]])</f>
        <v>1900</v>
      </c>
      <c r="I52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97" customFormat="false" ht="15" hidden="false" customHeight="false" outlineLevel="0" collapsed="false">
      <c r="A5297" s="41"/>
      <c r="G5297" s="38" t="n">
        <f aca="false">MONTH(A5297)</f>
        <v>12</v>
      </c>
      <c r="H5297" s="38" t="n">
        <f aca="false">YEAR(Tabela1[[#This Row],[FECHA]])</f>
        <v>1900</v>
      </c>
      <c r="I52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98" customFormat="false" ht="15" hidden="false" customHeight="false" outlineLevel="0" collapsed="false">
      <c r="A5298" s="41"/>
      <c r="G5298" s="38" t="n">
        <f aca="false">MONTH(A5298)</f>
        <v>12</v>
      </c>
      <c r="H5298" s="38" t="n">
        <f aca="false">YEAR(Tabela1[[#This Row],[FECHA]])</f>
        <v>1900</v>
      </c>
      <c r="I52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299" customFormat="false" ht="15" hidden="false" customHeight="false" outlineLevel="0" collapsed="false">
      <c r="A5299" s="41"/>
      <c r="G5299" s="38" t="n">
        <f aca="false">MONTH(A5299)</f>
        <v>12</v>
      </c>
      <c r="H5299" s="38" t="n">
        <f aca="false">YEAR(Tabela1[[#This Row],[FECHA]])</f>
        <v>1900</v>
      </c>
      <c r="I52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00" customFormat="false" ht="15" hidden="false" customHeight="false" outlineLevel="0" collapsed="false">
      <c r="A5300" s="41"/>
      <c r="G5300" s="38" t="n">
        <f aca="false">MONTH(A5300)</f>
        <v>12</v>
      </c>
      <c r="H5300" s="38" t="n">
        <f aca="false">YEAR(Tabela1[[#This Row],[FECHA]])</f>
        <v>1900</v>
      </c>
      <c r="I53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01" customFormat="false" ht="15" hidden="false" customHeight="false" outlineLevel="0" collapsed="false">
      <c r="A5301" s="41"/>
      <c r="G5301" s="38" t="n">
        <f aca="false">MONTH(A5301)</f>
        <v>12</v>
      </c>
      <c r="H5301" s="38" t="n">
        <f aca="false">YEAR(Tabela1[[#This Row],[FECHA]])</f>
        <v>1900</v>
      </c>
      <c r="I53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02" customFormat="false" ht="15" hidden="false" customHeight="false" outlineLevel="0" collapsed="false">
      <c r="A5302" s="41"/>
      <c r="G5302" s="38" t="n">
        <f aca="false">MONTH(A5302)</f>
        <v>12</v>
      </c>
      <c r="H5302" s="38" t="n">
        <f aca="false">YEAR(Tabela1[[#This Row],[FECHA]])</f>
        <v>1900</v>
      </c>
      <c r="I53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03" customFormat="false" ht="15" hidden="false" customHeight="false" outlineLevel="0" collapsed="false">
      <c r="A5303" s="41"/>
      <c r="G5303" s="38" t="n">
        <f aca="false">MONTH(A5303)</f>
        <v>12</v>
      </c>
      <c r="H5303" s="38" t="n">
        <f aca="false">YEAR(Tabela1[[#This Row],[FECHA]])</f>
        <v>1900</v>
      </c>
      <c r="I53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04" customFormat="false" ht="15" hidden="false" customHeight="false" outlineLevel="0" collapsed="false">
      <c r="A5304" s="41"/>
      <c r="G5304" s="38" t="n">
        <f aca="false">MONTH(A5304)</f>
        <v>12</v>
      </c>
      <c r="H5304" s="38" t="n">
        <f aca="false">YEAR(Tabela1[[#This Row],[FECHA]])</f>
        <v>1900</v>
      </c>
      <c r="I53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05" customFormat="false" ht="15" hidden="false" customHeight="false" outlineLevel="0" collapsed="false">
      <c r="A5305" s="41"/>
      <c r="G5305" s="38" t="n">
        <f aca="false">MONTH(A5305)</f>
        <v>12</v>
      </c>
      <c r="H5305" s="38" t="n">
        <f aca="false">YEAR(Tabela1[[#This Row],[FECHA]])</f>
        <v>1900</v>
      </c>
      <c r="I53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06" customFormat="false" ht="15" hidden="false" customHeight="false" outlineLevel="0" collapsed="false">
      <c r="A5306" s="41"/>
      <c r="G5306" s="38" t="n">
        <f aca="false">MONTH(A5306)</f>
        <v>12</v>
      </c>
      <c r="H5306" s="38" t="n">
        <f aca="false">YEAR(Tabela1[[#This Row],[FECHA]])</f>
        <v>1900</v>
      </c>
      <c r="I53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07" customFormat="false" ht="15" hidden="false" customHeight="false" outlineLevel="0" collapsed="false">
      <c r="A5307" s="41"/>
      <c r="G5307" s="38" t="n">
        <f aca="false">MONTH(A5307)</f>
        <v>12</v>
      </c>
      <c r="H5307" s="38" t="n">
        <f aca="false">YEAR(Tabela1[[#This Row],[FECHA]])</f>
        <v>1900</v>
      </c>
      <c r="I53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08" customFormat="false" ht="15" hidden="false" customHeight="false" outlineLevel="0" collapsed="false">
      <c r="A5308" s="41"/>
      <c r="G5308" s="38" t="n">
        <f aca="false">MONTH(A5308)</f>
        <v>12</v>
      </c>
      <c r="H5308" s="38" t="n">
        <f aca="false">YEAR(Tabela1[[#This Row],[FECHA]])</f>
        <v>1900</v>
      </c>
      <c r="I53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09" customFormat="false" ht="15" hidden="false" customHeight="false" outlineLevel="0" collapsed="false">
      <c r="A5309" s="41"/>
      <c r="G5309" s="38" t="n">
        <f aca="false">MONTH(A5309)</f>
        <v>12</v>
      </c>
      <c r="H5309" s="38" t="n">
        <f aca="false">YEAR(Tabela1[[#This Row],[FECHA]])</f>
        <v>1900</v>
      </c>
      <c r="I53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10" customFormat="false" ht="15" hidden="false" customHeight="false" outlineLevel="0" collapsed="false">
      <c r="A5310" s="41"/>
      <c r="G5310" s="38" t="n">
        <f aca="false">MONTH(A5310)</f>
        <v>12</v>
      </c>
      <c r="H5310" s="38" t="n">
        <f aca="false">YEAR(Tabela1[[#This Row],[FECHA]])</f>
        <v>1900</v>
      </c>
      <c r="I53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11" customFormat="false" ht="15" hidden="false" customHeight="false" outlineLevel="0" collapsed="false">
      <c r="A5311" s="41"/>
      <c r="G5311" s="38" t="n">
        <f aca="false">MONTH(A5311)</f>
        <v>12</v>
      </c>
      <c r="H5311" s="38" t="n">
        <f aca="false">YEAR(Tabela1[[#This Row],[FECHA]])</f>
        <v>1900</v>
      </c>
      <c r="I53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12" customFormat="false" ht="15" hidden="false" customHeight="false" outlineLevel="0" collapsed="false">
      <c r="A5312" s="41"/>
      <c r="G5312" s="38" t="n">
        <f aca="false">MONTH(A5312)</f>
        <v>12</v>
      </c>
      <c r="H5312" s="38" t="n">
        <f aca="false">YEAR(Tabela1[[#This Row],[FECHA]])</f>
        <v>1900</v>
      </c>
      <c r="I53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13" customFormat="false" ht="15" hidden="false" customHeight="false" outlineLevel="0" collapsed="false">
      <c r="A5313" s="41"/>
      <c r="G5313" s="38" t="n">
        <f aca="false">MONTH(A5313)</f>
        <v>12</v>
      </c>
      <c r="H5313" s="38" t="n">
        <f aca="false">YEAR(Tabela1[[#This Row],[FECHA]])</f>
        <v>1900</v>
      </c>
      <c r="I53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14" customFormat="false" ht="15" hidden="false" customHeight="false" outlineLevel="0" collapsed="false">
      <c r="A5314" s="41"/>
      <c r="G5314" s="38" t="n">
        <f aca="false">MONTH(A5314)</f>
        <v>12</v>
      </c>
      <c r="H5314" s="38" t="n">
        <f aca="false">YEAR(Tabela1[[#This Row],[FECHA]])</f>
        <v>1900</v>
      </c>
      <c r="I53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15" customFormat="false" ht="15" hidden="false" customHeight="false" outlineLevel="0" collapsed="false">
      <c r="A5315" s="41"/>
      <c r="G5315" s="38" t="n">
        <f aca="false">MONTH(A5315)</f>
        <v>12</v>
      </c>
      <c r="H5315" s="38" t="n">
        <f aca="false">YEAR(Tabela1[[#This Row],[FECHA]])</f>
        <v>1900</v>
      </c>
      <c r="I53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16" customFormat="false" ht="15" hidden="false" customHeight="false" outlineLevel="0" collapsed="false">
      <c r="A5316" s="41"/>
      <c r="G5316" s="38" t="n">
        <f aca="false">MONTH(A5316)</f>
        <v>12</v>
      </c>
      <c r="H5316" s="38" t="n">
        <f aca="false">YEAR(Tabela1[[#This Row],[FECHA]])</f>
        <v>1900</v>
      </c>
      <c r="I53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17" customFormat="false" ht="15" hidden="false" customHeight="false" outlineLevel="0" collapsed="false">
      <c r="A5317" s="41"/>
      <c r="G5317" s="38" t="n">
        <f aca="false">MONTH(A5317)</f>
        <v>12</v>
      </c>
      <c r="H5317" s="38" t="n">
        <f aca="false">YEAR(Tabela1[[#This Row],[FECHA]])</f>
        <v>1900</v>
      </c>
      <c r="I53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18" customFormat="false" ht="15" hidden="false" customHeight="false" outlineLevel="0" collapsed="false">
      <c r="A5318" s="41"/>
      <c r="G5318" s="38" t="n">
        <f aca="false">MONTH(A5318)</f>
        <v>12</v>
      </c>
      <c r="H5318" s="38" t="n">
        <f aca="false">YEAR(Tabela1[[#This Row],[FECHA]])</f>
        <v>1900</v>
      </c>
      <c r="I53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19" customFormat="false" ht="15" hidden="false" customHeight="false" outlineLevel="0" collapsed="false">
      <c r="A5319" s="41"/>
      <c r="G5319" s="38" t="n">
        <f aca="false">MONTH(A5319)</f>
        <v>12</v>
      </c>
      <c r="H5319" s="38" t="n">
        <f aca="false">YEAR(Tabela1[[#This Row],[FECHA]])</f>
        <v>1900</v>
      </c>
      <c r="I53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20" customFormat="false" ht="15" hidden="false" customHeight="false" outlineLevel="0" collapsed="false">
      <c r="A5320" s="41"/>
      <c r="G5320" s="38" t="n">
        <f aca="false">MONTH(A5320)</f>
        <v>12</v>
      </c>
      <c r="H5320" s="38" t="n">
        <f aca="false">YEAR(Tabela1[[#This Row],[FECHA]])</f>
        <v>1900</v>
      </c>
      <c r="I53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21" customFormat="false" ht="15" hidden="false" customHeight="false" outlineLevel="0" collapsed="false">
      <c r="A5321" s="41"/>
      <c r="G5321" s="38" t="n">
        <f aca="false">MONTH(A5321)</f>
        <v>12</v>
      </c>
      <c r="H5321" s="38" t="n">
        <f aca="false">YEAR(Tabela1[[#This Row],[FECHA]])</f>
        <v>1900</v>
      </c>
      <c r="I53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22" customFormat="false" ht="15" hidden="false" customHeight="false" outlineLevel="0" collapsed="false">
      <c r="A5322" s="41"/>
      <c r="G5322" s="38" t="n">
        <f aca="false">MONTH(A5322)</f>
        <v>12</v>
      </c>
      <c r="H5322" s="38" t="n">
        <f aca="false">YEAR(Tabela1[[#This Row],[FECHA]])</f>
        <v>1900</v>
      </c>
      <c r="I53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23" customFormat="false" ht="15" hidden="false" customHeight="false" outlineLevel="0" collapsed="false">
      <c r="A5323" s="41"/>
      <c r="G5323" s="38" t="n">
        <f aca="false">MONTH(A5323)</f>
        <v>12</v>
      </c>
      <c r="H5323" s="38" t="n">
        <f aca="false">YEAR(Tabela1[[#This Row],[FECHA]])</f>
        <v>1900</v>
      </c>
      <c r="I53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24" customFormat="false" ht="15" hidden="false" customHeight="false" outlineLevel="0" collapsed="false">
      <c r="A5324" s="41"/>
      <c r="G5324" s="38" t="n">
        <f aca="false">MONTH(A5324)</f>
        <v>12</v>
      </c>
      <c r="H5324" s="38" t="n">
        <f aca="false">YEAR(Tabela1[[#This Row],[FECHA]])</f>
        <v>1900</v>
      </c>
      <c r="I53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25" customFormat="false" ht="15" hidden="false" customHeight="false" outlineLevel="0" collapsed="false">
      <c r="A5325" s="41"/>
      <c r="G5325" s="38" t="n">
        <f aca="false">MONTH(A5325)</f>
        <v>12</v>
      </c>
      <c r="H5325" s="38" t="n">
        <f aca="false">YEAR(Tabela1[[#This Row],[FECHA]])</f>
        <v>1900</v>
      </c>
      <c r="I53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26" customFormat="false" ht="15" hidden="false" customHeight="false" outlineLevel="0" collapsed="false">
      <c r="A5326" s="41"/>
      <c r="G5326" s="38" t="n">
        <f aca="false">MONTH(A5326)</f>
        <v>12</v>
      </c>
      <c r="H5326" s="38" t="n">
        <f aca="false">YEAR(Tabela1[[#This Row],[FECHA]])</f>
        <v>1900</v>
      </c>
      <c r="I53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27" customFormat="false" ht="15" hidden="false" customHeight="false" outlineLevel="0" collapsed="false">
      <c r="A5327" s="41"/>
      <c r="G5327" s="38" t="n">
        <f aca="false">MONTH(A5327)</f>
        <v>12</v>
      </c>
      <c r="H5327" s="38" t="n">
        <f aca="false">YEAR(Tabela1[[#This Row],[FECHA]])</f>
        <v>1900</v>
      </c>
      <c r="I53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28" customFormat="false" ht="15" hidden="false" customHeight="false" outlineLevel="0" collapsed="false">
      <c r="A5328" s="41"/>
      <c r="G5328" s="38" t="n">
        <f aca="false">MONTH(A5328)</f>
        <v>12</v>
      </c>
      <c r="H5328" s="38" t="n">
        <f aca="false">YEAR(Tabela1[[#This Row],[FECHA]])</f>
        <v>1900</v>
      </c>
      <c r="I53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29" customFormat="false" ht="15" hidden="false" customHeight="false" outlineLevel="0" collapsed="false">
      <c r="A5329" s="41"/>
      <c r="G5329" s="38" t="n">
        <f aca="false">MONTH(A5329)</f>
        <v>12</v>
      </c>
      <c r="H5329" s="38" t="n">
        <f aca="false">YEAR(Tabela1[[#This Row],[FECHA]])</f>
        <v>1900</v>
      </c>
      <c r="I53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30" customFormat="false" ht="15" hidden="false" customHeight="false" outlineLevel="0" collapsed="false">
      <c r="A5330" s="41"/>
      <c r="G5330" s="38" t="n">
        <f aca="false">MONTH(A5330)</f>
        <v>12</v>
      </c>
      <c r="H5330" s="38" t="n">
        <f aca="false">YEAR(Tabela1[[#This Row],[FECHA]])</f>
        <v>1900</v>
      </c>
      <c r="I53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31" customFormat="false" ht="15" hidden="false" customHeight="false" outlineLevel="0" collapsed="false">
      <c r="A5331" s="41"/>
      <c r="G5331" s="38" t="n">
        <f aca="false">MONTH(A5331)</f>
        <v>12</v>
      </c>
      <c r="H5331" s="38" t="n">
        <f aca="false">YEAR(Tabela1[[#This Row],[FECHA]])</f>
        <v>1900</v>
      </c>
      <c r="I53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32" customFormat="false" ht="15" hidden="false" customHeight="false" outlineLevel="0" collapsed="false">
      <c r="A5332" s="41"/>
      <c r="G5332" s="38" t="n">
        <f aca="false">MONTH(A5332)</f>
        <v>12</v>
      </c>
      <c r="H5332" s="38" t="n">
        <f aca="false">YEAR(Tabela1[[#This Row],[FECHA]])</f>
        <v>1900</v>
      </c>
      <c r="I53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33" customFormat="false" ht="15" hidden="false" customHeight="false" outlineLevel="0" collapsed="false">
      <c r="A5333" s="41"/>
      <c r="G5333" s="38" t="n">
        <f aca="false">MONTH(A5333)</f>
        <v>12</v>
      </c>
      <c r="H5333" s="38" t="n">
        <f aca="false">YEAR(Tabela1[[#This Row],[FECHA]])</f>
        <v>1900</v>
      </c>
      <c r="I53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34" customFormat="false" ht="15" hidden="false" customHeight="false" outlineLevel="0" collapsed="false">
      <c r="A5334" s="41"/>
      <c r="G5334" s="38" t="n">
        <f aca="false">MONTH(A5334)</f>
        <v>12</v>
      </c>
      <c r="H5334" s="38" t="n">
        <f aca="false">YEAR(Tabela1[[#This Row],[FECHA]])</f>
        <v>1900</v>
      </c>
      <c r="I53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35" customFormat="false" ht="15" hidden="false" customHeight="false" outlineLevel="0" collapsed="false">
      <c r="A5335" s="41"/>
      <c r="G5335" s="38" t="n">
        <f aca="false">MONTH(A5335)</f>
        <v>12</v>
      </c>
      <c r="H5335" s="38" t="n">
        <f aca="false">YEAR(Tabela1[[#This Row],[FECHA]])</f>
        <v>1900</v>
      </c>
      <c r="I53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36" customFormat="false" ht="15" hidden="false" customHeight="false" outlineLevel="0" collapsed="false">
      <c r="A5336" s="41"/>
      <c r="G5336" s="38" t="n">
        <f aca="false">MONTH(A5336)</f>
        <v>12</v>
      </c>
      <c r="H5336" s="38" t="n">
        <f aca="false">YEAR(Tabela1[[#This Row],[FECHA]])</f>
        <v>1900</v>
      </c>
      <c r="I53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37" customFormat="false" ht="15" hidden="false" customHeight="false" outlineLevel="0" collapsed="false">
      <c r="A5337" s="41"/>
      <c r="G5337" s="38" t="n">
        <f aca="false">MONTH(A5337)</f>
        <v>12</v>
      </c>
      <c r="H5337" s="38" t="n">
        <f aca="false">YEAR(Tabela1[[#This Row],[FECHA]])</f>
        <v>1900</v>
      </c>
      <c r="I53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38" customFormat="false" ht="15" hidden="false" customHeight="false" outlineLevel="0" collapsed="false">
      <c r="A5338" s="41"/>
      <c r="G5338" s="38" t="n">
        <f aca="false">MONTH(A5338)</f>
        <v>12</v>
      </c>
      <c r="H5338" s="38" t="n">
        <f aca="false">YEAR(Tabela1[[#This Row],[FECHA]])</f>
        <v>1900</v>
      </c>
      <c r="I53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39" customFormat="false" ht="15" hidden="false" customHeight="false" outlineLevel="0" collapsed="false">
      <c r="A5339" s="41"/>
      <c r="G5339" s="38" t="n">
        <f aca="false">MONTH(A5339)</f>
        <v>12</v>
      </c>
      <c r="H5339" s="38" t="n">
        <f aca="false">YEAR(Tabela1[[#This Row],[FECHA]])</f>
        <v>1900</v>
      </c>
      <c r="I53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40" customFormat="false" ht="15" hidden="false" customHeight="false" outlineLevel="0" collapsed="false">
      <c r="A5340" s="41"/>
      <c r="G5340" s="38" t="n">
        <f aca="false">MONTH(A5340)</f>
        <v>12</v>
      </c>
      <c r="H5340" s="38" t="n">
        <f aca="false">YEAR(Tabela1[[#This Row],[FECHA]])</f>
        <v>1900</v>
      </c>
      <c r="I53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41" customFormat="false" ht="15" hidden="false" customHeight="false" outlineLevel="0" collapsed="false">
      <c r="A5341" s="41"/>
      <c r="G5341" s="38" t="n">
        <f aca="false">MONTH(A5341)</f>
        <v>12</v>
      </c>
      <c r="H5341" s="38" t="n">
        <f aca="false">YEAR(Tabela1[[#This Row],[FECHA]])</f>
        <v>1900</v>
      </c>
      <c r="I53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42" customFormat="false" ht="15" hidden="false" customHeight="false" outlineLevel="0" collapsed="false">
      <c r="A5342" s="41"/>
      <c r="G5342" s="38" t="n">
        <f aca="false">MONTH(A5342)</f>
        <v>12</v>
      </c>
      <c r="H5342" s="38" t="n">
        <f aca="false">YEAR(Tabela1[[#This Row],[FECHA]])</f>
        <v>1900</v>
      </c>
      <c r="I53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43" customFormat="false" ht="15" hidden="false" customHeight="false" outlineLevel="0" collapsed="false">
      <c r="A5343" s="41"/>
      <c r="G5343" s="38" t="n">
        <f aca="false">MONTH(A5343)</f>
        <v>12</v>
      </c>
      <c r="H5343" s="38" t="n">
        <f aca="false">YEAR(Tabela1[[#This Row],[FECHA]])</f>
        <v>1900</v>
      </c>
      <c r="I53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44" customFormat="false" ht="15" hidden="false" customHeight="false" outlineLevel="0" collapsed="false">
      <c r="A5344" s="41"/>
      <c r="G5344" s="38" t="n">
        <f aca="false">MONTH(A5344)</f>
        <v>12</v>
      </c>
      <c r="H5344" s="38" t="n">
        <f aca="false">YEAR(Tabela1[[#This Row],[FECHA]])</f>
        <v>1900</v>
      </c>
      <c r="I53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45" customFormat="false" ht="15" hidden="false" customHeight="false" outlineLevel="0" collapsed="false">
      <c r="A5345" s="41"/>
      <c r="G5345" s="38" t="n">
        <f aca="false">MONTH(A5345)</f>
        <v>12</v>
      </c>
      <c r="H5345" s="38" t="n">
        <f aca="false">YEAR(Tabela1[[#This Row],[FECHA]])</f>
        <v>1900</v>
      </c>
      <c r="I53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46" customFormat="false" ht="15" hidden="false" customHeight="false" outlineLevel="0" collapsed="false">
      <c r="A5346" s="41"/>
      <c r="G5346" s="38" t="n">
        <f aca="false">MONTH(A5346)</f>
        <v>12</v>
      </c>
      <c r="H5346" s="38" t="n">
        <f aca="false">YEAR(Tabela1[[#This Row],[FECHA]])</f>
        <v>1900</v>
      </c>
      <c r="I53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47" customFormat="false" ht="15" hidden="false" customHeight="false" outlineLevel="0" collapsed="false">
      <c r="A5347" s="41"/>
      <c r="G5347" s="38" t="n">
        <f aca="false">MONTH(A5347)</f>
        <v>12</v>
      </c>
      <c r="H5347" s="38" t="n">
        <f aca="false">YEAR(Tabela1[[#This Row],[FECHA]])</f>
        <v>1900</v>
      </c>
      <c r="I53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48" customFormat="false" ht="15" hidden="false" customHeight="false" outlineLevel="0" collapsed="false">
      <c r="A5348" s="41"/>
      <c r="G5348" s="38" t="n">
        <f aca="false">MONTH(A5348)</f>
        <v>12</v>
      </c>
      <c r="H5348" s="38" t="n">
        <f aca="false">YEAR(Tabela1[[#This Row],[FECHA]])</f>
        <v>1900</v>
      </c>
      <c r="I53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49" customFormat="false" ht="15" hidden="false" customHeight="false" outlineLevel="0" collapsed="false">
      <c r="A5349" s="41"/>
      <c r="G5349" s="38" t="n">
        <f aca="false">MONTH(A5349)</f>
        <v>12</v>
      </c>
      <c r="H5349" s="38" t="n">
        <f aca="false">YEAR(Tabela1[[#This Row],[FECHA]])</f>
        <v>1900</v>
      </c>
      <c r="I53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50" customFormat="false" ht="15" hidden="false" customHeight="false" outlineLevel="0" collapsed="false">
      <c r="A5350" s="41"/>
      <c r="G5350" s="38" t="n">
        <f aca="false">MONTH(A5350)</f>
        <v>12</v>
      </c>
      <c r="H5350" s="38" t="n">
        <f aca="false">YEAR(Tabela1[[#This Row],[FECHA]])</f>
        <v>1900</v>
      </c>
      <c r="I53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51" customFormat="false" ht="15" hidden="false" customHeight="false" outlineLevel="0" collapsed="false">
      <c r="A5351" s="41"/>
      <c r="G5351" s="38" t="n">
        <f aca="false">MONTH(A5351)</f>
        <v>12</v>
      </c>
      <c r="H5351" s="38" t="n">
        <f aca="false">YEAR(Tabela1[[#This Row],[FECHA]])</f>
        <v>1900</v>
      </c>
      <c r="I53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52" customFormat="false" ht="15" hidden="false" customHeight="false" outlineLevel="0" collapsed="false">
      <c r="A5352" s="41"/>
      <c r="G5352" s="38" t="n">
        <f aca="false">MONTH(A5352)</f>
        <v>12</v>
      </c>
      <c r="H5352" s="38" t="n">
        <f aca="false">YEAR(Tabela1[[#This Row],[FECHA]])</f>
        <v>1900</v>
      </c>
      <c r="I53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53" customFormat="false" ht="15" hidden="false" customHeight="false" outlineLevel="0" collapsed="false">
      <c r="A5353" s="41"/>
      <c r="G5353" s="38" t="n">
        <f aca="false">MONTH(A5353)</f>
        <v>12</v>
      </c>
      <c r="H5353" s="38" t="n">
        <f aca="false">YEAR(Tabela1[[#This Row],[FECHA]])</f>
        <v>1900</v>
      </c>
      <c r="I53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54" customFormat="false" ht="15" hidden="false" customHeight="false" outlineLevel="0" collapsed="false">
      <c r="A5354" s="41"/>
      <c r="G5354" s="38" t="n">
        <f aca="false">MONTH(A5354)</f>
        <v>12</v>
      </c>
      <c r="H5354" s="38" t="n">
        <f aca="false">YEAR(Tabela1[[#This Row],[FECHA]])</f>
        <v>1900</v>
      </c>
      <c r="I53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55" customFormat="false" ht="15" hidden="false" customHeight="false" outlineLevel="0" collapsed="false">
      <c r="A5355" s="41"/>
      <c r="G5355" s="38" t="n">
        <f aca="false">MONTH(A5355)</f>
        <v>12</v>
      </c>
      <c r="H5355" s="38" t="n">
        <f aca="false">YEAR(Tabela1[[#This Row],[FECHA]])</f>
        <v>1900</v>
      </c>
      <c r="I53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56" customFormat="false" ht="15" hidden="false" customHeight="false" outlineLevel="0" collapsed="false">
      <c r="A5356" s="41"/>
      <c r="G5356" s="38" t="n">
        <f aca="false">MONTH(A5356)</f>
        <v>12</v>
      </c>
      <c r="H5356" s="38" t="n">
        <f aca="false">YEAR(Tabela1[[#This Row],[FECHA]])</f>
        <v>1900</v>
      </c>
      <c r="I53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57" customFormat="false" ht="15" hidden="false" customHeight="false" outlineLevel="0" collapsed="false">
      <c r="A5357" s="41"/>
      <c r="G5357" s="38" t="n">
        <f aca="false">MONTH(A5357)</f>
        <v>12</v>
      </c>
      <c r="H5357" s="38" t="n">
        <f aca="false">YEAR(Tabela1[[#This Row],[FECHA]])</f>
        <v>1900</v>
      </c>
      <c r="I53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58" customFormat="false" ht="15" hidden="false" customHeight="false" outlineLevel="0" collapsed="false">
      <c r="A5358" s="41"/>
      <c r="G5358" s="38" t="n">
        <f aca="false">MONTH(A5358)</f>
        <v>12</v>
      </c>
      <c r="H5358" s="38" t="n">
        <f aca="false">YEAR(Tabela1[[#This Row],[FECHA]])</f>
        <v>1900</v>
      </c>
      <c r="I53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59" customFormat="false" ht="15" hidden="false" customHeight="false" outlineLevel="0" collapsed="false">
      <c r="A5359" s="41"/>
      <c r="G5359" s="38" t="n">
        <f aca="false">MONTH(A5359)</f>
        <v>12</v>
      </c>
      <c r="H5359" s="38" t="n">
        <f aca="false">YEAR(Tabela1[[#This Row],[FECHA]])</f>
        <v>1900</v>
      </c>
      <c r="I53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60" customFormat="false" ht="15" hidden="false" customHeight="false" outlineLevel="0" collapsed="false">
      <c r="A5360" s="41"/>
      <c r="G5360" s="38" t="n">
        <f aca="false">MONTH(A5360)</f>
        <v>12</v>
      </c>
      <c r="H5360" s="38" t="n">
        <f aca="false">YEAR(Tabela1[[#This Row],[FECHA]])</f>
        <v>1900</v>
      </c>
      <c r="I53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61" customFormat="false" ht="15" hidden="false" customHeight="false" outlineLevel="0" collapsed="false">
      <c r="A5361" s="41"/>
      <c r="G5361" s="38" t="n">
        <f aca="false">MONTH(A5361)</f>
        <v>12</v>
      </c>
      <c r="H5361" s="38" t="n">
        <f aca="false">YEAR(Tabela1[[#This Row],[FECHA]])</f>
        <v>1900</v>
      </c>
      <c r="I53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62" customFormat="false" ht="15" hidden="false" customHeight="false" outlineLevel="0" collapsed="false">
      <c r="A5362" s="41"/>
      <c r="G5362" s="38" t="n">
        <f aca="false">MONTH(A5362)</f>
        <v>12</v>
      </c>
      <c r="H5362" s="38" t="n">
        <f aca="false">YEAR(Tabela1[[#This Row],[FECHA]])</f>
        <v>1900</v>
      </c>
      <c r="I53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63" customFormat="false" ht="15" hidden="false" customHeight="false" outlineLevel="0" collapsed="false">
      <c r="A5363" s="41"/>
      <c r="G5363" s="38" t="n">
        <f aca="false">MONTH(A5363)</f>
        <v>12</v>
      </c>
      <c r="H5363" s="38" t="n">
        <f aca="false">YEAR(Tabela1[[#This Row],[FECHA]])</f>
        <v>1900</v>
      </c>
      <c r="I53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64" customFormat="false" ht="15" hidden="false" customHeight="false" outlineLevel="0" collapsed="false">
      <c r="A5364" s="41"/>
      <c r="G5364" s="38" t="n">
        <f aca="false">MONTH(A5364)</f>
        <v>12</v>
      </c>
      <c r="H5364" s="38" t="n">
        <f aca="false">YEAR(Tabela1[[#This Row],[FECHA]])</f>
        <v>1900</v>
      </c>
      <c r="I53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65" customFormat="false" ht="15" hidden="false" customHeight="false" outlineLevel="0" collapsed="false">
      <c r="A5365" s="41"/>
      <c r="G5365" s="38" t="n">
        <f aca="false">MONTH(A5365)</f>
        <v>12</v>
      </c>
      <c r="H5365" s="38" t="n">
        <f aca="false">YEAR(Tabela1[[#This Row],[FECHA]])</f>
        <v>1900</v>
      </c>
      <c r="I53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66" customFormat="false" ht="15" hidden="false" customHeight="false" outlineLevel="0" collapsed="false">
      <c r="A5366" s="41"/>
      <c r="G5366" s="38" t="n">
        <f aca="false">MONTH(A5366)</f>
        <v>12</v>
      </c>
      <c r="H5366" s="38" t="n">
        <f aca="false">YEAR(Tabela1[[#This Row],[FECHA]])</f>
        <v>1900</v>
      </c>
      <c r="I53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67" customFormat="false" ht="15" hidden="false" customHeight="false" outlineLevel="0" collapsed="false">
      <c r="A5367" s="41"/>
      <c r="G5367" s="38" t="n">
        <f aca="false">MONTH(A5367)</f>
        <v>12</v>
      </c>
      <c r="H5367" s="38" t="n">
        <f aca="false">YEAR(Tabela1[[#This Row],[FECHA]])</f>
        <v>1900</v>
      </c>
      <c r="I53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68" customFormat="false" ht="15" hidden="false" customHeight="false" outlineLevel="0" collapsed="false">
      <c r="A5368" s="41"/>
      <c r="G5368" s="38" t="n">
        <f aca="false">MONTH(A5368)</f>
        <v>12</v>
      </c>
      <c r="H5368" s="38" t="n">
        <f aca="false">YEAR(Tabela1[[#This Row],[FECHA]])</f>
        <v>1900</v>
      </c>
      <c r="I53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69" customFormat="false" ht="15" hidden="false" customHeight="false" outlineLevel="0" collapsed="false">
      <c r="A5369" s="41"/>
      <c r="G5369" s="38" t="n">
        <f aca="false">MONTH(A5369)</f>
        <v>12</v>
      </c>
      <c r="H5369" s="38" t="n">
        <f aca="false">YEAR(Tabela1[[#This Row],[FECHA]])</f>
        <v>1900</v>
      </c>
      <c r="I53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70" customFormat="false" ht="15" hidden="false" customHeight="false" outlineLevel="0" collapsed="false">
      <c r="A5370" s="41"/>
      <c r="G5370" s="38" t="n">
        <f aca="false">MONTH(A5370)</f>
        <v>12</v>
      </c>
      <c r="H5370" s="38" t="n">
        <f aca="false">YEAR(Tabela1[[#This Row],[FECHA]])</f>
        <v>1900</v>
      </c>
      <c r="I53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71" customFormat="false" ht="15" hidden="false" customHeight="false" outlineLevel="0" collapsed="false">
      <c r="A5371" s="41"/>
      <c r="G5371" s="38" t="n">
        <f aca="false">MONTH(A5371)</f>
        <v>12</v>
      </c>
      <c r="H5371" s="38" t="n">
        <f aca="false">YEAR(Tabela1[[#This Row],[FECHA]])</f>
        <v>1900</v>
      </c>
      <c r="I53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72" customFormat="false" ht="15" hidden="false" customHeight="false" outlineLevel="0" collapsed="false">
      <c r="A5372" s="41"/>
      <c r="G5372" s="38" t="n">
        <f aca="false">MONTH(A5372)</f>
        <v>12</v>
      </c>
      <c r="H5372" s="38" t="n">
        <f aca="false">YEAR(Tabela1[[#This Row],[FECHA]])</f>
        <v>1900</v>
      </c>
      <c r="I53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73" customFormat="false" ht="15" hidden="false" customHeight="false" outlineLevel="0" collapsed="false">
      <c r="A5373" s="41"/>
      <c r="G5373" s="38" t="n">
        <f aca="false">MONTH(A5373)</f>
        <v>12</v>
      </c>
      <c r="H5373" s="38" t="n">
        <f aca="false">YEAR(Tabela1[[#This Row],[FECHA]])</f>
        <v>1900</v>
      </c>
      <c r="I53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74" customFormat="false" ht="15" hidden="false" customHeight="false" outlineLevel="0" collapsed="false">
      <c r="A5374" s="41"/>
      <c r="G5374" s="38" t="n">
        <f aca="false">MONTH(A5374)</f>
        <v>12</v>
      </c>
      <c r="H5374" s="38" t="n">
        <f aca="false">YEAR(Tabela1[[#This Row],[FECHA]])</f>
        <v>1900</v>
      </c>
      <c r="I53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75" customFormat="false" ht="15" hidden="false" customHeight="false" outlineLevel="0" collapsed="false">
      <c r="A5375" s="41"/>
      <c r="G5375" s="38" t="n">
        <f aca="false">MONTH(A5375)</f>
        <v>12</v>
      </c>
      <c r="H5375" s="38" t="n">
        <f aca="false">YEAR(Tabela1[[#This Row],[FECHA]])</f>
        <v>1900</v>
      </c>
      <c r="I53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76" customFormat="false" ht="15" hidden="false" customHeight="false" outlineLevel="0" collapsed="false">
      <c r="A5376" s="41"/>
      <c r="G5376" s="38" t="n">
        <f aca="false">MONTH(A5376)</f>
        <v>12</v>
      </c>
      <c r="H5376" s="38" t="n">
        <f aca="false">YEAR(Tabela1[[#This Row],[FECHA]])</f>
        <v>1900</v>
      </c>
      <c r="I53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77" customFormat="false" ht="15" hidden="false" customHeight="false" outlineLevel="0" collapsed="false">
      <c r="A5377" s="41"/>
      <c r="G5377" s="38" t="n">
        <f aca="false">MONTH(A5377)</f>
        <v>12</v>
      </c>
      <c r="H5377" s="38" t="n">
        <f aca="false">YEAR(Tabela1[[#This Row],[FECHA]])</f>
        <v>1900</v>
      </c>
      <c r="I53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78" customFormat="false" ht="15" hidden="false" customHeight="false" outlineLevel="0" collapsed="false">
      <c r="A5378" s="41"/>
      <c r="G5378" s="38" t="n">
        <f aca="false">MONTH(A5378)</f>
        <v>12</v>
      </c>
      <c r="H5378" s="38" t="n">
        <f aca="false">YEAR(Tabela1[[#This Row],[FECHA]])</f>
        <v>1900</v>
      </c>
      <c r="I53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79" customFormat="false" ht="15" hidden="false" customHeight="false" outlineLevel="0" collapsed="false">
      <c r="A5379" s="41"/>
      <c r="G5379" s="38" t="n">
        <f aca="false">MONTH(A5379)</f>
        <v>12</v>
      </c>
      <c r="H5379" s="38" t="n">
        <f aca="false">YEAR(Tabela1[[#This Row],[FECHA]])</f>
        <v>1900</v>
      </c>
      <c r="I53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80" customFormat="false" ht="15" hidden="false" customHeight="false" outlineLevel="0" collapsed="false">
      <c r="A5380" s="41"/>
      <c r="G5380" s="38" t="n">
        <f aca="false">MONTH(A5380)</f>
        <v>12</v>
      </c>
      <c r="H5380" s="38" t="n">
        <f aca="false">YEAR(Tabela1[[#This Row],[FECHA]])</f>
        <v>1900</v>
      </c>
      <c r="I53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81" customFormat="false" ht="15" hidden="false" customHeight="false" outlineLevel="0" collapsed="false">
      <c r="A5381" s="41"/>
      <c r="G5381" s="38" t="n">
        <f aca="false">MONTH(A5381)</f>
        <v>12</v>
      </c>
      <c r="H5381" s="38" t="n">
        <f aca="false">YEAR(Tabela1[[#This Row],[FECHA]])</f>
        <v>1900</v>
      </c>
      <c r="I53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82" customFormat="false" ht="15" hidden="false" customHeight="false" outlineLevel="0" collapsed="false">
      <c r="A5382" s="41"/>
      <c r="G5382" s="38" t="n">
        <f aca="false">MONTH(A5382)</f>
        <v>12</v>
      </c>
      <c r="H5382" s="38" t="n">
        <f aca="false">YEAR(Tabela1[[#This Row],[FECHA]])</f>
        <v>1900</v>
      </c>
      <c r="I53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83" customFormat="false" ht="15" hidden="false" customHeight="false" outlineLevel="0" collapsed="false">
      <c r="A5383" s="41"/>
      <c r="G5383" s="38" t="n">
        <f aca="false">MONTH(A5383)</f>
        <v>12</v>
      </c>
      <c r="H5383" s="38" t="n">
        <f aca="false">YEAR(Tabela1[[#This Row],[FECHA]])</f>
        <v>1900</v>
      </c>
      <c r="I53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84" customFormat="false" ht="15" hidden="false" customHeight="false" outlineLevel="0" collapsed="false">
      <c r="A5384" s="41"/>
      <c r="G5384" s="38" t="n">
        <f aca="false">MONTH(A5384)</f>
        <v>12</v>
      </c>
      <c r="H5384" s="38" t="n">
        <f aca="false">YEAR(Tabela1[[#This Row],[FECHA]])</f>
        <v>1900</v>
      </c>
      <c r="I53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85" customFormat="false" ht="15" hidden="false" customHeight="false" outlineLevel="0" collapsed="false">
      <c r="A5385" s="41"/>
      <c r="G5385" s="38" t="n">
        <f aca="false">MONTH(A5385)</f>
        <v>12</v>
      </c>
      <c r="H5385" s="38" t="n">
        <f aca="false">YEAR(Tabela1[[#This Row],[FECHA]])</f>
        <v>1900</v>
      </c>
      <c r="I53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86" customFormat="false" ht="15" hidden="false" customHeight="false" outlineLevel="0" collapsed="false">
      <c r="A5386" s="41"/>
      <c r="G5386" s="38" t="n">
        <f aca="false">MONTH(A5386)</f>
        <v>12</v>
      </c>
      <c r="H5386" s="38" t="n">
        <f aca="false">YEAR(Tabela1[[#This Row],[FECHA]])</f>
        <v>1900</v>
      </c>
      <c r="I53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87" customFormat="false" ht="15" hidden="false" customHeight="false" outlineLevel="0" collapsed="false">
      <c r="A5387" s="41"/>
      <c r="G5387" s="38" t="n">
        <f aca="false">MONTH(A5387)</f>
        <v>12</v>
      </c>
      <c r="H5387" s="38" t="n">
        <f aca="false">YEAR(Tabela1[[#This Row],[FECHA]])</f>
        <v>1900</v>
      </c>
      <c r="I53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88" customFormat="false" ht="15" hidden="false" customHeight="false" outlineLevel="0" collapsed="false">
      <c r="A5388" s="41"/>
      <c r="G5388" s="38" t="n">
        <f aca="false">MONTH(A5388)</f>
        <v>12</v>
      </c>
      <c r="H5388" s="38" t="n">
        <f aca="false">YEAR(Tabela1[[#This Row],[FECHA]])</f>
        <v>1900</v>
      </c>
      <c r="I53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89" customFormat="false" ht="15" hidden="false" customHeight="false" outlineLevel="0" collapsed="false">
      <c r="A5389" s="41"/>
      <c r="G5389" s="38" t="n">
        <f aca="false">MONTH(A5389)</f>
        <v>12</v>
      </c>
      <c r="H5389" s="38" t="n">
        <f aca="false">YEAR(Tabela1[[#This Row],[FECHA]])</f>
        <v>1900</v>
      </c>
      <c r="I53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90" customFormat="false" ht="15" hidden="false" customHeight="false" outlineLevel="0" collapsed="false">
      <c r="A5390" s="41"/>
      <c r="G5390" s="38" t="n">
        <f aca="false">MONTH(A5390)</f>
        <v>12</v>
      </c>
      <c r="H5390" s="38" t="n">
        <f aca="false">YEAR(Tabela1[[#This Row],[FECHA]])</f>
        <v>1900</v>
      </c>
      <c r="I53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91" customFormat="false" ht="15" hidden="false" customHeight="false" outlineLevel="0" collapsed="false">
      <c r="A5391" s="41"/>
      <c r="G5391" s="38" t="n">
        <f aca="false">MONTH(A5391)</f>
        <v>12</v>
      </c>
      <c r="H5391" s="38" t="n">
        <f aca="false">YEAR(Tabela1[[#This Row],[FECHA]])</f>
        <v>1900</v>
      </c>
      <c r="I53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92" customFormat="false" ht="15" hidden="false" customHeight="false" outlineLevel="0" collapsed="false">
      <c r="A5392" s="41"/>
      <c r="G5392" s="38" t="n">
        <f aca="false">MONTH(A5392)</f>
        <v>12</v>
      </c>
      <c r="H5392" s="38" t="n">
        <f aca="false">YEAR(Tabela1[[#This Row],[FECHA]])</f>
        <v>1900</v>
      </c>
      <c r="I53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93" customFormat="false" ht="15" hidden="false" customHeight="false" outlineLevel="0" collapsed="false">
      <c r="A5393" s="41"/>
      <c r="G5393" s="38" t="n">
        <f aca="false">MONTH(A5393)</f>
        <v>12</v>
      </c>
      <c r="H5393" s="38" t="n">
        <f aca="false">YEAR(Tabela1[[#This Row],[FECHA]])</f>
        <v>1900</v>
      </c>
      <c r="I53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94" customFormat="false" ht="15" hidden="false" customHeight="false" outlineLevel="0" collapsed="false">
      <c r="A5394" s="41"/>
      <c r="G5394" s="38" t="n">
        <f aca="false">MONTH(A5394)</f>
        <v>12</v>
      </c>
      <c r="H5394" s="38" t="n">
        <f aca="false">YEAR(Tabela1[[#This Row],[FECHA]])</f>
        <v>1900</v>
      </c>
      <c r="I53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95" customFormat="false" ht="15" hidden="false" customHeight="false" outlineLevel="0" collapsed="false">
      <c r="A5395" s="41"/>
      <c r="G5395" s="38" t="n">
        <f aca="false">MONTH(A5395)</f>
        <v>12</v>
      </c>
      <c r="H5395" s="38" t="n">
        <f aca="false">YEAR(Tabela1[[#This Row],[FECHA]])</f>
        <v>1900</v>
      </c>
      <c r="I53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96" customFormat="false" ht="15" hidden="false" customHeight="false" outlineLevel="0" collapsed="false">
      <c r="A5396" s="41"/>
      <c r="G5396" s="38" t="n">
        <f aca="false">MONTH(A5396)</f>
        <v>12</v>
      </c>
      <c r="H5396" s="38" t="n">
        <f aca="false">YEAR(Tabela1[[#This Row],[FECHA]])</f>
        <v>1900</v>
      </c>
      <c r="I53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97" customFormat="false" ht="15" hidden="false" customHeight="false" outlineLevel="0" collapsed="false">
      <c r="A5397" s="41"/>
      <c r="G5397" s="38" t="n">
        <f aca="false">MONTH(A5397)</f>
        <v>12</v>
      </c>
      <c r="H5397" s="38" t="n">
        <f aca="false">YEAR(Tabela1[[#This Row],[FECHA]])</f>
        <v>1900</v>
      </c>
      <c r="I53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98" customFormat="false" ht="15" hidden="false" customHeight="false" outlineLevel="0" collapsed="false">
      <c r="A5398" s="41"/>
      <c r="G5398" s="38" t="n">
        <f aca="false">MONTH(A5398)</f>
        <v>12</v>
      </c>
      <c r="H5398" s="38" t="n">
        <f aca="false">YEAR(Tabela1[[#This Row],[FECHA]])</f>
        <v>1900</v>
      </c>
      <c r="I53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399" customFormat="false" ht="15" hidden="false" customHeight="false" outlineLevel="0" collapsed="false">
      <c r="A5399" s="41"/>
      <c r="G5399" s="38" t="n">
        <f aca="false">MONTH(A5399)</f>
        <v>12</v>
      </c>
      <c r="H5399" s="38" t="n">
        <f aca="false">YEAR(Tabela1[[#This Row],[FECHA]])</f>
        <v>1900</v>
      </c>
      <c r="I53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00" customFormat="false" ht="15" hidden="false" customHeight="false" outlineLevel="0" collapsed="false">
      <c r="A5400" s="41"/>
      <c r="G5400" s="38" t="n">
        <f aca="false">MONTH(A5400)</f>
        <v>12</v>
      </c>
      <c r="H5400" s="38" t="n">
        <f aca="false">YEAR(Tabela1[[#This Row],[FECHA]])</f>
        <v>1900</v>
      </c>
      <c r="I54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01" customFormat="false" ht="15" hidden="false" customHeight="false" outlineLevel="0" collapsed="false">
      <c r="A5401" s="41"/>
      <c r="G5401" s="38" t="n">
        <f aca="false">MONTH(A5401)</f>
        <v>12</v>
      </c>
      <c r="H5401" s="38" t="n">
        <f aca="false">YEAR(Tabela1[[#This Row],[FECHA]])</f>
        <v>1900</v>
      </c>
      <c r="I54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02" customFormat="false" ht="15" hidden="false" customHeight="false" outlineLevel="0" collapsed="false">
      <c r="A5402" s="41"/>
      <c r="G5402" s="38" t="n">
        <f aca="false">MONTH(A5402)</f>
        <v>12</v>
      </c>
      <c r="H5402" s="38" t="n">
        <f aca="false">YEAR(Tabela1[[#This Row],[FECHA]])</f>
        <v>1900</v>
      </c>
      <c r="I54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03" customFormat="false" ht="15" hidden="false" customHeight="false" outlineLevel="0" collapsed="false">
      <c r="A5403" s="41"/>
      <c r="G5403" s="38" t="n">
        <f aca="false">MONTH(A5403)</f>
        <v>12</v>
      </c>
      <c r="H5403" s="38" t="n">
        <f aca="false">YEAR(Tabela1[[#This Row],[FECHA]])</f>
        <v>1900</v>
      </c>
      <c r="I54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04" customFormat="false" ht="15" hidden="false" customHeight="false" outlineLevel="0" collapsed="false">
      <c r="A5404" s="41"/>
      <c r="G5404" s="38" t="n">
        <f aca="false">MONTH(A5404)</f>
        <v>12</v>
      </c>
      <c r="H5404" s="38" t="n">
        <f aca="false">YEAR(Tabela1[[#This Row],[FECHA]])</f>
        <v>1900</v>
      </c>
      <c r="I54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05" customFormat="false" ht="15" hidden="false" customHeight="false" outlineLevel="0" collapsed="false">
      <c r="A5405" s="41"/>
      <c r="G5405" s="38" t="n">
        <f aca="false">MONTH(A5405)</f>
        <v>12</v>
      </c>
      <c r="H5405" s="38" t="n">
        <f aca="false">YEAR(Tabela1[[#This Row],[FECHA]])</f>
        <v>1900</v>
      </c>
      <c r="I54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06" customFormat="false" ht="15" hidden="false" customHeight="false" outlineLevel="0" collapsed="false">
      <c r="A5406" s="41"/>
      <c r="G5406" s="38" t="n">
        <f aca="false">MONTH(A5406)</f>
        <v>12</v>
      </c>
      <c r="H5406" s="38" t="n">
        <f aca="false">YEAR(Tabela1[[#This Row],[FECHA]])</f>
        <v>1900</v>
      </c>
      <c r="I54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07" customFormat="false" ht="15" hidden="false" customHeight="false" outlineLevel="0" collapsed="false">
      <c r="A5407" s="41"/>
      <c r="G5407" s="38" t="n">
        <f aca="false">MONTH(A5407)</f>
        <v>12</v>
      </c>
      <c r="H5407" s="38" t="n">
        <f aca="false">YEAR(Tabela1[[#This Row],[FECHA]])</f>
        <v>1900</v>
      </c>
      <c r="I54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08" customFormat="false" ht="15" hidden="false" customHeight="false" outlineLevel="0" collapsed="false">
      <c r="A5408" s="41"/>
      <c r="G5408" s="38" t="n">
        <f aca="false">MONTH(A5408)</f>
        <v>12</v>
      </c>
      <c r="H5408" s="38" t="n">
        <f aca="false">YEAR(Tabela1[[#This Row],[FECHA]])</f>
        <v>1900</v>
      </c>
      <c r="I54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09" customFormat="false" ht="15" hidden="false" customHeight="false" outlineLevel="0" collapsed="false">
      <c r="A5409" s="41"/>
      <c r="G5409" s="38" t="n">
        <f aca="false">MONTH(A5409)</f>
        <v>12</v>
      </c>
      <c r="H5409" s="38" t="n">
        <f aca="false">YEAR(Tabela1[[#This Row],[FECHA]])</f>
        <v>1900</v>
      </c>
      <c r="I54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10" customFormat="false" ht="15" hidden="false" customHeight="false" outlineLevel="0" collapsed="false">
      <c r="A5410" s="41"/>
      <c r="G5410" s="38" t="n">
        <f aca="false">MONTH(A5410)</f>
        <v>12</v>
      </c>
      <c r="H5410" s="38" t="n">
        <f aca="false">YEAR(Tabela1[[#This Row],[FECHA]])</f>
        <v>1900</v>
      </c>
      <c r="I54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11" customFormat="false" ht="15" hidden="false" customHeight="false" outlineLevel="0" collapsed="false">
      <c r="A5411" s="41"/>
      <c r="G5411" s="38" t="n">
        <f aca="false">MONTH(A5411)</f>
        <v>12</v>
      </c>
      <c r="H5411" s="38" t="n">
        <f aca="false">YEAR(Tabela1[[#This Row],[FECHA]])</f>
        <v>1900</v>
      </c>
      <c r="I54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12" customFormat="false" ht="15" hidden="false" customHeight="false" outlineLevel="0" collapsed="false">
      <c r="A5412" s="41"/>
      <c r="G5412" s="38" t="n">
        <f aca="false">MONTH(A5412)</f>
        <v>12</v>
      </c>
      <c r="H5412" s="38" t="n">
        <f aca="false">YEAR(Tabela1[[#This Row],[FECHA]])</f>
        <v>1900</v>
      </c>
      <c r="I54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13" customFormat="false" ht="15" hidden="false" customHeight="false" outlineLevel="0" collapsed="false">
      <c r="A5413" s="41"/>
      <c r="G5413" s="38" t="n">
        <f aca="false">MONTH(A5413)</f>
        <v>12</v>
      </c>
      <c r="H5413" s="38" t="n">
        <f aca="false">YEAR(Tabela1[[#This Row],[FECHA]])</f>
        <v>1900</v>
      </c>
      <c r="I54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14" customFormat="false" ht="15" hidden="false" customHeight="false" outlineLevel="0" collapsed="false">
      <c r="A5414" s="41"/>
      <c r="G5414" s="38" t="n">
        <f aca="false">MONTH(A5414)</f>
        <v>12</v>
      </c>
      <c r="H5414" s="38" t="n">
        <f aca="false">YEAR(Tabela1[[#This Row],[FECHA]])</f>
        <v>1900</v>
      </c>
      <c r="I54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15" customFormat="false" ht="15" hidden="false" customHeight="false" outlineLevel="0" collapsed="false">
      <c r="A5415" s="41"/>
      <c r="G5415" s="38" t="n">
        <f aca="false">MONTH(A5415)</f>
        <v>12</v>
      </c>
      <c r="H5415" s="38" t="n">
        <f aca="false">YEAR(Tabela1[[#This Row],[FECHA]])</f>
        <v>1900</v>
      </c>
      <c r="I54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16" customFormat="false" ht="15" hidden="false" customHeight="false" outlineLevel="0" collapsed="false">
      <c r="A5416" s="41"/>
      <c r="G5416" s="38" t="n">
        <f aca="false">MONTH(A5416)</f>
        <v>12</v>
      </c>
      <c r="H5416" s="38" t="n">
        <f aca="false">YEAR(Tabela1[[#This Row],[FECHA]])</f>
        <v>1900</v>
      </c>
      <c r="I54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17" customFormat="false" ht="15" hidden="false" customHeight="false" outlineLevel="0" collapsed="false">
      <c r="A5417" s="41"/>
      <c r="G5417" s="38" t="n">
        <f aca="false">MONTH(A5417)</f>
        <v>12</v>
      </c>
      <c r="H5417" s="38" t="n">
        <f aca="false">YEAR(Tabela1[[#This Row],[FECHA]])</f>
        <v>1900</v>
      </c>
      <c r="I54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18" customFormat="false" ht="15" hidden="false" customHeight="false" outlineLevel="0" collapsed="false">
      <c r="A5418" s="41"/>
      <c r="G5418" s="38" t="n">
        <f aca="false">MONTH(A5418)</f>
        <v>12</v>
      </c>
      <c r="H5418" s="38" t="n">
        <f aca="false">YEAR(Tabela1[[#This Row],[FECHA]])</f>
        <v>1900</v>
      </c>
      <c r="I54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19" customFormat="false" ht="15" hidden="false" customHeight="false" outlineLevel="0" collapsed="false">
      <c r="A5419" s="41"/>
      <c r="G5419" s="38" t="n">
        <f aca="false">MONTH(A5419)</f>
        <v>12</v>
      </c>
      <c r="H5419" s="38" t="n">
        <f aca="false">YEAR(Tabela1[[#This Row],[FECHA]])</f>
        <v>1900</v>
      </c>
      <c r="I54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20" customFormat="false" ht="15" hidden="false" customHeight="false" outlineLevel="0" collapsed="false">
      <c r="A5420" s="41"/>
      <c r="G5420" s="38" t="n">
        <f aca="false">MONTH(A5420)</f>
        <v>12</v>
      </c>
      <c r="H5420" s="38" t="n">
        <f aca="false">YEAR(Tabela1[[#This Row],[FECHA]])</f>
        <v>1900</v>
      </c>
      <c r="I54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21" customFormat="false" ht="15" hidden="false" customHeight="false" outlineLevel="0" collapsed="false">
      <c r="A5421" s="41"/>
      <c r="G5421" s="38" t="n">
        <f aca="false">MONTH(A5421)</f>
        <v>12</v>
      </c>
      <c r="H5421" s="38" t="n">
        <f aca="false">YEAR(Tabela1[[#This Row],[FECHA]])</f>
        <v>1900</v>
      </c>
      <c r="I54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22" customFormat="false" ht="15" hidden="false" customHeight="false" outlineLevel="0" collapsed="false">
      <c r="A5422" s="41"/>
      <c r="G5422" s="38" t="n">
        <f aca="false">MONTH(A5422)</f>
        <v>12</v>
      </c>
      <c r="H5422" s="38" t="n">
        <f aca="false">YEAR(Tabela1[[#This Row],[FECHA]])</f>
        <v>1900</v>
      </c>
      <c r="I54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23" customFormat="false" ht="15" hidden="false" customHeight="false" outlineLevel="0" collapsed="false">
      <c r="A5423" s="41"/>
      <c r="G5423" s="38" t="n">
        <f aca="false">MONTH(A5423)</f>
        <v>12</v>
      </c>
      <c r="H5423" s="38" t="n">
        <f aca="false">YEAR(Tabela1[[#This Row],[FECHA]])</f>
        <v>1900</v>
      </c>
      <c r="I54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24" customFormat="false" ht="15" hidden="false" customHeight="false" outlineLevel="0" collapsed="false">
      <c r="A5424" s="41"/>
      <c r="G5424" s="38" t="n">
        <f aca="false">MONTH(A5424)</f>
        <v>12</v>
      </c>
      <c r="H5424" s="38" t="n">
        <f aca="false">YEAR(Tabela1[[#This Row],[FECHA]])</f>
        <v>1900</v>
      </c>
      <c r="I54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25" customFormat="false" ht="15" hidden="false" customHeight="false" outlineLevel="0" collapsed="false">
      <c r="A5425" s="41"/>
      <c r="G5425" s="38" t="n">
        <f aca="false">MONTH(A5425)</f>
        <v>12</v>
      </c>
      <c r="H5425" s="38" t="n">
        <f aca="false">YEAR(Tabela1[[#This Row],[FECHA]])</f>
        <v>1900</v>
      </c>
      <c r="I54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26" customFormat="false" ht="15" hidden="false" customHeight="false" outlineLevel="0" collapsed="false">
      <c r="A5426" s="41"/>
      <c r="G5426" s="38" t="n">
        <f aca="false">MONTH(A5426)</f>
        <v>12</v>
      </c>
      <c r="H5426" s="38" t="n">
        <f aca="false">YEAR(Tabela1[[#This Row],[FECHA]])</f>
        <v>1900</v>
      </c>
      <c r="I54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27" customFormat="false" ht="15" hidden="false" customHeight="false" outlineLevel="0" collapsed="false">
      <c r="A5427" s="41"/>
      <c r="G5427" s="38" t="n">
        <f aca="false">MONTH(A5427)</f>
        <v>12</v>
      </c>
      <c r="H5427" s="38" t="n">
        <f aca="false">YEAR(Tabela1[[#This Row],[FECHA]])</f>
        <v>1900</v>
      </c>
      <c r="I54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28" customFormat="false" ht="15" hidden="false" customHeight="false" outlineLevel="0" collapsed="false">
      <c r="A5428" s="41"/>
      <c r="G5428" s="38" t="n">
        <f aca="false">MONTH(A5428)</f>
        <v>12</v>
      </c>
      <c r="H5428" s="38" t="n">
        <f aca="false">YEAR(Tabela1[[#This Row],[FECHA]])</f>
        <v>1900</v>
      </c>
      <c r="I54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29" customFormat="false" ht="15" hidden="false" customHeight="false" outlineLevel="0" collapsed="false">
      <c r="A5429" s="41"/>
      <c r="G5429" s="38" t="n">
        <f aca="false">MONTH(A5429)</f>
        <v>12</v>
      </c>
      <c r="H5429" s="38" t="n">
        <f aca="false">YEAR(Tabela1[[#This Row],[FECHA]])</f>
        <v>1900</v>
      </c>
      <c r="I54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30" customFormat="false" ht="15" hidden="false" customHeight="false" outlineLevel="0" collapsed="false">
      <c r="A5430" s="41"/>
      <c r="G5430" s="38" t="n">
        <f aca="false">MONTH(A5430)</f>
        <v>12</v>
      </c>
      <c r="H5430" s="38" t="n">
        <f aca="false">YEAR(Tabela1[[#This Row],[FECHA]])</f>
        <v>1900</v>
      </c>
      <c r="I54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31" customFormat="false" ht="15" hidden="false" customHeight="false" outlineLevel="0" collapsed="false">
      <c r="A5431" s="41"/>
      <c r="G5431" s="38" t="n">
        <f aca="false">MONTH(A5431)</f>
        <v>12</v>
      </c>
      <c r="H5431" s="38" t="n">
        <f aca="false">YEAR(Tabela1[[#This Row],[FECHA]])</f>
        <v>1900</v>
      </c>
      <c r="I54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32" customFormat="false" ht="15" hidden="false" customHeight="false" outlineLevel="0" collapsed="false">
      <c r="A5432" s="41"/>
      <c r="G5432" s="38" t="n">
        <f aca="false">MONTH(A5432)</f>
        <v>12</v>
      </c>
      <c r="H5432" s="38" t="n">
        <f aca="false">YEAR(Tabela1[[#This Row],[FECHA]])</f>
        <v>1900</v>
      </c>
      <c r="I54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33" customFormat="false" ht="15" hidden="false" customHeight="false" outlineLevel="0" collapsed="false">
      <c r="A5433" s="41"/>
      <c r="G5433" s="38" t="n">
        <f aca="false">MONTH(A5433)</f>
        <v>12</v>
      </c>
      <c r="H5433" s="38" t="n">
        <f aca="false">YEAR(Tabela1[[#This Row],[FECHA]])</f>
        <v>1900</v>
      </c>
      <c r="I54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34" customFormat="false" ht="15" hidden="false" customHeight="false" outlineLevel="0" collapsed="false">
      <c r="A5434" s="41"/>
      <c r="G5434" s="38" t="n">
        <f aca="false">MONTH(A5434)</f>
        <v>12</v>
      </c>
      <c r="H5434" s="38" t="n">
        <f aca="false">YEAR(Tabela1[[#This Row],[FECHA]])</f>
        <v>1900</v>
      </c>
      <c r="I54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35" customFormat="false" ht="15" hidden="false" customHeight="false" outlineLevel="0" collapsed="false">
      <c r="A5435" s="41"/>
      <c r="G5435" s="38" t="n">
        <f aca="false">MONTH(A5435)</f>
        <v>12</v>
      </c>
      <c r="H5435" s="38" t="n">
        <f aca="false">YEAR(Tabela1[[#This Row],[FECHA]])</f>
        <v>1900</v>
      </c>
      <c r="I54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36" customFormat="false" ht="15" hidden="false" customHeight="false" outlineLevel="0" collapsed="false">
      <c r="A5436" s="41"/>
      <c r="G5436" s="38" t="n">
        <f aca="false">MONTH(A5436)</f>
        <v>12</v>
      </c>
      <c r="H5436" s="38" t="n">
        <f aca="false">YEAR(Tabela1[[#This Row],[FECHA]])</f>
        <v>1900</v>
      </c>
      <c r="I54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37" customFormat="false" ht="15" hidden="false" customHeight="false" outlineLevel="0" collapsed="false">
      <c r="A5437" s="41"/>
      <c r="G5437" s="38" t="n">
        <f aca="false">MONTH(A5437)</f>
        <v>12</v>
      </c>
      <c r="H5437" s="38" t="n">
        <f aca="false">YEAR(Tabela1[[#This Row],[FECHA]])</f>
        <v>1900</v>
      </c>
      <c r="I54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38" customFormat="false" ht="15" hidden="false" customHeight="false" outlineLevel="0" collapsed="false">
      <c r="A5438" s="41"/>
      <c r="G5438" s="38" t="n">
        <f aca="false">MONTH(A5438)</f>
        <v>12</v>
      </c>
      <c r="H5438" s="38" t="n">
        <f aca="false">YEAR(Tabela1[[#This Row],[FECHA]])</f>
        <v>1900</v>
      </c>
      <c r="I54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39" customFormat="false" ht="15" hidden="false" customHeight="false" outlineLevel="0" collapsed="false">
      <c r="A5439" s="41"/>
      <c r="G5439" s="38" t="n">
        <f aca="false">MONTH(A5439)</f>
        <v>12</v>
      </c>
      <c r="H5439" s="38" t="n">
        <f aca="false">YEAR(Tabela1[[#This Row],[FECHA]])</f>
        <v>1900</v>
      </c>
      <c r="I54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40" customFormat="false" ht="15" hidden="false" customHeight="false" outlineLevel="0" collapsed="false">
      <c r="A5440" s="41"/>
      <c r="G5440" s="38" t="n">
        <f aca="false">MONTH(A5440)</f>
        <v>12</v>
      </c>
      <c r="H5440" s="38" t="n">
        <f aca="false">YEAR(Tabela1[[#This Row],[FECHA]])</f>
        <v>1900</v>
      </c>
      <c r="I54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41" customFormat="false" ht="15" hidden="false" customHeight="false" outlineLevel="0" collapsed="false">
      <c r="A5441" s="41"/>
      <c r="G5441" s="38" t="n">
        <f aca="false">MONTH(A5441)</f>
        <v>12</v>
      </c>
      <c r="H5441" s="38" t="n">
        <f aca="false">YEAR(Tabela1[[#This Row],[FECHA]])</f>
        <v>1900</v>
      </c>
      <c r="I54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42" customFormat="false" ht="15" hidden="false" customHeight="false" outlineLevel="0" collapsed="false">
      <c r="A5442" s="41"/>
      <c r="G5442" s="38" t="n">
        <f aca="false">MONTH(A5442)</f>
        <v>12</v>
      </c>
      <c r="H5442" s="38" t="n">
        <f aca="false">YEAR(Tabela1[[#This Row],[FECHA]])</f>
        <v>1900</v>
      </c>
      <c r="I54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43" customFormat="false" ht="15" hidden="false" customHeight="false" outlineLevel="0" collapsed="false">
      <c r="A5443" s="41"/>
      <c r="G5443" s="38" t="n">
        <f aca="false">MONTH(A5443)</f>
        <v>12</v>
      </c>
      <c r="H5443" s="38" t="n">
        <f aca="false">YEAR(Tabela1[[#This Row],[FECHA]])</f>
        <v>1900</v>
      </c>
      <c r="I54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44" customFormat="false" ht="15" hidden="false" customHeight="false" outlineLevel="0" collapsed="false">
      <c r="A5444" s="41"/>
      <c r="G5444" s="38" t="n">
        <f aca="false">MONTH(A5444)</f>
        <v>12</v>
      </c>
      <c r="H5444" s="38" t="n">
        <f aca="false">YEAR(Tabela1[[#This Row],[FECHA]])</f>
        <v>1900</v>
      </c>
      <c r="I54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45" customFormat="false" ht="15" hidden="false" customHeight="false" outlineLevel="0" collapsed="false">
      <c r="A5445" s="41"/>
      <c r="G5445" s="38" t="n">
        <f aca="false">MONTH(A5445)</f>
        <v>12</v>
      </c>
      <c r="H5445" s="38" t="n">
        <f aca="false">YEAR(Tabela1[[#This Row],[FECHA]])</f>
        <v>1900</v>
      </c>
      <c r="I54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46" customFormat="false" ht="15" hidden="false" customHeight="false" outlineLevel="0" collapsed="false">
      <c r="A5446" s="41"/>
      <c r="G5446" s="38" t="n">
        <f aca="false">MONTH(A5446)</f>
        <v>12</v>
      </c>
      <c r="H5446" s="38" t="n">
        <f aca="false">YEAR(Tabela1[[#This Row],[FECHA]])</f>
        <v>1900</v>
      </c>
      <c r="I54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47" customFormat="false" ht="15" hidden="false" customHeight="false" outlineLevel="0" collapsed="false">
      <c r="A5447" s="41"/>
      <c r="G5447" s="38" t="n">
        <f aca="false">MONTH(A5447)</f>
        <v>12</v>
      </c>
      <c r="H5447" s="38" t="n">
        <f aca="false">YEAR(Tabela1[[#This Row],[FECHA]])</f>
        <v>1900</v>
      </c>
      <c r="I54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48" customFormat="false" ht="15" hidden="false" customHeight="false" outlineLevel="0" collapsed="false">
      <c r="A5448" s="41"/>
      <c r="G5448" s="38" t="n">
        <f aca="false">MONTH(A5448)</f>
        <v>12</v>
      </c>
      <c r="H5448" s="38" t="n">
        <f aca="false">YEAR(Tabela1[[#This Row],[FECHA]])</f>
        <v>1900</v>
      </c>
      <c r="I54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49" customFormat="false" ht="15" hidden="false" customHeight="false" outlineLevel="0" collapsed="false">
      <c r="A5449" s="41"/>
      <c r="G5449" s="38" t="n">
        <f aca="false">MONTH(A5449)</f>
        <v>12</v>
      </c>
      <c r="H5449" s="38" t="n">
        <f aca="false">YEAR(Tabela1[[#This Row],[FECHA]])</f>
        <v>1900</v>
      </c>
      <c r="I54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50" customFormat="false" ht="15" hidden="false" customHeight="false" outlineLevel="0" collapsed="false">
      <c r="A5450" s="41"/>
      <c r="G5450" s="38" t="n">
        <f aca="false">MONTH(A5450)</f>
        <v>12</v>
      </c>
      <c r="H5450" s="38" t="n">
        <f aca="false">YEAR(Tabela1[[#This Row],[FECHA]])</f>
        <v>1900</v>
      </c>
      <c r="I54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51" customFormat="false" ht="15" hidden="false" customHeight="false" outlineLevel="0" collapsed="false">
      <c r="A5451" s="41"/>
      <c r="G5451" s="38" t="n">
        <f aca="false">MONTH(A5451)</f>
        <v>12</v>
      </c>
      <c r="H5451" s="38" t="n">
        <f aca="false">YEAR(Tabela1[[#This Row],[FECHA]])</f>
        <v>1900</v>
      </c>
      <c r="I54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52" customFormat="false" ht="15" hidden="false" customHeight="false" outlineLevel="0" collapsed="false">
      <c r="A5452" s="41"/>
      <c r="G5452" s="38" t="n">
        <f aca="false">MONTH(A5452)</f>
        <v>12</v>
      </c>
      <c r="H5452" s="38" t="n">
        <f aca="false">YEAR(Tabela1[[#This Row],[FECHA]])</f>
        <v>1900</v>
      </c>
      <c r="I54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53" customFormat="false" ht="15" hidden="false" customHeight="false" outlineLevel="0" collapsed="false">
      <c r="A5453" s="41"/>
      <c r="G5453" s="38" t="n">
        <f aca="false">MONTH(A5453)</f>
        <v>12</v>
      </c>
      <c r="H5453" s="38" t="n">
        <f aca="false">YEAR(Tabela1[[#This Row],[FECHA]])</f>
        <v>1900</v>
      </c>
      <c r="I54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54" customFormat="false" ht="15" hidden="false" customHeight="false" outlineLevel="0" collapsed="false">
      <c r="A5454" s="41"/>
      <c r="G5454" s="38" t="n">
        <f aca="false">MONTH(A5454)</f>
        <v>12</v>
      </c>
      <c r="H5454" s="38" t="n">
        <f aca="false">YEAR(Tabela1[[#This Row],[FECHA]])</f>
        <v>1900</v>
      </c>
      <c r="I54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55" customFormat="false" ht="15" hidden="false" customHeight="false" outlineLevel="0" collapsed="false">
      <c r="A5455" s="41"/>
      <c r="G5455" s="38" t="n">
        <f aca="false">MONTH(A5455)</f>
        <v>12</v>
      </c>
      <c r="H5455" s="38" t="n">
        <f aca="false">YEAR(Tabela1[[#This Row],[FECHA]])</f>
        <v>1900</v>
      </c>
      <c r="I54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56" customFormat="false" ht="15" hidden="false" customHeight="false" outlineLevel="0" collapsed="false">
      <c r="A5456" s="41"/>
      <c r="G5456" s="38" t="n">
        <f aca="false">MONTH(A5456)</f>
        <v>12</v>
      </c>
      <c r="H5456" s="38" t="n">
        <f aca="false">YEAR(Tabela1[[#This Row],[FECHA]])</f>
        <v>1900</v>
      </c>
      <c r="I54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57" customFormat="false" ht="15" hidden="false" customHeight="false" outlineLevel="0" collapsed="false">
      <c r="A5457" s="41"/>
      <c r="G5457" s="38" t="n">
        <f aca="false">MONTH(A5457)</f>
        <v>12</v>
      </c>
      <c r="H5457" s="38" t="n">
        <f aca="false">YEAR(Tabela1[[#This Row],[FECHA]])</f>
        <v>1900</v>
      </c>
      <c r="I54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58" customFormat="false" ht="15" hidden="false" customHeight="false" outlineLevel="0" collapsed="false">
      <c r="A5458" s="41"/>
      <c r="G5458" s="38" t="n">
        <f aca="false">MONTH(A5458)</f>
        <v>12</v>
      </c>
      <c r="H5458" s="38" t="n">
        <f aca="false">YEAR(Tabela1[[#This Row],[FECHA]])</f>
        <v>1900</v>
      </c>
      <c r="I54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59" customFormat="false" ht="15" hidden="false" customHeight="false" outlineLevel="0" collapsed="false">
      <c r="A5459" s="41"/>
      <c r="G5459" s="38" t="n">
        <f aca="false">MONTH(A5459)</f>
        <v>12</v>
      </c>
      <c r="H5459" s="38" t="n">
        <f aca="false">YEAR(Tabela1[[#This Row],[FECHA]])</f>
        <v>1900</v>
      </c>
      <c r="I54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60" customFormat="false" ht="15" hidden="false" customHeight="false" outlineLevel="0" collapsed="false">
      <c r="A5460" s="41"/>
      <c r="G5460" s="38" t="n">
        <f aca="false">MONTH(A5460)</f>
        <v>12</v>
      </c>
      <c r="H5460" s="38" t="n">
        <f aca="false">YEAR(Tabela1[[#This Row],[FECHA]])</f>
        <v>1900</v>
      </c>
      <c r="I54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61" customFormat="false" ht="15" hidden="false" customHeight="false" outlineLevel="0" collapsed="false">
      <c r="A5461" s="41"/>
      <c r="G5461" s="38" t="n">
        <f aca="false">MONTH(A5461)</f>
        <v>12</v>
      </c>
      <c r="H5461" s="38" t="n">
        <f aca="false">YEAR(Tabela1[[#This Row],[FECHA]])</f>
        <v>1900</v>
      </c>
      <c r="I54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62" customFormat="false" ht="15" hidden="false" customHeight="false" outlineLevel="0" collapsed="false">
      <c r="A5462" s="41"/>
      <c r="G5462" s="38" t="n">
        <f aca="false">MONTH(A5462)</f>
        <v>12</v>
      </c>
      <c r="H5462" s="38" t="n">
        <f aca="false">YEAR(Tabela1[[#This Row],[FECHA]])</f>
        <v>1900</v>
      </c>
      <c r="I54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63" customFormat="false" ht="15" hidden="false" customHeight="false" outlineLevel="0" collapsed="false">
      <c r="A5463" s="41"/>
      <c r="G5463" s="38" t="n">
        <f aca="false">MONTH(A5463)</f>
        <v>12</v>
      </c>
      <c r="H5463" s="38" t="n">
        <f aca="false">YEAR(Tabela1[[#This Row],[FECHA]])</f>
        <v>1900</v>
      </c>
      <c r="I54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64" customFormat="false" ht="15" hidden="false" customHeight="false" outlineLevel="0" collapsed="false">
      <c r="A5464" s="41"/>
      <c r="G5464" s="38" t="n">
        <f aca="false">MONTH(A5464)</f>
        <v>12</v>
      </c>
      <c r="H5464" s="38" t="n">
        <f aca="false">YEAR(Tabela1[[#This Row],[FECHA]])</f>
        <v>1900</v>
      </c>
      <c r="I54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65" customFormat="false" ht="15" hidden="false" customHeight="false" outlineLevel="0" collapsed="false">
      <c r="A5465" s="41"/>
      <c r="G5465" s="38" t="n">
        <f aca="false">MONTH(A5465)</f>
        <v>12</v>
      </c>
      <c r="H5465" s="38" t="n">
        <f aca="false">YEAR(Tabela1[[#This Row],[FECHA]])</f>
        <v>1900</v>
      </c>
      <c r="I54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66" customFormat="false" ht="15" hidden="false" customHeight="false" outlineLevel="0" collapsed="false">
      <c r="A5466" s="41"/>
      <c r="G5466" s="38" t="n">
        <f aca="false">MONTH(A5466)</f>
        <v>12</v>
      </c>
      <c r="H5466" s="38" t="n">
        <f aca="false">YEAR(Tabela1[[#This Row],[FECHA]])</f>
        <v>1900</v>
      </c>
      <c r="I54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67" customFormat="false" ht="15" hidden="false" customHeight="false" outlineLevel="0" collapsed="false">
      <c r="A5467" s="41"/>
      <c r="G5467" s="38" t="n">
        <f aca="false">MONTH(A5467)</f>
        <v>12</v>
      </c>
      <c r="H5467" s="38" t="n">
        <f aca="false">YEAR(Tabela1[[#This Row],[FECHA]])</f>
        <v>1900</v>
      </c>
      <c r="I54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68" customFormat="false" ht="15" hidden="false" customHeight="false" outlineLevel="0" collapsed="false">
      <c r="A5468" s="41"/>
      <c r="G5468" s="38" t="n">
        <f aca="false">MONTH(A5468)</f>
        <v>12</v>
      </c>
      <c r="H5468" s="38" t="n">
        <f aca="false">YEAR(Tabela1[[#This Row],[FECHA]])</f>
        <v>1900</v>
      </c>
      <c r="I54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69" customFormat="false" ht="15" hidden="false" customHeight="false" outlineLevel="0" collapsed="false">
      <c r="A5469" s="41"/>
      <c r="G5469" s="38" t="n">
        <f aca="false">MONTH(A5469)</f>
        <v>12</v>
      </c>
      <c r="H5469" s="38" t="n">
        <f aca="false">YEAR(Tabela1[[#This Row],[FECHA]])</f>
        <v>1900</v>
      </c>
      <c r="I54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70" customFormat="false" ht="15" hidden="false" customHeight="false" outlineLevel="0" collapsed="false">
      <c r="A5470" s="41"/>
      <c r="G5470" s="38" t="n">
        <f aca="false">MONTH(A5470)</f>
        <v>12</v>
      </c>
      <c r="H5470" s="38" t="n">
        <f aca="false">YEAR(Tabela1[[#This Row],[FECHA]])</f>
        <v>1900</v>
      </c>
      <c r="I54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71" customFormat="false" ht="15" hidden="false" customHeight="false" outlineLevel="0" collapsed="false">
      <c r="A5471" s="41"/>
      <c r="G5471" s="38" t="n">
        <f aca="false">MONTH(A5471)</f>
        <v>12</v>
      </c>
      <c r="H5471" s="38" t="n">
        <f aca="false">YEAR(Tabela1[[#This Row],[FECHA]])</f>
        <v>1900</v>
      </c>
      <c r="I54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72" customFormat="false" ht="15" hidden="false" customHeight="false" outlineLevel="0" collapsed="false">
      <c r="A5472" s="41"/>
      <c r="G5472" s="38" t="n">
        <f aca="false">MONTH(A5472)</f>
        <v>12</v>
      </c>
      <c r="H5472" s="38" t="n">
        <f aca="false">YEAR(Tabela1[[#This Row],[FECHA]])</f>
        <v>1900</v>
      </c>
      <c r="I54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73" customFormat="false" ht="15" hidden="false" customHeight="false" outlineLevel="0" collapsed="false">
      <c r="A5473" s="41"/>
      <c r="G5473" s="38" t="n">
        <f aca="false">MONTH(A5473)</f>
        <v>12</v>
      </c>
      <c r="H5473" s="38" t="n">
        <f aca="false">YEAR(Tabela1[[#This Row],[FECHA]])</f>
        <v>1900</v>
      </c>
      <c r="I54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74" customFormat="false" ht="15" hidden="false" customHeight="false" outlineLevel="0" collapsed="false">
      <c r="A5474" s="41"/>
      <c r="G5474" s="38" t="n">
        <f aca="false">MONTH(A5474)</f>
        <v>12</v>
      </c>
      <c r="H5474" s="38" t="n">
        <f aca="false">YEAR(Tabela1[[#This Row],[FECHA]])</f>
        <v>1900</v>
      </c>
      <c r="I54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75" customFormat="false" ht="15" hidden="false" customHeight="false" outlineLevel="0" collapsed="false">
      <c r="A5475" s="41"/>
      <c r="G5475" s="38" t="n">
        <f aca="false">MONTH(A5475)</f>
        <v>12</v>
      </c>
      <c r="H5475" s="38" t="n">
        <f aca="false">YEAR(Tabela1[[#This Row],[FECHA]])</f>
        <v>1900</v>
      </c>
      <c r="I54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76" customFormat="false" ht="15" hidden="false" customHeight="false" outlineLevel="0" collapsed="false">
      <c r="A5476" s="41"/>
      <c r="G5476" s="38" t="n">
        <f aca="false">MONTH(A5476)</f>
        <v>12</v>
      </c>
      <c r="H5476" s="38" t="n">
        <f aca="false">YEAR(Tabela1[[#This Row],[FECHA]])</f>
        <v>1900</v>
      </c>
      <c r="I54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77" customFormat="false" ht="15" hidden="false" customHeight="false" outlineLevel="0" collapsed="false">
      <c r="A5477" s="41"/>
      <c r="G5477" s="38" t="n">
        <f aca="false">MONTH(A5477)</f>
        <v>12</v>
      </c>
      <c r="H5477" s="38" t="n">
        <f aca="false">YEAR(Tabela1[[#This Row],[FECHA]])</f>
        <v>1900</v>
      </c>
      <c r="I54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78" customFormat="false" ht="15" hidden="false" customHeight="false" outlineLevel="0" collapsed="false">
      <c r="A5478" s="41"/>
      <c r="G5478" s="38" t="n">
        <f aca="false">MONTH(A5478)</f>
        <v>12</v>
      </c>
      <c r="H5478" s="38" t="n">
        <f aca="false">YEAR(Tabela1[[#This Row],[FECHA]])</f>
        <v>1900</v>
      </c>
      <c r="I54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79" customFormat="false" ht="15" hidden="false" customHeight="false" outlineLevel="0" collapsed="false">
      <c r="A5479" s="41"/>
      <c r="G5479" s="38" t="n">
        <f aca="false">MONTH(A5479)</f>
        <v>12</v>
      </c>
      <c r="H5479" s="38" t="n">
        <f aca="false">YEAR(Tabela1[[#This Row],[FECHA]])</f>
        <v>1900</v>
      </c>
      <c r="I54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80" customFormat="false" ht="15" hidden="false" customHeight="false" outlineLevel="0" collapsed="false">
      <c r="A5480" s="41"/>
      <c r="G5480" s="38" t="n">
        <f aca="false">MONTH(A5480)</f>
        <v>12</v>
      </c>
      <c r="H5480" s="38" t="n">
        <f aca="false">YEAR(Tabela1[[#This Row],[FECHA]])</f>
        <v>1900</v>
      </c>
      <c r="I54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81" customFormat="false" ht="15" hidden="false" customHeight="false" outlineLevel="0" collapsed="false">
      <c r="A5481" s="41"/>
      <c r="G5481" s="38" t="n">
        <f aca="false">MONTH(A5481)</f>
        <v>12</v>
      </c>
      <c r="H5481" s="38" t="n">
        <f aca="false">YEAR(Tabela1[[#This Row],[FECHA]])</f>
        <v>1900</v>
      </c>
      <c r="I54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82" customFormat="false" ht="15" hidden="false" customHeight="false" outlineLevel="0" collapsed="false">
      <c r="A5482" s="41"/>
      <c r="G5482" s="38" t="n">
        <f aca="false">MONTH(A5482)</f>
        <v>12</v>
      </c>
      <c r="H5482" s="38" t="n">
        <f aca="false">YEAR(Tabela1[[#This Row],[FECHA]])</f>
        <v>1900</v>
      </c>
      <c r="I54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83" customFormat="false" ht="15" hidden="false" customHeight="false" outlineLevel="0" collapsed="false">
      <c r="A5483" s="41"/>
      <c r="G5483" s="38" t="n">
        <f aca="false">MONTH(A5483)</f>
        <v>12</v>
      </c>
      <c r="H5483" s="38" t="n">
        <f aca="false">YEAR(Tabela1[[#This Row],[FECHA]])</f>
        <v>1900</v>
      </c>
      <c r="I54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84" customFormat="false" ht="15" hidden="false" customHeight="false" outlineLevel="0" collapsed="false">
      <c r="A5484" s="41"/>
      <c r="G5484" s="38" t="n">
        <f aca="false">MONTH(A5484)</f>
        <v>12</v>
      </c>
      <c r="H5484" s="38" t="n">
        <f aca="false">YEAR(Tabela1[[#This Row],[FECHA]])</f>
        <v>1900</v>
      </c>
      <c r="I54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85" customFormat="false" ht="15" hidden="false" customHeight="false" outlineLevel="0" collapsed="false">
      <c r="A5485" s="41"/>
      <c r="G5485" s="38" t="n">
        <f aca="false">MONTH(A5485)</f>
        <v>12</v>
      </c>
      <c r="H5485" s="38" t="n">
        <f aca="false">YEAR(Tabela1[[#This Row],[FECHA]])</f>
        <v>1900</v>
      </c>
      <c r="I54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86" customFormat="false" ht="15" hidden="false" customHeight="false" outlineLevel="0" collapsed="false">
      <c r="A5486" s="41"/>
      <c r="G5486" s="38" t="n">
        <f aca="false">MONTH(A5486)</f>
        <v>12</v>
      </c>
      <c r="H5486" s="38" t="n">
        <f aca="false">YEAR(Tabela1[[#This Row],[FECHA]])</f>
        <v>1900</v>
      </c>
      <c r="I54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87" customFormat="false" ht="15" hidden="false" customHeight="false" outlineLevel="0" collapsed="false">
      <c r="A5487" s="41"/>
      <c r="G5487" s="38" t="n">
        <f aca="false">MONTH(A5487)</f>
        <v>12</v>
      </c>
      <c r="H5487" s="38" t="n">
        <f aca="false">YEAR(Tabela1[[#This Row],[FECHA]])</f>
        <v>1900</v>
      </c>
      <c r="I54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88" customFormat="false" ht="15" hidden="false" customHeight="false" outlineLevel="0" collapsed="false">
      <c r="A5488" s="41"/>
      <c r="G5488" s="38" t="n">
        <f aca="false">MONTH(A5488)</f>
        <v>12</v>
      </c>
      <c r="H5488" s="38" t="n">
        <f aca="false">YEAR(Tabela1[[#This Row],[FECHA]])</f>
        <v>1900</v>
      </c>
      <c r="I54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89" customFormat="false" ht="15" hidden="false" customHeight="false" outlineLevel="0" collapsed="false">
      <c r="A5489" s="41"/>
      <c r="G5489" s="38" t="n">
        <f aca="false">MONTH(A5489)</f>
        <v>12</v>
      </c>
      <c r="H5489" s="38" t="n">
        <f aca="false">YEAR(Tabela1[[#This Row],[FECHA]])</f>
        <v>1900</v>
      </c>
      <c r="I54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90" customFormat="false" ht="15" hidden="false" customHeight="false" outlineLevel="0" collapsed="false">
      <c r="A5490" s="41"/>
      <c r="G5490" s="38" t="n">
        <f aca="false">MONTH(A5490)</f>
        <v>12</v>
      </c>
      <c r="H5490" s="38" t="n">
        <f aca="false">YEAR(Tabela1[[#This Row],[FECHA]])</f>
        <v>1900</v>
      </c>
      <c r="I54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91" customFormat="false" ht="15" hidden="false" customHeight="false" outlineLevel="0" collapsed="false">
      <c r="A5491" s="41"/>
      <c r="G5491" s="38" t="n">
        <f aca="false">MONTH(A5491)</f>
        <v>12</v>
      </c>
      <c r="H5491" s="38" t="n">
        <f aca="false">YEAR(Tabela1[[#This Row],[FECHA]])</f>
        <v>1900</v>
      </c>
      <c r="I54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92" customFormat="false" ht="15" hidden="false" customHeight="false" outlineLevel="0" collapsed="false">
      <c r="A5492" s="41"/>
      <c r="G5492" s="38" t="n">
        <f aca="false">MONTH(A5492)</f>
        <v>12</v>
      </c>
      <c r="H5492" s="38" t="n">
        <f aca="false">YEAR(Tabela1[[#This Row],[FECHA]])</f>
        <v>1900</v>
      </c>
      <c r="I54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93" customFormat="false" ht="15" hidden="false" customHeight="false" outlineLevel="0" collapsed="false">
      <c r="A5493" s="41"/>
      <c r="G5493" s="38" t="n">
        <f aca="false">MONTH(A5493)</f>
        <v>12</v>
      </c>
      <c r="H5493" s="38" t="n">
        <f aca="false">YEAR(Tabela1[[#This Row],[FECHA]])</f>
        <v>1900</v>
      </c>
      <c r="I54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94" customFormat="false" ht="15" hidden="false" customHeight="false" outlineLevel="0" collapsed="false">
      <c r="A5494" s="41"/>
      <c r="G5494" s="38" t="n">
        <f aca="false">MONTH(A5494)</f>
        <v>12</v>
      </c>
      <c r="H5494" s="38" t="n">
        <f aca="false">YEAR(Tabela1[[#This Row],[FECHA]])</f>
        <v>1900</v>
      </c>
      <c r="I54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95" customFormat="false" ht="15" hidden="false" customHeight="false" outlineLevel="0" collapsed="false">
      <c r="A5495" s="41"/>
      <c r="G5495" s="38" t="n">
        <f aca="false">MONTH(A5495)</f>
        <v>12</v>
      </c>
      <c r="H5495" s="38" t="n">
        <f aca="false">YEAR(Tabela1[[#This Row],[FECHA]])</f>
        <v>1900</v>
      </c>
      <c r="I54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96" customFormat="false" ht="15" hidden="false" customHeight="false" outlineLevel="0" collapsed="false">
      <c r="A5496" s="41"/>
      <c r="G5496" s="38" t="n">
        <f aca="false">MONTH(A5496)</f>
        <v>12</v>
      </c>
      <c r="H5496" s="38" t="n">
        <f aca="false">YEAR(Tabela1[[#This Row],[FECHA]])</f>
        <v>1900</v>
      </c>
      <c r="I54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97" customFormat="false" ht="15" hidden="false" customHeight="false" outlineLevel="0" collapsed="false">
      <c r="A5497" s="41"/>
      <c r="G5497" s="38" t="n">
        <f aca="false">MONTH(A5497)</f>
        <v>12</v>
      </c>
      <c r="H5497" s="38" t="n">
        <f aca="false">YEAR(Tabela1[[#This Row],[FECHA]])</f>
        <v>1900</v>
      </c>
      <c r="I54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98" customFormat="false" ht="15" hidden="false" customHeight="false" outlineLevel="0" collapsed="false">
      <c r="A5498" s="41"/>
      <c r="G5498" s="38" t="n">
        <f aca="false">MONTH(A5498)</f>
        <v>12</v>
      </c>
      <c r="H5498" s="38" t="n">
        <f aca="false">YEAR(Tabela1[[#This Row],[FECHA]])</f>
        <v>1900</v>
      </c>
      <c r="I54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499" customFormat="false" ht="15" hidden="false" customHeight="false" outlineLevel="0" collapsed="false">
      <c r="A5499" s="41"/>
      <c r="G5499" s="38" t="n">
        <f aca="false">MONTH(A5499)</f>
        <v>12</v>
      </c>
      <c r="H5499" s="38" t="n">
        <f aca="false">YEAR(Tabela1[[#This Row],[FECHA]])</f>
        <v>1900</v>
      </c>
      <c r="I54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00" customFormat="false" ht="15" hidden="false" customHeight="false" outlineLevel="0" collapsed="false">
      <c r="A5500" s="41"/>
      <c r="G5500" s="38" t="n">
        <f aca="false">MONTH(A5500)</f>
        <v>12</v>
      </c>
      <c r="H5500" s="38" t="n">
        <f aca="false">YEAR(Tabela1[[#This Row],[FECHA]])</f>
        <v>1900</v>
      </c>
      <c r="I55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01" customFormat="false" ht="15" hidden="false" customHeight="false" outlineLevel="0" collapsed="false">
      <c r="A5501" s="41"/>
      <c r="G5501" s="38" t="n">
        <f aca="false">MONTH(A5501)</f>
        <v>12</v>
      </c>
      <c r="H5501" s="38" t="n">
        <f aca="false">YEAR(Tabela1[[#This Row],[FECHA]])</f>
        <v>1900</v>
      </c>
      <c r="I55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02" customFormat="false" ht="15" hidden="false" customHeight="false" outlineLevel="0" collapsed="false">
      <c r="A5502" s="41"/>
      <c r="G5502" s="38" t="n">
        <f aca="false">MONTH(A5502)</f>
        <v>12</v>
      </c>
      <c r="H5502" s="38" t="n">
        <f aca="false">YEAR(Tabela1[[#This Row],[FECHA]])</f>
        <v>1900</v>
      </c>
      <c r="I55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03" customFormat="false" ht="15" hidden="false" customHeight="false" outlineLevel="0" collapsed="false">
      <c r="A5503" s="41"/>
      <c r="G5503" s="38" t="n">
        <f aca="false">MONTH(A5503)</f>
        <v>12</v>
      </c>
      <c r="H5503" s="38" t="n">
        <f aca="false">YEAR(Tabela1[[#This Row],[FECHA]])</f>
        <v>1900</v>
      </c>
      <c r="I55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04" customFormat="false" ht="15" hidden="false" customHeight="false" outlineLevel="0" collapsed="false">
      <c r="A5504" s="41"/>
      <c r="G5504" s="38" t="n">
        <f aca="false">MONTH(A5504)</f>
        <v>12</v>
      </c>
      <c r="H5504" s="38" t="n">
        <f aca="false">YEAR(Tabela1[[#This Row],[FECHA]])</f>
        <v>1900</v>
      </c>
      <c r="I55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05" customFormat="false" ht="15" hidden="false" customHeight="false" outlineLevel="0" collapsed="false">
      <c r="A5505" s="41"/>
      <c r="G5505" s="38" t="n">
        <f aca="false">MONTH(A5505)</f>
        <v>12</v>
      </c>
      <c r="H5505" s="38" t="n">
        <f aca="false">YEAR(Tabela1[[#This Row],[FECHA]])</f>
        <v>1900</v>
      </c>
      <c r="I55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06" customFormat="false" ht="15" hidden="false" customHeight="false" outlineLevel="0" collapsed="false">
      <c r="A5506" s="41"/>
      <c r="G5506" s="38" t="n">
        <f aca="false">MONTH(A5506)</f>
        <v>12</v>
      </c>
      <c r="H5506" s="38" t="n">
        <f aca="false">YEAR(Tabela1[[#This Row],[FECHA]])</f>
        <v>1900</v>
      </c>
      <c r="I55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07" customFormat="false" ht="15" hidden="false" customHeight="false" outlineLevel="0" collapsed="false">
      <c r="A5507" s="41"/>
      <c r="G5507" s="38" t="n">
        <f aca="false">MONTH(A5507)</f>
        <v>12</v>
      </c>
      <c r="H5507" s="38" t="n">
        <f aca="false">YEAR(Tabela1[[#This Row],[FECHA]])</f>
        <v>1900</v>
      </c>
      <c r="I55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08" customFormat="false" ht="15" hidden="false" customHeight="false" outlineLevel="0" collapsed="false">
      <c r="A5508" s="41"/>
      <c r="G5508" s="38" t="n">
        <f aca="false">MONTH(A5508)</f>
        <v>12</v>
      </c>
      <c r="H5508" s="38" t="n">
        <f aca="false">YEAR(Tabela1[[#This Row],[FECHA]])</f>
        <v>1900</v>
      </c>
      <c r="I55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09" customFormat="false" ht="15" hidden="false" customHeight="false" outlineLevel="0" collapsed="false">
      <c r="A5509" s="41"/>
      <c r="G5509" s="38" t="n">
        <f aca="false">MONTH(A5509)</f>
        <v>12</v>
      </c>
      <c r="H5509" s="38" t="n">
        <f aca="false">YEAR(Tabela1[[#This Row],[FECHA]])</f>
        <v>1900</v>
      </c>
      <c r="I55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10" customFormat="false" ht="15" hidden="false" customHeight="false" outlineLevel="0" collapsed="false">
      <c r="A5510" s="41"/>
      <c r="G5510" s="38" t="n">
        <f aca="false">MONTH(A5510)</f>
        <v>12</v>
      </c>
      <c r="H5510" s="38" t="n">
        <f aca="false">YEAR(Tabela1[[#This Row],[FECHA]])</f>
        <v>1900</v>
      </c>
      <c r="I55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11" customFormat="false" ht="15" hidden="false" customHeight="false" outlineLevel="0" collapsed="false">
      <c r="A5511" s="41"/>
      <c r="G5511" s="38" t="n">
        <f aca="false">MONTH(A5511)</f>
        <v>12</v>
      </c>
      <c r="H5511" s="38" t="n">
        <f aca="false">YEAR(Tabela1[[#This Row],[FECHA]])</f>
        <v>1900</v>
      </c>
      <c r="I55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12" customFormat="false" ht="15" hidden="false" customHeight="false" outlineLevel="0" collapsed="false">
      <c r="A5512" s="41"/>
      <c r="G5512" s="38" t="n">
        <f aca="false">MONTH(A5512)</f>
        <v>12</v>
      </c>
      <c r="H5512" s="38" t="n">
        <f aca="false">YEAR(Tabela1[[#This Row],[FECHA]])</f>
        <v>1900</v>
      </c>
      <c r="I55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13" customFormat="false" ht="15" hidden="false" customHeight="false" outlineLevel="0" collapsed="false">
      <c r="A5513" s="41"/>
      <c r="G5513" s="38" t="n">
        <f aca="false">MONTH(A5513)</f>
        <v>12</v>
      </c>
      <c r="H5513" s="38" t="n">
        <f aca="false">YEAR(Tabela1[[#This Row],[FECHA]])</f>
        <v>1900</v>
      </c>
      <c r="I55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14" customFormat="false" ht="15" hidden="false" customHeight="false" outlineLevel="0" collapsed="false">
      <c r="A5514" s="41"/>
      <c r="G5514" s="38" t="n">
        <f aca="false">MONTH(A5514)</f>
        <v>12</v>
      </c>
      <c r="H5514" s="38" t="n">
        <f aca="false">YEAR(Tabela1[[#This Row],[FECHA]])</f>
        <v>1900</v>
      </c>
      <c r="I55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15" customFormat="false" ht="15" hidden="false" customHeight="false" outlineLevel="0" collapsed="false">
      <c r="A5515" s="41"/>
      <c r="G5515" s="38" t="n">
        <f aca="false">MONTH(A5515)</f>
        <v>12</v>
      </c>
      <c r="H5515" s="38" t="n">
        <f aca="false">YEAR(Tabela1[[#This Row],[FECHA]])</f>
        <v>1900</v>
      </c>
      <c r="I55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16" customFormat="false" ht="15" hidden="false" customHeight="false" outlineLevel="0" collapsed="false">
      <c r="A5516" s="41"/>
      <c r="G5516" s="38" t="n">
        <f aca="false">MONTH(A5516)</f>
        <v>12</v>
      </c>
      <c r="H5516" s="38" t="n">
        <f aca="false">YEAR(Tabela1[[#This Row],[FECHA]])</f>
        <v>1900</v>
      </c>
      <c r="I55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17" customFormat="false" ht="15" hidden="false" customHeight="false" outlineLevel="0" collapsed="false">
      <c r="A5517" s="41"/>
      <c r="G5517" s="38" t="n">
        <f aca="false">MONTH(A5517)</f>
        <v>12</v>
      </c>
      <c r="H5517" s="38" t="n">
        <f aca="false">YEAR(Tabela1[[#This Row],[FECHA]])</f>
        <v>1900</v>
      </c>
      <c r="I55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18" customFormat="false" ht="15" hidden="false" customHeight="false" outlineLevel="0" collapsed="false">
      <c r="A5518" s="41"/>
      <c r="G5518" s="38" t="n">
        <f aca="false">MONTH(A5518)</f>
        <v>12</v>
      </c>
      <c r="H5518" s="38" t="n">
        <f aca="false">YEAR(Tabela1[[#This Row],[FECHA]])</f>
        <v>1900</v>
      </c>
      <c r="I55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19" customFormat="false" ht="15" hidden="false" customHeight="false" outlineLevel="0" collapsed="false">
      <c r="A5519" s="41"/>
      <c r="G5519" s="38" t="n">
        <f aca="false">MONTH(A5519)</f>
        <v>12</v>
      </c>
      <c r="H5519" s="38" t="n">
        <f aca="false">YEAR(Tabela1[[#This Row],[FECHA]])</f>
        <v>1900</v>
      </c>
      <c r="I55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20" customFormat="false" ht="15" hidden="false" customHeight="false" outlineLevel="0" collapsed="false">
      <c r="A5520" s="41"/>
      <c r="G5520" s="38" t="n">
        <f aca="false">MONTH(A5520)</f>
        <v>12</v>
      </c>
      <c r="H5520" s="38" t="n">
        <f aca="false">YEAR(Tabela1[[#This Row],[FECHA]])</f>
        <v>1900</v>
      </c>
      <c r="I55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21" customFormat="false" ht="15" hidden="false" customHeight="false" outlineLevel="0" collapsed="false">
      <c r="A5521" s="41"/>
      <c r="G5521" s="38" t="n">
        <f aca="false">MONTH(A5521)</f>
        <v>12</v>
      </c>
      <c r="H5521" s="38" t="n">
        <f aca="false">YEAR(Tabela1[[#This Row],[FECHA]])</f>
        <v>1900</v>
      </c>
      <c r="I55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22" customFormat="false" ht="15" hidden="false" customHeight="false" outlineLevel="0" collapsed="false">
      <c r="A5522" s="41"/>
      <c r="G5522" s="38" t="n">
        <f aca="false">MONTH(A5522)</f>
        <v>12</v>
      </c>
      <c r="H5522" s="38" t="n">
        <f aca="false">YEAR(Tabela1[[#This Row],[FECHA]])</f>
        <v>1900</v>
      </c>
      <c r="I55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23" customFormat="false" ht="15" hidden="false" customHeight="false" outlineLevel="0" collapsed="false">
      <c r="A5523" s="41"/>
      <c r="G5523" s="38" t="n">
        <f aca="false">MONTH(A5523)</f>
        <v>12</v>
      </c>
      <c r="H5523" s="38" t="n">
        <f aca="false">YEAR(Tabela1[[#This Row],[FECHA]])</f>
        <v>1900</v>
      </c>
      <c r="I55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24" customFormat="false" ht="15" hidden="false" customHeight="false" outlineLevel="0" collapsed="false">
      <c r="A5524" s="41"/>
      <c r="G5524" s="38" t="n">
        <f aca="false">MONTH(A5524)</f>
        <v>12</v>
      </c>
      <c r="H5524" s="38" t="n">
        <f aca="false">YEAR(Tabela1[[#This Row],[FECHA]])</f>
        <v>1900</v>
      </c>
      <c r="I55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25" customFormat="false" ht="15" hidden="false" customHeight="false" outlineLevel="0" collapsed="false">
      <c r="A5525" s="41"/>
      <c r="G5525" s="38" t="n">
        <f aca="false">MONTH(A5525)</f>
        <v>12</v>
      </c>
      <c r="H5525" s="38" t="n">
        <f aca="false">YEAR(Tabela1[[#This Row],[FECHA]])</f>
        <v>1900</v>
      </c>
      <c r="I55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26" customFormat="false" ht="15" hidden="false" customHeight="false" outlineLevel="0" collapsed="false">
      <c r="A5526" s="41"/>
      <c r="G5526" s="38" t="n">
        <f aca="false">MONTH(A5526)</f>
        <v>12</v>
      </c>
      <c r="H5526" s="38" t="n">
        <f aca="false">YEAR(Tabela1[[#This Row],[FECHA]])</f>
        <v>1900</v>
      </c>
      <c r="I55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27" customFormat="false" ht="15" hidden="false" customHeight="false" outlineLevel="0" collapsed="false">
      <c r="A5527" s="41"/>
      <c r="G5527" s="38" t="n">
        <f aca="false">MONTH(A5527)</f>
        <v>12</v>
      </c>
      <c r="H5527" s="38" t="n">
        <f aca="false">YEAR(Tabela1[[#This Row],[FECHA]])</f>
        <v>1900</v>
      </c>
      <c r="I55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28" customFormat="false" ht="15" hidden="false" customHeight="false" outlineLevel="0" collapsed="false">
      <c r="A5528" s="41"/>
      <c r="G5528" s="38" t="n">
        <f aca="false">MONTH(A5528)</f>
        <v>12</v>
      </c>
      <c r="H5528" s="38" t="n">
        <f aca="false">YEAR(Tabela1[[#This Row],[FECHA]])</f>
        <v>1900</v>
      </c>
      <c r="I55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29" customFormat="false" ht="15" hidden="false" customHeight="false" outlineLevel="0" collapsed="false">
      <c r="A5529" s="41"/>
      <c r="G5529" s="38" t="n">
        <f aca="false">MONTH(A5529)</f>
        <v>12</v>
      </c>
      <c r="H5529" s="38" t="n">
        <f aca="false">YEAR(Tabela1[[#This Row],[FECHA]])</f>
        <v>1900</v>
      </c>
      <c r="I55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30" customFormat="false" ht="15" hidden="false" customHeight="false" outlineLevel="0" collapsed="false">
      <c r="A5530" s="41"/>
      <c r="G5530" s="38" t="n">
        <f aca="false">MONTH(A5530)</f>
        <v>12</v>
      </c>
      <c r="H5530" s="38" t="n">
        <f aca="false">YEAR(Tabela1[[#This Row],[FECHA]])</f>
        <v>1900</v>
      </c>
      <c r="I55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31" customFormat="false" ht="15" hidden="false" customHeight="false" outlineLevel="0" collapsed="false">
      <c r="A5531" s="41"/>
      <c r="G5531" s="38" t="n">
        <f aca="false">MONTH(A5531)</f>
        <v>12</v>
      </c>
      <c r="H5531" s="38" t="n">
        <f aca="false">YEAR(Tabela1[[#This Row],[FECHA]])</f>
        <v>1900</v>
      </c>
      <c r="I55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32" customFormat="false" ht="15" hidden="false" customHeight="false" outlineLevel="0" collapsed="false">
      <c r="A5532" s="41"/>
      <c r="G5532" s="38" t="n">
        <f aca="false">MONTH(A5532)</f>
        <v>12</v>
      </c>
      <c r="H5532" s="38" t="n">
        <f aca="false">YEAR(Tabela1[[#This Row],[FECHA]])</f>
        <v>1900</v>
      </c>
      <c r="I55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33" customFormat="false" ht="15" hidden="false" customHeight="false" outlineLevel="0" collapsed="false">
      <c r="A5533" s="41"/>
      <c r="G5533" s="38" t="n">
        <f aca="false">MONTH(A5533)</f>
        <v>12</v>
      </c>
      <c r="H5533" s="38" t="n">
        <f aca="false">YEAR(Tabela1[[#This Row],[FECHA]])</f>
        <v>1900</v>
      </c>
      <c r="I55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34" customFormat="false" ht="15" hidden="false" customHeight="false" outlineLevel="0" collapsed="false">
      <c r="A5534" s="41"/>
      <c r="G5534" s="38" t="n">
        <f aca="false">MONTH(A5534)</f>
        <v>12</v>
      </c>
      <c r="H5534" s="38" t="n">
        <f aca="false">YEAR(Tabela1[[#This Row],[FECHA]])</f>
        <v>1900</v>
      </c>
      <c r="I55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35" customFormat="false" ht="15" hidden="false" customHeight="false" outlineLevel="0" collapsed="false">
      <c r="A5535" s="41"/>
      <c r="G5535" s="38" t="n">
        <f aca="false">MONTH(A5535)</f>
        <v>12</v>
      </c>
      <c r="H5535" s="38" t="n">
        <f aca="false">YEAR(Tabela1[[#This Row],[FECHA]])</f>
        <v>1900</v>
      </c>
      <c r="I55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36" customFormat="false" ht="15" hidden="false" customHeight="false" outlineLevel="0" collapsed="false">
      <c r="A5536" s="41"/>
      <c r="G5536" s="38" t="n">
        <f aca="false">MONTH(A5536)</f>
        <v>12</v>
      </c>
      <c r="H5536" s="38" t="n">
        <f aca="false">YEAR(Tabela1[[#This Row],[FECHA]])</f>
        <v>1900</v>
      </c>
      <c r="I55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37" customFormat="false" ht="15" hidden="false" customHeight="false" outlineLevel="0" collapsed="false">
      <c r="A5537" s="41"/>
      <c r="G5537" s="38" t="n">
        <f aca="false">MONTH(A5537)</f>
        <v>12</v>
      </c>
      <c r="H5537" s="38" t="n">
        <f aca="false">YEAR(Tabela1[[#This Row],[FECHA]])</f>
        <v>1900</v>
      </c>
      <c r="I55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38" customFormat="false" ht="15" hidden="false" customHeight="false" outlineLevel="0" collapsed="false">
      <c r="A5538" s="41"/>
      <c r="G5538" s="38" t="n">
        <f aca="false">MONTH(A5538)</f>
        <v>12</v>
      </c>
      <c r="H5538" s="38" t="n">
        <f aca="false">YEAR(Tabela1[[#This Row],[FECHA]])</f>
        <v>1900</v>
      </c>
      <c r="I55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39" customFormat="false" ht="15" hidden="false" customHeight="false" outlineLevel="0" collapsed="false">
      <c r="A5539" s="41"/>
      <c r="G5539" s="38" t="n">
        <f aca="false">MONTH(A5539)</f>
        <v>12</v>
      </c>
      <c r="H5539" s="38" t="n">
        <f aca="false">YEAR(Tabela1[[#This Row],[FECHA]])</f>
        <v>1900</v>
      </c>
      <c r="I55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40" customFormat="false" ht="15" hidden="false" customHeight="false" outlineLevel="0" collapsed="false">
      <c r="A5540" s="41"/>
      <c r="G5540" s="38" t="n">
        <f aca="false">MONTH(A5540)</f>
        <v>12</v>
      </c>
      <c r="H5540" s="38" t="n">
        <f aca="false">YEAR(Tabela1[[#This Row],[FECHA]])</f>
        <v>1900</v>
      </c>
      <c r="I55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41" customFormat="false" ht="15" hidden="false" customHeight="false" outlineLevel="0" collapsed="false">
      <c r="A5541" s="41"/>
      <c r="G5541" s="38" t="n">
        <f aca="false">MONTH(A5541)</f>
        <v>12</v>
      </c>
      <c r="H5541" s="38" t="n">
        <f aca="false">YEAR(Tabela1[[#This Row],[FECHA]])</f>
        <v>1900</v>
      </c>
      <c r="I55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42" customFormat="false" ht="15" hidden="false" customHeight="false" outlineLevel="0" collapsed="false">
      <c r="A5542" s="41"/>
      <c r="G5542" s="38" t="n">
        <f aca="false">MONTH(A5542)</f>
        <v>12</v>
      </c>
      <c r="H5542" s="38" t="n">
        <f aca="false">YEAR(Tabela1[[#This Row],[FECHA]])</f>
        <v>1900</v>
      </c>
      <c r="I55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43" customFormat="false" ht="15" hidden="false" customHeight="false" outlineLevel="0" collapsed="false">
      <c r="A5543" s="41"/>
      <c r="G5543" s="38" t="n">
        <f aca="false">MONTH(A5543)</f>
        <v>12</v>
      </c>
      <c r="H5543" s="38" t="n">
        <f aca="false">YEAR(Tabela1[[#This Row],[FECHA]])</f>
        <v>1900</v>
      </c>
      <c r="I55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44" customFormat="false" ht="15" hidden="false" customHeight="false" outlineLevel="0" collapsed="false">
      <c r="A5544" s="41"/>
      <c r="G5544" s="38" t="n">
        <f aca="false">MONTH(A5544)</f>
        <v>12</v>
      </c>
      <c r="H5544" s="38" t="n">
        <f aca="false">YEAR(Tabela1[[#This Row],[FECHA]])</f>
        <v>1900</v>
      </c>
      <c r="I55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45" customFormat="false" ht="15" hidden="false" customHeight="false" outlineLevel="0" collapsed="false">
      <c r="A5545" s="41"/>
      <c r="G5545" s="38" t="n">
        <f aca="false">MONTH(A5545)</f>
        <v>12</v>
      </c>
      <c r="H5545" s="38" t="n">
        <f aca="false">YEAR(Tabela1[[#This Row],[FECHA]])</f>
        <v>1900</v>
      </c>
      <c r="I55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46" customFormat="false" ht="15" hidden="false" customHeight="false" outlineLevel="0" collapsed="false">
      <c r="A5546" s="41"/>
      <c r="G5546" s="38" t="n">
        <f aca="false">MONTH(A5546)</f>
        <v>12</v>
      </c>
      <c r="H5546" s="38" t="n">
        <f aca="false">YEAR(Tabela1[[#This Row],[FECHA]])</f>
        <v>1900</v>
      </c>
      <c r="I55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47" customFormat="false" ht="15" hidden="false" customHeight="false" outlineLevel="0" collapsed="false">
      <c r="A5547" s="41"/>
      <c r="G5547" s="38" t="n">
        <f aca="false">MONTH(A5547)</f>
        <v>12</v>
      </c>
      <c r="H5547" s="38" t="n">
        <f aca="false">YEAR(Tabela1[[#This Row],[FECHA]])</f>
        <v>1900</v>
      </c>
      <c r="I55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48" customFormat="false" ht="15" hidden="false" customHeight="false" outlineLevel="0" collapsed="false">
      <c r="A5548" s="41"/>
      <c r="G5548" s="38" t="n">
        <f aca="false">MONTH(A5548)</f>
        <v>12</v>
      </c>
      <c r="H5548" s="38" t="n">
        <f aca="false">YEAR(Tabela1[[#This Row],[FECHA]])</f>
        <v>1900</v>
      </c>
      <c r="I55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49" customFormat="false" ht="15" hidden="false" customHeight="false" outlineLevel="0" collapsed="false">
      <c r="A5549" s="41"/>
      <c r="G5549" s="38" t="n">
        <f aca="false">MONTH(A5549)</f>
        <v>12</v>
      </c>
      <c r="H5549" s="38" t="n">
        <f aca="false">YEAR(Tabela1[[#This Row],[FECHA]])</f>
        <v>1900</v>
      </c>
      <c r="I55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50" customFormat="false" ht="15" hidden="false" customHeight="false" outlineLevel="0" collapsed="false">
      <c r="A5550" s="41"/>
      <c r="G5550" s="38" t="n">
        <f aca="false">MONTH(A5550)</f>
        <v>12</v>
      </c>
      <c r="H5550" s="38" t="n">
        <f aca="false">YEAR(Tabela1[[#This Row],[FECHA]])</f>
        <v>1900</v>
      </c>
      <c r="I55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51" customFormat="false" ht="15" hidden="false" customHeight="false" outlineLevel="0" collapsed="false">
      <c r="A5551" s="41"/>
      <c r="G5551" s="38" t="n">
        <f aca="false">MONTH(A5551)</f>
        <v>12</v>
      </c>
      <c r="H5551" s="38" t="n">
        <f aca="false">YEAR(Tabela1[[#This Row],[FECHA]])</f>
        <v>1900</v>
      </c>
      <c r="I55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52" customFormat="false" ht="15" hidden="false" customHeight="false" outlineLevel="0" collapsed="false">
      <c r="A5552" s="41"/>
      <c r="G5552" s="38" t="n">
        <f aca="false">MONTH(A5552)</f>
        <v>12</v>
      </c>
      <c r="H5552" s="38" t="n">
        <f aca="false">YEAR(Tabela1[[#This Row],[FECHA]])</f>
        <v>1900</v>
      </c>
      <c r="I55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53" customFormat="false" ht="15" hidden="false" customHeight="false" outlineLevel="0" collapsed="false">
      <c r="A5553" s="41"/>
      <c r="G5553" s="38" t="n">
        <f aca="false">MONTH(A5553)</f>
        <v>12</v>
      </c>
      <c r="H5553" s="38" t="n">
        <f aca="false">YEAR(Tabela1[[#This Row],[FECHA]])</f>
        <v>1900</v>
      </c>
      <c r="I55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54" customFormat="false" ht="15" hidden="false" customHeight="false" outlineLevel="0" collapsed="false">
      <c r="A5554" s="41"/>
      <c r="G5554" s="38" t="n">
        <f aca="false">MONTH(A5554)</f>
        <v>12</v>
      </c>
      <c r="H5554" s="38" t="n">
        <f aca="false">YEAR(Tabela1[[#This Row],[FECHA]])</f>
        <v>1900</v>
      </c>
      <c r="I55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55" customFormat="false" ht="15" hidden="false" customHeight="false" outlineLevel="0" collapsed="false">
      <c r="A5555" s="41"/>
      <c r="G5555" s="38" t="n">
        <f aca="false">MONTH(A5555)</f>
        <v>12</v>
      </c>
      <c r="H5555" s="38" t="n">
        <f aca="false">YEAR(Tabela1[[#This Row],[FECHA]])</f>
        <v>1900</v>
      </c>
      <c r="I55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56" customFormat="false" ht="15" hidden="false" customHeight="false" outlineLevel="0" collapsed="false">
      <c r="A5556" s="41"/>
      <c r="G5556" s="38" t="n">
        <f aca="false">MONTH(A5556)</f>
        <v>12</v>
      </c>
      <c r="H5556" s="38" t="n">
        <f aca="false">YEAR(Tabela1[[#This Row],[FECHA]])</f>
        <v>1900</v>
      </c>
      <c r="I55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57" customFormat="false" ht="15" hidden="false" customHeight="false" outlineLevel="0" collapsed="false">
      <c r="A5557" s="41"/>
      <c r="G5557" s="38" t="n">
        <f aca="false">MONTH(A5557)</f>
        <v>12</v>
      </c>
      <c r="H5557" s="38" t="n">
        <f aca="false">YEAR(Tabela1[[#This Row],[FECHA]])</f>
        <v>1900</v>
      </c>
      <c r="I55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58" customFormat="false" ht="15" hidden="false" customHeight="false" outlineLevel="0" collapsed="false">
      <c r="A5558" s="41"/>
      <c r="G5558" s="38" t="n">
        <f aca="false">MONTH(A5558)</f>
        <v>12</v>
      </c>
      <c r="H5558" s="38" t="n">
        <f aca="false">YEAR(Tabela1[[#This Row],[FECHA]])</f>
        <v>1900</v>
      </c>
      <c r="I55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59" customFormat="false" ht="15" hidden="false" customHeight="false" outlineLevel="0" collapsed="false">
      <c r="A5559" s="41"/>
      <c r="G5559" s="38" t="n">
        <f aca="false">MONTH(A5559)</f>
        <v>12</v>
      </c>
      <c r="H5559" s="38" t="n">
        <f aca="false">YEAR(Tabela1[[#This Row],[FECHA]])</f>
        <v>1900</v>
      </c>
      <c r="I55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60" customFormat="false" ht="15" hidden="false" customHeight="false" outlineLevel="0" collapsed="false">
      <c r="A5560" s="41"/>
      <c r="G5560" s="38" t="n">
        <f aca="false">MONTH(A5560)</f>
        <v>12</v>
      </c>
      <c r="H5560" s="38" t="n">
        <f aca="false">YEAR(Tabela1[[#This Row],[FECHA]])</f>
        <v>1900</v>
      </c>
      <c r="I55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61" customFormat="false" ht="15" hidden="false" customHeight="false" outlineLevel="0" collapsed="false">
      <c r="A5561" s="41"/>
      <c r="G5561" s="38" t="n">
        <f aca="false">MONTH(A5561)</f>
        <v>12</v>
      </c>
      <c r="H5561" s="38" t="n">
        <f aca="false">YEAR(Tabela1[[#This Row],[FECHA]])</f>
        <v>1900</v>
      </c>
      <c r="I55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62" customFormat="false" ht="15" hidden="false" customHeight="false" outlineLevel="0" collapsed="false">
      <c r="A5562" s="41"/>
      <c r="G5562" s="38" t="n">
        <f aca="false">MONTH(A5562)</f>
        <v>12</v>
      </c>
      <c r="H5562" s="38" t="n">
        <f aca="false">YEAR(Tabela1[[#This Row],[FECHA]])</f>
        <v>1900</v>
      </c>
      <c r="I55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63" customFormat="false" ht="15" hidden="false" customHeight="false" outlineLevel="0" collapsed="false">
      <c r="A5563" s="41"/>
      <c r="G5563" s="38" t="n">
        <f aca="false">MONTH(A5563)</f>
        <v>12</v>
      </c>
      <c r="H5563" s="38" t="n">
        <f aca="false">YEAR(Tabela1[[#This Row],[FECHA]])</f>
        <v>1900</v>
      </c>
      <c r="I55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64" customFormat="false" ht="15" hidden="false" customHeight="false" outlineLevel="0" collapsed="false">
      <c r="A5564" s="41"/>
      <c r="G5564" s="38" t="n">
        <f aca="false">MONTH(A5564)</f>
        <v>12</v>
      </c>
      <c r="H5564" s="38" t="n">
        <f aca="false">YEAR(Tabela1[[#This Row],[FECHA]])</f>
        <v>1900</v>
      </c>
      <c r="I55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65" customFormat="false" ht="15" hidden="false" customHeight="false" outlineLevel="0" collapsed="false">
      <c r="A5565" s="41"/>
      <c r="G5565" s="38" t="n">
        <f aca="false">MONTH(A5565)</f>
        <v>12</v>
      </c>
      <c r="H5565" s="38" t="n">
        <f aca="false">YEAR(Tabela1[[#This Row],[FECHA]])</f>
        <v>1900</v>
      </c>
      <c r="I55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66" customFormat="false" ht="15" hidden="false" customHeight="false" outlineLevel="0" collapsed="false">
      <c r="A5566" s="41"/>
      <c r="G5566" s="38" t="n">
        <f aca="false">MONTH(A5566)</f>
        <v>12</v>
      </c>
      <c r="H5566" s="38" t="n">
        <f aca="false">YEAR(Tabela1[[#This Row],[FECHA]])</f>
        <v>1900</v>
      </c>
      <c r="I55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67" customFormat="false" ht="15" hidden="false" customHeight="false" outlineLevel="0" collapsed="false">
      <c r="A5567" s="41"/>
      <c r="G5567" s="38" t="n">
        <f aca="false">MONTH(A5567)</f>
        <v>12</v>
      </c>
      <c r="H5567" s="38" t="n">
        <f aca="false">YEAR(Tabela1[[#This Row],[FECHA]])</f>
        <v>1900</v>
      </c>
      <c r="I55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68" customFormat="false" ht="15" hidden="false" customHeight="false" outlineLevel="0" collapsed="false">
      <c r="A5568" s="41"/>
      <c r="G5568" s="38" t="n">
        <f aca="false">MONTH(A5568)</f>
        <v>12</v>
      </c>
      <c r="H5568" s="38" t="n">
        <f aca="false">YEAR(Tabela1[[#This Row],[FECHA]])</f>
        <v>1900</v>
      </c>
      <c r="I55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69" customFormat="false" ht="15" hidden="false" customHeight="false" outlineLevel="0" collapsed="false">
      <c r="A5569" s="41"/>
      <c r="G5569" s="38" t="n">
        <f aca="false">MONTH(A5569)</f>
        <v>12</v>
      </c>
      <c r="H5569" s="38" t="n">
        <f aca="false">YEAR(Tabela1[[#This Row],[FECHA]])</f>
        <v>1900</v>
      </c>
      <c r="I55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70" customFormat="false" ht="15" hidden="false" customHeight="false" outlineLevel="0" collapsed="false">
      <c r="A5570" s="41"/>
      <c r="G5570" s="38" t="n">
        <f aca="false">MONTH(A5570)</f>
        <v>12</v>
      </c>
      <c r="H5570" s="38" t="n">
        <f aca="false">YEAR(Tabela1[[#This Row],[FECHA]])</f>
        <v>1900</v>
      </c>
      <c r="I55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71" customFormat="false" ht="15" hidden="false" customHeight="false" outlineLevel="0" collapsed="false">
      <c r="A5571" s="41"/>
      <c r="G5571" s="38" t="n">
        <f aca="false">MONTH(A5571)</f>
        <v>12</v>
      </c>
      <c r="H5571" s="38" t="n">
        <f aca="false">YEAR(Tabela1[[#This Row],[FECHA]])</f>
        <v>1900</v>
      </c>
      <c r="I55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72" customFormat="false" ht="15" hidden="false" customHeight="false" outlineLevel="0" collapsed="false">
      <c r="A5572" s="41"/>
      <c r="G5572" s="38" t="n">
        <f aca="false">MONTH(A5572)</f>
        <v>12</v>
      </c>
      <c r="H5572" s="38" t="n">
        <f aca="false">YEAR(Tabela1[[#This Row],[FECHA]])</f>
        <v>1900</v>
      </c>
      <c r="I55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73" customFormat="false" ht="15" hidden="false" customHeight="false" outlineLevel="0" collapsed="false">
      <c r="A5573" s="41"/>
      <c r="G5573" s="38" t="n">
        <f aca="false">MONTH(A5573)</f>
        <v>12</v>
      </c>
      <c r="H5573" s="38" t="n">
        <f aca="false">YEAR(Tabela1[[#This Row],[FECHA]])</f>
        <v>1900</v>
      </c>
      <c r="I55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74" customFormat="false" ht="15" hidden="false" customHeight="false" outlineLevel="0" collapsed="false">
      <c r="A5574" s="41"/>
      <c r="G5574" s="38" t="n">
        <f aca="false">MONTH(A5574)</f>
        <v>12</v>
      </c>
      <c r="H5574" s="38" t="n">
        <f aca="false">YEAR(Tabela1[[#This Row],[FECHA]])</f>
        <v>1900</v>
      </c>
      <c r="I55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75" customFormat="false" ht="15" hidden="false" customHeight="false" outlineLevel="0" collapsed="false">
      <c r="A5575" s="41"/>
      <c r="G5575" s="38" t="n">
        <f aca="false">MONTH(A5575)</f>
        <v>12</v>
      </c>
      <c r="H5575" s="38" t="n">
        <f aca="false">YEAR(Tabela1[[#This Row],[FECHA]])</f>
        <v>1900</v>
      </c>
      <c r="I55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76" customFormat="false" ht="15" hidden="false" customHeight="false" outlineLevel="0" collapsed="false">
      <c r="A5576" s="41"/>
      <c r="G5576" s="38" t="n">
        <f aca="false">MONTH(A5576)</f>
        <v>12</v>
      </c>
      <c r="H5576" s="38" t="n">
        <f aca="false">YEAR(Tabela1[[#This Row],[FECHA]])</f>
        <v>1900</v>
      </c>
      <c r="I55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77" customFormat="false" ht="15" hidden="false" customHeight="false" outlineLevel="0" collapsed="false">
      <c r="A5577" s="41"/>
      <c r="G5577" s="38" t="n">
        <f aca="false">MONTH(A5577)</f>
        <v>12</v>
      </c>
      <c r="H5577" s="38" t="n">
        <f aca="false">YEAR(Tabela1[[#This Row],[FECHA]])</f>
        <v>1900</v>
      </c>
      <c r="I55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78" customFormat="false" ht="15" hidden="false" customHeight="false" outlineLevel="0" collapsed="false">
      <c r="A5578" s="41"/>
      <c r="G5578" s="38" t="n">
        <f aca="false">MONTH(A5578)</f>
        <v>12</v>
      </c>
      <c r="H5578" s="38" t="n">
        <f aca="false">YEAR(Tabela1[[#This Row],[FECHA]])</f>
        <v>1900</v>
      </c>
      <c r="I55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79" customFormat="false" ht="15" hidden="false" customHeight="false" outlineLevel="0" collapsed="false">
      <c r="A5579" s="41"/>
      <c r="G5579" s="38" t="n">
        <f aca="false">MONTH(A5579)</f>
        <v>12</v>
      </c>
      <c r="H5579" s="38" t="n">
        <f aca="false">YEAR(Tabela1[[#This Row],[FECHA]])</f>
        <v>1900</v>
      </c>
      <c r="I55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80" customFormat="false" ht="15" hidden="false" customHeight="false" outlineLevel="0" collapsed="false">
      <c r="A5580" s="41"/>
      <c r="G5580" s="38" t="n">
        <f aca="false">MONTH(A5580)</f>
        <v>12</v>
      </c>
      <c r="H5580" s="38" t="n">
        <f aca="false">YEAR(Tabela1[[#This Row],[FECHA]])</f>
        <v>1900</v>
      </c>
      <c r="I55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81" customFormat="false" ht="15" hidden="false" customHeight="false" outlineLevel="0" collapsed="false">
      <c r="A5581" s="41"/>
      <c r="G5581" s="38" t="n">
        <f aca="false">MONTH(A5581)</f>
        <v>12</v>
      </c>
      <c r="H5581" s="38" t="n">
        <f aca="false">YEAR(Tabela1[[#This Row],[FECHA]])</f>
        <v>1900</v>
      </c>
      <c r="I55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82" customFormat="false" ht="15" hidden="false" customHeight="false" outlineLevel="0" collapsed="false">
      <c r="A5582" s="41"/>
      <c r="G5582" s="38" t="n">
        <f aca="false">MONTH(A5582)</f>
        <v>12</v>
      </c>
      <c r="H5582" s="38" t="n">
        <f aca="false">YEAR(Tabela1[[#This Row],[FECHA]])</f>
        <v>1900</v>
      </c>
      <c r="I55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83" customFormat="false" ht="15" hidden="false" customHeight="false" outlineLevel="0" collapsed="false">
      <c r="A5583" s="41"/>
      <c r="G5583" s="38" t="n">
        <f aca="false">MONTH(A5583)</f>
        <v>12</v>
      </c>
      <c r="H5583" s="38" t="n">
        <f aca="false">YEAR(Tabela1[[#This Row],[FECHA]])</f>
        <v>1900</v>
      </c>
      <c r="I55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84" customFormat="false" ht="15" hidden="false" customHeight="false" outlineLevel="0" collapsed="false">
      <c r="A5584" s="41"/>
      <c r="G5584" s="38" t="n">
        <f aca="false">MONTH(A5584)</f>
        <v>12</v>
      </c>
      <c r="H5584" s="38" t="n">
        <f aca="false">YEAR(Tabela1[[#This Row],[FECHA]])</f>
        <v>1900</v>
      </c>
      <c r="I55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85" customFormat="false" ht="15" hidden="false" customHeight="false" outlineLevel="0" collapsed="false">
      <c r="A5585" s="41"/>
      <c r="G5585" s="38" t="n">
        <f aca="false">MONTH(A5585)</f>
        <v>12</v>
      </c>
      <c r="H5585" s="38" t="n">
        <f aca="false">YEAR(Tabela1[[#This Row],[FECHA]])</f>
        <v>1900</v>
      </c>
      <c r="I55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86" customFormat="false" ht="15" hidden="false" customHeight="false" outlineLevel="0" collapsed="false">
      <c r="A5586" s="41"/>
      <c r="G5586" s="38" t="n">
        <f aca="false">MONTH(A5586)</f>
        <v>12</v>
      </c>
      <c r="H5586" s="38" t="n">
        <f aca="false">YEAR(Tabela1[[#This Row],[FECHA]])</f>
        <v>1900</v>
      </c>
      <c r="I55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87" customFormat="false" ht="15" hidden="false" customHeight="false" outlineLevel="0" collapsed="false">
      <c r="A5587" s="41"/>
      <c r="G5587" s="38" t="n">
        <f aca="false">MONTH(A5587)</f>
        <v>12</v>
      </c>
      <c r="H5587" s="38" t="n">
        <f aca="false">YEAR(Tabela1[[#This Row],[FECHA]])</f>
        <v>1900</v>
      </c>
      <c r="I55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88" customFormat="false" ht="15" hidden="false" customHeight="false" outlineLevel="0" collapsed="false">
      <c r="A5588" s="41"/>
      <c r="G5588" s="38" t="n">
        <f aca="false">MONTH(A5588)</f>
        <v>12</v>
      </c>
      <c r="H5588" s="38" t="n">
        <f aca="false">YEAR(Tabela1[[#This Row],[FECHA]])</f>
        <v>1900</v>
      </c>
      <c r="I55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89" customFormat="false" ht="15" hidden="false" customHeight="false" outlineLevel="0" collapsed="false">
      <c r="A5589" s="41"/>
      <c r="G5589" s="38" t="n">
        <f aca="false">MONTH(A5589)</f>
        <v>12</v>
      </c>
      <c r="H5589" s="38" t="n">
        <f aca="false">YEAR(Tabela1[[#This Row],[FECHA]])</f>
        <v>1900</v>
      </c>
      <c r="I55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90" customFormat="false" ht="15" hidden="false" customHeight="false" outlineLevel="0" collapsed="false">
      <c r="A5590" s="41"/>
      <c r="G5590" s="38" t="n">
        <f aca="false">MONTH(A5590)</f>
        <v>12</v>
      </c>
      <c r="H5590" s="38" t="n">
        <f aca="false">YEAR(Tabela1[[#This Row],[FECHA]])</f>
        <v>1900</v>
      </c>
      <c r="I55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91" customFormat="false" ht="15" hidden="false" customHeight="false" outlineLevel="0" collapsed="false">
      <c r="A5591" s="41"/>
      <c r="G5591" s="38" t="n">
        <f aca="false">MONTH(A5591)</f>
        <v>12</v>
      </c>
      <c r="H5591" s="38" t="n">
        <f aca="false">YEAR(Tabela1[[#This Row],[FECHA]])</f>
        <v>1900</v>
      </c>
      <c r="I55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92" customFormat="false" ht="15" hidden="false" customHeight="false" outlineLevel="0" collapsed="false">
      <c r="A5592" s="41"/>
      <c r="G5592" s="38" t="n">
        <f aca="false">MONTH(A5592)</f>
        <v>12</v>
      </c>
      <c r="H5592" s="38" t="n">
        <f aca="false">YEAR(Tabela1[[#This Row],[FECHA]])</f>
        <v>1900</v>
      </c>
      <c r="I55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93" customFormat="false" ht="15" hidden="false" customHeight="false" outlineLevel="0" collapsed="false">
      <c r="A5593" s="41"/>
      <c r="G5593" s="38" t="n">
        <f aca="false">MONTH(A5593)</f>
        <v>12</v>
      </c>
      <c r="H5593" s="38" t="n">
        <f aca="false">YEAR(Tabela1[[#This Row],[FECHA]])</f>
        <v>1900</v>
      </c>
      <c r="I55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94" customFormat="false" ht="15" hidden="false" customHeight="false" outlineLevel="0" collapsed="false">
      <c r="A5594" s="41"/>
      <c r="G5594" s="38" t="n">
        <f aca="false">MONTH(A5594)</f>
        <v>12</v>
      </c>
      <c r="H5594" s="38" t="n">
        <f aca="false">YEAR(Tabela1[[#This Row],[FECHA]])</f>
        <v>1900</v>
      </c>
      <c r="I55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95" customFormat="false" ht="15" hidden="false" customHeight="false" outlineLevel="0" collapsed="false">
      <c r="A5595" s="41"/>
      <c r="G5595" s="38" t="n">
        <f aca="false">MONTH(A5595)</f>
        <v>12</v>
      </c>
      <c r="H5595" s="38" t="n">
        <f aca="false">YEAR(Tabela1[[#This Row],[FECHA]])</f>
        <v>1900</v>
      </c>
      <c r="I55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96" customFormat="false" ht="15" hidden="false" customHeight="false" outlineLevel="0" collapsed="false">
      <c r="A5596" s="41"/>
      <c r="G5596" s="38" t="n">
        <f aca="false">MONTH(A5596)</f>
        <v>12</v>
      </c>
      <c r="H5596" s="38" t="n">
        <f aca="false">YEAR(Tabela1[[#This Row],[FECHA]])</f>
        <v>1900</v>
      </c>
      <c r="I55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97" customFormat="false" ht="15" hidden="false" customHeight="false" outlineLevel="0" collapsed="false">
      <c r="A5597" s="41"/>
      <c r="G5597" s="38" t="n">
        <f aca="false">MONTH(A5597)</f>
        <v>12</v>
      </c>
      <c r="H5597" s="38" t="n">
        <f aca="false">YEAR(Tabela1[[#This Row],[FECHA]])</f>
        <v>1900</v>
      </c>
      <c r="I55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98" customFormat="false" ht="15" hidden="false" customHeight="false" outlineLevel="0" collapsed="false">
      <c r="A5598" s="41"/>
      <c r="G5598" s="38" t="n">
        <f aca="false">MONTH(A5598)</f>
        <v>12</v>
      </c>
      <c r="H5598" s="38" t="n">
        <f aca="false">YEAR(Tabela1[[#This Row],[FECHA]])</f>
        <v>1900</v>
      </c>
      <c r="I55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599" customFormat="false" ht="15" hidden="false" customHeight="false" outlineLevel="0" collapsed="false">
      <c r="A5599" s="41"/>
      <c r="G5599" s="38" t="n">
        <f aca="false">MONTH(A5599)</f>
        <v>12</v>
      </c>
      <c r="H5599" s="38" t="n">
        <f aca="false">YEAR(Tabela1[[#This Row],[FECHA]])</f>
        <v>1900</v>
      </c>
      <c r="I55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00" customFormat="false" ht="15" hidden="false" customHeight="false" outlineLevel="0" collapsed="false">
      <c r="A5600" s="41"/>
      <c r="G5600" s="38" t="n">
        <f aca="false">MONTH(A5600)</f>
        <v>12</v>
      </c>
      <c r="H5600" s="38" t="n">
        <f aca="false">YEAR(Tabela1[[#This Row],[FECHA]])</f>
        <v>1900</v>
      </c>
      <c r="I56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01" customFormat="false" ht="15" hidden="false" customHeight="false" outlineLevel="0" collapsed="false">
      <c r="A5601" s="41"/>
      <c r="G5601" s="38" t="n">
        <f aca="false">MONTH(A5601)</f>
        <v>12</v>
      </c>
      <c r="H5601" s="38" t="n">
        <f aca="false">YEAR(Tabela1[[#This Row],[FECHA]])</f>
        <v>1900</v>
      </c>
      <c r="I56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02" customFormat="false" ht="15" hidden="false" customHeight="false" outlineLevel="0" collapsed="false">
      <c r="A5602" s="41"/>
      <c r="G5602" s="38" t="n">
        <f aca="false">MONTH(A5602)</f>
        <v>12</v>
      </c>
      <c r="H5602" s="38" t="n">
        <f aca="false">YEAR(Tabela1[[#This Row],[FECHA]])</f>
        <v>1900</v>
      </c>
      <c r="I56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03" customFormat="false" ht="15" hidden="false" customHeight="false" outlineLevel="0" collapsed="false">
      <c r="A5603" s="41"/>
      <c r="G5603" s="38" t="n">
        <f aca="false">MONTH(A5603)</f>
        <v>12</v>
      </c>
      <c r="H5603" s="38" t="n">
        <f aca="false">YEAR(Tabela1[[#This Row],[FECHA]])</f>
        <v>1900</v>
      </c>
      <c r="I56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04" customFormat="false" ht="15" hidden="false" customHeight="false" outlineLevel="0" collapsed="false">
      <c r="A5604" s="41"/>
      <c r="G5604" s="38" t="n">
        <f aca="false">MONTH(A5604)</f>
        <v>12</v>
      </c>
      <c r="H5604" s="38" t="n">
        <f aca="false">YEAR(Tabela1[[#This Row],[FECHA]])</f>
        <v>1900</v>
      </c>
      <c r="I56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05" customFormat="false" ht="15" hidden="false" customHeight="false" outlineLevel="0" collapsed="false">
      <c r="A5605" s="41"/>
      <c r="G5605" s="38" t="n">
        <f aca="false">MONTH(A5605)</f>
        <v>12</v>
      </c>
      <c r="H5605" s="38" t="n">
        <f aca="false">YEAR(Tabela1[[#This Row],[FECHA]])</f>
        <v>1900</v>
      </c>
      <c r="I56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06" customFormat="false" ht="15" hidden="false" customHeight="false" outlineLevel="0" collapsed="false">
      <c r="A5606" s="41"/>
      <c r="G5606" s="38" t="n">
        <f aca="false">MONTH(A5606)</f>
        <v>12</v>
      </c>
      <c r="H5606" s="38" t="n">
        <f aca="false">YEAR(Tabela1[[#This Row],[FECHA]])</f>
        <v>1900</v>
      </c>
      <c r="I56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07" customFormat="false" ht="15" hidden="false" customHeight="false" outlineLevel="0" collapsed="false">
      <c r="A5607" s="41"/>
      <c r="G5607" s="38" t="n">
        <f aca="false">MONTH(A5607)</f>
        <v>12</v>
      </c>
      <c r="H5607" s="38" t="n">
        <f aca="false">YEAR(Tabela1[[#This Row],[FECHA]])</f>
        <v>1900</v>
      </c>
      <c r="I56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08" customFormat="false" ht="15" hidden="false" customHeight="false" outlineLevel="0" collapsed="false">
      <c r="A5608" s="41"/>
      <c r="G5608" s="38" t="n">
        <f aca="false">MONTH(A5608)</f>
        <v>12</v>
      </c>
      <c r="H5608" s="38" t="n">
        <f aca="false">YEAR(Tabela1[[#This Row],[FECHA]])</f>
        <v>1900</v>
      </c>
      <c r="I56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09" customFormat="false" ht="15" hidden="false" customHeight="false" outlineLevel="0" collapsed="false">
      <c r="A5609" s="41"/>
      <c r="G5609" s="38" t="n">
        <f aca="false">MONTH(A5609)</f>
        <v>12</v>
      </c>
      <c r="H5609" s="38" t="n">
        <f aca="false">YEAR(Tabela1[[#This Row],[FECHA]])</f>
        <v>1900</v>
      </c>
      <c r="I56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10" customFormat="false" ht="15" hidden="false" customHeight="false" outlineLevel="0" collapsed="false">
      <c r="A5610" s="41"/>
      <c r="G5610" s="38" t="n">
        <f aca="false">MONTH(A5610)</f>
        <v>12</v>
      </c>
      <c r="H5610" s="38" t="n">
        <f aca="false">YEAR(Tabela1[[#This Row],[FECHA]])</f>
        <v>1900</v>
      </c>
      <c r="I56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11" customFormat="false" ht="15" hidden="false" customHeight="false" outlineLevel="0" collapsed="false">
      <c r="A5611" s="41"/>
      <c r="G5611" s="38" t="n">
        <f aca="false">MONTH(A5611)</f>
        <v>12</v>
      </c>
      <c r="H5611" s="38" t="n">
        <f aca="false">YEAR(Tabela1[[#This Row],[FECHA]])</f>
        <v>1900</v>
      </c>
      <c r="I56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12" customFormat="false" ht="15" hidden="false" customHeight="false" outlineLevel="0" collapsed="false">
      <c r="A5612" s="41"/>
      <c r="G5612" s="38" t="n">
        <f aca="false">MONTH(A5612)</f>
        <v>12</v>
      </c>
      <c r="H5612" s="38" t="n">
        <f aca="false">YEAR(Tabela1[[#This Row],[FECHA]])</f>
        <v>1900</v>
      </c>
      <c r="I56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13" customFormat="false" ht="15" hidden="false" customHeight="false" outlineLevel="0" collapsed="false">
      <c r="A5613" s="41"/>
      <c r="G5613" s="38" t="n">
        <f aca="false">MONTH(A5613)</f>
        <v>12</v>
      </c>
      <c r="H5613" s="38" t="n">
        <f aca="false">YEAR(Tabela1[[#This Row],[FECHA]])</f>
        <v>1900</v>
      </c>
      <c r="I56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14" customFormat="false" ht="15" hidden="false" customHeight="false" outlineLevel="0" collapsed="false">
      <c r="A5614" s="41"/>
      <c r="G5614" s="38" t="n">
        <f aca="false">MONTH(A5614)</f>
        <v>12</v>
      </c>
      <c r="H5614" s="38" t="n">
        <f aca="false">YEAR(Tabela1[[#This Row],[FECHA]])</f>
        <v>1900</v>
      </c>
      <c r="I56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15" customFormat="false" ht="15" hidden="false" customHeight="false" outlineLevel="0" collapsed="false">
      <c r="A5615" s="41"/>
      <c r="G5615" s="38" t="n">
        <f aca="false">MONTH(A5615)</f>
        <v>12</v>
      </c>
      <c r="H5615" s="38" t="n">
        <f aca="false">YEAR(Tabela1[[#This Row],[FECHA]])</f>
        <v>1900</v>
      </c>
      <c r="I56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16" customFormat="false" ht="15" hidden="false" customHeight="false" outlineLevel="0" collapsed="false">
      <c r="A5616" s="41"/>
      <c r="G5616" s="38" t="n">
        <f aca="false">MONTH(A5616)</f>
        <v>12</v>
      </c>
      <c r="H5616" s="38" t="n">
        <f aca="false">YEAR(Tabela1[[#This Row],[FECHA]])</f>
        <v>1900</v>
      </c>
      <c r="I56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17" customFormat="false" ht="15" hidden="false" customHeight="false" outlineLevel="0" collapsed="false">
      <c r="A5617" s="41"/>
      <c r="G5617" s="38" t="n">
        <f aca="false">MONTH(A5617)</f>
        <v>12</v>
      </c>
      <c r="H5617" s="38" t="n">
        <f aca="false">YEAR(Tabela1[[#This Row],[FECHA]])</f>
        <v>1900</v>
      </c>
      <c r="I56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18" customFormat="false" ht="15" hidden="false" customHeight="false" outlineLevel="0" collapsed="false">
      <c r="A5618" s="41"/>
      <c r="G5618" s="38" t="n">
        <f aca="false">MONTH(A5618)</f>
        <v>12</v>
      </c>
      <c r="H5618" s="38" t="n">
        <f aca="false">YEAR(Tabela1[[#This Row],[FECHA]])</f>
        <v>1900</v>
      </c>
      <c r="I56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19" customFormat="false" ht="15" hidden="false" customHeight="false" outlineLevel="0" collapsed="false">
      <c r="A5619" s="41"/>
      <c r="G5619" s="38" t="n">
        <f aca="false">MONTH(A5619)</f>
        <v>12</v>
      </c>
      <c r="H5619" s="38" t="n">
        <f aca="false">YEAR(Tabela1[[#This Row],[FECHA]])</f>
        <v>1900</v>
      </c>
      <c r="I56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20" customFormat="false" ht="15" hidden="false" customHeight="false" outlineLevel="0" collapsed="false">
      <c r="A5620" s="41"/>
      <c r="G5620" s="38" t="n">
        <f aca="false">MONTH(A5620)</f>
        <v>12</v>
      </c>
      <c r="H5620" s="38" t="n">
        <f aca="false">YEAR(Tabela1[[#This Row],[FECHA]])</f>
        <v>1900</v>
      </c>
      <c r="I56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21" customFormat="false" ht="15" hidden="false" customHeight="false" outlineLevel="0" collapsed="false">
      <c r="A5621" s="41"/>
      <c r="G5621" s="38" t="n">
        <f aca="false">MONTH(A5621)</f>
        <v>12</v>
      </c>
      <c r="H5621" s="38" t="n">
        <f aca="false">YEAR(Tabela1[[#This Row],[FECHA]])</f>
        <v>1900</v>
      </c>
      <c r="I56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22" customFormat="false" ht="15" hidden="false" customHeight="false" outlineLevel="0" collapsed="false">
      <c r="A5622" s="41"/>
      <c r="G5622" s="38" t="n">
        <f aca="false">MONTH(A5622)</f>
        <v>12</v>
      </c>
      <c r="H5622" s="38" t="n">
        <f aca="false">YEAR(Tabela1[[#This Row],[FECHA]])</f>
        <v>1900</v>
      </c>
      <c r="I56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23" customFormat="false" ht="15" hidden="false" customHeight="false" outlineLevel="0" collapsed="false">
      <c r="A5623" s="41"/>
      <c r="G5623" s="38" t="n">
        <f aca="false">MONTH(A5623)</f>
        <v>12</v>
      </c>
      <c r="H5623" s="38" t="n">
        <f aca="false">YEAR(Tabela1[[#This Row],[FECHA]])</f>
        <v>1900</v>
      </c>
      <c r="I56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24" customFormat="false" ht="15" hidden="false" customHeight="false" outlineLevel="0" collapsed="false">
      <c r="A5624" s="41"/>
      <c r="G5624" s="38" t="n">
        <f aca="false">MONTH(A5624)</f>
        <v>12</v>
      </c>
      <c r="H5624" s="38" t="n">
        <f aca="false">YEAR(Tabela1[[#This Row],[FECHA]])</f>
        <v>1900</v>
      </c>
      <c r="I56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25" customFormat="false" ht="15" hidden="false" customHeight="false" outlineLevel="0" collapsed="false">
      <c r="A5625" s="41"/>
      <c r="G5625" s="38" t="n">
        <f aca="false">MONTH(A5625)</f>
        <v>12</v>
      </c>
      <c r="H5625" s="38" t="n">
        <f aca="false">YEAR(Tabela1[[#This Row],[FECHA]])</f>
        <v>1900</v>
      </c>
      <c r="I56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26" customFormat="false" ht="15" hidden="false" customHeight="false" outlineLevel="0" collapsed="false">
      <c r="A5626" s="41"/>
      <c r="G5626" s="38" t="n">
        <f aca="false">MONTH(A5626)</f>
        <v>12</v>
      </c>
      <c r="H5626" s="38" t="n">
        <f aca="false">YEAR(Tabela1[[#This Row],[FECHA]])</f>
        <v>1900</v>
      </c>
      <c r="I56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27" customFormat="false" ht="15" hidden="false" customHeight="false" outlineLevel="0" collapsed="false">
      <c r="A5627" s="41"/>
      <c r="G5627" s="38" t="n">
        <f aca="false">MONTH(A5627)</f>
        <v>12</v>
      </c>
      <c r="H5627" s="38" t="n">
        <f aca="false">YEAR(Tabela1[[#This Row],[FECHA]])</f>
        <v>1900</v>
      </c>
      <c r="I56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28" customFormat="false" ht="15" hidden="false" customHeight="false" outlineLevel="0" collapsed="false">
      <c r="A5628" s="41"/>
      <c r="G5628" s="38" t="n">
        <f aca="false">MONTH(A5628)</f>
        <v>12</v>
      </c>
      <c r="H5628" s="38" t="n">
        <f aca="false">YEAR(Tabela1[[#This Row],[FECHA]])</f>
        <v>1900</v>
      </c>
      <c r="I56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29" customFormat="false" ht="15" hidden="false" customHeight="false" outlineLevel="0" collapsed="false">
      <c r="A5629" s="41"/>
      <c r="G5629" s="38" t="n">
        <f aca="false">MONTH(A5629)</f>
        <v>12</v>
      </c>
      <c r="H5629" s="38" t="n">
        <f aca="false">YEAR(Tabela1[[#This Row],[FECHA]])</f>
        <v>1900</v>
      </c>
      <c r="I56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30" customFormat="false" ht="15" hidden="false" customHeight="false" outlineLevel="0" collapsed="false">
      <c r="A5630" s="41"/>
      <c r="G5630" s="38" t="n">
        <f aca="false">MONTH(A5630)</f>
        <v>12</v>
      </c>
      <c r="H5630" s="38" t="n">
        <f aca="false">YEAR(Tabela1[[#This Row],[FECHA]])</f>
        <v>1900</v>
      </c>
      <c r="I56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31" customFormat="false" ht="15" hidden="false" customHeight="false" outlineLevel="0" collapsed="false">
      <c r="A5631" s="41"/>
      <c r="G5631" s="38" t="n">
        <f aca="false">MONTH(A5631)</f>
        <v>12</v>
      </c>
      <c r="H5631" s="38" t="n">
        <f aca="false">YEAR(Tabela1[[#This Row],[FECHA]])</f>
        <v>1900</v>
      </c>
      <c r="I56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32" customFormat="false" ht="15" hidden="false" customHeight="false" outlineLevel="0" collapsed="false">
      <c r="A5632" s="41"/>
      <c r="G5632" s="38" t="n">
        <f aca="false">MONTH(A5632)</f>
        <v>12</v>
      </c>
      <c r="H5632" s="38" t="n">
        <f aca="false">YEAR(Tabela1[[#This Row],[FECHA]])</f>
        <v>1900</v>
      </c>
      <c r="I56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33" customFormat="false" ht="15" hidden="false" customHeight="false" outlineLevel="0" collapsed="false">
      <c r="A5633" s="41"/>
      <c r="G5633" s="38" t="n">
        <f aca="false">MONTH(A5633)</f>
        <v>12</v>
      </c>
      <c r="H5633" s="38" t="n">
        <f aca="false">YEAR(Tabela1[[#This Row],[FECHA]])</f>
        <v>1900</v>
      </c>
      <c r="I56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34" customFormat="false" ht="15" hidden="false" customHeight="false" outlineLevel="0" collapsed="false">
      <c r="A5634" s="41"/>
      <c r="G5634" s="38" t="n">
        <f aca="false">MONTH(A5634)</f>
        <v>12</v>
      </c>
      <c r="H5634" s="38" t="n">
        <f aca="false">YEAR(Tabela1[[#This Row],[FECHA]])</f>
        <v>1900</v>
      </c>
      <c r="I56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35" customFormat="false" ht="15" hidden="false" customHeight="false" outlineLevel="0" collapsed="false">
      <c r="A5635" s="41"/>
      <c r="G5635" s="38" t="n">
        <f aca="false">MONTH(A5635)</f>
        <v>12</v>
      </c>
      <c r="H5635" s="38" t="n">
        <f aca="false">YEAR(Tabela1[[#This Row],[FECHA]])</f>
        <v>1900</v>
      </c>
      <c r="I56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36" customFormat="false" ht="15" hidden="false" customHeight="false" outlineLevel="0" collapsed="false">
      <c r="A5636" s="41"/>
      <c r="G5636" s="38" t="n">
        <f aca="false">MONTH(A5636)</f>
        <v>12</v>
      </c>
      <c r="H5636" s="38" t="n">
        <f aca="false">YEAR(Tabela1[[#This Row],[FECHA]])</f>
        <v>1900</v>
      </c>
      <c r="I56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37" customFormat="false" ht="15" hidden="false" customHeight="false" outlineLevel="0" collapsed="false">
      <c r="A5637" s="41"/>
      <c r="G5637" s="38" t="n">
        <f aca="false">MONTH(A5637)</f>
        <v>12</v>
      </c>
      <c r="H5637" s="38" t="n">
        <f aca="false">YEAR(Tabela1[[#This Row],[FECHA]])</f>
        <v>1900</v>
      </c>
      <c r="I56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38" customFormat="false" ht="15" hidden="false" customHeight="false" outlineLevel="0" collapsed="false">
      <c r="A5638" s="41"/>
      <c r="G5638" s="38" t="n">
        <f aca="false">MONTH(A5638)</f>
        <v>12</v>
      </c>
      <c r="H5638" s="38" t="n">
        <f aca="false">YEAR(Tabela1[[#This Row],[FECHA]])</f>
        <v>1900</v>
      </c>
      <c r="I56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39" customFormat="false" ht="15" hidden="false" customHeight="false" outlineLevel="0" collapsed="false">
      <c r="A5639" s="41"/>
      <c r="G5639" s="38" t="n">
        <f aca="false">MONTH(A5639)</f>
        <v>12</v>
      </c>
      <c r="H5639" s="38" t="n">
        <f aca="false">YEAR(Tabela1[[#This Row],[FECHA]])</f>
        <v>1900</v>
      </c>
      <c r="I56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40" customFormat="false" ht="15" hidden="false" customHeight="false" outlineLevel="0" collapsed="false">
      <c r="A5640" s="41"/>
      <c r="G5640" s="38" t="n">
        <f aca="false">MONTH(A5640)</f>
        <v>12</v>
      </c>
      <c r="H5640" s="38" t="n">
        <f aca="false">YEAR(Tabela1[[#This Row],[FECHA]])</f>
        <v>1900</v>
      </c>
      <c r="I56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41" customFormat="false" ht="15" hidden="false" customHeight="false" outlineLevel="0" collapsed="false">
      <c r="A5641" s="41"/>
      <c r="G5641" s="38" t="n">
        <f aca="false">MONTH(A5641)</f>
        <v>12</v>
      </c>
      <c r="H5641" s="38" t="n">
        <f aca="false">YEAR(Tabela1[[#This Row],[FECHA]])</f>
        <v>1900</v>
      </c>
      <c r="I56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42" customFormat="false" ht="15" hidden="false" customHeight="false" outlineLevel="0" collapsed="false">
      <c r="A5642" s="41"/>
      <c r="G5642" s="38" t="n">
        <f aca="false">MONTH(A5642)</f>
        <v>12</v>
      </c>
      <c r="H5642" s="38" t="n">
        <f aca="false">YEAR(Tabela1[[#This Row],[FECHA]])</f>
        <v>1900</v>
      </c>
      <c r="I56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43" customFormat="false" ht="15" hidden="false" customHeight="false" outlineLevel="0" collapsed="false">
      <c r="A5643" s="41"/>
      <c r="G5643" s="38" t="n">
        <f aca="false">MONTH(A5643)</f>
        <v>12</v>
      </c>
      <c r="H5643" s="38" t="n">
        <f aca="false">YEAR(Tabela1[[#This Row],[FECHA]])</f>
        <v>1900</v>
      </c>
      <c r="I56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44" customFormat="false" ht="15" hidden="false" customHeight="false" outlineLevel="0" collapsed="false">
      <c r="A5644" s="41"/>
      <c r="G5644" s="38" t="n">
        <f aca="false">MONTH(A5644)</f>
        <v>12</v>
      </c>
      <c r="H5644" s="38" t="n">
        <f aca="false">YEAR(Tabela1[[#This Row],[FECHA]])</f>
        <v>1900</v>
      </c>
      <c r="I56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45" customFormat="false" ht="15" hidden="false" customHeight="false" outlineLevel="0" collapsed="false">
      <c r="A5645" s="41"/>
      <c r="G5645" s="38" t="n">
        <f aca="false">MONTH(A5645)</f>
        <v>12</v>
      </c>
      <c r="H5645" s="38" t="n">
        <f aca="false">YEAR(Tabela1[[#This Row],[FECHA]])</f>
        <v>1900</v>
      </c>
      <c r="I56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46" customFormat="false" ht="15" hidden="false" customHeight="false" outlineLevel="0" collapsed="false">
      <c r="A5646" s="41"/>
      <c r="G5646" s="38" t="n">
        <f aca="false">MONTH(A5646)</f>
        <v>12</v>
      </c>
      <c r="H5646" s="38" t="n">
        <f aca="false">YEAR(Tabela1[[#This Row],[FECHA]])</f>
        <v>1900</v>
      </c>
      <c r="I56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47" customFormat="false" ht="15" hidden="false" customHeight="false" outlineLevel="0" collapsed="false">
      <c r="A5647" s="41"/>
      <c r="G5647" s="38" t="n">
        <f aca="false">MONTH(A5647)</f>
        <v>12</v>
      </c>
      <c r="H5647" s="38" t="n">
        <f aca="false">YEAR(Tabela1[[#This Row],[FECHA]])</f>
        <v>1900</v>
      </c>
      <c r="I56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48" customFormat="false" ht="15" hidden="false" customHeight="false" outlineLevel="0" collapsed="false">
      <c r="A5648" s="41"/>
      <c r="G5648" s="38" t="n">
        <f aca="false">MONTH(A5648)</f>
        <v>12</v>
      </c>
      <c r="H5648" s="38" t="n">
        <f aca="false">YEAR(Tabela1[[#This Row],[FECHA]])</f>
        <v>1900</v>
      </c>
      <c r="I56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49" customFormat="false" ht="15" hidden="false" customHeight="false" outlineLevel="0" collapsed="false">
      <c r="A5649" s="41"/>
      <c r="G5649" s="38" t="n">
        <f aca="false">MONTH(A5649)</f>
        <v>12</v>
      </c>
      <c r="H5649" s="38" t="n">
        <f aca="false">YEAR(Tabela1[[#This Row],[FECHA]])</f>
        <v>1900</v>
      </c>
      <c r="I56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50" customFormat="false" ht="15" hidden="false" customHeight="false" outlineLevel="0" collapsed="false">
      <c r="A5650" s="41"/>
      <c r="G5650" s="38" t="n">
        <f aca="false">MONTH(A5650)</f>
        <v>12</v>
      </c>
      <c r="H5650" s="38" t="n">
        <f aca="false">YEAR(Tabela1[[#This Row],[FECHA]])</f>
        <v>1900</v>
      </c>
      <c r="I56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51" customFormat="false" ht="15" hidden="false" customHeight="false" outlineLevel="0" collapsed="false">
      <c r="A5651" s="41"/>
      <c r="G5651" s="38" t="n">
        <f aca="false">MONTH(A5651)</f>
        <v>12</v>
      </c>
      <c r="H5651" s="38" t="n">
        <f aca="false">YEAR(Tabela1[[#This Row],[FECHA]])</f>
        <v>1900</v>
      </c>
      <c r="I56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52" customFormat="false" ht="15" hidden="false" customHeight="false" outlineLevel="0" collapsed="false">
      <c r="A5652" s="41"/>
      <c r="G5652" s="38" t="n">
        <f aca="false">MONTH(A5652)</f>
        <v>12</v>
      </c>
      <c r="H5652" s="38" t="n">
        <f aca="false">YEAR(Tabela1[[#This Row],[FECHA]])</f>
        <v>1900</v>
      </c>
      <c r="I56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53" customFormat="false" ht="15" hidden="false" customHeight="false" outlineLevel="0" collapsed="false">
      <c r="A5653" s="41"/>
      <c r="G5653" s="38" t="n">
        <f aca="false">MONTH(A5653)</f>
        <v>12</v>
      </c>
      <c r="H5653" s="38" t="n">
        <f aca="false">YEAR(Tabela1[[#This Row],[FECHA]])</f>
        <v>1900</v>
      </c>
      <c r="I56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54" customFormat="false" ht="15" hidden="false" customHeight="false" outlineLevel="0" collapsed="false">
      <c r="A5654" s="41"/>
      <c r="G5654" s="38" t="n">
        <f aca="false">MONTH(A5654)</f>
        <v>12</v>
      </c>
      <c r="H5654" s="38" t="n">
        <f aca="false">YEAR(Tabela1[[#This Row],[FECHA]])</f>
        <v>1900</v>
      </c>
      <c r="I56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55" customFormat="false" ht="15" hidden="false" customHeight="false" outlineLevel="0" collapsed="false">
      <c r="A5655" s="41"/>
      <c r="G5655" s="38" t="n">
        <f aca="false">MONTH(A5655)</f>
        <v>12</v>
      </c>
      <c r="H5655" s="38" t="n">
        <f aca="false">YEAR(Tabela1[[#This Row],[FECHA]])</f>
        <v>1900</v>
      </c>
      <c r="I56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56" customFormat="false" ht="15" hidden="false" customHeight="false" outlineLevel="0" collapsed="false">
      <c r="A5656" s="41"/>
      <c r="G5656" s="38" t="n">
        <f aca="false">MONTH(A5656)</f>
        <v>12</v>
      </c>
      <c r="H5656" s="38" t="n">
        <f aca="false">YEAR(Tabela1[[#This Row],[FECHA]])</f>
        <v>1900</v>
      </c>
      <c r="I56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57" customFormat="false" ht="15" hidden="false" customHeight="false" outlineLevel="0" collapsed="false">
      <c r="A5657" s="41"/>
      <c r="G5657" s="38" t="n">
        <f aca="false">MONTH(A5657)</f>
        <v>12</v>
      </c>
      <c r="H5657" s="38" t="n">
        <f aca="false">YEAR(Tabela1[[#This Row],[FECHA]])</f>
        <v>1900</v>
      </c>
      <c r="I56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58" customFormat="false" ht="15" hidden="false" customHeight="false" outlineLevel="0" collapsed="false">
      <c r="A5658" s="41"/>
      <c r="G5658" s="38" t="n">
        <f aca="false">MONTH(A5658)</f>
        <v>12</v>
      </c>
      <c r="H5658" s="38" t="n">
        <f aca="false">YEAR(Tabela1[[#This Row],[FECHA]])</f>
        <v>1900</v>
      </c>
      <c r="I56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59" customFormat="false" ht="15" hidden="false" customHeight="false" outlineLevel="0" collapsed="false">
      <c r="A5659" s="41"/>
      <c r="G5659" s="38" t="n">
        <f aca="false">MONTH(A5659)</f>
        <v>12</v>
      </c>
      <c r="H5659" s="38" t="n">
        <f aca="false">YEAR(Tabela1[[#This Row],[FECHA]])</f>
        <v>1900</v>
      </c>
      <c r="I56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60" customFormat="false" ht="15" hidden="false" customHeight="false" outlineLevel="0" collapsed="false">
      <c r="A5660" s="41"/>
      <c r="G5660" s="38" t="n">
        <f aca="false">MONTH(A5660)</f>
        <v>12</v>
      </c>
      <c r="H5660" s="38" t="n">
        <f aca="false">YEAR(Tabela1[[#This Row],[FECHA]])</f>
        <v>1900</v>
      </c>
      <c r="I56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61" customFormat="false" ht="15" hidden="false" customHeight="false" outlineLevel="0" collapsed="false">
      <c r="A5661" s="41"/>
      <c r="G5661" s="38" t="n">
        <f aca="false">MONTH(A5661)</f>
        <v>12</v>
      </c>
      <c r="H5661" s="38" t="n">
        <f aca="false">YEAR(Tabela1[[#This Row],[FECHA]])</f>
        <v>1900</v>
      </c>
      <c r="I56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62" customFormat="false" ht="15" hidden="false" customHeight="false" outlineLevel="0" collapsed="false">
      <c r="A5662" s="41"/>
      <c r="G5662" s="38" t="n">
        <f aca="false">MONTH(A5662)</f>
        <v>12</v>
      </c>
      <c r="H5662" s="38" t="n">
        <f aca="false">YEAR(Tabela1[[#This Row],[FECHA]])</f>
        <v>1900</v>
      </c>
      <c r="I56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63" customFormat="false" ht="15" hidden="false" customHeight="false" outlineLevel="0" collapsed="false">
      <c r="A5663" s="41"/>
      <c r="G5663" s="38" t="n">
        <f aca="false">MONTH(A5663)</f>
        <v>12</v>
      </c>
      <c r="H5663" s="38" t="n">
        <f aca="false">YEAR(Tabela1[[#This Row],[FECHA]])</f>
        <v>1900</v>
      </c>
      <c r="I56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64" customFormat="false" ht="15" hidden="false" customHeight="false" outlineLevel="0" collapsed="false">
      <c r="A5664" s="41"/>
      <c r="G5664" s="38" t="n">
        <f aca="false">MONTH(A5664)</f>
        <v>12</v>
      </c>
      <c r="H5664" s="38" t="n">
        <f aca="false">YEAR(Tabela1[[#This Row],[FECHA]])</f>
        <v>1900</v>
      </c>
      <c r="I56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65" customFormat="false" ht="15" hidden="false" customHeight="false" outlineLevel="0" collapsed="false">
      <c r="A5665" s="41"/>
      <c r="G5665" s="38" t="n">
        <f aca="false">MONTH(A5665)</f>
        <v>12</v>
      </c>
      <c r="H5665" s="38" t="n">
        <f aca="false">YEAR(Tabela1[[#This Row],[FECHA]])</f>
        <v>1900</v>
      </c>
      <c r="I56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66" customFormat="false" ht="15" hidden="false" customHeight="false" outlineLevel="0" collapsed="false">
      <c r="A5666" s="41"/>
      <c r="G5666" s="38" t="n">
        <f aca="false">MONTH(A5666)</f>
        <v>12</v>
      </c>
      <c r="H5666" s="38" t="n">
        <f aca="false">YEAR(Tabela1[[#This Row],[FECHA]])</f>
        <v>1900</v>
      </c>
      <c r="I56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67" customFormat="false" ht="15" hidden="false" customHeight="false" outlineLevel="0" collapsed="false">
      <c r="A5667" s="41"/>
      <c r="G5667" s="38" t="n">
        <f aca="false">MONTH(A5667)</f>
        <v>12</v>
      </c>
      <c r="H5667" s="38" t="n">
        <f aca="false">YEAR(Tabela1[[#This Row],[FECHA]])</f>
        <v>1900</v>
      </c>
      <c r="I56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68" customFormat="false" ht="15" hidden="false" customHeight="false" outlineLevel="0" collapsed="false">
      <c r="A5668" s="41"/>
      <c r="G5668" s="38" t="n">
        <f aca="false">MONTH(A5668)</f>
        <v>12</v>
      </c>
      <c r="H5668" s="38" t="n">
        <f aca="false">YEAR(Tabela1[[#This Row],[FECHA]])</f>
        <v>1900</v>
      </c>
      <c r="I56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69" customFormat="false" ht="15" hidden="false" customHeight="false" outlineLevel="0" collapsed="false">
      <c r="A5669" s="41"/>
      <c r="G5669" s="38" t="n">
        <f aca="false">MONTH(A5669)</f>
        <v>12</v>
      </c>
      <c r="H5669" s="38" t="n">
        <f aca="false">YEAR(Tabela1[[#This Row],[FECHA]])</f>
        <v>1900</v>
      </c>
      <c r="I56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70" customFormat="false" ht="15" hidden="false" customHeight="false" outlineLevel="0" collapsed="false">
      <c r="A5670" s="41"/>
      <c r="G5670" s="38" t="n">
        <f aca="false">MONTH(A5670)</f>
        <v>12</v>
      </c>
      <c r="H5670" s="38" t="n">
        <f aca="false">YEAR(Tabela1[[#This Row],[FECHA]])</f>
        <v>1900</v>
      </c>
      <c r="I56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71" customFormat="false" ht="15" hidden="false" customHeight="false" outlineLevel="0" collapsed="false">
      <c r="A5671" s="41"/>
      <c r="G5671" s="38" t="n">
        <f aca="false">MONTH(A5671)</f>
        <v>12</v>
      </c>
      <c r="H5671" s="38" t="n">
        <f aca="false">YEAR(Tabela1[[#This Row],[FECHA]])</f>
        <v>1900</v>
      </c>
      <c r="I56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72" customFormat="false" ht="15" hidden="false" customHeight="false" outlineLevel="0" collapsed="false">
      <c r="A5672" s="41"/>
      <c r="G5672" s="38" t="n">
        <f aca="false">MONTH(A5672)</f>
        <v>12</v>
      </c>
      <c r="H5672" s="38" t="n">
        <f aca="false">YEAR(Tabela1[[#This Row],[FECHA]])</f>
        <v>1900</v>
      </c>
      <c r="I56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73" customFormat="false" ht="15" hidden="false" customHeight="false" outlineLevel="0" collapsed="false">
      <c r="A5673" s="41"/>
      <c r="G5673" s="38" t="n">
        <f aca="false">MONTH(A5673)</f>
        <v>12</v>
      </c>
      <c r="H5673" s="38" t="n">
        <f aca="false">YEAR(Tabela1[[#This Row],[FECHA]])</f>
        <v>1900</v>
      </c>
      <c r="I56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74" customFormat="false" ht="15" hidden="false" customHeight="false" outlineLevel="0" collapsed="false">
      <c r="A5674" s="41"/>
      <c r="G5674" s="38" t="n">
        <f aca="false">MONTH(A5674)</f>
        <v>12</v>
      </c>
      <c r="H5674" s="38" t="n">
        <f aca="false">YEAR(Tabela1[[#This Row],[FECHA]])</f>
        <v>1900</v>
      </c>
      <c r="I56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75" customFormat="false" ht="15" hidden="false" customHeight="false" outlineLevel="0" collapsed="false">
      <c r="A5675" s="41"/>
      <c r="G5675" s="38" t="n">
        <f aca="false">MONTH(A5675)</f>
        <v>12</v>
      </c>
      <c r="H5675" s="38" t="n">
        <f aca="false">YEAR(Tabela1[[#This Row],[FECHA]])</f>
        <v>1900</v>
      </c>
      <c r="I56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76" customFormat="false" ht="15" hidden="false" customHeight="false" outlineLevel="0" collapsed="false">
      <c r="A5676" s="41"/>
      <c r="G5676" s="38" t="n">
        <f aca="false">MONTH(A5676)</f>
        <v>12</v>
      </c>
      <c r="H5676" s="38" t="n">
        <f aca="false">YEAR(Tabela1[[#This Row],[FECHA]])</f>
        <v>1900</v>
      </c>
      <c r="I56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77" customFormat="false" ht="15" hidden="false" customHeight="false" outlineLevel="0" collapsed="false">
      <c r="A5677" s="41"/>
      <c r="G5677" s="38" t="n">
        <f aca="false">MONTH(A5677)</f>
        <v>12</v>
      </c>
      <c r="H5677" s="38" t="n">
        <f aca="false">YEAR(Tabela1[[#This Row],[FECHA]])</f>
        <v>1900</v>
      </c>
      <c r="I56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78" customFormat="false" ht="15" hidden="false" customHeight="false" outlineLevel="0" collapsed="false">
      <c r="A5678" s="41"/>
      <c r="G5678" s="38" t="n">
        <f aca="false">MONTH(A5678)</f>
        <v>12</v>
      </c>
      <c r="H5678" s="38" t="n">
        <f aca="false">YEAR(Tabela1[[#This Row],[FECHA]])</f>
        <v>1900</v>
      </c>
      <c r="I56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79" customFormat="false" ht="15" hidden="false" customHeight="false" outlineLevel="0" collapsed="false">
      <c r="A5679" s="41"/>
      <c r="G5679" s="38" t="n">
        <f aca="false">MONTH(A5679)</f>
        <v>12</v>
      </c>
      <c r="H5679" s="38" t="n">
        <f aca="false">YEAR(Tabela1[[#This Row],[FECHA]])</f>
        <v>1900</v>
      </c>
      <c r="I56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80" customFormat="false" ht="15" hidden="false" customHeight="false" outlineLevel="0" collapsed="false">
      <c r="A5680" s="41"/>
      <c r="G5680" s="38" t="n">
        <f aca="false">MONTH(A5680)</f>
        <v>12</v>
      </c>
      <c r="H5680" s="38" t="n">
        <f aca="false">YEAR(Tabela1[[#This Row],[FECHA]])</f>
        <v>1900</v>
      </c>
      <c r="I56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81" customFormat="false" ht="15" hidden="false" customHeight="false" outlineLevel="0" collapsed="false">
      <c r="A5681" s="41"/>
      <c r="G5681" s="38" t="n">
        <f aca="false">MONTH(A5681)</f>
        <v>12</v>
      </c>
      <c r="H5681" s="38" t="n">
        <f aca="false">YEAR(Tabela1[[#This Row],[FECHA]])</f>
        <v>1900</v>
      </c>
      <c r="I56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82" customFormat="false" ht="15" hidden="false" customHeight="false" outlineLevel="0" collapsed="false">
      <c r="A5682" s="41"/>
      <c r="G5682" s="38" t="n">
        <f aca="false">MONTH(A5682)</f>
        <v>12</v>
      </c>
      <c r="H5682" s="38" t="n">
        <f aca="false">YEAR(Tabela1[[#This Row],[FECHA]])</f>
        <v>1900</v>
      </c>
      <c r="I56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83" customFormat="false" ht="15" hidden="false" customHeight="false" outlineLevel="0" collapsed="false">
      <c r="A5683" s="41"/>
      <c r="G5683" s="38" t="n">
        <f aca="false">MONTH(A5683)</f>
        <v>12</v>
      </c>
      <c r="H5683" s="38" t="n">
        <f aca="false">YEAR(Tabela1[[#This Row],[FECHA]])</f>
        <v>1900</v>
      </c>
      <c r="I56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84" customFormat="false" ht="15" hidden="false" customHeight="false" outlineLevel="0" collapsed="false">
      <c r="A5684" s="41"/>
      <c r="G5684" s="38" t="n">
        <f aca="false">MONTH(A5684)</f>
        <v>12</v>
      </c>
      <c r="H5684" s="38" t="n">
        <f aca="false">YEAR(Tabela1[[#This Row],[FECHA]])</f>
        <v>1900</v>
      </c>
      <c r="I56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85" customFormat="false" ht="15" hidden="false" customHeight="false" outlineLevel="0" collapsed="false">
      <c r="A5685" s="41"/>
      <c r="G5685" s="38" t="n">
        <f aca="false">MONTH(A5685)</f>
        <v>12</v>
      </c>
      <c r="H5685" s="38" t="n">
        <f aca="false">YEAR(Tabela1[[#This Row],[FECHA]])</f>
        <v>1900</v>
      </c>
      <c r="I56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86" customFormat="false" ht="15" hidden="false" customHeight="false" outlineLevel="0" collapsed="false">
      <c r="A5686" s="41"/>
      <c r="G5686" s="38" t="n">
        <f aca="false">MONTH(A5686)</f>
        <v>12</v>
      </c>
      <c r="H5686" s="38" t="n">
        <f aca="false">YEAR(Tabela1[[#This Row],[FECHA]])</f>
        <v>1900</v>
      </c>
      <c r="I56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87" customFormat="false" ht="15" hidden="false" customHeight="false" outlineLevel="0" collapsed="false">
      <c r="A5687" s="41"/>
      <c r="G5687" s="38" t="n">
        <f aca="false">MONTH(A5687)</f>
        <v>12</v>
      </c>
      <c r="H5687" s="38" t="n">
        <f aca="false">YEAR(Tabela1[[#This Row],[FECHA]])</f>
        <v>1900</v>
      </c>
      <c r="I56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88" customFormat="false" ht="15" hidden="false" customHeight="false" outlineLevel="0" collapsed="false">
      <c r="A5688" s="41"/>
      <c r="G5688" s="38" t="n">
        <f aca="false">MONTH(A5688)</f>
        <v>12</v>
      </c>
      <c r="H5688" s="38" t="n">
        <f aca="false">YEAR(Tabela1[[#This Row],[FECHA]])</f>
        <v>1900</v>
      </c>
      <c r="I56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89" customFormat="false" ht="15" hidden="false" customHeight="false" outlineLevel="0" collapsed="false">
      <c r="A5689" s="41"/>
      <c r="G5689" s="38" t="n">
        <f aca="false">MONTH(A5689)</f>
        <v>12</v>
      </c>
      <c r="H5689" s="38" t="n">
        <f aca="false">YEAR(Tabela1[[#This Row],[FECHA]])</f>
        <v>1900</v>
      </c>
      <c r="I56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90" customFormat="false" ht="15" hidden="false" customHeight="false" outlineLevel="0" collapsed="false">
      <c r="A5690" s="41"/>
      <c r="G5690" s="38" t="n">
        <f aca="false">MONTH(A5690)</f>
        <v>12</v>
      </c>
      <c r="H5690" s="38" t="n">
        <f aca="false">YEAR(Tabela1[[#This Row],[FECHA]])</f>
        <v>1900</v>
      </c>
      <c r="I56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91" customFormat="false" ht="15" hidden="false" customHeight="false" outlineLevel="0" collapsed="false">
      <c r="A5691" s="41"/>
      <c r="G5691" s="38" t="n">
        <f aca="false">MONTH(A5691)</f>
        <v>12</v>
      </c>
      <c r="H5691" s="38" t="n">
        <f aca="false">YEAR(Tabela1[[#This Row],[FECHA]])</f>
        <v>1900</v>
      </c>
      <c r="I56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92" customFormat="false" ht="15" hidden="false" customHeight="false" outlineLevel="0" collapsed="false">
      <c r="A5692" s="41"/>
      <c r="G5692" s="38" t="n">
        <f aca="false">MONTH(A5692)</f>
        <v>12</v>
      </c>
      <c r="H5692" s="38" t="n">
        <f aca="false">YEAR(Tabela1[[#This Row],[FECHA]])</f>
        <v>1900</v>
      </c>
      <c r="I56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93" customFormat="false" ht="15" hidden="false" customHeight="false" outlineLevel="0" collapsed="false">
      <c r="A5693" s="41"/>
      <c r="G5693" s="38" t="n">
        <f aca="false">MONTH(A5693)</f>
        <v>12</v>
      </c>
      <c r="H5693" s="38" t="n">
        <f aca="false">YEAR(Tabela1[[#This Row],[FECHA]])</f>
        <v>1900</v>
      </c>
      <c r="I56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94" customFormat="false" ht="15" hidden="false" customHeight="false" outlineLevel="0" collapsed="false">
      <c r="A5694" s="41"/>
      <c r="G5694" s="38" t="n">
        <f aca="false">MONTH(A5694)</f>
        <v>12</v>
      </c>
      <c r="H5694" s="38" t="n">
        <f aca="false">YEAR(Tabela1[[#This Row],[FECHA]])</f>
        <v>1900</v>
      </c>
      <c r="I56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95" customFormat="false" ht="15" hidden="false" customHeight="false" outlineLevel="0" collapsed="false">
      <c r="A5695" s="41"/>
      <c r="G5695" s="38" t="n">
        <f aca="false">MONTH(A5695)</f>
        <v>12</v>
      </c>
      <c r="H5695" s="38" t="n">
        <f aca="false">YEAR(Tabela1[[#This Row],[FECHA]])</f>
        <v>1900</v>
      </c>
      <c r="I56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96" customFormat="false" ht="15" hidden="false" customHeight="false" outlineLevel="0" collapsed="false">
      <c r="A5696" s="41"/>
      <c r="G5696" s="38" t="n">
        <f aca="false">MONTH(A5696)</f>
        <v>12</v>
      </c>
      <c r="H5696" s="38" t="n">
        <f aca="false">YEAR(Tabela1[[#This Row],[FECHA]])</f>
        <v>1900</v>
      </c>
      <c r="I56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97" customFormat="false" ht="15" hidden="false" customHeight="false" outlineLevel="0" collapsed="false">
      <c r="A5697" s="41"/>
      <c r="G5697" s="38" t="n">
        <f aca="false">MONTH(A5697)</f>
        <v>12</v>
      </c>
      <c r="H5697" s="38" t="n">
        <f aca="false">YEAR(Tabela1[[#This Row],[FECHA]])</f>
        <v>1900</v>
      </c>
      <c r="I56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98" customFormat="false" ht="15" hidden="false" customHeight="false" outlineLevel="0" collapsed="false">
      <c r="A5698" s="41"/>
      <c r="G5698" s="38" t="n">
        <f aca="false">MONTH(A5698)</f>
        <v>12</v>
      </c>
      <c r="H5698" s="38" t="n">
        <f aca="false">YEAR(Tabela1[[#This Row],[FECHA]])</f>
        <v>1900</v>
      </c>
      <c r="I56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699" customFormat="false" ht="15" hidden="false" customHeight="false" outlineLevel="0" collapsed="false">
      <c r="A5699" s="41"/>
      <c r="G5699" s="38" t="n">
        <f aca="false">MONTH(A5699)</f>
        <v>12</v>
      </c>
      <c r="H5699" s="38" t="n">
        <f aca="false">YEAR(Tabela1[[#This Row],[FECHA]])</f>
        <v>1900</v>
      </c>
      <c r="I56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00" customFormat="false" ht="15" hidden="false" customHeight="false" outlineLevel="0" collapsed="false">
      <c r="A5700" s="41"/>
      <c r="G5700" s="38" t="n">
        <f aca="false">MONTH(A5700)</f>
        <v>12</v>
      </c>
      <c r="H5700" s="38" t="n">
        <f aca="false">YEAR(Tabela1[[#This Row],[FECHA]])</f>
        <v>1900</v>
      </c>
      <c r="I57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01" customFormat="false" ht="15" hidden="false" customHeight="false" outlineLevel="0" collapsed="false">
      <c r="A5701" s="41"/>
      <c r="G5701" s="38" t="n">
        <f aca="false">MONTH(A5701)</f>
        <v>12</v>
      </c>
      <c r="H5701" s="38" t="n">
        <f aca="false">YEAR(Tabela1[[#This Row],[FECHA]])</f>
        <v>1900</v>
      </c>
      <c r="I57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02" customFormat="false" ht="15" hidden="false" customHeight="false" outlineLevel="0" collapsed="false">
      <c r="A5702" s="41"/>
      <c r="G5702" s="38" t="n">
        <f aca="false">MONTH(A5702)</f>
        <v>12</v>
      </c>
      <c r="H5702" s="38" t="n">
        <f aca="false">YEAR(Tabela1[[#This Row],[FECHA]])</f>
        <v>1900</v>
      </c>
      <c r="I57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03" customFormat="false" ht="15" hidden="false" customHeight="false" outlineLevel="0" collapsed="false">
      <c r="A5703" s="41"/>
      <c r="G5703" s="38" t="n">
        <f aca="false">MONTH(A5703)</f>
        <v>12</v>
      </c>
      <c r="H5703" s="38" t="n">
        <f aca="false">YEAR(Tabela1[[#This Row],[FECHA]])</f>
        <v>1900</v>
      </c>
      <c r="I57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04" customFormat="false" ht="15" hidden="false" customHeight="false" outlineLevel="0" collapsed="false">
      <c r="A5704" s="41"/>
      <c r="G5704" s="38" t="n">
        <f aca="false">MONTH(A5704)</f>
        <v>12</v>
      </c>
      <c r="H5704" s="38" t="n">
        <f aca="false">YEAR(Tabela1[[#This Row],[FECHA]])</f>
        <v>1900</v>
      </c>
      <c r="I57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05" customFormat="false" ht="15" hidden="false" customHeight="false" outlineLevel="0" collapsed="false">
      <c r="A5705" s="41"/>
      <c r="G5705" s="38" t="n">
        <f aca="false">MONTH(A5705)</f>
        <v>12</v>
      </c>
      <c r="H5705" s="38" t="n">
        <f aca="false">YEAR(Tabela1[[#This Row],[FECHA]])</f>
        <v>1900</v>
      </c>
      <c r="I57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06" customFormat="false" ht="15" hidden="false" customHeight="false" outlineLevel="0" collapsed="false">
      <c r="A5706" s="41"/>
      <c r="G5706" s="38" t="n">
        <f aca="false">MONTH(A5706)</f>
        <v>12</v>
      </c>
      <c r="H5706" s="38" t="n">
        <f aca="false">YEAR(Tabela1[[#This Row],[FECHA]])</f>
        <v>1900</v>
      </c>
      <c r="I57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07" customFormat="false" ht="15" hidden="false" customHeight="false" outlineLevel="0" collapsed="false">
      <c r="A5707" s="41"/>
      <c r="G5707" s="38" t="n">
        <f aca="false">MONTH(A5707)</f>
        <v>12</v>
      </c>
      <c r="H5707" s="38" t="n">
        <f aca="false">YEAR(Tabela1[[#This Row],[FECHA]])</f>
        <v>1900</v>
      </c>
      <c r="I57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08" customFormat="false" ht="15" hidden="false" customHeight="false" outlineLevel="0" collapsed="false">
      <c r="A5708" s="41"/>
      <c r="G5708" s="38" t="n">
        <f aca="false">MONTH(A5708)</f>
        <v>12</v>
      </c>
      <c r="H5708" s="38" t="n">
        <f aca="false">YEAR(Tabela1[[#This Row],[FECHA]])</f>
        <v>1900</v>
      </c>
      <c r="I57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09" customFormat="false" ht="15" hidden="false" customHeight="false" outlineLevel="0" collapsed="false">
      <c r="A5709" s="41"/>
      <c r="G5709" s="38" t="n">
        <f aca="false">MONTH(A5709)</f>
        <v>12</v>
      </c>
      <c r="H5709" s="38" t="n">
        <f aca="false">YEAR(Tabela1[[#This Row],[FECHA]])</f>
        <v>1900</v>
      </c>
      <c r="I57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10" customFormat="false" ht="15" hidden="false" customHeight="false" outlineLevel="0" collapsed="false">
      <c r="A5710" s="41"/>
      <c r="G5710" s="38" t="n">
        <f aca="false">MONTH(A5710)</f>
        <v>12</v>
      </c>
      <c r="H5710" s="38" t="n">
        <f aca="false">YEAR(Tabela1[[#This Row],[FECHA]])</f>
        <v>1900</v>
      </c>
      <c r="I57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11" customFormat="false" ht="15" hidden="false" customHeight="false" outlineLevel="0" collapsed="false">
      <c r="A5711" s="41"/>
      <c r="G5711" s="38" t="n">
        <f aca="false">MONTH(A5711)</f>
        <v>12</v>
      </c>
      <c r="H5711" s="38" t="n">
        <f aca="false">YEAR(Tabela1[[#This Row],[FECHA]])</f>
        <v>1900</v>
      </c>
      <c r="I57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12" customFormat="false" ht="15" hidden="false" customHeight="false" outlineLevel="0" collapsed="false">
      <c r="A5712" s="41"/>
      <c r="G5712" s="38" t="n">
        <f aca="false">MONTH(A5712)</f>
        <v>12</v>
      </c>
      <c r="H5712" s="38" t="n">
        <f aca="false">YEAR(Tabela1[[#This Row],[FECHA]])</f>
        <v>1900</v>
      </c>
      <c r="I57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13" customFormat="false" ht="15" hidden="false" customHeight="false" outlineLevel="0" collapsed="false">
      <c r="A5713" s="41"/>
      <c r="G5713" s="38" t="n">
        <f aca="false">MONTH(A5713)</f>
        <v>12</v>
      </c>
      <c r="H5713" s="38" t="n">
        <f aca="false">YEAR(Tabela1[[#This Row],[FECHA]])</f>
        <v>1900</v>
      </c>
      <c r="I57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14" customFormat="false" ht="15" hidden="false" customHeight="false" outlineLevel="0" collapsed="false">
      <c r="A5714" s="41"/>
      <c r="G5714" s="38" t="n">
        <f aca="false">MONTH(A5714)</f>
        <v>12</v>
      </c>
      <c r="H5714" s="38" t="n">
        <f aca="false">YEAR(Tabela1[[#This Row],[FECHA]])</f>
        <v>1900</v>
      </c>
      <c r="I57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15" customFormat="false" ht="15" hidden="false" customHeight="false" outlineLevel="0" collapsed="false">
      <c r="A5715" s="41"/>
      <c r="G5715" s="38" t="n">
        <f aca="false">MONTH(A5715)</f>
        <v>12</v>
      </c>
      <c r="H5715" s="38" t="n">
        <f aca="false">YEAR(Tabela1[[#This Row],[FECHA]])</f>
        <v>1900</v>
      </c>
      <c r="I57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16" customFormat="false" ht="15" hidden="false" customHeight="false" outlineLevel="0" collapsed="false">
      <c r="A5716" s="41"/>
      <c r="G5716" s="38" t="n">
        <f aca="false">MONTH(A5716)</f>
        <v>12</v>
      </c>
      <c r="H5716" s="38" t="n">
        <f aca="false">YEAR(Tabela1[[#This Row],[FECHA]])</f>
        <v>1900</v>
      </c>
      <c r="I57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17" customFormat="false" ht="15" hidden="false" customHeight="false" outlineLevel="0" collapsed="false">
      <c r="A5717" s="41"/>
      <c r="G5717" s="38" t="n">
        <f aca="false">MONTH(A5717)</f>
        <v>12</v>
      </c>
      <c r="H5717" s="38" t="n">
        <f aca="false">YEAR(Tabela1[[#This Row],[FECHA]])</f>
        <v>1900</v>
      </c>
      <c r="I57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18" customFormat="false" ht="15" hidden="false" customHeight="false" outlineLevel="0" collapsed="false">
      <c r="A5718" s="41"/>
      <c r="G5718" s="38" t="n">
        <f aca="false">MONTH(A5718)</f>
        <v>12</v>
      </c>
      <c r="H5718" s="38" t="n">
        <f aca="false">YEAR(Tabela1[[#This Row],[FECHA]])</f>
        <v>1900</v>
      </c>
      <c r="I57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19" customFormat="false" ht="15" hidden="false" customHeight="false" outlineLevel="0" collapsed="false">
      <c r="A5719" s="41"/>
      <c r="G5719" s="38" t="n">
        <f aca="false">MONTH(A5719)</f>
        <v>12</v>
      </c>
      <c r="H5719" s="38" t="n">
        <f aca="false">YEAR(Tabela1[[#This Row],[FECHA]])</f>
        <v>1900</v>
      </c>
      <c r="I57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20" customFormat="false" ht="15" hidden="false" customHeight="false" outlineLevel="0" collapsed="false">
      <c r="A5720" s="41"/>
      <c r="G5720" s="38" t="n">
        <f aca="false">MONTH(A5720)</f>
        <v>12</v>
      </c>
      <c r="H5720" s="38" t="n">
        <f aca="false">YEAR(Tabela1[[#This Row],[FECHA]])</f>
        <v>1900</v>
      </c>
      <c r="I57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21" customFormat="false" ht="15" hidden="false" customHeight="false" outlineLevel="0" collapsed="false">
      <c r="A5721" s="41"/>
      <c r="G5721" s="38" t="n">
        <f aca="false">MONTH(A5721)</f>
        <v>12</v>
      </c>
      <c r="H5721" s="38" t="n">
        <f aca="false">YEAR(Tabela1[[#This Row],[FECHA]])</f>
        <v>1900</v>
      </c>
      <c r="I57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22" customFormat="false" ht="15" hidden="false" customHeight="false" outlineLevel="0" collapsed="false">
      <c r="A5722" s="41"/>
      <c r="G5722" s="38" t="n">
        <f aca="false">MONTH(A5722)</f>
        <v>12</v>
      </c>
      <c r="H5722" s="38" t="n">
        <f aca="false">YEAR(Tabela1[[#This Row],[FECHA]])</f>
        <v>1900</v>
      </c>
      <c r="I57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23" customFormat="false" ht="15" hidden="false" customHeight="false" outlineLevel="0" collapsed="false">
      <c r="A5723" s="41"/>
      <c r="G5723" s="38" t="n">
        <f aca="false">MONTH(A5723)</f>
        <v>12</v>
      </c>
      <c r="H5723" s="38" t="n">
        <f aca="false">YEAR(Tabela1[[#This Row],[FECHA]])</f>
        <v>1900</v>
      </c>
      <c r="I57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24" customFormat="false" ht="15" hidden="false" customHeight="false" outlineLevel="0" collapsed="false">
      <c r="A5724" s="41"/>
      <c r="G5724" s="38" t="n">
        <f aca="false">MONTH(A5724)</f>
        <v>12</v>
      </c>
      <c r="H5724" s="38" t="n">
        <f aca="false">YEAR(Tabela1[[#This Row],[FECHA]])</f>
        <v>1900</v>
      </c>
      <c r="I57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25" customFormat="false" ht="15" hidden="false" customHeight="false" outlineLevel="0" collapsed="false">
      <c r="A5725" s="41"/>
      <c r="G5725" s="38" t="n">
        <f aca="false">MONTH(A5725)</f>
        <v>12</v>
      </c>
      <c r="H5725" s="38" t="n">
        <f aca="false">YEAR(Tabela1[[#This Row],[FECHA]])</f>
        <v>1900</v>
      </c>
      <c r="I57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26" customFormat="false" ht="15" hidden="false" customHeight="false" outlineLevel="0" collapsed="false">
      <c r="A5726" s="41"/>
      <c r="G5726" s="38" t="n">
        <f aca="false">MONTH(A5726)</f>
        <v>12</v>
      </c>
      <c r="H5726" s="38" t="n">
        <f aca="false">YEAR(Tabela1[[#This Row],[FECHA]])</f>
        <v>1900</v>
      </c>
      <c r="I57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27" customFormat="false" ht="15" hidden="false" customHeight="false" outlineLevel="0" collapsed="false">
      <c r="A5727" s="41"/>
      <c r="G5727" s="38" t="n">
        <f aca="false">MONTH(A5727)</f>
        <v>12</v>
      </c>
      <c r="H5727" s="38" t="n">
        <f aca="false">YEAR(Tabela1[[#This Row],[FECHA]])</f>
        <v>1900</v>
      </c>
      <c r="I57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28" customFormat="false" ht="15" hidden="false" customHeight="false" outlineLevel="0" collapsed="false">
      <c r="A5728" s="41"/>
      <c r="G5728" s="38" t="n">
        <f aca="false">MONTH(A5728)</f>
        <v>12</v>
      </c>
      <c r="H5728" s="38" t="n">
        <f aca="false">YEAR(Tabela1[[#This Row],[FECHA]])</f>
        <v>1900</v>
      </c>
      <c r="I57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29" customFormat="false" ht="15" hidden="false" customHeight="false" outlineLevel="0" collapsed="false">
      <c r="A5729" s="41"/>
      <c r="G5729" s="38" t="n">
        <f aca="false">MONTH(A5729)</f>
        <v>12</v>
      </c>
      <c r="H5729" s="38" t="n">
        <f aca="false">YEAR(Tabela1[[#This Row],[FECHA]])</f>
        <v>1900</v>
      </c>
      <c r="I57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30" customFormat="false" ht="15" hidden="false" customHeight="false" outlineLevel="0" collapsed="false">
      <c r="A5730" s="41"/>
      <c r="G5730" s="38" t="n">
        <f aca="false">MONTH(A5730)</f>
        <v>12</v>
      </c>
      <c r="H5730" s="38" t="n">
        <f aca="false">YEAR(Tabela1[[#This Row],[FECHA]])</f>
        <v>1900</v>
      </c>
      <c r="I57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31" customFormat="false" ht="15" hidden="false" customHeight="false" outlineLevel="0" collapsed="false">
      <c r="A5731" s="41"/>
      <c r="G5731" s="38" t="n">
        <f aca="false">MONTH(A5731)</f>
        <v>12</v>
      </c>
      <c r="H5731" s="38" t="n">
        <f aca="false">YEAR(Tabela1[[#This Row],[FECHA]])</f>
        <v>1900</v>
      </c>
      <c r="I57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32" customFormat="false" ht="15" hidden="false" customHeight="false" outlineLevel="0" collapsed="false">
      <c r="A5732" s="41"/>
      <c r="G5732" s="38" t="n">
        <f aca="false">MONTH(A5732)</f>
        <v>12</v>
      </c>
      <c r="H5732" s="38" t="n">
        <f aca="false">YEAR(Tabela1[[#This Row],[FECHA]])</f>
        <v>1900</v>
      </c>
      <c r="I57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33" customFormat="false" ht="15" hidden="false" customHeight="false" outlineLevel="0" collapsed="false">
      <c r="A5733" s="41"/>
      <c r="G5733" s="38" t="n">
        <f aca="false">MONTH(A5733)</f>
        <v>12</v>
      </c>
      <c r="H5733" s="38" t="n">
        <f aca="false">YEAR(Tabela1[[#This Row],[FECHA]])</f>
        <v>1900</v>
      </c>
      <c r="I57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34" customFormat="false" ht="15" hidden="false" customHeight="false" outlineLevel="0" collapsed="false">
      <c r="A5734" s="41"/>
      <c r="G5734" s="38" t="n">
        <f aca="false">MONTH(A5734)</f>
        <v>12</v>
      </c>
      <c r="H5734" s="38" t="n">
        <f aca="false">YEAR(Tabela1[[#This Row],[FECHA]])</f>
        <v>1900</v>
      </c>
      <c r="I57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35" customFormat="false" ht="15" hidden="false" customHeight="false" outlineLevel="0" collapsed="false">
      <c r="A5735" s="41"/>
      <c r="G5735" s="38" t="n">
        <f aca="false">MONTH(A5735)</f>
        <v>12</v>
      </c>
      <c r="H5735" s="38" t="n">
        <f aca="false">YEAR(Tabela1[[#This Row],[FECHA]])</f>
        <v>1900</v>
      </c>
      <c r="I57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36" customFormat="false" ht="15" hidden="false" customHeight="false" outlineLevel="0" collapsed="false">
      <c r="A5736" s="41"/>
      <c r="G5736" s="38" t="n">
        <f aca="false">MONTH(A5736)</f>
        <v>12</v>
      </c>
      <c r="H5736" s="38" t="n">
        <f aca="false">YEAR(Tabela1[[#This Row],[FECHA]])</f>
        <v>1900</v>
      </c>
      <c r="I57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37" customFormat="false" ht="15" hidden="false" customHeight="false" outlineLevel="0" collapsed="false">
      <c r="A5737" s="41"/>
      <c r="G5737" s="38" t="n">
        <f aca="false">MONTH(A5737)</f>
        <v>12</v>
      </c>
      <c r="H5737" s="38" t="n">
        <f aca="false">YEAR(Tabela1[[#This Row],[FECHA]])</f>
        <v>1900</v>
      </c>
      <c r="I57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38" customFormat="false" ht="15" hidden="false" customHeight="false" outlineLevel="0" collapsed="false">
      <c r="A5738" s="41"/>
      <c r="G5738" s="38" t="n">
        <f aca="false">MONTH(A5738)</f>
        <v>12</v>
      </c>
      <c r="H5738" s="38" t="n">
        <f aca="false">YEAR(Tabela1[[#This Row],[FECHA]])</f>
        <v>1900</v>
      </c>
      <c r="I57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39" customFormat="false" ht="15" hidden="false" customHeight="false" outlineLevel="0" collapsed="false">
      <c r="A5739" s="41"/>
      <c r="G5739" s="38" t="n">
        <f aca="false">MONTH(A5739)</f>
        <v>12</v>
      </c>
      <c r="H5739" s="38" t="n">
        <f aca="false">YEAR(Tabela1[[#This Row],[FECHA]])</f>
        <v>1900</v>
      </c>
      <c r="I57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40" customFormat="false" ht="15" hidden="false" customHeight="false" outlineLevel="0" collapsed="false">
      <c r="A5740" s="41"/>
      <c r="G5740" s="38" t="n">
        <f aca="false">MONTH(A5740)</f>
        <v>12</v>
      </c>
      <c r="H5740" s="38" t="n">
        <f aca="false">YEAR(Tabela1[[#This Row],[FECHA]])</f>
        <v>1900</v>
      </c>
      <c r="I57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41" customFormat="false" ht="15" hidden="false" customHeight="false" outlineLevel="0" collapsed="false">
      <c r="A5741" s="41"/>
      <c r="G5741" s="38" t="n">
        <f aca="false">MONTH(A5741)</f>
        <v>12</v>
      </c>
      <c r="H5741" s="38" t="n">
        <f aca="false">YEAR(Tabela1[[#This Row],[FECHA]])</f>
        <v>1900</v>
      </c>
      <c r="I57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42" customFormat="false" ht="15" hidden="false" customHeight="false" outlineLevel="0" collapsed="false">
      <c r="A5742" s="41"/>
      <c r="G5742" s="38" t="n">
        <f aca="false">MONTH(A5742)</f>
        <v>12</v>
      </c>
      <c r="H5742" s="38" t="n">
        <f aca="false">YEAR(Tabela1[[#This Row],[FECHA]])</f>
        <v>1900</v>
      </c>
      <c r="I57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43" customFormat="false" ht="15" hidden="false" customHeight="false" outlineLevel="0" collapsed="false">
      <c r="A5743" s="41"/>
      <c r="G5743" s="38" t="n">
        <f aca="false">MONTH(A5743)</f>
        <v>12</v>
      </c>
      <c r="H5743" s="38" t="n">
        <f aca="false">YEAR(Tabela1[[#This Row],[FECHA]])</f>
        <v>1900</v>
      </c>
      <c r="I57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44" customFormat="false" ht="15" hidden="false" customHeight="false" outlineLevel="0" collapsed="false">
      <c r="A5744" s="41"/>
      <c r="G5744" s="38" t="n">
        <f aca="false">MONTH(A5744)</f>
        <v>12</v>
      </c>
      <c r="H5744" s="38" t="n">
        <f aca="false">YEAR(Tabela1[[#This Row],[FECHA]])</f>
        <v>1900</v>
      </c>
      <c r="I57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45" customFormat="false" ht="15" hidden="false" customHeight="false" outlineLevel="0" collapsed="false">
      <c r="A5745" s="41"/>
      <c r="G5745" s="38" t="n">
        <f aca="false">MONTH(A5745)</f>
        <v>12</v>
      </c>
      <c r="H5745" s="38" t="n">
        <f aca="false">YEAR(Tabela1[[#This Row],[FECHA]])</f>
        <v>1900</v>
      </c>
      <c r="I57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46" customFormat="false" ht="15" hidden="false" customHeight="false" outlineLevel="0" collapsed="false">
      <c r="A5746" s="41"/>
      <c r="G5746" s="38" t="n">
        <f aca="false">MONTH(A5746)</f>
        <v>12</v>
      </c>
      <c r="H5746" s="38" t="n">
        <f aca="false">YEAR(Tabela1[[#This Row],[FECHA]])</f>
        <v>1900</v>
      </c>
      <c r="I57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47" customFormat="false" ht="15" hidden="false" customHeight="false" outlineLevel="0" collapsed="false">
      <c r="A5747" s="41"/>
      <c r="G5747" s="38" t="n">
        <f aca="false">MONTH(A5747)</f>
        <v>12</v>
      </c>
      <c r="H5747" s="38" t="n">
        <f aca="false">YEAR(Tabela1[[#This Row],[FECHA]])</f>
        <v>1900</v>
      </c>
      <c r="I57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48" customFormat="false" ht="15" hidden="false" customHeight="false" outlineLevel="0" collapsed="false">
      <c r="A5748" s="41"/>
      <c r="G5748" s="38" t="n">
        <f aca="false">MONTH(A5748)</f>
        <v>12</v>
      </c>
      <c r="H5748" s="38" t="n">
        <f aca="false">YEAR(Tabela1[[#This Row],[FECHA]])</f>
        <v>1900</v>
      </c>
      <c r="I57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49" customFormat="false" ht="15" hidden="false" customHeight="false" outlineLevel="0" collapsed="false">
      <c r="A5749" s="41"/>
      <c r="G5749" s="38" t="n">
        <f aca="false">MONTH(A5749)</f>
        <v>12</v>
      </c>
      <c r="H5749" s="38" t="n">
        <f aca="false">YEAR(Tabela1[[#This Row],[FECHA]])</f>
        <v>1900</v>
      </c>
      <c r="I57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50" customFormat="false" ht="15" hidden="false" customHeight="false" outlineLevel="0" collapsed="false">
      <c r="A5750" s="41"/>
      <c r="G5750" s="38" t="n">
        <f aca="false">MONTH(A5750)</f>
        <v>12</v>
      </c>
      <c r="H5750" s="38" t="n">
        <f aca="false">YEAR(Tabela1[[#This Row],[FECHA]])</f>
        <v>1900</v>
      </c>
      <c r="I57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51" customFormat="false" ht="15" hidden="false" customHeight="false" outlineLevel="0" collapsed="false">
      <c r="A5751" s="41"/>
      <c r="G5751" s="38" t="n">
        <f aca="false">MONTH(A5751)</f>
        <v>12</v>
      </c>
      <c r="H5751" s="38" t="n">
        <f aca="false">YEAR(Tabela1[[#This Row],[FECHA]])</f>
        <v>1900</v>
      </c>
      <c r="I57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52" customFormat="false" ht="15" hidden="false" customHeight="false" outlineLevel="0" collapsed="false">
      <c r="A5752" s="41"/>
      <c r="G5752" s="38" t="n">
        <f aca="false">MONTH(A5752)</f>
        <v>12</v>
      </c>
      <c r="H5752" s="38" t="n">
        <f aca="false">YEAR(Tabela1[[#This Row],[FECHA]])</f>
        <v>1900</v>
      </c>
      <c r="I57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53" customFormat="false" ht="15" hidden="false" customHeight="false" outlineLevel="0" collapsed="false">
      <c r="A5753" s="41"/>
      <c r="G5753" s="38" t="n">
        <f aca="false">MONTH(A5753)</f>
        <v>12</v>
      </c>
      <c r="H5753" s="38" t="n">
        <f aca="false">YEAR(Tabela1[[#This Row],[FECHA]])</f>
        <v>1900</v>
      </c>
      <c r="I57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54" customFormat="false" ht="15" hidden="false" customHeight="false" outlineLevel="0" collapsed="false">
      <c r="A5754" s="41"/>
      <c r="G5754" s="38" t="n">
        <f aca="false">MONTH(A5754)</f>
        <v>12</v>
      </c>
      <c r="H5754" s="38" t="n">
        <f aca="false">YEAR(Tabela1[[#This Row],[FECHA]])</f>
        <v>1900</v>
      </c>
      <c r="I57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55" customFormat="false" ht="15" hidden="false" customHeight="false" outlineLevel="0" collapsed="false">
      <c r="A5755" s="41"/>
      <c r="G5755" s="38" t="n">
        <f aca="false">MONTH(A5755)</f>
        <v>12</v>
      </c>
      <c r="H5755" s="38" t="n">
        <f aca="false">YEAR(Tabela1[[#This Row],[FECHA]])</f>
        <v>1900</v>
      </c>
      <c r="I57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56" customFormat="false" ht="15" hidden="false" customHeight="false" outlineLevel="0" collapsed="false">
      <c r="A5756" s="41"/>
      <c r="G5756" s="38" t="n">
        <f aca="false">MONTH(A5756)</f>
        <v>12</v>
      </c>
      <c r="H5756" s="38" t="n">
        <f aca="false">YEAR(Tabela1[[#This Row],[FECHA]])</f>
        <v>1900</v>
      </c>
      <c r="I57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57" customFormat="false" ht="15" hidden="false" customHeight="false" outlineLevel="0" collapsed="false">
      <c r="A5757" s="41"/>
      <c r="G5757" s="38" t="n">
        <f aca="false">MONTH(A5757)</f>
        <v>12</v>
      </c>
      <c r="H5757" s="38" t="n">
        <f aca="false">YEAR(Tabela1[[#This Row],[FECHA]])</f>
        <v>1900</v>
      </c>
      <c r="I57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58" customFormat="false" ht="15" hidden="false" customHeight="false" outlineLevel="0" collapsed="false">
      <c r="A5758" s="41"/>
      <c r="G5758" s="38" t="n">
        <f aca="false">MONTH(A5758)</f>
        <v>12</v>
      </c>
      <c r="H5758" s="38" t="n">
        <f aca="false">YEAR(Tabela1[[#This Row],[FECHA]])</f>
        <v>1900</v>
      </c>
      <c r="I57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59" customFormat="false" ht="15" hidden="false" customHeight="false" outlineLevel="0" collapsed="false">
      <c r="A5759" s="41"/>
      <c r="G5759" s="38" t="n">
        <f aca="false">MONTH(A5759)</f>
        <v>12</v>
      </c>
      <c r="H5759" s="38" t="n">
        <f aca="false">YEAR(Tabela1[[#This Row],[FECHA]])</f>
        <v>1900</v>
      </c>
      <c r="I57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60" customFormat="false" ht="15" hidden="false" customHeight="false" outlineLevel="0" collapsed="false">
      <c r="A5760" s="41"/>
      <c r="G5760" s="38" t="n">
        <f aca="false">MONTH(A5760)</f>
        <v>12</v>
      </c>
      <c r="H5760" s="38" t="n">
        <f aca="false">YEAR(Tabela1[[#This Row],[FECHA]])</f>
        <v>1900</v>
      </c>
      <c r="I57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61" customFormat="false" ht="15" hidden="false" customHeight="false" outlineLevel="0" collapsed="false">
      <c r="A5761" s="41"/>
      <c r="G5761" s="38" t="n">
        <f aca="false">MONTH(A5761)</f>
        <v>12</v>
      </c>
      <c r="H5761" s="38" t="n">
        <f aca="false">YEAR(Tabela1[[#This Row],[FECHA]])</f>
        <v>1900</v>
      </c>
      <c r="I57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62" customFormat="false" ht="15" hidden="false" customHeight="false" outlineLevel="0" collapsed="false">
      <c r="A5762" s="41"/>
      <c r="G5762" s="38" t="n">
        <f aca="false">MONTH(A5762)</f>
        <v>12</v>
      </c>
      <c r="H5762" s="38" t="n">
        <f aca="false">YEAR(Tabela1[[#This Row],[FECHA]])</f>
        <v>1900</v>
      </c>
      <c r="I57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63" customFormat="false" ht="15" hidden="false" customHeight="false" outlineLevel="0" collapsed="false">
      <c r="A5763" s="41"/>
      <c r="G5763" s="38" t="n">
        <f aca="false">MONTH(A5763)</f>
        <v>12</v>
      </c>
      <c r="H5763" s="38" t="n">
        <f aca="false">YEAR(Tabela1[[#This Row],[FECHA]])</f>
        <v>1900</v>
      </c>
      <c r="I57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64" customFormat="false" ht="15" hidden="false" customHeight="false" outlineLevel="0" collapsed="false">
      <c r="A5764" s="41"/>
      <c r="G5764" s="38" t="n">
        <f aca="false">MONTH(A5764)</f>
        <v>12</v>
      </c>
      <c r="H5764" s="38" t="n">
        <f aca="false">YEAR(Tabela1[[#This Row],[FECHA]])</f>
        <v>1900</v>
      </c>
      <c r="I57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65" customFormat="false" ht="15" hidden="false" customHeight="false" outlineLevel="0" collapsed="false">
      <c r="A5765" s="41"/>
      <c r="G5765" s="38" t="n">
        <f aca="false">MONTH(A5765)</f>
        <v>12</v>
      </c>
      <c r="H5765" s="38" t="n">
        <f aca="false">YEAR(Tabela1[[#This Row],[FECHA]])</f>
        <v>1900</v>
      </c>
      <c r="I57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66" customFormat="false" ht="15" hidden="false" customHeight="false" outlineLevel="0" collapsed="false">
      <c r="A5766" s="41"/>
      <c r="G5766" s="38" t="n">
        <f aca="false">MONTH(A5766)</f>
        <v>12</v>
      </c>
      <c r="H5766" s="38" t="n">
        <f aca="false">YEAR(Tabela1[[#This Row],[FECHA]])</f>
        <v>1900</v>
      </c>
      <c r="I57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67" customFormat="false" ht="15" hidden="false" customHeight="false" outlineLevel="0" collapsed="false">
      <c r="A5767" s="41"/>
      <c r="G5767" s="38" t="n">
        <f aca="false">MONTH(A5767)</f>
        <v>12</v>
      </c>
      <c r="H5767" s="38" t="n">
        <f aca="false">YEAR(Tabela1[[#This Row],[FECHA]])</f>
        <v>1900</v>
      </c>
      <c r="I57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68" customFormat="false" ht="15" hidden="false" customHeight="false" outlineLevel="0" collapsed="false">
      <c r="A5768" s="41"/>
      <c r="G5768" s="38" t="n">
        <f aca="false">MONTH(A5768)</f>
        <v>12</v>
      </c>
      <c r="H5768" s="38" t="n">
        <f aca="false">YEAR(Tabela1[[#This Row],[FECHA]])</f>
        <v>1900</v>
      </c>
      <c r="I57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69" customFormat="false" ht="15" hidden="false" customHeight="false" outlineLevel="0" collapsed="false">
      <c r="A5769" s="41"/>
      <c r="G5769" s="38" t="n">
        <f aca="false">MONTH(A5769)</f>
        <v>12</v>
      </c>
      <c r="H5769" s="38" t="n">
        <f aca="false">YEAR(Tabela1[[#This Row],[FECHA]])</f>
        <v>1900</v>
      </c>
      <c r="I57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70" customFormat="false" ht="15" hidden="false" customHeight="false" outlineLevel="0" collapsed="false">
      <c r="A5770" s="41"/>
      <c r="G5770" s="38" t="n">
        <f aca="false">MONTH(A5770)</f>
        <v>12</v>
      </c>
      <c r="H5770" s="38" t="n">
        <f aca="false">YEAR(Tabela1[[#This Row],[FECHA]])</f>
        <v>1900</v>
      </c>
      <c r="I57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71" customFormat="false" ht="15" hidden="false" customHeight="false" outlineLevel="0" collapsed="false">
      <c r="A5771" s="41"/>
      <c r="G5771" s="38" t="n">
        <f aca="false">MONTH(A5771)</f>
        <v>12</v>
      </c>
      <c r="H5771" s="38" t="n">
        <f aca="false">YEAR(Tabela1[[#This Row],[FECHA]])</f>
        <v>1900</v>
      </c>
      <c r="I57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72" customFormat="false" ht="15" hidden="false" customHeight="false" outlineLevel="0" collapsed="false">
      <c r="A5772" s="41"/>
      <c r="G5772" s="38" t="n">
        <f aca="false">MONTH(A5772)</f>
        <v>12</v>
      </c>
      <c r="H5772" s="38" t="n">
        <f aca="false">YEAR(Tabela1[[#This Row],[FECHA]])</f>
        <v>1900</v>
      </c>
      <c r="I57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73" customFormat="false" ht="15" hidden="false" customHeight="false" outlineLevel="0" collapsed="false">
      <c r="A5773" s="41"/>
      <c r="G5773" s="38" t="n">
        <f aca="false">MONTH(A5773)</f>
        <v>12</v>
      </c>
      <c r="H5773" s="38" t="n">
        <f aca="false">YEAR(Tabela1[[#This Row],[FECHA]])</f>
        <v>1900</v>
      </c>
      <c r="I57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74" customFormat="false" ht="15" hidden="false" customHeight="false" outlineLevel="0" collapsed="false">
      <c r="A5774" s="41"/>
      <c r="G5774" s="38" t="n">
        <f aca="false">MONTH(A5774)</f>
        <v>12</v>
      </c>
      <c r="H5774" s="38" t="n">
        <f aca="false">YEAR(Tabela1[[#This Row],[FECHA]])</f>
        <v>1900</v>
      </c>
      <c r="I57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75" customFormat="false" ht="15" hidden="false" customHeight="false" outlineLevel="0" collapsed="false">
      <c r="A5775" s="41"/>
      <c r="G5775" s="38" t="n">
        <f aca="false">MONTH(A5775)</f>
        <v>12</v>
      </c>
      <c r="H5775" s="38" t="n">
        <f aca="false">YEAR(Tabela1[[#This Row],[FECHA]])</f>
        <v>1900</v>
      </c>
      <c r="I57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76" customFormat="false" ht="15" hidden="false" customHeight="false" outlineLevel="0" collapsed="false">
      <c r="A5776" s="41"/>
      <c r="G5776" s="38" t="n">
        <f aca="false">MONTH(A5776)</f>
        <v>12</v>
      </c>
      <c r="H5776" s="38" t="n">
        <f aca="false">YEAR(Tabela1[[#This Row],[FECHA]])</f>
        <v>1900</v>
      </c>
      <c r="I57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77" customFormat="false" ht="15" hidden="false" customHeight="false" outlineLevel="0" collapsed="false">
      <c r="A5777" s="41"/>
      <c r="G5777" s="38" t="n">
        <f aca="false">MONTH(A5777)</f>
        <v>12</v>
      </c>
      <c r="H5777" s="38" t="n">
        <f aca="false">YEAR(Tabela1[[#This Row],[FECHA]])</f>
        <v>1900</v>
      </c>
      <c r="I57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78" customFormat="false" ht="15" hidden="false" customHeight="false" outlineLevel="0" collapsed="false">
      <c r="A5778" s="41"/>
      <c r="G5778" s="38" t="n">
        <f aca="false">MONTH(A5778)</f>
        <v>12</v>
      </c>
      <c r="H5778" s="38" t="n">
        <f aca="false">YEAR(Tabela1[[#This Row],[FECHA]])</f>
        <v>1900</v>
      </c>
      <c r="I57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79" customFormat="false" ht="15" hidden="false" customHeight="false" outlineLevel="0" collapsed="false">
      <c r="A5779" s="41"/>
      <c r="G5779" s="38" t="n">
        <f aca="false">MONTH(A5779)</f>
        <v>12</v>
      </c>
      <c r="H5779" s="38" t="n">
        <f aca="false">YEAR(Tabela1[[#This Row],[FECHA]])</f>
        <v>1900</v>
      </c>
      <c r="I57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80" customFormat="false" ht="15" hidden="false" customHeight="false" outlineLevel="0" collapsed="false">
      <c r="A5780" s="41"/>
      <c r="G5780" s="38" t="n">
        <f aca="false">MONTH(A5780)</f>
        <v>12</v>
      </c>
      <c r="H5780" s="38" t="n">
        <f aca="false">YEAR(Tabela1[[#This Row],[FECHA]])</f>
        <v>1900</v>
      </c>
      <c r="I57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81" customFormat="false" ht="15" hidden="false" customHeight="false" outlineLevel="0" collapsed="false">
      <c r="A5781" s="41"/>
      <c r="G5781" s="38" t="n">
        <f aca="false">MONTH(A5781)</f>
        <v>12</v>
      </c>
      <c r="H5781" s="38" t="n">
        <f aca="false">YEAR(Tabela1[[#This Row],[FECHA]])</f>
        <v>1900</v>
      </c>
      <c r="I57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82" customFormat="false" ht="15" hidden="false" customHeight="false" outlineLevel="0" collapsed="false">
      <c r="A5782" s="41"/>
      <c r="G5782" s="38" t="n">
        <f aca="false">MONTH(A5782)</f>
        <v>12</v>
      </c>
      <c r="H5782" s="38" t="n">
        <f aca="false">YEAR(Tabela1[[#This Row],[FECHA]])</f>
        <v>1900</v>
      </c>
      <c r="I57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83" customFormat="false" ht="15" hidden="false" customHeight="false" outlineLevel="0" collapsed="false">
      <c r="A5783" s="41"/>
      <c r="G5783" s="38" t="n">
        <f aca="false">MONTH(A5783)</f>
        <v>12</v>
      </c>
      <c r="H5783" s="38" t="n">
        <f aca="false">YEAR(Tabela1[[#This Row],[FECHA]])</f>
        <v>1900</v>
      </c>
      <c r="I57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84" customFormat="false" ht="15" hidden="false" customHeight="false" outlineLevel="0" collapsed="false">
      <c r="A5784" s="41"/>
      <c r="G5784" s="38" t="n">
        <f aca="false">MONTH(A5784)</f>
        <v>12</v>
      </c>
      <c r="H5784" s="38" t="n">
        <f aca="false">YEAR(Tabela1[[#This Row],[FECHA]])</f>
        <v>1900</v>
      </c>
      <c r="I57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85" customFormat="false" ht="15" hidden="false" customHeight="false" outlineLevel="0" collapsed="false">
      <c r="A5785" s="41"/>
      <c r="G5785" s="38" t="n">
        <f aca="false">MONTH(A5785)</f>
        <v>12</v>
      </c>
      <c r="H5785" s="38" t="n">
        <f aca="false">YEAR(Tabela1[[#This Row],[FECHA]])</f>
        <v>1900</v>
      </c>
      <c r="I57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86" customFormat="false" ht="15" hidden="false" customHeight="false" outlineLevel="0" collapsed="false">
      <c r="A5786" s="41"/>
      <c r="G5786" s="38" t="n">
        <f aca="false">MONTH(A5786)</f>
        <v>12</v>
      </c>
      <c r="H5786" s="38" t="n">
        <f aca="false">YEAR(Tabela1[[#This Row],[FECHA]])</f>
        <v>1900</v>
      </c>
      <c r="I57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87" customFormat="false" ht="15" hidden="false" customHeight="false" outlineLevel="0" collapsed="false">
      <c r="A5787" s="41"/>
      <c r="G5787" s="38" t="n">
        <f aca="false">MONTH(A5787)</f>
        <v>12</v>
      </c>
      <c r="H5787" s="38" t="n">
        <f aca="false">YEAR(Tabela1[[#This Row],[FECHA]])</f>
        <v>1900</v>
      </c>
      <c r="I57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88" customFormat="false" ht="15" hidden="false" customHeight="false" outlineLevel="0" collapsed="false">
      <c r="A5788" s="41"/>
      <c r="G5788" s="38" t="n">
        <f aca="false">MONTH(A5788)</f>
        <v>12</v>
      </c>
      <c r="H5788" s="38" t="n">
        <f aca="false">YEAR(Tabela1[[#This Row],[FECHA]])</f>
        <v>1900</v>
      </c>
      <c r="I57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89" customFormat="false" ht="15" hidden="false" customHeight="false" outlineLevel="0" collapsed="false">
      <c r="A5789" s="41"/>
      <c r="G5789" s="38" t="n">
        <f aca="false">MONTH(A5789)</f>
        <v>12</v>
      </c>
      <c r="H5789" s="38" t="n">
        <f aca="false">YEAR(Tabela1[[#This Row],[FECHA]])</f>
        <v>1900</v>
      </c>
      <c r="I57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90" customFormat="false" ht="15" hidden="false" customHeight="false" outlineLevel="0" collapsed="false">
      <c r="A5790" s="41"/>
      <c r="G5790" s="38" t="n">
        <f aca="false">MONTH(A5790)</f>
        <v>12</v>
      </c>
      <c r="H5790" s="38" t="n">
        <f aca="false">YEAR(Tabela1[[#This Row],[FECHA]])</f>
        <v>1900</v>
      </c>
      <c r="I57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91" customFormat="false" ht="15" hidden="false" customHeight="false" outlineLevel="0" collapsed="false">
      <c r="A5791" s="41"/>
      <c r="G5791" s="38" t="n">
        <f aca="false">MONTH(A5791)</f>
        <v>12</v>
      </c>
      <c r="H5791" s="38" t="n">
        <f aca="false">YEAR(Tabela1[[#This Row],[FECHA]])</f>
        <v>1900</v>
      </c>
      <c r="I57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92" customFormat="false" ht="15" hidden="false" customHeight="false" outlineLevel="0" collapsed="false">
      <c r="A5792" s="41"/>
      <c r="G5792" s="38" t="n">
        <f aca="false">MONTH(A5792)</f>
        <v>12</v>
      </c>
      <c r="H5792" s="38" t="n">
        <f aca="false">YEAR(Tabela1[[#This Row],[FECHA]])</f>
        <v>1900</v>
      </c>
      <c r="I57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93" customFormat="false" ht="15" hidden="false" customHeight="false" outlineLevel="0" collapsed="false">
      <c r="A5793" s="41"/>
      <c r="G5793" s="38" t="n">
        <f aca="false">MONTH(A5793)</f>
        <v>12</v>
      </c>
      <c r="H5793" s="38" t="n">
        <f aca="false">YEAR(Tabela1[[#This Row],[FECHA]])</f>
        <v>1900</v>
      </c>
      <c r="I57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94" customFormat="false" ht="15" hidden="false" customHeight="false" outlineLevel="0" collapsed="false">
      <c r="A5794" s="41"/>
      <c r="G5794" s="38" t="n">
        <f aca="false">MONTH(A5794)</f>
        <v>12</v>
      </c>
      <c r="H5794" s="38" t="n">
        <f aca="false">YEAR(Tabela1[[#This Row],[FECHA]])</f>
        <v>1900</v>
      </c>
      <c r="I57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95" customFormat="false" ht="15" hidden="false" customHeight="false" outlineLevel="0" collapsed="false">
      <c r="A5795" s="41"/>
      <c r="G5795" s="38" t="n">
        <f aca="false">MONTH(A5795)</f>
        <v>12</v>
      </c>
      <c r="H5795" s="38" t="n">
        <f aca="false">YEAR(Tabela1[[#This Row],[FECHA]])</f>
        <v>1900</v>
      </c>
      <c r="I57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96" customFormat="false" ht="15" hidden="false" customHeight="false" outlineLevel="0" collapsed="false">
      <c r="A5796" s="41"/>
      <c r="G5796" s="38" t="n">
        <f aca="false">MONTH(A5796)</f>
        <v>12</v>
      </c>
      <c r="H5796" s="38" t="n">
        <f aca="false">YEAR(Tabela1[[#This Row],[FECHA]])</f>
        <v>1900</v>
      </c>
      <c r="I57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97" customFormat="false" ht="15" hidden="false" customHeight="false" outlineLevel="0" collapsed="false">
      <c r="A5797" s="41"/>
      <c r="G5797" s="38" t="n">
        <f aca="false">MONTH(A5797)</f>
        <v>12</v>
      </c>
      <c r="H5797" s="38" t="n">
        <f aca="false">YEAR(Tabela1[[#This Row],[FECHA]])</f>
        <v>1900</v>
      </c>
      <c r="I57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98" customFormat="false" ht="15" hidden="false" customHeight="false" outlineLevel="0" collapsed="false">
      <c r="A5798" s="41"/>
      <c r="G5798" s="38" t="n">
        <f aca="false">MONTH(A5798)</f>
        <v>12</v>
      </c>
      <c r="H5798" s="38" t="n">
        <f aca="false">YEAR(Tabela1[[#This Row],[FECHA]])</f>
        <v>1900</v>
      </c>
      <c r="I57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799" customFormat="false" ht="15" hidden="false" customHeight="false" outlineLevel="0" collapsed="false">
      <c r="A5799" s="41"/>
      <c r="G5799" s="38" t="n">
        <f aca="false">MONTH(A5799)</f>
        <v>12</v>
      </c>
      <c r="H5799" s="38" t="n">
        <f aca="false">YEAR(Tabela1[[#This Row],[FECHA]])</f>
        <v>1900</v>
      </c>
      <c r="I57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00" customFormat="false" ht="15" hidden="false" customHeight="false" outlineLevel="0" collapsed="false">
      <c r="A5800" s="41"/>
      <c r="G5800" s="38" t="n">
        <f aca="false">MONTH(A5800)</f>
        <v>12</v>
      </c>
      <c r="H5800" s="38" t="n">
        <f aca="false">YEAR(Tabela1[[#This Row],[FECHA]])</f>
        <v>1900</v>
      </c>
      <c r="I58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01" customFormat="false" ht="15" hidden="false" customHeight="false" outlineLevel="0" collapsed="false">
      <c r="A5801" s="41"/>
      <c r="G5801" s="38" t="n">
        <f aca="false">MONTH(A5801)</f>
        <v>12</v>
      </c>
      <c r="H5801" s="38" t="n">
        <f aca="false">YEAR(Tabela1[[#This Row],[FECHA]])</f>
        <v>1900</v>
      </c>
      <c r="I58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02" customFormat="false" ht="15" hidden="false" customHeight="false" outlineLevel="0" collapsed="false">
      <c r="A5802" s="41"/>
      <c r="G5802" s="38" t="n">
        <f aca="false">MONTH(A5802)</f>
        <v>12</v>
      </c>
      <c r="H5802" s="38" t="n">
        <f aca="false">YEAR(Tabela1[[#This Row],[FECHA]])</f>
        <v>1900</v>
      </c>
      <c r="I58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03" customFormat="false" ht="15" hidden="false" customHeight="false" outlineLevel="0" collapsed="false">
      <c r="A5803" s="41"/>
      <c r="G5803" s="38" t="n">
        <f aca="false">MONTH(A5803)</f>
        <v>12</v>
      </c>
      <c r="H5803" s="38" t="n">
        <f aca="false">YEAR(Tabela1[[#This Row],[FECHA]])</f>
        <v>1900</v>
      </c>
      <c r="I58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04" customFormat="false" ht="15" hidden="false" customHeight="false" outlineLevel="0" collapsed="false">
      <c r="A5804" s="41"/>
      <c r="G5804" s="38" t="n">
        <f aca="false">MONTH(A5804)</f>
        <v>12</v>
      </c>
      <c r="H5804" s="38" t="n">
        <f aca="false">YEAR(Tabela1[[#This Row],[FECHA]])</f>
        <v>1900</v>
      </c>
      <c r="I58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05" customFormat="false" ht="15" hidden="false" customHeight="false" outlineLevel="0" collapsed="false">
      <c r="A5805" s="41"/>
      <c r="G5805" s="38" t="n">
        <f aca="false">MONTH(A5805)</f>
        <v>12</v>
      </c>
      <c r="H5805" s="38" t="n">
        <f aca="false">YEAR(Tabela1[[#This Row],[FECHA]])</f>
        <v>1900</v>
      </c>
      <c r="I58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06" customFormat="false" ht="15" hidden="false" customHeight="false" outlineLevel="0" collapsed="false">
      <c r="A5806" s="41"/>
      <c r="G5806" s="38" t="n">
        <f aca="false">MONTH(A5806)</f>
        <v>12</v>
      </c>
      <c r="H5806" s="38" t="n">
        <f aca="false">YEAR(Tabela1[[#This Row],[FECHA]])</f>
        <v>1900</v>
      </c>
      <c r="I58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07" customFormat="false" ht="15" hidden="false" customHeight="false" outlineLevel="0" collapsed="false">
      <c r="A5807" s="41"/>
      <c r="G5807" s="38" t="n">
        <f aca="false">MONTH(A5807)</f>
        <v>12</v>
      </c>
      <c r="H5807" s="38" t="n">
        <f aca="false">YEAR(Tabela1[[#This Row],[FECHA]])</f>
        <v>1900</v>
      </c>
      <c r="I58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08" customFormat="false" ht="15" hidden="false" customHeight="false" outlineLevel="0" collapsed="false">
      <c r="A5808" s="41"/>
      <c r="G5808" s="38" t="n">
        <f aca="false">MONTH(A5808)</f>
        <v>12</v>
      </c>
      <c r="H5808" s="38" t="n">
        <f aca="false">YEAR(Tabela1[[#This Row],[FECHA]])</f>
        <v>1900</v>
      </c>
      <c r="I58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09" customFormat="false" ht="15" hidden="false" customHeight="false" outlineLevel="0" collapsed="false">
      <c r="A5809" s="41"/>
      <c r="G5809" s="38" t="n">
        <f aca="false">MONTH(A5809)</f>
        <v>12</v>
      </c>
      <c r="H5809" s="38" t="n">
        <f aca="false">YEAR(Tabela1[[#This Row],[FECHA]])</f>
        <v>1900</v>
      </c>
      <c r="I58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10" customFormat="false" ht="15" hidden="false" customHeight="false" outlineLevel="0" collapsed="false">
      <c r="A5810" s="41"/>
      <c r="G5810" s="38" t="n">
        <f aca="false">MONTH(A5810)</f>
        <v>12</v>
      </c>
      <c r="H5810" s="38" t="n">
        <f aca="false">YEAR(Tabela1[[#This Row],[FECHA]])</f>
        <v>1900</v>
      </c>
      <c r="I58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11" customFormat="false" ht="15" hidden="false" customHeight="false" outlineLevel="0" collapsed="false">
      <c r="A5811" s="41"/>
      <c r="G5811" s="38" t="n">
        <f aca="false">MONTH(A5811)</f>
        <v>12</v>
      </c>
      <c r="H5811" s="38" t="n">
        <f aca="false">YEAR(Tabela1[[#This Row],[FECHA]])</f>
        <v>1900</v>
      </c>
      <c r="I58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12" customFormat="false" ht="15" hidden="false" customHeight="false" outlineLevel="0" collapsed="false">
      <c r="A5812" s="41"/>
      <c r="G5812" s="38" t="n">
        <f aca="false">MONTH(A5812)</f>
        <v>12</v>
      </c>
      <c r="H5812" s="38" t="n">
        <f aca="false">YEAR(Tabela1[[#This Row],[FECHA]])</f>
        <v>1900</v>
      </c>
      <c r="I58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13" customFormat="false" ht="15" hidden="false" customHeight="false" outlineLevel="0" collapsed="false">
      <c r="A5813" s="41"/>
      <c r="G5813" s="38" t="n">
        <f aca="false">MONTH(A5813)</f>
        <v>12</v>
      </c>
      <c r="H5813" s="38" t="n">
        <f aca="false">YEAR(Tabela1[[#This Row],[FECHA]])</f>
        <v>1900</v>
      </c>
      <c r="I58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14" customFormat="false" ht="15" hidden="false" customHeight="false" outlineLevel="0" collapsed="false">
      <c r="A5814" s="41"/>
      <c r="G5814" s="38" t="n">
        <f aca="false">MONTH(A5814)</f>
        <v>12</v>
      </c>
      <c r="H5814" s="38" t="n">
        <f aca="false">YEAR(Tabela1[[#This Row],[FECHA]])</f>
        <v>1900</v>
      </c>
      <c r="I58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15" customFormat="false" ht="15" hidden="false" customHeight="false" outlineLevel="0" collapsed="false">
      <c r="A5815" s="41"/>
      <c r="G5815" s="38" t="n">
        <f aca="false">MONTH(A5815)</f>
        <v>12</v>
      </c>
      <c r="H5815" s="38" t="n">
        <f aca="false">YEAR(Tabela1[[#This Row],[FECHA]])</f>
        <v>1900</v>
      </c>
      <c r="I58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16" customFormat="false" ht="15" hidden="false" customHeight="false" outlineLevel="0" collapsed="false">
      <c r="A5816" s="41"/>
      <c r="G5816" s="38" t="n">
        <f aca="false">MONTH(A5816)</f>
        <v>12</v>
      </c>
      <c r="H5816" s="38" t="n">
        <f aca="false">YEAR(Tabela1[[#This Row],[FECHA]])</f>
        <v>1900</v>
      </c>
      <c r="I58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17" customFormat="false" ht="15" hidden="false" customHeight="false" outlineLevel="0" collapsed="false">
      <c r="A5817" s="41"/>
      <c r="G5817" s="38" t="n">
        <f aca="false">MONTH(A5817)</f>
        <v>12</v>
      </c>
      <c r="H5817" s="38" t="n">
        <f aca="false">YEAR(Tabela1[[#This Row],[FECHA]])</f>
        <v>1900</v>
      </c>
      <c r="I58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18" customFormat="false" ht="15" hidden="false" customHeight="false" outlineLevel="0" collapsed="false">
      <c r="A5818" s="41"/>
      <c r="G5818" s="38" t="n">
        <f aca="false">MONTH(A5818)</f>
        <v>12</v>
      </c>
      <c r="H5818" s="38" t="n">
        <f aca="false">YEAR(Tabela1[[#This Row],[FECHA]])</f>
        <v>1900</v>
      </c>
      <c r="I58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19" customFormat="false" ht="15" hidden="false" customHeight="false" outlineLevel="0" collapsed="false">
      <c r="A5819" s="41"/>
      <c r="G5819" s="38" t="n">
        <f aca="false">MONTH(A5819)</f>
        <v>12</v>
      </c>
      <c r="H5819" s="38" t="n">
        <f aca="false">YEAR(Tabela1[[#This Row],[FECHA]])</f>
        <v>1900</v>
      </c>
      <c r="I58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20" customFormat="false" ht="15" hidden="false" customHeight="false" outlineLevel="0" collapsed="false">
      <c r="A5820" s="41"/>
      <c r="G5820" s="38" t="n">
        <f aca="false">MONTH(A5820)</f>
        <v>12</v>
      </c>
      <c r="H5820" s="38" t="n">
        <f aca="false">YEAR(Tabela1[[#This Row],[FECHA]])</f>
        <v>1900</v>
      </c>
      <c r="I58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21" customFormat="false" ht="15" hidden="false" customHeight="false" outlineLevel="0" collapsed="false">
      <c r="A5821" s="41"/>
      <c r="G5821" s="38" t="n">
        <f aca="false">MONTH(A5821)</f>
        <v>12</v>
      </c>
      <c r="H5821" s="38" t="n">
        <f aca="false">YEAR(Tabela1[[#This Row],[FECHA]])</f>
        <v>1900</v>
      </c>
      <c r="I58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22" customFormat="false" ht="15" hidden="false" customHeight="false" outlineLevel="0" collapsed="false">
      <c r="A5822" s="41"/>
      <c r="G5822" s="38" t="n">
        <f aca="false">MONTH(A5822)</f>
        <v>12</v>
      </c>
      <c r="H5822" s="38" t="n">
        <f aca="false">YEAR(Tabela1[[#This Row],[FECHA]])</f>
        <v>1900</v>
      </c>
      <c r="I58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23" customFormat="false" ht="15" hidden="false" customHeight="false" outlineLevel="0" collapsed="false">
      <c r="A5823" s="41"/>
      <c r="G5823" s="38" t="n">
        <f aca="false">MONTH(A5823)</f>
        <v>12</v>
      </c>
      <c r="H5823" s="38" t="n">
        <f aca="false">YEAR(Tabela1[[#This Row],[FECHA]])</f>
        <v>1900</v>
      </c>
      <c r="I58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24" customFormat="false" ht="15" hidden="false" customHeight="false" outlineLevel="0" collapsed="false">
      <c r="A5824" s="41"/>
      <c r="G5824" s="38" t="n">
        <f aca="false">MONTH(A5824)</f>
        <v>12</v>
      </c>
      <c r="H5824" s="38" t="n">
        <f aca="false">YEAR(Tabela1[[#This Row],[FECHA]])</f>
        <v>1900</v>
      </c>
      <c r="I58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25" customFormat="false" ht="15" hidden="false" customHeight="false" outlineLevel="0" collapsed="false">
      <c r="A5825" s="41"/>
      <c r="G5825" s="38" t="n">
        <f aca="false">MONTH(A5825)</f>
        <v>12</v>
      </c>
      <c r="H5825" s="38" t="n">
        <f aca="false">YEAR(Tabela1[[#This Row],[FECHA]])</f>
        <v>1900</v>
      </c>
      <c r="I58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26" customFormat="false" ht="15" hidden="false" customHeight="false" outlineLevel="0" collapsed="false">
      <c r="A5826" s="41"/>
      <c r="G5826" s="38" t="n">
        <f aca="false">MONTH(A5826)</f>
        <v>12</v>
      </c>
      <c r="H5826" s="38" t="n">
        <f aca="false">YEAR(Tabela1[[#This Row],[FECHA]])</f>
        <v>1900</v>
      </c>
      <c r="I58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27" customFormat="false" ht="15" hidden="false" customHeight="false" outlineLevel="0" collapsed="false">
      <c r="A5827" s="41"/>
      <c r="G5827" s="38" t="n">
        <f aca="false">MONTH(A5827)</f>
        <v>12</v>
      </c>
      <c r="H5827" s="38" t="n">
        <f aca="false">YEAR(Tabela1[[#This Row],[FECHA]])</f>
        <v>1900</v>
      </c>
      <c r="I58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28" customFormat="false" ht="15" hidden="false" customHeight="false" outlineLevel="0" collapsed="false">
      <c r="A5828" s="41"/>
      <c r="G5828" s="38" t="n">
        <f aca="false">MONTH(A5828)</f>
        <v>12</v>
      </c>
      <c r="H5828" s="38" t="n">
        <f aca="false">YEAR(Tabela1[[#This Row],[FECHA]])</f>
        <v>1900</v>
      </c>
      <c r="I58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29" customFormat="false" ht="15" hidden="false" customHeight="false" outlineLevel="0" collapsed="false">
      <c r="A5829" s="41"/>
      <c r="G5829" s="38" t="n">
        <f aca="false">MONTH(A5829)</f>
        <v>12</v>
      </c>
      <c r="H5829" s="38" t="n">
        <f aca="false">YEAR(Tabela1[[#This Row],[FECHA]])</f>
        <v>1900</v>
      </c>
      <c r="I58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30" customFormat="false" ht="15" hidden="false" customHeight="false" outlineLevel="0" collapsed="false">
      <c r="A5830" s="41"/>
      <c r="G5830" s="38" t="n">
        <f aca="false">MONTH(A5830)</f>
        <v>12</v>
      </c>
      <c r="H5830" s="38" t="n">
        <f aca="false">YEAR(Tabela1[[#This Row],[FECHA]])</f>
        <v>1900</v>
      </c>
      <c r="I58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31" customFormat="false" ht="15" hidden="false" customHeight="false" outlineLevel="0" collapsed="false">
      <c r="A5831" s="41"/>
      <c r="G5831" s="38" t="n">
        <f aca="false">MONTH(A5831)</f>
        <v>12</v>
      </c>
      <c r="H5831" s="38" t="n">
        <f aca="false">YEAR(Tabela1[[#This Row],[FECHA]])</f>
        <v>1900</v>
      </c>
      <c r="I58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32" customFormat="false" ht="15" hidden="false" customHeight="false" outlineLevel="0" collapsed="false">
      <c r="A5832" s="41"/>
      <c r="G5832" s="38" t="n">
        <f aca="false">MONTH(A5832)</f>
        <v>12</v>
      </c>
      <c r="H5832" s="38" t="n">
        <f aca="false">YEAR(Tabela1[[#This Row],[FECHA]])</f>
        <v>1900</v>
      </c>
      <c r="I58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33" customFormat="false" ht="15" hidden="false" customHeight="false" outlineLevel="0" collapsed="false">
      <c r="A5833" s="41"/>
      <c r="G5833" s="38" t="n">
        <f aca="false">MONTH(A5833)</f>
        <v>12</v>
      </c>
      <c r="H5833" s="38" t="n">
        <f aca="false">YEAR(Tabela1[[#This Row],[FECHA]])</f>
        <v>1900</v>
      </c>
      <c r="I58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34" customFormat="false" ht="15" hidden="false" customHeight="false" outlineLevel="0" collapsed="false">
      <c r="A5834" s="41"/>
      <c r="G5834" s="38" t="n">
        <f aca="false">MONTH(A5834)</f>
        <v>12</v>
      </c>
      <c r="H5834" s="38" t="n">
        <f aca="false">YEAR(Tabela1[[#This Row],[FECHA]])</f>
        <v>1900</v>
      </c>
      <c r="I58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35" customFormat="false" ht="15" hidden="false" customHeight="false" outlineLevel="0" collapsed="false">
      <c r="A5835" s="41"/>
      <c r="G5835" s="38" t="n">
        <f aca="false">MONTH(A5835)</f>
        <v>12</v>
      </c>
      <c r="H5835" s="38" t="n">
        <f aca="false">YEAR(Tabela1[[#This Row],[FECHA]])</f>
        <v>1900</v>
      </c>
      <c r="I58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36" customFormat="false" ht="15" hidden="false" customHeight="false" outlineLevel="0" collapsed="false">
      <c r="A5836" s="41"/>
      <c r="G5836" s="38" t="n">
        <f aca="false">MONTH(A5836)</f>
        <v>12</v>
      </c>
      <c r="H5836" s="38" t="n">
        <f aca="false">YEAR(Tabela1[[#This Row],[FECHA]])</f>
        <v>1900</v>
      </c>
      <c r="I58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37" customFormat="false" ht="15" hidden="false" customHeight="false" outlineLevel="0" collapsed="false">
      <c r="A5837" s="41"/>
      <c r="G5837" s="38" t="n">
        <f aca="false">MONTH(A5837)</f>
        <v>12</v>
      </c>
      <c r="H5837" s="38" t="n">
        <f aca="false">YEAR(Tabela1[[#This Row],[FECHA]])</f>
        <v>1900</v>
      </c>
      <c r="I58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38" customFormat="false" ht="15" hidden="false" customHeight="false" outlineLevel="0" collapsed="false">
      <c r="A5838" s="41"/>
      <c r="G5838" s="38" t="n">
        <f aca="false">MONTH(A5838)</f>
        <v>12</v>
      </c>
      <c r="H5838" s="38" t="n">
        <f aca="false">YEAR(Tabela1[[#This Row],[FECHA]])</f>
        <v>1900</v>
      </c>
      <c r="I58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39" customFormat="false" ht="15" hidden="false" customHeight="false" outlineLevel="0" collapsed="false">
      <c r="A5839" s="41"/>
      <c r="G5839" s="38" t="n">
        <f aca="false">MONTH(A5839)</f>
        <v>12</v>
      </c>
      <c r="H5839" s="38" t="n">
        <f aca="false">YEAR(Tabela1[[#This Row],[FECHA]])</f>
        <v>1900</v>
      </c>
      <c r="I58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40" customFormat="false" ht="15" hidden="false" customHeight="false" outlineLevel="0" collapsed="false">
      <c r="A5840" s="41"/>
      <c r="G5840" s="38" t="n">
        <f aca="false">MONTH(A5840)</f>
        <v>12</v>
      </c>
      <c r="H5840" s="38" t="n">
        <f aca="false">YEAR(Tabela1[[#This Row],[FECHA]])</f>
        <v>1900</v>
      </c>
      <c r="I58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41" customFormat="false" ht="15" hidden="false" customHeight="false" outlineLevel="0" collapsed="false">
      <c r="A5841" s="41"/>
      <c r="G5841" s="38" t="n">
        <f aca="false">MONTH(A5841)</f>
        <v>12</v>
      </c>
      <c r="H5841" s="38" t="n">
        <f aca="false">YEAR(Tabela1[[#This Row],[FECHA]])</f>
        <v>1900</v>
      </c>
      <c r="I58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42" customFormat="false" ht="15" hidden="false" customHeight="false" outlineLevel="0" collapsed="false">
      <c r="A5842" s="41"/>
      <c r="G5842" s="38" t="n">
        <f aca="false">MONTH(A5842)</f>
        <v>12</v>
      </c>
      <c r="H5842" s="38" t="n">
        <f aca="false">YEAR(Tabela1[[#This Row],[FECHA]])</f>
        <v>1900</v>
      </c>
      <c r="I58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43" customFormat="false" ht="15" hidden="false" customHeight="false" outlineLevel="0" collapsed="false">
      <c r="A5843" s="41"/>
      <c r="G5843" s="38" t="n">
        <f aca="false">MONTH(A5843)</f>
        <v>12</v>
      </c>
      <c r="H5843" s="38" t="n">
        <f aca="false">YEAR(Tabela1[[#This Row],[FECHA]])</f>
        <v>1900</v>
      </c>
      <c r="I58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44" customFormat="false" ht="15" hidden="false" customHeight="false" outlineLevel="0" collapsed="false">
      <c r="A5844" s="41"/>
      <c r="G5844" s="38" t="n">
        <f aca="false">MONTH(A5844)</f>
        <v>12</v>
      </c>
      <c r="H5844" s="38" t="n">
        <f aca="false">YEAR(Tabela1[[#This Row],[FECHA]])</f>
        <v>1900</v>
      </c>
      <c r="I58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45" customFormat="false" ht="15" hidden="false" customHeight="false" outlineLevel="0" collapsed="false">
      <c r="A5845" s="41"/>
      <c r="G5845" s="38" t="n">
        <f aca="false">MONTH(A5845)</f>
        <v>12</v>
      </c>
      <c r="H5845" s="38" t="n">
        <f aca="false">YEAR(Tabela1[[#This Row],[FECHA]])</f>
        <v>1900</v>
      </c>
      <c r="I58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46" customFormat="false" ht="15" hidden="false" customHeight="false" outlineLevel="0" collapsed="false">
      <c r="A5846" s="41"/>
      <c r="G5846" s="38" t="n">
        <f aca="false">MONTH(A5846)</f>
        <v>12</v>
      </c>
      <c r="H5846" s="38" t="n">
        <f aca="false">YEAR(Tabela1[[#This Row],[FECHA]])</f>
        <v>1900</v>
      </c>
      <c r="I58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47" customFormat="false" ht="15" hidden="false" customHeight="false" outlineLevel="0" collapsed="false">
      <c r="A5847" s="41"/>
      <c r="G5847" s="38" t="n">
        <f aca="false">MONTH(A5847)</f>
        <v>12</v>
      </c>
      <c r="H5847" s="38" t="n">
        <f aca="false">YEAR(Tabela1[[#This Row],[FECHA]])</f>
        <v>1900</v>
      </c>
      <c r="I58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48" customFormat="false" ht="15" hidden="false" customHeight="false" outlineLevel="0" collapsed="false">
      <c r="A5848" s="41"/>
      <c r="G5848" s="38" t="n">
        <f aca="false">MONTH(A5848)</f>
        <v>12</v>
      </c>
      <c r="H5848" s="38" t="n">
        <f aca="false">YEAR(Tabela1[[#This Row],[FECHA]])</f>
        <v>1900</v>
      </c>
      <c r="I58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49" customFormat="false" ht="15" hidden="false" customHeight="false" outlineLevel="0" collapsed="false">
      <c r="A5849" s="41"/>
      <c r="G5849" s="38" t="n">
        <f aca="false">MONTH(A5849)</f>
        <v>12</v>
      </c>
      <c r="H5849" s="38" t="n">
        <f aca="false">YEAR(Tabela1[[#This Row],[FECHA]])</f>
        <v>1900</v>
      </c>
      <c r="I58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50" customFormat="false" ht="15" hidden="false" customHeight="false" outlineLevel="0" collapsed="false">
      <c r="A5850" s="41"/>
      <c r="G5850" s="38" t="n">
        <f aca="false">MONTH(A5850)</f>
        <v>12</v>
      </c>
      <c r="H5850" s="38" t="n">
        <f aca="false">YEAR(Tabela1[[#This Row],[FECHA]])</f>
        <v>1900</v>
      </c>
      <c r="I58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51" customFormat="false" ht="15" hidden="false" customHeight="false" outlineLevel="0" collapsed="false">
      <c r="A5851" s="41"/>
      <c r="G5851" s="38" t="n">
        <f aca="false">MONTH(A5851)</f>
        <v>12</v>
      </c>
      <c r="H5851" s="38" t="n">
        <f aca="false">YEAR(Tabela1[[#This Row],[FECHA]])</f>
        <v>1900</v>
      </c>
      <c r="I58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52" customFormat="false" ht="15" hidden="false" customHeight="false" outlineLevel="0" collapsed="false">
      <c r="A5852" s="41"/>
      <c r="G5852" s="38" t="n">
        <f aca="false">MONTH(A5852)</f>
        <v>12</v>
      </c>
      <c r="H5852" s="38" t="n">
        <f aca="false">YEAR(Tabela1[[#This Row],[FECHA]])</f>
        <v>1900</v>
      </c>
      <c r="I58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53" customFormat="false" ht="15" hidden="false" customHeight="false" outlineLevel="0" collapsed="false">
      <c r="A5853" s="41"/>
      <c r="G5853" s="38" t="n">
        <f aca="false">MONTH(A5853)</f>
        <v>12</v>
      </c>
      <c r="H5853" s="38" t="n">
        <f aca="false">YEAR(Tabela1[[#This Row],[FECHA]])</f>
        <v>1900</v>
      </c>
      <c r="I58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54" customFormat="false" ht="15" hidden="false" customHeight="false" outlineLevel="0" collapsed="false">
      <c r="A5854" s="41"/>
      <c r="G5854" s="38" t="n">
        <f aca="false">MONTH(A5854)</f>
        <v>12</v>
      </c>
      <c r="H5854" s="38" t="n">
        <f aca="false">YEAR(Tabela1[[#This Row],[FECHA]])</f>
        <v>1900</v>
      </c>
      <c r="I58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55" customFormat="false" ht="15" hidden="false" customHeight="false" outlineLevel="0" collapsed="false">
      <c r="A5855" s="41"/>
      <c r="G5855" s="38" t="n">
        <f aca="false">MONTH(A5855)</f>
        <v>12</v>
      </c>
      <c r="H5855" s="38" t="n">
        <f aca="false">YEAR(Tabela1[[#This Row],[FECHA]])</f>
        <v>1900</v>
      </c>
      <c r="I58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56" customFormat="false" ht="15" hidden="false" customHeight="false" outlineLevel="0" collapsed="false">
      <c r="A5856" s="41"/>
      <c r="G5856" s="38" t="n">
        <f aca="false">MONTH(A5856)</f>
        <v>12</v>
      </c>
      <c r="H5856" s="38" t="n">
        <f aca="false">YEAR(Tabela1[[#This Row],[FECHA]])</f>
        <v>1900</v>
      </c>
      <c r="I58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57" customFormat="false" ht="15" hidden="false" customHeight="false" outlineLevel="0" collapsed="false">
      <c r="A5857" s="41"/>
      <c r="G5857" s="38" t="n">
        <f aca="false">MONTH(A5857)</f>
        <v>12</v>
      </c>
      <c r="H5857" s="38" t="n">
        <f aca="false">YEAR(Tabela1[[#This Row],[FECHA]])</f>
        <v>1900</v>
      </c>
      <c r="I58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58" customFormat="false" ht="15" hidden="false" customHeight="false" outlineLevel="0" collapsed="false">
      <c r="A5858" s="41"/>
      <c r="G5858" s="38" t="n">
        <f aca="false">MONTH(A5858)</f>
        <v>12</v>
      </c>
      <c r="H5858" s="38" t="n">
        <f aca="false">YEAR(Tabela1[[#This Row],[FECHA]])</f>
        <v>1900</v>
      </c>
      <c r="I58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59" customFormat="false" ht="15" hidden="false" customHeight="false" outlineLevel="0" collapsed="false">
      <c r="A5859" s="41"/>
      <c r="G5859" s="38" t="n">
        <f aca="false">MONTH(A5859)</f>
        <v>12</v>
      </c>
      <c r="H5859" s="38" t="n">
        <f aca="false">YEAR(Tabela1[[#This Row],[FECHA]])</f>
        <v>1900</v>
      </c>
      <c r="I58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60" customFormat="false" ht="15" hidden="false" customHeight="false" outlineLevel="0" collapsed="false">
      <c r="A5860" s="41"/>
      <c r="G5860" s="38" t="n">
        <f aca="false">MONTH(A5860)</f>
        <v>12</v>
      </c>
      <c r="H5860" s="38" t="n">
        <f aca="false">YEAR(Tabela1[[#This Row],[FECHA]])</f>
        <v>1900</v>
      </c>
      <c r="I58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61" customFormat="false" ht="15" hidden="false" customHeight="false" outlineLevel="0" collapsed="false">
      <c r="A5861" s="41"/>
      <c r="G5861" s="38" t="n">
        <f aca="false">MONTH(A5861)</f>
        <v>12</v>
      </c>
      <c r="H5861" s="38" t="n">
        <f aca="false">YEAR(Tabela1[[#This Row],[FECHA]])</f>
        <v>1900</v>
      </c>
      <c r="I58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62" customFormat="false" ht="15" hidden="false" customHeight="false" outlineLevel="0" collapsed="false">
      <c r="A5862" s="41"/>
      <c r="G5862" s="38" t="n">
        <f aca="false">MONTH(A5862)</f>
        <v>12</v>
      </c>
      <c r="H5862" s="38" t="n">
        <f aca="false">YEAR(Tabela1[[#This Row],[FECHA]])</f>
        <v>1900</v>
      </c>
      <c r="I58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63" customFormat="false" ht="15" hidden="false" customHeight="false" outlineLevel="0" collapsed="false">
      <c r="A5863" s="41"/>
      <c r="G5863" s="38" t="n">
        <f aca="false">MONTH(A5863)</f>
        <v>12</v>
      </c>
      <c r="H5863" s="38" t="n">
        <f aca="false">YEAR(Tabela1[[#This Row],[FECHA]])</f>
        <v>1900</v>
      </c>
      <c r="I58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64" customFormat="false" ht="15" hidden="false" customHeight="false" outlineLevel="0" collapsed="false">
      <c r="A5864" s="41"/>
      <c r="G5864" s="38" t="n">
        <f aca="false">MONTH(A5864)</f>
        <v>12</v>
      </c>
      <c r="H5864" s="38" t="n">
        <f aca="false">YEAR(Tabela1[[#This Row],[FECHA]])</f>
        <v>1900</v>
      </c>
      <c r="I58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65" customFormat="false" ht="15" hidden="false" customHeight="false" outlineLevel="0" collapsed="false">
      <c r="A5865" s="41"/>
      <c r="G5865" s="38" t="n">
        <f aca="false">MONTH(A5865)</f>
        <v>12</v>
      </c>
      <c r="H5865" s="38" t="n">
        <f aca="false">YEAR(Tabela1[[#This Row],[FECHA]])</f>
        <v>1900</v>
      </c>
      <c r="I58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66" customFormat="false" ht="15" hidden="false" customHeight="false" outlineLevel="0" collapsed="false">
      <c r="A5866" s="41"/>
      <c r="G5866" s="38" t="n">
        <f aca="false">MONTH(A5866)</f>
        <v>12</v>
      </c>
      <c r="H5866" s="38" t="n">
        <f aca="false">YEAR(Tabela1[[#This Row],[FECHA]])</f>
        <v>1900</v>
      </c>
      <c r="I58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67" customFormat="false" ht="15" hidden="false" customHeight="false" outlineLevel="0" collapsed="false">
      <c r="A5867" s="41"/>
      <c r="G5867" s="38" t="n">
        <f aca="false">MONTH(A5867)</f>
        <v>12</v>
      </c>
      <c r="H5867" s="38" t="n">
        <f aca="false">YEAR(Tabela1[[#This Row],[FECHA]])</f>
        <v>1900</v>
      </c>
      <c r="I58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68" customFormat="false" ht="15" hidden="false" customHeight="false" outlineLevel="0" collapsed="false">
      <c r="A5868" s="41"/>
      <c r="G5868" s="38" t="n">
        <f aca="false">MONTH(A5868)</f>
        <v>12</v>
      </c>
      <c r="H5868" s="38" t="n">
        <f aca="false">YEAR(Tabela1[[#This Row],[FECHA]])</f>
        <v>1900</v>
      </c>
      <c r="I58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69" customFormat="false" ht="15" hidden="false" customHeight="false" outlineLevel="0" collapsed="false">
      <c r="A5869" s="41"/>
      <c r="G5869" s="38" t="n">
        <f aca="false">MONTH(A5869)</f>
        <v>12</v>
      </c>
      <c r="H5869" s="38" t="n">
        <f aca="false">YEAR(Tabela1[[#This Row],[FECHA]])</f>
        <v>1900</v>
      </c>
      <c r="I58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70" customFormat="false" ht="15" hidden="false" customHeight="false" outlineLevel="0" collapsed="false">
      <c r="A5870" s="41"/>
      <c r="G5870" s="38" t="n">
        <f aca="false">MONTH(A5870)</f>
        <v>12</v>
      </c>
      <c r="H5870" s="38" t="n">
        <f aca="false">YEAR(Tabela1[[#This Row],[FECHA]])</f>
        <v>1900</v>
      </c>
      <c r="I58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71" customFormat="false" ht="15" hidden="false" customHeight="false" outlineLevel="0" collapsed="false">
      <c r="A5871" s="41"/>
      <c r="G5871" s="38" t="n">
        <f aca="false">MONTH(A5871)</f>
        <v>12</v>
      </c>
      <c r="H5871" s="38" t="n">
        <f aca="false">YEAR(Tabela1[[#This Row],[FECHA]])</f>
        <v>1900</v>
      </c>
      <c r="I58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72" customFormat="false" ht="15" hidden="false" customHeight="false" outlineLevel="0" collapsed="false">
      <c r="A5872" s="41"/>
      <c r="G5872" s="38" t="n">
        <f aca="false">MONTH(A5872)</f>
        <v>12</v>
      </c>
      <c r="H5872" s="38" t="n">
        <f aca="false">YEAR(Tabela1[[#This Row],[FECHA]])</f>
        <v>1900</v>
      </c>
      <c r="I58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73" customFormat="false" ht="15" hidden="false" customHeight="false" outlineLevel="0" collapsed="false">
      <c r="A5873" s="41"/>
      <c r="G5873" s="38" t="n">
        <f aca="false">MONTH(A5873)</f>
        <v>12</v>
      </c>
      <c r="H5873" s="38" t="n">
        <f aca="false">YEAR(Tabela1[[#This Row],[FECHA]])</f>
        <v>1900</v>
      </c>
      <c r="I58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74" customFormat="false" ht="15" hidden="false" customHeight="false" outlineLevel="0" collapsed="false">
      <c r="A5874" s="41"/>
      <c r="G5874" s="38" t="n">
        <f aca="false">MONTH(A5874)</f>
        <v>12</v>
      </c>
      <c r="H5874" s="38" t="n">
        <f aca="false">YEAR(Tabela1[[#This Row],[FECHA]])</f>
        <v>1900</v>
      </c>
      <c r="I58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75" customFormat="false" ht="15" hidden="false" customHeight="false" outlineLevel="0" collapsed="false">
      <c r="A5875" s="41"/>
      <c r="G5875" s="38" t="n">
        <f aca="false">MONTH(A5875)</f>
        <v>12</v>
      </c>
      <c r="H5875" s="38" t="n">
        <f aca="false">YEAR(Tabela1[[#This Row],[FECHA]])</f>
        <v>1900</v>
      </c>
      <c r="I58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76" customFormat="false" ht="15" hidden="false" customHeight="false" outlineLevel="0" collapsed="false">
      <c r="A5876" s="41"/>
      <c r="G5876" s="38" t="n">
        <f aca="false">MONTH(A5876)</f>
        <v>12</v>
      </c>
      <c r="H5876" s="38" t="n">
        <f aca="false">YEAR(Tabela1[[#This Row],[FECHA]])</f>
        <v>1900</v>
      </c>
      <c r="I58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77" customFormat="false" ht="15" hidden="false" customHeight="false" outlineLevel="0" collapsed="false">
      <c r="A5877" s="41"/>
      <c r="G5877" s="38" t="n">
        <f aca="false">MONTH(A5877)</f>
        <v>12</v>
      </c>
      <c r="H5877" s="38" t="n">
        <f aca="false">YEAR(Tabela1[[#This Row],[FECHA]])</f>
        <v>1900</v>
      </c>
      <c r="I58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78" customFormat="false" ht="15" hidden="false" customHeight="false" outlineLevel="0" collapsed="false">
      <c r="A5878" s="41"/>
      <c r="G5878" s="38" t="n">
        <f aca="false">MONTH(A5878)</f>
        <v>12</v>
      </c>
      <c r="H5878" s="38" t="n">
        <f aca="false">YEAR(Tabela1[[#This Row],[FECHA]])</f>
        <v>1900</v>
      </c>
      <c r="I58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79" customFormat="false" ht="15" hidden="false" customHeight="false" outlineLevel="0" collapsed="false">
      <c r="A5879" s="41"/>
      <c r="G5879" s="38" t="n">
        <f aca="false">MONTH(A5879)</f>
        <v>12</v>
      </c>
      <c r="H5879" s="38" t="n">
        <f aca="false">YEAR(Tabela1[[#This Row],[FECHA]])</f>
        <v>1900</v>
      </c>
      <c r="I58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80" customFormat="false" ht="15" hidden="false" customHeight="false" outlineLevel="0" collapsed="false">
      <c r="A5880" s="41"/>
      <c r="G5880" s="38" t="n">
        <f aca="false">MONTH(A5880)</f>
        <v>12</v>
      </c>
      <c r="H5880" s="38" t="n">
        <f aca="false">YEAR(Tabela1[[#This Row],[FECHA]])</f>
        <v>1900</v>
      </c>
      <c r="I58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81" customFormat="false" ht="15" hidden="false" customHeight="false" outlineLevel="0" collapsed="false">
      <c r="A5881" s="41"/>
      <c r="G5881" s="38" t="n">
        <f aca="false">MONTH(A5881)</f>
        <v>12</v>
      </c>
      <c r="H5881" s="38" t="n">
        <f aca="false">YEAR(Tabela1[[#This Row],[FECHA]])</f>
        <v>1900</v>
      </c>
      <c r="I58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82" customFormat="false" ht="15" hidden="false" customHeight="false" outlineLevel="0" collapsed="false">
      <c r="A5882" s="41"/>
      <c r="G5882" s="38" t="n">
        <f aca="false">MONTH(A5882)</f>
        <v>12</v>
      </c>
      <c r="H5882" s="38" t="n">
        <f aca="false">YEAR(Tabela1[[#This Row],[FECHA]])</f>
        <v>1900</v>
      </c>
      <c r="I58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83" customFormat="false" ht="15" hidden="false" customHeight="false" outlineLevel="0" collapsed="false">
      <c r="A5883" s="41"/>
      <c r="G5883" s="38" t="n">
        <f aca="false">MONTH(A5883)</f>
        <v>12</v>
      </c>
      <c r="H5883" s="38" t="n">
        <f aca="false">YEAR(Tabela1[[#This Row],[FECHA]])</f>
        <v>1900</v>
      </c>
      <c r="I58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84" customFormat="false" ht="15" hidden="false" customHeight="false" outlineLevel="0" collapsed="false">
      <c r="A5884" s="41"/>
      <c r="G5884" s="38" t="n">
        <f aca="false">MONTH(A5884)</f>
        <v>12</v>
      </c>
      <c r="H5884" s="38" t="n">
        <f aca="false">YEAR(Tabela1[[#This Row],[FECHA]])</f>
        <v>1900</v>
      </c>
      <c r="I58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85" customFormat="false" ht="15" hidden="false" customHeight="false" outlineLevel="0" collapsed="false">
      <c r="A5885" s="41"/>
      <c r="G5885" s="38" t="n">
        <f aca="false">MONTH(A5885)</f>
        <v>12</v>
      </c>
      <c r="H5885" s="38" t="n">
        <f aca="false">YEAR(Tabela1[[#This Row],[FECHA]])</f>
        <v>1900</v>
      </c>
      <c r="I58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86" customFormat="false" ht="15" hidden="false" customHeight="false" outlineLevel="0" collapsed="false">
      <c r="A5886" s="41"/>
      <c r="G5886" s="38" t="n">
        <f aca="false">MONTH(A5886)</f>
        <v>12</v>
      </c>
      <c r="H5886" s="38" t="n">
        <f aca="false">YEAR(Tabela1[[#This Row],[FECHA]])</f>
        <v>1900</v>
      </c>
      <c r="I58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87" customFormat="false" ht="15" hidden="false" customHeight="false" outlineLevel="0" collapsed="false">
      <c r="A5887" s="41"/>
      <c r="G5887" s="38" t="n">
        <f aca="false">MONTH(A5887)</f>
        <v>12</v>
      </c>
      <c r="H5887" s="38" t="n">
        <f aca="false">YEAR(Tabela1[[#This Row],[FECHA]])</f>
        <v>1900</v>
      </c>
      <c r="I58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88" customFormat="false" ht="15" hidden="false" customHeight="false" outlineLevel="0" collapsed="false">
      <c r="A5888" s="41"/>
      <c r="G5888" s="38" t="n">
        <f aca="false">MONTH(A5888)</f>
        <v>12</v>
      </c>
      <c r="H5888" s="38" t="n">
        <f aca="false">YEAR(Tabela1[[#This Row],[FECHA]])</f>
        <v>1900</v>
      </c>
      <c r="I58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89" customFormat="false" ht="15" hidden="false" customHeight="false" outlineLevel="0" collapsed="false">
      <c r="A5889" s="41"/>
      <c r="G5889" s="38" t="n">
        <f aca="false">MONTH(A5889)</f>
        <v>12</v>
      </c>
      <c r="H5889" s="38" t="n">
        <f aca="false">YEAR(Tabela1[[#This Row],[FECHA]])</f>
        <v>1900</v>
      </c>
      <c r="I58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90" customFormat="false" ht="15" hidden="false" customHeight="false" outlineLevel="0" collapsed="false">
      <c r="A5890" s="41"/>
      <c r="G5890" s="38" t="n">
        <f aca="false">MONTH(A5890)</f>
        <v>12</v>
      </c>
      <c r="H5890" s="38" t="n">
        <f aca="false">YEAR(Tabela1[[#This Row],[FECHA]])</f>
        <v>1900</v>
      </c>
      <c r="I58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91" customFormat="false" ht="15" hidden="false" customHeight="false" outlineLevel="0" collapsed="false">
      <c r="A5891" s="41"/>
      <c r="G5891" s="38" t="n">
        <f aca="false">MONTH(A5891)</f>
        <v>12</v>
      </c>
      <c r="H5891" s="38" t="n">
        <f aca="false">YEAR(Tabela1[[#This Row],[FECHA]])</f>
        <v>1900</v>
      </c>
      <c r="I58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92" customFormat="false" ht="15" hidden="false" customHeight="false" outlineLevel="0" collapsed="false">
      <c r="A5892" s="41"/>
      <c r="G5892" s="38" t="n">
        <f aca="false">MONTH(A5892)</f>
        <v>12</v>
      </c>
      <c r="H5892" s="38" t="n">
        <f aca="false">YEAR(Tabela1[[#This Row],[FECHA]])</f>
        <v>1900</v>
      </c>
      <c r="I58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93" customFormat="false" ht="15" hidden="false" customHeight="false" outlineLevel="0" collapsed="false">
      <c r="A5893" s="41"/>
      <c r="G5893" s="38" t="n">
        <f aca="false">MONTH(A5893)</f>
        <v>12</v>
      </c>
      <c r="H5893" s="38" t="n">
        <f aca="false">YEAR(Tabela1[[#This Row],[FECHA]])</f>
        <v>1900</v>
      </c>
      <c r="I58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94" customFormat="false" ht="15" hidden="false" customHeight="false" outlineLevel="0" collapsed="false">
      <c r="A5894" s="41"/>
      <c r="G5894" s="38" t="n">
        <f aca="false">MONTH(A5894)</f>
        <v>12</v>
      </c>
      <c r="H5894" s="38" t="n">
        <f aca="false">YEAR(Tabela1[[#This Row],[FECHA]])</f>
        <v>1900</v>
      </c>
      <c r="I58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95" customFormat="false" ht="15" hidden="false" customHeight="false" outlineLevel="0" collapsed="false">
      <c r="A5895" s="41"/>
      <c r="G5895" s="38" t="n">
        <f aca="false">MONTH(A5895)</f>
        <v>12</v>
      </c>
      <c r="H5895" s="38" t="n">
        <f aca="false">YEAR(Tabela1[[#This Row],[FECHA]])</f>
        <v>1900</v>
      </c>
      <c r="I58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96" customFormat="false" ht="15" hidden="false" customHeight="false" outlineLevel="0" collapsed="false">
      <c r="A5896" s="41"/>
      <c r="G5896" s="38" t="n">
        <f aca="false">MONTH(A5896)</f>
        <v>12</v>
      </c>
      <c r="H5896" s="38" t="n">
        <f aca="false">YEAR(Tabela1[[#This Row],[FECHA]])</f>
        <v>1900</v>
      </c>
      <c r="I58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97" customFormat="false" ht="15" hidden="false" customHeight="false" outlineLevel="0" collapsed="false">
      <c r="A5897" s="41"/>
      <c r="G5897" s="38" t="n">
        <f aca="false">MONTH(A5897)</f>
        <v>12</v>
      </c>
      <c r="H5897" s="38" t="n">
        <f aca="false">YEAR(Tabela1[[#This Row],[FECHA]])</f>
        <v>1900</v>
      </c>
      <c r="I58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98" customFormat="false" ht="15" hidden="false" customHeight="false" outlineLevel="0" collapsed="false">
      <c r="A5898" s="41"/>
      <c r="G5898" s="38" t="n">
        <f aca="false">MONTH(A5898)</f>
        <v>12</v>
      </c>
      <c r="H5898" s="38" t="n">
        <f aca="false">YEAR(Tabela1[[#This Row],[FECHA]])</f>
        <v>1900</v>
      </c>
      <c r="I58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899" customFormat="false" ht="15" hidden="false" customHeight="false" outlineLevel="0" collapsed="false">
      <c r="A5899" s="41"/>
      <c r="G5899" s="38" t="n">
        <f aca="false">MONTH(A5899)</f>
        <v>12</v>
      </c>
      <c r="H5899" s="38" t="n">
        <f aca="false">YEAR(Tabela1[[#This Row],[FECHA]])</f>
        <v>1900</v>
      </c>
      <c r="I58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00" customFormat="false" ht="15" hidden="false" customHeight="false" outlineLevel="0" collapsed="false">
      <c r="A5900" s="41"/>
      <c r="G5900" s="38" t="n">
        <f aca="false">MONTH(A5900)</f>
        <v>12</v>
      </c>
      <c r="H5900" s="38" t="n">
        <f aca="false">YEAR(Tabela1[[#This Row],[FECHA]])</f>
        <v>1900</v>
      </c>
      <c r="I59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01" customFormat="false" ht="15" hidden="false" customHeight="false" outlineLevel="0" collapsed="false">
      <c r="A5901" s="41"/>
      <c r="G5901" s="38" t="n">
        <f aca="false">MONTH(A5901)</f>
        <v>12</v>
      </c>
      <c r="H5901" s="38" t="n">
        <f aca="false">YEAR(Tabela1[[#This Row],[FECHA]])</f>
        <v>1900</v>
      </c>
      <c r="I59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02" customFormat="false" ht="15" hidden="false" customHeight="false" outlineLevel="0" collapsed="false">
      <c r="A5902" s="41"/>
      <c r="G5902" s="38" t="n">
        <f aca="false">MONTH(A5902)</f>
        <v>12</v>
      </c>
      <c r="H5902" s="38" t="n">
        <f aca="false">YEAR(Tabela1[[#This Row],[FECHA]])</f>
        <v>1900</v>
      </c>
      <c r="I59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03" customFormat="false" ht="15" hidden="false" customHeight="false" outlineLevel="0" collapsed="false">
      <c r="A5903" s="41"/>
      <c r="G5903" s="38" t="n">
        <f aca="false">MONTH(A5903)</f>
        <v>12</v>
      </c>
      <c r="H5903" s="38" t="n">
        <f aca="false">YEAR(Tabela1[[#This Row],[FECHA]])</f>
        <v>1900</v>
      </c>
      <c r="I59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04" customFormat="false" ht="15" hidden="false" customHeight="false" outlineLevel="0" collapsed="false">
      <c r="A5904" s="41"/>
      <c r="G5904" s="38" t="n">
        <f aca="false">MONTH(A5904)</f>
        <v>12</v>
      </c>
      <c r="H5904" s="38" t="n">
        <f aca="false">YEAR(Tabela1[[#This Row],[FECHA]])</f>
        <v>1900</v>
      </c>
      <c r="I59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05" customFormat="false" ht="15" hidden="false" customHeight="false" outlineLevel="0" collapsed="false">
      <c r="A5905" s="41"/>
      <c r="G5905" s="38" t="n">
        <f aca="false">MONTH(A5905)</f>
        <v>12</v>
      </c>
      <c r="H5905" s="38" t="n">
        <f aca="false">YEAR(Tabela1[[#This Row],[FECHA]])</f>
        <v>1900</v>
      </c>
      <c r="I59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06" customFormat="false" ht="15" hidden="false" customHeight="false" outlineLevel="0" collapsed="false">
      <c r="A5906" s="41"/>
      <c r="G5906" s="38" t="n">
        <f aca="false">MONTH(A5906)</f>
        <v>12</v>
      </c>
      <c r="H5906" s="38" t="n">
        <f aca="false">YEAR(Tabela1[[#This Row],[FECHA]])</f>
        <v>1900</v>
      </c>
      <c r="I59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07" customFormat="false" ht="15" hidden="false" customHeight="false" outlineLevel="0" collapsed="false">
      <c r="A5907" s="41"/>
      <c r="G5907" s="38" t="n">
        <f aca="false">MONTH(A5907)</f>
        <v>12</v>
      </c>
      <c r="H5907" s="38" t="n">
        <f aca="false">YEAR(Tabela1[[#This Row],[FECHA]])</f>
        <v>1900</v>
      </c>
      <c r="I59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08" customFormat="false" ht="15" hidden="false" customHeight="false" outlineLevel="0" collapsed="false">
      <c r="A5908" s="41"/>
      <c r="G5908" s="38" t="n">
        <f aca="false">MONTH(A5908)</f>
        <v>12</v>
      </c>
      <c r="H5908" s="38" t="n">
        <f aca="false">YEAR(Tabela1[[#This Row],[FECHA]])</f>
        <v>1900</v>
      </c>
      <c r="I59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09" customFormat="false" ht="15" hidden="false" customHeight="false" outlineLevel="0" collapsed="false">
      <c r="A5909" s="41"/>
      <c r="G5909" s="38" t="n">
        <f aca="false">MONTH(A5909)</f>
        <v>12</v>
      </c>
      <c r="H5909" s="38" t="n">
        <f aca="false">YEAR(Tabela1[[#This Row],[FECHA]])</f>
        <v>1900</v>
      </c>
      <c r="I59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10" customFormat="false" ht="15" hidden="false" customHeight="false" outlineLevel="0" collapsed="false">
      <c r="A5910" s="41"/>
      <c r="G5910" s="38" t="n">
        <f aca="false">MONTH(A5910)</f>
        <v>12</v>
      </c>
      <c r="H5910" s="38" t="n">
        <f aca="false">YEAR(Tabela1[[#This Row],[FECHA]])</f>
        <v>1900</v>
      </c>
      <c r="I59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11" customFormat="false" ht="15" hidden="false" customHeight="false" outlineLevel="0" collapsed="false">
      <c r="A5911" s="41"/>
      <c r="G5911" s="38" t="n">
        <f aca="false">MONTH(A5911)</f>
        <v>12</v>
      </c>
      <c r="H5911" s="38" t="n">
        <f aca="false">YEAR(Tabela1[[#This Row],[FECHA]])</f>
        <v>1900</v>
      </c>
      <c r="I59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12" customFormat="false" ht="15" hidden="false" customHeight="false" outlineLevel="0" collapsed="false">
      <c r="A5912" s="41"/>
      <c r="G5912" s="38" t="n">
        <f aca="false">MONTH(A5912)</f>
        <v>12</v>
      </c>
      <c r="H5912" s="38" t="n">
        <f aca="false">YEAR(Tabela1[[#This Row],[FECHA]])</f>
        <v>1900</v>
      </c>
      <c r="I59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13" customFormat="false" ht="15" hidden="false" customHeight="false" outlineLevel="0" collapsed="false">
      <c r="A5913" s="41"/>
      <c r="G5913" s="38" t="n">
        <f aca="false">MONTH(A5913)</f>
        <v>12</v>
      </c>
      <c r="H5913" s="38" t="n">
        <f aca="false">YEAR(Tabela1[[#This Row],[FECHA]])</f>
        <v>1900</v>
      </c>
      <c r="I59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14" customFormat="false" ht="15" hidden="false" customHeight="false" outlineLevel="0" collapsed="false">
      <c r="A5914" s="41"/>
      <c r="G5914" s="38" t="n">
        <f aca="false">MONTH(A5914)</f>
        <v>12</v>
      </c>
      <c r="H5914" s="38" t="n">
        <f aca="false">YEAR(Tabela1[[#This Row],[FECHA]])</f>
        <v>1900</v>
      </c>
      <c r="I59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15" customFormat="false" ht="15" hidden="false" customHeight="false" outlineLevel="0" collapsed="false">
      <c r="A5915" s="41"/>
      <c r="G5915" s="38" t="n">
        <f aca="false">MONTH(A5915)</f>
        <v>12</v>
      </c>
      <c r="H5915" s="38" t="n">
        <f aca="false">YEAR(Tabela1[[#This Row],[FECHA]])</f>
        <v>1900</v>
      </c>
      <c r="I59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16" customFormat="false" ht="15" hidden="false" customHeight="false" outlineLevel="0" collapsed="false">
      <c r="A5916" s="41"/>
      <c r="G5916" s="38" t="n">
        <f aca="false">MONTH(A5916)</f>
        <v>12</v>
      </c>
      <c r="H5916" s="38" t="n">
        <f aca="false">YEAR(Tabela1[[#This Row],[FECHA]])</f>
        <v>1900</v>
      </c>
      <c r="I59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17" customFormat="false" ht="15" hidden="false" customHeight="false" outlineLevel="0" collapsed="false">
      <c r="A5917" s="41"/>
      <c r="G5917" s="38" t="n">
        <f aca="false">MONTH(A5917)</f>
        <v>12</v>
      </c>
      <c r="H5917" s="38" t="n">
        <f aca="false">YEAR(Tabela1[[#This Row],[FECHA]])</f>
        <v>1900</v>
      </c>
      <c r="I59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18" customFormat="false" ht="15" hidden="false" customHeight="false" outlineLevel="0" collapsed="false">
      <c r="A5918" s="41"/>
      <c r="G5918" s="38" t="n">
        <f aca="false">MONTH(A5918)</f>
        <v>12</v>
      </c>
      <c r="H5918" s="38" t="n">
        <f aca="false">YEAR(Tabela1[[#This Row],[FECHA]])</f>
        <v>1900</v>
      </c>
      <c r="I59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19" customFormat="false" ht="15" hidden="false" customHeight="false" outlineLevel="0" collapsed="false">
      <c r="A5919" s="41"/>
      <c r="G5919" s="38" t="n">
        <f aca="false">MONTH(A5919)</f>
        <v>12</v>
      </c>
      <c r="H5919" s="38" t="n">
        <f aca="false">YEAR(Tabela1[[#This Row],[FECHA]])</f>
        <v>1900</v>
      </c>
      <c r="I59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20" customFormat="false" ht="15" hidden="false" customHeight="false" outlineLevel="0" collapsed="false">
      <c r="A5920" s="41"/>
      <c r="G5920" s="38" t="n">
        <f aca="false">MONTH(A5920)</f>
        <v>12</v>
      </c>
      <c r="H5920" s="38" t="n">
        <f aca="false">YEAR(Tabela1[[#This Row],[FECHA]])</f>
        <v>1900</v>
      </c>
      <c r="I59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21" customFormat="false" ht="15" hidden="false" customHeight="false" outlineLevel="0" collapsed="false">
      <c r="A5921" s="41"/>
      <c r="G5921" s="38" t="n">
        <f aca="false">MONTH(A5921)</f>
        <v>12</v>
      </c>
      <c r="H5921" s="38" t="n">
        <f aca="false">YEAR(Tabela1[[#This Row],[FECHA]])</f>
        <v>1900</v>
      </c>
      <c r="I59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22" customFormat="false" ht="15" hidden="false" customHeight="false" outlineLevel="0" collapsed="false">
      <c r="A5922" s="41"/>
      <c r="G5922" s="38" t="n">
        <f aca="false">MONTH(A5922)</f>
        <v>12</v>
      </c>
      <c r="H5922" s="38" t="n">
        <f aca="false">YEAR(Tabela1[[#This Row],[FECHA]])</f>
        <v>1900</v>
      </c>
      <c r="I59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23" customFormat="false" ht="15" hidden="false" customHeight="false" outlineLevel="0" collapsed="false">
      <c r="A5923" s="41"/>
      <c r="G5923" s="38" t="n">
        <f aca="false">MONTH(A5923)</f>
        <v>12</v>
      </c>
      <c r="H5923" s="38" t="n">
        <f aca="false">YEAR(Tabela1[[#This Row],[FECHA]])</f>
        <v>1900</v>
      </c>
      <c r="I59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24" customFormat="false" ht="15" hidden="false" customHeight="false" outlineLevel="0" collapsed="false">
      <c r="A5924" s="41"/>
      <c r="G5924" s="38" t="n">
        <f aca="false">MONTH(A5924)</f>
        <v>12</v>
      </c>
      <c r="H5924" s="38" t="n">
        <f aca="false">YEAR(Tabela1[[#This Row],[FECHA]])</f>
        <v>1900</v>
      </c>
      <c r="I59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25" customFormat="false" ht="15" hidden="false" customHeight="false" outlineLevel="0" collapsed="false">
      <c r="A5925" s="41"/>
      <c r="G5925" s="38" t="n">
        <f aca="false">MONTH(A5925)</f>
        <v>12</v>
      </c>
      <c r="H5925" s="38" t="n">
        <f aca="false">YEAR(Tabela1[[#This Row],[FECHA]])</f>
        <v>1900</v>
      </c>
      <c r="I59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26" customFormat="false" ht="15" hidden="false" customHeight="false" outlineLevel="0" collapsed="false">
      <c r="A5926" s="41"/>
      <c r="G5926" s="38" t="n">
        <f aca="false">MONTH(A5926)</f>
        <v>12</v>
      </c>
      <c r="H5926" s="38" t="n">
        <f aca="false">YEAR(Tabela1[[#This Row],[FECHA]])</f>
        <v>1900</v>
      </c>
      <c r="I59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27" customFormat="false" ht="15" hidden="false" customHeight="false" outlineLevel="0" collapsed="false">
      <c r="A5927" s="41"/>
      <c r="G5927" s="38" t="n">
        <f aca="false">MONTH(A5927)</f>
        <v>12</v>
      </c>
      <c r="H5927" s="38" t="n">
        <f aca="false">YEAR(Tabela1[[#This Row],[FECHA]])</f>
        <v>1900</v>
      </c>
      <c r="I59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28" customFormat="false" ht="15" hidden="false" customHeight="false" outlineLevel="0" collapsed="false">
      <c r="A5928" s="41"/>
      <c r="G5928" s="38" t="n">
        <f aca="false">MONTH(A5928)</f>
        <v>12</v>
      </c>
      <c r="H5928" s="38" t="n">
        <f aca="false">YEAR(Tabela1[[#This Row],[FECHA]])</f>
        <v>1900</v>
      </c>
      <c r="I59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29" customFormat="false" ht="15" hidden="false" customHeight="false" outlineLevel="0" collapsed="false">
      <c r="A5929" s="41"/>
      <c r="G5929" s="38" t="n">
        <f aca="false">MONTH(A5929)</f>
        <v>12</v>
      </c>
      <c r="H5929" s="38" t="n">
        <f aca="false">YEAR(Tabela1[[#This Row],[FECHA]])</f>
        <v>1900</v>
      </c>
      <c r="I59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30" customFormat="false" ht="15" hidden="false" customHeight="false" outlineLevel="0" collapsed="false">
      <c r="A5930" s="41"/>
      <c r="G5930" s="38" t="n">
        <f aca="false">MONTH(A5930)</f>
        <v>12</v>
      </c>
      <c r="H5930" s="38" t="n">
        <f aca="false">YEAR(Tabela1[[#This Row],[FECHA]])</f>
        <v>1900</v>
      </c>
      <c r="I59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31" customFormat="false" ht="15" hidden="false" customHeight="false" outlineLevel="0" collapsed="false">
      <c r="A5931" s="41"/>
      <c r="G5931" s="38" t="n">
        <f aca="false">MONTH(A5931)</f>
        <v>12</v>
      </c>
      <c r="H5931" s="38" t="n">
        <f aca="false">YEAR(Tabela1[[#This Row],[FECHA]])</f>
        <v>1900</v>
      </c>
      <c r="I59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32" customFormat="false" ht="15" hidden="false" customHeight="false" outlineLevel="0" collapsed="false">
      <c r="A5932" s="41"/>
      <c r="G5932" s="38" t="n">
        <f aca="false">MONTH(A5932)</f>
        <v>12</v>
      </c>
      <c r="H5932" s="38" t="n">
        <f aca="false">YEAR(Tabela1[[#This Row],[FECHA]])</f>
        <v>1900</v>
      </c>
      <c r="I59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33" customFormat="false" ht="15" hidden="false" customHeight="false" outlineLevel="0" collapsed="false">
      <c r="A5933" s="41"/>
      <c r="G5933" s="38" t="n">
        <f aca="false">MONTH(A5933)</f>
        <v>12</v>
      </c>
      <c r="H5933" s="38" t="n">
        <f aca="false">YEAR(Tabela1[[#This Row],[FECHA]])</f>
        <v>1900</v>
      </c>
      <c r="I59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34" customFormat="false" ht="15" hidden="false" customHeight="false" outlineLevel="0" collapsed="false">
      <c r="A5934" s="41"/>
      <c r="G5934" s="38" t="n">
        <f aca="false">MONTH(A5934)</f>
        <v>12</v>
      </c>
      <c r="H5934" s="38" t="n">
        <f aca="false">YEAR(Tabela1[[#This Row],[FECHA]])</f>
        <v>1900</v>
      </c>
      <c r="I59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35" customFormat="false" ht="15" hidden="false" customHeight="false" outlineLevel="0" collapsed="false">
      <c r="A5935" s="41"/>
      <c r="G5935" s="38" t="n">
        <f aca="false">MONTH(A5935)</f>
        <v>12</v>
      </c>
      <c r="H5935" s="38" t="n">
        <f aca="false">YEAR(Tabela1[[#This Row],[FECHA]])</f>
        <v>1900</v>
      </c>
      <c r="I59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36" customFormat="false" ht="15" hidden="false" customHeight="false" outlineLevel="0" collapsed="false">
      <c r="A5936" s="41"/>
      <c r="G5936" s="38" t="n">
        <f aca="false">MONTH(A5936)</f>
        <v>12</v>
      </c>
      <c r="H5936" s="38" t="n">
        <f aca="false">YEAR(Tabela1[[#This Row],[FECHA]])</f>
        <v>1900</v>
      </c>
      <c r="I59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37" customFormat="false" ht="15" hidden="false" customHeight="false" outlineLevel="0" collapsed="false">
      <c r="A5937" s="41"/>
      <c r="G5937" s="38" t="n">
        <f aca="false">MONTH(A5937)</f>
        <v>12</v>
      </c>
      <c r="H5937" s="38" t="n">
        <f aca="false">YEAR(Tabela1[[#This Row],[FECHA]])</f>
        <v>1900</v>
      </c>
      <c r="I59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38" customFormat="false" ht="15" hidden="false" customHeight="false" outlineLevel="0" collapsed="false">
      <c r="A5938" s="41"/>
      <c r="G5938" s="38" t="n">
        <f aca="false">MONTH(A5938)</f>
        <v>12</v>
      </c>
      <c r="H5938" s="38" t="n">
        <f aca="false">YEAR(Tabela1[[#This Row],[FECHA]])</f>
        <v>1900</v>
      </c>
      <c r="I59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39" customFormat="false" ht="15" hidden="false" customHeight="false" outlineLevel="0" collapsed="false">
      <c r="A5939" s="41"/>
      <c r="G5939" s="38" t="n">
        <f aca="false">MONTH(A5939)</f>
        <v>12</v>
      </c>
      <c r="H5939" s="38" t="n">
        <f aca="false">YEAR(Tabela1[[#This Row],[FECHA]])</f>
        <v>1900</v>
      </c>
      <c r="I59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40" customFormat="false" ht="15" hidden="false" customHeight="false" outlineLevel="0" collapsed="false">
      <c r="A5940" s="41"/>
      <c r="G5940" s="38" t="n">
        <f aca="false">MONTH(A5940)</f>
        <v>12</v>
      </c>
      <c r="H5940" s="38" t="n">
        <f aca="false">YEAR(Tabela1[[#This Row],[FECHA]])</f>
        <v>1900</v>
      </c>
      <c r="I59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41" customFormat="false" ht="15" hidden="false" customHeight="false" outlineLevel="0" collapsed="false">
      <c r="A5941" s="41"/>
      <c r="G5941" s="38" t="n">
        <f aca="false">MONTH(A5941)</f>
        <v>12</v>
      </c>
      <c r="H5941" s="38" t="n">
        <f aca="false">YEAR(Tabela1[[#This Row],[FECHA]])</f>
        <v>1900</v>
      </c>
      <c r="I59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42" customFormat="false" ht="15" hidden="false" customHeight="false" outlineLevel="0" collapsed="false">
      <c r="A5942" s="41"/>
      <c r="G5942" s="38" t="n">
        <f aca="false">MONTH(A5942)</f>
        <v>12</v>
      </c>
      <c r="H5942" s="38" t="n">
        <f aca="false">YEAR(Tabela1[[#This Row],[FECHA]])</f>
        <v>1900</v>
      </c>
      <c r="I59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43" customFormat="false" ht="15" hidden="false" customHeight="false" outlineLevel="0" collapsed="false">
      <c r="A5943" s="41"/>
      <c r="G5943" s="38" t="n">
        <f aca="false">MONTH(A5943)</f>
        <v>12</v>
      </c>
      <c r="H5943" s="38" t="n">
        <f aca="false">YEAR(Tabela1[[#This Row],[FECHA]])</f>
        <v>1900</v>
      </c>
      <c r="I59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44" customFormat="false" ht="15" hidden="false" customHeight="false" outlineLevel="0" collapsed="false">
      <c r="A5944" s="41"/>
      <c r="G5944" s="38" t="n">
        <f aca="false">MONTH(A5944)</f>
        <v>12</v>
      </c>
      <c r="H5944" s="38" t="n">
        <f aca="false">YEAR(Tabela1[[#This Row],[FECHA]])</f>
        <v>1900</v>
      </c>
      <c r="I59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45" customFormat="false" ht="15" hidden="false" customHeight="false" outlineLevel="0" collapsed="false">
      <c r="A5945" s="41"/>
      <c r="G5945" s="38" t="n">
        <f aca="false">MONTH(A5945)</f>
        <v>12</v>
      </c>
      <c r="H5945" s="38" t="n">
        <f aca="false">YEAR(Tabela1[[#This Row],[FECHA]])</f>
        <v>1900</v>
      </c>
      <c r="I59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46" customFormat="false" ht="15" hidden="false" customHeight="false" outlineLevel="0" collapsed="false">
      <c r="A5946" s="41"/>
      <c r="G5946" s="38" t="n">
        <f aca="false">MONTH(A5946)</f>
        <v>12</v>
      </c>
      <c r="H5946" s="38" t="n">
        <f aca="false">YEAR(Tabela1[[#This Row],[FECHA]])</f>
        <v>1900</v>
      </c>
      <c r="I59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47" customFormat="false" ht="15" hidden="false" customHeight="false" outlineLevel="0" collapsed="false">
      <c r="A5947" s="41"/>
      <c r="G5947" s="38" t="n">
        <f aca="false">MONTH(A5947)</f>
        <v>12</v>
      </c>
      <c r="H5947" s="38" t="n">
        <f aca="false">YEAR(Tabela1[[#This Row],[FECHA]])</f>
        <v>1900</v>
      </c>
      <c r="I59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48" customFormat="false" ht="15" hidden="false" customHeight="false" outlineLevel="0" collapsed="false">
      <c r="A5948" s="41"/>
      <c r="G5948" s="38" t="n">
        <f aca="false">MONTH(A5948)</f>
        <v>12</v>
      </c>
      <c r="H5948" s="38" t="n">
        <f aca="false">YEAR(Tabela1[[#This Row],[FECHA]])</f>
        <v>1900</v>
      </c>
      <c r="I59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49" customFormat="false" ht="15" hidden="false" customHeight="false" outlineLevel="0" collapsed="false">
      <c r="A5949" s="41"/>
      <c r="G5949" s="38" t="n">
        <f aca="false">MONTH(A5949)</f>
        <v>12</v>
      </c>
      <c r="H5949" s="38" t="n">
        <f aca="false">YEAR(Tabela1[[#This Row],[FECHA]])</f>
        <v>1900</v>
      </c>
      <c r="I59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50" customFormat="false" ht="15" hidden="false" customHeight="false" outlineLevel="0" collapsed="false">
      <c r="A5950" s="41"/>
      <c r="G5950" s="38" t="n">
        <f aca="false">MONTH(A5950)</f>
        <v>12</v>
      </c>
      <c r="H5950" s="38" t="n">
        <f aca="false">YEAR(Tabela1[[#This Row],[FECHA]])</f>
        <v>1900</v>
      </c>
      <c r="I59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51" customFormat="false" ht="15" hidden="false" customHeight="false" outlineLevel="0" collapsed="false">
      <c r="A5951" s="41"/>
      <c r="G5951" s="38" t="n">
        <f aca="false">MONTH(A5951)</f>
        <v>12</v>
      </c>
      <c r="H5951" s="38" t="n">
        <f aca="false">YEAR(Tabela1[[#This Row],[FECHA]])</f>
        <v>1900</v>
      </c>
      <c r="I59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52" customFormat="false" ht="15" hidden="false" customHeight="false" outlineLevel="0" collapsed="false">
      <c r="A5952" s="41"/>
      <c r="G5952" s="38" t="n">
        <f aca="false">MONTH(A5952)</f>
        <v>12</v>
      </c>
      <c r="H5952" s="38" t="n">
        <f aca="false">YEAR(Tabela1[[#This Row],[FECHA]])</f>
        <v>1900</v>
      </c>
      <c r="I59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53" customFormat="false" ht="15" hidden="false" customHeight="false" outlineLevel="0" collapsed="false">
      <c r="A5953" s="41"/>
      <c r="G5953" s="38" t="n">
        <f aca="false">MONTH(A5953)</f>
        <v>12</v>
      </c>
      <c r="H5953" s="38" t="n">
        <f aca="false">YEAR(Tabela1[[#This Row],[FECHA]])</f>
        <v>1900</v>
      </c>
      <c r="I59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54" customFormat="false" ht="15" hidden="false" customHeight="false" outlineLevel="0" collapsed="false">
      <c r="A5954" s="41"/>
      <c r="G5954" s="38" t="n">
        <f aca="false">MONTH(A5954)</f>
        <v>12</v>
      </c>
      <c r="H5954" s="38" t="n">
        <f aca="false">YEAR(Tabela1[[#This Row],[FECHA]])</f>
        <v>1900</v>
      </c>
      <c r="I59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55" customFormat="false" ht="15" hidden="false" customHeight="false" outlineLevel="0" collapsed="false">
      <c r="A5955" s="41"/>
      <c r="G5955" s="38" t="n">
        <f aca="false">MONTH(A5955)</f>
        <v>12</v>
      </c>
      <c r="H5955" s="38" t="n">
        <f aca="false">YEAR(Tabela1[[#This Row],[FECHA]])</f>
        <v>1900</v>
      </c>
      <c r="I59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56" customFormat="false" ht="15" hidden="false" customHeight="false" outlineLevel="0" collapsed="false">
      <c r="A5956" s="41"/>
      <c r="G5956" s="38" t="n">
        <f aca="false">MONTH(A5956)</f>
        <v>12</v>
      </c>
      <c r="H5956" s="38" t="n">
        <f aca="false">YEAR(Tabela1[[#This Row],[FECHA]])</f>
        <v>1900</v>
      </c>
      <c r="I59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57" customFormat="false" ht="15" hidden="false" customHeight="false" outlineLevel="0" collapsed="false">
      <c r="A5957" s="41"/>
      <c r="G5957" s="38" t="n">
        <f aca="false">MONTH(A5957)</f>
        <v>12</v>
      </c>
      <c r="H5957" s="38" t="n">
        <f aca="false">YEAR(Tabela1[[#This Row],[FECHA]])</f>
        <v>1900</v>
      </c>
      <c r="I59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58" customFormat="false" ht="15" hidden="false" customHeight="false" outlineLevel="0" collapsed="false">
      <c r="A5958" s="41"/>
      <c r="G5958" s="38" t="n">
        <f aca="false">MONTH(A5958)</f>
        <v>12</v>
      </c>
      <c r="H5958" s="38" t="n">
        <f aca="false">YEAR(Tabela1[[#This Row],[FECHA]])</f>
        <v>1900</v>
      </c>
      <c r="I59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59" customFormat="false" ht="15" hidden="false" customHeight="false" outlineLevel="0" collapsed="false">
      <c r="A5959" s="41"/>
      <c r="G5959" s="38" t="n">
        <f aca="false">MONTH(A5959)</f>
        <v>12</v>
      </c>
      <c r="H5959" s="38" t="n">
        <f aca="false">YEAR(Tabela1[[#This Row],[FECHA]])</f>
        <v>1900</v>
      </c>
      <c r="I59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60" customFormat="false" ht="15" hidden="false" customHeight="false" outlineLevel="0" collapsed="false">
      <c r="A5960" s="41"/>
      <c r="G5960" s="38" t="n">
        <f aca="false">MONTH(A5960)</f>
        <v>12</v>
      </c>
      <c r="H5960" s="38" t="n">
        <f aca="false">YEAR(Tabela1[[#This Row],[FECHA]])</f>
        <v>1900</v>
      </c>
      <c r="I59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61" customFormat="false" ht="15" hidden="false" customHeight="false" outlineLevel="0" collapsed="false">
      <c r="A5961" s="41"/>
      <c r="G5961" s="38" t="n">
        <f aca="false">MONTH(A5961)</f>
        <v>12</v>
      </c>
      <c r="H5961" s="38" t="n">
        <f aca="false">YEAR(Tabela1[[#This Row],[FECHA]])</f>
        <v>1900</v>
      </c>
      <c r="I59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62" customFormat="false" ht="15" hidden="false" customHeight="false" outlineLevel="0" collapsed="false">
      <c r="A5962" s="41"/>
      <c r="G5962" s="38" t="n">
        <f aca="false">MONTH(A5962)</f>
        <v>12</v>
      </c>
      <c r="H5962" s="38" t="n">
        <f aca="false">YEAR(Tabela1[[#This Row],[FECHA]])</f>
        <v>1900</v>
      </c>
      <c r="I59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63" customFormat="false" ht="15" hidden="false" customHeight="false" outlineLevel="0" collapsed="false">
      <c r="A5963" s="41"/>
      <c r="G5963" s="38" t="n">
        <f aca="false">MONTH(A5963)</f>
        <v>12</v>
      </c>
      <c r="H5963" s="38" t="n">
        <f aca="false">YEAR(Tabela1[[#This Row],[FECHA]])</f>
        <v>1900</v>
      </c>
      <c r="I59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64" customFormat="false" ht="15" hidden="false" customHeight="false" outlineLevel="0" collapsed="false">
      <c r="A5964" s="41"/>
      <c r="G5964" s="38" t="n">
        <f aca="false">MONTH(A5964)</f>
        <v>12</v>
      </c>
      <c r="H5964" s="38" t="n">
        <f aca="false">YEAR(Tabela1[[#This Row],[FECHA]])</f>
        <v>1900</v>
      </c>
      <c r="I59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65" customFormat="false" ht="15" hidden="false" customHeight="false" outlineLevel="0" collapsed="false">
      <c r="A5965" s="41"/>
      <c r="G5965" s="38" t="n">
        <f aca="false">MONTH(A5965)</f>
        <v>12</v>
      </c>
      <c r="H5965" s="38" t="n">
        <f aca="false">YEAR(Tabela1[[#This Row],[FECHA]])</f>
        <v>1900</v>
      </c>
      <c r="I59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66" customFormat="false" ht="15" hidden="false" customHeight="false" outlineLevel="0" collapsed="false">
      <c r="A5966" s="41"/>
      <c r="G5966" s="38" t="n">
        <f aca="false">MONTH(A5966)</f>
        <v>12</v>
      </c>
      <c r="H5966" s="38" t="n">
        <f aca="false">YEAR(Tabela1[[#This Row],[FECHA]])</f>
        <v>1900</v>
      </c>
      <c r="I59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67" customFormat="false" ht="15" hidden="false" customHeight="false" outlineLevel="0" collapsed="false">
      <c r="A5967" s="41"/>
      <c r="G5967" s="38" t="n">
        <f aca="false">MONTH(A5967)</f>
        <v>12</v>
      </c>
      <c r="H5967" s="38" t="n">
        <f aca="false">YEAR(Tabela1[[#This Row],[FECHA]])</f>
        <v>1900</v>
      </c>
      <c r="I59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68" customFormat="false" ht="15" hidden="false" customHeight="false" outlineLevel="0" collapsed="false">
      <c r="A5968" s="41"/>
      <c r="G5968" s="38" t="n">
        <f aca="false">MONTH(A5968)</f>
        <v>12</v>
      </c>
      <c r="H5968" s="38" t="n">
        <f aca="false">YEAR(Tabela1[[#This Row],[FECHA]])</f>
        <v>1900</v>
      </c>
      <c r="I59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69" customFormat="false" ht="15" hidden="false" customHeight="false" outlineLevel="0" collapsed="false">
      <c r="A5969" s="41"/>
      <c r="G5969" s="38" t="n">
        <f aca="false">MONTH(A5969)</f>
        <v>12</v>
      </c>
      <c r="H5969" s="38" t="n">
        <f aca="false">YEAR(Tabela1[[#This Row],[FECHA]])</f>
        <v>1900</v>
      </c>
      <c r="I59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70" customFormat="false" ht="15" hidden="false" customHeight="false" outlineLevel="0" collapsed="false">
      <c r="A5970" s="41"/>
      <c r="G5970" s="38" t="n">
        <f aca="false">MONTH(A5970)</f>
        <v>12</v>
      </c>
      <c r="H5970" s="38" t="n">
        <f aca="false">YEAR(Tabela1[[#This Row],[FECHA]])</f>
        <v>1900</v>
      </c>
      <c r="I59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71" customFormat="false" ht="15" hidden="false" customHeight="false" outlineLevel="0" collapsed="false">
      <c r="A5971" s="41"/>
      <c r="G5971" s="38" t="n">
        <f aca="false">MONTH(A5971)</f>
        <v>12</v>
      </c>
      <c r="H5971" s="38" t="n">
        <f aca="false">YEAR(Tabela1[[#This Row],[FECHA]])</f>
        <v>1900</v>
      </c>
      <c r="I59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72" customFormat="false" ht="15" hidden="false" customHeight="false" outlineLevel="0" collapsed="false">
      <c r="A5972" s="41"/>
      <c r="G5972" s="38" t="n">
        <f aca="false">MONTH(A5972)</f>
        <v>12</v>
      </c>
      <c r="H5972" s="38" t="n">
        <f aca="false">YEAR(Tabela1[[#This Row],[FECHA]])</f>
        <v>1900</v>
      </c>
      <c r="I59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73" customFormat="false" ht="15" hidden="false" customHeight="false" outlineLevel="0" collapsed="false">
      <c r="A5973" s="41"/>
      <c r="G5973" s="38" t="n">
        <f aca="false">MONTH(A5973)</f>
        <v>12</v>
      </c>
      <c r="H5973" s="38" t="n">
        <f aca="false">YEAR(Tabela1[[#This Row],[FECHA]])</f>
        <v>1900</v>
      </c>
      <c r="I59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74" customFormat="false" ht="15" hidden="false" customHeight="false" outlineLevel="0" collapsed="false">
      <c r="A5974" s="41"/>
      <c r="G5974" s="38" t="n">
        <f aca="false">MONTH(A5974)</f>
        <v>12</v>
      </c>
      <c r="H5974" s="38" t="n">
        <f aca="false">YEAR(Tabela1[[#This Row],[FECHA]])</f>
        <v>1900</v>
      </c>
      <c r="I59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75" customFormat="false" ht="15" hidden="false" customHeight="false" outlineLevel="0" collapsed="false">
      <c r="A5975" s="41"/>
      <c r="G5975" s="38" t="n">
        <f aca="false">MONTH(A5975)</f>
        <v>12</v>
      </c>
      <c r="H5975" s="38" t="n">
        <f aca="false">YEAR(Tabela1[[#This Row],[FECHA]])</f>
        <v>1900</v>
      </c>
      <c r="I59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76" customFormat="false" ht="15" hidden="false" customHeight="false" outlineLevel="0" collapsed="false">
      <c r="A5976" s="41"/>
      <c r="G5976" s="38" t="n">
        <f aca="false">MONTH(A5976)</f>
        <v>12</v>
      </c>
      <c r="H5976" s="38" t="n">
        <f aca="false">YEAR(Tabela1[[#This Row],[FECHA]])</f>
        <v>1900</v>
      </c>
      <c r="I59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77" customFormat="false" ht="15" hidden="false" customHeight="false" outlineLevel="0" collapsed="false">
      <c r="A5977" s="41"/>
      <c r="G5977" s="38" t="n">
        <f aca="false">MONTH(A5977)</f>
        <v>12</v>
      </c>
      <c r="H5977" s="38" t="n">
        <f aca="false">YEAR(Tabela1[[#This Row],[FECHA]])</f>
        <v>1900</v>
      </c>
      <c r="I59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78" customFormat="false" ht="15" hidden="false" customHeight="false" outlineLevel="0" collapsed="false">
      <c r="A5978" s="41"/>
      <c r="G5978" s="38" t="n">
        <f aca="false">MONTH(A5978)</f>
        <v>12</v>
      </c>
      <c r="H5978" s="38" t="n">
        <f aca="false">YEAR(Tabela1[[#This Row],[FECHA]])</f>
        <v>1900</v>
      </c>
      <c r="I59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79" customFormat="false" ht="15" hidden="false" customHeight="false" outlineLevel="0" collapsed="false">
      <c r="A5979" s="41"/>
      <c r="G5979" s="38" t="n">
        <f aca="false">MONTH(A5979)</f>
        <v>12</v>
      </c>
      <c r="H5979" s="38" t="n">
        <f aca="false">YEAR(Tabela1[[#This Row],[FECHA]])</f>
        <v>1900</v>
      </c>
      <c r="I59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80" customFormat="false" ht="15" hidden="false" customHeight="false" outlineLevel="0" collapsed="false">
      <c r="A5980" s="41"/>
      <c r="G5980" s="38" t="n">
        <f aca="false">MONTH(A5980)</f>
        <v>12</v>
      </c>
      <c r="H5980" s="38" t="n">
        <f aca="false">YEAR(Tabela1[[#This Row],[FECHA]])</f>
        <v>1900</v>
      </c>
      <c r="I59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81" customFormat="false" ht="15" hidden="false" customHeight="false" outlineLevel="0" collapsed="false">
      <c r="A5981" s="41"/>
      <c r="G5981" s="38" t="n">
        <f aca="false">MONTH(A5981)</f>
        <v>12</v>
      </c>
      <c r="H5981" s="38" t="n">
        <f aca="false">YEAR(Tabela1[[#This Row],[FECHA]])</f>
        <v>1900</v>
      </c>
      <c r="I59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82" customFormat="false" ht="15" hidden="false" customHeight="false" outlineLevel="0" collapsed="false">
      <c r="A5982" s="41"/>
      <c r="G5982" s="38" t="n">
        <f aca="false">MONTH(A5982)</f>
        <v>12</v>
      </c>
      <c r="H5982" s="38" t="n">
        <f aca="false">YEAR(Tabela1[[#This Row],[FECHA]])</f>
        <v>1900</v>
      </c>
      <c r="I59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83" customFormat="false" ht="15" hidden="false" customHeight="false" outlineLevel="0" collapsed="false">
      <c r="A5983" s="41"/>
      <c r="G5983" s="38" t="n">
        <f aca="false">MONTH(A5983)</f>
        <v>12</v>
      </c>
      <c r="H5983" s="38" t="n">
        <f aca="false">YEAR(Tabela1[[#This Row],[FECHA]])</f>
        <v>1900</v>
      </c>
      <c r="I59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84" customFormat="false" ht="15" hidden="false" customHeight="false" outlineLevel="0" collapsed="false">
      <c r="A5984" s="41"/>
      <c r="G5984" s="38" t="n">
        <f aca="false">MONTH(A5984)</f>
        <v>12</v>
      </c>
      <c r="H5984" s="38" t="n">
        <f aca="false">YEAR(Tabela1[[#This Row],[FECHA]])</f>
        <v>1900</v>
      </c>
      <c r="I59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85" customFormat="false" ht="15" hidden="false" customHeight="false" outlineLevel="0" collapsed="false">
      <c r="A5985" s="41"/>
      <c r="G5985" s="38" t="n">
        <f aca="false">MONTH(A5985)</f>
        <v>12</v>
      </c>
      <c r="H5985" s="38" t="n">
        <f aca="false">YEAR(Tabela1[[#This Row],[FECHA]])</f>
        <v>1900</v>
      </c>
      <c r="I59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86" customFormat="false" ht="15" hidden="false" customHeight="false" outlineLevel="0" collapsed="false">
      <c r="A5986" s="41"/>
      <c r="G5986" s="38" t="n">
        <f aca="false">MONTH(A5986)</f>
        <v>12</v>
      </c>
      <c r="H5986" s="38" t="n">
        <f aca="false">YEAR(Tabela1[[#This Row],[FECHA]])</f>
        <v>1900</v>
      </c>
      <c r="I59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87" customFormat="false" ht="15" hidden="false" customHeight="false" outlineLevel="0" collapsed="false">
      <c r="A5987" s="41"/>
      <c r="G5987" s="38" t="n">
        <f aca="false">MONTH(A5987)</f>
        <v>12</v>
      </c>
      <c r="H5987" s="38" t="n">
        <f aca="false">YEAR(Tabela1[[#This Row],[FECHA]])</f>
        <v>1900</v>
      </c>
      <c r="I59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88" customFormat="false" ht="15" hidden="false" customHeight="false" outlineLevel="0" collapsed="false">
      <c r="A5988" s="41"/>
      <c r="G5988" s="38" t="n">
        <f aca="false">MONTH(A5988)</f>
        <v>12</v>
      </c>
      <c r="H5988" s="38" t="n">
        <f aca="false">YEAR(Tabela1[[#This Row],[FECHA]])</f>
        <v>1900</v>
      </c>
      <c r="I59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89" customFormat="false" ht="15" hidden="false" customHeight="false" outlineLevel="0" collapsed="false">
      <c r="A5989" s="41"/>
      <c r="G5989" s="38" t="n">
        <f aca="false">MONTH(A5989)</f>
        <v>12</v>
      </c>
      <c r="H5989" s="38" t="n">
        <f aca="false">YEAR(Tabela1[[#This Row],[FECHA]])</f>
        <v>1900</v>
      </c>
      <c r="I59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90" customFormat="false" ht="15" hidden="false" customHeight="false" outlineLevel="0" collapsed="false">
      <c r="A5990" s="41"/>
      <c r="G5990" s="38" t="n">
        <f aca="false">MONTH(A5990)</f>
        <v>12</v>
      </c>
      <c r="H5990" s="38" t="n">
        <f aca="false">YEAR(Tabela1[[#This Row],[FECHA]])</f>
        <v>1900</v>
      </c>
      <c r="I59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91" customFormat="false" ht="15" hidden="false" customHeight="false" outlineLevel="0" collapsed="false">
      <c r="A5991" s="41"/>
      <c r="G5991" s="38" t="n">
        <f aca="false">MONTH(A5991)</f>
        <v>12</v>
      </c>
      <c r="H5991" s="38" t="n">
        <f aca="false">YEAR(Tabela1[[#This Row],[FECHA]])</f>
        <v>1900</v>
      </c>
      <c r="I59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92" customFormat="false" ht="15" hidden="false" customHeight="false" outlineLevel="0" collapsed="false">
      <c r="A5992" s="41"/>
      <c r="G5992" s="38" t="n">
        <f aca="false">MONTH(A5992)</f>
        <v>12</v>
      </c>
      <c r="H5992" s="38" t="n">
        <f aca="false">YEAR(Tabela1[[#This Row],[FECHA]])</f>
        <v>1900</v>
      </c>
      <c r="I59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93" customFormat="false" ht="15" hidden="false" customHeight="false" outlineLevel="0" collapsed="false">
      <c r="A5993" s="41"/>
      <c r="G5993" s="38" t="n">
        <f aca="false">MONTH(A5993)</f>
        <v>12</v>
      </c>
      <c r="H5993" s="38" t="n">
        <f aca="false">YEAR(Tabela1[[#This Row],[FECHA]])</f>
        <v>1900</v>
      </c>
      <c r="I59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94" customFormat="false" ht="15" hidden="false" customHeight="false" outlineLevel="0" collapsed="false">
      <c r="A5994" s="41"/>
      <c r="G5994" s="38" t="n">
        <f aca="false">MONTH(A5994)</f>
        <v>12</v>
      </c>
      <c r="H5994" s="38" t="n">
        <f aca="false">YEAR(Tabela1[[#This Row],[FECHA]])</f>
        <v>1900</v>
      </c>
      <c r="I59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95" customFormat="false" ht="15" hidden="false" customHeight="false" outlineLevel="0" collapsed="false">
      <c r="A5995" s="41"/>
      <c r="G5995" s="38" t="n">
        <f aca="false">MONTH(A5995)</f>
        <v>12</v>
      </c>
      <c r="H5995" s="38" t="n">
        <f aca="false">YEAR(Tabela1[[#This Row],[FECHA]])</f>
        <v>1900</v>
      </c>
      <c r="I59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96" customFormat="false" ht="15" hidden="false" customHeight="false" outlineLevel="0" collapsed="false">
      <c r="A5996" s="41"/>
      <c r="G5996" s="38" t="n">
        <f aca="false">MONTH(A5996)</f>
        <v>12</v>
      </c>
      <c r="H5996" s="38" t="n">
        <f aca="false">YEAR(Tabela1[[#This Row],[FECHA]])</f>
        <v>1900</v>
      </c>
      <c r="I59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97" customFormat="false" ht="15" hidden="false" customHeight="false" outlineLevel="0" collapsed="false">
      <c r="A5997" s="41"/>
      <c r="G5997" s="38" t="n">
        <f aca="false">MONTH(A5997)</f>
        <v>12</v>
      </c>
      <c r="H5997" s="38" t="n">
        <f aca="false">YEAR(Tabela1[[#This Row],[FECHA]])</f>
        <v>1900</v>
      </c>
      <c r="I59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98" customFormat="false" ht="15" hidden="false" customHeight="false" outlineLevel="0" collapsed="false">
      <c r="A5998" s="41"/>
      <c r="G5998" s="38" t="n">
        <f aca="false">MONTH(A5998)</f>
        <v>12</v>
      </c>
      <c r="H5998" s="38" t="n">
        <f aca="false">YEAR(Tabela1[[#This Row],[FECHA]])</f>
        <v>1900</v>
      </c>
      <c r="I59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5999" customFormat="false" ht="15" hidden="false" customHeight="false" outlineLevel="0" collapsed="false">
      <c r="A5999" s="41"/>
      <c r="G5999" s="38" t="n">
        <f aca="false">MONTH(A5999)</f>
        <v>12</v>
      </c>
      <c r="H5999" s="38" t="n">
        <f aca="false">YEAR(Tabela1[[#This Row],[FECHA]])</f>
        <v>1900</v>
      </c>
      <c r="I59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00" customFormat="false" ht="15" hidden="false" customHeight="false" outlineLevel="0" collapsed="false">
      <c r="A6000" s="41"/>
      <c r="G6000" s="38" t="n">
        <f aca="false">MONTH(A6000)</f>
        <v>12</v>
      </c>
      <c r="H6000" s="38" t="n">
        <f aca="false">YEAR(Tabela1[[#This Row],[FECHA]])</f>
        <v>1900</v>
      </c>
      <c r="I60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01" customFormat="false" ht="15" hidden="false" customHeight="false" outlineLevel="0" collapsed="false">
      <c r="A6001" s="41"/>
      <c r="G6001" s="38" t="n">
        <f aca="false">MONTH(A6001)</f>
        <v>12</v>
      </c>
      <c r="H6001" s="38" t="n">
        <f aca="false">YEAR(Tabela1[[#This Row],[FECHA]])</f>
        <v>1900</v>
      </c>
      <c r="I60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02" customFormat="false" ht="15" hidden="false" customHeight="false" outlineLevel="0" collapsed="false">
      <c r="A6002" s="41"/>
      <c r="G6002" s="38" t="n">
        <f aca="false">MONTH(A6002)</f>
        <v>12</v>
      </c>
      <c r="H6002" s="38" t="n">
        <f aca="false">YEAR(Tabela1[[#This Row],[FECHA]])</f>
        <v>1900</v>
      </c>
      <c r="I60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03" customFormat="false" ht="15" hidden="false" customHeight="false" outlineLevel="0" collapsed="false">
      <c r="A6003" s="41"/>
      <c r="G6003" s="38" t="n">
        <f aca="false">MONTH(A6003)</f>
        <v>12</v>
      </c>
      <c r="H6003" s="38" t="n">
        <f aca="false">YEAR(Tabela1[[#This Row],[FECHA]])</f>
        <v>1900</v>
      </c>
      <c r="I60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04" customFormat="false" ht="15" hidden="false" customHeight="false" outlineLevel="0" collapsed="false">
      <c r="A6004" s="41"/>
      <c r="G6004" s="38" t="n">
        <f aca="false">MONTH(A6004)</f>
        <v>12</v>
      </c>
      <c r="H6004" s="38" t="n">
        <f aca="false">YEAR(Tabela1[[#This Row],[FECHA]])</f>
        <v>1900</v>
      </c>
      <c r="I60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05" customFormat="false" ht="15" hidden="false" customHeight="false" outlineLevel="0" collapsed="false">
      <c r="A6005" s="41"/>
      <c r="G6005" s="38" t="n">
        <f aca="false">MONTH(A6005)</f>
        <v>12</v>
      </c>
      <c r="H6005" s="38" t="n">
        <f aca="false">YEAR(Tabela1[[#This Row],[FECHA]])</f>
        <v>1900</v>
      </c>
      <c r="I60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06" customFormat="false" ht="15" hidden="false" customHeight="false" outlineLevel="0" collapsed="false">
      <c r="A6006" s="41"/>
      <c r="G6006" s="38" t="n">
        <f aca="false">MONTH(A6006)</f>
        <v>12</v>
      </c>
      <c r="H6006" s="38" t="n">
        <f aca="false">YEAR(Tabela1[[#This Row],[FECHA]])</f>
        <v>1900</v>
      </c>
      <c r="I60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07" customFormat="false" ht="15" hidden="false" customHeight="false" outlineLevel="0" collapsed="false">
      <c r="A6007" s="41"/>
      <c r="G6007" s="38" t="n">
        <f aca="false">MONTH(A6007)</f>
        <v>12</v>
      </c>
      <c r="H6007" s="38" t="n">
        <f aca="false">YEAR(Tabela1[[#This Row],[FECHA]])</f>
        <v>1900</v>
      </c>
      <c r="I60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08" customFormat="false" ht="15" hidden="false" customHeight="false" outlineLevel="0" collapsed="false">
      <c r="A6008" s="41"/>
      <c r="G6008" s="38" t="n">
        <f aca="false">MONTH(A6008)</f>
        <v>12</v>
      </c>
      <c r="H6008" s="38" t="n">
        <f aca="false">YEAR(Tabela1[[#This Row],[FECHA]])</f>
        <v>1900</v>
      </c>
      <c r="I60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09" customFormat="false" ht="15" hidden="false" customHeight="false" outlineLevel="0" collapsed="false">
      <c r="A6009" s="41"/>
      <c r="G6009" s="38" t="n">
        <f aca="false">MONTH(A6009)</f>
        <v>12</v>
      </c>
      <c r="H6009" s="38" t="n">
        <f aca="false">YEAR(Tabela1[[#This Row],[FECHA]])</f>
        <v>1900</v>
      </c>
      <c r="I60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10" customFormat="false" ht="15" hidden="false" customHeight="false" outlineLevel="0" collapsed="false">
      <c r="A6010" s="41"/>
      <c r="G6010" s="38" t="n">
        <f aca="false">MONTH(A6010)</f>
        <v>12</v>
      </c>
      <c r="H6010" s="38" t="n">
        <f aca="false">YEAR(Tabela1[[#This Row],[FECHA]])</f>
        <v>1900</v>
      </c>
      <c r="I60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11" customFormat="false" ht="15" hidden="false" customHeight="false" outlineLevel="0" collapsed="false">
      <c r="A6011" s="41"/>
      <c r="G6011" s="38" t="n">
        <f aca="false">MONTH(A6011)</f>
        <v>12</v>
      </c>
      <c r="H6011" s="38" t="n">
        <f aca="false">YEAR(Tabela1[[#This Row],[FECHA]])</f>
        <v>1900</v>
      </c>
      <c r="I60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12" customFormat="false" ht="15" hidden="false" customHeight="false" outlineLevel="0" collapsed="false">
      <c r="A6012" s="41"/>
      <c r="G6012" s="38" t="n">
        <f aca="false">MONTH(A6012)</f>
        <v>12</v>
      </c>
      <c r="H6012" s="38" t="n">
        <f aca="false">YEAR(Tabela1[[#This Row],[FECHA]])</f>
        <v>1900</v>
      </c>
      <c r="I60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13" customFormat="false" ht="15" hidden="false" customHeight="false" outlineLevel="0" collapsed="false">
      <c r="A6013" s="41"/>
      <c r="G6013" s="38" t="n">
        <f aca="false">MONTH(A6013)</f>
        <v>12</v>
      </c>
      <c r="H6013" s="38" t="n">
        <f aca="false">YEAR(Tabela1[[#This Row],[FECHA]])</f>
        <v>1900</v>
      </c>
      <c r="I60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14" customFormat="false" ht="15" hidden="false" customHeight="false" outlineLevel="0" collapsed="false">
      <c r="A6014" s="41"/>
      <c r="G6014" s="38" t="n">
        <f aca="false">MONTH(A6014)</f>
        <v>12</v>
      </c>
      <c r="H6014" s="38" t="n">
        <f aca="false">YEAR(Tabela1[[#This Row],[FECHA]])</f>
        <v>1900</v>
      </c>
      <c r="I60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15" customFormat="false" ht="15" hidden="false" customHeight="false" outlineLevel="0" collapsed="false">
      <c r="A6015" s="41"/>
      <c r="G6015" s="38" t="n">
        <f aca="false">MONTH(A6015)</f>
        <v>12</v>
      </c>
      <c r="H6015" s="38" t="n">
        <f aca="false">YEAR(Tabela1[[#This Row],[FECHA]])</f>
        <v>1900</v>
      </c>
      <c r="I60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16" customFormat="false" ht="15" hidden="false" customHeight="false" outlineLevel="0" collapsed="false">
      <c r="A6016" s="41"/>
      <c r="G6016" s="38" t="n">
        <f aca="false">MONTH(A6016)</f>
        <v>12</v>
      </c>
      <c r="H6016" s="38" t="n">
        <f aca="false">YEAR(Tabela1[[#This Row],[FECHA]])</f>
        <v>1900</v>
      </c>
      <c r="I60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17" customFormat="false" ht="15" hidden="false" customHeight="false" outlineLevel="0" collapsed="false">
      <c r="A6017" s="41"/>
      <c r="G6017" s="38" t="n">
        <f aca="false">MONTH(A6017)</f>
        <v>12</v>
      </c>
      <c r="H6017" s="38" t="n">
        <f aca="false">YEAR(Tabela1[[#This Row],[FECHA]])</f>
        <v>1900</v>
      </c>
      <c r="I60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18" customFormat="false" ht="15" hidden="false" customHeight="false" outlineLevel="0" collapsed="false">
      <c r="A6018" s="41"/>
      <c r="G6018" s="38" t="n">
        <f aca="false">MONTH(A6018)</f>
        <v>12</v>
      </c>
      <c r="H6018" s="38" t="n">
        <f aca="false">YEAR(Tabela1[[#This Row],[FECHA]])</f>
        <v>1900</v>
      </c>
      <c r="I60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19" customFormat="false" ht="15" hidden="false" customHeight="false" outlineLevel="0" collapsed="false">
      <c r="A6019" s="41"/>
      <c r="G6019" s="38" t="n">
        <f aca="false">MONTH(A6019)</f>
        <v>12</v>
      </c>
      <c r="H6019" s="38" t="n">
        <f aca="false">YEAR(Tabela1[[#This Row],[FECHA]])</f>
        <v>1900</v>
      </c>
      <c r="I60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20" customFormat="false" ht="15" hidden="false" customHeight="false" outlineLevel="0" collapsed="false">
      <c r="A6020" s="41"/>
      <c r="G6020" s="38" t="n">
        <f aca="false">MONTH(A6020)</f>
        <v>12</v>
      </c>
      <c r="H6020" s="38" t="n">
        <f aca="false">YEAR(Tabela1[[#This Row],[FECHA]])</f>
        <v>1900</v>
      </c>
      <c r="I60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21" customFormat="false" ht="15" hidden="false" customHeight="false" outlineLevel="0" collapsed="false">
      <c r="A6021" s="41"/>
      <c r="G6021" s="38" t="n">
        <f aca="false">MONTH(A6021)</f>
        <v>12</v>
      </c>
      <c r="H6021" s="38" t="n">
        <f aca="false">YEAR(Tabela1[[#This Row],[FECHA]])</f>
        <v>1900</v>
      </c>
      <c r="I60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22" customFormat="false" ht="15" hidden="false" customHeight="false" outlineLevel="0" collapsed="false">
      <c r="A6022" s="41"/>
      <c r="G6022" s="38" t="n">
        <f aca="false">MONTH(A6022)</f>
        <v>12</v>
      </c>
      <c r="H6022" s="38" t="n">
        <f aca="false">YEAR(Tabela1[[#This Row],[FECHA]])</f>
        <v>1900</v>
      </c>
      <c r="I60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23" customFormat="false" ht="15" hidden="false" customHeight="false" outlineLevel="0" collapsed="false">
      <c r="A6023" s="41"/>
      <c r="G6023" s="38" t="n">
        <f aca="false">MONTH(A6023)</f>
        <v>12</v>
      </c>
      <c r="H6023" s="38" t="n">
        <f aca="false">YEAR(Tabela1[[#This Row],[FECHA]])</f>
        <v>1900</v>
      </c>
      <c r="I60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24" customFormat="false" ht="15" hidden="false" customHeight="false" outlineLevel="0" collapsed="false">
      <c r="A6024" s="41"/>
      <c r="G6024" s="38" t="n">
        <f aca="false">MONTH(A6024)</f>
        <v>12</v>
      </c>
      <c r="H6024" s="38" t="n">
        <f aca="false">YEAR(Tabela1[[#This Row],[FECHA]])</f>
        <v>1900</v>
      </c>
      <c r="I60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25" customFormat="false" ht="15" hidden="false" customHeight="false" outlineLevel="0" collapsed="false">
      <c r="A6025" s="41"/>
      <c r="G6025" s="38" t="n">
        <f aca="false">MONTH(A6025)</f>
        <v>12</v>
      </c>
      <c r="H6025" s="38" t="n">
        <f aca="false">YEAR(Tabela1[[#This Row],[FECHA]])</f>
        <v>1900</v>
      </c>
      <c r="I60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26" customFormat="false" ht="15" hidden="false" customHeight="false" outlineLevel="0" collapsed="false">
      <c r="A6026" s="41"/>
      <c r="G6026" s="38" t="n">
        <f aca="false">MONTH(A6026)</f>
        <v>12</v>
      </c>
      <c r="H6026" s="38" t="n">
        <f aca="false">YEAR(Tabela1[[#This Row],[FECHA]])</f>
        <v>1900</v>
      </c>
      <c r="I60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27" customFormat="false" ht="15" hidden="false" customHeight="false" outlineLevel="0" collapsed="false">
      <c r="A6027" s="41"/>
      <c r="G6027" s="38" t="n">
        <f aca="false">MONTH(A6027)</f>
        <v>12</v>
      </c>
      <c r="H6027" s="38" t="n">
        <f aca="false">YEAR(Tabela1[[#This Row],[FECHA]])</f>
        <v>1900</v>
      </c>
      <c r="I60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28" customFormat="false" ht="15" hidden="false" customHeight="false" outlineLevel="0" collapsed="false">
      <c r="A6028" s="41"/>
      <c r="G6028" s="38" t="n">
        <f aca="false">MONTH(A6028)</f>
        <v>12</v>
      </c>
      <c r="H6028" s="38" t="n">
        <f aca="false">YEAR(Tabela1[[#This Row],[FECHA]])</f>
        <v>1900</v>
      </c>
      <c r="I60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29" customFormat="false" ht="15" hidden="false" customHeight="false" outlineLevel="0" collapsed="false">
      <c r="A6029" s="41"/>
      <c r="G6029" s="38" t="n">
        <f aca="false">MONTH(A6029)</f>
        <v>12</v>
      </c>
      <c r="H6029" s="38" t="n">
        <f aca="false">YEAR(Tabela1[[#This Row],[FECHA]])</f>
        <v>1900</v>
      </c>
      <c r="I60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30" customFormat="false" ht="15" hidden="false" customHeight="false" outlineLevel="0" collapsed="false">
      <c r="A6030" s="41"/>
      <c r="G6030" s="38" t="n">
        <f aca="false">MONTH(A6030)</f>
        <v>12</v>
      </c>
      <c r="H6030" s="38" t="n">
        <f aca="false">YEAR(Tabela1[[#This Row],[FECHA]])</f>
        <v>1900</v>
      </c>
      <c r="I60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31" customFormat="false" ht="15" hidden="false" customHeight="false" outlineLevel="0" collapsed="false">
      <c r="A6031" s="41"/>
      <c r="G6031" s="38" t="n">
        <f aca="false">MONTH(A6031)</f>
        <v>12</v>
      </c>
      <c r="H6031" s="38" t="n">
        <f aca="false">YEAR(Tabela1[[#This Row],[FECHA]])</f>
        <v>1900</v>
      </c>
      <c r="I60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32" customFormat="false" ht="15" hidden="false" customHeight="false" outlineLevel="0" collapsed="false">
      <c r="A6032" s="41"/>
      <c r="G6032" s="38" t="n">
        <f aca="false">MONTH(A6032)</f>
        <v>12</v>
      </c>
      <c r="H6032" s="38" t="n">
        <f aca="false">YEAR(Tabela1[[#This Row],[FECHA]])</f>
        <v>1900</v>
      </c>
      <c r="I60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33" customFormat="false" ht="15" hidden="false" customHeight="false" outlineLevel="0" collapsed="false">
      <c r="A6033" s="41"/>
      <c r="G6033" s="38" t="n">
        <f aca="false">MONTH(A6033)</f>
        <v>12</v>
      </c>
      <c r="H6033" s="38" t="n">
        <f aca="false">YEAR(Tabela1[[#This Row],[FECHA]])</f>
        <v>1900</v>
      </c>
      <c r="I60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34" customFormat="false" ht="15" hidden="false" customHeight="false" outlineLevel="0" collapsed="false">
      <c r="A6034" s="41"/>
      <c r="G6034" s="38" t="n">
        <f aca="false">MONTH(A6034)</f>
        <v>12</v>
      </c>
      <c r="H6034" s="38" t="n">
        <f aca="false">YEAR(Tabela1[[#This Row],[FECHA]])</f>
        <v>1900</v>
      </c>
      <c r="I60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35" customFormat="false" ht="15" hidden="false" customHeight="false" outlineLevel="0" collapsed="false">
      <c r="A6035" s="41"/>
      <c r="G6035" s="38" t="n">
        <f aca="false">MONTH(A6035)</f>
        <v>12</v>
      </c>
      <c r="H6035" s="38" t="n">
        <f aca="false">YEAR(Tabela1[[#This Row],[FECHA]])</f>
        <v>1900</v>
      </c>
      <c r="I60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36" customFormat="false" ht="15" hidden="false" customHeight="false" outlineLevel="0" collapsed="false">
      <c r="A6036" s="41"/>
      <c r="G6036" s="38" t="n">
        <f aca="false">MONTH(A6036)</f>
        <v>12</v>
      </c>
      <c r="H6036" s="38" t="n">
        <f aca="false">YEAR(Tabela1[[#This Row],[FECHA]])</f>
        <v>1900</v>
      </c>
      <c r="I60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37" customFormat="false" ht="15" hidden="false" customHeight="false" outlineLevel="0" collapsed="false">
      <c r="A6037" s="41"/>
      <c r="G6037" s="38" t="n">
        <f aca="false">MONTH(A6037)</f>
        <v>12</v>
      </c>
      <c r="H6037" s="38" t="n">
        <f aca="false">YEAR(Tabela1[[#This Row],[FECHA]])</f>
        <v>1900</v>
      </c>
      <c r="I60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38" customFormat="false" ht="15" hidden="false" customHeight="false" outlineLevel="0" collapsed="false">
      <c r="A6038" s="41"/>
      <c r="G6038" s="38" t="n">
        <f aca="false">MONTH(A6038)</f>
        <v>12</v>
      </c>
      <c r="H6038" s="38" t="n">
        <f aca="false">YEAR(Tabela1[[#This Row],[FECHA]])</f>
        <v>1900</v>
      </c>
      <c r="I60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39" customFormat="false" ht="15" hidden="false" customHeight="false" outlineLevel="0" collapsed="false">
      <c r="A6039" s="41"/>
      <c r="G6039" s="38" t="n">
        <f aca="false">MONTH(A6039)</f>
        <v>12</v>
      </c>
      <c r="H6039" s="38" t="n">
        <f aca="false">YEAR(Tabela1[[#This Row],[FECHA]])</f>
        <v>1900</v>
      </c>
      <c r="I60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40" customFormat="false" ht="15" hidden="false" customHeight="false" outlineLevel="0" collapsed="false">
      <c r="A6040" s="41"/>
      <c r="G6040" s="38" t="n">
        <f aca="false">MONTH(A6040)</f>
        <v>12</v>
      </c>
      <c r="H6040" s="38" t="n">
        <f aca="false">YEAR(Tabela1[[#This Row],[FECHA]])</f>
        <v>1900</v>
      </c>
      <c r="I60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41" customFormat="false" ht="15" hidden="false" customHeight="false" outlineLevel="0" collapsed="false">
      <c r="A6041" s="41"/>
      <c r="G6041" s="38" t="n">
        <f aca="false">MONTH(A6041)</f>
        <v>12</v>
      </c>
      <c r="H6041" s="38" t="n">
        <f aca="false">YEAR(Tabela1[[#This Row],[FECHA]])</f>
        <v>1900</v>
      </c>
      <c r="I60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42" customFormat="false" ht="15" hidden="false" customHeight="false" outlineLevel="0" collapsed="false">
      <c r="A6042" s="41"/>
      <c r="G6042" s="38" t="n">
        <f aca="false">MONTH(A6042)</f>
        <v>12</v>
      </c>
      <c r="H6042" s="38" t="n">
        <f aca="false">YEAR(Tabela1[[#This Row],[FECHA]])</f>
        <v>1900</v>
      </c>
      <c r="I60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43" customFormat="false" ht="15" hidden="false" customHeight="false" outlineLevel="0" collapsed="false">
      <c r="A6043" s="41"/>
      <c r="G6043" s="38" t="n">
        <f aca="false">MONTH(A6043)</f>
        <v>12</v>
      </c>
      <c r="H6043" s="38" t="n">
        <f aca="false">YEAR(Tabela1[[#This Row],[FECHA]])</f>
        <v>1900</v>
      </c>
      <c r="I60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44" customFormat="false" ht="15" hidden="false" customHeight="false" outlineLevel="0" collapsed="false">
      <c r="A6044" s="41"/>
      <c r="G6044" s="38" t="n">
        <f aca="false">MONTH(A6044)</f>
        <v>12</v>
      </c>
      <c r="H6044" s="38" t="n">
        <f aca="false">YEAR(Tabela1[[#This Row],[FECHA]])</f>
        <v>1900</v>
      </c>
      <c r="I60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45" customFormat="false" ht="15" hidden="false" customHeight="false" outlineLevel="0" collapsed="false">
      <c r="A6045" s="41"/>
      <c r="G6045" s="38" t="n">
        <f aca="false">MONTH(A6045)</f>
        <v>12</v>
      </c>
      <c r="H6045" s="38" t="n">
        <f aca="false">YEAR(Tabela1[[#This Row],[FECHA]])</f>
        <v>1900</v>
      </c>
      <c r="I60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46" customFormat="false" ht="15" hidden="false" customHeight="false" outlineLevel="0" collapsed="false">
      <c r="A6046" s="41"/>
      <c r="G6046" s="38" t="n">
        <f aca="false">MONTH(A6046)</f>
        <v>12</v>
      </c>
      <c r="H6046" s="38" t="n">
        <f aca="false">YEAR(Tabela1[[#This Row],[FECHA]])</f>
        <v>1900</v>
      </c>
      <c r="I60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47" customFormat="false" ht="15" hidden="false" customHeight="false" outlineLevel="0" collapsed="false">
      <c r="A6047" s="41"/>
      <c r="G6047" s="38" t="n">
        <f aca="false">MONTH(A6047)</f>
        <v>12</v>
      </c>
      <c r="H6047" s="38" t="n">
        <f aca="false">YEAR(Tabela1[[#This Row],[FECHA]])</f>
        <v>1900</v>
      </c>
      <c r="I60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48" customFormat="false" ht="15" hidden="false" customHeight="false" outlineLevel="0" collapsed="false">
      <c r="A6048" s="41"/>
      <c r="G6048" s="38" t="n">
        <f aca="false">MONTH(A6048)</f>
        <v>12</v>
      </c>
      <c r="H6048" s="38" t="n">
        <f aca="false">YEAR(Tabela1[[#This Row],[FECHA]])</f>
        <v>1900</v>
      </c>
      <c r="I60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49" customFormat="false" ht="15" hidden="false" customHeight="false" outlineLevel="0" collapsed="false">
      <c r="A6049" s="41"/>
      <c r="G6049" s="38" t="n">
        <f aca="false">MONTH(A6049)</f>
        <v>12</v>
      </c>
      <c r="H6049" s="38" t="n">
        <f aca="false">YEAR(Tabela1[[#This Row],[FECHA]])</f>
        <v>1900</v>
      </c>
      <c r="I60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50" customFormat="false" ht="15" hidden="false" customHeight="false" outlineLevel="0" collapsed="false">
      <c r="A6050" s="41"/>
      <c r="G6050" s="38" t="n">
        <f aca="false">MONTH(A6050)</f>
        <v>12</v>
      </c>
      <c r="H6050" s="38" t="n">
        <f aca="false">YEAR(Tabela1[[#This Row],[FECHA]])</f>
        <v>1900</v>
      </c>
      <c r="I60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51" customFormat="false" ht="15" hidden="false" customHeight="false" outlineLevel="0" collapsed="false">
      <c r="A6051" s="41"/>
      <c r="G6051" s="38" t="n">
        <f aca="false">MONTH(A6051)</f>
        <v>12</v>
      </c>
      <c r="H6051" s="38" t="n">
        <f aca="false">YEAR(Tabela1[[#This Row],[FECHA]])</f>
        <v>1900</v>
      </c>
      <c r="I60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52" customFormat="false" ht="15" hidden="false" customHeight="false" outlineLevel="0" collapsed="false">
      <c r="A6052" s="41"/>
      <c r="G6052" s="38" t="n">
        <f aca="false">MONTH(A6052)</f>
        <v>12</v>
      </c>
      <c r="H6052" s="38" t="n">
        <f aca="false">YEAR(Tabela1[[#This Row],[FECHA]])</f>
        <v>1900</v>
      </c>
      <c r="I60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53" customFormat="false" ht="15" hidden="false" customHeight="false" outlineLevel="0" collapsed="false">
      <c r="A6053" s="41"/>
      <c r="G6053" s="38" t="n">
        <f aca="false">MONTH(A6053)</f>
        <v>12</v>
      </c>
      <c r="H6053" s="38" t="n">
        <f aca="false">YEAR(Tabela1[[#This Row],[FECHA]])</f>
        <v>1900</v>
      </c>
      <c r="I60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54" customFormat="false" ht="15" hidden="false" customHeight="false" outlineLevel="0" collapsed="false">
      <c r="A6054" s="41"/>
      <c r="G6054" s="38" t="n">
        <f aca="false">MONTH(A6054)</f>
        <v>12</v>
      </c>
      <c r="H6054" s="38" t="n">
        <f aca="false">YEAR(Tabela1[[#This Row],[FECHA]])</f>
        <v>1900</v>
      </c>
      <c r="I60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55" customFormat="false" ht="15" hidden="false" customHeight="false" outlineLevel="0" collapsed="false">
      <c r="A6055" s="41"/>
      <c r="G6055" s="38" t="n">
        <f aca="false">MONTH(A6055)</f>
        <v>12</v>
      </c>
      <c r="H6055" s="38" t="n">
        <f aca="false">YEAR(Tabela1[[#This Row],[FECHA]])</f>
        <v>1900</v>
      </c>
      <c r="I60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56" customFormat="false" ht="15" hidden="false" customHeight="false" outlineLevel="0" collapsed="false">
      <c r="A6056" s="41"/>
      <c r="G6056" s="38" t="n">
        <f aca="false">MONTH(A6056)</f>
        <v>12</v>
      </c>
      <c r="H6056" s="38" t="n">
        <f aca="false">YEAR(Tabela1[[#This Row],[FECHA]])</f>
        <v>1900</v>
      </c>
      <c r="I60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57" customFormat="false" ht="15" hidden="false" customHeight="false" outlineLevel="0" collapsed="false">
      <c r="A6057" s="41"/>
      <c r="G6057" s="38" t="n">
        <f aca="false">MONTH(A6057)</f>
        <v>12</v>
      </c>
      <c r="H6057" s="38" t="n">
        <f aca="false">YEAR(Tabela1[[#This Row],[FECHA]])</f>
        <v>1900</v>
      </c>
      <c r="I60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58" customFormat="false" ht="15" hidden="false" customHeight="false" outlineLevel="0" collapsed="false">
      <c r="A6058" s="41"/>
      <c r="G6058" s="38" t="n">
        <f aca="false">MONTH(A6058)</f>
        <v>12</v>
      </c>
      <c r="H6058" s="38" t="n">
        <f aca="false">YEAR(Tabela1[[#This Row],[FECHA]])</f>
        <v>1900</v>
      </c>
      <c r="I60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59" customFormat="false" ht="15" hidden="false" customHeight="false" outlineLevel="0" collapsed="false">
      <c r="A6059" s="41"/>
      <c r="G6059" s="38" t="n">
        <f aca="false">MONTH(A6059)</f>
        <v>12</v>
      </c>
      <c r="H6059" s="38" t="n">
        <f aca="false">YEAR(Tabela1[[#This Row],[FECHA]])</f>
        <v>1900</v>
      </c>
      <c r="I60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60" customFormat="false" ht="15" hidden="false" customHeight="false" outlineLevel="0" collapsed="false">
      <c r="A6060" s="41"/>
      <c r="G6060" s="38" t="n">
        <f aca="false">MONTH(A6060)</f>
        <v>12</v>
      </c>
      <c r="H6060" s="38" t="n">
        <f aca="false">YEAR(Tabela1[[#This Row],[FECHA]])</f>
        <v>1900</v>
      </c>
      <c r="I60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61" customFormat="false" ht="15" hidden="false" customHeight="false" outlineLevel="0" collapsed="false">
      <c r="A6061" s="41"/>
      <c r="G6061" s="38" t="n">
        <f aca="false">MONTH(A6061)</f>
        <v>12</v>
      </c>
      <c r="H6061" s="38" t="n">
        <f aca="false">YEAR(Tabela1[[#This Row],[FECHA]])</f>
        <v>1900</v>
      </c>
      <c r="I60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62" customFormat="false" ht="15" hidden="false" customHeight="false" outlineLevel="0" collapsed="false">
      <c r="A6062" s="41"/>
      <c r="G6062" s="38" t="n">
        <f aca="false">MONTH(A6062)</f>
        <v>12</v>
      </c>
      <c r="H6062" s="38" t="n">
        <f aca="false">YEAR(Tabela1[[#This Row],[FECHA]])</f>
        <v>1900</v>
      </c>
      <c r="I60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63" customFormat="false" ht="15" hidden="false" customHeight="false" outlineLevel="0" collapsed="false">
      <c r="A6063" s="41"/>
      <c r="G6063" s="38" t="n">
        <f aca="false">MONTH(A6063)</f>
        <v>12</v>
      </c>
      <c r="H6063" s="38" t="n">
        <f aca="false">YEAR(Tabela1[[#This Row],[FECHA]])</f>
        <v>1900</v>
      </c>
      <c r="I60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64" customFormat="false" ht="15" hidden="false" customHeight="false" outlineLevel="0" collapsed="false">
      <c r="A6064" s="41"/>
      <c r="G6064" s="38" t="n">
        <f aca="false">MONTH(A6064)</f>
        <v>12</v>
      </c>
      <c r="H6064" s="38" t="n">
        <f aca="false">YEAR(Tabela1[[#This Row],[FECHA]])</f>
        <v>1900</v>
      </c>
      <c r="I60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65" customFormat="false" ht="15" hidden="false" customHeight="false" outlineLevel="0" collapsed="false">
      <c r="A6065" s="41"/>
      <c r="G6065" s="38" t="n">
        <f aca="false">MONTH(A6065)</f>
        <v>12</v>
      </c>
      <c r="H6065" s="38" t="n">
        <f aca="false">YEAR(Tabela1[[#This Row],[FECHA]])</f>
        <v>1900</v>
      </c>
      <c r="I60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66" customFormat="false" ht="15" hidden="false" customHeight="false" outlineLevel="0" collapsed="false">
      <c r="A6066" s="41"/>
      <c r="G6066" s="38" t="n">
        <f aca="false">MONTH(A6066)</f>
        <v>12</v>
      </c>
      <c r="H6066" s="38" t="n">
        <f aca="false">YEAR(Tabela1[[#This Row],[FECHA]])</f>
        <v>1900</v>
      </c>
      <c r="I60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67" customFormat="false" ht="15" hidden="false" customHeight="false" outlineLevel="0" collapsed="false">
      <c r="A6067" s="41"/>
      <c r="G6067" s="38" t="n">
        <f aca="false">MONTH(A6067)</f>
        <v>12</v>
      </c>
      <c r="H6067" s="38" t="n">
        <f aca="false">YEAR(Tabela1[[#This Row],[FECHA]])</f>
        <v>1900</v>
      </c>
      <c r="I60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68" customFormat="false" ht="15" hidden="false" customHeight="false" outlineLevel="0" collapsed="false">
      <c r="A6068" s="41"/>
      <c r="G6068" s="38" t="n">
        <f aca="false">MONTH(A6068)</f>
        <v>12</v>
      </c>
      <c r="H6068" s="38" t="n">
        <f aca="false">YEAR(Tabela1[[#This Row],[FECHA]])</f>
        <v>1900</v>
      </c>
      <c r="I60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69" customFormat="false" ht="15" hidden="false" customHeight="false" outlineLevel="0" collapsed="false">
      <c r="A6069" s="41"/>
      <c r="G6069" s="38" t="n">
        <f aca="false">MONTH(A6069)</f>
        <v>12</v>
      </c>
      <c r="H6069" s="38" t="n">
        <f aca="false">YEAR(Tabela1[[#This Row],[FECHA]])</f>
        <v>1900</v>
      </c>
      <c r="I60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70" customFormat="false" ht="15" hidden="false" customHeight="false" outlineLevel="0" collapsed="false">
      <c r="A6070" s="41"/>
      <c r="G6070" s="38" t="n">
        <f aca="false">MONTH(A6070)</f>
        <v>12</v>
      </c>
      <c r="H6070" s="38" t="n">
        <f aca="false">YEAR(Tabela1[[#This Row],[FECHA]])</f>
        <v>1900</v>
      </c>
      <c r="I60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71" customFormat="false" ht="15" hidden="false" customHeight="false" outlineLevel="0" collapsed="false">
      <c r="A6071" s="41"/>
      <c r="G6071" s="38" t="n">
        <f aca="false">MONTH(A6071)</f>
        <v>12</v>
      </c>
      <c r="H6071" s="38" t="n">
        <f aca="false">YEAR(Tabela1[[#This Row],[FECHA]])</f>
        <v>1900</v>
      </c>
      <c r="I60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72" customFormat="false" ht="15" hidden="false" customHeight="false" outlineLevel="0" collapsed="false">
      <c r="A6072" s="41"/>
      <c r="G6072" s="38" t="n">
        <f aca="false">MONTH(A6072)</f>
        <v>12</v>
      </c>
      <c r="H6072" s="38" t="n">
        <f aca="false">YEAR(Tabela1[[#This Row],[FECHA]])</f>
        <v>1900</v>
      </c>
      <c r="I60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73" customFormat="false" ht="15" hidden="false" customHeight="false" outlineLevel="0" collapsed="false">
      <c r="A6073" s="41"/>
      <c r="G6073" s="38" t="n">
        <f aca="false">MONTH(A6073)</f>
        <v>12</v>
      </c>
      <c r="H6073" s="38" t="n">
        <f aca="false">YEAR(Tabela1[[#This Row],[FECHA]])</f>
        <v>1900</v>
      </c>
      <c r="I60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74" customFormat="false" ht="15" hidden="false" customHeight="false" outlineLevel="0" collapsed="false">
      <c r="A6074" s="41"/>
      <c r="G6074" s="38" t="n">
        <f aca="false">MONTH(A6074)</f>
        <v>12</v>
      </c>
      <c r="H6074" s="38" t="n">
        <f aca="false">YEAR(Tabela1[[#This Row],[FECHA]])</f>
        <v>1900</v>
      </c>
      <c r="I60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75" customFormat="false" ht="15" hidden="false" customHeight="false" outlineLevel="0" collapsed="false">
      <c r="A6075" s="41"/>
      <c r="G6075" s="38" t="n">
        <f aca="false">MONTH(A6075)</f>
        <v>12</v>
      </c>
      <c r="H6075" s="38" t="n">
        <f aca="false">YEAR(Tabela1[[#This Row],[FECHA]])</f>
        <v>1900</v>
      </c>
      <c r="I60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76" customFormat="false" ht="15" hidden="false" customHeight="false" outlineLevel="0" collapsed="false">
      <c r="A6076" s="41"/>
      <c r="G6076" s="38" t="n">
        <f aca="false">MONTH(A6076)</f>
        <v>12</v>
      </c>
      <c r="H6076" s="38" t="n">
        <f aca="false">YEAR(Tabela1[[#This Row],[FECHA]])</f>
        <v>1900</v>
      </c>
      <c r="I60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77" customFormat="false" ht="15" hidden="false" customHeight="false" outlineLevel="0" collapsed="false">
      <c r="A6077" s="41"/>
      <c r="G6077" s="38" t="n">
        <f aca="false">MONTH(A6077)</f>
        <v>12</v>
      </c>
      <c r="H6077" s="38" t="n">
        <f aca="false">YEAR(Tabela1[[#This Row],[FECHA]])</f>
        <v>1900</v>
      </c>
      <c r="I60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78" customFormat="false" ht="15" hidden="false" customHeight="false" outlineLevel="0" collapsed="false">
      <c r="A6078" s="41"/>
      <c r="G6078" s="38" t="n">
        <f aca="false">MONTH(A6078)</f>
        <v>12</v>
      </c>
      <c r="H6078" s="38" t="n">
        <f aca="false">YEAR(Tabela1[[#This Row],[FECHA]])</f>
        <v>1900</v>
      </c>
      <c r="I60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79" customFormat="false" ht="15" hidden="false" customHeight="false" outlineLevel="0" collapsed="false">
      <c r="A6079" s="41"/>
      <c r="G6079" s="38" t="n">
        <f aca="false">MONTH(A6079)</f>
        <v>12</v>
      </c>
      <c r="H6079" s="38" t="n">
        <f aca="false">YEAR(Tabela1[[#This Row],[FECHA]])</f>
        <v>1900</v>
      </c>
      <c r="I60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80" customFormat="false" ht="15" hidden="false" customHeight="false" outlineLevel="0" collapsed="false">
      <c r="A6080" s="41"/>
      <c r="G6080" s="38" t="n">
        <f aca="false">MONTH(A6080)</f>
        <v>12</v>
      </c>
      <c r="H6080" s="38" t="n">
        <f aca="false">YEAR(Tabela1[[#This Row],[FECHA]])</f>
        <v>1900</v>
      </c>
      <c r="I60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81" customFormat="false" ht="15" hidden="false" customHeight="false" outlineLevel="0" collapsed="false">
      <c r="A6081" s="41"/>
      <c r="G6081" s="38" t="n">
        <f aca="false">MONTH(A6081)</f>
        <v>12</v>
      </c>
      <c r="H6081" s="38" t="n">
        <f aca="false">YEAR(Tabela1[[#This Row],[FECHA]])</f>
        <v>1900</v>
      </c>
      <c r="I60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82" customFormat="false" ht="15" hidden="false" customHeight="false" outlineLevel="0" collapsed="false">
      <c r="A6082" s="41"/>
      <c r="G6082" s="38" t="n">
        <f aca="false">MONTH(A6082)</f>
        <v>12</v>
      </c>
      <c r="H6082" s="38" t="n">
        <f aca="false">YEAR(Tabela1[[#This Row],[FECHA]])</f>
        <v>1900</v>
      </c>
      <c r="I60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83" customFormat="false" ht="15" hidden="false" customHeight="false" outlineLevel="0" collapsed="false">
      <c r="A6083" s="41"/>
      <c r="G6083" s="38" t="n">
        <f aca="false">MONTH(A6083)</f>
        <v>12</v>
      </c>
      <c r="H6083" s="38" t="n">
        <f aca="false">YEAR(Tabela1[[#This Row],[FECHA]])</f>
        <v>1900</v>
      </c>
      <c r="I60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84" customFormat="false" ht="15" hidden="false" customHeight="false" outlineLevel="0" collapsed="false">
      <c r="A6084" s="41"/>
      <c r="G6084" s="38" t="n">
        <f aca="false">MONTH(A6084)</f>
        <v>12</v>
      </c>
      <c r="H6084" s="38" t="n">
        <f aca="false">YEAR(Tabela1[[#This Row],[FECHA]])</f>
        <v>1900</v>
      </c>
      <c r="I60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85" customFormat="false" ht="15" hidden="false" customHeight="false" outlineLevel="0" collapsed="false">
      <c r="A6085" s="41"/>
      <c r="G6085" s="38" t="n">
        <f aca="false">MONTH(A6085)</f>
        <v>12</v>
      </c>
      <c r="H6085" s="38" t="n">
        <f aca="false">YEAR(Tabela1[[#This Row],[FECHA]])</f>
        <v>1900</v>
      </c>
      <c r="I60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86" customFormat="false" ht="15" hidden="false" customHeight="false" outlineLevel="0" collapsed="false">
      <c r="A6086" s="41"/>
      <c r="G6086" s="38" t="n">
        <f aca="false">MONTH(A6086)</f>
        <v>12</v>
      </c>
      <c r="H6086" s="38" t="n">
        <f aca="false">YEAR(Tabela1[[#This Row],[FECHA]])</f>
        <v>1900</v>
      </c>
      <c r="I60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87" customFormat="false" ht="15" hidden="false" customHeight="false" outlineLevel="0" collapsed="false">
      <c r="A6087" s="41"/>
      <c r="G6087" s="38" t="n">
        <f aca="false">MONTH(A6087)</f>
        <v>12</v>
      </c>
      <c r="H6087" s="38" t="n">
        <f aca="false">YEAR(Tabela1[[#This Row],[FECHA]])</f>
        <v>1900</v>
      </c>
      <c r="I60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88" customFormat="false" ht="15" hidden="false" customHeight="false" outlineLevel="0" collapsed="false">
      <c r="A6088" s="41"/>
      <c r="G6088" s="38" t="n">
        <f aca="false">MONTH(A6088)</f>
        <v>12</v>
      </c>
      <c r="H6088" s="38" t="n">
        <f aca="false">YEAR(Tabela1[[#This Row],[FECHA]])</f>
        <v>1900</v>
      </c>
      <c r="I60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89" customFormat="false" ht="15" hidden="false" customHeight="false" outlineLevel="0" collapsed="false">
      <c r="A6089" s="41"/>
      <c r="G6089" s="38" t="n">
        <f aca="false">MONTH(A6089)</f>
        <v>12</v>
      </c>
      <c r="H6089" s="38" t="n">
        <f aca="false">YEAR(Tabela1[[#This Row],[FECHA]])</f>
        <v>1900</v>
      </c>
      <c r="I60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90" customFormat="false" ht="15" hidden="false" customHeight="false" outlineLevel="0" collapsed="false">
      <c r="A6090" s="41"/>
      <c r="G6090" s="38" t="n">
        <f aca="false">MONTH(A6090)</f>
        <v>12</v>
      </c>
      <c r="H6090" s="38" t="n">
        <f aca="false">YEAR(Tabela1[[#This Row],[FECHA]])</f>
        <v>1900</v>
      </c>
      <c r="I60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91" customFormat="false" ht="15" hidden="false" customHeight="false" outlineLevel="0" collapsed="false">
      <c r="A6091" s="41"/>
      <c r="G6091" s="38" t="n">
        <f aca="false">MONTH(A6091)</f>
        <v>12</v>
      </c>
      <c r="H6091" s="38" t="n">
        <f aca="false">YEAR(Tabela1[[#This Row],[FECHA]])</f>
        <v>1900</v>
      </c>
      <c r="I60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92" customFormat="false" ht="15" hidden="false" customHeight="false" outlineLevel="0" collapsed="false">
      <c r="A6092" s="41"/>
      <c r="G6092" s="38" t="n">
        <f aca="false">MONTH(A6092)</f>
        <v>12</v>
      </c>
      <c r="H6092" s="38" t="n">
        <f aca="false">YEAR(Tabela1[[#This Row],[FECHA]])</f>
        <v>1900</v>
      </c>
      <c r="I60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93" customFormat="false" ht="15" hidden="false" customHeight="false" outlineLevel="0" collapsed="false">
      <c r="A6093" s="41"/>
      <c r="G6093" s="38" t="n">
        <f aca="false">MONTH(A6093)</f>
        <v>12</v>
      </c>
      <c r="H6093" s="38" t="n">
        <f aca="false">YEAR(Tabela1[[#This Row],[FECHA]])</f>
        <v>1900</v>
      </c>
      <c r="I60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94" customFormat="false" ht="15" hidden="false" customHeight="false" outlineLevel="0" collapsed="false">
      <c r="A6094" s="41"/>
      <c r="G6094" s="38" t="n">
        <f aca="false">MONTH(A6094)</f>
        <v>12</v>
      </c>
      <c r="H6094" s="38" t="n">
        <f aca="false">YEAR(Tabela1[[#This Row],[FECHA]])</f>
        <v>1900</v>
      </c>
      <c r="I60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95" customFormat="false" ht="15" hidden="false" customHeight="false" outlineLevel="0" collapsed="false">
      <c r="A6095" s="41"/>
      <c r="G6095" s="38" t="n">
        <f aca="false">MONTH(A6095)</f>
        <v>12</v>
      </c>
      <c r="H6095" s="38" t="n">
        <f aca="false">YEAR(Tabela1[[#This Row],[FECHA]])</f>
        <v>1900</v>
      </c>
      <c r="I60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96" customFormat="false" ht="15" hidden="false" customHeight="false" outlineLevel="0" collapsed="false">
      <c r="A6096" s="41"/>
      <c r="G6096" s="38" t="n">
        <f aca="false">MONTH(A6096)</f>
        <v>12</v>
      </c>
      <c r="H6096" s="38" t="n">
        <f aca="false">YEAR(Tabela1[[#This Row],[FECHA]])</f>
        <v>1900</v>
      </c>
      <c r="I60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97" customFormat="false" ht="15" hidden="false" customHeight="false" outlineLevel="0" collapsed="false">
      <c r="A6097" s="41"/>
      <c r="G6097" s="38" t="n">
        <f aca="false">MONTH(A6097)</f>
        <v>12</v>
      </c>
      <c r="H6097" s="38" t="n">
        <f aca="false">YEAR(Tabela1[[#This Row],[FECHA]])</f>
        <v>1900</v>
      </c>
      <c r="I60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98" customFormat="false" ht="15" hidden="false" customHeight="false" outlineLevel="0" collapsed="false">
      <c r="A6098" s="41"/>
      <c r="G6098" s="38" t="n">
        <f aca="false">MONTH(A6098)</f>
        <v>12</v>
      </c>
      <c r="H6098" s="38" t="n">
        <f aca="false">YEAR(Tabela1[[#This Row],[FECHA]])</f>
        <v>1900</v>
      </c>
      <c r="I60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099" customFormat="false" ht="15" hidden="false" customHeight="false" outlineLevel="0" collapsed="false">
      <c r="A6099" s="41"/>
      <c r="G6099" s="38" t="n">
        <f aca="false">MONTH(A6099)</f>
        <v>12</v>
      </c>
      <c r="H6099" s="38" t="n">
        <f aca="false">YEAR(Tabela1[[#This Row],[FECHA]])</f>
        <v>1900</v>
      </c>
      <c r="I60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00" customFormat="false" ht="15" hidden="false" customHeight="false" outlineLevel="0" collapsed="false">
      <c r="A6100" s="41"/>
      <c r="G6100" s="38" t="n">
        <f aca="false">MONTH(A6100)</f>
        <v>12</v>
      </c>
      <c r="H6100" s="38" t="n">
        <f aca="false">YEAR(Tabela1[[#This Row],[FECHA]])</f>
        <v>1900</v>
      </c>
      <c r="I61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01" customFormat="false" ht="15" hidden="false" customHeight="false" outlineLevel="0" collapsed="false">
      <c r="A6101" s="41"/>
      <c r="G6101" s="38" t="n">
        <f aca="false">MONTH(A6101)</f>
        <v>12</v>
      </c>
      <c r="H6101" s="38" t="n">
        <f aca="false">YEAR(Tabela1[[#This Row],[FECHA]])</f>
        <v>1900</v>
      </c>
      <c r="I61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02" customFormat="false" ht="15" hidden="false" customHeight="false" outlineLevel="0" collapsed="false">
      <c r="A6102" s="41"/>
      <c r="G6102" s="38" t="n">
        <f aca="false">MONTH(A6102)</f>
        <v>12</v>
      </c>
      <c r="H6102" s="38" t="n">
        <f aca="false">YEAR(Tabela1[[#This Row],[FECHA]])</f>
        <v>1900</v>
      </c>
      <c r="I61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03" customFormat="false" ht="15" hidden="false" customHeight="false" outlineLevel="0" collapsed="false">
      <c r="A6103" s="41"/>
      <c r="G6103" s="38" t="n">
        <f aca="false">MONTH(A6103)</f>
        <v>12</v>
      </c>
      <c r="H6103" s="38" t="n">
        <f aca="false">YEAR(Tabela1[[#This Row],[FECHA]])</f>
        <v>1900</v>
      </c>
      <c r="I61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04" customFormat="false" ht="15" hidden="false" customHeight="false" outlineLevel="0" collapsed="false">
      <c r="A6104" s="41"/>
      <c r="G6104" s="38" t="n">
        <f aca="false">MONTH(A6104)</f>
        <v>12</v>
      </c>
      <c r="H6104" s="38" t="n">
        <f aca="false">YEAR(Tabela1[[#This Row],[FECHA]])</f>
        <v>1900</v>
      </c>
      <c r="I61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05" customFormat="false" ht="15" hidden="false" customHeight="false" outlineLevel="0" collapsed="false">
      <c r="A6105" s="41"/>
      <c r="G6105" s="38" t="n">
        <f aca="false">MONTH(A6105)</f>
        <v>12</v>
      </c>
      <c r="H6105" s="38" t="n">
        <f aca="false">YEAR(Tabela1[[#This Row],[FECHA]])</f>
        <v>1900</v>
      </c>
      <c r="I61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06" customFormat="false" ht="15" hidden="false" customHeight="false" outlineLevel="0" collapsed="false">
      <c r="A6106" s="41"/>
      <c r="G6106" s="38" t="n">
        <f aca="false">MONTH(A6106)</f>
        <v>12</v>
      </c>
      <c r="H6106" s="38" t="n">
        <f aca="false">YEAR(Tabela1[[#This Row],[FECHA]])</f>
        <v>1900</v>
      </c>
      <c r="I61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07" customFormat="false" ht="15" hidden="false" customHeight="false" outlineLevel="0" collapsed="false">
      <c r="A6107" s="41"/>
      <c r="G6107" s="38" t="n">
        <f aca="false">MONTH(A6107)</f>
        <v>12</v>
      </c>
      <c r="H6107" s="38" t="n">
        <f aca="false">YEAR(Tabela1[[#This Row],[FECHA]])</f>
        <v>1900</v>
      </c>
      <c r="I61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08" customFormat="false" ht="15" hidden="false" customHeight="false" outlineLevel="0" collapsed="false">
      <c r="A6108" s="41"/>
      <c r="G6108" s="38" t="n">
        <f aca="false">MONTH(A6108)</f>
        <v>12</v>
      </c>
      <c r="H6108" s="38" t="n">
        <f aca="false">YEAR(Tabela1[[#This Row],[FECHA]])</f>
        <v>1900</v>
      </c>
      <c r="I61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09" customFormat="false" ht="15" hidden="false" customHeight="false" outlineLevel="0" collapsed="false">
      <c r="A6109" s="41"/>
      <c r="G6109" s="38" t="n">
        <f aca="false">MONTH(A6109)</f>
        <v>12</v>
      </c>
      <c r="H6109" s="38" t="n">
        <f aca="false">YEAR(Tabela1[[#This Row],[FECHA]])</f>
        <v>1900</v>
      </c>
      <c r="I61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10" customFormat="false" ht="15" hidden="false" customHeight="false" outlineLevel="0" collapsed="false">
      <c r="A6110" s="41"/>
      <c r="G6110" s="38" t="n">
        <f aca="false">MONTH(A6110)</f>
        <v>12</v>
      </c>
      <c r="H6110" s="38" t="n">
        <f aca="false">YEAR(Tabela1[[#This Row],[FECHA]])</f>
        <v>1900</v>
      </c>
      <c r="I61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11" customFormat="false" ht="15" hidden="false" customHeight="false" outlineLevel="0" collapsed="false">
      <c r="A6111" s="41"/>
      <c r="G6111" s="38" t="n">
        <f aca="false">MONTH(A6111)</f>
        <v>12</v>
      </c>
      <c r="H6111" s="38" t="n">
        <f aca="false">YEAR(Tabela1[[#This Row],[FECHA]])</f>
        <v>1900</v>
      </c>
      <c r="I61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12" customFormat="false" ht="15" hidden="false" customHeight="false" outlineLevel="0" collapsed="false">
      <c r="A6112" s="41"/>
      <c r="G6112" s="38" t="n">
        <f aca="false">MONTH(A6112)</f>
        <v>12</v>
      </c>
      <c r="H6112" s="38" t="n">
        <f aca="false">YEAR(Tabela1[[#This Row],[FECHA]])</f>
        <v>1900</v>
      </c>
      <c r="I61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13" customFormat="false" ht="15" hidden="false" customHeight="false" outlineLevel="0" collapsed="false">
      <c r="A6113" s="41"/>
      <c r="G6113" s="38" t="n">
        <f aca="false">MONTH(A6113)</f>
        <v>12</v>
      </c>
      <c r="H6113" s="38" t="n">
        <f aca="false">YEAR(Tabela1[[#This Row],[FECHA]])</f>
        <v>1900</v>
      </c>
      <c r="I61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14" customFormat="false" ht="15" hidden="false" customHeight="false" outlineLevel="0" collapsed="false">
      <c r="A6114" s="41"/>
      <c r="G6114" s="38" t="n">
        <f aca="false">MONTH(A6114)</f>
        <v>12</v>
      </c>
      <c r="H6114" s="38" t="n">
        <f aca="false">YEAR(Tabela1[[#This Row],[FECHA]])</f>
        <v>1900</v>
      </c>
      <c r="I61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15" customFormat="false" ht="15" hidden="false" customHeight="false" outlineLevel="0" collapsed="false">
      <c r="A6115" s="41"/>
      <c r="G6115" s="38" t="n">
        <f aca="false">MONTH(A6115)</f>
        <v>12</v>
      </c>
      <c r="H6115" s="38" t="n">
        <f aca="false">YEAR(Tabela1[[#This Row],[FECHA]])</f>
        <v>1900</v>
      </c>
      <c r="I61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16" customFormat="false" ht="15" hidden="false" customHeight="false" outlineLevel="0" collapsed="false">
      <c r="A6116" s="41"/>
      <c r="G6116" s="38" t="n">
        <f aca="false">MONTH(A6116)</f>
        <v>12</v>
      </c>
      <c r="H6116" s="38" t="n">
        <f aca="false">YEAR(Tabela1[[#This Row],[FECHA]])</f>
        <v>1900</v>
      </c>
      <c r="I61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17" customFormat="false" ht="15" hidden="false" customHeight="false" outlineLevel="0" collapsed="false">
      <c r="A6117" s="41"/>
      <c r="G6117" s="38" t="n">
        <f aca="false">MONTH(A6117)</f>
        <v>12</v>
      </c>
      <c r="H6117" s="38" t="n">
        <f aca="false">YEAR(Tabela1[[#This Row],[FECHA]])</f>
        <v>1900</v>
      </c>
      <c r="I61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18" customFormat="false" ht="15" hidden="false" customHeight="false" outlineLevel="0" collapsed="false">
      <c r="A6118" s="41"/>
      <c r="G6118" s="38" t="n">
        <f aca="false">MONTH(A6118)</f>
        <v>12</v>
      </c>
      <c r="H6118" s="38" t="n">
        <f aca="false">YEAR(Tabela1[[#This Row],[FECHA]])</f>
        <v>1900</v>
      </c>
      <c r="I61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19" customFormat="false" ht="15" hidden="false" customHeight="false" outlineLevel="0" collapsed="false">
      <c r="A6119" s="41"/>
      <c r="G6119" s="38" t="n">
        <f aca="false">MONTH(A6119)</f>
        <v>12</v>
      </c>
      <c r="H6119" s="38" t="n">
        <f aca="false">YEAR(Tabela1[[#This Row],[FECHA]])</f>
        <v>1900</v>
      </c>
      <c r="I61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20" customFormat="false" ht="15" hidden="false" customHeight="false" outlineLevel="0" collapsed="false">
      <c r="A6120" s="41"/>
      <c r="G6120" s="38" t="n">
        <f aca="false">MONTH(A6120)</f>
        <v>12</v>
      </c>
      <c r="H6120" s="38" t="n">
        <f aca="false">YEAR(Tabela1[[#This Row],[FECHA]])</f>
        <v>1900</v>
      </c>
      <c r="I61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21" customFormat="false" ht="15" hidden="false" customHeight="false" outlineLevel="0" collapsed="false">
      <c r="A6121" s="41"/>
      <c r="G6121" s="38" t="n">
        <f aca="false">MONTH(A6121)</f>
        <v>12</v>
      </c>
      <c r="H6121" s="38" t="n">
        <f aca="false">YEAR(Tabela1[[#This Row],[FECHA]])</f>
        <v>1900</v>
      </c>
      <c r="I61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22" customFormat="false" ht="15" hidden="false" customHeight="false" outlineLevel="0" collapsed="false">
      <c r="A6122" s="41"/>
      <c r="G6122" s="38" t="n">
        <f aca="false">MONTH(A6122)</f>
        <v>12</v>
      </c>
      <c r="H6122" s="38" t="n">
        <f aca="false">YEAR(Tabela1[[#This Row],[FECHA]])</f>
        <v>1900</v>
      </c>
      <c r="I61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23" customFormat="false" ht="15" hidden="false" customHeight="false" outlineLevel="0" collapsed="false">
      <c r="A6123" s="41"/>
      <c r="G6123" s="38" t="n">
        <f aca="false">MONTH(A6123)</f>
        <v>12</v>
      </c>
      <c r="H6123" s="38" t="n">
        <f aca="false">YEAR(Tabela1[[#This Row],[FECHA]])</f>
        <v>1900</v>
      </c>
      <c r="I61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24" customFormat="false" ht="15" hidden="false" customHeight="false" outlineLevel="0" collapsed="false">
      <c r="A6124" s="41"/>
      <c r="G6124" s="38" t="n">
        <f aca="false">MONTH(A6124)</f>
        <v>12</v>
      </c>
      <c r="H6124" s="38" t="n">
        <f aca="false">YEAR(Tabela1[[#This Row],[FECHA]])</f>
        <v>1900</v>
      </c>
      <c r="I61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25" customFormat="false" ht="15" hidden="false" customHeight="false" outlineLevel="0" collapsed="false">
      <c r="A6125" s="41"/>
      <c r="G6125" s="38" t="n">
        <f aca="false">MONTH(A6125)</f>
        <v>12</v>
      </c>
      <c r="H6125" s="38" t="n">
        <f aca="false">YEAR(Tabela1[[#This Row],[FECHA]])</f>
        <v>1900</v>
      </c>
      <c r="I61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26" customFormat="false" ht="15" hidden="false" customHeight="false" outlineLevel="0" collapsed="false">
      <c r="A6126" s="41"/>
      <c r="G6126" s="38" t="n">
        <f aca="false">MONTH(A6126)</f>
        <v>12</v>
      </c>
      <c r="H6126" s="38" t="n">
        <f aca="false">YEAR(Tabela1[[#This Row],[FECHA]])</f>
        <v>1900</v>
      </c>
      <c r="I61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27" customFormat="false" ht="15" hidden="false" customHeight="false" outlineLevel="0" collapsed="false">
      <c r="A6127" s="41"/>
      <c r="G6127" s="38" t="n">
        <f aca="false">MONTH(A6127)</f>
        <v>12</v>
      </c>
      <c r="H6127" s="38" t="n">
        <f aca="false">YEAR(Tabela1[[#This Row],[FECHA]])</f>
        <v>1900</v>
      </c>
      <c r="I61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28" customFormat="false" ht="15" hidden="false" customHeight="false" outlineLevel="0" collapsed="false">
      <c r="A6128" s="41"/>
      <c r="G6128" s="38" t="n">
        <f aca="false">MONTH(A6128)</f>
        <v>12</v>
      </c>
      <c r="H6128" s="38" t="n">
        <f aca="false">YEAR(Tabela1[[#This Row],[FECHA]])</f>
        <v>1900</v>
      </c>
      <c r="I61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29" customFormat="false" ht="15" hidden="false" customHeight="false" outlineLevel="0" collapsed="false">
      <c r="A6129" s="41"/>
      <c r="G6129" s="38" t="n">
        <f aca="false">MONTH(A6129)</f>
        <v>12</v>
      </c>
      <c r="H6129" s="38" t="n">
        <f aca="false">YEAR(Tabela1[[#This Row],[FECHA]])</f>
        <v>1900</v>
      </c>
      <c r="I61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30" customFormat="false" ht="15" hidden="false" customHeight="false" outlineLevel="0" collapsed="false">
      <c r="A6130" s="41"/>
      <c r="G6130" s="38" t="n">
        <f aca="false">MONTH(A6130)</f>
        <v>12</v>
      </c>
      <c r="H6130" s="38" t="n">
        <f aca="false">YEAR(Tabela1[[#This Row],[FECHA]])</f>
        <v>1900</v>
      </c>
      <c r="I61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31" customFormat="false" ht="15" hidden="false" customHeight="false" outlineLevel="0" collapsed="false">
      <c r="A6131" s="41"/>
      <c r="G6131" s="38" t="n">
        <f aca="false">MONTH(A6131)</f>
        <v>12</v>
      </c>
      <c r="H6131" s="38" t="n">
        <f aca="false">YEAR(Tabela1[[#This Row],[FECHA]])</f>
        <v>1900</v>
      </c>
      <c r="I61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32" customFormat="false" ht="15" hidden="false" customHeight="false" outlineLevel="0" collapsed="false">
      <c r="A6132" s="41"/>
      <c r="G6132" s="38" t="n">
        <f aca="false">MONTH(A6132)</f>
        <v>12</v>
      </c>
      <c r="H6132" s="38" t="n">
        <f aca="false">YEAR(Tabela1[[#This Row],[FECHA]])</f>
        <v>1900</v>
      </c>
      <c r="I61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33" customFormat="false" ht="15" hidden="false" customHeight="false" outlineLevel="0" collapsed="false">
      <c r="A6133" s="41"/>
      <c r="G6133" s="38" t="n">
        <f aca="false">MONTH(A6133)</f>
        <v>12</v>
      </c>
      <c r="H6133" s="38" t="n">
        <f aca="false">YEAR(Tabela1[[#This Row],[FECHA]])</f>
        <v>1900</v>
      </c>
      <c r="I61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34" customFormat="false" ht="15" hidden="false" customHeight="false" outlineLevel="0" collapsed="false">
      <c r="A6134" s="41"/>
      <c r="G6134" s="38" t="n">
        <f aca="false">MONTH(A6134)</f>
        <v>12</v>
      </c>
      <c r="H6134" s="38" t="n">
        <f aca="false">YEAR(Tabela1[[#This Row],[FECHA]])</f>
        <v>1900</v>
      </c>
      <c r="I61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35" customFormat="false" ht="15" hidden="false" customHeight="false" outlineLevel="0" collapsed="false">
      <c r="A6135" s="41"/>
      <c r="G6135" s="38" t="n">
        <f aca="false">MONTH(A6135)</f>
        <v>12</v>
      </c>
      <c r="H6135" s="38" t="n">
        <f aca="false">YEAR(Tabela1[[#This Row],[FECHA]])</f>
        <v>1900</v>
      </c>
      <c r="I61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36" customFormat="false" ht="15" hidden="false" customHeight="false" outlineLevel="0" collapsed="false">
      <c r="A6136" s="41"/>
      <c r="G6136" s="38" t="n">
        <f aca="false">MONTH(A6136)</f>
        <v>12</v>
      </c>
      <c r="H6136" s="38" t="n">
        <f aca="false">YEAR(Tabela1[[#This Row],[FECHA]])</f>
        <v>1900</v>
      </c>
      <c r="I61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37" customFormat="false" ht="15" hidden="false" customHeight="false" outlineLevel="0" collapsed="false">
      <c r="A6137" s="41"/>
      <c r="G6137" s="38" t="n">
        <f aca="false">MONTH(A6137)</f>
        <v>12</v>
      </c>
      <c r="H6137" s="38" t="n">
        <f aca="false">YEAR(Tabela1[[#This Row],[FECHA]])</f>
        <v>1900</v>
      </c>
      <c r="I61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38" customFormat="false" ht="15" hidden="false" customHeight="false" outlineLevel="0" collapsed="false">
      <c r="A6138" s="41"/>
      <c r="G6138" s="38" t="n">
        <f aca="false">MONTH(A6138)</f>
        <v>12</v>
      </c>
      <c r="H6138" s="38" t="n">
        <f aca="false">YEAR(Tabela1[[#This Row],[FECHA]])</f>
        <v>1900</v>
      </c>
      <c r="I61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39" customFormat="false" ht="15" hidden="false" customHeight="false" outlineLevel="0" collapsed="false">
      <c r="A6139" s="41"/>
      <c r="G6139" s="38" t="n">
        <f aca="false">MONTH(A6139)</f>
        <v>12</v>
      </c>
      <c r="H6139" s="38" t="n">
        <f aca="false">YEAR(Tabela1[[#This Row],[FECHA]])</f>
        <v>1900</v>
      </c>
      <c r="I61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40" customFormat="false" ht="15" hidden="false" customHeight="false" outlineLevel="0" collapsed="false">
      <c r="A6140" s="41"/>
      <c r="G6140" s="38" t="n">
        <f aca="false">MONTH(A6140)</f>
        <v>12</v>
      </c>
      <c r="H6140" s="38" t="n">
        <f aca="false">YEAR(Tabela1[[#This Row],[FECHA]])</f>
        <v>1900</v>
      </c>
      <c r="I61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41" customFormat="false" ht="15" hidden="false" customHeight="false" outlineLevel="0" collapsed="false">
      <c r="A6141" s="41"/>
      <c r="G6141" s="38" t="n">
        <f aca="false">MONTH(A6141)</f>
        <v>12</v>
      </c>
      <c r="H6141" s="38" t="n">
        <f aca="false">YEAR(Tabela1[[#This Row],[FECHA]])</f>
        <v>1900</v>
      </c>
      <c r="I61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42" customFormat="false" ht="15" hidden="false" customHeight="false" outlineLevel="0" collapsed="false">
      <c r="A6142" s="41"/>
      <c r="G6142" s="38" t="n">
        <f aca="false">MONTH(A6142)</f>
        <v>12</v>
      </c>
      <c r="H6142" s="38" t="n">
        <f aca="false">YEAR(Tabela1[[#This Row],[FECHA]])</f>
        <v>1900</v>
      </c>
      <c r="I61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43" customFormat="false" ht="15" hidden="false" customHeight="false" outlineLevel="0" collapsed="false">
      <c r="A6143" s="41"/>
      <c r="G6143" s="38" t="n">
        <f aca="false">MONTH(A6143)</f>
        <v>12</v>
      </c>
      <c r="H6143" s="38" t="n">
        <f aca="false">YEAR(Tabela1[[#This Row],[FECHA]])</f>
        <v>1900</v>
      </c>
      <c r="I61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44" customFormat="false" ht="15" hidden="false" customHeight="false" outlineLevel="0" collapsed="false">
      <c r="A6144" s="41"/>
      <c r="G6144" s="38" t="n">
        <f aca="false">MONTH(A6144)</f>
        <v>12</v>
      </c>
      <c r="H6144" s="38" t="n">
        <f aca="false">YEAR(Tabela1[[#This Row],[FECHA]])</f>
        <v>1900</v>
      </c>
      <c r="I61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45" customFormat="false" ht="15" hidden="false" customHeight="false" outlineLevel="0" collapsed="false">
      <c r="A6145" s="41"/>
      <c r="G6145" s="38" t="n">
        <f aca="false">MONTH(A6145)</f>
        <v>12</v>
      </c>
      <c r="H6145" s="38" t="n">
        <f aca="false">YEAR(Tabela1[[#This Row],[FECHA]])</f>
        <v>1900</v>
      </c>
      <c r="I61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46" customFormat="false" ht="15" hidden="false" customHeight="false" outlineLevel="0" collapsed="false">
      <c r="A6146" s="41"/>
      <c r="G6146" s="38" t="n">
        <f aca="false">MONTH(A6146)</f>
        <v>12</v>
      </c>
      <c r="H6146" s="38" t="n">
        <f aca="false">YEAR(Tabela1[[#This Row],[FECHA]])</f>
        <v>1900</v>
      </c>
      <c r="I61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47" customFormat="false" ht="15" hidden="false" customHeight="false" outlineLevel="0" collapsed="false">
      <c r="A6147" s="41"/>
      <c r="G6147" s="38" t="n">
        <f aca="false">MONTH(A6147)</f>
        <v>12</v>
      </c>
      <c r="H6147" s="38" t="n">
        <f aca="false">YEAR(Tabela1[[#This Row],[FECHA]])</f>
        <v>1900</v>
      </c>
      <c r="I61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48" customFormat="false" ht="15" hidden="false" customHeight="false" outlineLevel="0" collapsed="false">
      <c r="A6148" s="41"/>
      <c r="G6148" s="38" t="n">
        <f aca="false">MONTH(A6148)</f>
        <v>12</v>
      </c>
      <c r="H6148" s="38" t="n">
        <f aca="false">YEAR(Tabela1[[#This Row],[FECHA]])</f>
        <v>1900</v>
      </c>
      <c r="I61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49" customFormat="false" ht="15" hidden="false" customHeight="false" outlineLevel="0" collapsed="false">
      <c r="A6149" s="41"/>
      <c r="G6149" s="38" t="n">
        <f aca="false">MONTH(A6149)</f>
        <v>12</v>
      </c>
      <c r="H6149" s="38" t="n">
        <f aca="false">YEAR(Tabela1[[#This Row],[FECHA]])</f>
        <v>1900</v>
      </c>
      <c r="I61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50" customFormat="false" ht="15" hidden="false" customHeight="false" outlineLevel="0" collapsed="false">
      <c r="A6150" s="41"/>
      <c r="G6150" s="38" t="n">
        <f aca="false">MONTH(A6150)</f>
        <v>12</v>
      </c>
      <c r="H6150" s="38" t="n">
        <f aca="false">YEAR(Tabela1[[#This Row],[FECHA]])</f>
        <v>1900</v>
      </c>
      <c r="I61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51" customFormat="false" ht="15" hidden="false" customHeight="false" outlineLevel="0" collapsed="false">
      <c r="A6151" s="41"/>
      <c r="G6151" s="38" t="n">
        <f aca="false">MONTH(A6151)</f>
        <v>12</v>
      </c>
      <c r="H6151" s="38" t="n">
        <f aca="false">YEAR(Tabela1[[#This Row],[FECHA]])</f>
        <v>1900</v>
      </c>
      <c r="I61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52" customFormat="false" ht="15" hidden="false" customHeight="false" outlineLevel="0" collapsed="false">
      <c r="A6152" s="41"/>
      <c r="G6152" s="38" t="n">
        <f aca="false">MONTH(A6152)</f>
        <v>12</v>
      </c>
      <c r="H6152" s="38" t="n">
        <f aca="false">YEAR(Tabela1[[#This Row],[FECHA]])</f>
        <v>1900</v>
      </c>
      <c r="I61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53" customFormat="false" ht="15" hidden="false" customHeight="false" outlineLevel="0" collapsed="false">
      <c r="A6153" s="41"/>
      <c r="G6153" s="38" t="n">
        <f aca="false">MONTH(A6153)</f>
        <v>12</v>
      </c>
      <c r="H6153" s="38" t="n">
        <f aca="false">YEAR(Tabela1[[#This Row],[FECHA]])</f>
        <v>1900</v>
      </c>
      <c r="I61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54" customFormat="false" ht="15" hidden="false" customHeight="false" outlineLevel="0" collapsed="false">
      <c r="A6154" s="41"/>
      <c r="G6154" s="38" t="n">
        <f aca="false">MONTH(A6154)</f>
        <v>12</v>
      </c>
      <c r="H6154" s="38" t="n">
        <f aca="false">YEAR(Tabela1[[#This Row],[FECHA]])</f>
        <v>1900</v>
      </c>
      <c r="I61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55" customFormat="false" ht="15" hidden="false" customHeight="false" outlineLevel="0" collapsed="false">
      <c r="A6155" s="41"/>
      <c r="G6155" s="38" t="n">
        <f aca="false">MONTH(A6155)</f>
        <v>12</v>
      </c>
      <c r="H6155" s="38" t="n">
        <f aca="false">YEAR(Tabela1[[#This Row],[FECHA]])</f>
        <v>1900</v>
      </c>
      <c r="I61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56" customFormat="false" ht="15" hidden="false" customHeight="false" outlineLevel="0" collapsed="false">
      <c r="A6156" s="41"/>
      <c r="G6156" s="38" t="n">
        <f aca="false">MONTH(A6156)</f>
        <v>12</v>
      </c>
      <c r="H6156" s="38" t="n">
        <f aca="false">YEAR(Tabela1[[#This Row],[FECHA]])</f>
        <v>1900</v>
      </c>
      <c r="I61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57" customFormat="false" ht="15" hidden="false" customHeight="false" outlineLevel="0" collapsed="false">
      <c r="A6157" s="41"/>
      <c r="G6157" s="38" t="n">
        <f aca="false">MONTH(A6157)</f>
        <v>12</v>
      </c>
      <c r="H6157" s="38" t="n">
        <f aca="false">YEAR(Tabela1[[#This Row],[FECHA]])</f>
        <v>1900</v>
      </c>
      <c r="I61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58" customFormat="false" ht="15" hidden="false" customHeight="false" outlineLevel="0" collapsed="false">
      <c r="A6158" s="41"/>
      <c r="G6158" s="38" t="n">
        <f aca="false">MONTH(A6158)</f>
        <v>12</v>
      </c>
      <c r="H6158" s="38" t="n">
        <f aca="false">YEAR(Tabela1[[#This Row],[FECHA]])</f>
        <v>1900</v>
      </c>
      <c r="I61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59" customFormat="false" ht="15" hidden="false" customHeight="false" outlineLevel="0" collapsed="false">
      <c r="A6159" s="41"/>
      <c r="G6159" s="38" t="n">
        <f aca="false">MONTH(A6159)</f>
        <v>12</v>
      </c>
      <c r="H6159" s="38" t="n">
        <f aca="false">YEAR(Tabela1[[#This Row],[FECHA]])</f>
        <v>1900</v>
      </c>
      <c r="I61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60" customFormat="false" ht="15" hidden="false" customHeight="false" outlineLevel="0" collapsed="false">
      <c r="A6160" s="41"/>
      <c r="G6160" s="38" t="n">
        <f aca="false">MONTH(A6160)</f>
        <v>12</v>
      </c>
      <c r="H6160" s="38" t="n">
        <f aca="false">YEAR(Tabela1[[#This Row],[FECHA]])</f>
        <v>1900</v>
      </c>
      <c r="I61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61" customFormat="false" ht="15" hidden="false" customHeight="false" outlineLevel="0" collapsed="false">
      <c r="A6161" s="41"/>
      <c r="G6161" s="38" t="n">
        <f aca="false">MONTH(A6161)</f>
        <v>12</v>
      </c>
      <c r="H6161" s="38" t="n">
        <f aca="false">YEAR(Tabela1[[#This Row],[FECHA]])</f>
        <v>1900</v>
      </c>
      <c r="I61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62" customFormat="false" ht="15" hidden="false" customHeight="false" outlineLevel="0" collapsed="false">
      <c r="A6162" s="41"/>
      <c r="G6162" s="38" t="n">
        <f aca="false">MONTH(A6162)</f>
        <v>12</v>
      </c>
      <c r="H6162" s="38" t="n">
        <f aca="false">YEAR(Tabela1[[#This Row],[FECHA]])</f>
        <v>1900</v>
      </c>
      <c r="I61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63" customFormat="false" ht="15" hidden="false" customHeight="false" outlineLevel="0" collapsed="false">
      <c r="A6163" s="41"/>
      <c r="G6163" s="38" t="n">
        <f aca="false">MONTH(A6163)</f>
        <v>12</v>
      </c>
      <c r="H6163" s="38" t="n">
        <f aca="false">YEAR(Tabela1[[#This Row],[FECHA]])</f>
        <v>1900</v>
      </c>
      <c r="I61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64" customFormat="false" ht="15" hidden="false" customHeight="false" outlineLevel="0" collapsed="false">
      <c r="A6164" s="41"/>
      <c r="G6164" s="38" t="n">
        <f aca="false">MONTH(A6164)</f>
        <v>12</v>
      </c>
      <c r="H6164" s="38" t="n">
        <f aca="false">YEAR(Tabela1[[#This Row],[FECHA]])</f>
        <v>1900</v>
      </c>
      <c r="I61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65" customFormat="false" ht="15" hidden="false" customHeight="false" outlineLevel="0" collapsed="false">
      <c r="A6165" s="41"/>
      <c r="G6165" s="38" t="n">
        <f aca="false">MONTH(A6165)</f>
        <v>12</v>
      </c>
      <c r="H6165" s="38" t="n">
        <f aca="false">YEAR(Tabela1[[#This Row],[FECHA]])</f>
        <v>1900</v>
      </c>
      <c r="I61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66" customFormat="false" ht="15" hidden="false" customHeight="false" outlineLevel="0" collapsed="false">
      <c r="A6166" s="41"/>
      <c r="G6166" s="38" t="n">
        <f aca="false">MONTH(A6166)</f>
        <v>12</v>
      </c>
      <c r="H6166" s="38" t="n">
        <f aca="false">YEAR(Tabela1[[#This Row],[FECHA]])</f>
        <v>1900</v>
      </c>
      <c r="I61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67" customFormat="false" ht="15" hidden="false" customHeight="false" outlineLevel="0" collapsed="false">
      <c r="A6167" s="41"/>
      <c r="G6167" s="38" t="n">
        <f aca="false">MONTH(A6167)</f>
        <v>12</v>
      </c>
      <c r="H6167" s="38" t="n">
        <f aca="false">YEAR(Tabela1[[#This Row],[FECHA]])</f>
        <v>1900</v>
      </c>
      <c r="I61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68" customFormat="false" ht="15" hidden="false" customHeight="false" outlineLevel="0" collapsed="false">
      <c r="A6168" s="41"/>
      <c r="G6168" s="38" t="n">
        <f aca="false">MONTH(A6168)</f>
        <v>12</v>
      </c>
      <c r="H6168" s="38" t="n">
        <f aca="false">YEAR(Tabela1[[#This Row],[FECHA]])</f>
        <v>1900</v>
      </c>
      <c r="I61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69" customFormat="false" ht="15" hidden="false" customHeight="false" outlineLevel="0" collapsed="false">
      <c r="A6169" s="41"/>
      <c r="G6169" s="38" t="n">
        <f aca="false">MONTH(A6169)</f>
        <v>12</v>
      </c>
      <c r="H6169" s="38" t="n">
        <f aca="false">YEAR(Tabela1[[#This Row],[FECHA]])</f>
        <v>1900</v>
      </c>
      <c r="I61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70" customFormat="false" ht="15" hidden="false" customHeight="false" outlineLevel="0" collapsed="false">
      <c r="A6170" s="41"/>
      <c r="G6170" s="38" t="n">
        <f aca="false">MONTH(A6170)</f>
        <v>12</v>
      </c>
      <c r="H6170" s="38" t="n">
        <f aca="false">YEAR(Tabela1[[#This Row],[FECHA]])</f>
        <v>1900</v>
      </c>
      <c r="I61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71" customFormat="false" ht="15" hidden="false" customHeight="false" outlineLevel="0" collapsed="false">
      <c r="A6171" s="41"/>
      <c r="G6171" s="38" t="n">
        <f aca="false">MONTH(A6171)</f>
        <v>12</v>
      </c>
      <c r="H6171" s="38" t="n">
        <f aca="false">YEAR(Tabela1[[#This Row],[FECHA]])</f>
        <v>1900</v>
      </c>
      <c r="I61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72" customFormat="false" ht="15" hidden="false" customHeight="false" outlineLevel="0" collapsed="false">
      <c r="A6172" s="41"/>
      <c r="G6172" s="38" t="n">
        <f aca="false">MONTH(A6172)</f>
        <v>12</v>
      </c>
      <c r="H6172" s="38" t="n">
        <f aca="false">YEAR(Tabela1[[#This Row],[FECHA]])</f>
        <v>1900</v>
      </c>
      <c r="I61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73" customFormat="false" ht="15" hidden="false" customHeight="false" outlineLevel="0" collapsed="false">
      <c r="A6173" s="41"/>
      <c r="G6173" s="38" t="n">
        <f aca="false">MONTH(A6173)</f>
        <v>12</v>
      </c>
      <c r="H6173" s="38" t="n">
        <f aca="false">YEAR(Tabela1[[#This Row],[FECHA]])</f>
        <v>1900</v>
      </c>
      <c r="I61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74" customFormat="false" ht="15" hidden="false" customHeight="false" outlineLevel="0" collapsed="false">
      <c r="A6174" s="41"/>
      <c r="G6174" s="38" t="n">
        <f aca="false">MONTH(A6174)</f>
        <v>12</v>
      </c>
      <c r="H6174" s="38" t="n">
        <f aca="false">YEAR(Tabela1[[#This Row],[FECHA]])</f>
        <v>1900</v>
      </c>
      <c r="I61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75" customFormat="false" ht="15" hidden="false" customHeight="false" outlineLevel="0" collapsed="false">
      <c r="A6175" s="41"/>
      <c r="G6175" s="38" t="n">
        <f aca="false">MONTH(A6175)</f>
        <v>12</v>
      </c>
      <c r="H6175" s="38" t="n">
        <f aca="false">YEAR(Tabela1[[#This Row],[FECHA]])</f>
        <v>1900</v>
      </c>
      <c r="I61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76" customFormat="false" ht="15" hidden="false" customHeight="false" outlineLevel="0" collapsed="false">
      <c r="A6176" s="41"/>
      <c r="G6176" s="38" t="n">
        <f aca="false">MONTH(A6176)</f>
        <v>12</v>
      </c>
      <c r="H6176" s="38" t="n">
        <f aca="false">YEAR(Tabela1[[#This Row],[FECHA]])</f>
        <v>1900</v>
      </c>
      <c r="I61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77" customFormat="false" ht="15" hidden="false" customHeight="false" outlineLevel="0" collapsed="false">
      <c r="A6177" s="41"/>
      <c r="G6177" s="38" t="n">
        <f aca="false">MONTH(A6177)</f>
        <v>12</v>
      </c>
      <c r="H6177" s="38" t="n">
        <f aca="false">YEAR(Tabela1[[#This Row],[FECHA]])</f>
        <v>1900</v>
      </c>
      <c r="I61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78" customFormat="false" ht="15" hidden="false" customHeight="false" outlineLevel="0" collapsed="false">
      <c r="A6178" s="41"/>
      <c r="G6178" s="38" t="n">
        <f aca="false">MONTH(A6178)</f>
        <v>12</v>
      </c>
      <c r="H6178" s="38" t="n">
        <f aca="false">YEAR(Tabela1[[#This Row],[FECHA]])</f>
        <v>1900</v>
      </c>
      <c r="I61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79" customFormat="false" ht="15" hidden="false" customHeight="false" outlineLevel="0" collapsed="false">
      <c r="A6179" s="41"/>
      <c r="G6179" s="38" t="n">
        <f aca="false">MONTH(A6179)</f>
        <v>12</v>
      </c>
      <c r="H6179" s="38" t="n">
        <f aca="false">YEAR(Tabela1[[#This Row],[FECHA]])</f>
        <v>1900</v>
      </c>
      <c r="I61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80" customFormat="false" ht="15" hidden="false" customHeight="false" outlineLevel="0" collapsed="false">
      <c r="A6180" s="41"/>
      <c r="G6180" s="38" t="n">
        <f aca="false">MONTH(A6180)</f>
        <v>12</v>
      </c>
      <c r="H6180" s="38" t="n">
        <f aca="false">YEAR(Tabela1[[#This Row],[FECHA]])</f>
        <v>1900</v>
      </c>
      <c r="I61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81" customFormat="false" ht="15" hidden="false" customHeight="false" outlineLevel="0" collapsed="false">
      <c r="A6181" s="41"/>
      <c r="G6181" s="38" t="n">
        <f aca="false">MONTH(A6181)</f>
        <v>12</v>
      </c>
      <c r="H6181" s="38" t="n">
        <f aca="false">YEAR(Tabela1[[#This Row],[FECHA]])</f>
        <v>1900</v>
      </c>
      <c r="I61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82" customFormat="false" ht="15" hidden="false" customHeight="false" outlineLevel="0" collapsed="false">
      <c r="A6182" s="41"/>
      <c r="G6182" s="38" t="n">
        <f aca="false">MONTH(A6182)</f>
        <v>12</v>
      </c>
      <c r="H6182" s="38" t="n">
        <f aca="false">YEAR(Tabela1[[#This Row],[FECHA]])</f>
        <v>1900</v>
      </c>
      <c r="I61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83" customFormat="false" ht="15" hidden="false" customHeight="false" outlineLevel="0" collapsed="false">
      <c r="A6183" s="41"/>
      <c r="G6183" s="38" t="n">
        <f aca="false">MONTH(A6183)</f>
        <v>12</v>
      </c>
      <c r="H6183" s="38" t="n">
        <f aca="false">YEAR(Tabela1[[#This Row],[FECHA]])</f>
        <v>1900</v>
      </c>
      <c r="I61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84" customFormat="false" ht="15" hidden="false" customHeight="false" outlineLevel="0" collapsed="false">
      <c r="A6184" s="41"/>
      <c r="G6184" s="38" t="n">
        <f aca="false">MONTH(A6184)</f>
        <v>12</v>
      </c>
      <c r="H6184" s="38" t="n">
        <f aca="false">YEAR(Tabela1[[#This Row],[FECHA]])</f>
        <v>1900</v>
      </c>
      <c r="I61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85" customFormat="false" ht="15" hidden="false" customHeight="false" outlineLevel="0" collapsed="false">
      <c r="A6185" s="41"/>
      <c r="G6185" s="38" t="n">
        <f aca="false">MONTH(A6185)</f>
        <v>12</v>
      </c>
      <c r="H6185" s="38" t="n">
        <f aca="false">YEAR(Tabela1[[#This Row],[FECHA]])</f>
        <v>1900</v>
      </c>
      <c r="I61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86" customFormat="false" ht="15" hidden="false" customHeight="false" outlineLevel="0" collapsed="false">
      <c r="A6186" s="41"/>
      <c r="G6186" s="38" t="n">
        <f aca="false">MONTH(A6186)</f>
        <v>12</v>
      </c>
      <c r="H6186" s="38" t="n">
        <f aca="false">YEAR(Tabela1[[#This Row],[FECHA]])</f>
        <v>1900</v>
      </c>
      <c r="I61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87" customFormat="false" ht="15" hidden="false" customHeight="false" outlineLevel="0" collapsed="false">
      <c r="A6187" s="41"/>
      <c r="G6187" s="38" t="n">
        <f aca="false">MONTH(A6187)</f>
        <v>12</v>
      </c>
      <c r="H6187" s="38" t="n">
        <f aca="false">YEAR(Tabela1[[#This Row],[FECHA]])</f>
        <v>1900</v>
      </c>
      <c r="I61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88" customFormat="false" ht="15" hidden="false" customHeight="false" outlineLevel="0" collapsed="false">
      <c r="A6188" s="41"/>
      <c r="G6188" s="38" t="n">
        <f aca="false">MONTH(A6188)</f>
        <v>12</v>
      </c>
      <c r="H6188" s="38" t="n">
        <f aca="false">YEAR(Tabela1[[#This Row],[FECHA]])</f>
        <v>1900</v>
      </c>
      <c r="I61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89" customFormat="false" ht="15" hidden="false" customHeight="false" outlineLevel="0" collapsed="false">
      <c r="A6189" s="41"/>
      <c r="G6189" s="38" t="n">
        <f aca="false">MONTH(A6189)</f>
        <v>12</v>
      </c>
      <c r="H6189" s="38" t="n">
        <f aca="false">YEAR(Tabela1[[#This Row],[FECHA]])</f>
        <v>1900</v>
      </c>
      <c r="I61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90" customFormat="false" ht="15" hidden="false" customHeight="false" outlineLevel="0" collapsed="false">
      <c r="A6190" s="41"/>
      <c r="G6190" s="38" t="n">
        <f aca="false">MONTH(A6190)</f>
        <v>12</v>
      </c>
      <c r="H6190" s="38" t="n">
        <f aca="false">YEAR(Tabela1[[#This Row],[FECHA]])</f>
        <v>1900</v>
      </c>
      <c r="I61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91" customFormat="false" ht="15" hidden="false" customHeight="false" outlineLevel="0" collapsed="false">
      <c r="A6191" s="41"/>
      <c r="G6191" s="38" t="n">
        <f aca="false">MONTH(A6191)</f>
        <v>12</v>
      </c>
      <c r="H6191" s="38" t="n">
        <f aca="false">YEAR(Tabela1[[#This Row],[FECHA]])</f>
        <v>1900</v>
      </c>
      <c r="I61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92" customFormat="false" ht="15" hidden="false" customHeight="false" outlineLevel="0" collapsed="false">
      <c r="A6192" s="41"/>
      <c r="G6192" s="38" t="n">
        <f aca="false">MONTH(A6192)</f>
        <v>12</v>
      </c>
      <c r="H6192" s="38" t="n">
        <f aca="false">YEAR(Tabela1[[#This Row],[FECHA]])</f>
        <v>1900</v>
      </c>
      <c r="I61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93" customFormat="false" ht="15" hidden="false" customHeight="false" outlineLevel="0" collapsed="false">
      <c r="A6193" s="41"/>
      <c r="G6193" s="38" t="n">
        <f aca="false">MONTH(A6193)</f>
        <v>12</v>
      </c>
      <c r="H6193" s="38" t="n">
        <f aca="false">YEAR(Tabela1[[#This Row],[FECHA]])</f>
        <v>1900</v>
      </c>
      <c r="I61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94" customFormat="false" ht="15" hidden="false" customHeight="false" outlineLevel="0" collapsed="false">
      <c r="A6194" s="41"/>
      <c r="G6194" s="38" t="n">
        <f aca="false">MONTH(A6194)</f>
        <v>12</v>
      </c>
      <c r="H6194" s="38" t="n">
        <f aca="false">YEAR(Tabela1[[#This Row],[FECHA]])</f>
        <v>1900</v>
      </c>
      <c r="I61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95" customFormat="false" ht="15" hidden="false" customHeight="false" outlineLevel="0" collapsed="false">
      <c r="A6195" s="41"/>
      <c r="G6195" s="38" t="n">
        <f aca="false">MONTH(A6195)</f>
        <v>12</v>
      </c>
      <c r="H6195" s="38" t="n">
        <f aca="false">YEAR(Tabela1[[#This Row],[FECHA]])</f>
        <v>1900</v>
      </c>
      <c r="I61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96" customFormat="false" ht="15" hidden="false" customHeight="false" outlineLevel="0" collapsed="false">
      <c r="A6196" s="41"/>
      <c r="G6196" s="38" t="n">
        <f aca="false">MONTH(A6196)</f>
        <v>12</v>
      </c>
      <c r="H6196" s="38" t="n">
        <f aca="false">YEAR(Tabela1[[#This Row],[FECHA]])</f>
        <v>1900</v>
      </c>
      <c r="I61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97" customFormat="false" ht="15" hidden="false" customHeight="false" outlineLevel="0" collapsed="false">
      <c r="A6197" s="41"/>
      <c r="G6197" s="38" t="n">
        <f aca="false">MONTH(A6197)</f>
        <v>12</v>
      </c>
      <c r="H6197" s="38" t="n">
        <f aca="false">YEAR(Tabela1[[#This Row],[FECHA]])</f>
        <v>1900</v>
      </c>
      <c r="I61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98" customFormat="false" ht="15" hidden="false" customHeight="false" outlineLevel="0" collapsed="false">
      <c r="A6198" s="41"/>
      <c r="G6198" s="38" t="n">
        <f aca="false">MONTH(A6198)</f>
        <v>12</v>
      </c>
      <c r="H6198" s="38" t="n">
        <f aca="false">YEAR(Tabela1[[#This Row],[FECHA]])</f>
        <v>1900</v>
      </c>
      <c r="I61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199" customFormat="false" ht="15" hidden="false" customHeight="false" outlineLevel="0" collapsed="false">
      <c r="A6199" s="41"/>
      <c r="G6199" s="38" t="n">
        <f aca="false">MONTH(A6199)</f>
        <v>12</v>
      </c>
      <c r="H6199" s="38" t="n">
        <f aca="false">YEAR(Tabela1[[#This Row],[FECHA]])</f>
        <v>1900</v>
      </c>
      <c r="I61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00" customFormat="false" ht="15" hidden="false" customHeight="false" outlineLevel="0" collapsed="false">
      <c r="A6200" s="41"/>
      <c r="G6200" s="38" t="n">
        <f aca="false">MONTH(A6200)</f>
        <v>12</v>
      </c>
      <c r="H6200" s="38" t="n">
        <f aca="false">YEAR(Tabela1[[#This Row],[FECHA]])</f>
        <v>1900</v>
      </c>
      <c r="I62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01" customFormat="false" ht="15" hidden="false" customHeight="false" outlineLevel="0" collapsed="false">
      <c r="A6201" s="41"/>
      <c r="G6201" s="38" t="n">
        <f aca="false">MONTH(A6201)</f>
        <v>12</v>
      </c>
      <c r="H6201" s="38" t="n">
        <f aca="false">YEAR(Tabela1[[#This Row],[FECHA]])</f>
        <v>1900</v>
      </c>
      <c r="I62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02" customFormat="false" ht="15" hidden="false" customHeight="false" outlineLevel="0" collapsed="false">
      <c r="A6202" s="41"/>
      <c r="G6202" s="38" t="n">
        <f aca="false">MONTH(A6202)</f>
        <v>12</v>
      </c>
      <c r="H6202" s="38" t="n">
        <f aca="false">YEAR(Tabela1[[#This Row],[FECHA]])</f>
        <v>1900</v>
      </c>
      <c r="I62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03" customFormat="false" ht="15" hidden="false" customHeight="false" outlineLevel="0" collapsed="false">
      <c r="A6203" s="41"/>
      <c r="G6203" s="38" t="n">
        <f aca="false">MONTH(A6203)</f>
        <v>12</v>
      </c>
      <c r="H6203" s="38" t="n">
        <f aca="false">YEAR(Tabela1[[#This Row],[FECHA]])</f>
        <v>1900</v>
      </c>
      <c r="I62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04" customFormat="false" ht="15" hidden="false" customHeight="false" outlineLevel="0" collapsed="false">
      <c r="A6204" s="41"/>
      <c r="G6204" s="38" t="n">
        <f aca="false">MONTH(A6204)</f>
        <v>12</v>
      </c>
      <c r="H6204" s="38" t="n">
        <f aca="false">YEAR(Tabela1[[#This Row],[FECHA]])</f>
        <v>1900</v>
      </c>
      <c r="I62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05" customFormat="false" ht="15" hidden="false" customHeight="false" outlineLevel="0" collapsed="false">
      <c r="A6205" s="41"/>
      <c r="G6205" s="38" t="n">
        <f aca="false">MONTH(A6205)</f>
        <v>12</v>
      </c>
      <c r="H6205" s="38" t="n">
        <f aca="false">YEAR(Tabela1[[#This Row],[FECHA]])</f>
        <v>1900</v>
      </c>
      <c r="I62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06" customFormat="false" ht="15" hidden="false" customHeight="false" outlineLevel="0" collapsed="false">
      <c r="A6206" s="41"/>
      <c r="G6206" s="38" t="n">
        <f aca="false">MONTH(A6206)</f>
        <v>12</v>
      </c>
      <c r="H6206" s="38" t="n">
        <f aca="false">YEAR(Tabela1[[#This Row],[FECHA]])</f>
        <v>1900</v>
      </c>
      <c r="I62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07" customFormat="false" ht="15" hidden="false" customHeight="false" outlineLevel="0" collapsed="false">
      <c r="A6207" s="41"/>
      <c r="G6207" s="38" t="n">
        <f aca="false">MONTH(A6207)</f>
        <v>12</v>
      </c>
      <c r="H6207" s="38" t="n">
        <f aca="false">YEAR(Tabela1[[#This Row],[FECHA]])</f>
        <v>1900</v>
      </c>
      <c r="I62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08" customFormat="false" ht="15" hidden="false" customHeight="false" outlineLevel="0" collapsed="false">
      <c r="A6208" s="41"/>
      <c r="G6208" s="38" t="n">
        <f aca="false">MONTH(A6208)</f>
        <v>12</v>
      </c>
      <c r="H6208" s="38" t="n">
        <f aca="false">YEAR(Tabela1[[#This Row],[FECHA]])</f>
        <v>1900</v>
      </c>
      <c r="I62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09" customFormat="false" ht="15" hidden="false" customHeight="false" outlineLevel="0" collapsed="false">
      <c r="A6209" s="41"/>
      <c r="G6209" s="38" t="n">
        <f aca="false">MONTH(A6209)</f>
        <v>12</v>
      </c>
      <c r="H6209" s="38" t="n">
        <f aca="false">YEAR(Tabela1[[#This Row],[FECHA]])</f>
        <v>1900</v>
      </c>
      <c r="I62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10" customFormat="false" ht="15" hidden="false" customHeight="false" outlineLevel="0" collapsed="false">
      <c r="A6210" s="41"/>
      <c r="G6210" s="38" t="n">
        <f aca="false">MONTH(A6210)</f>
        <v>12</v>
      </c>
      <c r="H6210" s="38" t="n">
        <f aca="false">YEAR(Tabela1[[#This Row],[FECHA]])</f>
        <v>1900</v>
      </c>
      <c r="I62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11" customFormat="false" ht="15" hidden="false" customHeight="false" outlineLevel="0" collapsed="false">
      <c r="A6211" s="41"/>
      <c r="G6211" s="38" t="n">
        <f aca="false">MONTH(A6211)</f>
        <v>12</v>
      </c>
      <c r="H6211" s="38" t="n">
        <f aca="false">YEAR(Tabela1[[#This Row],[FECHA]])</f>
        <v>1900</v>
      </c>
      <c r="I62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12" customFormat="false" ht="15" hidden="false" customHeight="false" outlineLevel="0" collapsed="false">
      <c r="A6212" s="41"/>
      <c r="G6212" s="38" t="n">
        <f aca="false">MONTH(A6212)</f>
        <v>12</v>
      </c>
      <c r="H6212" s="38" t="n">
        <f aca="false">YEAR(Tabela1[[#This Row],[FECHA]])</f>
        <v>1900</v>
      </c>
      <c r="I62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13" customFormat="false" ht="15" hidden="false" customHeight="false" outlineLevel="0" collapsed="false">
      <c r="A6213" s="41"/>
      <c r="G6213" s="38" t="n">
        <f aca="false">MONTH(A6213)</f>
        <v>12</v>
      </c>
      <c r="H6213" s="38" t="n">
        <f aca="false">YEAR(Tabela1[[#This Row],[FECHA]])</f>
        <v>1900</v>
      </c>
      <c r="I62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14" customFormat="false" ht="15" hidden="false" customHeight="false" outlineLevel="0" collapsed="false">
      <c r="A6214" s="41"/>
      <c r="G6214" s="38" t="n">
        <f aca="false">MONTH(A6214)</f>
        <v>12</v>
      </c>
      <c r="H6214" s="38" t="n">
        <f aca="false">YEAR(Tabela1[[#This Row],[FECHA]])</f>
        <v>1900</v>
      </c>
      <c r="I62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15" customFormat="false" ht="15" hidden="false" customHeight="false" outlineLevel="0" collapsed="false">
      <c r="A6215" s="41"/>
      <c r="G6215" s="38" t="n">
        <f aca="false">MONTH(A6215)</f>
        <v>12</v>
      </c>
      <c r="H6215" s="38" t="n">
        <f aca="false">YEAR(Tabela1[[#This Row],[FECHA]])</f>
        <v>1900</v>
      </c>
      <c r="I62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16" customFormat="false" ht="15" hidden="false" customHeight="false" outlineLevel="0" collapsed="false">
      <c r="A6216" s="41"/>
      <c r="G6216" s="38" t="n">
        <f aca="false">MONTH(A6216)</f>
        <v>12</v>
      </c>
      <c r="H6216" s="38" t="n">
        <f aca="false">YEAR(Tabela1[[#This Row],[FECHA]])</f>
        <v>1900</v>
      </c>
      <c r="I62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17" customFormat="false" ht="15" hidden="false" customHeight="false" outlineLevel="0" collapsed="false">
      <c r="A6217" s="41"/>
      <c r="G6217" s="38" t="n">
        <f aca="false">MONTH(A6217)</f>
        <v>12</v>
      </c>
      <c r="H6217" s="38" t="n">
        <f aca="false">YEAR(Tabela1[[#This Row],[FECHA]])</f>
        <v>1900</v>
      </c>
      <c r="I62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18" customFormat="false" ht="15" hidden="false" customHeight="false" outlineLevel="0" collapsed="false">
      <c r="A6218" s="41"/>
      <c r="G6218" s="38" t="n">
        <f aca="false">MONTH(A6218)</f>
        <v>12</v>
      </c>
      <c r="H6218" s="38" t="n">
        <f aca="false">YEAR(Tabela1[[#This Row],[FECHA]])</f>
        <v>1900</v>
      </c>
      <c r="I62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19" customFormat="false" ht="15" hidden="false" customHeight="false" outlineLevel="0" collapsed="false">
      <c r="A6219" s="41"/>
      <c r="G6219" s="38" t="n">
        <f aca="false">MONTH(A6219)</f>
        <v>12</v>
      </c>
      <c r="H6219" s="38" t="n">
        <f aca="false">YEAR(Tabela1[[#This Row],[FECHA]])</f>
        <v>1900</v>
      </c>
      <c r="I62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20" customFormat="false" ht="15" hidden="false" customHeight="false" outlineLevel="0" collapsed="false">
      <c r="A6220" s="41"/>
      <c r="G6220" s="38" t="n">
        <f aca="false">MONTH(A6220)</f>
        <v>12</v>
      </c>
      <c r="H6220" s="38" t="n">
        <f aca="false">YEAR(Tabela1[[#This Row],[FECHA]])</f>
        <v>1900</v>
      </c>
      <c r="I62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21" customFormat="false" ht="15" hidden="false" customHeight="false" outlineLevel="0" collapsed="false">
      <c r="A6221" s="41"/>
      <c r="G6221" s="38" t="n">
        <f aca="false">MONTH(A6221)</f>
        <v>12</v>
      </c>
      <c r="H6221" s="38" t="n">
        <f aca="false">YEAR(Tabela1[[#This Row],[FECHA]])</f>
        <v>1900</v>
      </c>
      <c r="I62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22" customFormat="false" ht="15" hidden="false" customHeight="false" outlineLevel="0" collapsed="false">
      <c r="A6222" s="41"/>
      <c r="G6222" s="38" t="n">
        <f aca="false">MONTH(A6222)</f>
        <v>12</v>
      </c>
      <c r="H6222" s="38" t="n">
        <f aca="false">YEAR(Tabela1[[#This Row],[FECHA]])</f>
        <v>1900</v>
      </c>
      <c r="I62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23" customFormat="false" ht="15" hidden="false" customHeight="false" outlineLevel="0" collapsed="false">
      <c r="A6223" s="41"/>
      <c r="G6223" s="38" t="n">
        <f aca="false">MONTH(A6223)</f>
        <v>12</v>
      </c>
      <c r="H6223" s="38" t="n">
        <f aca="false">YEAR(Tabela1[[#This Row],[FECHA]])</f>
        <v>1900</v>
      </c>
      <c r="I62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24" customFormat="false" ht="15" hidden="false" customHeight="false" outlineLevel="0" collapsed="false">
      <c r="A6224" s="41"/>
      <c r="G6224" s="38" t="n">
        <f aca="false">MONTH(A6224)</f>
        <v>12</v>
      </c>
      <c r="H6224" s="38" t="n">
        <f aca="false">YEAR(Tabela1[[#This Row],[FECHA]])</f>
        <v>1900</v>
      </c>
      <c r="I62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25" customFormat="false" ht="15" hidden="false" customHeight="false" outlineLevel="0" collapsed="false">
      <c r="A6225" s="41"/>
      <c r="G6225" s="38" t="n">
        <f aca="false">MONTH(A6225)</f>
        <v>12</v>
      </c>
      <c r="H6225" s="38" t="n">
        <f aca="false">YEAR(Tabela1[[#This Row],[FECHA]])</f>
        <v>1900</v>
      </c>
      <c r="I62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26" customFormat="false" ht="15" hidden="false" customHeight="false" outlineLevel="0" collapsed="false">
      <c r="A6226" s="41"/>
      <c r="G6226" s="38" t="n">
        <f aca="false">MONTH(A6226)</f>
        <v>12</v>
      </c>
      <c r="H6226" s="38" t="n">
        <f aca="false">YEAR(Tabela1[[#This Row],[FECHA]])</f>
        <v>1900</v>
      </c>
      <c r="I62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27" customFormat="false" ht="15" hidden="false" customHeight="false" outlineLevel="0" collapsed="false">
      <c r="A6227" s="41"/>
      <c r="G6227" s="38" t="n">
        <f aca="false">MONTH(A6227)</f>
        <v>12</v>
      </c>
      <c r="H6227" s="38" t="n">
        <f aca="false">YEAR(Tabela1[[#This Row],[FECHA]])</f>
        <v>1900</v>
      </c>
      <c r="I62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28" customFormat="false" ht="15" hidden="false" customHeight="false" outlineLevel="0" collapsed="false">
      <c r="A6228" s="41"/>
      <c r="G6228" s="38" t="n">
        <f aca="false">MONTH(A6228)</f>
        <v>12</v>
      </c>
      <c r="H6228" s="38" t="n">
        <f aca="false">YEAR(Tabela1[[#This Row],[FECHA]])</f>
        <v>1900</v>
      </c>
      <c r="I62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29" customFormat="false" ht="15" hidden="false" customHeight="false" outlineLevel="0" collapsed="false">
      <c r="A6229" s="41"/>
      <c r="G6229" s="38" t="n">
        <f aca="false">MONTH(A6229)</f>
        <v>12</v>
      </c>
      <c r="H6229" s="38" t="n">
        <f aca="false">YEAR(Tabela1[[#This Row],[FECHA]])</f>
        <v>1900</v>
      </c>
      <c r="I62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30" customFormat="false" ht="15" hidden="false" customHeight="false" outlineLevel="0" collapsed="false">
      <c r="A6230" s="41"/>
      <c r="G6230" s="38" t="n">
        <f aca="false">MONTH(A6230)</f>
        <v>12</v>
      </c>
      <c r="H6230" s="38" t="n">
        <f aca="false">YEAR(Tabela1[[#This Row],[FECHA]])</f>
        <v>1900</v>
      </c>
      <c r="I62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31" customFormat="false" ht="15" hidden="false" customHeight="false" outlineLevel="0" collapsed="false">
      <c r="A6231" s="41"/>
      <c r="G6231" s="38" t="n">
        <f aca="false">MONTH(A6231)</f>
        <v>12</v>
      </c>
      <c r="H6231" s="38" t="n">
        <f aca="false">YEAR(Tabela1[[#This Row],[FECHA]])</f>
        <v>1900</v>
      </c>
      <c r="I62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32" customFormat="false" ht="15" hidden="false" customHeight="false" outlineLevel="0" collapsed="false">
      <c r="A6232" s="41"/>
      <c r="G6232" s="38" t="n">
        <f aca="false">MONTH(A6232)</f>
        <v>12</v>
      </c>
      <c r="H6232" s="38" t="n">
        <f aca="false">YEAR(Tabela1[[#This Row],[FECHA]])</f>
        <v>1900</v>
      </c>
      <c r="I62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33" customFormat="false" ht="15" hidden="false" customHeight="false" outlineLevel="0" collapsed="false">
      <c r="A6233" s="41"/>
      <c r="G6233" s="38" t="n">
        <f aca="false">MONTH(A6233)</f>
        <v>12</v>
      </c>
      <c r="H6233" s="38" t="n">
        <f aca="false">YEAR(Tabela1[[#This Row],[FECHA]])</f>
        <v>1900</v>
      </c>
      <c r="I62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34" customFormat="false" ht="15" hidden="false" customHeight="false" outlineLevel="0" collapsed="false">
      <c r="A6234" s="41"/>
      <c r="G6234" s="38" t="n">
        <f aca="false">MONTH(A6234)</f>
        <v>12</v>
      </c>
      <c r="H6234" s="38" t="n">
        <f aca="false">YEAR(Tabela1[[#This Row],[FECHA]])</f>
        <v>1900</v>
      </c>
      <c r="I62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35" customFormat="false" ht="15" hidden="false" customHeight="false" outlineLevel="0" collapsed="false">
      <c r="A6235" s="41"/>
      <c r="G6235" s="38" t="n">
        <f aca="false">MONTH(A6235)</f>
        <v>12</v>
      </c>
      <c r="H6235" s="38" t="n">
        <f aca="false">YEAR(Tabela1[[#This Row],[FECHA]])</f>
        <v>1900</v>
      </c>
      <c r="I62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36" customFormat="false" ht="15" hidden="false" customHeight="false" outlineLevel="0" collapsed="false">
      <c r="A6236" s="41"/>
      <c r="G6236" s="38" t="n">
        <f aca="false">MONTH(A6236)</f>
        <v>12</v>
      </c>
      <c r="H6236" s="38" t="n">
        <f aca="false">YEAR(Tabela1[[#This Row],[FECHA]])</f>
        <v>1900</v>
      </c>
      <c r="I62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37" customFormat="false" ht="15" hidden="false" customHeight="false" outlineLevel="0" collapsed="false">
      <c r="A6237" s="41"/>
      <c r="G6237" s="38" t="n">
        <f aca="false">MONTH(A6237)</f>
        <v>12</v>
      </c>
      <c r="H6237" s="38" t="n">
        <f aca="false">YEAR(Tabela1[[#This Row],[FECHA]])</f>
        <v>1900</v>
      </c>
      <c r="I62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38" customFormat="false" ht="15" hidden="false" customHeight="false" outlineLevel="0" collapsed="false">
      <c r="A6238" s="41"/>
      <c r="G6238" s="38" t="n">
        <f aca="false">MONTH(A6238)</f>
        <v>12</v>
      </c>
      <c r="H6238" s="38" t="n">
        <f aca="false">YEAR(Tabela1[[#This Row],[FECHA]])</f>
        <v>1900</v>
      </c>
      <c r="I62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39" customFormat="false" ht="15" hidden="false" customHeight="false" outlineLevel="0" collapsed="false">
      <c r="A6239" s="41"/>
      <c r="G6239" s="38" t="n">
        <f aca="false">MONTH(A6239)</f>
        <v>12</v>
      </c>
      <c r="H6239" s="38" t="n">
        <f aca="false">YEAR(Tabela1[[#This Row],[FECHA]])</f>
        <v>1900</v>
      </c>
      <c r="I62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40" customFormat="false" ht="15" hidden="false" customHeight="false" outlineLevel="0" collapsed="false">
      <c r="A6240" s="41"/>
      <c r="G6240" s="38" t="n">
        <f aca="false">MONTH(A6240)</f>
        <v>12</v>
      </c>
      <c r="H6240" s="38" t="n">
        <f aca="false">YEAR(Tabela1[[#This Row],[FECHA]])</f>
        <v>1900</v>
      </c>
      <c r="I62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41" customFormat="false" ht="15" hidden="false" customHeight="false" outlineLevel="0" collapsed="false">
      <c r="A6241" s="41"/>
      <c r="G6241" s="38" t="n">
        <f aca="false">MONTH(A6241)</f>
        <v>12</v>
      </c>
      <c r="H6241" s="38" t="n">
        <f aca="false">YEAR(Tabela1[[#This Row],[FECHA]])</f>
        <v>1900</v>
      </c>
      <c r="I62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42" customFormat="false" ht="15" hidden="false" customHeight="false" outlineLevel="0" collapsed="false">
      <c r="A6242" s="41"/>
      <c r="G6242" s="38" t="n">
        <f aca="false">MONTH(A6242)</f>
        <v>12</v>
      </c>
      <c r="H6242" s="38" t="n">
        <f aca="false">YEAR(Tabela1[[#This Row],[FECHA]])</f>
        <v>1900</v>
      </c>
      <c r="I62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43" customFormat="false" ht="15" hidden="false" customHeight="false" outlineLevel="0" collapsed="false">
      <c r="A6243" s="41"/>
      <c r="G6243" s="38" t="n">
        <f aca="false">MONTH(A6243)</f>
        <v>12</v>
      </c>
      <c r="H6243" s="38" t="n">
        <f aca="false">YEAR(Tabela1[[#This Row],[FECHA]])</f>
        <v>1900</v>
      </c>
      <c r="I62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44" customFormat="false" ht="15" hidden="false" customHeight="false" outlineLevel="0" collapsed="false">
      <c r="A6244" s="41"/>
      <c r="G6244" s="38" t="n">
        <f aca="false">MONTH(A6244)</f>
        <v>12</v>
      </c>
      <c r="H6244" s="38" t="n">
        <f aca="false">YEAR(Tabela1[[#This Row],[FECHA]])</f>
        <v>1900</v>
      </c>
      <c r="I62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45" customFormat="false" ht="15" hidden="false" customHeight="false" outlineLevel="0" collapsed="false">
      <c r="A6245" s="41"/>
      <c r="G6245" s="38" t="n">
        <f aca="false">MONTH(A6245)</f>
        <v>12</v>
      </c>
      <c r="H6245" s="38" t="n">
        <f aca="false">YEAR(Tabela1[[#This Row],[FECHA]])</f>
        <v>1900</v>
      </c>
      <c r="I62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46" customFormat="false" ht="15" hidden="false" customHeight="false" outlineLevel="0" collapsed="false">
      <c r="A6246" s="41"/>
      <c r="G6246" s="38" t="n">
        <f aca="false">MONTH(A6246)</f>
        <v>12</v>
      </c>
      <c r="H6246" s="38" t="n">
        <f aca="false">YEAR(Tabela1[[#This Row],[FECHA]])</f>
        <v>1900</v>
      </c>
      <c r="I62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47" customFormat="false" ht="15" hidden="false" customHeight="false" outlineLevel="0" collapsed="false">
      <c r="A6247" s="41"/>
      <c r="G6247" s="38" t="n">
        <f aca="false">MONTH(A6247)</f>
        <v>12</v>
      </c>
      <c r="H6247" s="38" t="n">
        <f aca="false">YEAR(Tabela1[[#This Row],[FECHA]])</f>
        <v>1900</v>
      </c>
      <c r="I62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48" customFormat="false" ht="15" hidden="false" customHeight="false" outlineLevel="0" collapsed="false">
      <c r="A6248" s="41"/>
      <c r="G6248" s="38" t="n">
        <f aca="false">MONTH(A6248)</f>
        <v>12</v>
      </c>
      <c r="H6248" s="38" t="n">
        <f aca="false">YEAR(Tabela1[[#This Row],[FECHA]])</f>
        <v>1900</v>
      </c>
      <c r="I62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49" customFormat="false" ht="15" hidden="false" customHeight="false" outlineLevel="0" collapsed="false">
      <c r="A6249" s="41"/>
      <c r="G6249" s="38" t="n">
        <f aca="false">MONTH(A6249)</f>
        <v>12</v>
      </c>
      <c r="H6249" s="38" t="n">
        <f aca="false">YEAR(Tabela1[[#This Row],[FECHA]])</f>
        <v>1900</v>
      </c>
      <c r="I62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50" customFormat="false" ht="15" hidden="false" customHeight="false" outlineLevel="0" collapsed="false">
      <c r="A6250" s="41"/>
      <c r="G6250" s="38" t="n">
        <f aca="false">MONTH(A6250)</f>
        <v>12</v>
      </c>
      <c r="H6250" s="38" t="n">
        <f aca="false">YEAR(Tabela1[[#This Row],[FECHA]])</f>
        <v>1900</v>
      </c>
      <c r="I62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51" customFormat="false" ht="15" hidden="false" customHeight="false" outlineLevel="0" collapsed="false">
      <c r="A6251" s="41"/>
      <c r="G6251" s="38" t="n">
        <f aca="false">MONTH(A6251)</f>
        <v>12</v>
      </c>
      <c r="H6251" s="38" t="n">
        <f aca="false">YEAR(Tabela1[[#This Row],[FECHA]])</f>
        <v>1900</v>
      </c>
      <c r="I62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52" customFormat="false" ht="15" hidden="false" customHeight="false" outlineLevel="0" collapsed="false">
      <c r="A6252" s="41"/>
      <c r="G6252" s="38" t="n">
        <f aca="false">MONTH(A6252)</f>
        <v>12</v>
      </c>
      <c r="H6252" s="38" t="n">
        <f aca="false">YEAR(Tabela1[[#This Row],[FECHA]])</f>
        <v>1900</v>
      </c>
      <c r="I62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53" customFormat="false" ht="15" hidden="false" customHeight="false" outlineLevel="0" collapsed="false">
      <c r="A6253" s="41"/>
      <c r="G6253" s="38" t="n">
        <f aca="false">MONTH(A6253)</f>
        <v>12</v>
      </c>
      <c r="H6253" s="38" t="n">
        <f aca="false">YEAR(Tabela1[[#This Row],[FECHA]])</f>
        <v>1900</v>
      </c>
      <c r="I62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54" customFormat="false" ht="15" hidden="false" customHeight="false" outlineLevel="0" collapsed="false">
      <c r="A6254" s="41"/>
      <c r="G6254" s="38" t="n">
        <f aca="false">MONTH(A6254)</f>
        <v>12</v>
      </c>
      <c r="H6254" s="38" t="n">
        <f aca="false">YEAR(Tabela1[[#This Row],[FECHA]])</f>
        <v>1900</v>
      </c>
      <c r="I62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55" customFormat="false" ht="15" hidden="false" customHeight="false" outlineLevel="0" collapsed="false">
      <c r="A6255" s="41"/>
      <c r="G6255" s="38" t="n">
        <f aca="false">MONTH(A6255)</f>
        <v>12</v>
      </c>
      <c r="H6255" s="38" t="n">
        <f aca="false">YEAR(Tabela1[[#This Row],[FECHA]])</f>
        <v>1900</v>
      </c>
      <c r="I62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56" customFormat="false" ht="15" hidden="false" customHeight="false" outlineLevel="0" collapsed="false">
      <c r="A6256" s="41"/>
      <c r="G6256" s="38" t="n">
        <f aca="false">MONTH(A6256)</f>
        <v>12</v>
      </c>
      <c r="H6256" s="38" t="n">
        <f aca="false">YEAR(Tabela1[[#This Row],[FECHA]])</f>
        <v>1900</v>
      </c>
      <c r="I62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57" customFormat="false" ht="15" hidden="false" customHeight="false" outlineLevel="0" collapsed="false">
      <c r="A6257" s="41"/>
      <c r="G6257" s="38" t="n">
        <f aca="false">MONTH(A6257)</f>
        <v>12</v>
      </c>
      <c r="H6257" s="38" t="n">
        <f aca="false">YEAR(Tabela1[[#This Row],[FECHA]])</f>
        <v>1900</v>
      </c>
      <c r="I62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58" customFormat="false" ht="15" hidden="false" customHeight="false" outlineLevel="0" collapsed="false">
      <c r="A6258" s="41"/>
      <c r="G6258" s="38" t="n">
        <f aca="false">MONTH(A6258)</f>
        <v>12</v>
      </c>
      <c r="H6258" s="38" t="n">
        <f aca="false">YEAR(Tabela1[[#This Row],[FECHA]])</f>
        <v>1900</v>
      </c>
      <c r="I62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59" customFormat="false" ht="15" hidden="false" customHeight="false" outlineLevel="0" collapsed="false">
      <c r="A6259" s="41"/>
      <c r="G6259" s="38" t="n">
        <f aca="false">MONTH(A6259)</f>
        <v>12</v>
      </c>
      <c r="H6259" s="38" t="n">
        <f aca="false">YEAR(Tabela1[[#This Row],[FECHA]])</f>
        <v>1900</v>
      </c>
      <c r="I62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60" customFormat="false" ht="15" hidden="false" customHeight="false" outlineLevel="0" collapsed="false">
      <c r="A6260" s="41"/>
      <c r="G6260" s="38" t="n">
        <f aca="false">MONTH(A6260)</f>
        <v>12</v>
      </c>
      <c r="H6260" s="38" t="n">
        <f aca="false">YEAR(Tabela1[[#This Row],[FECHA]])</f>
        <v>1900</v>
      </c>
      <c r="I62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61" customFormat="false" ht="15" hidden="false" customHeight="false" outlineLevel="0" collapsed="false">
      <c r="A6261" s="41"/>
      <c r="G6261" s="38" t="n">
        <f aca="false">MONTH(A6261)</f>
        <v>12</v>
      </c>
      <c r="H6261" s="38" t="n">
        <f aca="false">YEAR(Tabela1[[#This Row],[FECHA]])</f>
        <v>1900</v>
      </c>
      <c r="I62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62" customFormat="false" ht="15" hidden="false" customHeight="false" outlineLevel="0" collapsed="false">
      <c r="A6262" s="41"/>
      <c r="G6262" s="38" t="n">
        <f aca="false">MONTH(A6262)</f>
        <v>12</v>
      </c>
      <c r="H6262" s="38" t="n">
        <f aca="false">YEAR(Tabela1[[#This Row],[FECHA]])</f>
        <v>1900</v>
      </c>
      <c r="I62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63" customFormat="false" ht="15" hidden="false" customHeight="false" outlineLevel="0" collapsed="false">
      <c r="A6263" s="41"/>
      <c r="G6263" s="38" t="n">
        <f aca="false">MONTH(A6263)</f>
        <v>12</v>
      </c>
      <c r="H6263" s="38" t="n">
        <f aca="false">YEAR(Tabela1[[#This Row],[FECHA]])</f>
        <v>1900</v>
      </c>
      <c r="I62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64" customFormat="false" ht="15" hidden="false" customHeight="false" outlineLevel="0" collapsed="false">
      <c r="A6264" s="41"/>
      <c r="G6264" s="38" t="n">
        <f aca="false">MONTH(A6264)</f>
        <v>12</v>
      </c>
      <c r="H6264" s="38" t="n">
        <f aca="false">YEAR(Tabela1[[#This Row],[FECHA]])</f>
        <v>1900</v>
      </c>
      <c r="I62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65" customFormat="false" ht="15" hidden="false" customHeight="false" outlineLevel="0" collapsed="false">
      <c r="A6265" s="41"/>
      <c r="G6265" s="38" t="n">
        <f aca="false">MONTH(A6265)</f>
        <v>12</v>
      </c>
      <c r="H6265" s="38" t="n">
        <f aca="false">YEAR(Tabela1[[#This Row],[FECHA]])</f>
        <v>1900</v>
      </c>
      <c r="I62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66" customFormat="false" ht="15" hidden="false" customHeight="false" outlineLevel="0" collapsed="false">
      <c r="A6266" s="41"/>
      <c r="G6266" s="38" t="n">
        <f aca="false">MONTH(A6266)</f>
        <v>12</v>
      </c>
      <c r="H6266" s="38" t="n">
        <f aca="false">YEAR(Tabela1[[#This Row],[FECHA]])</f>
        <v>1900</v>
      </c>
      <c r="I62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67" customFormat="false" ht="15" hidden="false" customHeight="false" outlineLevel="0" collapsed="false">
      <c r="A6267" s="41"/>
      <c r="G6267" s="38" t="n">
        <f aca="false">MONTH(A6267)</f>
        <v>12</v>
      </c>
      <c r="H6267" s="38" t="n">
        <f aca="false">YEAR(Tabela1[[#This Row],[FECHA]])</f>
        <v>1900</v>
      </c>
      <c r="I62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68" customFormat="false" ht="15" hidden="false" customHeight="false" outlineLevel="0" collapsed="false">
      <c r="A6268" s="41"/>
      <c r="G6268" s="38" t="n">
        <f aca="false">MONTH(A6268)</f>
        <v>12</v>
      </c>
      <c r="H6268" s="38" t="n">
        <f aca="false">YEAR(Tabela1[[#This Row],[FECHA]])</f>
        <v>1900</v>
      </c>
      <c r="I62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69" customFormat="false" ht="15" hidden="false" customHeight="false" outlineLevel="0" collapsed="false">
      <c r="A6269" s="41"/>
      <c r="G6269" s="38" t="n">
        <f aca="false">MONTH(A6269)</f>
        <v>12</v>
      </c>
      <c r="H6269" s="38" t="n">
        <f aca="false">YEAR(Tabela1[[#This Row],[FECHA]])</f>
        <v>1900</v>
      </c>
      <c r="I62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70" customFormat="false" ht="15" hidden="false" customHeight="false" outlineLevel="0" collapsed="false">
      <c r="A6270" s="41"/>
      <c r="G6270" s="38" t="n">
        <f aca="false">MONTH(A6270)</f>
        <v>12</v>
      </c>
      <c r="H6270" s="38" t="n">
        <f aca="false">YEAR(Tabela1[[#This Row],[FECHA]])</f>
        <v>1900</v>
      </c>
      <c r="I62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71" customFormat="false" ht="15" hidden="false" customHeight="false" outlineLevel="0" collapsed="false">
      <c r="A6271" s="41"/>
      <c r="G6271" s="38" t="n">
        <f aca="false">MONTH(A6271)</f>
        <v>12</v>
      </c>
      <c r="H6271" s="38" t="n">
        <f aca="false">YEAR(Tabela1[[#This Row],[FECHA]])</f>
        <v>1900</v>
      </c>
      <c r="I62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72" customFormat="false" ht="15" hidden="false" customHeight="false" outlineLevel="0" collapsed="false">
      <c r="A6272" s="41"/>
      <c r="G6272" s="38" t="n">
        <f aca="false">MONTH(A6272)</f>
        <v>12</v>
      </c>
      <c r="H6272" s="38" t="n">
        <f aca="false">YEAR(Tabela1[[#This Row],[FECHA]])</f>
        <v>1900</v>
      </c>
      <c r="I62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73" customFormat="false" ht="15" hidden="false" customHeight="false" outlineLevel="0" collapsed="false">
      <c r="A6273" s="41"/>
      <c r="G6273" s="38" t="n">
        <f aca="false">MONTH(A6273)</f>
        <v>12</v>
      </c>
      <c r="H6273" s="38" t="n">
        <f aca="false">YEAR(Tabela1[[#This Row],[FECHA]])</f>
        <v>1900</v>
      </c>
      <c r="I62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74" customFormat="false" ht="15" hidden="false" customHeight="false" outlineLevel="0" collapsed="false">
      <c r="A6274" s="41"/>
      <c r="G6274" s="38" t="n">
        <f aca="false">MONTH(A6274)</f>
        <v>12</v>
      </c>
      <c r="H6274" s="38" t="n">
        <f aca="false">YEAR(Tabela1[[#This Row],[FECHA]])</f>
        <v>1900</v>
      </c>
      <c r="I62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75" customFormat="false" ht="15" hidden="false" customHeight="false" outlineLevel="0" collapsed="false">
      <c r="A6275" s="41"/>
      <c r="G6275" s="38" t="n">
        <f aca="false">MONTH(A6275)</f>
        <v>12</v>
      </c>
      <c r="H6275" s="38" t="n">
        <f aca="false">YEAR(Tabela1[[#This Row],[FECHA]])</f>
        <v>1900</v>
      </c>
      <c r="I62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76" customFormat="false" ht="15" hidden="false" customHeight="false" outlineLevel="0" collapsed="false">
      <c r="A6276" s="41"/>
      <c r="G6276" s="38" t="n">
        <f aca="false">MONTH(A6276)</f>
        <v>12</v>
      </c>
      <c r="H6276" s="38" t="n">
        <f aca="false">YEAR(Tabela1[[#This Row],[FECHA]])</f>
        <v>1900</v>
      </c>
      <c r="I62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77" customFormat="false" ht="15" hidden="false" customHeight="false" outlineLevel="0" collapsed="false">
      <c r="A6277" s="41"/>
      <c r="G6277" s="38" t="n">
        <f aca="false">MONTH(A6277)</f>
        <v>12</v>
      </c>
      <c r="H6277" s="38" t="n">
        <f aca="false">YEAR(Tabela1[[#This Row],[FECHA]])</f>
        <v>1900</v>
      </c>
      <c r="I62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78" customFormat="false" ht="15" hidden="false" customHeight="false" outlineLevel="0" collapsed="false">
      <c r="A6278" s="41"/>
      <c r="G6278" s="38" t="n">
        <f aca="false">MONTH(A6278)</f>
        <v>12</v>
      </c>
      <c r="H6278" s="38" t="n">
        <f aca="false">YEAR(Tabela1[[#This Row],[FECHA]])</f>
        <v>1900</v>
      </c>
      <c r="I62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79" customFormat="false" ht="15" hidden="false" customHeight="false" outlineLevel="0" collapsed="false">
      <c r="A6279" s="41"/>
      <c r="G6279" s="38" t="n">
        <f aca="false">MONTH(A6279)</f>
        <v>12</v>
      </c>
      <c r="H6279" s="38" t="n">
        <f aca="false">YEAR(Tabela1[[#This Row],[FECHA]])</f>
        <v>1900</v>
      </c>
      <c r="I62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80" customFormat="false" ht="15" hidden="false" customHeight="false" outlineLevel="0" collapsed="false">
      <c r="A6280" s="41"/>
      <c r="G6280" s="38" t="n">
        <f aca="false">MONTH(A6280)</f>
        <v>12</v>
      </c>
      <c r="H6280" s="38" t="n">
        <f aca="false">YEAR(Tabela1[[#This Row],[FECHA]])</f>
        <v>1900</v>
      </c>
      <c r="I62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81" customFormat="false" ht="15" hidden="false" customHeight="false" outlineLevel="0" collapsed="false">
      <c r="A6281" s="41"/>
      <c r="G6281" s="38" t="n">
        <f aca="false">MONTH(A6281)</f>
        <v>12</v>
      </c>
      <c r="H6281" s="38" t="n">
        <f aca="false">YEAR(Tabela1[[#This Row],[FECHA]])</f>
        <v>1900</v>
      </c>
      <c r="I62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82" customFormat="false" ht="15" hidden="false" customHeight="false" outlineLevel="0" collapsed="false">
      <c r="A6282" s="41"/>
      <c r="G6282" s="38" t="n">
        <f aca="false">MONTH(A6282)</f>
        <v>12</v>
      </c>
      <c r="H6282" s="38" t="n">
        <f aca="false">YEAR(Tabela1[[#This Row],[FECHA]])</f>
        <v>1900</v>
      </c>
      <c r="I62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83" customFormat="false" ht="15" hidden="false" customHeight="false" outlineLevel="0" collapsed="false">
      <c r="A6283" s="41"/>
      <c r="G6283" s="38" t="n">
        <f aca="false">MONTH(A6283)</f>
        <v>12</v>
      </c>
      <c r="H6283" s="38" t="n">
        <f aca="false">YEAR(Tabela1[[#This Row],[FECHA]])</f>
        <v>1900</v>
      </c>
      <c r="I62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84" customFormat="false" ht="15" hidden="false" customHeight="false" outlineLevel="0" collapsed="false">
      <c r="A6284" s="41"/>
      <c r="G6284" s="38" t="n">
        <f aca="false">MONTH(A6284)</f>
        <v>12</v>
      </c>
      <c r="H6284" s="38" t="n">
        <f aca="false">YEAR(Tabela1[[#This Row],[FECHA]])</f>
        <v>1900</v>
      </c>
      <c r="I62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85" customFormat="false" ht="15" hidden="false" customHeight="false" outlineLevel="0" collapsed="false">
      <c r="A6285" s="41"/>
      <c r="G6285" s="38" t="n">
        <f aca="false">MONTH(A6285)</f>
        <v>12</v>
      </c>
      <c r="H6285" s="38" t="n">
        <f aca="false">YEAR(Tabela1[[#This Row],[FECHA]])</f>
        <v>1900</v>
      </c>
      <c r="I62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86" customFormat="false" ht="15" hidden="false" customHeight="false" outlineLevel="0" collapsed="false">
      <c r="A6286" s="41"/>
      <c r="G6286" s="38" t="n">
        <f aca="false">MONTH(A6286)</f>
        <v>12</v>
      </c>
      <c r="H6286" s="38" t="n">
        <f aca="false">YEAR(Tabela1[[#This Row],[FECHA]])</f>
        <v>1900</v>
      </c>
      <c r="I62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87" customFormat="false" ht="15" hidden="false" customHeight="false" outlineLevel="0" collapsed="false">
      <c r="A6287" s="41"/>
      <c r="G6287" s="38" t="n">
        <f aca="false">MONTH(A6287)</f>
        <v>12</v>
      </c>
      <c r="H6287" s="38" t="n">
        <f aca="false">YEAR(Tabela1[[#This Row],[FECHA]])</f>
        <v>1900</v>
      </c>
      <c r="I62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88" customFormat="false" ht="15" hidden="false" customHeight="false" outlineLevel="0" collapsed="false">
      <c r="A6288" s="41"/>
      <c r="G6288" s="38" t="n">
        <f aca="false">MONTH(A6288)</f>
        <v>12</v>
      </c>
      <c r="H6288" s="38" t="n">
        <f aca="false">YEAR(Tabela1[[#This Row],[FECHA]])</f>
        <v>1900</v>
      </c>
      <c r="I62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89" customFormat="false" ht="15" hidden="false" customHeight="false" outlineLevel="0" collapsed="false">
      <c r="A6289" s="41"/>
      <c r="G6289" s="38" t="n">
        <f aca="false">MONTH(A6289)</f>
        <v>12</v>
      </c>
      <c r="H6289" s="38" t="n">
        <f aca="false">YEAR(Tabela1[[#This Row],[FECHA]])</f>
        <v>1900</v>
      </c>
      <c r="I62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90" customFormat="false" ht="15" hidden="false" customHeight="false" outlineLevel="0" collapsed="false">
      <c r="A6290" s="41"/>
      <c r="G6290" s="38" t="n">
        <f aca="false">MONTH(A6290)</f>
        <v>12</v>
      </c>
      <c r="H6290" s="38" t="n">
        <f aca="false">YEAR(Tabela1[[#This Row],[FECHA]])</f>
        <v>1900</v>
      </c>
      <c r="I62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91" customFormat="false" ht="15" hidden="false" customHeight="false" outlineLevel="0" collapsed="false">
      <c r="A6291" s="41"/>
      <c r="G6291" s="38" t="n">
        <f aca="false">MONTH(A6291)</f>
        <v>12</v>
      </c>
      <c r="H6291" s="38" t="n">
        <f aca="false">YEAR(Tabela1[[#This Row],[FECHA]])</f>
        <v>1900</v>
      </c>
      <c r="I62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92" customFormat="false" ht="15" hidden="false" customHeight="false" outlineLevel="0" collapsed="false">
      <c r="A6292" s="41"/>
      <c r="G6292" s="38" t="n">
        <f aca="false">MONTH(A6292)</f>
        <v>12</v>
      </c>
      <c r="H6292" s="38" t="n">
        <f aca="false">YEAR(Tabela1[[#This Row],[FECHA]])</f>
        <v>1900</v>
      </c>
      <c r="I62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93" customFormat="false" ht="15" hidden="false" customHeight="false" outlineLevel="0" collapsed="false">
      <c r="A6293" s="41"/>
      <c r="G6293" s="38" t="n">
        <f aca="false">MONTH(A6293)</f>
        <v>12</v>
      </c>
      <c r="H6293" s="38" t="n">
        <f aca="false">YEAR(Tabela1[[#This Row],[FECHA]])</f>
        <v>1900</v>
      </c>
      <c r="I62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94" customFormat="false" ht="15" hidden="false" customHeight="false" outlineLevel="0" collapsed="false">
      <c r="A6294" s="41"/>
      <c r="G6294" s="38" t="n">
        <f aca="false">MONTH(A6294)</f>
        <v>12</v>
      </c>
      <c r="H6294" s="38" t="n">
        <f aca="false">YEAR(Tabela1[[#This Row],[FECHA]])</f>
        <v>1900</v>
      </c>
      <c r="I62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95" customFormat="false" ht="15" hidden="false" customHeight="false" outlineLevel="0" collapsed="false">
      <c r="A6295" s="41"/>
      <c r="G6295" s="38" t="n">
        <f aca="false">MONTH(A6295)</f>
        <v>12</v>
      </c>
      <c r="H6295" s="38" t="n">
        <f aca="false">YEAR(Tabela1[[#This Row],[FECHA]])</f>
        <v>1900</v>
      </c>
      <c r="I62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96" customFormat="false" ht="15" hidden="false" customHeight="false" outlineLevel="0" collapsed="false">
      <c r="A6296" s="41"/>
      <c r="G6296" s="38" t="n">
        <f aca="false">MONTH(A6296)</f>
        <v>12</v>
      </c>
      <c r="H6296" s="38" t="n">
        <f aca="false">YEAR(Tabela1[[#This Row],[FECHA]])</f>
        <v>1900</v>
      </c>
      <c r="I62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97" customFormat="false" ht="15" hidden="false" customHeight="false" outlineLevel="0" collapsed="false">
      <c r="A6297" s="41"/>
      <c r="G6297" s="38" t="n">
        <f aca="false">MONTH(A6297)</f>
        <v>12</v>
      </c>
      <c r="H6297" s="38" t="n">
        <f aca="false">YEAR(Tabela1[[#This Row],[FECHA]])</f>
        <v>1900</v>
      </c>
      <c r="I62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98" customFormat="false" ht="15" hidden="false" customHeight="false" outlineLevel="0" collapsed="false">
      <c r="A6298" s="41"/>
      <c r="G6298" s="38" t="n">
        <f aca="false">MONTH(A6298)</f>
        <v>12</v>
      </c>
      <c r="H6298" s="38" t="n">
        <f aca="false">YEAR(Tabela1[[#This Row],[FECHA]])</f>
        <v>1900</v>
      </c>
      <c r="I62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299" customFormat="false" ht="15" hidden="false" customHeight="false" outlineLevel="0" collapsed="false">
      <c r="A6299" s="41"/>
      <c r="G6299" s="38" t="n">
        <f aca="false">MONTH(A6299)</f>
        <v>12</v>
      </c>
      <c r="H6299" s="38" t="n">
        <f aca="false">YEAR(Tabela1[[#This Row],[FECHA]])</f>
        <v>1900</v>
      </c>
      <c r="I62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00" customFormat="false" ht="15" hidden="false" customHeight="false" outlineLevel="0" collapsed="false">
      <c r="A6300" s="41"/>
      <c r="G6300" s="38" t="n">
        <f aca="false">MONTH(A6300)</f>
        <v>12</v>
      </c>
      <c r="H6300" s="38" t="n">
        <f aca="false">YEAR(Tabela1[[#This Row],[FECHA]])</f>
        <v>1900</v>
      </c>
      <c r="I63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01" customFormat="false" ht="15" hidden="false" customHeight="false" outlineLevel="0" collapsed="false">
      <c r="A6301" s="41"/>
      <c r="G6301" s="38" t="n">
        <f aca="false">MONTH(A6301)</f>
        <v>12</v>
      </c>
      <c r="H6301" s="38" t="n">
        <f aca="false">YEAR(Tabela1[[#This Row],[FECHA]])</f>
        <v>1900</v>
      </c>
      <c r="I63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02" customFormat="false" ht="15" hidden="false" customHeight="false" outlineLevel="0" collapsed="false">
      <c r="A6302" s="41"/>
      <c r="G6302" s="38" t="n">
        <f aca="false">MONTH(A6302)</f>
        <v>12</v>
      </c>
      <c r="H6302" s="38" t="n">
        <f aca="false">YEAR(Tabela1[[#This Row],[FECHA]])</f>
        <v>1900</v>
      </c>
      <c r="I63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03" customFormat="false" ht="15" hidden="false" customHeight="false" outlineLevel="0" collapsed="false">
      <c r="A6303" s="41"/>
      <c r="G6303" s="38" t="n">
        <f aca="false">MONTH(A6303)</f>
        <v>12</v>
      </c>
      <c r="H6303" s="38" t="n">
        <f aca="false">YEAR(Tabela1[[#This Row],[FECHA]])</f>
        <v>1900</v>
      </c>
      <c r="I63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04" customFormat="false" ht="15" hidden="false" customHeight="false" outlineLevel="0" collapsed="false">
      <c r="A6304" s="41"/>
      <c r="G6304" s="38" t="n">
        <f aca="false">MONTH(A6304)</f>
        <v>12</v>
      </c>
      <c r="H6304" s="38" t="n">
        <f aca="false">YEAR(Tabela1[[#This Row],[FECHA]])</f>
        <v>1900</v>
      </c>
      <c r="I63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05" customFormat="false" ht="15" hidden="false" customHeight="false" outlineLevel="0" collapsed="false">
      <c r="A6305" s="41"/>
      <c r="G6305" s="38" t="n">
        <f aca="false">MONTH(A6305)</f>
        <v>12</v>
      </c>
      <c r="H6305" s="38" t="n">
        <f aca="false">YEAR(Tabela1[[#This Row],[FECHA]])</f>
        <v>1900</v>
      </c>
      <c r="I63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06" customFormat="false" ht="15" hidden="false" customHeight="false" outlineLevel="0" collapsed="false">
      <c r="A6306" s="41"/>
      <c r="G6306" s="38" t="n">
        <f aca="false">MONTH(A6306)</f>
        <v>12</v>
      </c>
      <c r="H6306" s="38" t="n">
        <f aca="false">YEAR(Tabela1[[#This Row],[FECHA]])</f>
        <v>1900</v>
      </c>
      <c r="I63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07" customFormat="false" ht="15" hidden="false" customHeight="false" outlineLevel="0" collapsed="false">
      <c r="A6307" s="41"/>
      <c r="G6307" s="38" t="n">
        <f aca="false">MONTH(A6307)</f>
        <v>12</v>
      </c>
      <c r="H6307" s="38" t="n">
        <f aca="false">YEAR(Tabela1[[#This Row],[FECHA]])</f>
        <v>1900</v>
      </c>
      <c r="I63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08" customFormat="false" ht="15" hidden="false" customHeight="false" outlineLevel="0" collapsed="false">
      <c r="A6308" s="41"/>
      <c r="G6308" s="38" t="n">
        <f aca="false">MONTH(A6308)</f>
        <v>12</v>
      </c>
      <c r="H6308" s="38" t="n">
        <f aca="false">YEAR(Tabela1[[#This Row],[FECHA]])</f>
        <v>1900</v>
      </c>
      <c r="I63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09" customFormat="false" ht="15" hidden="false" customHeight="false" outlineLevel="0" collapsed="false">
      <c r="A6309" s="41"/>
      <c r="G6309" s="38" t="n">
        <f aca="false">MONTH(A6309)</f>
        <v>12</v>
      </c>
      <c r="H6309" s="38" t="n">
        <f aca="false">YEAR(Tabela1[[#This Row],[FECHA]])</f>
        <v>1900</v>
      </c>
      <c r="I63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10" customFormat="false" ht="15" hidden="false" customHeight="false" outlineLevel="0" collapsed="false">
      <c r="A6310" s="41"/>
      <c r="G6310" s="38" t="n">
        <f aca="false">MONTH(A6310)</f>
        <v>12</v>
      </c>
      <c r="H6310" s="38" t="n">
        <f aca="false">YEAR(Tabela1[[#This Row],[FECHA]])</f>
        <v>1900</v>
      </c>
      <c r="I63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11" customFormat="false" ht="15" hidden="false" customHeight="false" outlineLevel="0" collapsed="false">
      <c r="A6311" s="41"/>
      <c r="G6311" s="38" t="n">
        <f aca="false">MONTH(A6311)</f>
        <v>12</v>
      </c>
      <c r="H6311" s="38" t="n">
        <f aca="false">YEAR(Tabela1[[#This Row],[FECHA]])</f>
        <v>1900</v>
      </c>
      <c r="I63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12" customFormat="false" ht="15" hidden="false" customHeight="false" outlineLevel="0" collapsed="false">
      <c r="A6312" s="41"/>
      <c r="G6312" s="38" t="n">
        <f aca="false">MONTH(A6312)</f>
        <v>12</v>
      </c>
      <c r="H6312" s="38" t="n">
        <f aca="false">YEAR(Tabela1[[#This Row],[FECHA]])</f>
        <v>1900</v>
      </c>
      <c r="I63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13" customFormat="false" ht="15" hidden="false" customHeight="false" outlineLevel="0" collapsed="false">
      <c r="A6313" s="41"/>
      <c r="G6313" s="38" t="n">
        <f aca="false">MONTH(A6313)</f>
        <v>12</v>
      </c>
      <c r="H6313" s="38" t="n">
        <f aca="false">YEAR(Tabela1[[#This Row],[FECHA]])</f>
        <v>1900</v>
      </c>
      <c r="I63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14" customFormat="false" ht="15" hidden="false" customHeight="false" outlineLevel="0" collapsed="false">
      <c r="A6314" s="41"/>
      <c r="G6314" s="38" t="n">
        <f aca="false">MONTH(A6314)</f>
        <v>12</v>
      </c>
      <c r="H6314" s="38" t="n">
        <f aca="false">YEAR(Tabela1[[#This Row],[FECHA]])</f>
        <v>1900</v>
      </c>
      <c r="I63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15" customFormat="false" ht="15" hidden="false" customHeight="false" outlineLevel="0" collapsed="false">
      <c r="A6315" s="41"/>
      <c r="G6315" s="38" t="n">
        <f aca="false">MONTH(A6315)</f>
        <v>12</v>
      </c>
      <c r="H6315" s="38" t="n">
        <f aca="false">YEAR(Tabela1[[#This Row],[FECHA]])</f>
        <v>1900</v>
      </c>
      <c r="I63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16" customFormat="false" ht="15" hidden="false" customHeight="false" outlineLevel="0" collapsed="false">
      <c r="A6316" s="41"/>
      <c r="G6316" s="38" t="n">
        <f aca="false">MONTH(A6316)</f>
        <v>12</v>
      </c>
      <c r="H6316" s="38" t="n">
        <f aca="false">YEAR(Tabela1[[#This Row],[FECHA]])</f>
        <v>1900</v>
      </c>
      <c r="I63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17" customFormat="false" ht="15" hidden="false" customHeight="false" outlineLevel="0" collapsed="false">
      <c r="A6317" s="41"/>
      <c r="G6317" s="38" t="n">
        <f aca="false">MONTH(A6317)</f>
        <v>12</v>
      </c>
      <c r="H6317" s="38" t="n">
        <f aca="false">YEAR(Tabela1[[#This Row],[FECHA]])</f>
        <v>1900</v>
      </c>
      <c r="I63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18" customFormat="false" ht="15" hidden="false" customHeight="false" outlineLevel="0" collapsed="false">
      <c r="A6318" s="41"/>
      <c r="G6318" s="38" t="n">
        <f aca="false">MONTH(A6318)</f>
        <v>12</v>
      </c>
      <c r="H6318" s="38" t="n">
        <f aca="false">YEAR(Tabela1[[#This Row],[FECHA]])</f>
        <v>1900</v>
      </c>
      <c r="I63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19" customFormat="false" ht="15" hidden="false" customHeight="false" outlineLevel="0" collapsed="false">
      <c r="A6319" s="41"/>
      <c r="G6319" s="38" t="n">
        <f aca="false">MONTH(A6319)</f>
        <v>12</v>
      </c>
      <c r="H6319" s="38" t="n">
        <f aca="false">YEAR(Tabela1[[#This Row],[FECHA]])</f>
        <v>1900</v>
      </c>
      <c r="I63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20" customFormat="false" ht="15" hidden="false" customHeight="false" outlineLevel="0" collapsed="false">
      <c r="A6320" s="41"/>
      <c r="G6320" s="38" t="n">
        <f aca="false">MONTH(A6320)</f>
        <v>12</v>
      </c>
      <c r="H6320" s="38" t="n">
        <f aca="false">YEAR(Tabela1[[#This Row],[FECHA]])</f>
        <v>1900</v>
      </c>
      <c r="I63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21" customFormat="false" ht="15" hidden="false" customHeight="false" outlineLevel="0" collapsed="false">
      <c r="A6321" s="41"/>
      <c r="G6321" s="38" t="n">
        <f aca="false">MONTH(A6321)</f>
        <v>12</v>
      </c>
      <c r="H6321" s="38" t="n">
        <f aca="false">YEAR(Tabela1[[#This Row],[FECHA]])</f>
        <v>1900</v>
      </c>
      <c r="I63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22" customFormat="false" ht="15" hidden="false" customHeight="false" outlineLevel="0" collapsed="false">
      <c r="A6322" s="41"/>
      <c r="G6322" s="38" t="n">
        <f aca="false">MONTH(A6322)</f>
        <v>12</v>
      </c>
      <c r="H6322" s="38" t="n">
        <f aca="false">YEAR(Tabela1[[#This Row],[FECHA]])</f>
        <v>1900</v>
      </c>
      <c r="I63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23" customFormat="false" ht="15" hidden="false" customHeight="false" outlineLevel="0" collapsed="false">
      <c r="A6323" s="41"/>
      <c r="G6323" s="38" t="n">
        <f aca="false">MONTH(A6323)</f>
        <v>12</v>
      </c>
      <c r="H6323" s="38" t="n">
        <f aca="false">YEAR(Tabela1[[#This Row],[FECHA]])</f>
        <v>1900</v>
      </c>
      <c r="I63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24" customFormat="false" ht="15" hidden="false" customHeight="false" outlineLevel="0" collapsed="false">
      <c r="A6324" s="41"/>
      <c r="G6324" s="38" t="n">
        <f aca="false">MONTH(A6324)</f>
        <v>12</v>
      </c>
      <c r="H6324" s="38" t="n">
        <f aca="false">YEAR(Tabela1[[#This Row],[FECHA]])</f>
        <v>1900</v>
      </c>
      <c r="I63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25" customFormat="false" ht="15" hidden="false" customHeight="false" outlineLevel="0" collapsed="false">
      <c r="A6325" s="41"/>
      <c r="G6325" s="38" t="n">
        <f aca="false">MONTH(A6325)</f>
        <v>12</v>
      </c>
      <c r="H6325" s="38" t="n">
        <f aca="false">YEAR(Tabela1[[#This Row],[FECHA]])</f>
        <v>1900</v>
      </c>
      <c r="I63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26" customFormat="false" ht="15" hidden="false" customHeight="false" outlineLevel="0" collapsed="false">
      <c r="A6326" s="41"/>
      <c r="G6326" s="38" t="n">
        <f aca="false">MONTH(A6326)</f>
        <v>12</v>
      </c>
      <c r="H6326" s="38" t="n">
        <f aca="false">YEAR(Tabela1[[#This Row],[FECHA]])</f>
        <v>1900</v>
      </c>
      <c r="I63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27" customFormat="false" ht="15" hidden="false" customHeight="false" outlineLevel="0" collapsed="false">
      <c r="A6327" s="41"/>
      <c r="G6327" s="38" t="n">
        <f aca="false">MONTH(A6327)</f>
        <v>12</v>
      </c>
      <c r="H6327" s="38" t="n">
        <f aca="false">YEAR(Tabela1[[#This Row],[FECHA]])</f>
        <v>1900</v>
      </c>
      <c r="I63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28" customFormat="false" ht="15" hidden="false" customHeight="false" outlineLevel="0" collapsed="false">
      <c r="A6328" s="41"/>
      <c r="G6328" s="38" t="n">
        <f aca="false">MONTH(A6328)</f>
        <v>12</v>
      </c>
      <c r="H6328" s="38" t="n">
        <f aca="false">YEAR(Tabela1[[#This Row],[FECHA]])</f>
        <v>1900</v>
      </c>
      <c r="I63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29" customFormat="false" ht="15" hidden="false" customHeight="false" outlineLevel="0" collapsed="false">
      <c r="A6329" s="41"/>
      <c r="G6329" s="38" t="n">
        <f aca="false">MONTH(A6329)</f>
        <v>12</v>
      </c>
      <c r="H6329" s="38" t="n">
        <f aca="false">YEAR(Tabela1[[#This Row],[FECHA]])</f>
        <v>1900</v>
      </c>
      <c r="I63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30" customFormat="false" ht="15" hidden="false" customHeight="false" outlineLevel="0" collapsed="false">
      <c r="A6330" s="41"/>
      <c r="G6330" s="38" t="n">
        <f aca="false">MONTH(A6330)</f>
        <v>12</v>
      </c>
      <c r="H6330" s="38" t="n">
        <f aca="false">YEAR(Tabela1[[#This Row],[FECHA]])</f>
        <v>1900</v>
      </c>
      <c r="I63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31" customFormat="false" ht="15" hidden="false" customHeight="false" outlineLevel="0" collapsed="false">
      <c r="A6331" s="41"/>
      <c r="G6331" s="38" t="n">
        <f aca="false">MONTH(A6331)</f>
        <v>12</v>
      </c>
      <c r="H6331" s="38" t="n">
        <f aca="false">YEAR(Tabela1[[#This Row],[FECHA]])</f>
        <v>1900</v>
      </c>
      <c r="I63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32" customFormat="false" ht="15" hidden="false" customHeight="false" outlineLevel="0" collapsed="false">
      <c r="A6332" s="41"/>
      <c r="G6332" s="38" t="n">
        <f aca="false">MONTH(A6332)</f>
        <v>12</v>
      </c>
      <c r="H6332" s="38" t="n">
        <f aca="false">YEAR(Tabela1[[#This Row],[FECHA]])</f>
        <v>1900</v>
      </c>
      <c r="I63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33" customFormat="false" ht="15" hidden="false" customHeight="false" outlineLevel="0" collapsed="false">
      <c r="A6333" s="41"/>
      <c r="G6333" s="38" t="n">
        <f aca="false">MONTH(A6333)</f>
        <v>12</v>
      </c>
      <c r="H6333" s="38" t="n">
        <f aca="false">YEAR(Tabela1[[#This Row],[FECHA]])</f>
        <v>1900</v>
      </c>
      <c r="I63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34" customFormat="false" ht="15" hidden="false" customHeight="false" outlineLevel="0" collapsed="false">
      <c r="A6334" s="41"/>
      <c r="G6334" s="38" t="n">
        <f aca="false">MONTH(A6334)</f>
        <v>12</v>
      </c>
      <c r="H6334" s="38" t="n">
        <f aca="false">YEAR(Tabela1[[#This Row],[FECHA]])</f>
        <v>1900</v>
      </c>
      <c r="I63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35" customFormat="false" ht="15" hidden="false" customHeight="false" outlineLevel="0" collapsed="false">
      <c r="A6335" s="41"/>
      <c r="G6335" s="38" t="n">
        <f aca="false">MONTH(A6335)</f>
        <v>12</v>
      </c>
      <c r="H6335" s="38" t="n">
        <f aca="false">YEAR(Tabela1[[#This Row],[FECHA]])</f>
        <v>1900</v>
      </c>
      <c r="I63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36" customFormat="false" ht="15" hidden="false" customHeight="false" outlineLevel="0" collapsed="false">
      <c r="A6336" s="41"/>
      <c r="G6336" s="38" t="n">
        <f aca="false">MONTH(A6336)</f>
        <v>12</v>
      </c>
      <c r="H6336" s="38" t="n">
        <f aca="false">YEAR(Tabela1[[#This Row],[FECHA]])</f>
        <v>1900</v>
      </c>
      <c r="I63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37" customFormat="false" ht="15" hidden="false" customHeight="false" outlineLevel="0" collapsed="false">
      <c r="A6337" s="41"/>
      <c r="G6337" s="38" t="n">
        <f aca="false">MONTH(A6337)</f>
        <v>12</v>
      </c>
      <c r="H6337" s="38" t="n">
        <f aca="false">YEAR(Tabela1[[#This Row],[FECHA]])</f>
        <v>1900</v>
      </c>
      <c r="I63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38" customFormat="false" ht="15" hidden="false" customHeight="false" outlineLevel="0" collapsed="false">
      <c r="A6338" s="41"/>
      <c r="G6338" s="38" t="n">
        <f aca="false">MONTH(A6338)</f>
        <v>12</v>
      </c>
      <c r="H6338" s="38" t="n">
        <f aca="false">YEAR(Tabela1[[#This Row],[FECHA]])</f>
        <v>1900</v>
      </c>
      <c r="I63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39" customFormat="false" ht="15" hidden="false" customHeight="false" outlineLevel="0" collapsed="false">
      <c r="A6339" s="41"/>
      <c r="G6339" s="38" t="n">
        <f aca="false">MONTH(A6339)</f>
        <v>12</v>
      </c>
      <c r="H6339" s="38" t="n">
        <f aca="false">YEAR(Tabela1[[#This Row],[FECHA]])</f>
        <v>1900</v>
      </c>
      <c r="I63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40" customFormat="false" ht="15" hidden="false" customHeight="false" outlineLevel="0" collapsed="false">
      <c r="A6340" s="41"/>
      <c r="G6340" s="38" t="n">
        <f aca="false">MONTH(A6340)</f>
        <v>12</v>
      </c>
      <c r="H6340" s="38" t="n">
        <f aca="false">YEAR(Tabela1[[#This Row],[FECHA]])</f>
        <v>1900</v>
      </c>
      <c r="I63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41" customFormat="false" ht="15" hidden="false" customHeight="false" outlineLevel="0" collapsed="false">
      <c r="A6341" s="41"/>
      <c r="G6341" s="38" t="n">
        <f aca="false">MONTH(A6341)</f>
        <v>12</v>
      </c>
      <c r="H6341" s="38" t="n">
        <f aca="false">YEAR(Tabela1[[#This Row],[FECHA]])</f>
        <v>1900</v>
      </c>
      <c r="I63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42" customFormat="false" ht="15" hidden="false" customHeight="false" outlineLevel="0" collapsed="false">
      <c r="A6342" s="41"/>
      <c r="G6342" s="38" t="n">
        <f aca="false">MONTH(A6342)</f>
        <v>12</v>
      </c>
      <c r="H6342" s="38" t="n">
        <f aca="false">YEAR(Tabela1[[#This Row],[FECHA]])</f>
        <v>1900</v>
      </c>
      <c r="I63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43" customFormat="false" ht="15" hidden="false" customHeight="false" outlineLevel="0" collapsed="false">
      <c r="A6343" s="41"/>
      <c r="G6343" s="38" t="n">
        <f aca="false">MONTH(A6343)</f>
        <v>12</v>
      </c>
      <c r="H6343" s="38" t="n">
        <f aca="false">YEAR(Tabela1[[#This Row],[FECHA]])</f>
        <v>1900</v>
      </c>
      <c r="I63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44" customFormat="false" ht="15" hidden="false" customHeight="false" outlineLevel="0" collapsed="false">
      <c r="A6344" s="41"/>
      <c r="G6344" s="38" t="n">
        <f aca="false">MONTH(A6344)</f>
        <v>12</v>
      </c>
      <c r="H6344" s="38" t="n">
        <f aca="false">YEAR(Tabela1[[#This Row],[FECHA]])</f>
        <v>1900</v>
      </c>
      <c r="I63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45" customFormat="false" ht="15" hidden="false" customHeight="false" outlineLevel="0" collapsed="false">
      <c r="A6345" s="41"/>
      <c r="G6345" s="38" t="n">
        <f aca="false">MONTH(A6345)</f>
        <v>12</v>
      </c>
      <c r="H6345" s="38" t="n">
        <f aca="false">YEAR(Tabela1[[#This Row],[FECHA]])</f>
        <v>1900</v>
      </c>
      <c r="I63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46" customFormat="false" ht="15" hidden="false" customHeight="false" outlineLevel="0" collapsed="false">
      <c r="A6346" s="41"/>
      <c r="G6346" s="38" t="n">
        <f aca="false">MONTH(A6346)</f>
        <v>12</v>
      </c>
      <c r="H6346" s="38" t="n">
        <f aca="false">YEAR(Tabela1[[#This Row],[FECHA]])</f>
        <v>1900</v>
      </c>
      <c r="I63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47" customFormat="false" ht="15" hidden="false" customHeight="false" outlineLevel="0" collapsed="false">
      <c r="A6347" s="41"/>
      <c r="G6347" s="38" t="n">
        <f aca="false">MONTH(A6347)</f>
        <v>12</v>
      </c>
      <c r="H6347" s="38" t="n">
        <f aca="false">YEAR(Tabela1[[#This Row],[FECHA]])</f>
        <v>1900</v>
      </c>
      <c r="I63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48" customFormat="false" ht="15" hidden="false" customHeight="false" outlineLevel="0" collapsed="false">
      <c r="A6348" s="41"/>
      <c r="G6348" s="38" t="n">
        <f aca="false">MONTH(A6348)</f>
        <v>12</v>
      </c>
      <c r="H6348" s="38" t="n">
        <f aca="false">YEAR(Tabela1[[#This Row],[FECHA]])</f>
        <v>1900</v>
      </c>
      <c r="I63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49" customFormat="false" ht="15" hidden="false" customHeight="false" outlineLevel="0" collapsed="false">
      <c r="A6349" s="41"/>
      <c r="G6349" s="38" t="n">
        <f aca="false">MONTH(A6349)</f>
        <v>12</v>
      </c>
      <c r="H6349" s="38" t="n">
        <f aca="false">YEAR(Tabela1[[#This Row],[FECHA]])</f>
        <v>1900</v>
      </c>
      <c r="I63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50" customFormat="false" ht="15" hidden="false" customHeight="false" outlineLevel="0" collapsed="false">
      <c r="A6350" s="41"/>
      <c r="G6350" s="38" t="n">
        <f aca="false">MONTH(A6350)</f>
        <v>12</v>
      </c>
      <c r="H6350" s="38" t="n">
        <f aca="false">YEAR(Tabela1[[#This Row],[FECHA]])</f>
        <v>1900</v>
      </c>
      <c r="I63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51" customFormat="false" ht="15" hidden="false" customHeight="false" outlineLevel="0" collapsed="false">
      <c r="A6351" s="41"/>
      <c r="G6351" s="38" t="n">
        <f aca="false">MONTH(A6351)</f>
        <v>12</v>
      </c>
      <c r="H6351" s="38" t="n">
        <f aca="false">YEAR(Tabela1[[#This Row],[FECHA]])</f>
        <v>1900</v>
      </c>
      <c r="I63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52" customFormat="false" ht="15" hidden="false" customHeight="false" outlineLevel="0" collapsed="false">
      <c r="A6352" s="41"/>
      <c r="G6352" s="38" t="n">
        <f aca="false">MONTH(A6352)</f>
        <v>12</v>
      </c>
      <c r="H6352" s="38" t="n">
        <f aca="false">YEAR(Tabela1[[#This Row],[FECHA]])</f>
        <v>1900</v>
      </c>
      <c r="I63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53" customFormat="false" ht="15" hidden="false" customHeight="false" outlineLevel="0" collapsed="false">
      <c r="A6353" s="41"/>
      <c r="G6353" s="38" t="n">
        <f aca="false">MONTH(A6353)</f>
        <v>12</v>
      </c>
      <c r="H6353" s="38" t="n">
        <f aca="false">YEAR(Tabela1[[#This Row],[FECHA]])</f>
        <v>1900</v>
      </c>
      <c r="I63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54" customFormat="false" ht="15" hidden="false" customHeight="false" outlineLevel="0" collapsed="false">
      <c r="A6354" s="41"/>
      <c r="G6354" s="38" t="n">
        <f aca="false">MONTH(A6354)</f>
        <v>12</v>
      </c>
      <c r="H6354" s="38" t="n">
        <f aca="false">YEAR(Tabela1[[#This Row],[FECHA]])</f>
        <v>1900</v>
      </c>
      <c r="I63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55" customFormat="false" ht="15" hidden="false" customHeight="false" outlineLevel="0" collapsed="false">
      <c r="A6355" s="41"/>
      <c r="G6355" s="38" t="n">
        <f aca="false">MONTH(A6355)</f>
        <v>12</v>
      </c>
      <c r="H6355" s="38" t="n">
        <f aca="false">YEAR(Tabela1[[#This Row],[FECHA]])</f>
        <v>1900</v>
      </c>
      <c r="I63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56" customFormat="false" ht="15" hidden="false" customHeight="false" outlineLevel="0" collapsed="false">
      <c r="A6356" s="41"/>
      <c r="G6356" s="38" t="n">
        <f aca="false">MONTH(A6356)</f>
        <v>12</v>
      </c>
      <c r="H6356" s="38" t="n">
        <f aca="false">YEAR(Tabela1[[#This Row],[FECHA]])</f>
        <v>1900</v>
      </c>
      <c r="I63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57" customFormat="false" ht="15" hidden="false" customHeight="false" outlineLevel="0" collapsed="false">
      <c r="A6357" s="41"/>
      <c r="G6357" s="38" t="n">
        <f aca="false">MONTH(A6357)</f>
        <v>12</v>
      </c>
      <c r="H6357" s="38" t="n">
        <f aca="false">YEAR(Tabela1[[#This Row],[FECHA]])</f>
        <v>1900</v>
      </c>
      <c r="I63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58" customFormat="false" ht="15" hidden="false" customHeight="false" outlineLevel="0" collapsed="false">
      <c r="A6358" s="41"/>
      <c r="G6358" s="38" t="n">
        <f aca="false">MONTH(A6358)</f>
        <v>12</v>
      </c>
      <c r="H6358" s="38" t="n">
        <f aca="false">YEAR(Tabela1[[#This Row],[FECHA]])</f>
        <v>1900</v>
      </c>
      <c r="I63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59" customFormat="false" ht="15" hidden="false" customHeight="false" outlineLevel="0" collapsed="false">
      <c r="A6359" s="41"/>
      <c r="G6359" s="38" t="n">
        <f aca="false">MONTH(A6359)</f>
        <v>12</v>
      </c>
      <c r="H6359" s="38" t="n">
        <f aca="false">YEAR(Tabela1[[#This Row],[FECHA]])</f>
        <v>1900</v>
      </c>
      <c r="I63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60" customFormat="false" ht="15" hidden="false" customHeight="false" outlineLevel="0" collapsed="false">
      <c r="A6360" s="41"/>
      <c r="G6360" s="38" t="n">
        <f aca="false">MONTH(A6360)</f>
        <v>12</v>
      </c>
      <c r="H6360" s="38" t="n">
        <f aca="false">YEAR(Tabela1[[#This Row],[FECHA]])</f>
        <v>1900</v>
      </c>
      <c r="I63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61" customFormat="false" ht="15" hidden="false" customHeight="false" outlineLevel="0" collapsed="false">
      <c r="A6361" s="41"/>
      <c r="G6361" s="38" t="n">
        <f aca="false">MONTH(A6361)</f>
        <v>12</v>
      </c>
      <c r="H6361" s="38" t="n">
        <f aca="false">YEAR(Tabela1[[#This Row],[FECHA]])</f>
        <v>1900</v>
      </c>
      <c r="I63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62" customFormat="false" ht="15" hidden="false" customHeight="false" outlineLevel="0" collapsed="false">
      <c r="A6362" s="41"/>
      <c r="G6362" s="38" t="n">
        <f aca="false">MONTH(A6362)</f>
        <v>12</v>
      </c>
      <c r="H6362" s="38" t="n">
        <f aca="false">YEAR(Tabela1[[#This Row],[FECHA]])</f>
        <v>1900</v>
      </c>
      <c r="I63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63" customFormat="false" ht="15" hidden="false" customHeight="false" outlineLevel="0" collapsed="false">
      <c r="A6363" s="41"/>
      <c r="G6363" s="38" t="n">
        <f aca="false">MONTH(A6363)</f>
        <v>12</v>
      </c>
      <c r="H6363" s="38" t="n">
        <f aca="false">YEAR(Tabela1[[#This Row],[FECHA]])</f>
        <v>1900</v>
      </c>
      <c r="I63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64" customFormat="false" ht="15" hidden="false" customHeight="false" outlineLevel="0" collapsed="false">
      <c r="A6364" s="41"/>
      <c r="G6364" s="38" t="n">
        <f aca="false">MONTH(A6364)</f>
        <v>12</v>
      </c>
      <c r="H6364" s="38" t="n">
        <f aca="false">YEAR(Tabela1[[#This Row],[FECHA]])</f>
        <v>1900</v>
      </c>
      <c r="I63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65" customFormat="false" ht="15" hidden="false" customHeight="false" outlineLevel="0" collapsed="false">
      <c r="A6365" s="41"/>
      <c r="G6365" s="38" t="n">
        <f aca="false">MONTH(A6365)</f>
        <v>12</v>
      </c>
      <c r="H6365" s="38" t="n">
        <f aca="false">YEAR(Tabela1[[#This Row],[FECHA]])</f>
        <v>1900</v>
      </c>
      <c r="I63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66" customFormat="false" ht="15" hidden="false" customHeight="false" outlineLevel="0" collapsed="false">
      <c r="A6366" s="41"/>
      <c r="G6366" s="38" t="n">
        <f aca="false">MONTH(A6366)</f>
        <v>12</v>
      </c>
      <c r="H6366" s="38" t="n">
        <f aca="false">YEAR(Tabela1[[#This Row],[FECHA]])</f>
        <v>1900</v>
      </c>
      <c r="I63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67" customFormat="false" ht="15" hidden="false" customHeight="false" outlineLevel="0" collapsed="false">
      <c r="A6367" s="41"/>
      <c r="G6367" s="38" t="n">
        <f aca="false">MONTH(A6367)</f>
        <v>12</v>
      </c>
      <c r="H6367" s="38" t="n">
        <f aca="false">YEAR(Tabela1[[#This Row],[FECHA]])</f>
        <v>1900</v>
      </c>
      <c r="I63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68" customFormat="false" ht="15" hidden="false" customHeight="false" outlineLevel="0" collapsed="false">
      <c r="A6368" s="41"/>
      <c r="G6368" s="38" t="n">
        <f aca="false">MONTH(A6368)</f>
        <v>12</v>
      </c>
      <c r="H6368" s="38" t="n">
        <f aca="false">YEAR(Tabela1[[#This Row],[FECHA]])</f>
        <v>1900</v>
      </c>
      <c r="I63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69" customFormat="false" ht="15" hidden="false" customHeight="false" outlineLevel="0" collapsed="false">
      <c r="A6369" s="41"/>
      <c r="G6369" s="38" t="n">
        <f aca="false">MONTH(A6369)</f>
        <v>12</v>
      </c>
      <c r="H6369" s="38" t="n">
        <f aca="false">YEAR(Tabela1[[#This Row],[FECHA]])</f>
        <v>1900</v>
      </c>
      <c r="I63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70" customFormat="false" ht="15" hidden="false" customHeight="false" outlineLevel="0" collapsed="false">
      <c r="A6370" s="41"/>
      <c r="G6370" s="38" t="n">
        <f aca="false">MONTH(A6370)</f>
        <v>12</v>
      </c>
      <c r="H6370" s="38" t="n">
        <f aca="false">YEAR(Tabela1[[#This Row],[FECHA]])</f>
        <v>1900</v>
      </c>
      <c r="I63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71" customFormat="false" ht="15" hidden="false" customHeight="false" outlineLevel="0" collapsed="false">
      <c r="A6371" s="41"/>
      <c r="G6371" s="38" t="n">
        <f aca="false">MONTH(A6371)</f>
        <v>12</v>
      </c>
      <c r="H6371" s="38" t="n">
        <f aca="false">YEAR(Tabela1[[#This Row],[FECHA]])</f>
        <v>1900</v>
      </c>
      <c r="I63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72" customFormat="false" ht="15" hidden="false" customHeight="false" outlineLevel="0" collapsed="false">
      <c r="A6372" s="41"/>
      <c r="G6372" s="38" t="n">
        <f aca="false">MONTH(A6372)</f>
        <v>12</v>
      </c>
      <c r="H6372" s="38" t="n">
        <f aca="false">YEAR(Tabela1[[#This Row],[FECHA]])</f>
        <v>1900</v>
      </c>
      <c r="I63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73" customFormat="false" ht="15" hidden="false" customHeight="false" outlineLevel="0" collapsed="false">
      <c r="A6373" s="41"/>
      <c r="G6373" s="38" t="n">
        <f aca="false">MONTH(A6373)</f>
        <v>12</v>
      </c>
      <c r="H6373" s="38" t="n">
        <f aca="false">YEAR(Tabela1[[#This Row],[FECHA]])</f>
        <v>1900</v>
      </c>
      <c r="I63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74" customFormat="false" ht="15" hidden="false" customHeight="false" outlineLevel="0" collapsed="false">
      <c r="A6374" s="41"/>
      <c r="G6374" s="38" t="n">
        <f aca="false">MONTH(A6374)</f>
        <v>12</v>
      </c>
      <c r="H6374" s="38" t="n">
        <f aca="false">YEAR(Tabela1[[#This Row],[FECHA]])</f>
        <v>1900</v>
      </c>
      <c r="I63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75" customFormat="false" ht="15" hidden="false" customHeight="false" outlineLevel="0" collapsed="false">
      <c r="A6375" s="41"/>
      <c r="G6375" s="38" t="n">
        <f aca="false">MONTH(A6375)</f>
        <v>12</v>
      </c>
      <c r="H6375" s="38" t="n">
        <f aca="false">YEAR(Tabela1[[#This Row],[FECHA]])</f>
        <v>1900</v>
      </c>
      <c r="I63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76" customFormat="false" ht="15" hidden="false" customHeight="false" outlineLevel="0" collapsed="false">
      <c r="A6376" s="41"/>
      <c r="G6376" s="38" t="n">
        <f aca="false">MONTH(A6376)</f>
        <v>12</v>
      </c>
      <c r="H6376" s="38" t="n">
        <f aca="false">YEAR(Tabela1[[#This Row],[FECHA]])</f>
        <v>1900</v>
      </c>
      <c r="I63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77" customFormat="false" ht="15" hidden="false" customHeight="false" outlineLevel="0" collapsed="false">
      <c r="A6377" s="41"/>
      <c r="G6377" s="38" t="n">
        <f aca="false">MONTH(A6377)</f>
        <v>12</v>
      </c>
      <c r="H6377" s="38" t="n">
        <f aca="false">YEAR(Tabela1[[#This Row],[FECHA]])</f>
        <v>1900</v>
      </c>
      <c r="I63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78" customFormat="false" ht="15" hidden="false" customHeight="false" outlineLevel="0" collapsed="false">
      <c r="A6378" s="41"/>
      <c r="G6378" s="38" t="n">
        <f aca="false">MONTH(A6378)</f>
        <v>12</v>
      </c>
      <c r="H6378" s="38" t="n">
        <f aca="false">YEAR(Tabela1[[#This Row],[FECHA]])</f>
        <v>1900</v>
      </c>
      <c r="I63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79" customFormat="false" ht="15" hidden="false" customHeight="false" outlineLevel="0" collapsed="false">
      <c r="A6379" s="41"/>
      <c r="G6379" s="38" t="n">
        <f aca="false">MONTH(A6379)</f>
        <v>12</v>
      </c>
      <c r="H6379" s="38" t="n">
        <f aca="false">YEAR(Tabela1[[#This Row],[FECHA]])</f>
        <v>1900</v>
      </c>
      <c r="I63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80" customFormat="false" ht="15" hidden="false" customHeight="false" outlineLevel="0" collapsed="false">
      <c r="A6380" s="41"/>
      <c r="G6380" s="38" t="n">
        <f aca="false">MONTH(A6380)</f>
        <v>12</v>
      </c>
      <c r="H6380" s="38" t="n">
        <f aca="false">YEAR(Tabela1[[#This Row],[FECHA]])</f>
        <v>1900</v>
      </c>
      <c r="I63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81" customFormat="false" ht="15" hidden="false" customHeight="false" outlineLevel="0" collapsed="false">
      <c r="A6381" s="41"/>
      <c r="G6381" s="38" t="n">
        <f aca="false">MONTH(A6381)</f>
        <v>12</v>
      </c>
      <c r="H6381" s="38" t="n">
        <f aca="false">YEAR(Tabela1[[#This Row],[FECHA]])</f>
        <v>1900</v>
      </c>
      <c r="I63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82" customFormat="false" ht="15" hidden="false" customHeight="false" outlineLevel="0" collapsed="false">
      <c r="A6382" s="41"/>
      <c r="G6382" s="38" t="n">
        <f aca="false">MONTH(A6382)</f>
        <v>12</v>
      </c>
      <c r="H6382" s="38" t="n">
        <f aca="false">YEAR(Tabela1[[#This Row],[FECHA]])</f>
        <v>1900</v>
      </c>
      <c r="I63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83" customFormat="false" ht="15" hidden="false" customHeight="false" outlineLevel="0" collapsed="false">
      <c r="A6383" s="41"/>
      <c r="G6383" s="38" t="n">
        <f aca="false">MONTH(A6383)</f>
        <v>12</v>
      </c>
      <c r="H6383" s="38" t="n">
        <f aca="false">YEAR(Tabela1[[#This Row],[FECHA]])</f>
        <v>1900</v>
      </c>
      <c r="I63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84" customFormat="false" ht="15" hidden="false" customHeight="false" outlineLevel="0" collapsed="false">
      <c r="A6384" s="41"/>
      <c r="G6384" s="38" t="n">
        <f aca="false">MONTH(A6384)</f>
        <v>12</v>
      </c>
      <c r="H6384" s="38" t="n">
        <f aca="false">YEAR(Tabela1[[#This Row],[FECHA]])</f>
        <v>1900</v>
      </c>
      <c r="I63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85" customFormat="false" ht="15" hidden="false" customHeight="false" outlineLevel="0" collapsed="false">
      <c r="A6385" s="41"/>
      <c r="G6385" s="38" t="n">
        <f aca="false">MONTH(A6385)</f>
        <v>12</v>
      </c>
      <c r="H6385" s="38" t="n">
        <f aca="false">YEAR(Tabela1[[#This Row],[FECHA]])</f>
        <v>1900</v>
      </c>
      <c r="I63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86" customFormat="false" ht="15" hidden="false" customHeight="false" outlineLevel="0" collapsed="false">
      <c r="A6386" s="41"/>
      <c r="G6386" s="38" t="n">
        <f aca="false">MONTH(A6386)</f>
        <v>12</v>
      </c>
      <c r="H6386" s="38" t="n">
        <f aca="false">YEAR(Tabela1[[#This Row],[FECHA]])</f>
        <v>1900</v>
      </c>
      <c r="I63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87" customFormat="false" ht="15" hidden="false" customHeight="false" outlineLevel="0" collapsed="false">
      <c r="A6387" s="41"/>
      <c r="G6387" s="38" t="n">
        <f aca="false">MONTH(A6387)</f>
        <v>12</v>
      </c>
      <c r="H6387" s="38" t="n">
        <f aca="false">YEAR(Tabela1[[#This Row],[FECHA]])</f>
        <v>1900</v>
      </c>
      <c r="I63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88" customFormat="false" ht="15" hidden="false" customHeight="false" outlineLevel="0" collapsed="false">
      <c r="A6388" s="41"/>
      <c r="G6388" s="38" t="n">
        <f aca="false">MONTH(A6388)</f>
        <v>12</v>
      </c>
      <c r="H6388" s="38" t="n">
        <f aca="false">YEAR(Tabela1[[#This Row],[FECHA]])</f>
        <v>1900</v>
      </c>
      <c r="I63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89" customFormat="false" ht="15" hidden="false" customHeight="false" outlineLevel="0" collapsed="false">
      <c r="A6389" s="41"/>
      <c r="G6389" s="38" t="n">
        <f aca="false">MONTH(A6389)</f>
        <v>12</v>
      </c>
      <c r="H6389" s="38" t="n">
        <f aca="false">YEAR(Tabela1[[#This Row],[FECHA]])</f>
        <v>1900</v>
      </c>
      <c r="I63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90" customFormat="false" ht="15" hidden="false" customHeight="false" outlineLevel="0" collapsed="false">
      <c r="A6390" s="41"/>
      <c r="G6390" s="38" t="n">
        <f aca="false">MONTH(A6390)</f>
        <v>12</v>
      </c>
      <c r="H6390" s="38" t="n">
        <f aca="false">YEAR(Tabela1[[#This Row],[FECHA]])</f>
        <v>1900</v>
      </c>
      <c r="I63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91" customFormat="false" ht="15" hidden="false" customHeight="false" outlineLevel="0" collapsed="false">
      <c r="A6391" s="41"/>
      <c r="G6391" s="38" t="n">
        <f aca="false">MONTH(A6391)</f>
        <v>12</v>
      </c>
      <c r="H6391" s="38" t="n">
        <f aca="false">YEAR(Tabela1[[#This Row],[FECHA]])</f>
        <v>1900</v>
      </c>
      <c r="I63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92" customFormat="false" ht="15" hidden="false" customHeight="false" outlineLevel="0" collapsed="false">
      <c r="A6392" s="41"/>
      <c r="G6392" s="38" t="n">
        <f aca="false">MONTH(A6392)</f>
        <v>12</v>
      </c>
      <c r="H6392" s="38" t="n">
        <f aca="false">YEAR(Tabela1[[#This Row],[FECHA]])</f>
        <v>1900</v>
      </c>
      <c r="I63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93" customFormat="false" ht="15" hidden="false" customHeight="false" outlineLevel="0" collapsed="false">
      <c r="A6393" s="41"/>
      <c r="G6393" s="38" t="n">
        <f aca="false">MONTH(A6393)</f>
        <v>12</v>
      </c>
      <c r="H6393" s="38" t="n">
        <f aca="false">YEAR(Tabela1[[#This Row],[FECHA]])</f>
        <v>1900</v>
      </c>
      <c r="I63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94" customFormat="false" ht="15" hidden="false" customHeight="false" outlineLevel="0" collapsed="false">
      <c r="A6394" s="41"/>
      <c r="G6394" s="38" t="n">
        <f aca="false">MONTH(A6394)</f>
        <v>12</v>
      </c>
      <c r="H6394" s="38" t="n">
        <f aca="false">YEAR(Tabela1[[#This Row],[FECHA]])</f>
        <v>1900</v>
      </c>
      <c r="I63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95" customFormat="false" ht="15" hidden="false" customHeight="false" outlineLevel="0" collapsed="false">
      <c r="A6395" s="41"/>
      <c r="G6395" s="38" t="n">
        <f aca="false">MONTH(A6395)</f>
        <v>12</v>
      </c>
      <c r="H6395" s="38" t="n">
        <f aca="false">YEAR(Tabela1[[#This Row],[FECHA]])</f>
        <v>1900</v>
      </c>
      <c r="I63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96" customFormat="false" ht="15" hidden="false" customHeight="false" outlineLevel="0" collapsed="false">
      <c r="A6396" s="41"/>
      <c r="G6396" s="38" t="n">
        <f aca="false">MONTH(A6396)</f>
        <v>12</v>
      </c>
      <c r="H6396" s="38" t="n">
        <f aca="false">YEAR(Tabela1[[#This Row],[FECHA]])</f>
        <v>1900</v>
      </c>
      <c r="I63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97" customFormat="false" ht="15" hidden="false" customHeight="false" outlineLevel="0" collapsed="false">
      <c r="A6397" s="41"/>
      <c r="G6397" s="38" t="n">
        <f aca="false">MONTH(A6397)</f>
        <v>12</v>
      </c>
      <c r="H6397" s="38" t="n">
        <f aca="false">YEAR(Tabela1[[#This Row],[FECHA]])</f>
        <v>1900</v>
      </c>
      <c r="I63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98" customFormat="false" ht="15" hidden="false" customHeight="false" outlineLevel="0" collapsed="false">
      <c r="A6398" s="41"/>
      <c r="G6398" s="38" t="n">
        <f aca="false">MONTH(A6398)</f>
        <v>12</v>
      </c>
      <c r="H6398" s="38" t="n">
        <f aca="false">YEAR(Tabela1[[#This Row],[FECHA]])</f>
        <v>1900</v>
      </c>
      <c r="I63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399" customFormat="false" ht="15" hidden="false" customHeight="false" outlineLevel="0" collapsed="false">
      <c r="A6399" s="41"/>
      <c r="G6399" s="38" t="n">
        <f aca="false">MONTH(A6399)</f>
        <v>12</v>
      </c>
      <c r="H6399" s="38" t="n">
        <f aca="false">YEAR(Tabela1[[#This Row],[FECHA]])</f>
        <v>1900</v>
      </c>
      <c r="I63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00" customFormat="false" ht="15" hidden="false" customHeight="false" outlineLevel="0" collapsed="false">
      <c r="A6400" s="41"/>
      <c r="G6400" s="38" t="n">
        <f aca="false">MONTH(A6400)</f>
        <v>12</v>
      </c>
      <c r="H6400" s="38" t="n">
        <f aca="false">YEAR(Tabela1[[#This Row],[FECHA]])</f>
        <v>1900</v>
      </c>
      <c r="I64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01" customFormat="false" ht="15" hidden="false" customHeight="false" outlineLevel="0" collapsed="false">
      <c r="A6401" s="41"/>
      <c r="G6401" s="38" t="n">
        <f aca="false">MONTH(A6401)</f>
        <v>12</v>
      </c>
      <c r="H6401" s="38" t="n">
        <f aca="false">YEAR(Tabela1[[#This Row],[FECHA]])</f>
        <v>1900</v>
      </c>
      <c r="I64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02" customFormat="false" ht="15" hidden="false" customHeight="false" outlineLevel="0" collapsed="false">
      <c r="A6402" s="41"/>
      <c r="G6402" s="38" t="n">
        <f aca="false">MONTH(A6402)</f>
        <v>12</v>
      </c>
      <c r="H6402" s="38" t="n">
        <f aca="false">YEAR(Tabela1[[#This Row],[FECHA]])</f>
        <v>1900</v>
      </c>
      <c r="I64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03" customFormat="false" ht="15" hidden="false" customHeight="false" outlineLevel="0" collapsed="false">
      <c r="A6403" s="41"/>
      <c r="G6403" s="38" t="n">
        <f aca="false">MONTH(A6403)</f>
        <v>12</v>
      </c>
      <c r="H6403" s="38" t="n">
        <f aca="false">YEAR(Tabela1[[#This Row],[FECHA]])</f>
        <v>1900</v>
      </c>
      <c r="I64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04" customFormat="false" ht="15" hidden="false" customHeight="false" outlineLevel="0" collapsed="false">
      <c r="A6404" s="41"/>
      <c r="G6404" s="38" t="n">
        <f aca="false">MONTH(A6404)</f>
        <v>12</v>
      </c>
      <c r="H6404" s="38" t="n">
        <f aca="false">YEAR(Tabela1[[#This Row],[FECHA]])</f>
        <v>1900</v>
      </c>
      <c r="I64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05" customFormat="false" ht="15" hidden="false" customHeight="false" outlineLevel="0" collapsed="false">
      <c r="A6405" s="41"/>
      <c r="G6405" s="38" t="n">
        <f aca="false">MONTH(A6405)</f>
        <v>12</v>
      </c>
      <c r="H6405" s="38" t="n">
        <f aca="false">YEAR(Tabela1[[#This Row],[FECHA]])</f>
        <v>1900</v>
      </c>
      <c r="I64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06" customFormat="false" ht="15" hidden="false" customHeight="false" outlineLevel="0" collapsed="false">
      <c r="A6406" s="41"/>
      <c r="G6406" s="38" t="n">
        <f aca="false">MONTH(A6406)</f>
        <v>12</v>
      </c>
      <c r="H6406" s="38" t="n">
        <f aca="false">YEAR(Tabela1[[#This Row],[FECHA]])</f>
        <v>1900</v>
      </c>
      <c r="I64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07" customFormat="false" ht="15" hidden="false" customHeight="false" outlineLevel="0" collapsed="false">
      <c r="A6407" s="41"/>
      <c r="G6407" s="38" t="n">
        <f aca="false">MONTH(A6407)</f>
        <v>12</v>
      </c>
      <c r="H6407" s="38" t="n">
        <f aca="false">YEAR(Tabela1[[#This Row],[FECHA]])</f>
        <v>1900</v>
      </c>
      <c r="I64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08" customFormat="false" ht="15" hidden="false" customHeight="false" outlineLevel="0" collapsed="false">
      <c r="A6408" s="41"/>
      <c r="G6408" s="38" t="n">
        <f aca="false">MONTH(A6408)</f>
        <v>12</v>
      </c>
      <c r="H6408" s="38" t="n">
        <f aca="false">YEAR(Tabela1[[#This Row],[FECHA]])</f>
        <v>1900</v>
      </c>
      <c r="I64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09" customFormat="false" ht="15" hidden="false" customHeight="false" outlineLevel="0" collapsed="false">
      <c r="A6409" s="41"/>
      <c r="G6409" s="38" t="n">
        <f aca="false">MONTH(A6409)</f>
        <v>12</v>
      </c>
      <c r="H6409" s="38" t="n">
        <f aca="false">YEAR(Tabela1[[#This Row],[FECHA]])</f>
        <v>1900</v>
      </c>
      <c r="I64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10" customFormat="false" ht="15" hidden="false" customHeight="false" outlineLevel="0" collapsed="false">
      <c r="A6410" s="41"/>
      <c r="G6410" s="38" t="n">
        <f aca="false">MONTH(A6410)</f>
        <v>12</v>
      </c>
      <c r="H6410" s="38" t="n">
        <f aca="false">YEAR(Tabela1[[#This Row],[FECHA]])</f>
        <v>1900</v>
      </c>
      <c r="I64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11" customFormat="false" ht="15" hidden="false" customHeight="false" outlineLevel="0" collapsed="false">
      <c r="A6411" s="41"/>
      <c r="G6411" s="38" t="n">
        <f aca="false">MONTH(A6411)</f>
        <v>12</v>
      </c>
      <c r="H6411" s="38" t="n">
        <f aca="false">YEAR(Tabela1[[#This Row],[FECHA]])</f>
        <v>1900</v>
      </c>
      <c r="I64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12" customFormat="false" ht="15" hidden="false" customHeight="false" outlineLevel="0" collapsed="false">
      <c r="A6412" s="41"/>
      <c r="G6412" s="38" t="n">
        <f aca="false">MONTH(A6412)</f>
        <v>12</v>
      </c>
      <c r="H6412" s="38" t="n">
        <f aca="false">YEAR(Tabela1[[#This Row],[FECHA]])</f>
        <v>1900</v>
      </c>
      <c r="I64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13" customFormat="false" ht="15" hidden="false" customHeight="false" outlineLevel="0" collapsed="false">
      <c r="A6413" s="41"/>
      <c r="G6413" s="38" t="n">
        <f aca="false">MONTH(A6413)</f>
        <v>12</v>
      </c>
      <c r="H6413" s="38" t="n">
        <f aca="false">YEAR(Tabela1[[#This Row],[FECHA]])</f>
        <v>1900</v>
      </c>
      <c r="I64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14" customFormat="false" ht="15" hidden="false" customHeight="false" outlineLevel="0" collapsed="false">
      <c r="A6414" s="41"/>
      <c r="G6414" s="38" t="n">
        <f aca="false">MONTH(A6414)</f>
        <v>12</v>
      </c>
      <c r="H6414" s="38" t="n">
        <f aca="false">YEAR(Tabela1[[#This Row],[FECHA]])</f>
        <v>1900</v>
      </c>
      <c r="I64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15" customFormat="false" ht="15" hidden="false" customHeight="false" outlineLevel="0" collapsed="false">
      <c r="A6415" s="41"/>
      <c r="G6415" s="38" t="n">
        <f aca="false">MONTH(A6415)</f>
        <v>12</v>
      </c>
      <c r="H6415" s="38" t="n">
        <f aca="false">YEAR(Tabela1[[#This Row],[FECHA]])</f>
        <v>1900</v>
      </c>
      <c r="I64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16" customFormat="false" ht="15" hidden="false" customHeight="false" outlineLevel="0" collapsed="false">
      <c r="A6416" s="41"/>
      <c r="G6416" s="38" t="n">
        <f aca="false">MONTH(A6416)</f>
        <v>12</v>
      </c>
      <c r="H6416" s="38" t="n">
        <f aca="false">YEAR(Tabela1[[#This Row],[FECHA]])</f>
        <v>1900</v>
      </c>
      <c r="I64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17" customFormat="false" ht="15" hidden="false" customHeight="false" outlineLevel="0" collapsed="false">
      <c r="A6417" s="41"/>
      <c r="G6417" s="38" t="n">
        <f aca="false">MONTH(A6417)</f>
        <v>12</v>
      </c>
      <c r="H6417" s="38" t="n">
        <f aca="false">YEAR(Tabela1[[#This Row],[FECHA]])</f>
        <v>1900</v>
      </c>
      <c r="I64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18" customFormat="false" ht="15" hidden="false" customHeight="false" outlineLevel="0" collapsed="false">
      <c r="A6418" s="41"/>
      <c r="G6418" s="38" t="n">
        <f aca="false">MONTH(A6418)</f>
        <v>12</v>
      </c>
      <c r="H6418" s="38" t="n">
        <f aca="false">YEAR(Tabela1[[#This Row],[FECHA]])</f>
        <v>1900</v>
      </c>
      <c r="I64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19" customFormat="false" ht="15" hidden="false" customHeight="false" outlineLevel="0" collapsed="false">
      <c r="A6419" s="41"/>
      <c r="G6419" s="38" t="n">
        <f aca="false">MONTH(A6419)</f>
        <v>12</v>
      </c>
      <c r="H6419" s="38" t="n">
        <f aca="false">YEAR(Tabela1[[#This Row],[FECHA]])</f>
        <v>1900</v>
      </c>
      <c r="I64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20" customFormat="false" ht="15" hidden="false" customHeight="false" outlineLevel="0" collapsed="false">
      <c r="A6420" s="41"/>
      <c r="G6420" s="38" t="n">
        <f aca="false">MONTH(A6420)</f>
        <v>12</v>
      </c>
      <c r="H6420" s="38" t="n">
        <f aca="false">YEAR(Tabela1[[#This Row],[FECHA]])</f>
        <v>1900</v>
      </c>
      <c r="I64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21" customFormat="false" ht="15" hidden="false" customHeight="false" outlineLevel="0" collapsed="false">
      <c r="A6421" s="41"/>
      <c r="G6421" s="38" t="n">
        <f aca="false">MONTH(A6421)</f>
        <v>12</v>
      </c>
      <c r="H6421" s="38" t="n">
        <f aca="false">YEAR(Tabela1[[#This Row],[FECHA]])</f>
        <v>1900</v>
      </c>
      <c r="I64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22" customFormat="false" ht="15" hidden="false" customHeight="false" outlineLevel="0" collapsed="false">
      <c r="A6422" s="41"/>
      <c r="G6422" s="38" t="n">
        <f aca="false">MONTH(A6422)</f>
        <v>12</v>
      </c>
      <c r="H6422" s="38" t="n">
        <f aca="false">YEAR(Tabela1[[#This Row],[FECHA]])</f>
        <v>1900</v>
      </c>
      <c r="I64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23" customFormat="false" ht="15" hidden="false" customHeight="false" outlineLevel="0" collapsed="false">
      <c r="A6423" s="41"/>
      <c r="G6423" s="38" t="n">
        <f aca="false">MONTH(A6423)</f>
        <v>12</v>
      </c>
      <c r="H6423" s="38" t="n">
        <f aca="false">YEAR(Tabela1[[#This Row],[FECHA]])</f>
        <v>1900</v>
      </c>
      <c r="I64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24" customFormat="false" ht="15" hidden="false" customHeight="false" outlineLevel="0" collapsed="false">
      <c r="A6424" s="41"/>
      <c r="G6424" s="38" t="n">
        <f aca="false">MONTH(A6424)</f>
        <v>12</v>
      </c>
      <c r="H6424" s="38" t="n">
        <f aca="false">YEAR(Tabela1[[#This Row],[FECHA]])</f>
        <v>1900</v>
      </c>
      <c r="I64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25" customFormat="false" ht="15" hidden="false" customHeight="false" outlineLevel="0" collapsed="false">
      <c r="A6425" s="41"/>
      <c r="G6425" s="38" t="n">
        <f aca="false">MONTH(A6425)</f>
        <v>12</v>
      </c>
      <c r="H6425" s="38" t="n">
        <f aca="false">YEAR(Tabela1[[#This Row],[FECHA]])</f>
        <v>1900</v>
      </c>
      <c r="I64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26" customFormat="false" ht="15" hidden="false" customHeight="false" outlineLevel="0" collapsed="false">
      <c r="A6426" s="41"/>
      <c r="G6426" s="38" t="n">
        <f aca="false">MONTH(A6426)</f>
        <v>12</v>
      </c>
      <c r="H6426" s="38" t="n">
        <f aca="false">YEAR(Tabela1[[#This Row],[FECHA]])</f>
        <v>1900</v>
      </c>
      <c r="I64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27" customFormat="false" ht="15" hidden="false" customHeight="false" outlineLevel="0" collapsed="false">
      <c r="A6427" s="41"/>
      <c r="G6427" s="38" t="n">
        <f aca="false">MONTH(A6427)</f>
        <v>12</v>
      </c>
      <c r="H6427" s="38" t="n">
        <f aca="false">YEAR(Tabela1[[#This Row],[FECHA]])</f>
        <v>1900</v>
      </c>
      <c r="I64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28" customFormat="false" ht="15" hidden="false" customHeight="false" outlineLevel="0" collapsed="false">
      <c r="A6428" s="41"/>
      <c r="G6428" s="38" t="n">
        <f aca="false">MONTH(A6428)</f>
        <v>12</v>
      </c>
      <c r="H6428" s="38" t="n">
        <f aca="false">YEAR(Tabela1[[#This Row],[FECHA]])</f>
        <v>1900</v>
      </c>
      <c r="I64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29" customFormat="false" ht="15" hidden="false" customHeight="false" outlineLevel="0" collapsed="false">
      <c r="A6429" s="41"/>
      <c r="G6429" s="38" t="n">
        <f aca="false">MONTH(A6429)</f>
        <v>12</v>
      </c>
      <c r="H6429" s="38" t="n">
        <f aca="false">YEAR(Tabela1[[#This Row],[FECHA]])</f>
        <v>1900</v>
      </c>
      <c r="I64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30" customFormat="false" ht="15" hidden="false" customHeight="false" outlineLevel="0" collapsed="false">
      <c r="A6430" s="41"/>
      <c r="G6430" s="38" t="n">
        <f aca="false">MONTH(A6430)</f>
        <v>12</v>
      </c>
      <c r="H6430" s="38" t="n">
        <f aca="false">YEAR(Tabela1[[#This Row],[FECHA]])</f>
        <v>1900</v>
      </c>
      <c r="I64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31" customFormat="false" ht="15" hidden="false" customHeight="false" outlineLevel="0" collapsed="false">
      <c r="A6431" s="41"/>
      <c r="G6431" s="38" t="n">
        <f aca="false">MONTH(A6431)</f>
        <v>12</v>
      </c>
      <c r="H6431" s="38" t="n">
        <f aca="false">YEAR(Tabela1[[#This Row],[FECHA]])</f>
        <v>1900</v>
      </c>
      <c r="I64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32" customFormat="false" ht="15" hidden="false" customHeight="false" outlineLevel="0" collapsed="false">
      <c r="A6432" s="41"/>
      <c r="G6432" s="38" t="n">
        <f aca="false">MONTH(A6432)</f>
        <v>12</v>
      </c>
      <c r="H6432" s="38" t="n">
        <f aca="false">YEAR(Tabela1[[#This Row],[FECHA]])</f>
        <v>1900</v>
      </c>
      <c r="I64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33" customFormat="false" ht="15" hidden="false" customHeight="false" outlineLevel="0" collapsed="false">
      <c r="A6433" s="41"/>
      <c r="G6433" s="38" t="n">
        <f aca="false">MONTH(A6433)</f>
        <v>12</v>
      </c>
      <c r="H6433" s="38" t="n">
        <f aca="false">YEAR(Tabela1[[#This Row],[FECHA]])</f>
        <v>1900</v>
      </c>
      <c r="I64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34" customFormat="false" ht="15" hidden="false" customHeight="false" outlineLevel="0" collapsed="false">
      <c r="A6434" s="41"/>
      <c r="G6434" s="38" t="n">
        <f aca="false">MONTH(A6434)</f>
        <v>12</v>
      </c>
      <c r="H6434" s="38" t="n">
        <f aca="false">YEAR(Tabela1[[#This Row],[FECHA]])</f>
        <v>1900</v>
      </c>
      <c r="I64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35" customFormat="false" ht="15" hidden="false" customHeight="false" outlineLevel="0" collapsed="false">
      <c r="A6435" s="41"/>
      <c r="G6435" s="38" t="n">
        <f aca="false">MONTH(A6435)</f>
        <v>12</v>
      </c>
      <c r="H6435" s="38" t="n">
        <f aca="false">YEAR(Tabela1[[#This Row],[FECHA]])</f>
        <v>1900</v>
      </c>
      <c r="I64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36" customFormat="false" ht="15" hidden="false" customHeight="false" outlineLevel="0" collapsed="false">
      <c r="A6436" s="41"/>
      <c r="G6436" s="38" t="n">
        <f aca="false">MONTH(A6436)</f>
        <v>12</v>
      </c>
      <c r="H6436" s="38" t="n">
        <f aca="false">YEAR(Tabela1[[#This Row],[FECHA]])</f>
        <v>1900</v>
      </c>
      <c r="I64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37" customFormat="false" ht="15" hidden="false" customHeight="false" outlineLevel="0" collapsed="false">
      <c r="A6437" s="41"/>
      <c r="G6437" s="38" t="n">
        <f aca="false">MONTH(A6437)</f>
        <v>12</v>
      </c>
      <c r="H6437" s="38" t="n">
        <f aca="false">YEAR(Tabela1[[#This Row],[FECHA]])</f>
        <v>1900</v>
      </c>
      <c r="I64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38" customFormat="false" ht="15" hidden="false" customHeight="false" outlineLevel="0" collapsed="false">
      <c r="A6438" s="41"/>
      <c r="G6438" s="38" t="n">
        <f aca="false">MONTH(A6438)</f>
        <v>12</v>
      </c>
      <c r="H6438" s="38" t="n">
        <f aca="false">YEAR(Tabela1[[#This Row],[FECHA]])</f>
        <v>1900</v>
      </c>
      <c r="I64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39" customFormat="false" ht="15" hidden="false" customHeight="false" outlineLevel="0" collapsed="false">
      <c r="A6439" s="41"/>
      <c r="G6439" s="38" t="n">
        <f aca="false">MONTH(A6439)</f>
        <v>12</v>
      </c>
      <c r="H6439" s="38" t="n">
        <f aca="false">YEAR(Tabela1[[#This Row],[FECHA]])</f>
        <v>1900</v>
      </c>
      <c r="I64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40" customFormat="false" ht="15" hidden="false" customHeight="false" outlineLevel="0" collapsed="false">
      <c r="A6440" s="41"/>
      <c r="G6440" s="38" t="n">
        <f aca="false">MONTH(A6440)</f>
        <v>12</v>
      </c>
      <c r="H6440" s="38" t="n">
        <f aca="false">YEAR(Tabela1[[#This Row],[FECHA]])</f>
        <v>1900</v>
      </c>
      <c r="I64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41" customFormat="false" ht="15" hidden="false" customHeight="false" outlineLevel="0" collapsed="false">
      <c r="A6441" s="41"/>
      <c r="G6441" s="38" t="n">
        <f aca="false">MONTH(A6441)</f>
        <v>12</v>
      </c>
      <c r="H6441" s="38" t="n">
        <f aca="false">YEAR(Tabela1[[#This Row],[FECHA]])</f>
        <v>1900</v>
      </c>
      <c r="I64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42" customFormat="false" ht="15" hidden="false" customHeight="false" outlineLevel="0" collapsed="false">
      <c r="A6442" s="41"/>
      <c r="G6442" s="38" t="n">
        <f aca="false">MONTH(A6442)</f>
        <v>12</v>
      </c>
      <c r="H6442" s="38" t="n">
        <f aca="false">YEAR(Tabela1[[#This Row],[FECHA]])</f>
        <v>1900</v>
      </c>
      <c r="I64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43" customFormat="false" ht="15" hidden="false" customHeight="false" outlineLevel="0" collapsed="false">
      <c r="A6443" s="41"/>
      <c r="G6443" s="38" t="n">
        <f aca="false">MONTH(A6443)</f>
        <v>12</v>
      </c>
      <c r="H6443" s="38" t="n">
        <f aca="false">YEAR(Tabela1[[#This Row],[FECHA]])</f>
        <v>1900</v>
      </c>
      <c r="I64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44" customFormat="false" ht="15" hidden="false" customHeight="false" outlineLevel="0" collapsed="false">
      <c r="A6444" s="41"/>
      <c r="G6444" s="38" t="n">
        <f aca="false">MONTH(A6444)</f>
        <v>12</v>
      </c>
      <c r="H6444" s="38" t="n">
        <f aca="false">YEAR(Tabela1[[#This Row],[FECHA]])</f>
        <v>1900</v>
      </c>
      <c r="I64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45" customFormat="false" ht="15" hidden="false" customHeight="false" outlineLevel="0" collapsed="false">
      <c r="A6445" s="41"/>
      <c r="G6445" s="38" t="n">
        <f aca="false">MONTH(A6445)</f>
        <v>12</v>
      </c>
      <c r="H6445" s="38" t="n">
        <f aca="false">YEAR(Tabela1[[#This Row],[FECHA]])</f>
        <v>1900</v>
      </c>
      <c r="I64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46" customFormat="false" ht="15" hidden="false" customHeight="false" outlineLevel="0" collapsed="false">
      <c r="A6446" s="41"/>
      <c r="G6446" s="38" t="n">
        <f aca="false">MONTH(A6446)</f>
        <v>12</v>
      </c>
      <c r="H6446" s="38" t="n">
        <f aca="false">YEAR(Tabela1[[#This Row],[FECHA]])</f>
        <v>1900</v>
      </c>
      <c r="I64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47" customFormat="false" ht="15" hidden="false" customHeight="false" outlineLevel="0" collapsed="false">
      <c r="A6447" s="41"/>
      <c r="G6447" s="38" t="n">
        <f aca="false">MONTH(A6447)</f>
        <v>12</v>
      </c>
      <c r="H6447" s="38" t="n">
        <f aca="false">YEAR(Tabela1[[#This Row],[FECHA]])</f>
        <v>1900</v>
      </c>
      <c r="I64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48" customFormat="false" ht="15" hidden="false" customHeight="false" outlineLevel="0" collapsed="false">
      <c r="A6448" s="41"/>
      <c r="G6448" s="38" t="n">
        <f aca="false">MONTH(A6448)</f>
        <v>12</v>
      </c>
      <c r="H6448" s="38" t="n">
        <f aca="false">YEAR(Tabela1[[#This Row],[FECHA]])</f>
        <v>1900</v>
      </c>
      <c r="I64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49" customFormat="false" ht="15" hidden="false" customHeight="false" outlineLevel="0" collapsed="false">
      <c r="A6449" s="41"/>
      <c r="G6449" s="38" t="n">
        <f aca="false">MONTH(A6449)</f>
        <v>12</v>
      </c>
      <c r="H6449" s="38" t="n">
        <f aca="false">YEAR(Tabela1[[#This Row],[FECHA]])</f>
        <v>1900</v>
      </c>
      <c r="I64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50" customFormat="false" ht="15" hidden="false" customHeight="false" outlineLevel="0" collapsed="false">
      <c r="A6450" s="41"/>
      <c r="G6450" s="38" t="n">
        <f aca="false">MONTH(A6450)</f>
        <v>12</v>
      </c>
      <c r="H6450" s="38" t="n">
        <f aca="false">YEAR(Tabela1[[#This Row],[FECHA]])</f>
        <v>1900</v>
      </c>
      <c r="I64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51" customFormat="false" ht="15" hidden="false" customHeight="false" outlineLevel="0" collapsed="false">
      <c r="A6451" s="41"/>
      <c r="G6451" s="38" t="n">
        <f aca="false">MONTH(A6451)</f>
        <v>12</v>
      </c>
      <c r="H6451" s="38" t="n">
        <f aca="false">YEAR(Tabela1[[#This Row],[FECHA]])</f>
        <v>1900</v>
      </c>
      <c r="I64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52" customFormat="false" ht="15" hidden="false" customHeight="false" outlineLevel="0" collapsed="false">
      <c r="A6452" s="41"/>
      <c r="G6452" s="38" t="n">
        <f aca="false">MONTH(A6452)</f>
        <v>12</v>
      </c>
      <c r="H6452" s="38" t="n">
        <f aca="false">YEAR(Tabela1[[#This Row],[FECHA]])</f>
        <v>1900</v>
      </c>
      <c r="I64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53" customFormat="false" ht="15" hidden="false" customHeight="false" outlineLevel="0" collapsed="false">
      <c r="A6453" s="41"/>
      <c r="G6453" s="38" t="n">
        <f aca="false">MONTH(A6453)</f>
        <v>12</v>
      </c>
      <c r="H6453" s="38" t="n">
        <f aca="false">YEAR(Tabela1[[#This Row],[FECHA]])</f>
        <v>1900</v>
      </c>
      <c r="I64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54" customFormat="false" ht="15" hidden="false" customHeight="false" outlineLevel="0" collapsed="false">
      <c r="A6454" s="41"/>
      <c r="G6454" s="38" t="n">
        <f aca="false">MONTH(A6454)</f>
        <v>12</v>
      </c>
      <c r="H6454" s="38" t="n">
        <f aca="false">YEAR(Tabela1[[#This Row],[FECHA]])</f>
        <v>1900</v>
      </c>
      <c r="I64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55" customFormat="false" ht="15" hidden="false" customHeight="false" outlineLevel="0" collapsed="false">
      <c r="A6455" s="41"/>
      <c r="G6455" s="38" t="n">
        <f aca="false">MONTH(A6455)</f>
        <v>12</v>
      </c>
      <c r="H6455" s="38" t="n">
        <f aca="false">YEAR(Tabela1[[#This Row],[FECHA]])</f>
        <v>1900</v>
      </c>
      <c r="I64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56" customFormat="false" ht="15" hidden="false" customHeight="false" outlineLevel="0" collapsed="false">
      <c r="A6456" s="41"/>
      <c r="G6456" s="38" t="n">
        <f aca="false">MONTH(A6456)</f>
        <v>12</v>
      </c>
      <c r="H6456" s="38" t="n">
        <f aca="false">YEAR(Tabela1[[#This Row],[FECHA]])</f>
        <v>1900</v>
      </c>
      <c r="I64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57" customFormat="false" ht="15" hidden="false" customHeight="false" outlineLevel="0" collapsed="false">
      <c r="A6457" s="41"/>
      <c r="G6457" s="38" t="n">
        <f aca="false">MONTH(A6457)</f>
        <v>12</v>
      </c>
      <c r="H6457" s="38" t="n">
        <f aca="false">YEAR(Tabela1[[#This Row],[FECHA]])</f>
        <v>1900</v>
      </c>
      <c r="I64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58" customFormat="false" ht="15" hidden="false" customHeight="false" outlineLevel="0" collapsed="false">
      <c r="A6458" s="41"/>
      <c r="G6458" s="38" t="n">
        <f aca="false">MONTH(A6458)</f>
        <v>12</v>
      </c>
      <c r="H6458" s="38" t="n">
        <f aca="false">YEAR(Tabela1[[#This Row],[FECHA]])</f>
        <v>1900</v>
      </c>
      <c r="I64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59" customFormat="false" ht="15" hidden="false" customHeight="false" outlineLevel="0" collapsed="false">
      <c r="A6459" s="41"/>
      <c r="G6459" s="38" t="n">
        <f aca="false">MONTH(A6459)</f>
        <v>12</v>
      </c>
      <c r="H6459" s="38" t="n">
        <f aca="false">YEAR(Tabela1[[#This Row],[FECHA]])</f>
        <v>1900</v>
      </c>
      <c r="I64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60" customFormat="false" ht="15" hidden="false" customHeight="false" outlineLevel="0" collapsed="false">
      <c r="A6460" s="41"/>
      <c r="G6460" s="38" t="n">
        <f aca="false">MONTH(A6460)</f>
        <v>12</v>
      </c>
      <c r="H6460" s="38" t="n">
        <f aca="false">YEAR(Tabela1[[#This Row],[FECHA]])</f>
        <v>1900</v>
      </c>
      <c r="I64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61" customFormat="false" ht="15" hidden="false" customHeight="false" outlineLevel="0" collapsed="false">
      <c r="A6461" s="41"/>
      <c r="G6461" s="38" t="n">
        <f aca="false">MONTH(A6461)</f>
        <v>12</v>
      </c>
      <c r="H6461" s="38" t="n">
        <f aca="false">YEAR(Tabela1[[#This Row],[FECHA]])</f>
        <v>1900</v>
      </c>
      <c r="I64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62" customFormat="false" ht="15" hidden="false" customHeight="false" outlineLevel="0" collapsed="false">
      <c r="A6462" s="41"/>
      <c r="G6462" s="38" t="n">
        <f aca="false">MONTH(A6462)</f>
        <v>12</v>
      </c>
      <c r="H6462" s="38" t="n">
        <f aca="false">YEAR(Tabela1[[#This Row],[FECHA]])</f>
        <v>1900</v>
      </c>
      <c r="I64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63" customFormat="false" ht="15" hidden="false" customHeight="false" outlineLevel="0" collapsed="false">
      <c r="A6463" s="41"/>
      <c r="G6463" s="38" t="n">
        <f aca="false">MONTH(A6463)</f>
        <v>12</v>
      </c>
      <c r="H6463" s="38" t="n">
        <f aca="false">YEAR(Tabela1[[#This Row],[FECHA]])</f>
        <v>1900</v>
      </c>
      <c r="I64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64" customFormat="false" ht="15" hidden="false" customHeight="false" outlineLevel="0" collapsed="false">
      <c r="A6464" s="41"/>
      <c r="G6464" s="38" t="n">
        <f aca="false">MONTH(A6464)</f>
        <v>12</v>
      </c>
      <c r="H6464" s="38" t="n">
        <f aca="false">YEAR(Tabela1[[#This Row],[FECHA]])</f>
        <v>1900</v>
      </c>
      <c r="I64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65" customFormat="false" ht="15" hidden="false" customHeight="false" outlineLevel="0" collapsed="false">
      <c r="A6465" s="41"/>
      <c r="G6465" s="38" t="n">
        <f aca="false">MONTH(A6465)</f>
        <v>12</v>
      </c>
      <c r="H6465" s="38" t="n">
        <f aca="false">YEAR(Tabela1[[#This Row],[FECHA]])</f>
        <v>1900</v>
      </c>
      <c r="I64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66" customFormat="false" ht="15" hidden="false" customHeight="false" outlineLevel="0" collapsed="false">
      <c r="A6466" s="41"/>
      <c r="G6466" s="38" t="n">
        <f aca="false">MONTH(A6466)</f>
        <v>12</v>
      </c>
      <c r="H6466" s="38" t="n">
        <f aca="false">YEAR(Tabela1[[#This Row],[FECHA]])</f>
        <v>1900</v>
      </c>
      <c r="I64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67" customFormat="false" ht="15" hidden="false" customHeight="false" outlineLevel="0" collapsed="false">
      <c r="A6467" s="41"/>
      <c r="G6467" s="38" t="n">
        <f aca="false">MONTH(A6467)</f>
        <v>12</v>
      </c>
      <c r="H6467" s="38" t="n">
        <f aca="false">YEAR(Tabela1[[#This Row],[FECHA]])</f>
        <v>1900</v>
      </c>
      <c r="I64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68" customFormat="false" ht="15" hidden="false" customHeight="false" outlineLevel="0" collapsed="false">
      <c r="A6468" s="41"/>
      <c r="G6468" s="38" t="n">
        <f aca="false">MONTH(A6468)</f>
        <v>12</v>
      </c>
      <c r="H6468" s="38" t="n">
        <f aca="false">YEAR(Tabela1[[#This Row],[FECHA]])</f>
        <v>1900</v>
      </c>
      <c r="I64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69" customFormat="false" ht="15" hidden="false" customHeight="false" outlineLevel="0" collapsed="false">
      <c r="A6469" s="41"/>
      <c r="G6469" s="38" t="n">
        <f aca="false">MONTH(A6469)</f>
        <v>12</v>
      </c>
      <c r="H6469" s="38" t="n">
        <f aca="false">YEAR(Tabela1[[#This Row],[FECHA]])</f>
        <v>1900</v>
      </c>
      <c r="I64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70" customFormat="false" ht="15" hidden="false" customHeight="false" outlineLevel="0" collapsed="false">
      <c r="A6470" s="41"/>
      <c r="G6470" s="38" t="n">
        <f aca="false">MONTH(A6470)</f>
        <v>12</v>
      </c>
      <c r="H6470" s="38" t="n">
        <f aca="false">YEAR(Tabela1[[#This Row],[FECHA]])</f>
        <v>1900</v>
      </c>
      <c r="I64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71" customFormat="false" ht="15" hidden="false" customHeight="false" outlineLevel="0" collapsed="false">
      <c r="A6471" s="41"/>
      <c r="G6471" s="38" t="n">
        <f aca="false">MONTH(A6471)</f>
        <v>12</v>
      </c>
      <c r="H6471" s="38" t="n">
        <f aca="false">YEAR(Tabela1[[#This Row],[FECHA]])</f>
        <v>1900</v>
      </c>
      <c r="I64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72" customFormat="false" ht="15" hidden="false" customHeight="false" outlineLevel="0" collapsed="false">
      <c r="A6472" s="41"/>
      <c r="G6472" s="38" t="n">
        <f aca="false">MONTH(A6472)</f>
        <v>12</v>
      </c>
      <c r="H6472" s="38" t="n">
        <f aca="false">YEAR(Tabela1[[#This Row],[FECHA]])</f>
        <v>1900</v>
      </c>
      <c r="I64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73" customFormat="false" ht="15" hidden="false" customHeight="false" outlineLevel="0" collapsed="false">
      <c r="A6473" s="41"/>
      <c r="G6473" s="38" t="n">
        <f aca="false">MONTH(A6473)</f>
        <v>12</v>
      </c>
      <c r="H6473" s="38" t="n">
        <f aca="false">YEAR(Tabela1[[#This Row],[FECHA]])</f>
        <v>1900</v>
      </c>
      <c r="I64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74" customFormat="false" ht="15" hidden="false" customHeight="false" outlineLevel="0" collapsed="false">
      <c r="A6474" s="41"/>
      <c r="G6474" s="38" t="n">
        <f aca="false">MONTH(A6474)</f>
        <v>12</v>
      </c>
      <c r="H6474" s="38" t="n">
        <f aca="false">YEAR(Tabela1[[#This Row],[FECHA]])</f>
        <v>1900</v>
      </c>
      <c r="I64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75" customFormat="false" ht="15" hidden="false" customHeight="false" outlineLevel="0" collapsed="false">
      <c r="A6475" s="41"/>
      <c r="G6475" s="38" t="n">
        <f aca="false">MONTH(A6475)</f>
        <v>12</v>
      </c>
      <c r="H6475" s="38" t="n">
        <f aca="false">YEAR(Tabela1[[#This Row],[FECHA]])</f>
        <v>1900</v>
      </c>
      <c r="I64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76" customFormat="false" ht="15" hidden="false" customHeight="false" outlineLevel="0" collapsed="false">
      <c r="A6476" s="41"/>
      <c r="G6476" s="38" t="n">
        <f aca="false">MONTH(A6476)</f>
        <v>12</v>
      </c>
      <c r="H6476" s="38" t="n">
        <f aca="false">YEAR(Tabela1[[#This Row],[FECHA]])</f>
        <v>1900</v>
      </c>
      <c r="I64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77" customFormat="false" ht="15" hidden="false" customHeight="false" outlineLevel="0" collapsed="false">
      <c r="A6477" s="41"/>
      <c r="G6477" s="38" t="n">
        <f aca="false">MONTH(A6477)</f>
        <v>12</v>
      </c>
      <c r="H6477" s="38" t="n">
        <f aca="false">YEAR(Tabela1[[#This Row],[FECHA]])</f>
        <v>1900</v>
      </c>
      <c r="I64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78" customFormat="false" ht="15" hidden="false" customHeight="false" outlineLevel="0" collapsed="false">
      <c r="A6478" s="41"/>
      <c r="G6478" s="38" t="n">
        <f aca="false">MONTH(A6478)</f>
        <v>12</v>
      </c>
      <c r="H6478" s="38" t="n">
        <f aca="false">YEAR(Tabela1[[#This Row],[FECHA]])</f>
        <v>1900</v>
      </c>
      <c r="I64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79" customFormat="false" ht="15" hidden="false" customHeight="false" outlineLevel="0" collapsed="false">
      <c r="A6479" s="41"/>
      <c r="G6479" s="38" t="n">
        <f aca="false">MONTH(A6479)</f>
        <v>12</v>
      </c>
      <c r="H6479" s="38" t="n">
        <f aca="false">YEAR(Tabela1[[#This Row],[FECHA]])</f>
        <v>1900</v>
      </c>
      <c r="I64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80" customFormat="false" ht="15" hidden="false" customHeight="false" outlineLevel="0" collapsed="false">
      <c r="A6480" s="41"/>
      <c r="G6480" s="38" t="n">
        <f aca="false">MONTH(A6480)</f>
        <v>12</v>
      </c>
      <c r="H6480" s="38" t="n">
        <f aca="false">YEAR(Tabela1[[#This Row],[FECHA]])</f>
        <v>1900</v>
      </c>
      <c r="I64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81" customFormat="false" ht="15" hidden="false" customHeight="false" outlineLevel="0" collapsed="false">
      <c r="A6481" s="41"/>
      <c r="G6481" s="38" t="n">
        <f aca="false">MONTH(A6481)</f>
        <v>12</v>
      </c>
      <c r="H6481" s="38" t="n">
        <f aca="false">YEAR(Tabela1[[#This Row],[FECHA]])</f>
        <v>1900</v>
      </c>
      <c r="I64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82" customFormat="false" ht="15" hidden="false" customHeight="false" outlineLevel="0" collapsed="false">
      <c r="A6482" s="41"/>
      <c r="G6482" s="38" t="n">
        <f aca="false">MONTH(A6482)</f>
        <v>12</v>
      </c>
      <c r="H6482" s="38" t="n">
        <f aca="false">YEAR(Tabela1[[#This Row],[FECHA]])</f>
        <v>1900</v>
      </c>
      <c r="I64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83" customFormat="false" ht="15" hidden="false" customHeight="false" outlineLevel="0" collapsed="false">
      <c r="A6483" s="41"/>
      <c r="G6483" s="38" t="n">
        <f aca="false">MONTH(A6483)</f>
        <v>12</v>
      </c>
      <c r="H6483" s="38" t="n">
        <f aca="false">YEAR(Tabela1[[#This Row],[FECHA]])</f>
        <v>1900</v>
      </c>
      <c r="I64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84" customFormat="false" ht="15" hidden="false" customHeight="false" outlineLevel="0" collapsed="false">
      <c r="A6484" s="41"/>
      <c r="G6484" s="38" t="n">
        <f aca="false">MONTH(A6484)</f>
        <v>12</v>
      </c>
      <c r="H6484" s="38" t="n">
        <f aca="false">YEAR(Tabela1[[#This Row],[FECHA]])</f>
        <v>1900</v>
      </c>
      <c r="I64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85" customFormat="false" ht="15" hidden="false" customHeight="false" outlineLevel="0" collapsed="false">
      <c r="A6485" s="41"/>
      <c r="G6485" s="38" t="n">
        <f aca="false">MONTH(A6485)</f>
        <v>12</v>
      </c>
      <c r="H6485" s="38" t="n">
        <f aca="false">YEAR(Tabela1[[#This Row],[FECHA]])</f>
        <v>1900</v>
      </c>
      <c r="I64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86" customFormat="false" ht="15" hidden="false" customHeight="false" outlineLevel="0" collapsed="false">
      <c r="A6486" s="41"/>
      <c r="G6486" s="38" t="n">
        <f aca="false">MONTH(A6486)</f>
        <v>12</v>
      </c>
      <c r="H6486" s="38" t="n">
        <f aca="false">YEAR(Tabela1[[#This Row],[FECHA]])</f>
        <v>1900</v>
      </c>
      <c r="I64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87" customFormat="false" ht="15" hidden="false" customHeight="false" outlineLevel="0" collapsed="false">
      <c r="A6487" s="41"/>
      <c r="G6487" s="38" t="n">
        <f aca="false">MONTH(A6487)</f>
        <v>12</v>
      </c>
      <c r="H6487" s="38" t="n">
        <f aca="false">YEAR(Tabela1[[#This Row],[FECHA]])</f>
        <v>1900</v>
      </c>
      <c r="I64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88" customFormat="false" ht="15" hidden="false" customHeight="false" outlineLevel="0" collapsed="false">
      <c r="A6488" s="41"/>
      <c r="G6488" s="38" t="n">
        <f aca="false">MONTH(A6488)</f>
        <v>12</v>
      </c>
      <c r="H6488" s="38" t="n">
        <f aca="false">YEAR(Tabela1[[#This Row],[FECHA]])</f>
        <v>1900</v>
      </c>
      <c r="I64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89" customFormat="false" ht="15" hidden="false" customHeight="false" outlineLevel="0" collapsed="false">
      <c r="A6489" s="41"/>
      <c r="G6489" s="38" t="n">
        <f aca="false">MONTH(A6489)</f>
        <v>12</v>
      </c>
      <c r="H6489" s="38" t="n">
        <f aca="false">YEAR(Tabela1[[#This Row],[FECHA]])</f>
        <v>1900</v>
      </c>
      <c r="I64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90" customFormat="false" ht="15" hidden="false" customHeight="false" outlineLevel="0" collapsed="false">
      <c r="A6490" s="41"/>
      <c r="G6490" s="38" t="n">
        <f aca="false">MONTH(A6490)</f>
        <v>12</v>
      </c>
      <c r="H6490" s="38" t="n">
        <f aca="false">YEAR(Tabela1[[#This Row],[FECHA]])</f>
        <v>1900</v>
      </c>
      <c r="I64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91" customFormat="false" ht="15" hidden="false" customHeight="false" outlineLevel="0" collapsed="false">
      <c r="A6491" s="41"/>
      <c r="G6491" s="38" t="n">
        <f aca="false">MONTH(A6491)</f>
        <v>12</v>
      </c>
      <c r="H6491" s="38" t="n">
        <f aca="false">YEAR(Tabela1[[#This Row],[FECHA]])</f>
        <v>1900</v>
      </c>
      <c r="I64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92" customFormat="false" ht="15" hidden="false" customHeight="false" outlineLevel="0" collapsed="false">
      <c r="A6492" s="41"/>
      <c r="G6492" s="38" t="n">
        <f aca="false">MONTH(A6492)</f>
        <v>12</v>
      </c>
      <c r="H6492" s="38" t="n">
        <f aca="false">YEAR(Tabela1[[#This Row],[FECHA]])</f>
        <v>1900</v>
      </c>
      <c r="I64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93" customFormat="false" ht="15" hidden="false" customHeight="false" outlineLevel="0" collapsed="false">
      <c r="A6493" s="41"/>
      <c r="G6493" s="38" t="n">
        <f aca="false">MONTH(A6493)</f>
        <v>12</v>
      </c>
      <c r="H6493" s="38" t="n">
        <f aca="false">YEAR(Tabela1[[#This Row],[FECHA]])</f>
        <v>1900</v>
      </c>
      <c r="I64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94" customFormat="false" ht="15" hidden="false" customHeight="false" outlineLevel="0" collapsed="false">
      <c r="A6494" s="41"/>
      <c r="G6494" s="38" t="n">
        <f aca="false">MONTH(A6494)</f>
        <v>12</v>
      </c>
      <c r="H6494" s="38" t="n">
        <f aca="false">YEAR(Tabela1[[#This Row],[FECHA]])</f>
        <v>1900</v>
      </c>
      <c r="I64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95" customFormat="false" ht="15" hidden="false" customHeight="false" outlineLevel="0" collapsed="false">
      <c r="A6495" s="41"/>
      <c r="G6495" s="38" t="n">
        <f aca="false">MONTH(A6495)</f>
        <v>12</v>
      </c>
      <c r="H6495" s="38" t="n">
        <f aca="false">YEAR(Tabela1[[#This Row],[FECHA]])</f>
        <v>1900</v>
      </c>
      <c r="I64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96" customFormat="false" ht="15" hidden="false" customHeight="false" outlineLevel="0" collapsed="false">
      <c r="A6496" s="41"/>
      <c r="G6496" s="38" t="n">
        <f aca="false">MONTH(A6496)</f>
        <v>12</v>
      </c>
      <c r="H6496" s="38" t="n">
        <f aca="false">YEAR(Tabela1[[#This Row],[FECHA]])</f>
        <v>1900</v>
      </c>
      <c r="I64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97" customFormat="false" ht="15" hidden="false" customHeight="false" outlineLevel="0" collapsed="false">
      <c r="A6497" s="41"/>
      <c r="G6497" s="38" t="n">
        <f aca="false">MONTH(A6497)</f>
        <v>12</v>
      </c>
      <c r="H6497" s="38" t="n">
        <f aca="false">YEAR(Tabela1[[#This Row],[FECHA]])</f>
        <v>1900</v>
      </c>
      <c r="I64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98" customFormat="false" ht="15" hidden="false" customHeight="false" outlineLevel="0" collapsed="false">
      <c r="A6498" s="41"/>
      <c r="G6498" s="38" t="n">
        <f aca="false">MONTH(A6498)</f>
        <v>12</v>
      </c>
      <c r="H6498" s="38" t="n">
        <f aca="false">YEAR(Tabela1[[#This Row],[FECHA]])</f>
        <v>1900</v>
      </c>
      <c r="I64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499" customFormat="false" ht="15" hidden="false" customHeight="false" outlineLevel="0" collapsed="false">
      <c r="A6499" s="41"/>
      <c r="G6499" s="38" t="n">
        <f aca="false">MONTH(A6499)</f>
        <v>12</v>
      </c>
      <c r="H6499" s="38" t="n">
        <f aca="false">YEAR(Tabela1[[#This Row],[FECHA]])</f>
        <v>1900</v>
      </c>
      <c r="I64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00" customFormat="false" ht="15" hidden="false" customHeight="false" outlineLevel="0" collapsed="false">
      <c r="A6500" s="41"/>
      <c r="G6500" s="38" t="n">
        <f aca="false">MONTH(A6500)</f>
        <v>12</v>
      </c>
      <c r="H6500" s="38" t="n">
        <f aca="false">YEAR(Tabela1[[#This Row],[FECHA]])</f>
        <v>1900</v>
      </c>
      <c r="I65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01" customFormat="false" ht="15" hidden="false" customHeight="false" outlineLevel="0" collapsed="false">
      <c r="A6501" s="41"/>
      <c r="G6501" s="38" t="n">
        <f aca="false">MONTH(A6501)</f>
        <v>12</v>
      </c>
      <c r="H6501" s="38" t="n">
        <f aca="false">YEAR(Tabela1[[#This Row],[FECHA]])</f>
        <v>1900</v>
      </c>
      <c r="I65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02" customFormat="false" ht="15" hidden="false" customHeight="false" outlineLevel="0" collapsed="false">
      <c r="A6502" s="41"/>
      <c r="G6502" s="38" t="n">
        <f aca="false">MONTH(A6502)</f>
        <v>12</v>
      </c>
      <c r="H6502" s="38" t="n">
        <f aca="false">YEAR(Tabela1[[#This Row],[FECHA]])</f>
        <v>1900</v>
      </c>
      <c r="I65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03" customFormat="false" ht="15" hidden="false" customHeight="false" outlineLevel="0" collapsed="false">
      <c r="A6503" s="41"/>
      <c r="G6503" s="38" t="n">
        <f aca="false">MONTH(A6503)</f>
        <v>12</v>
      </c>
      <c r="H6503" s="38" t="n">
        <f aca="false">YEAR(Tabela1[[#This Row],[FECHA]])</f>
        <v>1900</v>
      </c>
      <c r="I65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04" customFormat="false" ht="15" hidden="false" customHeight="false" outlineLevel="0" collapsed="false">
      <c r="A6504" s="41"/>
      <c r="G6504" s="38" t="n">
        <f aca="false">MONTH(A6504)</f>
        <v>12</v>
      </c>
      <c r="H6504" s="38" t="n">
        <f aca="false">YEAR(Tabela1[[#This Row],[FECHA]])</f>
        <v>1900</v>
      </c>
      <c r="I65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05" customFormat="false" ht="15" hidden="false" customHeight="false" outlineLevel="0" collapsed="false">
      <c r="A6505" s="41"/>
      <c r="G6505" s="38" t="n">
        <f aca="false">MONTH(A6505)</f>
        <v>12</v>
      </c>
      <c r="H6505" s="38" t="n">
        <f aca="false">YEAR(Tabela1[[#This Row],[FECHA]])</f>
        <v>1900</v>
      </c>
      <c r="I65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06" customFormat="false" ht="15" hidden="false" customHeight="false" outlineLevel="0" collapsed="false">
      <c r="A6506" s="41"/>
      <c r="G6506" s="38" t="n">
        <f aca="false">MONTH(A6506)</f>
        <v>12</v>
      </c>
      <c r="H6506" s="38" t="n">
        <f aca="false">YEAR(Tabela1[[#This Row],[FECHA]])</f>
        <v>1900</v>
      </c>
      <c r="I65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07" customFormat="false" ht="15" hidden="false" customHeight="false" outlineLevel="0" collapsed="false">
      <c r="A6507" s="41"/>
      <c r="G6507" s="38" t="n">
        <f aca="false">MONTH(A6507)</f>
        <v>12</v>
      </c>
      <c r="H6507" s="38" t="n">
        <f aca="false">YEAR(Tabela1[[#This Row],[FECHA]])</f>
        <v>1900</v>
      </c>
      <c r="I65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08" customFormat="false" ht="15" hidden="false" customHeight="false" outlineLevel="0" collapsed="false">
      <c r="A6508" s="41"/>
      <c r="G6508" s="38" t="n">
        <f aca="false">MONTH(A6508)</f>
        <v>12</v>
      </c>
      <c r="H6508" s="38" t="n">
        <f aca="false">YEAR(Tabela1[[#This Row],[FECHA]])</f>
        <v>1900</v>
      </c>
      <c r="I65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09" customFormat="false" ht="15" hidden="false" customHeight="false" outlineLevel="0" collapsed="false">
      <c r="A6509" s="41"/>
      <c r="G6509" s="38" t="n">
        <f aca="false">MONTH(A6509)</f>
        <v>12</v>
      </c>
      <c r="H6509" s="38" t="n">
        <f aca="false">YEAR(Tabela1[[#This Row],[FECHA]])</f>
        <v>1900</v>
      </c>
      <c r="I65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10" customFormat="false" ht="15" hidden="false" customHeight="false" outlineLevel="0" collapsed="false">
      <c r="A6510" s="41"/>
      <c r="G6510" s="38" t="n">
        <f aca="false">MONTH(A6510)</f>
        <v>12</v>
      </c>
      <c r="H6510" s="38" t="n">
        <f aca="false">YEAR(Tabela1[[#This Row],[FECHA]])</f>
        <v>1900</v>
      </c>
      <c r="I65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11" customFormat="false" ht="15" hidden="false" customHeight="false" outlineLevel="0" collapsed="false">
      <c r="A6511" s="41"/>
      <c r="G6511" s="38" t="n">
        <f aca="false">MONTH(A6511)</f>
        <v>12</v>
      </c>
      <c r="H6511" s="38" t="n">
        <f aca="false">YEAR(Tabela1[[#This Row],[FECHA]])</f>
        <v>1900</v>
      </c>
      <c r="I65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12" customFormat="false" ht="15" hidden="false" customHeight="false" outlineLevel="0" collapsed="false">
      <c r="A6512" s="41"/>
      <c r="G6512" s="38" t="n">
        <f aca="false">MONTH(A6512)</f>
        <v>12</v>
      </c>
      <c r="H6512" s="38" t="n">
        <f aca="false">YEAR(Tabela1[[#This Row],[FECHA]])</f>
        <v>1900</v>
      </c>
      <c r="I65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13" customFormat="false" ht="15" hidden="false" customHeight="false" outlineLevel="0" collapsed="false">
      <c r="A6513" s="41"/>
      <c r="G6513" s="38" t="n">
        <f aca="false">MONTH(A6513)</f>
        <v>12</v>
      </c>
      <c r="H6513" s="38" t="n">
        <f aca="false">YEAR(Tabela1[[#This Row],[FECHA]])</f>
        <v>1900</v>
      </c>
      <c r="I65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14" customFormat="false" ht="15" hidden="false" customHeight="false" outlineLevel="0" collapsed="false">
      <c r="A6514" s="41"/>
      <c r="G6514" s="38" t="n">
        <f aca="false">MONTH(A6514)</f>
        <v>12</v>
      </c>
      <c r="H6514" s="38" t="n">
        <f aca="false">YEAR(Tabela1[[#This Row],[FECHA]])</f>
        <v>1900</v>
      </c>
      <c r="I65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15" customFormat="false" ht="15" hidden="false" customHeight="false" outlineLevel="0" collapsed="false">
      <c r="A6515" s="41"/>
      <c r="G6515" s="38" t="n">
        <f aca="false">MONTH(A6515)</f>
        <v>12</v>
      </c>
      <c r="H6515" s="38" t="n">
        <f aca="false">YEAR(Tabela1[[#This Row],[FECHA]])</f>
        <v>1900</v>
      </c>
      <c r="I65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16" customFormat="false" ht="15" hidden="false" customHeight="false" outlineLevel="0" collapsed="false">
      <c r="A6516" s="41"/>
      <c r="G6516" s="38" t="n">
        <f aca="false">MONTH(A6516)</f>
        <v>12</v>
      </c>
      <c r="H6516" s="38" t="n">
        <f aca="false">YEAR(Tabela1[[#This Row],[FECHA]])</f>
        <v>1900</v>
      </c>
      <c r="I65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17" customFormat="false" ht="15" hidden="false" customHeight="false" outlineLevel="0" collapsed="false">
      <c r="A6517" s="41"/>
      <c r="G6517" s="38" t="n">
        <f aca="false">MONTH(A6517)</f>
        <v>12</v>
      </c>
      <c r="H6517" s="38" t="n">
        <f aca="false">YEAR(Tabela1[[#This Row],[FECHA]])</f>
        <v>1900</v>
      </c>
      <c r="I65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18" customFormat="false" ht="15" hidden="false" customHeight="false" outlineLevel="0" collapsed="false">
      <c r="A6518" s="41"/>
      <c r="G6518" s="38" t="n">
        <f aca="false">MONTH(A6518)</f>
        <v>12</v>
      </c>
      <c r="H6518" s="38" t="n">
        <f aca="false">YEAR(Tabela1[[#This Row],[FECHA]])</f>
        <v>1900</v>
      </c>
      <c r="I65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19" customFormat="false" ht="15" hidden="false" customHeight="false" outlineLevel="0" collapsed="false">
      <c r="A6519" s="41"/>
      <c r="G6519" s="38" t="n">
        <f aca="false">MONTH(A6519)</f>
        <v>12</v>
      </c>
      <c r="H6519" s="38" t="n">
        <f aca="false">YEAR(Tabela1[[#This Row],[FECHA]])</f>
        <v>1900</v>
      </c>
      <c r="I65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20" customFormat="false" ht="15" hidden="false" customHeight="false" outlineLevel="0" collapsed="false">
      <c r="A6520" s="41"/>
      <c r="G6520" s="38" t="n">
        <f aca="false">MONTH(A6520)</f>
        <v>12</v>
      </c>
      <c r="H6520" s="38" t="n">
        <f aca="false">YEAR(Tabela1[[#This Row],[FECHA]])</f>
        <v>1900</v>
      </c>
      <c r="I65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21" customFormat="false" ht="15" hidden="false" customHeight="false" outlineLevel="0" collapsed="false">
      <c r="A6521" s="41"/>
      <c r="G6521" s="38" t="n">
        <f aca="false">MONTH(A6521)</f>
        <v>12</v>
      </c>
      <c r="H6521" s="38" t="n">
        <f aca="false">YEAR(Tabela1[[#This Row],[FECHA]])</f>
        <v>1900</v>
      </c>
      <c r="I65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22" customFormat="false" ht="15" hidden="false" customHeight="false" outlineLevel="0" collapsed="false">
      <c r="A6522" s="41"/>
      <c r="G6522" s="38" t="n">
        <f aca="false">MONTH(A6522)</f>
        <v>12</v>
      </c>
      <c r="H6522" s="38" t="n">
        <f aca="false">YEAR(Tabela1[[#This Row],[FECHA]])</f>
        <v>1900</v>
      </c>
      <c r="I65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23" customFormat="false" ht="15" hidden="false" customHeight="false" outlineLevel="0" collapsed="false">
      <c r="A6523" s="41"/>
      <c r="G6523" s="38" t="n">
        <f aca="false">MONTH(A6523)</f>
        <v>12</v>
      </c>
      <c r="H6523" s="38" t="n">
        <f aca="false">YEAR(Tabela1[[#This Row],[FECHA]])</f>
        <v>1900</v>
      </c>
      <c r="I65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24" customFormat="false" ht="15" hidden="false" customHeight="false" outlineLevel="0" collapsed="false">
      <c r="A6524" s="41"/>
      <c r="G6524" s="38" t="n">
        <f aca="false">MONTH(A6524)</f>
        <v>12</v>
      </c>
      <c r="H6524" s="38" t="n">
        <f aca="false">YEAR(Tabela1[[#This Row],[FECHA]])</f>
        <v>1900</v>
      </c>
      <c r="I65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25" customFormat="false" ht="15" hidden="false" customHeight="false" outlineLevel="0" collapsed="false">
      <c r="A6525" s="41"/>
      <c r="G6525" s="38" t="n">
        <f aca="false">MONTH(A6525)</f>
        <v>12</v>
      </c>
      <c r="H6525" s="38" t="n">
        <f aca="false">YEAR(Tabela1[[#This Row],[FECHA]])</f>
        <v>1900</v>
      </c>
      <c r="I65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26" customFormat="false" ht="15" hidden="false" customHeight="false" outlineLevel="0" collapsed="false">
      <c r="A6526" s="41"/>
      <c r="G6526" s="38" t="n">
        <f aca="false">MONTH(A6526)</f>
        <v>12</v>
      </c>
      <c r="H6526" s="38" t="n">
        <f aca="false">YEAR(Tabela1[[#This Row],[FECHA]])</f>
        <v>1900</v>
      </c>
      <c r="I65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27" customFormat="false" ht="15" hidden="false" customHeight="false" outlineLevel="0" collapsed="false">
      <c r="A6527" s="41"/>
      <c r="G6527" s="38" t="n">
        <f aca="false">MONTH(A6527)</f>
        <v>12</v>
      </c>
      <c r="H6527" s="38" t="n">
        <f aca="false">YEAR(Tabela1[[#This Row],[FECHA]])</f>
        <v>1900</v>
      </c>
      <c r="I65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28" customFormat="false" ht="15" hidden="false" customHeight="false" outlineLevel="0" collapsed="false">
      <c r="A6528" s="41"/>
      <c r="G6528" s="38" t="n">
        <f aca="false">MONTH(A6528)</f>
        <v>12</v>
      </c>
      <c r="H6528" s="38" t="n">
        <f aca="false">YEAR(Tabela1[[#This Row],[FECHA]])</f>
        <v>1900</v>
      </c>
      <c r="I65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29" customFormat="false" ht="15" hidden="false" customHeight="false" outlineLevel="0" collapsed="false">
      <c r="A6529" s="41"/>
      <c r="G6529" s="38" t="n">
        <f aca="false">MONTH(A6529)</f>
        <v>12</v>
      </c>
      <c r="H6529" s="38" t="n">
        <f aca="false">YEAR(Tabela1[[#This Row],[FECHA]])</f>
        <v>1900</v>
      </c>
      <c r="I65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30" customFormat="false" ht="15" hidden="false" customHeight="false" outlineLevel="0" collapsed="false">
      <c r="A6530" s="41"/>
      <c r="G6530" s="38" t="n">
        <f aca="false">MONTH(A6530)</f>
        <v>12</v>
      </c>
      <c r="H6530" s="38" t="n">
        <f aca="false">YEAR(Tabela1[[#This Row],[FECHA]])</f>
        <v>1900</v>
      </c>
      <c r="I65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31" customFormat="false" ht="15" hidden="false" customHeight="false" outlineLevel="0" collapsed="false">
      <c r="A6531" s="41"/>
      <c r="G6531" s="38" t="n">
        <f aca="false">MONTH(A6531)</f>
        <v>12</v>
      </c>
      <c r="H6531" s="38" t="n">
        <f aca="false">YEAR(Tabela1[[#This Row],[FECHA]])</f>
        <v>1900</v>
      </c>
      <c r="I65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32" customFormat="false" ht="15" hidden="false" customHeight="false" outlineLevel="0" collapsed="false">
      <c r="A6532" s="41"/>
      <c r="G6532" s="38" t="n">
        <f aca="false">MONTH(A6532)</f>
        <v>12</v>
      </c>
      <c r="H6532" s="38" t="n">
        <f aca="false">YEAR(Tabela1[[#This Row],[FECHA]])</f>
        <v>1900</v>
      </c>
      <c r="I65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33" customFormat="false" ht="15" hidden="false" customHeight="false" outlineLevel="0" collapsed="false">
      <c r="A6533" s="41"/>
      <c r="G6533" s="38" t="n">
        <f aca="false">MONTH(A6533)</f>
        <v>12</v>
      </c>
      <c r="H6533" s="38" t="n">
        <f aca="false">YEAR(Tabela1[[#This Row],[FECHA]])</f>
        <v>1900</v>
      </c>
      <c r="I65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34" customFormat="false" ht="15" hidden="false" customHeight="false" outlineLevel="0" collapsed="false">
      <c r="A6534" s="41"/>
      <c r="G6534" s="38" t="n">
        <f aca="false">MONTH(A6534)</f>
        <v>12</v>
      </c>
      <c r="H6534" s="38" t="n">
        <f aca="false">YEAR(Tabela1[[#This Row],[FECHA]])</f>
        <v>1900</v>
      </c>
      <c r="I65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35" customFormat="false" ht="15" hidden="false" customHeight="false" outlineLevel="0" collapsed="false">
      <c r="A6535" s="41"/>
      <c r="G6535" s="38" t="n">
        <f aca="false">MONTH(A6535)</f>
        <v>12</v>
      </c>
      <c r="H6535" s="38" t="n">
        <f aca="false">YEAR(Tabela1[[#This Row],[FECHA]])</f>
        <v>1900</v>
      </c>
      <c r="I65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36" customFormat="false" ht="15" hidden="false" customHeight="false" outlineLevel="0" collapsed="false">
      <c r="A6536" s="41"/>
      <c r="G6536" s="38" t="n">
        <f aca="false">MONTH(A6536)</f>
        <v>12</v>
      </c>
      <c r="H6536" s="38" t="n">
        <f aca="false">YEAR(Tabela1[[#This Row],[FECHA]])</f>
        <v>1900</v>
      </c>
      <c r="I65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37" customFormat="false" ht="15" hidden="false" customHeight="false" outlineLevel="0" collapsed="false">
      <c r="A6537" s="41"/>
      <c r="G6537" s="38" t="n">
        <f aca="false">MONTH(A6537)</f>
        <v>12</v>
      </c>
      <c r="H6537" s="38" t="n">
        <f aca="false">YEAR(Tabela1[[#This Row],[FECHA]])</f>
        <v>1900</v>
      </c>
      <c r="I65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38" customFormat="false" ht="15" hidden="false" customHeight="false" outlineLevel="0" collapsed="false">
      <c r="A6538" s="41"/>
      <c r="G6538" s="38" t="n">
        <f aca="false">MONTH(A6538)</f>
        <v>12</v>
      </c>
      <c r="H6538" s="38" t="n">
        <f aca="false">YEAR(Tabela1[[#This Row],[FECHA]])</f>
        <v>1900</v>
      </c>
      <c r="I65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39" customFormat="false" ht="15" hidden="false" customHeight="false" outlineLevel="0" collapsed="false">
      <c r="A6539" s="41"/>
      <c r="G6539" s="38" t="n">
        <f aca="false">MONTH(A6539)</f>
        <v>12</v>
      </c>
      <c r="H6539" s="38" t="n">
        <f aca="false">YEAR(Tabela1[[#This Row],[FECHA]])</f>
        <v>1900</v>
      </c>
      <c r="I65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40" customFormat="false" ht="15" hidden="false" customHeight="false" outlineLevel="0" collapsed="false">
      <c r="A6540" s="41"/>
      <c r="G6540" s="38" t="n">
        <f aca="false">MONTH(A6540)</f>
        <v>12</v>
      </c>
      <c r="H6540" s="38" t="n">
        <f aca="false">YEAR(Tabela1[[#This Row],[FECHA]])</f>
        <v>1900</v>
      </c>
      <c r="I65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41" customFormat="false" ht="15" hidden="false" customHeight="false" outlineLevel="0" collapsed="false">
      <c r="A6541" s="41"/>
      <c r="G6541" s="38" t="n">
        <f aca="false">MONTH(A6541)</f>
        <v>12</v>
      </c>
      <c r="H6541" s="38" t="n">
        <f aca="false">YEAR(Tabela1[[#This Row],[FECHA]])</f>
        <v>1900</v>
      </c>
      <c r="I65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42" customFormat="false" ht="15" hidden="false" customHeight="false" outlineLevel="0" collapsed="false">
      <c r="A6542" s="41"/>
      <c r="G6542" s="38" t="n">
        <f aca="false">MONTH(A6542)</f>
        <v>12</v>
      </c>
      <c r="H6542" s="38" t="n">
        <f aca="false">YEAR(Tabela1[[#This Row],[FECHA]])</f>
        <v>1900</v>
      </c>
      <c r="I65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43" customFormat="false" ht="15" hidden="false" customHeight="false" outlineLevel="0" collapsed="false">
      <c r="A6543" s="41"/>
      <c r="G6543" s="38" t="n">
        <f aca="false">MONTH(A6543)</f>
        <v>12</v>
      </c>
      <c r="H6543" s="38" t="n">
        <f aca="false">YEAR(Tabela1[[#This Row],[FECHA]])</f>
        <v>1900</v>
      </c>
      <c r="I65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44" customFormat="false" ht="15" hidden="false" customHeight="false" outlineLevel="0" collapsed="false">
      <c r="A6544" s="41"/>
      <c r="G6544" s="38" t="n">
        <f aca="false">MONTH(A6544)</f>
        <v>12</v>
      </c>
      <c r="H6544" s="38" t="n">
        <f aca="false">YEAR(Tabela1[[#This Row],[FECHA]])</f>
        <v>1900</v>
      </c>
      <c r="I65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45" customFormat="false" ht="15" hidden="false" customHeight="false" outlineLevel="0" collapsed="false">
      <c r="A6545" s="41"/>
      <c r="G6545" s="38" t="n">
        <f aca="false">MONTH(A6545)</f>
        <v>12</v>
      </c>
      <c r="H6545" s="38" t="n">
        <f aca="false">YEAR(Tabela1[[#This Row],[FECHA]])</f>
        <v>1900</v>
      </c>
      <c r="I65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46" customFormat="false" ht="15" hidden="false" customHeight="false" outlineLevel="0" collapsed="false">
      <c r="A6546" s="41"/>
      <c r="G6546" s="38" t="n">
        <f aca="false">MONTH(A6546)</f>
        <v>12</v>
      </c>
      <c r="H6546" s="38" t="n">
        <f aca="false">YEAR(Tabela1[[#This Row],[FECHA]])</f>
        <v>1900</v>
      </c>
      <c r="I65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47" customFormat="false" ht="15" hidden="false" customHeight="false" outlineLevel="0" collapsed="false">
      <c r="A6547" s="41"/>
      <c r="G6547" s="38" t="n">
        <f aca="false">MONTH(A6547)</f>
        <v>12</v>
      </c>
      <c r="H6547" s="38" t="n">
        <f aca="false">YEAR(Tabela1[[#This Row],[FECHA]])</f>
        <v>1900</v>
      </c>
      <c r="I65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48" customFormat="false" ht="15" hidden="false" customHeight="false" outlineLevel="0" collapsed="false">
      <c r="A6548" s="41"/>
      <c r="G6548" s="38" t="n">
        <f aca="false">MONTH(A6548)</f>
        <v>12</v>
      </c>
      <c r="H6548" s="38" t="n">
        <f aca="false">YEAR(Tabela1[[#This Row],[FECHA]])</f>
        <v>1900</v>
      </c>
      <c r="I65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49" customFormat="false" ht="15" hidden="false" customHeight="false" outlineLevel="0" collapsed="false">
      <c r="A6549" s="41"/>
      <c r="G6549" s="38" t="n">
        <f aca="false">MONTH(A6549)</f>
        <v>12</v>
      </c>
      <c r="H6549" s="38" t="n">
        <f aca="false">YEAR(Tabela1[[#This Row],[FECHA]])</f>
        <v>1900</v>
      </c>
      <c r="I65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50" customFormat="false" ht="15" hidden="false" customHeight="false" outlineLevel="0" collapsed="false">
      <c r="A6550" s="41"/>
      <c r="G6550" s="38" t="n">
        <f aca="false">MONTH(A6550)</f>
        <v>12</v>
      </c>
      <c r="H6550" s="38" t="n">
        <f aca="false">YEAR(Tabela1[[#This Row],[FECHA]])</f>
        <v>1900</v>
      </c>
      <c r="I65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51" customFormat="false" ht="15" hidden="false" customHeight="false" outlineLevel="0" collapsed="false">
      <c r="A6551" s="41"/>
      <c r="G6551" s="38" t="n">
        <f aca="false">MONTH(A6551)</f>
        <v>12</v>
      </c>
      <c r="H6551" s="38" t="n">
        <f aca="false">YEAR(Tabela1[[#This Row],[FECHA]])</f>
        <v>1900</v>
      </c>
      <c r="I65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52" customFormat="false" ht="15" hidden="false" customHeight="false" outlineLevel="0" collapsed="false">
      <c r="A6552" s="41"/>
      <c r="G6552" s="38" t="n">
        <f aca="false">MONTH(A6552)</f>
        <v>12</v>
      </c>
      <c r="H6552" s="38" t="n">
        <f aca="false">YEAR(Tabela1[[#This Row],[FECHA]])</f>
        <v>1900</v>
      </c>
      <c r="I65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53" customFormat="false" ht="15" hidden="false" customHeight="false" outlineLevel="0" collapsed="false">
      <c r="A6553" s="41"/>
      <c r="G6553" s="38" t="n">
        <f aca="false">MONTH(A6553)</f>
        <v>12</v>
      </c>
      <c r="H6553" s="38" t="n">
        <f aca="false">YEAR(Tabela1[[#This Row],[FECHA]])</f>
        <v>1900</v>
      </c>
      <c r="I65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54" customFormat="false" ht="15" hidden="false" customHeight="false" outlineLevel="0" collapsed="false">
      <c r="A6554" s="41"/>
      <c r="G6554" s="38" t="n">
        <f aca="false">MONTH(A6554)</f>
        <v>12</v>
      </c>
      <c r="H6554" s="38" t="n">
        <f aca="false">YEAR(Tabela1[[#This Row],[FECHA]])</f>
        <v>1900</v>
      </c>
      <c r="I65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55" customFormat="false" ht="15" hidden="false" customHeight="false" outlineLevel="0" collapsed="false">
      <c r="A6555" s="41"/>
      <c r="G6555" s="38" t="n">
        <f aca="false">MONTH(A6555)</f>
        <v>12</v>
      </c>
      <c r="H6555" s="38" t="n">
        <f aca="false">YEAR(Tabela1[[#This Row],[FECHA]])</f>
        <v>1900</v>
      </c>
      <c r="I65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56" customFormat="false" ht="15" hidden="false" customHeight="false" outlineLevel="0" collapsed="false">
      <c r="A6556" s="41"/>
      <c r="G6556" s="38" t="n">
        <f aca="false">MONTH(A6556)</f>
        <v>12</v>
      </c>
      <c r="H6556" s="38" t="n">
        <f aca="false">YEAR(Tabela1[[#This Row],[FECHA]])</f>
        <v>1900</v>
      </c>
      <c r="I65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57" customFormat="false" ht="15" hidden="false" customHeight="false" outlineLevel="0" collapsed="false">
      <c r="A6557" s="41"/>
      <c r="G6557" s="38" t="n">
        <f aca="false">MONTH(A6557)</f>
        <v>12</v>
      </c>
      <c r="H6557" s="38" t="n">
        <f aca="false">YEAR(Tabela1[[#This Row],[FECHA]])</f>
        <v>1900</v>
      </c>
      <c r="I65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58" customFormat="false" ht="15" hidden="false" customHeight="false" outlineLevel="0" collapsed="false">
      <c r="A6558" s="41"/>
      <c r="G6558" s="38" t="n">
        <f aca="false">MONTH(A6558)</f>
        <v>12</v>
      </c>
      <c r="H6558" s="38" t="n">
        <f aca="false">YEAR(Tabela1[[#This Row],[FECHA]])</f>
        <v>1900</v>
      </c>
      <c r="I65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59" customFormat="false" ht="15" hidden="false" customHeight="false" outlineLevel="0" collapsed="false">
      <c r="A6559" s="41"/>
      <c r="G6559" s="38" t="n">
        <f aca="false">MONTH(A6559)</f>
        <v>12</v>
      </c>
      <c r="H6559" s="38" t="n">
        <f aca="false">YEAR(Tabela1[[#This Row],[FECHA]])</f>
        <v>1900</v>
      </c>
      <c r="I65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60" customFormat="false" ht="15" hidden="false" customHeight="false" outlineLevel="0" collapsed="false">
      <c r="A6560" s="41"/>
      <c r="G6560" s="38" t="n">
        <f aca="false">MONTH(A6560)</f>
        <v>12</v>
      </c>
      <c r="H6560" s="38" t="n">
        <f aca="false">YEAR(Tabela1[[#This Row],[FECHA]])</f>
        <v>1900</v>
      </c>
      <c r="I65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61" customFormat="false" ht="15" hidden="false" customHeight="false" outlineLevel="0" collapsed="false">
      <c r="A6561" s="41"/>
      <c r="G6561" s="38" t="n">
        <f aca="false">MONTH(A6561)</f>
        <v>12</v>
      </c>
      <c r="H6561" s="38" t="n">
        <f aca="false">YEAR(Tabela1[[#This Row],[FECHA]])</f>
        <v>1900</v>
      </c>
      <c r="I65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62" customFormat="false" ht="15" hidden="false" customHeight="false" outlineLevel="0" collapsed="false">
      <c r="A6562" s="41"/>
      <c r="G6562" s="38" t="n">
        <f aca="false">MONTH(A6562)</f>
        <v>12</v>
      </c>
      <c r="H6562" s="38" t="n">
        <f aca="false">YEAR(Tabela1[[#This Row],[FECHA]])</f>
        <v>1900</v>
      </c>
      <c r="I65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63" customFormat="false" ht="15" hidden="false" customHeight="false" outlineLevel="0" collapsed="false">
      <c r="A6563" s="41"/>
      <c r="G6563" s="38" t="n">
        <f aca="false">MONTH(A6563)</f>
        <v>12</v>
      </c>
      <c r="H6563" s="38" t="n">
        <f aca="false">YEAR(Tabela1[[#This Row],[FECHA]])</f>
        <v>1900</v>
      </c>
      <c r="I65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64" customFormat="false" ht="15" hidden="false" customHeight="false" outlineLevel="0" collapsed="false">
      <c r="A6564" s="41"/>
      <c r="G6564" s="38" t="n">
        <f aca="false">MONTH(A6564)</f>
        <v>12</v>
      </c>
      <c r="H6564" s="38" t="n">
        <f aca="false">YEAR(Tabela1[[#This Row],[FECHA]])</f>
        <v>1900</v>
      </c>
      <c r="I65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65" customFormat="false" ht="15" hidden="false" customHeight="false" outlineLevel="0" collapsed="false">
      <c r="A6565" s="41"/>
      <c r="G6565" s="38" t="n">
        <f aca="false">MONTH(A6565)</f>
        <v>12</v>
      </c>
      <c r="H6565" s="38" t="n">
        <f aca="false">YEAR(Tabela1[[#This Row],[FECHA]])</f>
        <v>1900</v>
      </c>
      <c r="I65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66" customFormat="false" ht="15" hidden="false" customHeight="false" outlineLevel="0" collapsed="false">
      <c r="A6566" s="41"/>
      <c r="G6566" s="38" t="n">
        <f aca="false">MONTH(A6566)</f>
        <v>12</v>
      </c>
      <c r="H6566" s="38" t="n">
        <f aca="false">YEAR(Tabela1[[#This Row],[FECHA]])</f>
        <v>1900</v>
      </c>
      <c r="I65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67" customFormat="false" ht="15" hidden="false" customHeight="false" outlineLevel="0" collapsed="false">
      <c r="A6567" s="41"/>
      <c r="G6567" s="38" t="n">
        <f aca="false">MONTH(A6567)</f>
        <v>12</v>
      </c>
      <c r="H6567" s="38" t="n">
        <f aca="false">YEAR(Tabela1[[#This Row],[FECHA]])</f>
        <v>1900</v>
      </c>
      <c r="I65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68" customFormat="false" ht="15" hidden="false" customHeight="false" outlineLevel="0" collapsed="false">
      <c r="A6568" s="41"/>
      <c r="G6568" s="38" t="n">
        <f aca="false">MONTH(A6568)</f>
        <v>12</v>
      </c>
      <c r="H6568" s="38" t="n">
        <f aca="false">YEAR(Tabela1[[#This Row],[FECHA]])</f>
        <v>1900</v>
      </c>
      <c r="I65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69" customFormat="false" ht="15" hidden="false" customHeight="false" outlineLevel="0" collapsed="false">
      <c r="A6569" s="41"/>
      <c r="G6569" s="38" t="n">
        <f aca="false">MONTH(A6569)</f>
        <v>12</v>
      </c>
      <c r="H6569" s="38" t="n">
        <f aca="false">YEAR(Tabela1[[#This Row],[FECHA]])</f>
        <v>1900</v>
      </c>
      <c r="I65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70" customFormat="false" ht="15" hidden="false" customHeight="false" outlineLevel="0" collapsed="false">
      <c r="A6570" s="41"/>
      <c r="G6570" s="38" t="n">
        <f aca="false">MONTH(A6570)</f>
        <v>12</v>
      </c>
      <c r="H6570" s="38" t="n">
        <f aca="false">YEAR(Tabela1[[#This Row],[FECHA]])</f>
        <v>1900</v>
      </c>
      <c r="I65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71" customFormat="false" ht="15" hidden="false" customHeight="false" outlineLevel="0" collapsed="false">
      <c r="A6571" s="41"/>
      <c r="G6571" s="38" t="n">
        <f aca="false">MONTH(A6571)</f>
        <v>12</v>
      </c>
      <c r="H6571" s="38" t="n">
        <f aca="false">YEAR(Tabela1[[#This Row],[FECHA]])</f>
        <v>1900</v>
      </c>
      <c r="I65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72" customFormat="false" ht="15" hidden="false" customHeight="false" outlineLevel="0" collapsed="false">
      <c r="A6572" s="41"/>
      <c r="G6572" s="38" t="n">
        <f aca="false">MONTH(A6572)</f>
        <v>12</v>
      </c>
      <c r="H6572" s="38" t="n">
        <f aca="false">YEAR(Tabela1[[#This Row],[FECHA]])</f>
        <v>1900</v>
      </c>
      <c r="I65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73" customFormat="false" ht="15" hidden="false" customHeight="false" outlineLevel="0" collapsed="false">
      <c r="A6573" s="41"/>
      <c r="G6573" s="38" t="n">
        <f aca="false">MONTH(A6573)</f>
        <v>12</v>
      </c>
      <c r="H6573" s="38" t="n">
        <f aca="false">YEAR(Tabela1[[#This Row],[FECHA]])</f>
        <v>1900</v>
      </c>
      <c r="I65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74" customFormat="false" ht="15" hidden="false" customHeight="false" outlineLevel="0" collapsed="false">
      <c r="A6574" s="41"/>
      <c r="G6574" s="38" t="n">
        <f aca="false">MONTH(A6574)</f>
        <v>12</v>
      </c>
      <c r="H6574" s="38" t="n">
        <f aca="false">YEAR(Tabela1[[#This Row],[FECHA]])</f>
        <v>1900</v>
      </c>
      <c r="I65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75" customFormat="false" ht="15" hidden="false" customHeight="false" outlineLevel="0" collapsed="false">
      <c r="A6575" s="41"/>
      <c r="G6575" s="38" t="n">
        <f aca="false">MONTH(A6575)</f>
        <v>12</v>
      </c>
      <c r="H6575" s="38" t="n">
        <f aca="false">YEAR(Tabela1[[#This Row],[FECHA]])</f>
        <v>1900</v>
      </c>
      <c r="I65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76" customFormat="false" ht="15" hidden="false" customHeight="false" outlineLevel="0" collapsed="false">
      <c r="A6576" s="41"/>
      <c r="G6576" s="38" t="n">
        <f aca="false">MONTH(A6576)</f>
        <v>12</v>
      </c>
      <c r="H6576" s="38" t="n">
        <f aca="false">YEAR(Tabela1[[#This Row],[FECHA]])</f>
        <v>1900</v>
      </c>
      <c r="I65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77" customFormat="false" ht="15" hidden="false" customHeight="false" outlineLevel="0" collapsed="false">
      <c r="A6577" s="41"/>
      <c r="G6577" s="38" t="n">
        <f aca="false">MONTH(A6577)</f>
        <v>12</v>
      </c>
      <c r="H6577" s="38" t="n">
        <f aca="false">YEAR(Tabela1[[#This Row],[FECHA]])</f>
        <v>1900</v>
      </c>
      <c r="I65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78" customFormat="false" ht="15" hidden="false" customHeight="false" outlineLevel="0" collapsed="false">
      <c r="A6578" s="41"/>
      <c r="G6578" s="38" t="n">
        <f aca="false">MONTH(A6578)</f>
        <v>12</v>
      </c>
      <c r="H6578" s="38" t="n">
        <f aca="false">YEAR(Tabela1[[#This Row],[FECHA]])</f>
        <v>1900</v>
      </c>
      <c r="I65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79" customFormat="false" ht="15" hidden="false" customHeight="false" outlineLevel="0" collapsed="false">
      <c r="A6579" s="41"/>
      <c r="G6579" s="38" t="n">
        <f aca="false">MONTH(A6579)</f>
        <v>12</v>
      </c>
      <c r="H6579" s="38" t="n">
        <f aca="false">YEAR(Tabela1[[#This Row],[FECHA]])</f>
        <v>1900</v>
      </c>
      <c r="I65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80" customFormat="false" ht="15" hidden="false" customHeight="false" outlineLevel="0" collapsed="false">
      <c r="A6580" s="41"/>
      <c r="G6580" s="38" t="n">
        <f aca="false">MONTH(A6580)</f>
        <v>12</v>
      </c>
      <c r="H6580" s="38" t="n">
        <f aca="false">YEAR(Tabela1[[#This Row],[FECHA]])</f>
        <v>1900</v>
      </c>
      <c r="I65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81" customFormat="false" ht="15" hidden="false" customHeight="false" outlineLevel="0" collapsed="false">
      <c r="A6581" s="41"/>
      <c r="G6581" s="38" t="n">
        <f aca="false">MONTH(A6581)</f>
        <v>12</v>
      </c>
      <c r="H6581" s="38" t="n">
        <f aca="false">YEAR(Tabela1[[#This Row],[FECHA]])</f>
        <v>1900</v>
      </c>
      <c r="I65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82" customFormat="false" ht="15" hidden="false" customHeight="false" outlineLevel="0" collapsed="false">
      <c r="A6582" s="41"/>
      <c r="G6582" s="38" t="n">
        <f aca="false">MONTH(A6582)</f>
        <v>12</v>
      </c>
      <c r="H6582" s="38" t="n">
        <f aca="false">YEAR(Tabela1[[#This Row],[FECHA]])</f>
        <v>1900</v>
      </c>
      <c r="I65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83" customFormat="false" ht="15" hidden="false" customHeight="false" outlineLevel="0" collapsed="false">
      <c r="A6583" s="41"/>
      <c r="G6583" s="38" t="n">
        <f aca="false">MONTH(A6583)</f>
        <v>12</v>
      </c>
      <c r="H6583" s="38" t="n">
        <f aca="false">YEAR(Tabela1[[#This Row],[FECHA]])</f>
        <v>1900</v>
      </c>
      <c r="I65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84" customFormat="false" ht="15" hidden="false" customHeight="false" outlineLevel="0" collapsed="false">
      <c r="A6584" s="41"/>
      <c r="G6584" s="38" t="n">
        <f aca="false">MONTH(A6584)</f>
        <v>12</v>
      </c>
      <c r="H6584" s="38" t="n">
        <f aca="false">YEAR(Tabela1[[#This Row],[FECHA]])</f>
        <v>1900</v>
      </c>
      <c r="I65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85" customFormat="false" ht="15" hidden="false" customHeight="false" outlineLevel="0" collapsed="false">
      <c r="A6585" s="41"/>
      <c r="G6585" s="38" t="n">
        <f aca="false">MONTH(A6585)</f>
        <v>12</v>
      </c>
      <c r="H6585" s="38" t="n">
        <f aca="false">YEAR(Tabela1[[#This Row],[FECHA]])</f>
        <v>1900</v>
      </c>
      <c r="I65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86" customFormat="false" ht="15" hidden="false" customHeight="false" outlineLevel="0" collapsed="false">
      <c r="A6586" s="41"/>
      <c r="G6586" s="38" t="n">
        <f aca="false">MONTH(A6586)</f>
        <v>12</v>
      </c>
      <c r="H6586" s="38" t="n">
        <f aca="false">YEAR(Tabela1[[#This Row],[FECHA]])</f>
        <v>1900</v>
      </c>
      <c r="I65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87" customFormat="false" ht="15" hidden="false" customHeight="false" outlineLevel="0" collapsed="false">
      <c r="A6587" s="41"/>
      <c r="G6587" s="38" t="n">
        <f aca="false">MONTH(A6587)</f>
        <v>12</v>
      </c>
      <c r="H6587" s="38" t="n">
        <f aca="false">YEAR(Tabela1[[#This Row],[FECHA]])</f>
        <v>1900</v>
      </c>
      <c r="I65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88" customFormat="false" ht="15" hidden="false" customHeight="false" outlineLevel="0" collapsed="false">
      <c r="A6588" s="41"/>
      <c r="G6588" s="38" t="n">
        <f aca="false">MONTH(A6588)</f>
        <v>12</v>
      </c>
      <c r="H6588" s="38" t="n">
        <f aca="false">YEAR(Tabela1[[#This Row],[FECHA]])</f>
        <v>1900</v>
      </c>
      <c r="I65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89" customFormat="false" ht="15" hidden="false" customHeight="false" outlineLevel="0" collapsed="false">
      <c r="A6589" s="41"/>
      <c r="G6589" s="38" t="n">
        <f aca="false">MONTH(A6589)</f>
        <v>12</v>
      </c>
      <c r="H6589" s="38" t="n">
        <f aca="false">YEAR(Tabela1[[#This Row],[FECHA]])</f>
        <v>1900</v>
      </c>
      <c r="I65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90" customFormat="false" ht="15" hidden="false" customHeight="false" outlineLevel="0" collapsed="false">
      <c r="A6590" s="41"/>
      <c r="G6590" s="38" t="n">
        <f aca="false">MONTH(A6590)</f>
        <v>12</v>
      </c>
      <c r="H6590" s="38" t="n">
        <f aca="false">YEAR(Tabela1[[#This Row],[FECHA]])</f>
        <v>1900</v>
      </c>
      <c r="I65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91" customFormat="false" ht="15" hidden="false" customHeight="false" outlineLevel="0" collapsed="false">
      <c r="A6591" s="41"/>
      <c r="G6591" s="38" t="n">
        <f aca="false">MONTH(A6591)</f>
        <v>12</v>
      </c>
      <c r="H6591" s="38" t="n">
        <f aca="false">YEAR(Tabela1[[#This Row],[FECHA]])</f>
        <v>1900</v>
      </c>
      <c r="I65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92" customFormat="false" ht="15" hidden="false" customHeight="false" outlineLevel="0" collapsed="false">
      <c r="A6592" s="41"/>
      <c r="G6592" s="38" t="n">
        <f aca="false">MONTH(A6592)</f>
        <v>12</v>
      </c>
      <c r="H6592" s="38" t="n">
        <f aca="false">YEAR(Tabela1[[#This Row],[FECHA]])</f>
        <v>1900</v>
      </c>
      <c r="I65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93" customFormat="false" ht="15" hidden="false" customHeight="false" outlineLevel="0" collapsed="false">
      <c r="A6593" s="41"/>
      <c r="G6593" s="38" t="n">
        <f aca="false">MONTH(A6593)</f>
        <v>12</v>
      </c>
      <c r="H6593" s="38" t="n">
        <f aca="false">YEAR(Tabela1[[#This Row],[FECHA]])</f>
        <v>1900</v>
      </c>
      <c r="I65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94" customFormat="false" ht="15" hidden="false" customHeight="false" outlineLevel="0" collapsed="false">
      <c r="A6594" s="41"/>
      <c r="G6594" s="38" t="n">
        <f aca="false">MONTH(A6594)</f>
        <v>12</v>
      </c>
      <c r="H6594" s="38" t="n">
        <f aca="false">YEAR(Tabela1[[#This Row],[FECHA]])</f>
        <v>1900</v>
      </c>
      <c r="I65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95" customFormat="false" ht="15" hidden="false" customHeight="false" outlineLevel="0" collapsed="false">
      <c r="A6595" s="41"/>
      <c r="G6595" s="38" t="n">
        <f aca="false">MONTH(A6595)</f>
        <v>12</v>
      </c>
      <c r="H6595" s="38" t="n">
        <f aca="false">YEAR(Tabela1[[#This Row],[FECHA]])</f>
        <v>1900</v>
      </c>
      <c r="I65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96" customFormat="false" ht="15" hidden="false" customHeight="false" outlineLevel="0" collapsed="false">
      <c r="A6596" s="41"/>
      <c r="G6596" s="38" t="n">
        <f aca="false">MONTH(A6596)</f>
        <v>12</v>
      </c>
      <c r="H6596" s="38" t="n">
        <f aca="false">YEAR(Tabela1[[#This Row],[FECHA]])</f>
        <v>1900</v>
      </c>
      <c r="I65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97" customFormat="false" ht="15" hidden="false" customHeight="false" outlineLevel="0" collapsed="false">
      <c r="A6597" s="41"/>
      <c r="G6597" s="38" t="n">
        <f aca="false">MONTH(A6597)</f>
        <v>12</v>
      </c>
      <c r="H6597" s="38" t="n">
        <f aca="false">YEAR(Tabela1[[#This Row],[FECHA]])</f>
        <v>1900</v>
      </c>
      <c r="I65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98" customFormat="false" ht="15" hidden="false" customHeight="false" outlineLevel="0" collapsed="false">
      <c r="A6598" s="41"/>
      <c r="G6598" s="38" t="n">
        <f aca="false">MONTH(A6598)</f>
        <v>12</v>
      </c>
      <c r="H6598" s="38" t="n">
        <f aca="false">YEAR(Tabela1[[#This Row],[FECHA]])</f>
        <v>1900</v>
      </c>
      <c r="I65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599" customFormat="false" ht="15" hidden="false" customHeight="false" outlineLevel="0" collapsed="false">
      <c r="A6599" s="41"/>
      <c r="G6599" s="38" t="n">
        <f aca="false">MONTH(A6599)</f>
        <v>12</v>
      </c>
      <c r="H6599" s="38" t="n">
        <f aca="false">YEAR(Tabela1[[#This Row],[FECHA]])</f>
        <v>1900</v>
      </c>
      <c r="I65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00" customFormat="false" ht="15" hidden="false" customHeight="false" outlineLevel="0" collapsed="false">
      <c r="A6600" s="41"/>
      <c r="G6600" s="38" t="n">
        <f aca="false">MONTH(A6600)</f>
        <v>12</v>
      </c>
      <c r="H6600" s="38" t="n">
        <f aca="false">YEAR(Tabela1[[#This Row],[FECHA]])</f>
        <v>1900</v>
      </c>
      <c r="I66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01" customFormat="false" ht="15" hidden="false" customHeight="false" outlineLevel="0" collapsed="false">
      <c r="A6601" s="41"/>
      <c r="G6601" s="38" t="n">
        <f aca="false">MONTH(A6601)</f>
        <v>12</v>
      </c>
      <c r="H6601" s="38" t="n">
        <f aca="false">YEAR(Tabela1[[#This Row],[FECHA]])</f>
        <v>1900</v>
      </c>
      <c r="I66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02" customFormat="false" ht="15" hidden="false" customHeight="false" outlineLevel="0" collapsed="false">
      <c r="A6602" s="41"/>
      <c r="G6602" s="38" t="n">
        <f aca="false">MONTH(A6602)</f>
        <v>12</v>
      </c>
      <c r="H6602" s="38" t="n">
        <f aca="false">YEAR(Tabela1[[#This Row],[FECHA]])</f>
        <v>1900</v>
      </c>
      <c r="I66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03" customFormat="false" ht="15" hidden="false" customHeight="false" outlineLevel="0" collapsed="false">
      <c r="A6603" s="41"/>
      <c r="G6603" s="38" t="n">
        <f aca="false">MONTH(A6603)</f>
        <v>12</v>
      </c>
      <c r="H6603" s="38" t="n">
        <f aca="false">YEAR(Tabela1[[#This Row],[FECHA]])</f>
        <v>1900</v>
      </c>
      <c r="I66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04" customFormat="false" ht="15" hidden="false" customHeight="false" outlineLevel="0" collapsed="false">
      <c r="A6604" s="41"/>
      <c r="G6604" s="38" t="n">
        <f aca="false">MONTH(A6604)</f>
        <v>12</v>
      </c>
      <c r="H6604" s="38" t="n">
        <f aca="false">YEAR(Tabela1[[#This Row],[FECHA]])</f>
        <v>1900</v>
      </c>
      <c r="I66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05" customFormat="false" ht="15" hidden="false" customHeight="false" outlineLevel="0" collapsed="false">
      <c r="A6605" s="41"/>
      <c r="G6605" s="38" t="n">
        <f aca="false">MONTH(A6605)</f>
        <v>12</v>
      </c>
      <c r="H6605" s="38" t="n">
        <f aca="false">YEAR(Tabela1[[#This Row],[FECHA]])</f>
        <v>1900</v>
      </c>
      <c r="I66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06" customFormat="false" ht="15" hidden="false" customHeight="false" outlineLevel="0" collapsed="false">
      <c r="A6606" s="41"/>
      <c r="G6606" s="38" t="n">
        <f aca="false">MONTH(A6606)</f>
        <v>12</v>
      </c>
      <c r="H6606" s="38" t="n">
        <f aca="false">YEAR(Tabela1[[#This Row],[FECHA]])</f>
        <v>1900</v>
      </c>
      <c r="I66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07" customFormat="false" ht="15" hidden="false" customHeight="false" outlineLevel="0" collapsed="false">
      <c r="A6607" s="41"/>
      <c r="G6607" s="38" t="n">
        <f aca="false">MONTH(A6607)</f>
        <v>12</v>
      </c>
      <c r="H6607" s="38" t="n">
        <f aca="false">YEAR(Tabela1[[#This Row],[FECHA]])</f>
        <v>1900</v>
      </c>
      <c r="I66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08" customFormat="false" ht="15" hidden="false" customHeight="false" outlineLevel="0" collapsed="false">
      <c r="A6608" s="41"/>
      <c r="G6608" s="38" t="n">
        <f aca="false">MONTH(A6608)</f>
        <v>12</v>
      </c>
      <c r="H6608" s="38" t="n">
        <f aca="false">YEAR(Tabela1[[#This Row],[FECHA]])</f>
        <v>1900</v>
      </c>
      <c r="I66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09" customFormat="false" ht="15" hidden="false" customHeight="false" outlineLevel="0" collapsed="false">
      <c r="A6609" s="41"/>
      <c r="G6609" s="38" t="n">
        <f aca="false">MONTH(A6609)</f>
        <v>12</v>
      </c>
      <c r="H6609" s="38" t="n">
        <f aca="false">YEAR(Tabela1[[#This Row],[FECHA]])</f>
        <v>1900</v>
      </c>
      <c r="I66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10" customFormat="false" ht="15" hidden="false" customHeight="false" outlineLevel="0" collapsed="false">
      <c r="A6610" s="41"/>
      <c r="G6610" s="38" t="n">
        <f aca="false">MONTH(A6610)</f>
        <v>12</v>
      </c>
      <c r="H6610" s="38" t="n">
        <f aca="false">YEAR(Tabela1[[#This Row],[FECHA]])</f>
        <v>1900</v>
      </c>
      <c r="I66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11" customFormat="false" ht="15" hidden="false" customHeight="false" outlineLevel="0" collapsed="false">
      <c r="A6611" s="41"/>
      <c r="G6611" s="38" t="n">
        <f aca="false">MONTH(A6611)</f>
        <v>12</v>
      </c>
      <c r="H6611" s="38" t="n">
        <f aca="false">YEAR(Tabela1[[#This Row],[FECHA]])</f>
        <v>1900</v>
      </c>
      <c r="I66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12" customFormat="false" ht="15" hidden="false" customHeight="false" outlineLevel="0" collapsed="false">
      <c r="A6612" s="41"/>
      <c r="G6612" s="38" t="n">
        <f aca="false">MONTH(A6612)</f>
        <v>12</v>
      </c>
      <c r="H6612" s="38" t="n">
        <f aca="false">YEAR(Tabela1[[#This Row],[FECHA]])</f>
        <v>1900</v>
      </c>
      <c r="I66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13" customFormat="false" ht="15" hidden="false" customHeight="false" outlineLevel="0" collapsed="false">
      <c r="A6613" s="41"/>
      <c r="G6613" s="38" t="n">
        <f aca="false">MONTH(A6613)</f>
        <v>12</v>
      </c>
      <c r="H6613" s="38" t="n">
        <f aca="false">YEAR(Tabela1[[#This Row],[FECHA]])</f>
        <v>1900</v>
      </c>
      <c r="I66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14" customFormat="false" ht="15" hidden="false" customHeight="false" outlineLevel="0" collapsed="false">
      <c r="A6614" s="41"/>
      <c r="G6614" s="38" t="n">
        <f aca="false">MONTH(A6614)</f>
        <v>12</v>
      </c>
      <c r="H6614" s="38" t="n">
        <f aca="false">YEAR(Tabela1[[#This Row],[FECHA]])</f>
        <v>1900</v>
      </c>
      <c r="I66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15" customFormat="false" ht="15" hidden="false" customHeight="false" outlineLevel="0" collapsed="false">
      <c r="A6615" s="41"/>
      <c r="G6615" s="38" t="n">
        <f aca="false">MONTH(A6615)</f>
        <v>12</v>
      </c>
      <c r="H6615" s="38" t="n">
        <f aca="false">YEAR(Tabela1[[#This Row],[FECHA]])</f>
        <v>1900</v>
      </c>
      <c r="I66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16" customFormat="false" ht="15" hidden="false" customHeight="false" outlineLevel="0" collapsed="false">
      <c r="A6616" s="41"/>
      <c r="G6616" s="38" t="n">
        <f aca="false">MONTH(A6616)</f>
        <v>12</v>
      </c>
      <c r="H6616" s="38" t="n">
        <f aca="false">YEAR(Tabela1[[#This Row],[FECHA]])</f>
        <v>1900</v>
      </c>
      <c r="I66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17" customFormat="false" ht="15" hidden="false" customHeight="false" outlineLevel="0" collapsed="false">
      <c r="A6617" s="41"/>
      <c r="G6617" s="38" t="n">
        <f aca="false">MONTH(A6617)</f>
        <v>12</v>
      </c>
      <c r="H6617" s="38" t="n">
        <f aca="false">YEAR(Tabela1[[#This Row],[FECHA]])</f>
        <v>1900</v>
      </c>
      <c r="I66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18" customFormat="false" ht="15" hidden="false" customHeight="false" outlineLevel="0" collapsed="false">
      <c r="A6618" s="41"/>
      <c r="G6618" s="38" t="n">
        <f aca="false">MONTH(A6618)</f>
        <v>12</v>
      </c>
      <c r="H6618" s="38" t="n">
        <f aca="false">YEAR(Tabela1[[#This Row],[FECHA]])</f>
        <v>1900</v>
      </c>
      <c r="I66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19" customFormat="false" ht="15" hidden="false" customHeight="false" outlineLevel="0" collapsed="false">
      <c r="A6619" s="41"/>
      <c r="G6619" s="38" t="n">
        <f aca="false">MONTH(A6619)</f>
        <v>12</v>
      </c>
      <c r="H6619" s="38" t="n">
        <f aca="false">YEAR(Tabela1[[#This Row],[FECHA]])</f>
        <v>1900</v>
      </c>
      <c r="I66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20" customFormat="false" ht="15" hidden="false" customHeight="false" outlineLevel="0" collapsed="false">
      <c r="A6620" s="41"/>
      <c r="G6620" s="38" t="n">
        <f aca="false">MONTH(A6620)</f>
        <v>12</v>
      </c>
      <c r="H6620" s="38" t="n">
        <f aca="false">YEAR(Tabela1[[#This Row],[FECHA]])</f>
        <v>1900</v>
      </c>
      <c r="I66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21" customFormat="false" ht="15" hidden="false" customHeight="false" outlineLevel="0" collapsed="false">
      <c r="A6621" s="41"/>
      <c r="G6621" s="38" t="n">
        <f aca="false">MONTH(A6621)</f>
        <v>12</v>
      </c>
      <c r="H6621" s="38" t="n">
        <f aca="false">YEAR(Tabela1[[#This Row],[FECHA]])</f>
        <v>1900</v>
      </c>
      <c r="I66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22" customFormat="false" ht="15" hidden="false" customHeight="false" outlineLevel="0" collapsed="false">
      <c r="A6622" s="41"/>
      <c r="G6622" s="38" t="n">
        <f aca="false">MONTH(A6622)</f>
        <v>12</v>
      </c>
      <c r="H6622" s="38" t="n">
        <f aca="false">YEAR(Tabela1[[#This Row],[FECHA]])</f>
        <v>1900</v>
      </c>
      <c r="I66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23" customFormat="false" ht="15" hidden="false" customHeight="false" outlineLevel="0" collapsed="false">
      <c r="A6623" s="41"/>
      <c r="G6623" s="38" t="n">
        <f aca="false">MONTH(A6623)</f>
        <v>12</v>
      </c>
      <c r="H6623" s="38" t="n">
        <f aca="false">YEAR(Tabela1[[#This Row],[FECHA]])</f>
        <v>1900</v>
      </c>
      <c r="I66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24" customFormat="false" ht="15" hidden="false" customHeight="false" outlineLevel="0" collapsed="false">
      <c r="A6624" s="41"/>
      <c r="G6624" s="38" t="n">
        <f aca="false">MONTH(A6624)</f>
        <v>12</v>
      </c>
      <c r="H6624" s="38" t="n">
        <f aca="false">YEAR(Tabela1[[#This Row],[FECHA]])</f>
        <v>1900</v>
      </c>
      <c r="I66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25" customFormat="false" ht="15" hidden="false" customHeight="false" outlineLevel="0" collapsed="false">
      <c r="A6625" s="41"/>
      <c r="G6625" s="38" t="n">
        <f aca="false">MONTH(A6625)</f>
        <v>12</v>
      </c>
      <c r="H6625" s="38" t="n">
        <f aca="false">YEAR(Tabela1[[#This Row],[FECHA]])</f>
        <v>1900</v>
      </c>
      <c r="I66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26" customFormat="false" ht="15" hidden="false" customHeight="false" outlineLevel="0" collapsed="false">
      <c r="A6626" s="41"/>
      <c r="G6626" s="38" t="n">
        <f aca="false">MONTH(A6626)</f>
        <v>12</v>
      </c>
      <c r="H6626" s="38" t="n">
        <f aca="false">YEAR(Tabela1[[#This Row],[FECHA]])</f>
        <v>1900</v>
      </c>
      <c r="I66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27" customFormat="false" ht="15" hidden="false" customHeight="false" outlineLevel="0" collapsed="false">
      <c r="A6627" s="41"/>
      <c r="G6627" s="38" t="n">
        <f aca="false">MONTH(A6627)</f>
        <v>12</v>
      </c>
      <c r="H6627" s="38" t="n">
        <f aca="false">YEAR(Tabela1[[#This Row],[FECHA]])</f>
        <v>1900</v>
      </c>
      <c r="I66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28" customFormat="false" ht="15" hidden="false" customHeight="false" outlineLevel="0" collapsed="false">
      <c r="A6628" s="41"/>
      <c r="G6628" s="38" t="n">
        <f aca="false">MONTH(A6628)</f>
        <v>12</v>
      </c>
      <c r="H6628" s="38" t="n">
        <f aca="false">YEAR(Tabela1[[#This Row],[FECHA]])</f>
        <v>1900</v>
      </c>
      <c r="I66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29" customFormat="false" ht="15" hidden="false" customHeight="false" outlineLevel="0" collapsed="false">
      <c r="A6629" s="41"/>
      <c r="G6629" s="38" t="n">
        <f aca="false">MONTH(A6629)</f>
        <v>12</v>
      </c>
      <c r="H6629" s="38" t="n">
        <f aca="false">YEAR(Tabela1[[#This Row],[FECHA]])</f>
        <v>1900</v>
      </c>
      <c r="I66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30" customFormat="false" ht="15" hidden="false" customHeight="false" outlineLevel="0" collapsed="false">
      <c r="A6630" s="41"/>
      <c r="G6630" s="38" t="n">
        <f aca="false">MONTH(A6630)</f>
        <v>12</v>
      </c>
      <c r="H6630" s="38" t="n">
        <f aca="false">YEAR(Tabela1[[#This Row],[FECHA]])</f>
        <v>1900</v>
      </c>
      <c r="I66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31" customFormat="false" ht="15" hidden="false" customHeight="false" outlineLevel="0" collapsed="false">
      <c r="A6631" s="41"/>
      <c r="G6631" s="38" t="n">
        <f aca="false">MONTH(A6631)</f>
        <v>12</v>
      </c>
      <c r="H6631" s="38" t="n">
        <f aca="false">YEAR(Tabela1[[#This Row],[FECHA]])</f>
        <v>1900</v>
      </c>
      <c r="I66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32" customFormat="false" ht="15" hidden="false" customHeight="false" outlineLevel="0" collapsed="false">
      <c r="A6632" s="41"/>
      <c r="G6632" s="38" t="n">
        <f aca="false">MONTH(A6632)</f>
        <v>12</v>
      </c>
      <c r="H6632" s="38" t="n">
        <f aca="false">YEAR(Tabela1[[#This Row],[FECHA]])</f>
        <v>1900</v>
      </c>
      <c r="I66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33" customFormat="false" ht="15" hidden="false" customHeight="false" outlineLevel="0" collapsed="false">
      <c r="A6633" s="41"/>
      <c r="G6633" s="38" t="n">
        <f aca="false">MONTH(A6633)</f>
        <v>12</v>
      </c>
      <c r="H6633" s="38" t="n">
        <f aca="false">YEAR(Tabela1[[#This Row],[FECHA]])</f>
        <v>1900</v>
      </c>
      <c r="I66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34" customFormat="false" ht="15" hidden="false" customHeight="false" outlineLevel="0" collapsed="false">
      <c r="A6634" s="41"/>
      <c r="G6634" s="38" t="n">
        <f aca="false">MONTH(A6634)</f>
        <v>12</v>
      </c>
      <c r="H6634" s="38" t="n">
        <f aca="false">YEAR(Tabela1[[#This Row],[FECHA]])</f>
        <v>1900</v>
      </c>
      <c r="I66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35" customFormat="false" ht="15" hidden="false" customHeight="false" outlineLevel="0" collapsed="false">
      <c r="A6635" s="41"/>
      <c r="G6635" s="38" t="n">
        <f aca="false">MONTH(A6635)</f>
        <v>12</v>
      </c>
      <c r="H6635" s="38" t="n">
        <f aca="false">YEAR(Tabela1[[#This Row],[FECHA]])</f>
        <v>1900</v>
      </c>
      <c r="I66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36" customFormat="false" ht="15" hidden="false" customHeight="false" outlineLevel="0" collapsed="false">
      <c r="A6636" s="41"/>
      <c r="G6636" s="38" t="n">
        <f aca="false">MONTH(A6636)</f>
        <v>12</v>
      </c>
      <c r="H6636" s="38" t="n">
        <f aca="false">YEAR(Tabela1[[#This Row],[FECHA]])</f>
        <v>1900</v>
      </c>
      <c r="I66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37" customFormat="false" ht="15" hidden="false" customHeight="false" outlineLevel="0" collapsed="false">
      <c r="A6637" s="41"/>
      <c r="G6637" s="38" t="n">
        <f aca="false">MONTH(A6637)</f>
        <v>12</v>
      </c>
      <c r="H6637" s="38" t="n">
        <f aca="false">YEAR(Tabela1[[#This Row],[FECHA]])</f>
        <v>1900</v>
      </c>
      <c r="I66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38" customFormat="false" ht="15" hidden="false" customHeight="false" outlineLevel="0" collapsed="false">
      <c r="A6638" s="41"/>
      <c r="G6638" s="38" t="n">
        <f aca="false">MONTH(A6638)</f>
        <v>12</v>
      </c>
      <c r="H6638" s="38" t="n">
        <f aca="false">YEAR(Tabela1[[#This Row],[FECHA]])</f>
        <v>1900</v>
      </c>
      <c r="I66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39" customFormat="false" ht="15" hidden="false" customHeight="false" outlineLevel="0" collapsed="false">
      <c r="A6639" s="41"/>
      <c r="G6639" s="38" t="n">
        <f aca="false">MONTH(A6639)</f>
        <v>12</v>
      </c>
      <c r="H6639" s="38" t="n">
        <f aca="false">YEAR(Tabela1[[#This Row],[FECHA]])</f>
        <v>1900</v>
      </c>
      <c r="I66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40" customFormat="false" ht="15" hidden="false" customHeight="false" outlineLevel="0" collapsed="false">
      <c r="A6640" s="41"/>
      <c r="G6640" s="38" t="n">
        <f aca="false">MONTH(A6640)</f>
        <v>12</v>
      </c>
      <c r="H6640" s="38" t="n">
        <f aca="false">YEAR(Tabela1[[#This Row],[FECHA]])</f>
        <v>1900</v>
      </c>
      <c r="I66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41" customFormat="false" ht="15" hidden="false" customHeight="false" outlineLevel="0" collapsed="false">
      <c r="A6641" s="41"/>
      <c r="G6641" s="38" t="n">
        <f aca="false">MONTH(A6641)</f>
        <v>12</v>
      </c>
      <c r="H6641" s="38" t="n">
        <f aca="false">YEAR(Tabela1[[#This Row],[FECHA]])</f>
        <v>1900</v>
      </c>
      <c r="I66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42" customFormat="false" ht="15" hidden="false" customHeight="false" outlineLevel="0" collapsed="false">
      <c r="A6642" s="41"/>
      <c r="G6642" s="38" t="n">
        <f aca="false">MONTH(A6642)</f>
        <v>12</v>
      </c>
      <c r="H6642" s="38" t="n">
        <f aca="false">YEAR(Tabela1[[#This Row],[FECHA]])</f>
        <v>1900</v>
      </c>
      <c r="I66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43" customFormat="false" ht="15" hidden="false" customHeight="false" outlineLevel="0" collapsed="false">
      <c r="A6643" s="41"/>
      <c r="G6643" s="38" t="n">
        <f aca="false">MONTH(A6643)</f>
        <v>12</v>
      </c>
      <c r="H6643" s="38" t="n">
        <f aca="false">YEAR(Tabela1[[#This Row],[FECHA]])</f>
        <v>1900</v>
      </c>
      <c r="I66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44" customFormat="false" ht="15" hidden="false" customHeight="false" outlineLevel="0" collapsed="false">
      <c r="A6644" s="41"/>
      <c r="G6644" s="38" t="n">
        <f aca="false">MONTH(A6644)</f>
        <v>12</v>
      </c>
      <c r="H6644" s="38" t="n">
        <f aca="false">YEAR(Tabela1[[#This Row],[FECHA]])</f>
        <v>1900</v>
      </c>
      <c r="I66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45" customFormat="false" ht="15" hidden="false" customHeight="false" outlineLevel="0" collapsed="false">
      <c r="A6645" s="41"/>
      <c r="G6645" s="38" t="n">
        <f aca="false">MONTH(A6645)</f>
        <v>12</v>
      </c>
      <c r="H6645" s="38" t="n">
        <f aca="false">YEAR(Tabela1[[#This Row],[FECHA]])</f>
        <v>1900</v>
      </c>
      <c r="I66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46" customFormat="false" ht="15" hidden="false" customHeight="false" outlineLevel="0" collapsed="false">
      <c r="A6646" s="41"/>
      <c r="G6646" s="38" t="n">
        <f aca="false">MONTH(A6646)</f>
        <v>12</v>
      </c>
      <c r="H6646" s="38" t="n">
        <f aca="false">YEAR(Tabela1[[#This Row],[FECHA]])</f>
        <v>1900</v>
      </c>
      <c r="I66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47" customFormat="false" ht="15" hidden="false" customHeight="false" outlineLevel="0" collapsed="false">
      <c r="A6647" s="41"/>
      <c r="G6647" s="38" t="n">
        <f aca="false">MONTH(A6647)</f>
        <v>12</v>
      </c>
      <c r="H6647" s="38" t="n">
        <f aca="false">YEAR(Tabela1[[#This Row],[FECHA]])</f>
        <v>1900</v>
      </c>
      <c r="I66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48" customFormat="false" ht="15" hidden="false" customHeight="false" outlineLevel="0" collapsed="false">
      <c r="A6648" s="41"/>
      <c r="G6648" s="38" t="n">
        <f aca="false">MONTH(A6648)</f>
        <v>12</v>
      </c>
      <c r="H6648" s="38" t="n">
        <f aca="false">YEAR(Tabela1[[#This Row],[FECHA]])</f>
        <v>1900</v>
      </c>
      <c r="I66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49" customFormat="false" ht="15" hidden="false" customHeight="false" outlineLevel="0" collapsed="false">
      <c r="A6649" s="41"/>
      <c r="G6649" s="38" t="n">
        <f aca="false">MONTH(A6649)</f>
        <v>12</v>
      </c>
      <c r="H6649" s="38" t="n">
        <f aca="false">YEAR(Tabela1[[#This Row],[FECHA]])</f>
        <v>1900</v>
      </c>
      <c r="I66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50" customFormat="false" ht="15" hidden="false" customHeight="false" outlineLevel="0" collapsed="false">
      <c r="A6650" s="41"/>
      <c r="G6650" s="38" t="n">
        <f aca="false">MONTH(A6650)</f>
        <v>12</v>
      </c>
      <c r="H6650" s="38" t="n">
        <f aca="false">YEAR(Tabela1[[#This Row],[FECHA]])</f>
        <v>1900</v>
      </c>
      <c r="I66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51" customFormat="false" ht="15" hidden="false" customHeight="false" outlineLevel="0" collapsed="false">
      <c r="A6651" s="41"/>
      <c r="G6651" s="38" t="n">
        <f aca="false">MONTH(A6651)</f>
        <v>12</v>
      </c>
      <c r="H6651" s="38" t="n">
        <f aca="false">YEAR(Tabela1[[#This Row],[FECHA]])</f>
        <v>1900</v>
      </c>
      <c r="I66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52" customFormat="false" ht="15" hidden="false" customHeight="false" outlineLevel="0" collapsed="false">
      <c r="A6652" s="41"/>
      <c r="G6652" s="38" t="n">
        <f aca="false">MONTH(A6652)</f>
        <v>12</v>
      </c>
      <c r="H6652" s="38" t="n">
        <f aca="false">YEAR(Tabela1[[#This Row],[FECHA]])</f>
        <v>1900</v>
      </c>
      <c r="I66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53" customFormat="false" ht="15" hidden="false" customHeight="false" outlineLevel="0" collapsed="false">
      <c r="A6653" s="41"/>
      <c r="G6653" s="38" t="n">
        <f aca="false">MONTH(A6653)</f>
        <v>12</v>
      </c>
      <c r="H6653" s="38" t="n">
        <f aca="false">YEAR(Tabela1[[#This Row],[FECHA]])</f>
        <v>1900</v>
      </c>
      <c r="I66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54" customFormat="false" ht="15" hidden="false" customHeight="false" outlineLevel="0" collapsed="false">
      <c r="A6654" s="41"/>
      <c r="G6654" s="38" t="n">
        <f aca="false">MONTH(A6654)</f>
        <v>12</v>
      </c>
      <c r="H6654" s="38" t="n">
        <f aca="false">YEAR(Tabela1[[#This Row],[FECHA]])</f>
        <v>1900</v>
      </c>
      <c r="I66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55" customFormat="false" ht="15" hidden="false" customHeight="false" outlineLevel="0" collapsed="false">
      <c r="A6655" s="41"/>
      <c r="G6655" s="38" t="n">
        <f aca="false">MONTH(A6655)</f>
        <v>12</v>
      </c>
      <c r="H6655" s="38" t="n">
        <f aca="false">YEAR(Tabela1[[#This Row],[FECHA]])</f>
        <v>1900</v>
      </c>
      <c r="I66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56" customFormat="false" ht="15" hidden="false" customHeight="false" outlineLevel="0" collapsed="false">
      <c r="A6656" s="41"/>
      <c r="G6656" s="38" t="n">
        <f aca="false">MONTH(A6656)</f>
        <v>12</v>
      </c>
      <c r="H6656" s="38" t="n">
        <f aca="false">YEAR(Tabela1[[#This Row],[FECHA]])</f>
        <v>1900</v>
      </c>
      <c r="I66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57" customFormat="false" ht="15" hidden="false" customHeight="false" outlineLevel="0" collapsed="false">
      <c r="A6657" s="41"/>
      <c r="G6657" s="38" t="n">
        <f aca="false">MONTH(A6657)</f>
        <v>12</v>
      </c>
      <c r="H6657" s="38" t="n">
        <f aca="false">YEAR(Tabela1[[#This Row],[FECHA]])</f>
        <v>1900</v>
      </c>
      <c r="I66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58" customFormat="false" ht="15" hidden="false" customHeight="false" outlineLevel="0" collapsed="false">
      <c r="A6658" s="41"/>
      <c r="G6658" s="38" t="n">
        <f aca="false">MONTH(A6658)</f>
        <v>12</v>
      </c>
      <c r="H6658" s="38" t="n">
        <f aca="false">YEAR(Tabela1[[#This Row],[FECHA]])</f>
        <v>1900</v>
      </c>
      <c r="I66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59" customFormat="false" ht="15" hidden="false" customHeight="false" outlineLevel="0" collapsed="false">
      <c r="A6659" s="41"/>
      <c r="G6659" s="38" t="n">
        <f aca="false">MONTH(A6659)</f>
        <v>12</v>
      </c>
      <c r="H6659" s="38" t="n">
        <f aca="false">YEAR(Tabela1[[#This Row],[FECHA]])</f>
        <v>1900</v>
      </c>
      <c r="I66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60" customFormat="false" ht="15" hidden="false" customHeight="false" outlineLevel="0" collapsed="false">
      <c r="A6660" s="41"/>
      <c r="G6660" s="38" t="n">
        <f aca="false">MONTH(A6660)</f>
        <v>12</v>
      </c>
      <c r="H6660" s="38" t="n">
        <f aca="false">YEAR(Tabela1[[#This Row],[FECHA]])</f>
        <v>1900</v>
      </c>
      <c r="I66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61" customFormat="false" ht="15" hidden="false" customHeight="false" outlineLevel="0" collapsed="false">
      <c r="A6661" s="41"/>
      <c r="G6661" s="38" t="n">
        <f aca="false">MONTH(A6661)</f>
        <v>12</v>
      </c>
      <c r="H6661" s="38" t="n">
        <f aca="false">YEAR(Tabela1[[#This Row],[FECHA]])</f>
        <v>1900</v>
      </c>
      <c r="I66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62" customFormat="false" ht="15" hidden="false" customHeight="false" outlineLevel="0" collapsed="false">
      <c r="A6662" s="41"/>
      <c r="G6662" s="38" t="n">
        <f aca="false">MONTH(A6662)</f>
        <v>12</v>
      </c>
      <c r="H6662" s="38" t="n">
        <f aca="false">YEAR(Tabela1[[#This Row],[FECHA]])</f>
        <v>1900</v>
      </c>
      <c r="I66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63" customFormat="false" ht="15" hidden="false" customHeight="false" outlineLevel="0" collapsed="false">
      <c r="A6663" s="41"/>
      <c r="G6663" s="38" t="n">
        <f aca="false">MONTH(A6663)</f>
        <v>12</v>
      </c>
      <c r="H6663" s="38" t="n">
        <f aca="false">YEAR(Tabela1[[#This Row],[FECHA]])</f>
        <v>1900</v>
      </c>
      <c r="I66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64" customFormat="false" ht="15" hidden="false" customHeight="false" outlineLevel="0" collapsed="false">
      <c r="A6664" s="41"/>
      <c r="G6664" s="38" t="n">
        <f aca="false">MONTH(A6664)</f>
        <v>12</v>
      </c>
      <c r="H6664" s="38" t="n">
        <f aca="false">YEAR(Tabela1[[#This Row],[FECHA]])</f>
        <v>1900</v>
      </c>
      <c r="I66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65" customFormat="false" ht="15" hidden="false" customHeight="false" outlineLevel="0" collapsed="false">
      <c r="A6665" s="41"/>
      <c r="G6665" s="38" t="n">
        <f aca="false">MONTH(A6665)</f>
        <v>12</v>
      </c>
      <c r="H6665" s="38" t="n">
        <f aca="false">YEAR(Tabela1[[#This Row],[FECHA]])</f>
        <v>1900</v>
      </c>
      <c r="I66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66" customFormat="false" ht="15" hidden="false" customHeight="false" outlineLevel="0" collapsed="false">
      <c r="A6666" s="41"/>
      <c r="G6666" s="38" t="n">
        <f aca="false">MONTH(A6666)</f>
        <v>12</v>
      </c>
      <c r="H6666" s="38" t="n">
        <f aca="false">YEAR(Tabela1[[#This Row],[FECHA]])</f>
        <v>1900</v>
      </c>
      <c r="I66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67" customFormat="false" ht="15" hidden="false" customHeight="false" outlineLevel="0" collapsed="false">
      <c r="A6667" s="41"/>
      <c r="G6667" s="38" t="n">
        <f aca="false">MONTH(A6667)</f>
        <v>12</v>
      </c>
      <c r="H6667" s="38" t="n">
        <f aca="false">YEAR(Tabela1[[#This Row],[FECHA]])</f>
        <v>1900</v>
      </c>
      <c r="I66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68" customFormat="false" ht="15" hidden="false" customHeight="false" outlineLevel="0" collapsed="false">
      <c r="A6668" s="41"/>
      <c r="G6668" s="38" t="n">
        <f aca="false">MONTH(A6668)</f>
        <v>12</v>
      </c>
      <c r="H6668" s="38" t="n">
        <f aca="false">YEAR(Tabela1[[#This Row],[FECHA]])</f>
        <v>1900</v>
      </c>
      <c r="I66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69" customFormat="false" ht="15" hidden="false" customHeight="false" outlineLevel="0" collapsed="false">
      <c r="A6669" s="41"/>
      <c r="G6669" s="38" t="n">
        <f aca="false">MONTH(A6669)</f>
        <v>12</v>
      </c>
      <c r="H6669" s="38" t="n">
        <f aca="false">YEAR(Tabela1[[#This Row],[FECHA]])</f>
        <v>1900</v>
      </c>
      <c r="I66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70" customFormat="false" ht="15" hidden="false" customHeight="false" outlineLevel="0" collapsed="false">
      <c r="A6670" s="41"/>
      <c r="G6670" s="38" t="n">
        <f aca="false">MONTH(A6670)</f>
        <v>12</v>
      </c>
      <c r="H6670" s="38" t="n">
        <f aca="false">YEAR(Tabela1[[#This Row],[FECHA]])</f>
        <v>1900</v>
      </c>
      <c r="I66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71" customFormat="false" ht="15" hidden="false" customHeight="false" outlineLevel="0" collapsed="false">
      <c r="A6671" s="41"/>
      <c r="G6671" s="38" t="n">
        <f aca="false">MONTH(A6671)</f>
        <v>12</v>
      </c>
      <c r="H6671" s="38" t="n">
        <f aca="false">YEAR(Tabela1[[#This Row],[FECHA]])</f>
        <v>1900</v>
      </c>
      <c r="I66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72" customFormat="false" ht="15" hidden="false" customHeight="false" outlineLevel="0" collapsed="false">
      <c r="A6672" s="41"/>
      <c r="G6672" s="38" t="n">
        <f aca="false">MONTH(A6672)</f>
        <v>12</v>
      </c>
      <c r="H6672" s="38" t="n">
        <f aca="false">YEAR(Tabela1[[#This Row],[FECHA]])</f>
        <v>1900</v>
      </c>
      <c r="I66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73" customFormat="false" ht="15" hidden="false" customHeight="false" outlineLevel="0" collapsed="false">
      <c r="A6673" s="41"/>
      <c r="G6673" s="38" t="n">
        <f aca="false">MONTH(A6673)</f>
        <v>12</v>
      </c>
      <c r="H6673" s="38" t="n">
        <f aca="false">YEAR(Tabela1[[#This Row],[FECHA]])</f>
        <v>1900</v>
      </c>
      <c r="I66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74" customFormat="false" ht="15" hidden="false" customHeight="false" outlineLevel="0" collapsed="false">
      <c r="A6674" s="41"/>
      <c r="G6674" s="38" t="n">
        <f aca="false">MONTH(A6674)</f>
        <v>12</v>
      </c>
      <c r="H6674" s="38" t="n">
        <f aca="false">YEAR(Tabela1[[#This Row],[FECHA]])</f>
        <v>1900</v>
      </c>
      <c r="I66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75" customFormat="false" ht="15" hidden="false" customHeight="false" outlineLevel="0" collapsed="false">
      <c r="A6675" s="41"/>
      <c r="G6675" s="38" t="n">
        <f aca="false">MONTH(A6675)</f>
        <v>12</v>
      </c>
      <c r="H6675" s="38" t="n">
        <f aca="false">YEAR(Tabela1[[#This Row],[FECHA]])</f>
        <v>1900</v>
      </c>
      <c r="I66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76" customFormat="false" ht="15" hidden="false" customHeight="false" outlineLevel="0" collapsed="false">
      <c r="A6676" s="41"/>
      <c r="G6676" s="38" t="n">
        <f aca="false">MONTH(A6676)</f>
        <v>12</v>
      </c>
      <c r="H6676" s="38" t="n">
        <f aca="false">YEAR(Tabela1[[#This Row],[FECHA]])</f>
        <v>1900</v>
      </c>
      <c r="I66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77" customFormat="false" ht="15" hidden="false" customHeight="false" outlineLevel="0" collapsed="false">
      <c r="A6677" s="41"/>
      <c r="G6677" s="38" t="n">
        <f aca="false">MONTH(A6677)</f>
        <v>12</v>
      </c>
      <c r="H6677" s="38" t="n">
        <f aca="false">YEAR(Tabela1[[#This Row],[FECHA]])</f>
        <v>1900</v>
      </c>
      <c r="I66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78" customFormat="false" ht="15" hidden="false" customHeight="false" outlineLevel="0" collapsed="false">
      <c r="A6678" s="41"/>
      <c r="G6678" s="38" t="n">
        <f aca="false">MONTH(A6678)</f>
        <v>12</v>
      </c>
      <c r="H6678" s="38" t="n">
        <f aca="false">YEAR(Tabela1[[#This Row],[FECHA]])</f>
        <v>1900</v>
      </c>
      <c r="I66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79" customFormat="false" ht="15" hidden="false" customHeight="false" outlineLevel="0" collapsed="false">
      <c r="A6679" s="41"/>
      <c r="G6679" s="38" t="n">
        <f aca="false">MONTH(A6679)</f>
        <v>12</v>
      </c>
      <c r="H6679" s="38" t="n">
        <f aca="false">YEAR(Tabela1[[#This Row],[FECHA]])</f>
        <v>1900</v>
      </c>
      <c r="I66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80" customFormat="false" ht="15" hidden="false" customHeight="false" outlineLevel="0" collapsed="false">
      <c r="A6680" s="41"/>
      <c r="G6680" s="38" t="n">
        <f aca="false">MONTH(A6680)</f>
        <v>12</v>
      </c>
      <c r="H6680" s="38" t="n">
        <f aca="false">YEAR(Tabela1[[#This Row],[FECHA]])</f>
        <v>1900</v>
      </c>
      <c r="I66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81" customFormat="false" ht="15" hidden="false" customHeight="false" outlineLevel="0" collapsed="false">
      <c r="A6681" s="41"/>
      <c r="G6681" s="38" t="n">
        <f aca="false">MONTH(A6681)</f>
        <v>12</v>
      </c>
      <c r="H6681" s="38" t="n">
        <f aca="false">YEAR(Tabela1[[#This Row],[FECHA]])</f>
        <v>1900</v>
      </c>
      <c r="I66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82" customFormat="false" ht="15" hidden="false" customHeight="false" outlineLevel="0" collapsed="false">
      <c r="A6682" s="41"/>
      <c r="G6682" s="38" t="n">
        <f aca="false">MONTH(A6682)</f>
        <v>12</v>
      </c>
      <c r="H6682" s="38" t="n">
        <f aca="false">YEAR(Tabela1[[#This Row],[FECHA]])</f>
        <v>1900</v>
      </c>
      <c r="I66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83" customFormat="false" ht="15" hidden="false" customHeight="false" outlineLevel="0" collapsed="false">
      <c r="A6683" s="41"/>
      <c r="G6683" s="38" t="n">
        <f aca="false">MONTH(A6683)</f>
        <v>12</v>
      </c>
      <c r="H6683" s="38" t="n">
        <f aca="false">YEAR(Tabela1[[#This Row],[FECHA]])</f>
        <v>1900</v>
      </c>
      <c r="I66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84" customFormat="false" ht="15" hidden="false" customHeight="false" outlineLevel="0" collapsed="false">
      <c r="A6684" s="41"/>
      <c r="G6684" s="38" t="n">
        <f aca="false">MONTH(A6684)</f>
        <v>12</v>
      </c>
      <c r="H6684" s="38" t="n">
        <f aca="false">YEAR(Tabela1[[#This Row],[FECHA]])</f>
        <v>1900</v>
      </c>
      <c r="I66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85" customFormat="false" ht="15" hidden="false" customHeight="false" outlineLevel="0" collapsed="false">
      <c r="A6685" s="41"/>
      <c r="G6685" s="38" t="n">
        <f aca="false">MONTH(A6685)</f>
        <v>12</v>
      </c>
      <c r="H6685" s="38" t="n">
        <f aca="false">YEAR(Tabela1[[#This Row],[FECHA]])</f>
        <v>1900</v>
      </c>
      <c r="I66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86" customFormat="false" ht="15" hidden="false" customHeight="false" outlineLevel="0" collapsed="false">
      <c r="A6686" s="41"/>
      <c r="G6686" s="38" t="n">
        <f aca="false">MONTH(A6686)</f>
        <v>12</v>
      </c>
      <c r="H6686" s="38" t="n">
        <f aca="false">YEAR(Tabela1[[#This Row],[FECHA]])</f>
        <v>1900</v>
      </c>
      <c r="I66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87" customFormat="false" ht="15" hidden="false" customHeight="false" outlineLevel="0" collapsed="false">
      <c r="A6687" s="41"/>
      <c r="G6687" s="38" t="n">
        <f aca="false">MONTH(A6687)</f>
        <v>12</v>
      </c>
      <c r="H6687" s="38" t="n">
        <f aca="false">YEAR(Tabela1[[#This Row],[FECHA]])</f>
        <v>1900</v>
      </c>
      <c r="I66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88" customFormat="false" ht="15" hidden="false" customHeight="false" outlineLevel="0" collapsed="false">
      <c r="A6688" s="41"/>
      <c r="G6688" s="38" t="n">
        <f aca="false">MONTH(A6688)</f>
        <v>12</v>
      </c>
      <c r="H6688" s="38" t="n">
        <f aca="false">YEAR(Tabela1[[#This Row],[FECHA]])</f>
        <v>1900</v>
      </c>
      <c r="I66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89" customFormat="false" ht="15" hidden="false" customHeight="false" outlineLevel="0" collapsed="false">
      <c r="A6689" s="41"/>
      <c r="G6689" s="38" t="n">
        <f aca="false">MONTH(A6689)</f>
        <v>12</v>
      </c>
      <c r="H6689" s="38" t="n">
        <f aca="false">YEAR(Tabela1[[#This Row],[FECHA]])</f>
        <v>1900</v>
      </c>
      <c r="I66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90" customFormat="false" ht="15" hidden="false" customHeight="false" outlineLevel="0" collapsed="false">
      <c r="A6690" s="41"/>
      <c r="G6690" s="38" t="n">
        <f aca="false">MONTH(A6690)</f>
        <v>12</v>
      </c>
      <c r="H6690" s="38" t="n">
        <f aca="false">YEAR(Tabela1[[#This Row],[FECHA]])</f>
        <v>1900</v>
      </c>
      <c r="I66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91" customFormat="false" ht="15" hidden="false" customHeight="false" outlineLevel="0" collapsed="false">
      <c r="A6691" s="41"/>
      <c r="G6691" s="38" t="n">
        <f aca="false">MONTH(A6691)</f>
        <v>12</v>
      </c>
      <c r="H6691" s="38" t="n">
        <f aca="false">YEAR(Tabela1[[#This Row],[FECHA]])</f>
        <v>1900</v>
      </c>
      <c r="I66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92" customFormat="false" ht="15" hidden="false" customHeight="false" outlineLevel="0" collapsed="false">
      <c r="A6692" s="41"/>
      <c r="G6692" s="38" t="n">
        <f aca="false">MONTH(A6692)</f>
        <v>12</v>
      </c>
      <c r="H6692" s="38" t="n">
        <f aca="false">YEAR(Tabela1[[#This Row],[FECHA]])</f>
        <v>1900</v>
      </c>
      <c r="I66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93" customFormat="false" ht="15" hidden="false" customHeight="false" outlineLevel="0" collapsed="false">
      <c r="A6693" s="41"/>
      <c r="G6693" s="38" t="n">
        <f aca="false">MONTH(A6693)</f>
        <v>12</v>
      </c>
      <c r="H6693" s="38" t="n">
        <f aca="false">YEAR(Tabela1[[#This Row],[FECHA]])</f>
        <v>1900</v>
      </c>
      <c r="I66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94" customFormat="false" ht="15" hidden="false" customHeight="false" outlineLevel="0" collapsed="false">
      <c r="A6694" s="41"/>
      <c r="G6694" s="38" t="n">
        <f aca="false">MONTH(A6694)</f>
        <v>12</v>
      </c>
      <c r="H6694" s="38" t="n">
        <f aca="false">YEAR(Tabela1[[#This Row],[FECHA]])</f>
        <v>1900</v>
      </c>
      <c r="I66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95" customFormat="false" ht="15" hidden="false" customHeight="false" outlineLevel="0" collapsed="false">
      <c r="A6695" s="41"/>
      <c r="G6695" s="38" t="n">
        <f aca="false">MONTH(A6695)</f>
        <v>12</v>
      </c>
      <c r="H6695" s="38" t="n">
        <f aca="false">YEAR(Tabela1[[#This Row],[FECHA]])</f>
        <v>1900</v>
      </c>
      <c r="I66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96" customFormat="false" ht="15" hidden="false" customHeight="false" outlineLevel="0" collapsed="false">
      <c r="A6696" s="41"/>
      <c r="G6696" s="38" t="n">
        <f aca="false">MONTH(A6696)</f>
        <v>12</v>
      </c>
      <c r="H6696" s="38" t="n">
        <f aca="false">YEAR(Tabela1[[#This Row],[FECHA]])</f>
        <v>1900</v>
      </c>
      <c r="I66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97" customFormat="false" ht="15" hidden="false" customHeight="false" outlineLevel="0" collapsed="false">
      <c r="A6697" s="41"/>
      <c r="G6697" s="38" t="n">
        <f aca="false">MONTH(A6697)</f>
        <v>12</v>
      </c>
      <c r="H6697" s="38" t="n">
        <f aca="false">YEAR(Tabela1[[#This Row],[FECHA]])</f>
        <v>1900</v>
      </c>
      <c r="I66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98" customFormat="false" ht="15" hidden="false" customHeight="false" outlineLevel="0" collapsed="false">
      <c r="A6698" s="41"/>
      <c r="G6698" s="38" t="n">
        <f aca="false">MONTH(A6698)</f>
        <v>12</v>
      </c>
      <c r="H6698" s="38" t="n">
        <f aca="false">YEAR(Tabela1[[#This Row],[FECHA]])</f>
        <v>1900</v>
      </c>
      <c r="I66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699" customFormat="false" ht="15" hidden="false" customHeight="false" outlineLevel="0" collapsed="false">
      <c r="A6699" s="41"/>
      <c r="G6699" s="38" t="n">
        <f aca="false">MONTH(A6699)</f>
        <v>12</v>
      </c>
      <c r="H6699" s="38" t="n">
        <f aca="false">YEAR(Tabela1[[#This Row],[FECHA]])</f>
        <v>1900</v>
      </c>
      <c r="I66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00" customFormat="false" ht="15" hidden="false" customHeight="false" outlineLevel="0" collapsed="false">
      <c r="A6700" s="41"/>
      <c r="G6700" s="38" t="n">
        <f aca="false">MONTH(A6700)</f>
        <v>12</v>
      </c>
      <c r="H6700" s="38" t="n">
        <f aca="false">YEAR(Tabela1[[#This Row],[FECHA]])</f>
        <v>1900</v>
      </c>
      <c r="I67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01" customFormat="false" ht="15" hidden="false" customHeight="false" outlineLevel="0" collapsed="false">
      <c r="A6701" s="41"/>
      <c r="G6701" s="38" t="n">
        <f aca="false">MONTH(A6701)</f>
        <v>12</v>
      </c>
      <c r="H6701" s="38" t="n">
        <f aca="false">YEAR(Tabela1[[#This Row],[FECHA]])</f>
        <v>1900</v>
      </c>
      <c r="I67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02" customFormat="false" ht="15" hidden="false" customHeight="false" outlineLevel="0" collapsed="false">
      <c r="A6702" s="41"/>
      <c r="G6702" s="38" t="n">
        <f aca="false">MONTH(A6702)</f>
        <v>12</v>
      </c>
      <c r="H6702" s="38" t="n">
        <f aca="false">YEAR(Tabela1[[#This Row],[FECHA]])</f>
        <v>1900</v>
      </c>
      <c r="I67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03" customFormat="false" ht="15" hidden="false" customHeight="false" outlineLevel="0" collapsed="false">
      <c r="A6703" s="41"/>
      <c r="G6703" s="38" t="n">
        <f aca="false">MONTH(A6703)</f>
        <v>12</v>
      </c>
      <c r="H6703" s="38" t="n">
        <f aca="false">YEAR(Tabela1[[#This Row],[FECHA]])</f>
        <v>1900</v>
      </c>
      <c r="I67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04" customFormat="false" ht="15" hidden="false" customHeight="false" outlineLevel="0" collapsed="false">
      <c r="A6704" s="41"/>
      <c r="G6704" s="38" t="n">
        <f aca="false">MONTH(A6704)</f>
        <v>12</v>
      </c>
      <c r="H6704" s="38" t="n">
        <f aca="false">YEAR(Tabela1[[#This Row],[FECHA]])</f>
        <v>1900</v>
      </c>
      <c r="I67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05" customFormat="false" ht="15" hidden="false" customHeight="false" outlineLevel="0" collapsed="false">
      <c r="A6705" s="41"/>
      <c r="G6705" s="38" t="n">
        <f aca="false">MONTH(A6705)</f>
        <v>12</v>
      </c>
      <c r="H6705" s="38" t="n">
        <f aca="false">YEAR(Tabela1[[#This Row],[FECHA]])</f>
        <v>1900</v>
      </c>
      <c r="I67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06" customFormat="false" ht="15" hidden="false" customHeight="false" outlineLevel="0" collapsed="false">
      <c r="A6706" s="41"/>
      <c r="G6706" s="38" t="n">
        <f aca="false">MONTH(A6706)</f>
        <v>12</v>
      </c>
      <c r="H6706" s="38" t="n">
        <f aca="false">YEAR(Tabela1[[#This Row],[FECHA]])</f>
        <v>1900</v>
      </c>
      <c r="I67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07" customFormat="false" ht="15" hidden="false" customHeight="false" outlineLevel="0" collapsed="false">
      <c r="A6707" s="41"/>
      <c r="G6707" s="38" t="n">
        <f aca="false">MONTH(A6707)</f>
        <v>12</v>
      </c>
      <c r="H6707" s="38" t="n">
        <f aca="false">YEAR(Tabela1[[#This Row],[FECHA]])</f>
        <v>1900</v>
      </c>
      <c r="I67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08" customFormat="false" ht="15" hidden="false" customHeight="false" outlineLevel="0" collapsed="false">
      <c r="A6708" s="41"/>
      <c r="G6708" s="38" t="n">
        <f aca="false">MONTH(A6708)</f>
        <v>12</v>
      </c>
      <c r="H6708" s="38" t="n">
        <f aca="false">YEAR(Tabela1[[#This Row],[FECHA]])</f>
        <v>1900</v>
      </c>
      <c r="I67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09" customFormat="false" ht="15" hidden="false" customHeight="false" outlineLevel="0" collapsed="false">
      <c r="A6709" s="41"/>
      <c r="G6709" s="38" t="n">
        <f aca="false">MONTH(A6709)</f>
        <v>12</v>
      </c>
      <c r="H6709" s="38" t="n">
        <f aca="false">YEAR(Tabela1[[#This Row],[FECHA]])</f>
        <v>1900</v>
      </c>
      <c r="I67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10" customFormat="false" ht="15" hidden="false" customHeight="false" outlineLevel="0" collapsed="false">
      <c r="A6710" s="41"/>
      <c r="G6710" s="38" t="n">
        <f aca="false">MONTH(A6710)</f>
        <v>12</v>
      </c>
      <c r="H6710" s="38" t="n">
        <f aca="false">YEAR(Tabela1[[#This Row],[FECHA]])</f>
        <v>1900</v>
      </c>
      <c r="I67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11" customFormat="false" ht="15" hidden="false" customHeight="false" outlineLevel="0" collapsed="false">
      <c r="A6711" s="41"/>
      <c r="G6711" s="38" t="n">
        <f aca="false">MONTH(A6711)</f>
        <v>12</v>
      </c>
      <c r="H6711" s="38" t="n">
        <f aca="false">YEAR(Tabela1[[#This Row],[FECHA]])</f>
        <v>1900</v>
      </c>
      <c r="I67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12" customFormat="false" ht="15" hidden="false" customHeight="false" outlineLevel="0" collapsed="false">
      <c r="A6712" s="41"/>
      <c r="G6712" s="38" t="n">
        <f aca="false">MONTH(A6712)</f>
        <v>12</v>
      </c>
      <c r="H6712" s="38" t="n">
        <f aca="false">YEAR(Tabela1[[#This Row],[FECHA]])</f>
        <v>1900</v>
      </c>
      <c r="I67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13" customFormat="false" ht="15" hidden="false" customHeight="false" outlineLevel="0" collapsed="false">
      <c r="A6713" s="41"/>
      <c r="G6713" s="38" t="n">
        <f aca="false">MONTH(A6713)</f>
        <v>12</v>
      </c>
      <c r="H6713" s="38" t="n">
        <f aca="false">YEAR(Tabela1[[#This Row],[FECHA]])</f>
        <v>1900</v>
      </c>
      <c r="I67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14" customFormat="false" ht="15" hidden="false" customHeight="false" outlineLevel="0" collapsed="false">
      <c r="A6714" s="41"/>
      <c r="G6714" s="38" t="n">
        <f aca="false">MONTH(A6714)</f>
        <v>12</v>
      </c>
      <c r="H6714" s="38" t="n">
        <f aca="false">YEAR(Tabela1[[#This Row],[FECHA]])</f>
        <v>1900</v>
      </c>
      <c r="I67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15" customFormat="false" ht="15" hidden="false" customHeight="false" outlineLevel="0" collapsed="false">
      <c r="A6715" s="41"/>
      <c r="G6715" s="38" t="n">
        <f aca="false">MONTH(A6715)</f>
        <v>12</v>
      </c>
      <c r="H6715" s="38" t="n">
        <f aca="false">YEAR(Tabela1[[#This Row],[FECHA]])</f>
        <v>1900</v>
      </c>
      <c r="I67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16" customFormat="false" ht="15" hidden="false" customHeight="false" outlineLevel="0" collapsed="false">
      <c r="A6716" s="41"/>
      <c r="G6716" s="38" t="n">
        <f aca="false">MONTH(A6716)</f>
        <v>12</v>
      </c>
      <c r="H6716" s="38" t="n">
        <f aca="false">YEAR(Tabela1[[#This Row],[FECHA]])</f>
        <v>1900</v>
      </c>
      <c r="I67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17" customFormat="false" ht="15" hidden="false" customHeight="false" outlineLevel="0" collapsed="false">
      <c r="A6717" s="41"/>
      <c r="G6717" s="38" t="n">
        <f aca="false">MONTH(A6717)</f>
        <v>12</v>
      </c>
      <c r="H6717" s="38" t="n">
        <f aca="false">YEAR(Tabela1[[#This Row],[FECHA]])</f>
        <v>1900</v>
      </c>
      <c r="I67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18" customFormat="false" ht="15" hidden="false" customHeight="false" outlineLevel="0" collapsed="false">
      <c r="A6718" s="41"/>
      <c r="G6718" s="38" t="n">
        <f aca="false">MONTH(A6718)</f>
        <v>12</v>
      </c>
      <c r="H6718" s="38" t="n">
        <f aca="false">YEAR(Tabela1[[#This Row],[FECHA]])</f>
        <v>1900</v>
      </c>
      <c r="I67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19" customFormat="false" ht="15" hidden="false" customHeight="false" outlineLevel="0" collapsed="false">
      <c r="A6719" s="41"/>
      <c r="G6719" s="38" t="n">
        <f aca="false">MONTH(A6719)</f>
        <v>12</v>
      </c>
      <c r="H6719" s="38" t="n">
        <f aca="false">YEAR(Tabela1[[#This Row],[FECHA]])</f>
        <v>1900</v>
      </c>
      <c r="I67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20" customFormat="false" ht="15" hidden="false" customHeight="false" outlineLevel="0" collapsed="false">
      <c r="A6720" s="41"/>
      <c r="G6720" s="38" t="n">
        <f aca="false">MONTH(A6720)</f>
        <v>12</v>
      </c>
      <c r="H6720" s="38" t="n">
        <f aca="false">YEAR(Tabela1[[#This Row],[FECHA]])</f>
        <v>1900</v>
      </c>
      <c r="I67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21" customFormat="false" ht="15" hidden="false" customHeight="false" outlineLevel="0" collapsed="false">
      <c r="A6721" s="41"/>
      <c r="G6721" s="38" t="n">
        <f aca="false">MONTH(A6721)</f>
        <v>12</v>
      </c>
      <c r="H6721" s="38" t="n">
        <f aca="false">YEAR(Tabela1[[#This Row],[FECHA]])</f>
        <v>1900</v>
      </c>
      <c r="I67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22" customFormat="false" ht="15" hidden="false" customHeight="false" outlineLevel="0" collapsed="false">
      <c r="A6722" s="41"/>
      <c r="G6722" s="38" t="n">
        <f aca="false">MONTH(A6722)</f>
        <v>12</v>
      </c>
      <c r="H6722" s="38" t="n">
        <f aca="false">YEAR(Tabela1[[#This Row],[FECHA]])</f>
        <v>1900</v>
      </c>
      <c r="I67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23" customFormat="false" ht="15" hidden="false" customHeight="false" outlineLevel="0" collapsed="false">
      <c r="A6723" s="41"/>
      <c r="G6723" s="38" t="n">
        <f aca="false">MONTH(A6723)</f>
        <v>12</v>
      </c>
      <c r="H6723" s="38" t="n">
        <f aca="false">YEAR(Tabela1[[#This Row],[FECHA]])</f>
        <v>1900</v>
      </c>
      <c r="I67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24" customFormat="false" ht="15" hidden="false" customHeight="false" outlineLevel="0" collapsed="false">
      <c r="A6724" s="41"/>
      <c r="G6724" s="38" t="n">
        <f aca="false">MONTH(A6724)</f>
        <v>12</v>
      </c>
      <c r="H6724" s="38" t="n">
        <f aca="false">YEAR(Tabela1[[#This Row],[FECHA]])</f>
        <v>1900</v>
      </c>
      <c r="I67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25" customFormat="false" ht="15" hidden="false" customHeight="false" outlineLevel="0" collapsed="false">
      <c r="A6725" s="41"/>
      <c r="G6725" s="38" t="n">
        <f aca="false">MONTH(A6725)</f>
        <v>12</v>
      </c>
      <c r="H6725" s="38" t="n">
        <f aca="false">YEAR(Tabela1[[#This Row],[FECHA]])</f>
        <v>1900</v>
      </c>
      <c r="I67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26" customFormat="false" ht="15" hidden="false" customHeight="false" outlineLevel="0" collapsed="false">
      <c r="A6726" s="41"/>
      <c r="G6726" s="38" t="n">
        <f aca="false">MONTH(A6726)</f>
        <v>12</v>
      </c>
      <c r="H6726" s="38" t="n">
        <f aca="false">YEAR(Tabela1[[#This Row],[FECHA]])</f>
        <v>1900</v>
      </c>
      <c r="I67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27" customFormat="false" ht="15" hidden="false" customHeight="false" outlineLevel="0" collapsed="false">
      <c r="A6727" s="41"/>
      <c r="G6727" s="38" t="n">
        <f aca="false">MONTH(A6727)</f>
        <v>12</v>
      </c>
      <c r="H6727" s="38" t="n">
        <f aca="false">YEAR(Tabela1[[#This Row],[FECHA]])</f>
        <v>1900</v>
      </c>
      <c r="I67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28" customFormat="false" ht="15" hidden="false" customHeight="false" outlineLevel="0" collapsed="false">
      <c r="A6728" s="41"/>
      <c r="G6728" s="38" t="n">
        <f aca="false">MONTH(A6728)</f>
        <v>12</v>
      </c>
      <c r="H6728" s="38" t="n">
        <f aca="false">YEAR(Tabela1[[#This Row],[FECHA]])</f>
        <v>1900</v>
      </c>
      <c r="I67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29" customFormat="false" ht="15" hidden="false" customHeight="false" outlineLevel="0" collapsed="false">
      <c r="A6729" s="41"/>
      <c r="G6729" s="38" t="n">
        <f aca="false">MONTH(A6729)</f>
        <v>12</v>
      </c>
      <c r="H6729" s="38" t="n">
        <f aca="false">YEAR(Tabela1[[#This Row],[FECHA]])</f>
        <v>1900</v>
      </c>
      <c r="I67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30" customFormat="false" ht="15" hidden="false" customHeight="false" outlineLevel="0" collapsed="false">
      <c r="A6730" s="41"/>
      <c r="G6730" s="38" t="n">
        <f aca="false">MONTH(A6730)</f>
        <v>12</v>
      </c>
      <c r="H6730" s="38" t="n">
        <f aca="false">YEAR(Tabela1[[#This Row],[FECHA]])</f>
        <v>1900</v>
      </c>
      <c r="I67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31" customFormat="false" ht="15" hidden="false" customHeight="false" outlineLevel="0" collapsed="false">
      <c r="A6731" s="41"/>
      <c r="G6731" s="38" t="n">
        <f aca="false">MONTH(A6731)</f>
        <v>12</v>
      </c>
      <c r="H6731" s="38" t="n">
        <f aca="false">YEAR(Tabela1[[#This Row],[FECHA]])</f>
        <v>1900</v>
      </c>
      <c r="I67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32" customFormat="false" ht="15" hidden="false" customHeight="false" outlineLevel="0" collapsed="false">
      <c r="A6732" s="41"/>
      <c r="G6732" s="38" t="n">
        <f aca="false">MONTH(A6732)</f>
        <v>12</v>
      </c>
      <c r="H6732" s="38" t="n">
        <f aca="false">YEAR(Tabela1[[#This Row],[FECHA]])</f>
        <v>1900</v>
      </c>
      <c r="I67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33" customFormat="false" ht="15" hidden="false" customHeight="false" outlineLevel="0" collapsed="false">
      <c r="A6733" s="41"/>
      <c r="G6733" s="38" t="n">
        <f aca="false">MONTH(A6733)</f>
        <v>12</v>
      </c>
      <c r="H6733" s="38" t="n">
        <f aca="false">YEAR(Tabela1[[#This Row],[FECHA]])</f>
        <v>1900</v>
      </c>
      <c r="I67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34" customFormat="false" ht="15" hidden="false" customHeight="false" outlineLevel="0" collapsed="false">
      <c r="A6734" s="41"/>
      <c r="G6734" s="38" t="n">
        <f aca="false">MONTH(A6734)</f>
        <v>12</v>
      </c>
      <c r="H6734" s="38" t="n">
        <f aca="false">YEAR(Tabela1[[#This Row],[FECHA]])</f>
        <v>1900</v>
      </c>
      <c r="I67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35" customFormat="false" ht="15" hidden="false" customHeight="false" outlineLevel="0" collapsed="false">
      <c r="A6735" s="41"/>
      <c r="G6735" s="38" t="n">
        <f aca="false">MONTH(A6735)</f>
        <v>12</v>
      </c>
      <c r="H6735" s="38" t="n">
        <f aca="false">YEAR(Tabela1[[#This Row],[FECHA]])</f>
        <v>1900</v>
      </c>
      <c r="I67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36" customFormat="false" ht="15" hidden="false" customHeight="false" outlineLevel="0" collapsed="false">
      <c r="A6736" s="41"/>
      <c r="G6736" s="38" t="n">
        <f aca="false">MONTH(A6736)</f>
        <v>12</v>
      </c>
      <c r="H6736" s="38" t="n">
        <f aca="false">YEAR(Tabela1[[#This Row],[FECHA]])</f>
        <v>1900</v>
      </c>
      <c r="I67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37" customFormat="false" ht="15" hidden="false" customHeight="false" outlineLevel="0" collapsed="false">
      <c r="A6737" s="41"/>
      <c r="G6737" s="38" t="n">
        <f aca="false">MONTH(A6737)</f>
        <v>12</v>
      </c>
      <c r="H6737" s="38" t="n">
        <f aca="false">YEAR(Tabela1[[#This Row],[FECHA]])</f>
        <v>1900</v>
      </c>
      <c r="I67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38" customFormat="false" ht="15" hidden="false" customHeight="false" outlineLevel="0" collapsed="false">
      <c r="A6738" s="41"/>
      <c r="G6738" s="38" t="n">
        <f aca="false">MONTH(A6738)</f>
        <v>12</v>
      </c>
      <c r="H6738" s="38" t="n">
        <f aca="false">YEAR(Tabela1[[#This Row],[FECHA]])</f>
        <v>1900</v>
      </c>
      <c r="I67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39" customFormat="false" ht="15" hidden="false" customHeight="false" outlineLevel="0" collapsed="false">
      <c r="A6739" s="41"/>
      <c r="G6739" s="38" t="n">
        <f aca="false">MONTH(A6739)</f>
        <v>12</v>
      </c>
      <c r="H6739" s="38" t="n">
        <f aca="false">YEAR(Tabela1[[#This Row],[FECHA]])</f>
        <v>1900</v>
      </c>
      <c r="I67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40" customFormat="false" ht="15" hidden="false" customHeight="false" outlineLevel="0" collapsed="false">
      <c r="A6740" s="41"/>
      <c r="G6740" s="38" t="n">
        <f aca="false">MONTH(A6740)</f>
        <v>12</v>
      </c>
      <c r="H6740" s="38" t="n">
        <f aca="false">YEAR(Tabela1[[#This Row],[FECHA]])</f>
        <v>1900</v>
      </c>
      <c r="I67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41" customFormat="false" ht="15" hidden="false" customHeight="false" outlineLevel="0" collapsed="false">
      <c r="A6741" s="41"/>
      <c r="G6741" s="38" t="n">
        <f aca="false">MONTH(A6741)</f>
        <v>12</v>
      </c>
      <c r="H6741" s="38" t="n">
        <f aca="false">YEAR(Tabela1[[#This Row],[FECHA]])</f>
        <v>1900</v>
      </c>
      <c r="I67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42" customFormat="false" ht="15" hidden="false" customHeight="false" outlineLevel="0" collapsed="false">
      <c r="A6742" s="41"/>
      <c r="G6742" s="38" t="n">
        <f aca="false">MONTH(A6742)</f>
        <v>12</v>
      </c>
      <c r="H6742" s="38" t="n">
        <f aca="false">YEAR(Tabela1[[#This Row],[FECHA]])</f>
        <v>1900</v>
      </c>
      <c r="I67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43" customFormat="false" ht="15" hidden="false" customHeight="false" outlineLevel="0" collapsed="false">
      <c r="A6743" s="41"/>
      <c r="G6743" s="38" t="n">
        <f aca="false">MONTH(A6743)</f>
        <v>12</v>
      </c>
      <c r="H6743" s="38" t="n">
        <f aca="false">YEAR(Tabela1[[#This Row],[FECHA]])</f>
        <v>1900</v>
      </c>
      <c r="I67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44" customFormat="false" ht="15" hidden="false" customHeight="false" outlineLevel="0" collapsed="false">
      <c r="A6744" s="41"/>
      <c r="G6744" s="38" t="n">
        <f aca="false">MONTH(A6744)</f>
        <v>12</v>
      </c>
      <c r="H6744" s="38" t="n">
        <f aca="false">YEAR(Tabela1[[#This Row],[FECHA]])</f>
        <v>1900</v>
      </c>
      <c r="I67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45" customFormat="false" ht="15" hidden="false" customHeight="false" outlineLevel="0" collapsed="false">
      <c r="A6745" s="41"/>
      <c r="G6745" s="38" t="n">
        <f aca="false">MONTH(A6745)</f>
        <v>12</v>
      </c>
      <c r="H6745" s="38" t="n">
        <f aca="false">YEAR(Tabela1[[#This Row],[FECHA]])</f>
        <v>1900</v>
      </c>
      <c r="I67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46" customFormat="false" ht="15" hidden="false" customHeight="false" outlineLevel="0" collapsed="false">
      <c r="A6746" s="41"/>
      <c r="G6746" s="38" t="n">
        <f aca="false">MONTH(A6746)</f>
        <v>12</v>
      </c>
      <c r="H6746" s="38" t="n">
        <f aca="false">YEAR(Tabela1[[#This Row],[FECHA]])</f>
        <v>1900</v>
      </c>
      <c r="I67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47" customFormat="false" ht="15" hidden="false" customHeight="false" outlineLevel="0" collapsed="false">
      <c r="A6747" s="41"/>
      <c r="G6747" s="38" t="n">
        <f aca="false">MONTH(A6747)</f>
        <v>12</v>
      </c>
      <c r="H6747" s="38" t="n">
        <f aca="false">YEAR(Tabela1[[#This Row],[FECHA]])</f>
        <v>1900</v>
      </c>
      <c r="I67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48" customFormat="false" ht="15" hidden="false" customHeight="false" outlineLevel="0" collapsed="false">
      <c r="A6748" s="41"/>
      <c r="G6748" s="38" t="n">
        <f aca="false">MONTH(A6748)</f>
        <v>12</v>
      </c>
      <c r="H6748" s="38" t="n">
        <f aca="false">YEAR(Tabela1[[#This Row],[FECHA]])</f>
        <v>1900</v>
      </c>
      <c r="I67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49" customFormat="false" ht="15" hidden="false" customHeight="false" outlineLevel="0" collapsed="false">
      <c r="A6749" s="41"/>
      <c r="G6749" s="38" t="n">
        <f aca="false">MONTH(A6749)</f>
        <v>12</v>
      </c>
      <c r="H6749" s="38" t="n">
        <f aca="false">YEAR(Tabela1[[#This Row],[FECHA]])</f>
        <v>1900</v>
      </c>
      <c r="I67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50" customFormat="false" ht="15" hidden="false" customHeight="false" outlineLevel="0" collapsed="false">
      <c r="A6750" s="41"/>
      <c r="G6750" s="38" t="n">
        <f aca="false">MONTH(A6750)</f>
        <v>12</v>
      </c>
      <c r="H6750" s="38" t="n">
        <f aca="false">YEAR(Tabela1[[#This Row],[FECHA]])</f>
        <v>1900</v>
      </c>
      <c r="I67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51" customFormat="false" ht="15" hidden="false" customHeight="false" outlineLevel="0" collapsed="false">
      <c r="A6751" s="41"/>
      <c r="G6751" s="38" t="n">
        <f aca="false">MONTH(A6751)</f>
        <v>12</v>
      </c>
      <c r="H6751" s="38" t="n">
        <f aca="false">YEAR(Tabela1[[#This Row],[FECHA]])</f>
        <v>1900</v>
      </c>
      <c r="I67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52" customFormat="false" ht="15" hidden="false" customHeight="false" outlineLevel="0" collapsed="false">
      <c r="A6752" s="41"/>
      <c r="G6752" s="38" t="n">
        <f aca="false">MONTH(A6752)</f>
        <v>12</v>
      </c>
      <c r="H6752" s="38" t="n">
        <f aca="false">YEAR(Tabela1[[#This Row],[FECHA]])</f>
        <v>1900</v>
      </c>
      <c r="I67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53" customFormat="false" ht="15" hidden="false" customHeight="false" outlineLevel="0" collapsed="false">
      <c r="A6753" s="41"/>
      <c r="G6753" s="38" t="n">
        <f aca="false">MONTH(A6753)</f>
        <v>12</v>
      </c>
      <c r="H6753" s="38" t="n">
        <f aca="false">YEAR(Tabela1[[#This Row],[FECHA]])</f>
        <v>1900</v>
      </c>
      <c r="I67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54" customFormat="false" ht="15" hidden="false" customHeight="false" outlineLevel="0" collapsed="false">
      <c r="A6754" s="41"/>
      <c r="G6754" s="38" t="n">
        <f aca="false">MONTH(A6754)</f>
        <v>12</v>
      </c>
      <c r="H6754" s="38" t="n">
        <f aca="false">YEAR(Tabela1[[#This Row],[FECHA]])</f>
        <v>1900</v>
      </c>
      <c r="I67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55" customFormat="false" ht="15" hidden="false" customHeight="false" outlineLevel="0" collapsed="false">
      <c r="A6755" s="41"/>
      <c r="G6755" s="38" t="n">
        <f aca="false">MONTH(A6755)</f>
        <v>12</v>
      </c>
      <c r="H6755" s="38" t="n">
        <f aca="false">YEAR(Tabela1[[#This Row],[FECHA]])</f>
        <v>1900</v>
      </c>
      <c r="I67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56" customFormat="false" ht="15" hidden="false" customHeight="false" outlineLevel="0" collapsed="false">
      <c r="A6756" s="41"/>
      <c r="G6756" s="38" t="n">
        <f aca="false">MONTH(A6756)</f>
        <v>12</v>
      </c>
      <c r="H6756" s="38" t="n">
        <f aca="false">YEAR(Tabela1[[#This Row],[FECHA]])</f>
        <v>1900</v>
      </c>
      <c r="I67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57" customFormat="false" ht="15" hidden="false" customHeight="false" outlineLevel="0" collapsed="false">
      <c r="A6757" s="41"/>
      <c r="G6757" s="38" t="n">
        <f aca="false">MONTH(A6757)</f>
        <v>12</v>
      </c>
      <c r="H6757" s="38" t="n">
        <f aca="false">YEAR(Tabela1[[#This Row],[FECHA]])</f>
        <v>1900</v>
      </c>
      <c r="I67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58" customFormat="false" ht="15" hidden="false" customHeight="false" outlineLevel="0" collapsed="false">
      <c r="A6758" s="41"/>
      <c r="G6758" s="38" t="n">
        <f aca="false">MONTH(A6758)</f>
        <v>12</v>
      </c>
      <c r="H6758" s="38" t="n">
        <f aca="false">YEAR(Tabela1[[#This Row],[FECHA]])</f>
        <v>1900</v>
      </c>
      <c r="I67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59" customFormat="false" ht="15" hidden="false" customHeight="false" outlineLevel="0" collapsed="false">
      <c r="A6759" s="41"/>
      <c r="G6759" s="38" t="n">
        <f aca="false">MONTH(A6759)</f>
        <v>12</v>
      </c>
      <c r="H6759" s="38" t="n">
        <f aca="false">YEAR(Tabela1[[#This Row],[FECHA]])</f>
        <v>1900</v>
      </c>
      <c r="I67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60" customFormat="false" ht="15" hidden="false" customHeight="false" outlineLevel="0" collapsed="false">
      <c r="A6760" s="41"/>
      <c r="G6760" s="38" t="n">
        <f aca="false">MONTH(A6760)</f>
        <v>12</v>
      </c>
      <c r="H6760" s="38" t="n">
        <f aca="false">YEAR(Tabela1[[#This Row],[FECHA]])</f>
        <v>1900</v>
      </c>
      <c r="I67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61" customFormat="false" ht="15" hidden="false" customHeight="false" outlineLevel="0" collapsed="false">
      <c r="A6761" s="41"/>
      <c r="G6761" s="38" t="n">
        <f aca="false">MONTH(A6761)</f>
        <v>12</v>
      </c>
      <c r="H6761" s="38" t="n">
        <f aca="false">YEAR(Tabela1[[#This Row],[FECHA]])</f>
        <v>1900</v>
      </c>
      <c r="I67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62" customFormat="false" ht="15" hidden="false" customHeight="false" outlineLevel="0" collapsed="false">
      <c r="A6762" s="41"/>
      <c r="G6762" s="38" t="n">
        <f aca="false">MONTH(A6762)</f>
        <v>12</v>
      </c>
      <c r="H6762" s="38" t="n">
        <f aca="false">YEAR(Tabela1[[#This Row],[FECHA]])</f>
        <v>1900</v>
      </c>
      <c r="I67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63" customFormat="false" ht="15" hidden="false" customHeight="false" outlineLevel="0" collapsed="false">
      <c r="A6763" s="41"/>
      <c r="G6763" s="38" t="n">
        <f aca="false">MONTH(A6763)</f>
        <v>12</v>
      </c>
      <c r="H6763" s="38" t="n">
        <f aca="false">YEAR(Tabela1[[#This Row],[FECHA]])</f>
        <v>1900</v>
      </c>
      <c r="I67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64" customFormat="false" ht="15" hidden="false" customHeight="false" outlineLevel="0" collapsed="false">
      <c r="A6764" s="41"/>
      <c r="G6764" s="38" t="n">
        <f aca="false">MONTH(A6764)</f>
        <v>12</v>
      </c>
      <c r="H6764" s="38" t="n">
        <f aca="false">YEAR(Tabela1[[#This Row],[FECHA]])</f>
        <v>1900</v>
      </c>
      <c r="I67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65" customFormat="false" ht="15" hidden="false" customHeight="false" outlineLevel="0" collapsed="false">
      <c r="A6765" s="41"/>
      <c r="G6765" s="38" t="n">
        <f aca="false">MONTH(A6765)</f>
        <v>12</v>
      </c>
      <c r="H6765" s="38" t="n">
        <f aca="false">YEAR(Tabela1[[#This Row],[FECHA]])</f>
        <v>1900</v>
      </c>
      <c r="I67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66" customFormat="false" ht="15" hidden="false" customHeight="false" outlineLevel="0" collapsed="false">
      <c r="A6766" s="41"/>
      <c r="G6766" s="38" t="n">
        <f aca="false">MONTH(A6766)</f>
        <v>12</v>
      </c>
      <c r="H6766" s="38" t="n">
        <f aca="false">YEAR(Tabela1[[#This Row],[FECHA]])</f>
        <v>1900</v>
      </c>
      <c r="I67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67" customFormat="false" ht="15" hidden="false" customHeight="false" outlineLevel="0" collapsed="false">
      <c r="A6767" s="41"/>
      <c r="G6767" s="38" t="n">
        <f aca="false">MONTH(A6767)</f>
        <v>12</v>
      </c>
      <c r="H6767" s="38" t="n">
        <f aca="false">YEAR(Tabela1[[#This Row],[FECHA]])</f>
        <v>1900</v>
      </c>
      <c r="I67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68" customFormat="false" ht="15" hidden="false" customHeight="false" outlineLevel="0" collapsed="false">
      <c r="A6768" s="41"/>
      <c r="G6768" s="38" t="n">
        <f aca="false">MONTH(A6768)</f>
        <v>12</v>
      </c>
      <c r="H6768" s="38" t="n">
        <f aca="false">YEAR(Tabela1[[#This Row],[FECHA]])</f>
        <v>1900</v>
      </c>
      <c r="I67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69" customFormat="false" ht="15" hidden="false" customHeight="false" outlineLevel="0" collapsed="false">
      <c r="A6769" s="41"/>
      <c r="G6769" s="38" t="n">
        <f aca="false">MONTH(A6769)</f>
        <v>12</v>
      </c>
      <c r="H6769" s="38" t="n">
        <f aca="false">YEAR(Tabela1[[#This Row],[FECHA]])</f>
        <v>1900</v>
      </c>
      <c r="I67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70" customFormat="false" ht="15" hidden="false" customHeight="false" outlineLevel="0" collapsed="false">
      <c r="A6770" s="41"/>
      <c r="G6770" s="38" t="n">
        <f aca="false">MONTH(A6770)</f>
        <v>12</v>
      </c>
      <c r="H6770" s="38" t="n">
        <f aca="false">YEAR(Tabela1[[#This Row],[FECHA]])</f>
        <v>1900</v>
      </c>
      <c r="I67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71" customFormat="false" ht="15" hidden="false" customHeight="false" outlineLevel="0" collapsed="false">
      <c r="A6771" s="41"/>
      <c r="G6771" s="38" t="n">
        <f aca="false">MONTH(A6771)</f>
        <v>12</v>
      </c>
      <c r="H6771" s="38" t="n">
        <f aca="false">YEAR(Tabela1[[#This Row],[FECHA]])</f>
        <v>1900</v>
      </c>
      <c r="I67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72" customFormat="false" ht="15" hidden="false" customHeight="false" outlineLevel="0" collapsed="false">
      <c r="A6772" s="41"/>
      <c r="G6772" s="38" t="n">
        <f aca="false">MONTH(A6772)</f>
        <v>12</v>
      </c>
      <c r="H6772" s="38" t="n">
        <f aca="false">YEAR(Tabela1[[#This Row],[FECHA]])</f>
        <v>1900</v>
      </c>
      <c r="I67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73" customFormat="false" ht="15" hidden="false" customHeight="false" outlineLevel="0" collapsed="false">
      <c r="A6773" s="41"/>
      <c r="G6773" s="38" t="n">
        <f aca="false">MONTH(A6773)</f>
        <v>12</v>
      </c>
      <c r="H6773" s="38" t="n">
        <f aca="false">YEAR(Tabela1[[#This Row],[FECHA]])</f>
        <v>1900</v>
      </c>
      <c r="I67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74" customFormat="false" ht="15" hidden="false" customHeight="false" outlineLevel="0" collapsed="false">
      <c r="A6774" s="41"/>
      <c r="G6774" s="38" t="n">
        <f aca="false">MONTH(A6774)</f>
        <v>12</v>
      </c>
      <c r="H6774" s="38" t="n">
        <f aca="false">YEAR(Tabela1[[#This Row],[FECHA]])</f>
        <v>1900</v>
      </c>
      <c r="I67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75" customFormat="false" ht="15" hidden="false" customHeight="false" outlineLevel="0" collapsed="false">
      <c r="A6775" s="41"/>
      <c r="G6775" s="38" t="n">
        <f aca="false">MONTH(A6775)</f>
        <v>12</v>
      </c>
      <c r="H6775" s="38" t="n">
        <f aca="false">YEAR(Tabela1[[#This Row],[FECHA]])</f>
        <v>1900</v>
      </c>
      <c r="I67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76" customFormat="false" ht="15" hidden="false" customHeight="false" outlineLevel="0" collapsed="false">
      <c r="A6776" s="41"/>
      <c r="G6776" s="38" t="n">
        <f aca="false">MONTH(A6776)</f>
        <v>12</v>
      </c>
      <c r="H6776" s="38" t="n">
        <f aca="false">YEAR(Tabela1[[#This Row],[FECHA]])</f>
        <v>1900</v>
      </c>
      <c r="I67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77" customFormat="false" ht="15" hidden="false" customHeight="false" outlineLevel="0" collapsed="false">
      <c r="A6777" s="41"/>
      <c r="G6777" s="38" t="n">
        <f aca="false">MONTH(A6777)</f>
        <v>12</v>
      </c>
      <c r="H6777" s="38" t="n">
        <f aca="false">YEAR(Tabela1[[#This Row],[FECHA]])</f>
        <v>1900</v>
      </c>
      <c r="I67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78" customFormat="false" ht="15" hidden="false" customHeight="false" outlineLevel="0" collapsed="false">
      <c r="A6778" s="41"/>
      <c r="G6778" s="38" t="n">
        <f aca="false">MONTH(A6778)</f>
        <v>12</v>
      </c>
      <c r="H6778" s="38" t="n">
        <f aca="false">YEAR(Tabela1[[#This Row],[FECHA]])</f>
        <v>1900</v>
      </c>
      <c r="I67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79" customFormat="false" ht="15" hidden="false" customHeight="false" outlineLevel="0" collapsed="false">
      <c r="A6779" s="41"/>
      <c r="G6779" s="38" t="n">
        <f aca="false">MONTH(A6779)</f>
        <v>12</v>
      </c>
      <c r="H6779" s="38" t="n">
        <f aca="false">YEAR(Tabela1[[#This Row],[FECHA]])</f>
        <v>1900</v>
      </c>
      <c r="I67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80" customFormat="false" ht="15" hidden="false" customHeight="false" outlineLevel="0" collapsed="false">
      <c r="A6780" s="41"/>
      <c r="G6780" s="38" t="n">
        <f aca="false">MONTH(A6780)</f>
        <v>12</v>
      </c>
      <c r="H6780" s="38" t="n">
        <f aca="false">YEAR(Tabela1[[#This Row],[FECHA]])</f>
        <v>1900</v>
      </c>
      <c r="I67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81" customFormat="false" ht="15" hidden="false" customHeight="false" outlineLevel="0" collapsed="false">
      <c r="A6781" s="41"/>
      <c r="G6781" s="38" t="n">
        <f aca="false">MONTH(A6781)</f>
        <v>12</v>
      </c>
      <c r="H6781" s="38" t="n">
        <f aca="false">YEAR(Tabela1[[#This Row],[FECHA]])</f>
        <v>1900</v>
      </c>
      <c r="I67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82" customFormat="false" ht="15" hidden="false" customHeight="false" outlineLevel="0" collapsed="false">
      <c r="A6782" s="41"/>
      <c r="G6782" s="38" t="n">
        <f aca="false">MONTH(A6782)</f>
        <v>12</v>
      </c>
      <c r="H6782" s="38" t="n">
        <f aca="false">YEAR(Tabela1[[#This Row],[FECHA]])</f>
        <v>1900</v>
      </c>
      <c r="I67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83" customFormat="false" ht="15" hidden="false" customHeight="false" outlineLevel="0" collapsed="false">
      <c r="A6783" s="41"/>
      <c r="G6783" s="38" t="n">
        <f aca="false">MONTH(A6783)</f>
        <v>12</v>
      </c>
      <c r="H6783" s="38" t="n">
        <f aca="false">YEAR(Tabela1[[#This Row],[FECHA]])</f>
        <v>1900</v>
      </c>
      <c r="I67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84" customFormat="false" ht="15" hidden="false" customHeight="false" outlineLevel="0" collapsed="false">
      <c r="A6784" s="41"/>
      <c r="G6784" s="38" t="n">
        <f aca="false">MONTH(A6784)</f>
        <v>12</v>
      </c>
      <c r="H6784" s="38" t="n">
        <f aca="false">YEAR(Tabela1[[#This Row],[FECHA]])</f>
        <v>1900</v>
      </c>
      <c r="I67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85" customFormat="false" ht="15" hidden="false" customHeight="false" outlineLevel="0" collapsed="false">
      <c r="A6785" s="41"/>
      <c r="G6785" s="38" t="n">
        <f aca="false">MONTH(A6785)</f>
        <v>12</v>
      </c>
      <c r="H6785" s="38" t="n">
        <f aca="false">YEAR(Tabela1[[#This Row],[FECHA]])</f>
        <v>1900</v>
      </c>
      <c r="I67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86" customFormat="false" ht="15" hidden="false" customHeight="false" outlineLevel="0" collapsed="false">
      <c r="A6786" s="41"/>
      <c r="G6786" s="38" t="n">
        <f aca="false">MONTH(A6786)</f>
        <v>12</v>
      </c>
      <c r="H6786" s="38" t="n">
        <f aca="false">YEAR(Tabela1[[#This Row],[FECHA]])</f>
        <v>1900</v>
      </c>
      <c r="I67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87" customFormat="false" ht="15" hidden="false" customHeight="false" outlineLevel="0" collapsed="false">
      <c r="A6787" s="41"/>
      <c r="G6787" s="38" t="n">
        <f aca="false">MONTH(A6787)</f>
        <v>12</v>
      </c>
      <c r="H6787" s="38" t="n">
        <f aca="false">YEAR(Tabela1[[#This Row],[FECHA]])</f>
        <v>1900</v>
      </c>
      <c r="I67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88" customFormat="false" ht="15" hidden="false" customHeight="false" outlineLevel="0" collapsed="false">
      <c r="A6788" s="41"/>
      <c r="G6788" s="38" t="n">
        <f aca="false">MONTH(A6788)</f>
        <v>12</v>
      </c>
      <c r="H6788" s="38" t="n">
        <f aca="false">YEAR(Tabela1[[#This Row],[FECHA]])</f>
        <v>1900</v>
      </c>
      <c r="I67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89" customFormat="false" ht="15" hidden="false" customHeight="false" outlineLevel="0" collapsed="false">
      <c r="A6789" s="41"/>
      <c r="G6789" s="38" t="n">
        <f aca="false">MONTH(A6789)</f>
        <v>12</v>
      </c>
      <c r="H6789" s="38" t="n">
        <f aca="false">YEAR(Tabela1[[#This Row],[FECHA]])</f>
        <v>1900</v>
      </c>
      <c r="I67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90" customFormat="false" ht="15" hidden="false" customHeight="false" outlineLevel="0" collapsed="false">
      <c r="A6790" s="41"/>
      <c r="G6790" s="38" t="n">
        <f aca="false">MONTH(A6790)</f>
        <v>12</v>
      </c>
      <c r="H6790" s="38" t="n">
        <f aca="false">YEAR(Tabela1[[#This Row],[FECHA]])</f>
        <v>1900</v>
      </c>
      <c r="I67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91" customFormat="false" ht="15" hidden="false" customHeight="false" outlineLevel="0" collapsed="false">
      <c r="A6791" s="41"/>
      <c r="G6791" s="38" t="n">
        <f aca="false">MONTH(A6791)</f>
        <v>12</v>
      </c>
      <c r="H6791" s="38" t="n">
        <f aca="false">YEAR(Tabela1[[#This Row],[FECHA]])</f>
        <v>1900</v>
      </c>
      <c r="I67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92" customFormat="false" ht="15" hidden="false" customHeight="false" outlineLevel="0" collapsed="false">
      <c r="A6792" s="41"/>
      <c r="G6792" s="38" t="n">
        <f aca="false">MONTH(A6792)</f>
        <v>12</v>
      </c>
      <c r="H6792" s="38" t="n">
        <f aca="false">YEAR(Tabela1[[#This Row],[FECHA]])</f>
        <v>1900</v>
      </c>
      <c r="I67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93" customFormat="false" ht="15" hidden="false" customHeight="false" outlineLevel="0" collapsed="false">
      <c r="A6793" s="41"/>
      <c r="G6793" s="38" t="n">
        <f aca="false">MONTH(A6793)</f>
        <v>12</v>
      </c>
      <c r="H6793" s="38" t="n">
        <f aca="false">YEAR(Tabela1[[#This Row],[FECHA]])</f>
        <v>1900</v>
      </c>
      <c r="I67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94" customFormat="false" ht="15" hidden="false" customHeight="false" outlineLevel="0" collapsed="false">
      <c r="A6794" s="41"/>
      <c r="G6794" s="38" t="n">
        <f aca="false">MONTH(A6794)</f>
        <v>12</v>
      </c>
      <c r="H6794" s="38" t="n">
        <f aca="false">YEAR(Tabela1[[#This Row],[FECHA]])</f>
        <v>1900</v>
      </c>
      <c r="I67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95" customFormat="false" ht="15" hidden="false" customHeight="false" outlineLevel="0" collapsed="false">
      <c r="A6795" s="41"/>
      <c r="G6795" s="38" t="n">
        <f aca="false">MONTH(A6795)</f>
        <v>12</v>
      </c>
      <c r="H6795" s="38" t="n">
        <f aca="false">YEAR(Tabela1[[#This Row],[FECHA]])</f>
        <v>1900</v>
      </c>
      <c r="I67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96" customFormat="false" ht="15" hidden="false" customHeight="false" outlineLevel="0" collapsed="false">
      <c r="A6796" s="41"/>
      <c r="G6796" s="38" t="n">
        <f aca="false">MONTH(A6796)</f>
        <v>12</v>
      </c>
      <c r="H6796" s="38" t="n">
        <f aca="false">YEAR(Tabela1[[#This Row],[FECHA]])</f>
        <v>1900</v>
      </c>
      <c r="I67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97" customFormat="false" ht="15" hidden="false" customHeight="false" outlineLevel="0" collapsed="false">
      <c r="A6797" s="41"/>
      <c r="G6797" s="38" t="n">
        <f aca="false">MONTH(A6797)</f>
        <v>12</v>
      </c>
      <c r="H6797" s="38" t="n">
        <f aca="false">YEAR(Tabela1[[#This Row],[FECHA]])</f>
        <v>1900</v>
      </c>
      <c r="I67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98" customFormat="false" ht="15" hidden="false" customHeight="false" outlineLevel="0" collapsed="false">
      <c r="A6798" s="41"/>
      <c r="G6798" s="38" t="n">
        <f aca="false">MONTH(A6798)</f>
        <v>12</v>
      </c>
      <c r="H6798" s="38" t="n">
        <f aca="false">YEAR(Tabela1[[#This Row],[FECHA]])</f>
        <v>1900</v>
      </c>
      <c r="I67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799" customFormat="false" ht="15" hidden="false" customHeight="false" outlineLevel="0" collapsed="false">
      <c r="A6799" s="41"/>
      <c r="G6799" s="38" t="n">
        <f aca="false">MONTH(A6799)</f>
        <v>12</v>
      </c>
      <c r="H6799" s="38" t="n">
        <f aca="false">YEAR(Tabela1[[#This Row],[FECHA]])</f>
        <v>1900</v>
      </c>
      <c r="I67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00" customFormat="false" ht="15" hidden="false" customHeight="false" outlineLevel="0" collapsed="false">
      <c r="A6800" s="41"/>
      <c r="G6800" s="38" t="n">
        <f aca="false">MONTH(A6800)</f>
        <v>12</v>
      </c>
      <c r="H6800" s="38" t="n">
        <f aca="false">YEAR(Tabela1[[#This Row],[FECHA]])</f>
        <v>1900</v>
      </c>
      <c r="I68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01" customFormat="false" ht="15" hidden="false" customHeight="false" outlineLevel="0" collapsed="false">
      <c r="A6801" s="41"/>
      <c r="G6801" s="38" t="n">
        <f aca="false">MONTH(A6801)</f>
        <v>12</v>
      </c>
      <c r="H6801" s="38" t="n">
        <f aca="false">YEAR(Tabela1[[#This Row],[FECHA]])</f>
        <v>1900</v>
      </c>
      <c r="I68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02" customFormat="false" ht="15" hidden="false" customHeight="false" outlineLevel="0" collapsed="false">
      <c r="A6802" s="41"/>
      <c r="G6802" s="38" t="n">
        <f aca="false">MONTH(A6802)</f>
        <v>12</v>
      </c>
      <c r="H6802" s="38" t="n">
        <f aca="false">YEAR(Tabela1[[#This Row],[FECHA]])</f>
        <v>1900</v>
      </c>
      <c r="I68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03" customFormat="false" ht="15" hidden="false" customHeight="false" outlineLevel="0" collapsed="false">
      <c r="A6803" s="41"/>
      <c r="G6803" s="38" t="n">
        <f aca="false">MONTH(A6803)</f>
        <v>12</v>
      </c>
      <c r="H6803" s="38" t="n">
        <f aca="false">YEAR(Tabela1[[#This Row],[FECHA]])</f>
        <v>1900</v>
      </c>
      <c r="I68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04" customFormat="false" ht="15" hidden="false" customHeight="false" outlineLevel="0" collapsed="false">
      <c r="A6804" s="41"/>
      <c r="G6804" s="38" t="n">
        <f aca="false">MONTH(A6804)</f>
        <v>12</v>
      </c>
      <c r="H6804" s="38" t="n">
        <f aca="false">YEAR(Tabela1[[#This Row],[FECHA]])</f>
        <v>1900</v>
      </c>
      <c r="I68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05" customFormat="false" ht="15" hidden="false" customHeight="false" outlineLevel="0" collapsed="false">
      <c r="A6805" s="41"/>
      <c r="G6805" s="38" t="n">
        <f aca="false">MONTH(A6805)</f>
        <v>12</v>
      </c>
      <c r="H6805" s="38" t="n">
        <f aca="false">YEAR(Tabela1[[#This Row],[FECHA]])</f>
        <v>1900</v>
      </c>
      <c r="I68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06" customFormat="false" ht="15" hidden="false" customHeight="false" outlineLevel="0" collapsed="false">
      <c r="A6806" s="41"/>
      <c r="G6806" s="38" t="n">
        <f aca="false">MONTH(A6806)</f>
        <v>12</v>
      </c>
      <c r="H6806" s="38" t="n">
        <f aca="false">YEAR(Tabela1[[#This Row],[FECHA]])</f>
        <v>1900</v>
      </c>
      <c r="I68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07" customFormat="false" ht="15" hidden="false" customHeight="false" outlineLevel="0" collapsed="false">
      <c r="A6807" s="41"/>
      <c r="G6807" s="38" t="n">
        <f aca="false">MONTH(A6807)</f>
        <v>12</v>
      </c>
      <c r="H6807" s="38" t="n">
        <f aca="false">YEAR(Tabela1[[#This Row],[FECHA]])</f>
        <v>1900</v>
      </c>
      <c r="I68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08" customFormat="false" ht="15" hidden="false" customHeight="false" outlineLevel="0" collapsed="false">
      <c r="A6808" s="41"/>
      <c r="G6808" s="38" t="n">
        <f aca="false">MONTH(A6808)</f>
        <v>12</v>
      </c>
      <c r="H6808" s="38" t="n">
        <f aca="false">YEAR(Tabela1[[#This Row],[FECHA]])</f>
        <v>1900</v>
      </c>
      <c r="I68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09" customFormat="false" ht="15" hidden="false" customHeight="false" outlineLevel="0" collapsed="false">
      <c r="A6809" s="41"/>
      <c r="G6809" s="38" t="n">
        <f aca="false">MONTH(A6809)</f>
        <v>12</v>
      </c>
      <c r="H6809" s="38" t="n">
        <f aca="false">YEAR(Tabela1[[#This Row],[FECHA]])</f>
        <v>1900</v>
      </c>
      <c r="I68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10" customFormat="false" ht="15" hidden="false" customHeight="false" outlineLevel="0" collapsed="false">
      <c r="A6810" s="41"/>
      <c r="G6810" s="38" t="n">
        <f aca="false">MONTH(A6810)</f>
        <v>12</v>
      </c>
      <c r="H6810" s="38" t="n">
        <f aca="false">YEAR(Tabela1[[#This Row],[FECHA]])</f>
        <v>1900</v>
      </c>
      <c r="I68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11" customFormat="false" ht="15" hidden="false" customHeight="false" outlineLevel="0" collapsed="false">
      <c r="A6811" s="41"/>
      <c r="G6811" s="38" t="n">
        <f aca="false">MONTH(A6811)</f>
        <v>12</v>
      </c>
      <c r="H6811" s="38" t="n">
        <f aca="false">YEAR(Tabela1[[#This Row],[FECHA]])</f>
        <v>1900</v>
      </c>
      <c r="I68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12" customFormat="false" ht="15" hidden="false" customHeight="false" outlineLevel="0" collapsed="false">
      <c r="A6812" s="41"/>
      <c r="G6812" s="38" t="n">
        <f aca="false">MONTH(A6812)</f>
        <v>12</v>
      </c>
      <c r="H6812" s="38" t="n">
        <f aca="false">YEAR(Tabela1[[#This Row],[FECHA]])</f>
        <v>1900</v>
      </c>
      <c r="I68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13" customFormat="false" ht="15" hidden="false" customHeight="false" outlineLevel="0" collapsed="false">
      <c r="A6813" s="41"/>
      <c r="G6813" s="38" t="n">
        <f aca="false">MONTH(A6813)</f>
        <v>12</v>
      </c>
      <c r="H6813" s="38" t="n">
        <f aca="false">YEAR(Tabela1[[#This Row],[FECHA]])</f>
        <v>1900</v>
      </c>
      <c r="I68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14" customFormat="false" ht="15" hidden="false" customHeight="false" outlineLevel="0" collapsed="false">
      <c r="A6814" s="41"/>
      <c r="G6814" s="38" t="n">
        <f aca="false">MONTH(A6814)</f>
        <v>12</v>
      </c>
      <c r="H6814" s="38" t="n">
        <f aca="false">YEAR(Tabela1[[#This Row],[FECHA]])</f>
        <v>1900</v>
      </c>
      <c r="I68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15" customFormat="false" ht="15" hidden="false" customHeight="false" outlineLevel="0" collapsed="false">
      <c r="A6815" s="41"/>
      <c r="G6815" s="38" t="n">
        <f aca="false">MONTH(A6815)</f>
        <v>12</v>
      </c>
      <c r="H6815" s="38" t="n">
        <f aca="false">YEAR(Tabela1[[#This Row],[FECHA]])</f>
        <v>1900</v>
      </c>
      <c r="I68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16" customFormat="false" ht="15" hidden="false" customHeight="false" outlineLevel="0" collapsed="false">
      <c r="A6816" s="41"/>
      <c r="G6816" s="38" t="n">
        <f aca="false">MONTH(A6816)</f>
        <v>12</v>
      </c>
      <c r="H6816" s="38" t="n">
        <f aca="false">YEAR(Tabela1[[#This Row],[FECHA]])</f>
        <v>1900</v>
      </c>
      <c r="I68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17" customFormat="false" ht="15" hidden="false" customHeight="false" outlineLevel="0" collapsed="false">
      <c r="A6817" s="41"/>
      <c r="G6817" s="38" t="n">
        <f aca="false">MONTH(A6817)</f>
        <v>12</v>
      </c>
      <c r="H6817" s="38" t="n">
        <f aca="false">YEAR(Tabela1[[#This Row],[FECHA]])</f>
        <v>1900</v>
      </c>
      <c r="I68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18" customFormat="false" ht="15" hidden="false" customHeight="false" outlineLevel="0" collapsed="false">
      <c r="A6818" s="41"/>
      <c r="G6818" s="38" t="n">
        <f aca="false">MONTH(A6818)</f>
        <v>12</v>
      </c>
      <c r="H6818" s="38" t="n">
        <f aca="false">YEAR(Tabela1[[#This Row],[FECHA]])</f>
        <v>1900</v>
      </c>
      <c r="I68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19" customFormat="false" ht="15" hidden="false" customHeight="false" outlineLevel="0" collapsed="false">
      <c r="A6819" s="41"/>
      <c r="G6819" s="38" t="n">
        <f aca="false">MONTH(A6819)</f>
        <v>12</v>
      </c>
      <c r="H6819" s="38" t="n">
        <f aca="false">YEAR(Tabela1[[#This Row],[FECHA]])</f>
        <v>1900</v>
      </c>
      <c r="I68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20" customFormat="false" ht="15" hidden="false" customHeight="false" outlineLevel="0" collapsed="false">
      <c r="A6820" s="41"/>
      <c r="G6820" s="38" t="n">
        <f aca="false">MONTH(A6820)</f>
        <v>12</v>
      </c>
      <c r="H6820" s="38" t="n">
        <f aca="false">YEAR(Tabela1[[#This Row],[FECHA]])</f>
        <v>1900</v>
      </c>
      <c r="I68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21" customFormat="false" ht="15" hidden="false" customHeight="false" outlineLevel="0" collapsed="false">
      <c r="A6821" s="41"/>
      <c r="G6821" s="38" t="n">
        <f aca="false">MONTH(A6821)</f>
        <v>12</v>
      </c>
      <c r="H6821" s="38" t="n">
        <f aca="false">YEAR(Tabela1[[#This Row],[FECHA]])</f>
        <v>1900</v>
      </c>
      <c r="I68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22" customFormat="false" ht="15" hidden="false" customHeight="false" outlineLevel="0" collapsed="false">
      <c r="A6822" s="41"/>
      <c r="G6822" s="38" t="n">
        <f aca="false">MONTH(A6822)</f>
        <v>12</v>
      </c>
      <c r="H6822" s="38" t="n">
        <f aca="false">YEAR(Tabela1[[#This Row],[FECHA]])</f>
        <v>1900</v>
      </c>
      <c r="I68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23" customFormat="false" ht="15" hidden="false" customHeight="false" outlineLevel="0" collapsed="false">
      <c r="A6823" s="41"/>
      <c r="G6823" s="38" t="n">
        <f aca="false">MONTH(A6823)</f>
        <v>12</v>
      </c>
      <c r="H6823" s="38" t="n">
        <f aca="false">YEAR(Tabela1[[#This Row],[FECHA]])</f>
        <v>1900</v>
      </c>
      <c r="I68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24" customFormat="false" ht="15" hidden="false" customHeight="false" outlineLevel="0" collapsed="false">
      <c r="A6824" s="41"/>
      <c r="G6824" s="38" t="n">
        <f aca="false">MONTH(A6824)</f>
        <v>12</v>
      </c>
      <c r="H6824" s="38" t="n">
        <f aca="false">YEAR(Tabela1[[#This Row],[FECHA]])</f>
        <v>1900</v>
      </c>
      <c r="I68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25" customFormat="false" ht="15" hidden="false" customHeight="false" outlineLevel="0" collapsed="false">
      <c r="A6825" s="41"/>
      <c r="G6825" s="38" t="n">
        <f aca="false">MONTH(A6825)</f>
        <v>12</v>
      </c>
      <c r="H6825" s="38" t="n">
        <f aca="false">YEAR(Tabela1[[#This Row],[FECHA]])</f>
        <v>1900</v>
      </c>
      <c r="I68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26" customFormat="false" ht="15" hidden="false" customHeight="false" outlineLevel="0" collapsed="false">
      <c r="A6826" s="41"/>
      <c r="G6826" s="38" t="n">
        <f aca="false">MONTH(A6826)</f>
        <v>12</v>
      </c>
      <c r="H6826" s="38" t="n">
        <f aca="false">YEAR(Tabela1[[#This Row],[FECHA]])</f>
        <v>1900</v>
      </c>
      <c r="I68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27" customFormat="false" ht="15" hidden="false" customHeight="false" outlineLevel="0" collapsed="false">
      <c r="A6827" s="41"/>
      <c r="G6827" s="38" t="n">
        <f aca="false">MONTH(A6827)</f>
        <v>12</v>
      </c>
      <c r="H6827" s="38" t="n">
        <f aca="false">YEAR(Tabela1[[#This Row],[FECHA]])</f>
        <v>1900</v>
      </c>
      <c r="I68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28" customFormat="false" ht="15" hidden="false" customHeight="false" outlineLevel="0" collapsed="false">
      <c r="A6828" s="41"/>
      <c r="G6828" s="38" t="n">
        <f aca="false">MONTH(A6828)</f>
        <v>12</v>
      </c>
      <c r="H6828" s="38" t="n">
        <f aca="false">YEAR(Tabela1[[#This Row],[FECHA]])</f>
        <v>1900</v>
      </c>
      <c r="I68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29" customFormat="false" ht="15" hidden="false" customHeight="false" outlineLevel="0" collapsed="false">
      <c r="A6829" s="41"/>
      <c r="G6829" s="38" t="n">
        <f aca="false">MONTH(A6829)</f>
        <v>12</v>
      </c>
      <c r="H6829" s="38" t="n">
        <f aca="false">YEAR(Tabela1[[#This Row],[FECHA]])</f>
        <v>1900</v>
      </c>
      <c r="I68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30" customFormat="false" ht="15" hidden="false" customHeight="false" outlineLevel="0" collapsed="false">
      <c r="A6830" s="41"/>
      <c r="G6830" s="38" t="n">
        <f aca="false">MONTH(A6830)</f>
        <v>12</v>
      </c>
      <c r="H6830" s="38" t="n">
        <f aca="false">YEAR(Tabela1[[#This Row],[FECHA]])</f>
        <v>1900</v>
      </c>
      <c r="I68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31" customFormat="false" ht="15" hidden="false" customHeight="false" outlineLevel="0" collapsed="false">
      <c r="A6831" s="41"/>
      <c r="G6831" s="38" t="n">
        <f aca="false">MONTH(A6831)</f>
        <v>12</v>
      </c>
      <c r="H6831" s="38" t="n">
        <f aca="false">YEAR(Tabela1[[#This Row],[FECHA]])</f>
        <v>1900</v>
      </c>
      <c r="I68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32" customFormat="false" ht="15" hidden="false" customHeight="false" outlineLevel="0" collapsed="false">
      <c r="A6832" s="41"/>
      <c r="G6832" s="38" t="n">
        <f aca="false">MONTH(A6832)</f>
        <v>12</v>
      </c>
      <c r="H6832" s="38" t="n">
        <f aca="false">YEAR(Tabela1[[#This Row],[FECHA]])</f>
        <v>1900</v>
      </c>
      <c r="I68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33" customFormat="false" ht="15" hidden="false" customHeight="false" outlineLevel="0" collapsed="false">
      <c r="A6833" s="41"/>
      <c r="G6833" s="38" t="n">
        <f aca="false">MONTH(A6833)</f>
        <v>12</v>
      </c>
      <c r="H6833" s="38" t="n">
        <f aca="false">YEAR(Tabela1[[#This Row],[FECHA]])</f>
        <v>1900</v>
      </c>
      <c r="I68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34" customFormat="false" ht="15" hidden="false" customHeight="false" outlineLevel="0" collapsed="false">
      <c r="A6834" s="41"/>
      <c r="G6834" s="38" t="n">
        <f aca="false">MONTH(A6834)</f>
        <v>12</v>
      </c>
      <c r="H6834" s="38" t="n">
        <f aca="false">YEAR(Tabela1[[#This Row],[FECHA]])</f>
        <v>1900</v>
      </c>
      <c r="I68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35" customFormat="false" ht="15" hidden="false" customHeight="false" outlineLevel="0" collapsed="false">
      <c r="A6835" s="41"/>
      <c r="G6835" s="38" t="n">
        <f aca="false">MONTH(A6835)</f>
        <v>12</v>
      </c>
      <c r="H6835" s="38" t="n">
        <f aca="false">YEAR(Tabela1[[#This Row],[FECHA]])</f>
        <v>1900</v>
      </c>
      <c r="I68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36" customFormat="false" ht="15" hidden="false" customHeight="false" outlineLevel="0" collapsed="false">
      <c r="A6836" s="41"/>
      <c r="G6836" s="38" t="n">
        <f aca="false">MONTH(A6836)</f>
        <v>12</v>
      </c>
      <c r="H6836" s="38" t="n">
        <f aca="false">YEAR(Tabela1[[#This Row],[FECHA]])</f>
        <v>1900</v>
      </c>
      <c r="I68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37" customFormat="false" ht="15" hidden="false" customHeight="false" outlineLevel="0" collapsed="false">
      <c r="A6837" s="41"/>
      <c r="G6837" s="38" t="n">
        <f aca="false">MONTH(A6837)</f>
        <v>12</v>
      </c>
      <c r="H6837" s="38" t="n">
        <f aca="false">YEAR(Tabela1[[#This Row],[FECHA]])</f>
        <v>1900</v>
      </c>
      <c r="I68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38" customFormat="false" ht="15" hidden="false" customHeight="false" outlineLevel="0" collapsed="false">
      <c r="A6838" s="41"/>
      <c r="G6838" s="38" t="n">
        <f aca="false">MONTH(A6838)</f>
        <v>12</v>
      </c>
      <c r="H6838" s="38" t="n">
        <f aca="false">YEAR(Tabela1[[#This Row],[FECHA]])</f>
        <v>1900</v>
      </c>
      <c r="I68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39" customFormat="false" ht="15" hidden="false" customHeight="false" outlineLevel="0" collapsed="false">
      <c r="A6839" s="41"/>
      <c r="G6839" s="38" t="n">
        <f aca="false">MONTH(A6839)</f>
        <v>12</v>
      </c>
      <c r="H6839" s="38" t="n">
        <f aca="false">YEAR(Tabela1[[#This Row],[FECHA]])</f>
        <v>1900</v>
      </c>
      <c r="I68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40" customFormat="false" ht="15" hidden="false" customHeight="false" outlineLevel="0" collapsed="false">
      <c r="A6840" s="41"/>
      <c r="G6840" s="38" t="n">
        <f aca="false">MONTH(A6840)</f>
        <v>12</v>
      </c>
      <c r="H6840" s="38" t="n">
        <f aca="false">YEAR(Tabela1[[#This Row],[FECHA]])</f>
        <v>1900</v>
      </c>
      <c r="I68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41" customFormat="false" ht="15" hidden="false" customHeight="false" outlineLevel="0" collapsed="false">
      <c r="A6841" s="41"/>
      <c r="G6841" s="38" t="n">
        <f aca="false">MONTH(A6841)</f>
        <v>12</v>
      </c>
      <c r="H6841" s="38" t="n">
        <f aca="false">YEAR(Tabela1[[#This Row],[FECHA]])</f>
        <v>1900</v>
      </c>
      <c r="I68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42" customFormat="false" ht="15" hidden="false" customHeight="false" outlineLevel="0" collapsed="false">
      <c r="A6842" s="41"/>
      <c r="G6842" s="38" t="n">
        <f aca="false">MONTH(A6842)</f>
        <v>12</v>
      </c>
      <c r="H6842" s="38" t="n">
        <f aca="false">YEAR(Tabela1[[#This Row],[FECHA]])</f>
        <v>1900</v>
      </c>
      <c r="I68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43" customFormat="false" ht="15" hidden="false" customHeight="false" outlineLevel="0" collapsed="false">
      <c r="A6843" s="41"/>
      <c r="G6843" s="38" t="n">
        <f aca="false">MONTH(A6843)</f>
        <v>12</v>
      </c>
      <c r="H6843" s="38" t="n">
        <f aca="false">YEAR(Tabela1[[#This Row],[FECHA]])</f>
        <v>1900</v>
      </c>
      <c r="I68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44" customFormat="false" ht="15" hidden="false" customHeight="false" outlineLevel="0" collapsed="false">
      <c r="A6844" s="41"/>
      <c r="G6844" s="38" t="n">
        <f aca="false">MONTH(A6844)</f>
        <v>12</v>
      </c>
      <c r="H6844" s="38" t="n">
        <f aca="false">YEAR(Tabela1[[#This Row],[FECHA]])</f>
        <v>1900</v>
      </c>
      <c r="I68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45" customFormat="false" ht="15" hidden="false" customHeight="false" outlineLevel="0" collapsed="false">
      <c r="A6845" s="41"/>
      <c r="G6845" s="38" t="n">
        <f aca="false">MONTH(A6845)</f>
        <v>12</v>
      </c>
      <c r="H6845" s="38" t="n">
        <f aca="false">YEAR(Tabela1[[#This Row],[FECHA]])</f>
        <v>1900</v>
      </c>
      <c r="I68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46" customFormat="false" ht="15" hidden="false" customHeight="false" outlineLevel="0" collapsed="false">
      <c r="A6846" s="41"/>
      <c r="G6846" s="38" t="n">
        <f aca="false">MONTH(A6846)</f>
        <v>12</v>
      </c>
      <c r="H6846" s="38" t="n">
        <f aca="false">YEAR(Tabela1[[#This Row],[FECHA]])</f>
        <v>1900</v>
      </c>
      <c r="I68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47" customFormat="false" ht="15" hidden="false" customHeight="false" outlineLevel="0" collapsed="false">
      <c r="A6847" s="41"/>
      <c r="G6847" s="38" t="n">
        <f aca="false">MONTH(A6847)</f>
        <v>12</v>
      </c>
      <c r="H6847" s="38" t="n">
        <f aca="false">YEAR(Tabela1[[#This Row],[FECHA]])</f>
        <v>1900</v>
      </c>
      <c r="I68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48" customFormat="false" ht="15" hidden="false" customHeight="false" outlineLevel="0" collapsed="false">
      <c r="A6848" s="41"/>
      <c r="G6848" s="38" t="n">
        <f aca="false">MONTH(A6848)</f>
        <v>12</v>
      </c>
      <c r="H6848" s="38" t="n">
        <f aca="false">YEAR(Tabela1[[#This Row],[FECHA]])</f>
        <v>1900</v>
      </c>
      <c r="I68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49" customFormat="false" ht="15" hidden="false" customHeight="false" outlineLevel="0" collapsed="false">
      <c r="A6849" s="41"/>
      <c r="G6849" s="38" t="n">
        <f aca="false">MONTH(A6849)</f>
        <v>12</v>
      </c>
      <c r="H6849" s="38" t="n">
        <f aca="false">YEAR(Tabela1[[#This Row],[FECHA]])</f>
        <v>1900</v>
      </c>
      <c r="I68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50" customFormat="false" ht="15" hidden="false" customHeight="false" outlineLevel="0" collapsed="false">
      <c r="A6850" s="41"/>
      <c r="G6850" s="38" t="n">
        <f aca="false">MONTH(A6850)</f>
        <v>12</v>
      </c>
      <c r="H6850" s="38" t="n">
        <f aca="false">YEAR(Tabela1[[#This Row],[FECHA]])</f>
        <v>1900</v>
      </c>
      <c r="I68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51" customFormat="false" ht="15" hidden="false" customHeight="false" outlineLevel="0" collapsed="false">
      <c r="A6851" s="41"/>
      <c r="G6851" s="38" t="n">
        <f aca="false">MONTH(A6851)</f>
        <v>12</v>
      </c>
      <c r="H6851" s="38" t="n">
        <f aca="false">YEAR(Tabela1[[#This Row],[FECHA]])</f>
        <v>1900</v>
      </c>
      <c r="I68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52" customFormat="false" ht="15" hidden="false" customHeight="false" outlineLevel="0" collapsed="false">
      <c r="A6852" s="41"/>
      <c r="G6852" s="38" t="n">
        <f aca="false">MONTH(A6852)</f>
        <v>12</v>
      </c>
      <c r="H6852" s="38" t="n">
        <f aca="false">YEAR(Tabela1[[#This Row],[FECHA]])</f>
        <v>1900</v>
      </c>
      <c r="I68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53" customFormat="false" ht="15" hidden="false" customHeight="false" outlineLevel="0" collapsed="false">
      <c r="A6853" s="41"/>
      <c r="G6853" s="38" t="n">
        <f aca="false">MONTH(A6853)</f>
        <v>12</v>
      </c>
      <c r="H6853" s="38" t="n">
        <f aca="false">YEAR(Tabela1[[#This Row],[FECHA]])</f>
        <v>1900</v>
      </c>
      <c r="I68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54" customFormat="false" ht="15" hidden="false" customHeight="false" outlineLevel="0" collapsed="false">
      <c r="A6854" s="41"/>
      <c r="G6854" s="38" t="n">
        <f aca="false">MONTH(A6854)</f>
        <v>12</v>
      </c>
      <c r="H6854" s="38" t="n">
        <f aca="false">YEAR(Tabela1[[#This Row],[FECHA]])</f>
        <v>1900</v>
      </c>
      <c r="I68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55" customFormat="false" ht="15" hidden="false" customHeight="false" outlineLevel="0" collapsed="false">
      <c r="A6855" s="41"/>
      <c r="G6855" s="38" t="n">
        <f aca="false">MONTH(A6855)</f>
        <v>12</v>
      </c>
      <c r="H6855" s="38" t="n">
        <f aca="false">YEAR(Tabela1[[#This Row],[FECHA]])</f>
        <v>1900</v>
      </c>
      <c r="I68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56" customFormat="false" ht="15" hidden="false" customHeight="false" outlineLevel="0" collapsed="false">
      <c r="A6856" s="41"/>
      <c r="G6856" s="38" t="n">
        <f aca="false">MONTH(A6856)</f>
        <v>12</v>
      </c>
      <c r="H6856" s="38" t="n">
        <f aca="false">YEAR(Tabela1[[#This Row],[FECHA]])</f>
        <v>1900</v>
      </c>
      <c r="I68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57" customFormat="false" ht="15" hidden="false" customHeight="false" outlineLevel="0" collapsed="false">
      <c r="A6857" s="41"/>
      <c r="G6857" s="38" t="n">
        <f aca="false">MONTH(A6857)</f>
        <v>12</v>
      </c>
      <c r="H6857" s="38" t="n">
        <f aca="false">YEAR(Tabela1[[#This Row],[FECHA]])</f>
        <v>1900</v>
      </c>
      <c r="I68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58" customFormat="false" ht="15" hidden="false" customHeight="false" outlineLevel="0" collapsed="false">
      <c r="A6858" s="41"/>
      <c r="G6858" s="38" t="n">
        <f aca="false">MONTH(A6858)</f>
        <v>12</v>
      </c>
      <c r="H6858" s="38" t="n">
        <f aca="false">YEAR(Tabela1[[#This Row],[FECHA]])</f>
        <v>1900</v>
      </c>
      <c r="I68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59" customFormat="false" ht="15" hidden="false" customHeight="false" outlineLevel="0" collapsed="false">
      <c r="A6859" s="41"/>
      <c r="G6859" s="38" t="n">
        <f aca="false">MONTH(A6859)</f>
        <v>12</v>
      </c>
      <c r="H6859" s="38" t="n">
        <f aca="false">YEAR(Tabela1[[#This Row],[FECHA]])</f>
        <v>1900</v>
      </c>
      <c r="I68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60" customFormat="false" ht="15" hidden="false" customHeight="false" outlineLevel="0" collapsed="false">
      <c r="A6860" s="41"/>
      <c r="G6860" s="38" t="n">
        <f aca="false">MONTH(A6860)</f>
        <v>12</v>
      </c>
      <c r="H6860" s="38" t="n">
        <f aca="false">YEAR(Tabela1[[#This Row],[FECHA]])</f>
        <v>1900</v>
      </c>
      <c r="I68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61" customFormat="false" ht="15" hidden="false" customHeight="false" outlineLevel="0" collapsed="false">
      <c r="A6861" s="41"/>
      <c r="G6861" s="38" t="n">
        <f aca="false">MONTH(A6861)</f>
        <v>12</v>
      </c>
      <c r="H6861" s="38" t="n">
        <f aca="false">YEAR(Tabela1[[#This Row],[FECHA]])</f>
        <v>1900</v>
      </c>
      <c r="I68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62" customFormat="false" ht="15" hidden="false" customHeight="false" outlineLevel="0" collapsed="false">
      <c r="A6862" s="41"/>
      <c r="G6862" s="38" t="n">
        <f aca="false">MONTH(A6862)</f>
        <v>12</v>
      </c>
      <c r="H6862" s="38" t="n">
        <f aca="false">YEAR(Tabela1[[#This Row],[FECHA]])</f>
        <v>1900</v>
      </c>
      <c r="I68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63" customFormat="false" ht="15" hidden="false" customHeight="false" outlineLevel="0" collapsed="false">
      <c r="A6863" s="41"/>
      <c r="G6863" s="38" t="n">
        <f aca="false">MONTH(A6863)</f>
        <v>12</v>
      </c>
      <c r="H6863" s="38" t="n">
        <f aca="false">YEAR(Tabela1[[#This Row],[FECHA]])</f>
        <v>1900</v>
      </c>
      <c r="I68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64" customFormat="false" ht="15" hidden="false" customHeight="false" outlineLevel="0" collapsed="false">
      <c r="A6864" s="41"/>
      <c r="G6864" s="38" t="n">
        <f aca="false">MONTH(A6864)</f>
        <v>12</v>
      </c>
      <c r="H6864" s="38" t="n">
        <f aca="false">YEAR(Tabela1[[#This Row],[FECHA]])</f>
        <v>1900</v>
      </c>
      <c r="I68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65" customFormat="false" ht="15" hidden="false" customHeight="false" outlineLevel="0" collapsed="false">
      <c r="A6865" s="41"/>
      <c r="G6865" s="38" t="n">
        <f aca="false">MONTH(A6865)</f>
        <v>12</v>
      </c>
      <c r="H6865" s="38" t="n">
        <f aca="false">YEAR(Tabela1[[#This Row],[FECHA]])</f>
        <v>1900</v>
      </c>
      <c r="I68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66" customFormat="false" ht="15" hidden="false" customHeight="false" outlineLevel="0" collapsed="false">
      <c r="A6866" s="41"/>
      <c r="G6866" s="38" t="n">
        <f aca="false">MONTH(A6866)</f>
        <v>12</v>
      </c>
      <c r="H6866" s="38" t="n">
        <f aca="false">YEAR(Tabela1[[#This Row],[FECHA]])</f>
        <v>1900</v>
      </c>
      <c r="I68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67" customFormat="false" ht="15" hidden="false" customHeight="false" outlineLevel="0" collapsed="false">
      <c r="A6867" s="41"/>
      <c r="G6867" s="38" t="n">
        <f aca="false">MONTH(A6867)</f>
        <v>12</v>
      </c>
      <c r="H6867" s="38" t="n">
        <f aca="false">YEAR(Tabela1[[#This Row],[FECHA]])</f>
        <v>1900</v>
      </c>
      <c r="I68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68" customFormat="false" ht="15" hidden="false" customHeight="false" outlineLevel="0" collapsed="false">
      <c r="A6868" s="41"/>
      <c r="G6868" s="38" t="n">
        <f aca="false">MONTH(A6868)</f>
        <v>12</v>
      </c>
      <c r="H6868" s="38" t="n">
        <f aca="false">YEAR(Tabela1[[#This Row],[FECHA]])</f>
        <v>1900</v>
      </c>
      <c r="I68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69" customFormat="false" ht="15" hidden="false" customHeight="false" outlineLevel="0" collapsed="false">
      <c r="A6869" s="41"/>
      <c r="G6869" s="38" t="n">
        <f aca="false">MONTH(A6869)</f>
        <v>12</v>
      </c>
      <c r="H6869" s="38" t="n">
        <f aca="false">YEAR(Tabela1[[#This Row],[FECHA]])</f>
        <v>1900</v>
      </c>
      <c r="I68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70" customFormat="false" ht="15" hidden="false" customHeight="false" outlineLevel="0" collapsed="false">
      <c r="A6870" s="41"/>
      <c r="G6870" s="38" t="n">
        <f aca="false">MONTH(A6870)</f>
        <v>12</v>
      </c>
      <c r="H6870" s="38" t="n">
        <f aca="false">YEAR(Tabela1[[#This Row],[FECHA]])</f>
        <v>1900</v>
      </c>
      <c r="I68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71" customFormat="false" ht="15" hidden="false" customHeight="false" outlineLevel="0" collapsed="false">
      <c r="A6871" s="41"/>
      <c r="G6871" s="38" t="n">
        <f aca="false">MONTH(A6871)</f>
        <v>12</v>
      </c>
      <c r="H6871" s="38" t="n">
        <f aca="false">YEAR(Tabela1[[#This Row],[FECHA]])</f>
        <v>1900</v>
      </c>
      <c r="I68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72" customFormat="false" ht="15" hidden="false" customHeight="false" outlineLevel="0" collapsed="false">
      <c r="A6872" s="41"/>
      <c r="G6872" s="38" t="n">
        <f aca="false">MONTH(A6872)</f>
        <v>12</v>
      </c>
      <c r="H6872" s="38" t="n">
        <f aca="false">YEAR(Tabela1[[#This Row],[FECHA]])</f>
        <v>1900</v>
      </c>
      <c r="I68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73" customFormat="false" ht="15" hidden="false" customHeight="false" outlineLevel="0" collapsed="false">
      <c r="A6873" s="41"/>
      <c r="G6873" s="38" t="n">
        <f aca="false">MONTH(A6873)</f>
        <v>12</v>
      </c>
      <c r="H6873" s="38" t="n">
        <f aca="false">YEAR(Tabela1[[#This Row],[FECHA]])</f>
        <v>1900</v>
      </c>
      <c r="I68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74" customFormat="false" ht="15" hidden="false" customHeight="false" outlineLevel="0" collapsed="false">
      <c r="A6874" s="41"/>
      <c r="G6874" s="38" t="n">
        <f aca="false">MONTH(A6874)</f>
        <v>12</v>
      </c>
      <c r="H6874" s="38" t="n">
        <f aca="false">YEAR(Tabela1[[#This Row],[FECHA]])</f>
        <v>1900</v>
      </c>
      <c r="I68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75" customFormat="false" ht="15" hidden="false" customHeight="false" outlineLevel="0" collapsed="false">
      <c r="A6875" s="41"/>
      <c r="G6875" s="38" t="n">
        <f aca="false">MONTH(A6875)</f>
        <v>12</v>
      </c>
      <c r="H6875" s="38" t="n">
        <f aca="false">YEAR(Tabela1[[#This Row],[FECHA]])</f>
        <v>1900</v>
      </c>
      <c r="I68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76" customFormat="false" ht="15" hidden="false" customHeight="false" outlineLevel="0" collapsed="false">
      <c r="A6876" s="41"/>
      <c r="G6876" s="38" t="n">
        <f aca="false">MONTH(A6876)</f>
        <v>12</v>
      </c>
      <c r="H6876" s="38" t="n">
        <f aca="false">YEAR(Tabela1[[#This Row],[FECHA]])</f>
        <v>1900</v>
      </c>
      <c r="I68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77" customFormat="false" ht="15" hidden="false" customHeight="false" outlineLevel="0" collapsed="false">
      <c r="A6877" s="41"/>
      <c r="G6877" s="38" t="n">
        <f aca="false">MONTH(A6877)</f>
        <v>12</v>
      </c>
      <c r="H6877" s="38" t="n">
        <f aca="false">YEAR(Tabela1[[#This Row],[FECHA]])</f>
        <v>1900</v>
      </c>
      <c r="I68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78" customFormat="false" ht="15" hidden="false" customHeight="false" outlineLevel="0" collapsed="false">
      <c r="A6878" s="41"/>
      <c r="G6878" s="38" t="n">
        <f aca="false">MONTH(A6878)</f>
        <v>12</v>
      </c>
      <c r="H6878" s="38" t="n">
        <f aca="false">YEAR(Tabela1[[#This Row],[FECHA]])</f>
        <v>1900</v>
      </c>
      <c r="I68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79" customFormat="false" ht="15" hidden="false" customHeight="false" outlineLevel="0" collapsed="false">
      <c r="A6879" s="41"/>
      <c r="G6879" s="38" t="n">
        <f aca="false">MONTH(A6879)</f>
        <v>12</v>
      </c>
      <c r="H6879" s="38" t="n">
        <f aca="false">YEAR(Tabela1[[#This Row],[FECHA]])</f>
        <v>1900</v>
      </c>
      <c r="I68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80" customFormat="false" ht="15" hidden="false" customHeight="false" outlineLevel="0" collapsed="false">
      <c r="A6880" s="41"/>
      <c r="G6880" s="38" t="n">
        <f aca="false">MONTH(A6880)</f>
        <v>12</v>
      </c>
      <c r="H6880" s="38" t="n">
        <f aca="false">YEAR(Tabela1[[#This Row],[FECHA]])</f>
        <v>1900</v>
      </c>
      <c r="I68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81" customFormat="false" ht="15" hidden="false" customHeight="false" outlineLevel="0" collapsed="false">
      <c r="A6881" s="41"/>
      <c r="G6881" s="38" t="n">
        <f aca="false">MONTH(A6881)</f>
        <v>12</v>
      </c>
      <c r="H6881" s="38" t="n">
        <f aca="false">YEAR(Tabela1[[#This Row],[FECHA]])</f>
        <v>1900</v>
      </c>
      <c r="I68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82" customFormat="false" ht="15" hidden="false" customHeight="false" outlineLevel="0" collapsed="false">
      <c r="A6882" s="41"/>
      <c r="G6882" s="38" t="n">
        <f aca="false">MONTH(A6882)</f>
        <v>12</v>
      </c>
      <c r="H6882" s="38" t="n">
        <f aca="false">YEAR(Tabela1[[#This Row],[FECHA]])</f>
        <v>1900</v>
      </c>
      <c r="I68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83" customFormat="false" ht="15" hidden="false" customHeight="false" outlineLevel="0" collapsed="false">
      <c r="A6883" s="41"/>
      <c r="G6883" s="38" t="n">
        <f aca="false">MONTH(A6883)</f>
        <v>12</v>
      </c>
      <c r="H6883" s="38" t="n">
        <f aca="false">YEAR(Tabela1[[#This Row],[FECHA]])</f>
        <v>1900</v>
      </c>
      <c r="I68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84" customFormat="false" ht="15" hidden="false" customHeight="false" outlineLevel="0" collapsed="false">
      <c r="A6884" s="41"/>
      <c r="G6884" s="38" t="n">
        <f aca="false">MONTH(A6884)</f>
        <v>12</v>
      </c>
      <c r="H6884" s="38" t="n">
        <f aca="false">YEAR(Tabela1[[#This Row],[FECHA]])</f>
        <v>1900</v>
      </c>
      <c r="I68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85" customFormat="false" ht="15" hidden="false" customHeight="false" outlineLevel="0" collapsed="false">
      <c r="A6885" s="41"/>
      <c r="G6885" s="38" t="n">
        <f aca="false">MONTH(A6885)</f>
        <v>12</v>
      </c>
      <c r="H6885" s="38" t="n">
        <f aca="false">YEAR(Tabela1[[#This Row],[FECHA]])</f>
        <v>1900</v>
      </c>
      <c r="I68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86" customFormat="false" ht="15" hidden="false" customHeight="false" outlineLevel="0" collapsed="false">
      <c r="A6886" s="41"/>
      <c r="G6886" s="38" t="n">
        <f aca="false">MONTH(A6886)</f>
        <v>12</v>
      </c>
      <c r="H6886" s="38" t="n">
        <f aca="false">YEAR(Tabela1[[#This Row],[FECHA]])</f>
        <v>1900</v>
      </c>
      <c r="I68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87" customFormat="false" ht="15" hidden="false" customHeight="false" outlineLevel="0" collapsed="false">
      <c r="A6887" s="41"/>
      <c r="G6887" s="38" t="n">
        <f aca="false">MONTH(A6887)</f>
        <v>12</v>
      </c>
      <c r="H6887" s="38" t="n">
        <f aca="false">YEAR(Tabela1[[#This Row],[FECHA]])</f>
        <v>1900</v>
      </c>
      <c r="I68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88" customFormat="false" ht="15" hidden="false" customHeight="false" outlineLevel="0" collapsed="false">
      <c r="A6888" s="41"/>
      <c r="G6888" s="38" t="n">
        <f aca="false">MONTH(A6888)</f>
        <v>12</v>
      </c>
      <c r="H6888" s="38" t="n">
        <f aca="false">YEAR(Tabela1[[#This Row],[FECHA]])</f>
        <v>1900</v>
      </c>
      <c r="I68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89" customFormat="false" ht="15" hidden="false" customHeight="false" outlineLevel="0" collapsed="false">
      <c r="A6889" s="41"/>
      <c r="G6889" s="38" t="n">
        <f aca="false">MONTH(A6889)</f>
        <v>12</v>
      </c>
      <c r="H6889" s="38" t="n">
        <f aca="false">YEAR(Tabela1[[#This Row],[FECHA]])</f>
        <v>1900</v>
      </c>
      <c r="I68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90" customFormat="false" ht="15" hidden="false" customHeight="false" outlineLevel="0" collapsed="false">
      <c r="A6890" s="41"/>
      <c r="G6890" s="38" t="n">
        <f aca="false">MONTH(A6890)</f>
        <v>12</v>
      </c>
      <c r="H6890" s="38" t="n">
        <f aca="false">YEAR(Tabela1[[#This Row],[FECHA]])</f>
        <v>1900</v>
      </c>
      <c r="I68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91" customFormat="false" ht="15" hidden="false" customHeight="false" outlineLevel="0" collapsed="false">
      <c r="A6891" s="41"/>
      <c r="G6891" s="38" t="n">
        <f aca="false">MONTH(A6891)</f>
        <v>12</v>
      </c>
      <c r="H6891" s="38" t="n">
        <f aca="false">YEAR(Tabela1[[#This Row],[FECHA]])</f>
        <v>1900</v>
      </c>
      <c r="I68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92" customFormat="false" ht="15" hidden="false" customHeight="false" outlineLevel="0" collapsed="false">
      <c r="A6892" s="41"/>
      <c r="G6892" s="38" t="n">
        <f aca="false">MONTH(A6892)</f>
        <v>12</v>
      </c>
      <c r="H6892" s="38" t="n">
        <f aca="false">YEAR(Tabela1[[#This Row],[FECHA]])</f>
        <v>1900</v>
      </c>
      <c r="I68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93" customFormat="false" ht="15" hidden="false" customHeight="false" outlineLevel="0" collapsed="false">
      <c r="A6893" s="41"/>
      <c r="G6893" s="38" t="n">
        <f aca="false">MONTH(A6893)</f>
        <v>12</v>
      </c>
      <c r="H6893" s="38" t="n">
        <f aca="false">YEAR(Tabela1[[#This Row],[FECHA]])</f>
        <v>1900</v>
      </c>
      <c r="I68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94" customFormat="false" ht="15" hidden="false" customHeight="false" outlineLevel="0" collapsed="false">
      <c r="A6894" s="41"/>
      <c r="G6894" s="38" t="n">
        <f aca="false">MONTH(A6894)</f>
        <v>12</v>
      </c>
      <c r="H6894" s="38" t="n">
        <f aca="false">YEAR(Tabela1[[#This Row],[FECHA]])</f>
        <v>1900</v>
      </c>
      <c r="I68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95" customFormat="false" ht="15" hidden="false" customHeight="false" outlineLevel="0" collapsed="false">
      <c r="A6895" s="41"/>
      <c r="G6895" s="38" t="n">
        <f aca="false">MONTH(A6895)</f>
        <v>12</v>
      </c>
      <c r="H6895" s="38" t="n">
        <f aca="false">YEAR(Tabela1[[#This Row],[FECHA]])</f>
        <v>1900</v>
      </c>
      <c r="I68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96" customFormat="false" ht="15" hidden="false" customHeight="false" outlineLevel="0" collapsed="false">
      <c r="A6896" s="41"/>
      <c r="G6896" s="38" t="n">
        <f aca="false">MONTH(A6896)</f>
        <v>12</v>
      </c>
      <c r="H6896" s="38" t="n">
        <f aca="false">YEAR(Tabela1[[#This Row],[FECHA]])</f>
        <v>1900</v>
      </c>
      <c r="I68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97" customFormat="false" ht="15" hidden="false" customHeight="false" outlineLevel="0" collapsed="false">
      <c r="A6897" s="41"/>
      <c r="G6897" s="38" t="n">
        <f aca="false">MONTH(A6897)</f>
        <v>12</v>
      </c>
      <c r="H6897" s="38" t="n">
        <f aca="false">YEAR(Tabela1[[#This Row],[FECHA]])</f>
        <v>1900</v>
      </c>
      <c r="I68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98" customFormat="false" ht="15" hidden="false" customHeight="false" outlineLevel="0" collapsed="false">
      <c r="A6898" s="41"/>
      <c r="G6898" s="38" t="n">
        <f aca="false">MONTH(A6898)</f>
        <v>12</v>
      </c>
      <c r="H6898" s="38" t="n">
        <f aca="false">YEAR(Tabela1[[#This Row],[FECHA]])</f>
        <v>1900</v>
      </c>
      <c r="I68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899" customFormat="false" ht="15" hidden="false" customHeight="false" outlineLevel="0" collapsed="false">
      <c r="A6899" s="41"/>
      <c r="G6899" s="38" t="n">
        <f aca="false">MONTH(A6899)</f>
        <v>12</v>
      </c>
      <c r="H6899" s="38" t="n">
        <f aca="false">YEAR(Tabela1[[#This Row],[FECHA]])</f>
        <v>1900</v>
      </c>
      <c r="I68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00" customFormat="false" ht="15" hidden="false" customHeight="false" outlineLevel="0" collapsed="false">
      <c r="A6900" s="41"/>
      <c r="G6900" s="38" t="n">
        <f aca="false">MONTH(A6900)</f>
        <v>12</v>
      </c>
      <c r="H6900" s="38" t="n">
        <f aca="false">YEAR(Tabela1[[#This Row],[FECHA]])</f>
        <v>1900</v>
      </c>
      <c r="I69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01" customFormat="false" ht="15" hidden="false" customHeight="false" outlineLevel="0" collapsed="false">
      <c r="A6901" s="41"/>
      <c r="G6901" s="38" t="n">
        <f aca="false">MONTH(A6901)</f>
        <v>12</v>
      </c>
      <c r="H6901" s="38" t="n">
        <f aca="false">YEAR(Tabela1[[#This Row],[FECHA]])</f>
        <v>1900</v>
      </c>
      <c r="I69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02" customFormat="false" ht="15" hidden="false" customHeight="false" outlineLevel="0" collapsed="false">
      <c r="A6902" s="41"/>
      <c r="G6902" s="38" t="n">
        <f aca="false">MONTH(A6902)</f>
        <v>12</v>
      </c>
      <c r="H6902" s="38" t="n">
        <f aca="false">YEAR(Tabela1[[#This Row],[FECHA]])</f>
        <v>1900</v>
      </c>
      <c r="I69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03" customFormat="false" ht="15" hidden="false" customHeight="false" outlineLevel="0" collapsed="false">
      <c r="A6903" s="41"/>
      <c r="G6903" s="38" t="n">
        <f aca="false">MONTH(A6903)</f>
        <v>12</v>
      </c>
      <c r="H6903" s="38" t="n">
        <f aca="false">YEAR(Tabela1[[#This Row],[FECHA]])</f>
        <v>1900</v>
      </c>
      <c r="I69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04" customFormat="false" ht="15" hidden="false" customHeight="false" outlineLevel="0" collapsed="false">
      <c r="A6904" s="41"/>
      <c r="G6904" s="38" t="n">
        <f aca="false">MONTH(A6904)</f>
        <v>12</v>
      </c>
      <c r="H6904" s="38" t="n">
        <f aca="false">YEAR(Tabela1[[#This Row],[FECHA]])</f>
        <v>1900</v>
      </c>
      <c r="I69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05" customFormat="false" ht="15" hidden="false" customHeight="false" outlineLevel="0" collapsed="false">
      <c r="A6905" s="41"/>
      <c r="G6905" s="38" t="n">
        <f aca="false">MONTH(A6905)</f>
        <v>12</v>
      </c>
      <c r="H6905" s="38" t="n">
        <f aca="false">YEAR(Tabela1[[#This Row],[FECHA]])</f>
        <v>1900</v>
      </c>
      <c r="I69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06" customFormat="false" ht="15" hidden="false" customHeight="false" outlineLevel="0" collapsed="false">
      <c r="A6906" s="41"/>
      <c r="G6906" s="38" t="n">
        <f aca="false">MONTH(A6906)</f>
        <v>12</v>
      </c>
      <c r="H6906" s="38" t="n">
        <f aca="false">YEAR(Tabela1[[#This Row],[FECHA]])</f>
        <v>1900</v>
      </c>
      <c r="I69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07" customFormat="false" ht="15" hidden="false" customHeight="false" outlineLevel="0" collapsed="false">
      <c r="A6907" s="41"/>
      <c r="G6907" s="38" t="n">
        <f aca="false">MONTH(A6907)</f>
        <v>12</v>
      </c>
      <c r="H6907" s="38" t="n">
        <f aca="false">YEAR(Tabela1[[#This Row],[FECHA]])</f>
        <v>1900</v>
      </c>
      <c r="I69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08" customFormat="false" ht="15" hidden="false" customHeight="false" outlineLevel="0" collapsed="false">
      <c r="A6908" s="41"/>
      <c r="G6908" s="38" t="n">
        <f aca="false">MONTH(A6908)</f>
        <v>12</v>
      </c>
      <c r="H6908" s="38" t="n">
        <f aca="false">YEAR(Tabela1[[#This Row],[FECHA]])</f>
        <v>1900</v>
      </c>
      <c r="I69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09" customFormat="false" ht="15" hidden="false" customHeight="false" outlineLevel="0" collapsed="false">
      <c r="A6909" s="41"/>
      <c r="G6909" s="38" t="n">
        <f aca="false">MONTH(A6909)</f>
        <v>12</v>
      </c>
      <c r="H6909" s="38" t="n">
        <f aca="false">YEAR(Tabela1[[#This Row],[FECHA]])</f>
        <v>1900</v>
      </c>
      <c r="I69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10" customFormat="false" ht="15" hidden="false" customHeight="false" outlineLevel="0" collapsed="false">
      <c r="A6910" s="41"/>
      <c r="G6910" s="38" t="n">
        <f aca="false">MONTH(A6910)</f>
        <v>12</v>
      </c>
      <c r="H6910" s="38" t="n">
        <f aca="false">YEAR(Tabela1[[#This Row],[FECHA]])</f>
        <v>1900</v>
      </c>
      <c r="I69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11" customFormat="false" ht="15" hidden="false" customHeight="false" outlineLevel="0" collapsed="false">
      <c r="A6911" s="41"/>
      <c r="G6911" s="38" t="n">
        <f aca="false">MONTH(A6911)</f>
        <v>12</v>
      </c>
      <c r="H6911" s="38" t="n">
        <f aca="false">YEAR(Tabela1[[#This Row],[FECHA]])</f>
        <v>1900</v>
      </c>
      <c r="I69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12" customFormat="false" ht="15" hidden="false" customHeight="false" outlineLevel="0" collapsed="false">
      <c r="A6912" s="41"/>
      <c r="G6912" s="38" t="n">
        <f aca="false">MONTH(A6912)</f>
        <v>12</v>
      </c>
      <c r="H6912" s="38" t="n">
        <f aca="false">YEAR(Tabela1[[#This Row],[FECHA]])</f>
        <v>1900</v>
      </c>
      <c r="I69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13" customFormat="false" ht="15" hidden="false" customHeight="false" outlineLevel="0" collapsed="false">
      <c r="A6913" s="41"/>
      <c r="G6913" s="38" t="n">
        <f aca="false">MONTH(A6913)</f>
        <v>12</v>
      </c>
      <c r="H6913" s="38" t="n">
        <f aca="false">YEAR(Tabela1[[#This Row],[FECHA]])</f>
        <v>1900</v>
      </c>
      <c r="I69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14" customFormat="false" ht="15" hidden="false" customHeight="false" outlineLevel="0" collapsed="false">
      <c r="A6914" s="41"/>
      <c r="G6914" s="38" t="n">
        <f aca="false">MONTH(A6914)</f>
        <v>12</v>
      </c>
      <c r="H6914" s="38" t="n">
        <f aca="false">YEAR(Tabela1[[#This Row],[FECHA]])</f>
        <v>1900</v>
      </c>
      <c r="I69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15" customFormat="false" ht="15" hidden="false" customHeight="false" outlineLevel="0" collapsed="false">
      <c r="A6915" s="41"/>
      <c r="G6915" s="38" t="n">
        <f aca="false">MONTH(A6915)</f>
        <v>12</v>
      </c>
      <c r="H6915" s="38" t="n">
        <f aca="false">YEAR(Tabela1[[#This Row],[FECHA]])</f>
        <v>1900</v>
      </c>
      <c r="I69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16" customFormat="false" ht="15" hidden="false" customHeight="false" outlineLevel="0" collapsed="false">
      <c r="A6916" s="41"/>
      <c r="G6916" s="38" t="n">
        <f aca="false">MONTH(A6916)</f>
        <v>12</v>
      </c>
      <c r="H6916" s="38" t="n">
        <f aca="false">YEAR(Tabela1[[#This Row],[FECHA]])</f>
        <v>1900</v>
      </c>
      <c r="I69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17" customFormat="false" ht="15" hidden="false" customHeight="false" outlineLevel="0" collapsed="false">
      <c r="A6917" s="41"/>
      <c r="G6917" s="38" t="n">
        <f aca="false">MONTH(A6917)</f>
        <v>12</v>
      </c>
      <c r="H6917" s="38" t="n">
        <f aca="false">YEAR(Tabela1[[#This Row],[FECHA]])</f>
        <v>1900</v>
      </c>
      <c r="I69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18" customFormat="false" ht="15" hidden="false" customHeight="false" outlineLevel="0" collapsed="false">
      <c r="A6918" s="41"/>
      <c r="G6918" s="38" t="n">
        <f aca="false">MONTH(A6918)</f>
        <v>12</v>
      </c>
      <c r="H6918" s="38" t="n">
        <f aca="false">YEAR(Tabela1[[#This Row],[FECHA]])</f>
        <v>1900</v>
      </c>
      <c r="I69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19" customFormat="false" ht="15" hidden="false" customHeight="false" outlineLevel="0" collapsed="false">
      <c r="A6919" s="41"/>
      <c r="G6919" s="38" t="n">
        <f aca="false">MONTH(A6919)</f>
        <v>12</v>
      </c>
      <c r="H6919" s="38" t="n">
        <f aca="false">YEAR(Tabela1[[#This Row],[FECHA]])</f>
        <v>1900</v>
      </c>
      <c r="I69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20" customFormat="false" ht="15" hidden="false" customHeight="false" outlineLevel="0" collapsed="false">
      <c r="A6920" s="41"/>
      <c r="G6920" s="38" t="n">
        <f aca="false">MONTH(A6920)</f>
        <v>12</v>
      </c>
      <c r="H6920" s="38" t="n">
        <f aca="false">YEAR(Tabela1[[#This Row],[FECHA]])</f>
        <v>1900</v>
      </c>
      <c r="I69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21" customFormat="false" ht="15" hidden="false" customHeight="false" outlineLevel="0" collapsed="false">
      <c r="A6921" s="41"/>
      <c r="G6921" s="38" t="n">
        <f aca="false">MONTH(A6921)</f>
        <v>12</v>
      </c>
      <c r="H6921" s="38" t="n">
        <f aca="false">YEAR(Tabela1[[#This Row],[FECHA]])</f>
        <v>1900</v>
      </c>
      <c r="I69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22" customFormat="false" ht="15" hidden="false" customHeight="false" outlineLevel="0" collapsed="false">
      <c r="A6922" s="41"/>
      <c r="G6922" s="38" t="n">
        <f aca="false">MONTH(A6922)</f>
        <v>12</v>
      </c>
      <c r="H6922" s="38" t="n">
        <f aca="false">YEAR(Tabela1[[#This Row],[FECHA]])</f>
        <v>1900</v>
      </c>
      <c r="I69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23" customFormat="false" ht="15" hidden="false" customHeight="false" outlineLevel="0" collapsed="false">
      <c r="A6923" s="41"/>
      <c r="G6923" s="38" t="n">
        <f aca="false">MONTH(A6923)</f>
        <v>12</v>
      </c>
      <c r="H6923" s="38" t="n">
        <f aca="false">YEAR(Tabela1[[#This Row],[FECHA]])</f>
        <v>1900</v>
      </c>
      <c r="I69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24" customFormat="false" ht="15" hidden="false" customHeight="false" outlineLevel="0" collapsed="false">
      <c r="A6924" s="41"/>
      <c r="G6924" s="38" t="n">
        <f aca="false">MONTH(A6924)</f>
        <v>12</v>
      </c>
      <c r="H6924" s="38" t="n">
        <f aca="false">YEAR(Tabela1[[#This Row],[FECHA]])</f>
        <v>1900</v>
      </c>
      <c r="I69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25" customFormat="false" ht="15" hidden="false" customHeight="false" outlineLevel="0" collapsed="false">
      <c r="A6925" s="41"/>
      <c r="G6925" s="38" t="n">
        <f aca="false">MONTH(A6925)</f>
        <v>12</v>
      </c>
      <c r="H6925" s="38" t="n">
        <f aca="false">YEAR(Tabela1[[#This Row],[FECHA]])</f>
        <v>1900</v>
      </c>
      <c r="I69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26" customFormat="false" ht="15" hidden="false" customHeight="false" outlineLevel="0" collapsed="false">
      <c r="A6926" s="41"/>
      <c r="G6926" s="38" t="n">
        <f aca="false">MONTH(A6926)</f>
        <v>12</v>
      </c>
      <c r="H6926" s="38" t="n">
        <f aca="false">YEAR(Tabela1[[#This Row],[FECHA]])</f>
        <v>1900</v>
      </c>
      <c r="I69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27" customFormat="false" ht="15" hidden="false" customHeight="false" outlineLevel="0" collapsed="false">
      <c r="A6927" s="41"/>
      <c r="G6927" s="38" t="n">
        <f aca="false">MONTH(A6927)</f>
        <v>12</v>
      </c>
      <c r="H6927" s="38" t="n">
        <f aca="false">YEAR(Tabela1[[#This Row],[FECHA]])</f>
        <v>1900</v>
      </c>
      <c r="I69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28" customFormat="false" ht="15" hidden="false" customHeight="false" outlineLevel="0" collapsed="false">
      <c r="A6928" s="41"/>
      <c r="G6928" s="38" t="n">
        <f aca="false">MONTH(A6928)</f>
        <v>12</v>
      </c>
      <c r="H6928" s="38" t="n">
        <f aca="false">YEAR(Tabela1[[#This Row],[FECHA]])</f>
        <v>1900</v>
      </c>
      <c r="I69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29" customFormat="false" ht="15" hidden="false" customHeight="false" outlineLevel="0" collapsed="false">
      <c r="A6929" s="41"/>
      <c r="G6929" s="38" t="n">
        <f aca="false">MONTH(A6929)</f>
        <v>12</v>
      </c>
      <c r="H6929" s="38" t="n">
        <f aca="false">YEAR(Tabela1[[#This Row],[FECHA]])</f>
        <v>1900</v>
      </c>
      <c r="I69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30" customFormat="false" ht="15" hidden="false" customHeight="false" outlineLevel="0" collapsed="false">
      <c r="A6930" s="41"/>
      <c r="G6930" s="38" t="n">
        <f aca="false">MONTH(A6930)</f>
        <v>12</v>
      </c>
      <c r="H6930" s="38" t="n">
        <f aca="false">YEAR(Tabela1[[#This Row],[FECHA]])</f>
        <v>1900</v>
      </c>
      <c r="I69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31" customFormat="false" ht="15" hidden="false" customHeight="false" outlineLevel="0" collapsed="false">
      <c r="A6931" s="41"/>
      <c r="G6931" s="38" t="n">
        <f aca="false">MONTH(A6931)</f>
        <v>12</v>
      </c>
      <c r="H6931" s="38" t="n">
        <f aca="false">YEAR(Tabela1[[#This Row],[FECHA]])</f>
        <v>1900</v>
      </c>
      <c r="I69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32" customFormat="false" ht="15" hidden="false" customHeight="false" outlineLevel="0" collapsed="false">
      <c r="A6932" s="41"/>
      <c r="G6932" s="38" t="n">
        <f aca="false">MONTH(A6932)</f>
        <v>12</v>
      </c>
      <c r="H6932" s="38" t="n">
        <f aca="false">YEAR(Tabela1[[#This Row],[FECHA]])</f>
        <v>1900</v>
      </c>
      <c r="I69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33" customFormat="false" ht="15" hidden="false" customHeight="false" outlineLevel="0" collapsed="false">
      <c r="A6933" s="41"/>
      <c r="G6933" s="38" t="n">
        <f aca="false">MONTH(A6933)</f>
        <v>12</v>
      </c>
      <c r="H6933" s="38" t="n">
        <f aca="false">YEAR(Tabela1[[#This Row],[FECHA]])</f>
        <v>1900</v>
      </c>
      <c r="I69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34" customFormat="false" ht="15" hidden="false" customHeight="false" outlineLevel="0" collapsed="false">
      <c r="A6934" s="41"/>
      <c r="G6934" s="38" t="n">
        <f aca="false">MONTH(A6934)</f>
        <v>12</v>
      </c>
      <c r="H6934" s="38" t="n">
        <f aca="false">YEAR(Tabela1[[#This Row],[FECHA]])</f>
        <v>1900</v>
      </c>
      <c r="I69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35" customFormat="false" ht="15" hidden="false" customHeight="false" outlineLevel="0" collapsed="false">
      <c r="A6935" s="41"/>
      <c r="G6935" s="38" t="n">
        <f aca="false">MONTH(A6935)</f>
        <v>12</v>
      </c>
      <c r="H6935" s="38" t="n">
        <f aca="false">YEAR(Tabela1[[#This Row],[FECHA]])</f>
        <v>1900</v>
      </c>
      <c r="I69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36" customFormat="false" ht="15" hidden="false" customHeight="false" outlineLevel="0" collapsed="false">
      <c r="A6936" s="41"/>
      <c r="G6936" s="38" t="n">
        <f aca="false">MONTH(A6936)</f>
        <v>12</v>
      </c>
      <c r="H6936" s="38" t="n">
        <f aca="false">YEAR(Tabela1[[#This Row],[FECHA]])</f>
        <v>1900</v>
      </c>
      <c r="I69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37" customFormat="false" ht="15" hidden="false" customHeight="false" outlineLevel="0" collapsed="false">
      <c r="A6937" s="41"/>
      <c r="G6937" s="38" t="n">
        <f aca="false">MONTH(A6937)</f>
        <v>12</v>
      </c>
      <c r="H6937" s="38" t="n">
        <f aca="false">YEAR(Tabela1[[#This Row],[FECHA]])</f>
        <v>1900</v>
      </c>
      <c r="I69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38" customFormat="false" ht="15" hidden="false" customHeight="false" outlineLevel="0" collapsed="false">
      <c r="A6938" s="41"/>
      <c r="G6938" s="38" t="n">
        <f aca="false">MONTH(A6938)</f>
        <v>12</v>
      </c>
      <c r="H6938" s="38" t="n">
        <f aca="false">YEAR(Tabela1[[#This Row],[FECHA]])</f>
        <v>1900</v>
      </c>
      <c r="I69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39" customFormat="false" ht="15" hidden="false" customHeight="false" outlineLevel="0" collapsed="false">
      <c r="A6939" s="41"/>
      <c r="G6939" s="38" t="n">
        <f aca="false">MONTH(A6939)</f>
        <v>12</v>
      </c>
      <c r="H6939" s="38" t="n">
        <f aca="false">YEAR(Tabela1[[#This Row],[FECHA]])</f>
        <v>1900</v>
      </c>
      <c r="I69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40" customFormat="false" ht="15" hidden="false" customHeight="false" outlineLevel="0" collapsed="false">
      <c r="A6940" s="41"/>
      <c r="G6940" s="38" t="n">
        <f aca="false">MONTH(A6940)</f>
        <v>12</v>
      </c>
      <c r="H6940" s="38" t="n">
        <f aca="false">YEAR(Tabela1[[#This Row],[FECHA]])</f>
        <v>1900</v>
      </c>
      <c r="I69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41" customFormat="false" ht="15" hidden="false" customHeight="false" outlineLevel="0" collapsed="false">
      <c r="A6941" s="41"/>
      <c r="G6941" s="38" t="n">
        <f aca="false">MONTH(A6941)</f>
        <v>12</v>
      </c>
      <c r="H6941" s="38" t="n">
        <f aca="false">YEAR(Tabela1[[#This Row],[FECHA]])</f>
        <v>1900</v>
      </c>
      <c r="I69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42" customFormat="false" ht="15" hidden="false" customHeight="false" outlineLevel="0" collapsed="false">
      <c r="A6942" s="41"/>
      <c r="G6942" s="38" t="n">
        <f aca="false">MONTH(A6942)</f>
        <v>12</v>
      </c>
      <c r="H6942" s="38" t="n">
        <f aca="false">YEAR(Tabela1[[#This Row],[FECHA]])</f>
        <v>1900</v>
      </c>
      <c r="I69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43" customFormat="false" ht="15" hidden="false" customHeight="false" outlineLevel="0" collapsed="false">
      <c r="A6943" s="41"/>
      <c r="G6943" s="38" t="n">
        <f aca="false">MONTH(A6943)</f>
        <v>12</v>
      </c>
      <c r="H6943" s="38" t="n">
        <f aca="false">YEAR(Tabela1[[#This Row],[FECHA]])</f>
        <v>1900</v>
      </c>
      <c r="I69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44" customFormat="false" ht="15" hidden="false" customHeight="false" outlineLevel="0" collapsed="false">
      <c r="A6944" s="41"/>
      <c r="G6944" s="38" t="n">
        <f aca="false">MONTH(A6944)</f>
        <v>12</v>
      </c>
      <c r="H6944" s="38" t="n">
        <f aca="false">YEAR(Tabela1[[#This Row],[FECHA]])</f>
        <v>1900</v>
      </c>
      <c r="I69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45" customFormat="false" ht="15" hidden="false" customHeight="false" outlineLevel="0" collapsed="false">
      <c r="A6945" s="41"/>
      <c r="G6945" s="38" t="n">
        <f aca="false">MONTH(A6945)</f>
        <v>12</v>
      </c>
      <c r="H6945" s="38" t="n">
        <f aca="false">YEAR(Tabela1[[#This Row],[FECHA]])</f>
        <v>1900</v>
      </c>
      <c r="I69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46" customFormat="false" ht="15" hidden="false" customHeight="false" outlineLevel="0" collapsed="false">
      <c r="A6946" s="41"/>
      <c r="G6946" s="38" t="n">
        <f aca="false">MONTH(A6946)</f>
        <v>12</v>
      </c>
      <c r="H6946" s="38" t="n">
        <f aca="false">YEAR(Tabela1[[#This Row],[FECHA]])</f>
        <v>1900</v>
      </c>
      <c r="I69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47" customFormat="false" ht="15" hidden="false" customHeight="false" outlineLevel="0" collapsed="false">
      <c r="A6947" s="41"/>
      <c r="G6947" s="38" t="n">
        <f aca="false">MONTH(A6947)</f>
        <v>12</v>
      </c>
      <c r="H6947" s="38" t="n">
        <f aca="false">YEAR(Tabela1[[#This Row],[FECHA]])</f>
        <v>1900</v>
      </c>
      <c r="I69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48" customFormat="false" ht="15" hidden="false" customHeight="false" outlineLevel="0" collapsed="false">
      <c r="A6948" s="41"/>
      <c r="G6948" s="38" t="n">
        <f aca="false">MONTH(A6948)</f>
        <v>12</v>
      </c>
      <c r="H6948" s="38" t="n">
        <f aca="false">YEAR(Tabela1[[#This Row],[FECHA]])</f>
        <v>1900</v>
      </c>
      <c r="I69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49" customFormat="false" ht="15" hidden="false" customHeight="false" outlineLevel="0" collapsed="false">
      <c r="A6949" s="41"/>
      <c r="G6949" s="38" t="n">
        <f aca="false">MONTH(A6949)</f>
        <v>12</v>
      </c>
      <c r="H6949" s="38" t="n">
        <f aca="false">YEAR(Tabela1[[#This Row],[FECHA]])</f>
        <v>1900</v>
      </c>
      <c r="I69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50" customFormat="false" ht="15" hidden="false" customHeight="false" outlineLevel="0" collapsed="false">
      <c r="A6950" s="41"/>
      <c r="G6950" s="38" t="n">
        <f aca="false">MONTH(A6950)</f>
        <v>12</v>
      </c>
      <c r="H6950" s="38" t="n">
        <f aca="false">YEAR(Tabela1[[#This Row],[FECHA]])</f>
        <v>1900</v>
      </c>
      <c r="I69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51" customFormat="false" ht="15" hidden="false" customHeight="false" outlineLevel="0" collapsed="false">
      <c r="A6951" s="41"/>
      <c r="G6951" s="38" t="n">
        <f aca="false">MONTH(A6951)</f>
        <v>12</v>
      </c>
      <c r="H6951" s="38" t="n">
        <f aca="false">YEAR(Tabela1[[#This Row],[FECHA]])</f>
        <v>1900</v>
      </c>
      <c r="I69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52" customFormat="false" ht="15" hidden="false" customHeight="false" outlineLevel="0" collapsed="false">
      <c r="A6952" s="41"/>
      <c r="G6952" s="38" t="n">
        <f aca="false">MONTH(A6952)</f>
        <v>12</v>
      </c>
      <c r="H6952" s="38" t="n">
        <f aca="false">YEAR(Tabela1[[#This Row],[FECHA]])</f>
        <v>1900</v>
      </c>
      <c r="I69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53" customFormat="false" ht="15" hidden="false" customHeight="false" outlineLevel="0" collapsed="false">
      <c r="A6953" s="41"/>
      <c r="G6953" s="38" t="n">
        <f aca="false">MONTH(A6953)</f>
        <v>12</v>
      </c>
      <c r="H6953" s="38" t="n">
        <f aca="false">YEAR(Tabela1[[#This Row],[FECHA]])</f>
        <v>1900</v>
      </c>
      <c r="I69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54" customFormat="false" ht="15" hidden="false" customHeight="false" outlineLevel="0" collapsed="false">
      <c r="A6954" s="41"/>
      <c r="G6954" s="38" t="n">
        <f aca="false">MONTH(A6954)</f>
        <v>12</v>
      </c>
      <c r="H6954" s="38" t="n">
        <f aca="false">YEAR(Tabela1[[#This Row],[FECHA]])</f>
        <v>1900</v>
      </c>
      <c r="I69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55" customFormat="false" ht="15" hidden="false" customHeight="false" outlineLevel="0" collapsed="false">
      <c r="A6955" s="41"/>
      <c r="G6955" s="38" t="n">
        <f aca="false">MONTH(A6955)</f>
        <v>12</v>
      </c>
      <c r="H6955" s="38" t="n">
        <f aca="false">YEAR(Tabela1[[#This Row],[FECHA]])</f>
        <v>1900</v>
      </c>
      <c r="I69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56" customFormat="false" ht="15" hidden="false" customHeight="false" outlineLevel="0" collapsed="false">
      <c r="A6956" s="41"/>
      <c r="G6956" s="38" t="n">
        <f aca="false">MONTH(A6956)</f>
        <v>12</v>
      </c>
      <c r="H6956" s="38" t="n">
        <f aca="false">YEAR(Tabela1[[#This Row],[FECHA]])</f>
        <v>1900</v>
      </c>
      <c r="I69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57" customFormat="false" ht="15" hidden="false" customHeight="false" outlineLevel="0" collapsed="false">
      <c r="A6957" s="41"/>
      <c r="G6957" s="38" t="n">
        <f aca="false">MONTH(A6957)</f>
        <v>12</v>
      </c>
      <c r="H6957" s="38" t="n">
        <f aca="false">YEAR(Tabela1[[#This Row],[FECHA]])</f>
        <v>1900</v>
      </c>
      <c r="I69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58" customFormat="false" ht="15" hidden="false" customHeight="false" outlineLevel="0" collapsed="false">
      <c r="A6958" s="41"/>
      <c r="G6958" s="38" t="n">
        <f aca="false">MONTH(A6958)</f>
        <v>12</v>
      </c>
      <c r="H6958" s="38" t="n">
        <f aca="false">YEAR(Tabela1[[#This Row],[FECHA]])</f>
        <v>1900</v>
      </c>
      <c r="I69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59" customFormat="false" ht="15" hidden="false" customHeight="false" outlineLevel="0" collapsed="false">
      <c r="A6959" s="41"/>
      <c r="G6959" s="38" t="n">
        <f aca="false">MONTH(A6959)</f>
        <v>12</v>
      </c>
      <c r="H6959" s="38" t="n">
        <f aca="false">YEAR(Tabela1[[#This Row],[FECHA]])</f>
        <v>1900</v>
      </c>
      <c r="I69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60" customFormat="false" ht="15" hidden="false" customHeight="false" outlineLevel="0" collapsed="false">
      <c r="A6960" s="41"/>
      <c r="G6960" s="38" t="n">
        <f aca="false">MONTH(A6960)</f>
        <v>12</v>
      </c>
      <c r="H6960" s="38" t="n">
        <f aca="false">YEAR(Tabela1[[#This Row],[FECHA]])</f>
        <v>1900</v>
      </c>
      <c r="I69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61" customFormat="false" ht="15" hidden="false" customHeight="false" outlineLevel="0" collapsed="false">
      <c r="A6961" s="41"/>
      <c r="G6961" s="38" t="n">
        <f aca="false">MONTH(A6961)</f>
        <v>12</v>
      </c>
      <c r="H6961" s="38" t="n">
        <f aca="false">YEAR(Tabela1[[#This Row],[FECHA]])</f>
        <v>1900</v>
      </c>
      <c r="I69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62" customFormat="false" ht="15" hidden="false" customHeight="false" outlineLevel="0" collapsed="false">
      <c r="A6962" s="41"/>
      <c r="G6962" s="38" t="n">
        <f aca="false">MONTH(A6962)</f>
        <v>12</v>
      </c>
      <c r="H6962" s="38" t="n">
        <f aca="false">YEAR(Tabela1[[#This Row],[FECHA]])</f>
        <v>1900</v>
      </c>
      <c r="I69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63" customFormat="false" ht="15" hidden="false" customHeight="false" outlineLevel="0" collapsed="false">
      <c r="A6963" s="41"/>
      <c r="G6963" s="38" t="n">
        <f aca="false">MONTH(A6963)</f>
        <v>12</v>
      </c>
      <c r="H6963" s="38" t="n">
        <f aca="false">YEAR(Tabela1[[#This Row],[FECHA]])</f>
        <v>1900</v>
      </c>
      <c r="I69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64" customFormat="false" ht="15" hidden="false" customHeight="false" outlineLevel="0" collapsed="false">
      <c r="A6964" s="41"/>
      <c r="G6964" s="38" t="n">
        <f aca="false">MONTH(A6964)</f>
        <v>12</v>
      </c>
      <c r="H6964" s="38" t="n">
        <f aca="false">YEAR(Tabela1[[#This Row],[FECHA]])</f>
        <v>1900</v>
      </c>
      <c r="I69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65" customFormat="false" ht="15" hidden="false" customHeight="false" outlineLevel="0" collapsed="false">
      <c r="A6965" s="41"/>
      <c r="G6965" s="38" t="n">
        <f aca="false">MONTH(A6965)</f>
        <v>12</v>
      </c>
      <c r="H6965" s="38" t="n">
        <f aca="false">YEAR(Tabela1[[#This Row],[FECHA]])</f>
        <v>1900</v>
      </c>
      <c r="I69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66" customFormat="false" ht="15" hidden="false" customHeight="false" outlineLevel="0" collapsed="false">
      <c r="A6966" s="41"/>
      <c r="G6966" s="38" t="n">
        <f aca="false">MONTH(A6966)</f>
        <v>12</v>
      </c>
      <c r="H6966" s="38" t="n">
        <f aca="false">YEAR(Tabela1[[#This Row],[FECHA]])</f>
        <v>1900</v>
      </c>
      <c r="I69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67" customFormat="false" ht="15" hidden="false" customHeight="false" outlineLevel="0" collapsed="false">
      <c r="A6967" s="41"/>
      <c r="G6967" s="38" t="n">
        <f aca="false">MONTH(A6967)</f>
        <v>12</v>
      </c>
      <c r="H6967" s="38" t="n">
        <f aca="false">YEAR(Tabela1[[#This Row],[FECHA]])</f>
        <v>1900</v>
      </c>
      <c r="I69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68" customFormat="false" ht="15" hidden="false" customHeight="false" outlineLevel="0" collapsed="false">
      <c r="A6968" s="41"/>
      <c r="G6968" s="38" t="n">
        <f aca="false">MONTH(A6968)</f>
        <v>12</v>
      </c>
      <c r="H6968" s="38" t="n">
        <f aca="false">YEAR(Tabela1[[#This Row],[FECHA]])</f>
        <v>1900</v>
      </c>
      <c r="I69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69" customFormat="false" ht="15" hidden="false" customHeight="false" outlineLevel="0" collapsed="false">
      <c r="A6969" s="41"/>
      <c r="G6969" s="38" t="n">
        <f aca="false">MONTH(A6969)</f>
        <v>12</v>
      </c>
      <c r="H6969" s="38" t="n">
        <f aca="false">YEAR(Tabela1[[#This Row],[FECHA]])</f>
        <v>1900</v>
      </c>
      <c r="I69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70" customFormat="false" ht="15" hidden="false" customHeight="false" outlineLevel="0" collapsed="false">
      <c r="A6970" s="41"/>
      <c r="G6970" s="38" t="n">
        <f aca="false">MONTH(A6970)</f>
        <v>12</v>
      </c>
      <c r="H6970" s="38" t="n">
        <f aca="false">YEAR(Tabela1[[#This Row],[FECHA]])</f>
        <v>1900</v>
      </c>
      <c r="I69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71" customFormat="false" ht="15" hidden="false" customHeight="false" outlineLevel="0" collapsed="false">
      <c r="A6971" s="41"/>
      <c r="G6971" s="38" t="n">
        <f aca="false">MONTH(A6971)</f>
        <v>12</v>
      </c>
      <c r="H6971" s="38" t="n">
        <f aca="false">YEAR(Tabela1[[#This Row],[FECHA]])</f>
        <v>1900</v>
      </c>
      <c r="I69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72" customFormat="false" ht="15" hidden="false" customHeight="false" outlineLevel="0" collapsed="false">
      <c r="A6972" s="41"/>
      <c r="G6972" s="38" t="n">
        <f aca="false">MONTH(A6972)</f>
        <v>12</v>
      </c>
      <c r="H6972" s="38" t="n">
        <f aca="false">YEAR(Tabela1[[#This Row],[FECHA]])</f>
        <v>1900</v>
      </c>
      <c r="I69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73" customFormat="false" ht="15" hidden="false" customHeight="false" outlineLevel="0" collapsed="false">
      <c r="A6973" s="41"/>
      <c r="G6973" s="38" t="n">
        <f aca="false">MONTH(A6973)</f>
        <v>12</v>
      </c>
      <c r="H6973" s="38" t="n">
        <f aca="false">YEAR(Tabela1[[#This Row],[FECHA]])</f>
        <v>1900</v>
      </c>
      <c r="I69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74" customFormat="false" ht="15" hidden="false" customHeight="false" outlineLevel="0" collapsed="false">
      <c r="A6974" s="41"/>
      <c r="G6974" s="38" t="n">
        <f aca="false">MONTH(A6974)</f>
        <v>12</v>
      </c>
      <c r="H6974" s="38" t="n">
        <f aca="false">YEAR(Tabela1[[#This Row],[FECHA]])</f>
        <v>1900</v>
      </c>
      <c r="I69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75" customFormat="false" ht="15" hidden="false" customHeight="false" outlineLevel="0" collapsed="false">
      <c r="A6975" s="41"/>
      <c r="G6975" s="38" t="n">
        <f aca="false">MONTH(A6975)</f>
        <v>12</v>
      </c>
      <c r="H6975" s="38" t="n">
        <f aca="false">YEAR(Tabela1[[#This Row],[FECHA]])</f>
        <v>1900</v>
      </c>
      <c r="I69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76" customFormat="false" ht="15" hidden="false" customHeight="false" outlineLevel="0" collapsed="false">
      <c r="A6976" s="41"/>
      <c r="G6976" s="38" t="n">
        <f aca="false">MONTH(A6976)</f>
        <v>12</v>
      </c>
      <c r="H6976" s="38" t="n">
        <f aca="false">YEAR(Tabela1[[#This Row],[FECHA]])</f>
        <v>1900</v>
      </c>
      <c r="I69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77" customFormat="false" ht="15" hidden="false" customHeight="false" outlineLevel="0" collapsed="false">
      <c r="A6977" s="41"/>
      <c r="G6977" s="38" t="n">
        <f aca="false">MONTH(A6977)</f>
        <v>12</v>
      </c>
      <c r="H6977" s="38" t="n">
        <f aca="false">YEAR(Tabela1[[#This Row],[FECHA]])</f>
        <v>1900</v>
      </c>
      <c r="I69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78" customFormat="false" ht="15" hidden="false" customHeight="false" outlineLevel="0" collapsed="false">
      <c r="A6978" s="41"/>
      <c r="G6978" s="38" t="n">
        <f aca="false">MONTH(A6978)</f>
        <v>12</v>
      </c>
      <c r="H6978" s="38" t="n">
        <f aca="false">YEAR(Tabela1[[#This Row],[FECHA]])</f>
        <v>1900</v>
      </c>
      <c r="I69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79" customFormat="false" ht="15" hidden="false" customHeight="false" outlineLevel="0" collapsed="false">
      <c r="A6979" s="41"/>
      <c r="G6979" s="38" t="n">
        <f aca="false">MONTH(A6979)</f>
        <v>12</v>
      </c>
      <c r="H6979" s="38" t="n">
        <f aca="false">YEAR(Tabela1[[#This Row],[FECHA]])</f>
        <v>1900</v>
      </c>
      <c r="I69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80" customFormat="false" ht="15" hidden="false" customHeight="false" outlineLevel="0" collapsed="false">
      <c r="A6980" s="41"/>
      <c r="G6980" s="38" t="n">
        <f aca="false">MONTH(A6980)</f>
        <v>12</v>
      </c>
      <c r="H6980" s="38" t="n">
        <f aca="false">YEAR(Tabela1[[#This Row],[FECHA]])</f>
        <v>1900</v>
      </c>
      <c r="I69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81" customFormat="false" ht="15" hidden="false" customHeight="false" outlineLevel="0" collapsed="false">
      <c r="A6981" s="41"/>
      <c r="G6981" s="38" t="n">
        <f aca="false">MONTH(A6981)</f>
        <v>12</v>
      </c>
      <c r="H6981" s="38" t="n">
        <f aca="false">YEAR(Tabela1[[#This Row],[FECHA]])</f>
        <v>1900</v>
      </c>
      <c r="I69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82" customFormat="false" ht="15" hidden="false" customHeight="false" outlineLevel="0" collapsed="false">
      <c r="A6982" s="41"/>
      <c r="G6982" s="38" t="n">
        <f aca="false">MONTH(A6982)</f>
        <v>12</v>
      </c>
      <c r="H6982" s="38" t="n">
        <f aca="false">YEAR(Tabela1[[#This Row],[FECHA]])</f>
        <v>1900</v>
      </c>
      <c r="I69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83" customFormat="false" ht="15" hidden="false" customHeight="false" outlineLevel="0" collapsed="false">
      <c r="A6983" s="41"/>
      <c r="G6983" s="38" t="n">
        <f aca="false">MONTH(A6983)</f>
        <v>12</v>
      </c>
      <c r="H6983" s="38" t="n">
        <f aca="false">YEAR(Tabela1[[#This Row],[FECHA]])</f>
        <v>1900</v>
      </c>
      <c r="I69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84" customFormat="false" ht="15" hidden="false" customHeight="false" outlineLevel="0" collapsed="false">
      <c r="A6984" s="41"/>
      <c r="G6984" s="38" t="n">
        <f aca="false">MONTH(A6984)</f>
        <v>12</v>
      </c>
      <c r="H6984" s="38" t="n">
        <f aca="false">YEAR(Tabela1[[#This Row],[FECHA]])</f>
        <v>1900</v>
      </c>
      <c r="I69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85" customFormat="false" ht="15" hidden="false" customHeight="false" outlineLevel="0" collapsed="false">
      <c r="A6985" s="41"/>
      <c r="G6985" s="38" t="n">
        <f aca="false">MONTH(A6985)</f>
        <v>12</v>
      </c>
      <c r="H6985" s="38" t="n">
        <f aca="false">YEAR(Tabela1[[#This Row],[FECHA]])</f>
        <v>1900</v>
      </c>
      <c r="I69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86" customFormat="false" ht="15" hidden="false" customHeight="false" outlineLevel="0" collapsed="false">
      <c r="A6986" s="41"/>
      <c r="G6986" s="38" t="n">
        <f aca="false">MONTH(A6986)</f>
        <v>12</v>
      </c>
      <c r="H6986" s="38" t="n">
        <f aca="false">YEAR(Tabela1[[#This Row],[FECHA]])</f>
        <v>1900</v>
      </c>
      <c r="I69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87" customFormat="false" ht="15" hidden="false" customHeight="false" outlineLevel="0" collapsed="false">
      <c r="A6987" s="41"/>
      <c r="G6987" s="38" t="n">
        <f aca="false">MONTH(A6987)</f>
        <v>12</v>
      </c>
      <c r="H6987" s="38" t="n">
        <f aca="false">YEAR(Tabela1[[#This Row],[FECHA]])</f>
        <v>1900</v>
      </c>
      <c r="I69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88" customFormat="false" ht="15" hidden="false" customHeight="false" outlineLevel="0" collapsed="false">
      <c r="A6988" s="41"/>
      <c r="G6988" s="38" t="n">
        <f aca="false">MONTH(A6988)</f>
        <v>12</v>
      </c>
      <c r="H6988" s="38" t="n">
        <f aca="false">YEAR(Tabela1[[#This Row],[FECHA]])</f>
        <v>1900</v>
      </c>
      <c r="I69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89" customFormat="false" ht="15" hidden="false" customHeight="false" outlineLevel="0" collapsed="false">
      <c r="A6989" s="41"/>
      <c r="G6989" s="38" t="n">
        <f aca="false">MONTH(A6989)</f>
        <v>12</v>
      </c>
      <c r="H6989" s="38" t="n">
        <f aca="false">YEAR(Tabela1[[#This Row],[FECHA]])</f>
        <v>1900</v>
      </c>
      <c r="I69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90" customFormat="false" ht="15" hidden="false" customHeight="false" outlineLevel="0" collapsed="false">
      <c r="A6990" s="41"/>
      <c r="G6990" s="38" t="n">
        <f aca="false">MONTH(A6990)</f>
        <v>12</v>
      </c>
      <c r="H6990" s="38" t="n">
        <f aca="false">YEAR(Tabela1[[#This Row],[FECHA]])</f>
        <v>1900</v>
      </c>
      <c r="I69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91" customFormat="false" ht="15" hidden="false" customHeight="false" outlineLevel="0" collapsed="false">
      <c r="A6991" s="41"/>
      <c r="G6991" s="38" t="n">
        <f aca="false">MONTH(A6991)</f>
        <v>12</v>
      </c>
      <c r="H6991" s="38" t="n">
        <f aca="false">YEAR(Tabela1[[#This Row],[FECHA]])</f>
        <v>1900</v>
      </c>
      <c r="I69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92" customFormat="false" ht="15" hidden="false" customHeight="false" outlineLevel="0" collapsed="false">
      <c r="A6992" s="41"/>
      <c r="G6992" s="38" t="n">
        <f aca="false">MONTH(A6992)</f>
        <v>12</v>
      </c>
      <c r="H6992" s="38" t="n">
        <f aca="false">YEAR(Tabela1[[#This Row],[FECHA]])</f>
        <v>1900</v>
      </c>
      <c r="I69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93" customFormat="false" ht="15" hidden="false" customHeight="false" outlineLevel="0" collapsed="false">
      <c r="A6993" s="41"/>
      <c r="G6993" s="38" t="n">
        <f aca="false">MONTH(A6993)</f>
        <v>12</v>
      </c>
      <c r="H6993" s="38" t="n">
        <f aca="false">YEAR(Tabela1[[#This Row],[FECHA]])</f>
        <v>1900</v>
      </c>
      <c r="I69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94" customFormat="false" ht="15" hidden="false" customHeight="false" outlineLevel="0" collapsed="false">
      <c r="A6994" s="41"/>
      <c r="G6994" s="38" t="n">
        <f aca="false">MONTH(A6994)</f>
        <v>12</v>
      </c>
      <c r="H6994" s="38" t="n">
        <f aca="false">YEAR(Tabela1[[#This Row],[FECHA]])</f>
        <v>1900</v>
      </c>
      <c r="I69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95" customFormat="false" ht="15" hidden="false" customHeight="false" outlineLevel="0" collapsed="false">
      <c r="A6995" s="41"/>
      <c r="G6995" s="38" t="n">
        <f aca="false">MONTH(A6995)</f>
        <v>12</v>
      </c>
      <c r="H6995" s="38" t="n">
        <f aca="false">YEAR(Tabela1[[#This Row],[FECHA]])</f>
        <v>1900</v>
      </c>
      <c r="I69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96" customFormat="false" ht="15" hidden="false" customHeight="false" outlineLevel="0" collapsed="false">
      <c r="A6996" s="41"/>
      <c r="G6996" s="38" t="n">
        <f aca="false">MONTH(A6996)</f>
        <v>12</v>
      </c>
      <c r="H6996" s="38" t="n">
        <f aca="false">YEAR(Tabela1[[#This Row],[FECHA]])</f>
        <v>1900</v>
      </c>
      <c r="I69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97" customFormat="false" ht="15" hidden="false" customHeight="false" outlineLevel="0" collapsed="false">
      <c r="A6997" s="41"/>
      <c r="G6997" s="38" t="n">
        <f aca="false">MONTH(A6997)</f>
        <v>12</v>
      </c>
      <c r="H6997" s="38" t="n">
        <f aca="false">YEAR(Tabela1[[#This Row],[FECHA]])</f>
        <v>1900</v>
      </c>
      <c r="I69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98" customFormat="false" ht="15" hidden="false" customHeight="false" outlineLevel="0" collapsed="false">
      <c r="A6998" s="41"/>
      <c r="G6998" s="38" t="n">
        <f aca="false">MONTH(A6998)</f>
        <v>12</v>
      </c>
      <c r="H6998" s="38" t="n">
        <f aca="false">YEAR(Tabela1[[#This Row],[FECHA]])</f>
        <v>1900</v>
      </c>
      <c r="I69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6999" customFormat="false" ht="15" hidden="false" customHeight="false" outlineLevel="0" collapsed="false">
      <c r="A6999" s="41"/>
      <c r="G6999" s="38" t="n">
        <f aca="false">MONTH(A6999)</f>
        <v>12</v>
      </c>
      <c r="H6999" s="38" t="n">
        <f aca="false">YEAR(Tabela1[[#This Row],[FECHA]])</f>
        <v>1900</v>
      </c>
      <c r="I69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00" customFormat="false" ht="15" hidden="false" customHeight="false" outlineLevel="0" collapsed="false">
      <c r="A7000" s="41"/>
      <c r="G7000" s="38" t="n">
        <f aca="false">MONTH(A7000)</f>
        <v>12</v>
      </c>
      <c r="H7000" s="38" t="n">
        <f aca="false">YEAR(Tabela1[[#This Row],[FECHA]])</f>
        <v>1900</v>
      </c>
      <c r="I70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01" customFormat="false" ht="15" hidden="false" customHeight="false" outlineLevel="0" collapsed="false">
      <c r="A7001" s="41"/>
      <c r="G7001" s="38" t="n">
        <f aca="false">MONTH(A7001)</f>
        <v>12</v>
      </c>
      <c r="H7001" s="38" t="n">
        <f aca="false">YEAR(Tabela1[[#This Row],[FECHA]])</f>
        <v>1900</v>
      </c>
      <c r="I70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02" customFormat="false" ht="15" hidden="false" customHeight="false" outlineLevel="0" collapsed="false">
      <c r="A7002" s="41"/>
      <c r="G7002" s="38" t="n">
        <f aca="false">MONTH(A7002)</f>
        <v>12</v>
      </c>
      <c r="H7002" s="38" t="n">
        <f aca="false">YEAR(Tabela1[[#This Row],[FECHA]])</f>
        <v>1900</v>
      </c>
      <c r="I70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03" customFormat="false" ht="15" hidden="false" customHeight="false" outlineLevel="0" collapsed="false">
      <c r="A7003" s="41"/>
      <c r="G7003" s="38" t="n">
        <f aca="false">MONTH(A7003)</f>
        <v>12</v>
      </c>
      <c r="H7003" s="38" t="n">
        <f aca="false">YEAR(Tabela1[[#This Row],[FECHA]])</f>
        <v>1900</v>
      </c>
      <c r="I70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04" customFormat="false" ht="15" hidden="false" customHeight="false" outlineLevel="0" collapsed="false">
      <c r="A7004" s="41"/>
      <c r="G7004" s="38" t="n">
        <f aca="false">MONTH(A7004)</f>
        <v>12</v>
      </c>
      <c r="H7004" s="38" t="n">
        <f aca="false">YEAR(Tabela1[[#This Row],[FECHA]])</f>
        <v>1900</v>
      </c>
      <c r="I70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05" customFormat="false" ht="15" hidden="false" customHeight="false" outlineLevel="0" collapsed="false">
      <c r="A7005" s="41"/>
      <c r="G7005" s="38" t="n">
        <f aca="false">MONTH(A7005)</f>
        <v>12</v>
      </c>
      <c r="H7005" s="38" t="n">
        <f aca="false">YEAR(Tabela1[[#This Row],[FECHA]])</f>
        <v>1900</v>
      </c>
      <c r="I70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06" customFormat="false" ht="15" hidden="false" customHeight="false" outlineLevel="0" collapsed="false">
      <c r="A7006" s="41"/>
      <c r="G7006" s="38" t="n">
        <f aca="false">MONTH(A7006)</f>
        <v>12</v>
      </c>
      <c r="H7006" s="38" t="n">
        <f aca="false">YEAR(Tabela1[[#This Row],[FECHA]])</f>
        <v>1900</v>
      </c>
      <c r="I70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07" customFormat="false" ht="15" hidden="false" customHeight="false" outlineLevel="0" collapsed="false">
      <c r="A7007" s="41"/>
      <c r="G7007" s="38" t="n">
        <f aca="false">MONTH(A7007)</f>
        <v>12</v>
      </c>
      <c r="H7007" s="38" t="n">
        <f aca="false">YEAR(Tabela1[[#This Row],[FECHA]])</f>
        <v>1900</v>
      </c>
      <c r="I70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08" customFormat="false" ht="15" hidden="false" customHeight="false" outlineLevel="0" collapsed="false">
      <c r="A7008" s="41"/>
      <c r="G7008" s="38" t="n">
        <f aca="false">MONTH(A7008)</f>
        <v>12</v>
      </c>
      <c r="H7008" s="38" t="n">
        <f aca="false">YEAR(Tabela1[[#This Row],[FECHA]])</f>
        <v>1900</v>
      </c>
      <c r="I70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09" customFormat="false" ht="15" hidden="false" customHeight="false" outlineLevel="0" collapsed="false">
      <c r="A7009" s="41"/>
      <c r="G7009" s="38" t="n">
        <f aca="false">MONTH(A7009)</f>
        <v>12</v>
      </c>
      <c r="H7009" s="38" t="n">
        <f aca="false">YEAR(Tabela1[[#This Row],[FECHA]])</f>
        <v>1900</v>
      </c>
      <c r="I70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10" customFormat="false" ht="15" hidden="false" customHeight="false" outlineLevel="0" collapsed="false">
      <c r="A7010" s="41"/>
      <c r="G7010" s="38" t="n">
        <f aca="false">MONTH(A7010)</f>
        <v>12</v>
      </c>
      <c r="H7010" s="38" t="n">
        <f aca="false">YEAR(Tabela1[[#This Row],[FECHA]])</f>
        <v>1900</v>
      </c>
      <c r="I70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11" customFormat="false" ht="15" hidden="false" customHeight="false" outlineLevel="0" collapsed="false">
      <c r="A7011" s="41"/>
      <c r="G7011" s="38" t="n">
        <f aca="false">MONTH(A7011)</f>
        <v>12</v>
      </c>
      <c r="H7011" s="38" t="n">
        <f aca="false">YEAR(Tabela1[[#This Row],[FECHA]])</f>
        <v>1900</v>
      </c>
      <c r="I70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12" customFormat="false" ht="15" hidden="false" customHeight="false" outlineLevel="0" collapsed="false">
      <c r="A7012" s="41"/>
      <c r="G7012" s="38" t="n">
        <f aca="false">MONTH(A7012)</f>
        <v>12</v>
      </c>
      <c r="H7012" s="38" t="n">
        <f aca="false">YEAR(Tabela1[[#This Row],[FECHA]])</f>
        <v>1900</v>
      </c>
      <c r="I70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13" customFormat="false" ht="15" hidden="false" customHeight="false" outlineLevel="0" collapsed="false">
      <c r="A7013" s="41"/>
      <c r="G7013" s="38" t="n">
        <f aca="false">MONTH(A7013)</f>
        <v>12</v>
      </c>
      <c r="H7013" s="38" t="n">
        <f aca="false">YEAR(Tabela1[[#This Row],[FECHA]])</f>
        <v>1900</v>
      </c>
      <c r="I70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14" customFormat="false" ht="15" hidden="false" customHeight="false" outlineLevel="0" collapsed="false">
      <c r="A7014" s="41"/>
      <c r="G7014" s="38" t="n">
        <f aca="false">MONTH(A7014)</f>
        <v>12</v>
      </c>
      <c r="H7014" s="38" t="n">
        <f aca="false">YEAR(Tabela1[[#This Row],[FECHA]])</f>
        <v>1900</v>
      </c>
      <c r="I70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15" customFormat="false" ht="15" hidden="false" customHeight="false" outlineLevel="0" collapsed="false">
      <c r="A7015" s="41"/>
      <c r="G7015" s="38" t="n">
        <f aca="false">MONTH(A7015)</f>
        <v>12</v>
      </c>
      <c r="H7015" s="38" t="n">
        <f aca="false">YEAR(Tabela1[[#This Row],[FECHA]])</f>
        <v>1900</v>
      </c>
      <c r="I70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16" customFormat="false" ht="15" hidden="false" customHeight="false" outlineLevel="0" collapsed="false">
      <c r="A7016" s="41"/>
      <c r="G7016" s="38" t="n">
        <f aca="false">MONTH(A7016)</f>
        <v>12</v>
      </c>
      <c r="H7016" s="38" t="n">
        <f aca="false">YEAR(Tabela1[[#This Row],[FECHA]])</f>
        <v>1900</v>
      </c>
      <c r="I70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17" customFormat="false" ht="15" hidden="false" customHeight="false" outlineLevel="0" collapsed="false">
      <c r="A7017" s="41"/>
      <c r="G7017" s="38" t="n">
        <f aca="false">MONTH(A7017)</f>
        <v>12</v>
      </c>
      <c r="H7017" s="38" t="n">
        <f aca="false">YEAR(Tabela1[[#This Row],[FECHA]])</f>
        <v>1900</v>
      </c>
      <c r="I70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18" customFormat="false" ht="15" hidden="false" customHeight="false" outlineLevel="0" collapsed="false">
      <c r="A7018" s="41"/>
      <c r="G7018" s="38" t="n">
        <f aca="false">MONTH(A7018)</f>
        <v>12</v>
      </c>
      <c r="H7018" s="38" t="n">
        <f aca="false">YEAR(Tabela1[[#This Row],[FECHA]])</f>
        <v>1900</v>
      </c>
      <c r="I70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19" customFormat="false" ht="15" hidden="false" customHeight="false" outlineLevel="0" collapsed="false">
      <c r="A7019" s="41"/>
      <c r="G7019" s="38" t="n">
        <f aca="false">MONTH(A7019)</f>
        <v>12</v>
      </c>
      <c r="H7019" s="38" t="n">
        <f aca="false">YEAR(Tabela1[[#This Row],[FECHA]])</f>
        <v>1900</v>
      </c>
      <c r="I70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20" customFormat="false" ht="15" hidden="false" customHeight="false" outlineLevel="0" collapsed="false">
      <c r="A7020" s="41"/>
      <c r="G7020" s="38" t="n">
        <f aca="false">MONTH(A7020)</f>
        <v>12</v>
      </c>
      <c r="H7020" s="38" t="n">
        <f aca="false">YEAR(Tabela1[[#This Row],[FECHA]])</f>
        <v>1900</v>
      </c>
      <c r="I70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21" customFormat="false" ht="15" hidden="false" customHeight="false" outlineLevel="0" collapsed="false">
      <c r="A7021" s="41"/>
      <c r="G7021" s="38" t="n">
        <f aca="false">MONTH(A7021)</f>
        <v>12</v>
      </c>
      <c r="H7021" s="38" t="n">
        <f aca="false">YEAR(Tabela1[[#This Row],[FECHA]])</f>
        <v>1900</v>
      </c>
      <c r="I70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22" customFormat="false" ht="15" hidden="false" customHeight="false" outlineLevel="0" collapsed="false">
      <c r="A7022" s="41"/>
      <c r="G7022" s="38" t="n">
        <f aca="false">MONTH(A7022)</f>
        <v>12</v>
      </c>
      <c r="H7022" s="38" t="n">
        <f aca="false">YEAR(Tabela1[[#This Row],[FECHA]])</f>
        <v>1900</v>
      </c>
      <c r="I70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23" customFormat="false" ht="15" hidden="false" customHeight="false" outlineLevel="0" collapsed="false">
      <c r="A7023" s="41"/>
      <c r="G7023" s="38" t="n">
        <f aca="false">MONTH(A7023)</f>
        <v>12</v>
      </c>
      <c r="H7023" s="38" t="n">
        <f aca="false">YEAR(Tabela1[[#This Row],[FECHA]])</f>
        <v>1900</v>
      </c>
      <c r="I70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24" customFormat="false" ht="15" hidden="false" customHeight="false" outlineLevel="0" collapsed="false">
      <c r="A7024" s="41"/>
      <c r="G7024" s="38" t="n">
        <f aca="false">MONTH(A7024)</f>
        <v>12</v>
      </c>
      <c r="H7024" s="38" t="n">
        <f aca="false">YEAR(Tabela1[[#This Row],[FECHA]])</f>
        <v>1900</v>
      </c>
      <c r="I70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25" customFormat="false" ht="15" hidden="false" customHeight="false" outlineLevel="0" collapsed="false">
      <c r="A7025" s="41"/>
      <c r="G7025" s="38" t="n">
        <f aca="false">MONTH(A7025)</f>
        <v>12</v>
      </c>
      <c r="H7025" s="38" t="n">
        <f aca="false">YEAR(Tabela1[[#This Row],[FECHA]])</f>
        <v>1900</v>
      </c>
      <c r="I70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26" customFormat="false" ht="15" hidden="false" customHeight="false" outlineLevel="0" collapsed="false">
      <c r="A7026" s="41"/>
      <c r="G7026" s="38" t="n">
        <f aca="false">MONTH(A7026)</f>
        <v>12</v>
      </c>
      <c r="H7026" s="38" t="n">
        <f aca="false">YEAR(Tabela1[[#This Row],[FECHA]])</f>
        <v>1900</v>
      </c>
      <c r="I70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27" customFormat="false" ht="15" hidden="false" customHeight="false" outlineLevel="0" collapsed="false">
      <c r="A7027" s="41"/>
      <c r="G7027" s="38" t="n">
        <f aca="false">MONTH(A7027)</f>
        <v>12</v>
      </c>
      <c r="H7027" s="38" t="n">
        <f aca="false">YEAR(Tabela1[[#This Row],[FECHA]])</f>
        <v>1900</v>
      </c>
      <c r="I70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28" customFormat="false" ht="15" hidden="false" customHeight="false" outlineLevel="0" collapsed="false">
      <c r="A7028" s="41"/>
      <c r="G7028" s="38" t="n">
        <f aca="false">MONTH(A7028)</f>
        <v>12</v>
      </c>
      <c r="H7028" s="38" t="n">
        <f aca="false">YEAR(Tabela1[[#This Row],[FECHA]])</f>
        <v>1900</v>
      </c>
      <c r="I70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29" customFormat="false" ht="15" hidden="false" customHeight="false" outlineLevel="0" collapsed="false">
      <c r="A7029" s="41"/>
      <c r="G7029" s="38" t="n">
        <f aca="false">MONTH(A7029)</f>
        <v>12</v>
      </c>
      <c r="H7029" s="38" t="n">
        <f aca="false">YEAR(Tabela1[[#This Row],[FECHA]])</f>
        <v>1900</v>
      </c>
      <c r="I70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30" customFormat="false" ht="15" hidden="false" customHeight="false" outlineLevel="0" collapsed="false">
      <c r="A7030" s="41"/>
      <c r="G7030" s="38" t="n">
        <f aca="false">MONTH(A7030)</f>
        <v>12</v>
      </c>
      <c r="H7030" s="38" t="n">
        <f aca="false">YEAR(Tabela1[[#This Row],[FECHA]])</f>
        <v>1900</v>
      </c>
      <c r="I70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31" customFormat="false" ht="15" hidden="false" customHeight="false" outlineLevel="0" collapsed="false">
      <c r="A7031" s="41"/>
      <c r="G7031" s="38" t="n">
        <f aca="false">MONTH(A7031)</f>
        <v>12</v>
      </c>
      <c r="H7031" s="38" t="n">
        <f aca="false">YEAR(Tabela1[[#This Row],[FECHA]])</f>
        <v>1900</v>
      </c>
      <c r="I70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32" customFormat="false" ht="15" hidden="false" customHeight="false" outlineLevel="0" collapsed="false">
      <c r="A7032" s="41"/>
      <c r="G7032" s="38" t="n">
        <f aca="false">MONTH(A7032)</f>
        <v>12</v>
      </c>
      <c r="H7032" s="38" t="n">
        <f aca="false">YEAR(Tabela1[[#This Row],[FECHA]])</f>
        <v>1900</v>
      </c>
      <c r="I70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33" customFormat="false" ht="15" hidden="false" customHeight="false" outlineLevel="0" collapsed="false">
      <c r="A7033" s="41"/>
      <c r="G7033" s="38" t="n">
        <f aca="false">MONTH(A7033)</f>
        <v>12</v>
      </c>
      <c r="H7033" s="38" t="n">
        <f aca="false">YEAR(Tabela1[[#This Row],[FECHA]])</f>
        <v>1900</v>
      </c>
      <c r="I70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34" customFormat="false" ht="15" hidden="false" customHeight="false" outlineLevel="0" collapsed="false">
      <c r="A7034" s="41"/>
      <c r="G7034" s="38" t="n">
        <f aca="false">MONTH(A7034)</f>
        <v>12</v>
      </c>
      <c r="H7034" s="38" t="n">
        <f aca="false">YEAR(Tabela1[[#This Row],[FECHA]])</f>
        <v>1900</v>
      </c>
      <c r="I70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35" customFormat="false" ht="15" hidden="false" customHeight="false" outlineLevel="0" collapsed="false">
      <c r="A7035" s="41"/>
      <c r="G7035" s="38" t="n">
        <f aca="false">MONTH(A7035)</f>
        <v>12</v>
      </c>
      <c r="H7035" s="38" t="n">
        <f aca="false">YEAR(Tabela1[[#This Row],[FECHA]])</f>
        <v>1900</v>
      </c>
      <c r="I70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36" customFormat="false" ht="15" hidden="false" customHeight="false" outlineLevel="0" collapsed="false">
      <c r="A7036" s="41"/>
      <c r="G7036" s="38" t="n">
        <f aca="false">MONTH(A7036)</f>
        <v>12</v>
      </c>
      <c r="H7036" s="38" t="n">
        <f aca="false">YEAR(Tabela1[[#This Row],[FECHA]])</f>
        <v>1900</v>
      </c>
      <c r="I70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37" customFormat="false" ht="15" hidden="false" customHeight="false" outlineLevel="0" collapsed="false">
      <c r="A7037" s="41"/>
      <c r="G7037" s="38" t="n">
        <f aca="false">MONTH(A7037)</f>
        <v>12</v>
      </c>
      <c r="H7037" s="38" t="n">
        <f aca="false">YEAR(Tabela1[[#This Row],[FECHA]])</f>
        <v>1900</v>
      </c>
      <c r="I70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38" customFormat="false" ht="15" hidden="false" customHeight="false" outlineLevel="0" collapsed="false">
      <c r="A7038" s="41"/>
      <c r="G7038" s="38" t="n">
        <f aca="false">MONTH(A7038)</f>
        <v>12</v>
      </c>
      <c r="H7038" s="38" t="n">
        <f aca="false">YEAR(Tabela1[[#This Row],[FECHA]])</f>
        <v>1900</v>
      </c>
      <c r="I70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39" customFormat="false" ht="15" hidden="false" customHeight="false" outlineLevel="0" collapsed="false">
      <c r="A7039" s="41"/>
      <c r="G7039" s="38" t="n">
        <f aca="false">MONTH(A7039)</f>
        <v>12</v>
      </c>
      <c r="H7039" s="38" t="n">
        <f aca="false">YEAR(Tabela1[[#This Row],[FECHA]])</f>
        <v>1900</v>
      </c>
      <c r="I70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40" customFormat="false" ht="15" hidden="false" customHeight="false" outlineLevel="0" collapsed="false">
      <c r="A7040" s="41"/>
      <c r="G7040" s="38" t="n">
        <f aca="false">MONTH(A7040)</f>
        <v>12</v>
      </c>
      <c r="H7040" s="38" t="n">
        <f aca="false">YEAR(Tabela1[[#This Row],[FECHA]])</f>
        <v>1900</v>
      </c>
      <c r="I70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41" customFormat="false" ht="15" hidden="false" customHeight="false" outlineLevel="0" collapsed="false">
      <c r="A7041" s="41"/>
      <c r="G7041" s="38" t="n">
        <f aca="false">MONTH(A7041)</f>
        <v>12</v>
      </c>
      <c r="H7041" s="38" t="n">
        <f aca="false">YEAR(Tabela1[[#This Row],[FECHA]])</f>
        <v>1900</v>
      </c>
      <c r="I70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42" customFormat="false" ht="15" hidden="false" customHeight="false" outlineLevel="0" collapsed="false">
      <c r="A7042" s="41"/>
      <c r="G7042" s="38" t="n">
        <f aca="false">MONTH(A7042)</f>
        <v>12</v>
      </c>
      <c r="H7042" s="38" t="n">
        <f aca="false">YEAR(Tabela1[[#This Row],[FECHA]])</f>
        <v>1900</v>
      </c>
      <c r="I70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43" customFormat="false" ht="15" hidden="false" customHeight="false" outlineLevel="0" collapsed="false">
      <c r="A7043" s="41"/>
      <c r="G7043" s="38" t="n">
        <f aca="false">MONTH(A7043)</f>
        <v>12</v>
      </c>
      <c r="H7043" s="38" t="n">
        <f aca="false">YEAR(Tabela1[[#This Row],[FECHA]])</f>
        <v>1900</v>
      </c>
      <c r="I70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44" customFormat="false" ht="15" hidden="false" customHeight="false" outlineLevel="0" collapsed="false">
      <c r="A7044" s="41"/>
      <c r="G7044" s="38" t="n">
        <f aca="false">MONTH(A7044)</f>
        <v>12</v>
      </c>
      <c r="H7044" s="38" t="n">
        <f aca="false">YEAR(Tabela1[[#This Row],[FECHA]])</f>
        <v>1900</v>
      </c>
      <c r="I70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45" customFormat="false" ht="15" hidden="false" customHeight="false" outlineLevel="0" collapsed="false">
      <c r="A7045" s="41"/>
      <c r="G7045" s="38" t="n">
        <f aca="false">MONTH(A7045)</f>
        <v>12</v>
      </c>
      <c r="H7045" s="38" t="n">
        <f aca="false">YEAR(Tabela1[[#This Row],[FECHA]])</f>
        <v>1900</v>
      </c>
      <c r="I70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46" customFormat="false" ht="15" hidden="false" customHeight="false" outlineLevel="0" collapsed="false">
      <c r="A7046" s="41"/>
      <c r="G7046" s="38" t="n">
        <f aca="false">MONTH(A7046)</f>
        <v>12</v>
      </c>
      <c r="H7046" s="38" t="n">
        <f aca="false">YEAR(Tabela1[[#This Row],[FECHA]])</f>
        <v>1900</v>
      </c>
      <c r="I70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47" customFormat="false" ht="15" hidden="false" customHeight="false" outlineLevel="0" collapsed="false">
      <c r="A7047" s="41"/>
      <c r="G7047" s="38" t="n">
        <f aca="false">MONTH(A7047)</f>
        <v>12</v>
      </c>
      <c r="H7047" s="38" t="n">
        <f aca="false">YEAR(Tabela1[[#This Row],[FECHA]])</f>
        <v>1900</v>
      </c>
      <c r="I70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48" customFormat="false" ht="15" hidden="false" customHeight="false" outlineLevel="0" collapsed="false">
      <c r="A7048" s="41"/>
      <c r="G7048" s="38" t="n">
        <f aca="false">MONTH(A7048)</f>
        <v>12</v>
      </c>
      <c r="H7048" s="38" t="n">
        <f aca="false">YEAR(Tabela1[[#This Row],[FECHA]])</f>
        <v>1900</v>
      </c>
      <c r="I70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49" customFormat="false" ht="15" hidden="false" customHeight="false" outlineLevel="0" collapsed="false">
      <c r="A7049" s="41"/>
      <c r="G7049" s="38" t="n">
        <f aca="false">MONTH(A7049)</f>
        <v>12</v>
      </c>
      <c r="H7049" s="38" t="n">
        <f aca="false">YEAR(Tabela1[[#This Row],[FECHA]])</f>
        <v>1900</v>
      </c>
      <c r="I70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50" customFormat="false" ht="15" hidden="false" customHeight="false" outlineLevel="0" collapsed="false">
      <c r="A7050" s="41"/>
      <c r="G7050" s="38" t="n">
        <f aca="false">MONTH(A7050)</f>
        <v>12</v>
      </c>
      <c r="H7050" s="38" t="n">
        <f aca="false">YEAR(Tabela1[[#This Row],[FECHA]])</f>
        <v>1900</v>
      </c>
      <c r="I70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51" customFormat="false" ht="15" hidden="false" customHeight="false" outlineLevel="0" collapsed="false">
      <c r="A7051" s="41"/>
      <c r="G7051" s="38" t="n">
        <f aca="false">MONTH(A7051)</f>
        <v>12</v>
      </c>
      <c r="H7051" s="38" t="n">
        <f aca="false">YEAR(Tabela1[[#This Row],[FECHA]])</f>
        <v>1900</v>
      </c>
      <c r="I70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52" customFormat="false" ht="15" hidden="false" customHeight="false" outlineLevel="0" collapsed="false">
      <c r="A7052" s="41"/>
      <c r="G7052" s="38" t="n">
        <f aca="false">MONTH(A7052)</f>
        <v>12</v>
      </c>
      <c r="H7052" s="38" t="n">
        <f aca="false">YEAR(Tabela1[[#This Row],[FECHA]])</f>
        <v>1900</v>
      </c>
      <c r="I70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53" customFormat="false" ht="15" hidden="false" customHeight="false" outlineLevel="0" collapsed="false">
      <c r="A7053" s="41"/>
      <c r="G7053" s="38" t="n">
        <f aca="false">MONTH(A7053)</f>
        <v>12</v>
      </c>
      <c r="H7053" s="38" t="n">
        <f aca="false">YEAR(Tabela1[[#This Row],[FECHA]])</f>
        <v>1900</v>
      </c>
      <c r="I70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54" customFormat="false" ht="15" hidden="false" customHeight="false" outlineLevel="0" collapsed="false">
      <c r="A7054" s="41"/>
      <c r="G7054" s="38" t="n">
        <f aca="false">MONTH(A7054)</f>
        <v>12</v>
      </c>
      <c r="H7054" s="38" t="n">
        <f aca="false">YEAR(Tabela1[[#This Row],[FECHA]])</f>
        <v>1900</v>
      </c>
      <c r="I70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55" customFormat="false" ht="15" hidden="false" customHeight="false" outlineLevel="0" collapsed="false">
      <c r="A7055" s="41"/>
      <c r="G7055" s="38" t="n">
        <f aca="false">MONTH(A7055)</f>
        <v>12</v>
      </c>
      <c r="H7055" s="38" t="n">
        <f aca="false">YEAR(Tabela1[[#This Row],[FECHA]])</f>
        <v>1900</v>
      </c>
      <c r="I70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56" customFormat="false" ht="15" hidden="false" customHeight="false" outlineLevel="0" collapsed="false">
      <c r="A7056" s="41"/>
      <c r="G7056" s="38" t="n">
        <f aca="false">MONTH(A7056)</f>
        <v>12</v>
      </c>
      <c r="H7056" s="38" t="n">
        <f aca="false">YEAR(Tabela1[[#This Row],[FECHA]])</f>
        <v>1900</v>
      </c>
      <c r="I70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57" customFormat="false" ht="15" hidden="false" customHeight="false" outlineLevel="0" collapsed="false">
      <c r="A7057" s="41"/>
      <c r="G7057" s="38" t="n">
        <f aca="false">MONTH(A7057)</f>
        <v>12</v>
      </c>
      <c r="H7057" s="38" t="n">
        <f aca="false">YEAR(Tabela1[[#This Row],[FECHA]])</f>
        <v>1900</v>
      </c>
      <c r="I70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58" customFormat="false" ht="15" hidden="false" customHeight="false" outlineLevel="0" collapsed="false">
      <c r="A7058" s="41"/>
      <c r="G7058" s="38" t="n">
        <f aca="false">MONTH(A7058)</f>
        <v>12</v>
      </c>
      <c r="H7058" s="38" t="n">
        <f aca="false">YEAR(Tabela1[[#This Row],[FECHA]])</f>
        <v>1900</v>
      </c>
      <c r="I70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59" customFormat="false" ht="15" hidden="false" customHeight="false" outlineLevel="0" collapsed="false">
      <c r="A7059" s="41"/>
      <c r="G7059" s="38" t="n">
        <f aca="false">MONTH(A7059)</f>
        <v>12</v>
      </c>
      <c r="H7059" s="38" t="n">
        <f aca="false">YEAR(Tabela1[[#This Row],[FECHA]])</f>
        <v>1900</v>
      </c>
      <c r="I70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60" customFormat="false" ht="15" hidden="false" customHeight="false" outlineLevel="0" collapsed="false">
      <c r="A7060" s="41"/>
      <c r="G7060" s="38" t="n">
        <f aca="false">MONTH(A7060)</f>
        <v>12</v>
      </c>
      <c r="H7060" s="38" t="n">
        <f aca="false">YEAR(Tabela1[[#This Row],[FECHA]])</f>
        <v>1900</v>
      </c>
      <c r="I70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61" customFormat="false" ht="15" hidden="false" customHeight="false" outlineLevel="0" collapsed="false">
      <c r="A7061" s="41"/>
      <c r="G7061" s="38" t="n">
        <f aca="false">MONTH(A7061)</f>
        <v>12</v>
      </c>
      <c r="H7061" s="38" t="n">
        <f aca="false">YEAR(Tabela1[[#This Row],[FECHA]])</f>
        <v>1900</v>
      </c>
      <c r="I70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62" customFormat="false" ht="15" hidden="false" customHeight="false" outlineLevel="0" collapsed="false">
      <c r="A7062" s="41"/>
      <c r="G7062" s="38" t="n">
        <f aca="false">MONTH(A7062)</f>
        <v>12</v>
      </c>
      <c r="H7062" s="38" t="n">
        <f aca="false">YEAR(Tabela1[[#This Row],[FECHA]])</f>
        <v>1900</v>
      </c>
      <c r="I70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63" customFormat="false" ht="15" hidden="false" customHeight="false" outlineLevel="0" collapsed="false">
      <c r="A7063" s="41"/>
      <c r="G7063" s="38" t="n">
        <f aca="false">MONTH(A7063)</f>
        <v>12</v>
      </c>
      <c r="H7063" s="38" t="n">
        <f aca="false">YEAR(Tabela1[[#This Row],[FECHA]])</f>
        <v>1900</v>
      </c>
      <c r="I70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64" customFormat="false" ht="15" hidden="false" customHeight="false" outlineLevel="0" collapsed="false">
      <c r="A7064" s="41"/>
      <c r="G7064" s="38" t="n">
        <f aca="false">MONTH(A7064)</f>
        <v>12</v>
      </c>
      <c r="H7064" s="38" t="n">
        <f aca="false">YEAR(Tabela1[[#This Row],[FECHA]])</f>
        <v>1900</v>
      </c>
      <c r="I70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65" customFormat="false" ht="15" hidden="false" customHeight="false" outlineLevel="0" collapsed="false">
      <c r="A7065" s="41"/>
      <c r="G7065" s="38" t="n">
        <f aca="false">MONTH(A7065)</f>
        <v>12</v>
      </c>
      <c r="H7065" s="38" t="n">
        <f aca="false">YEAR(Tabela1[[#This Row],[FECHA]])</f>
        <v>1900</v>
      </c>
      <c r="I70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66" customFormat="false" ht="15" hidden="false" customHeight="false" outlineLevel="0" collapsed="false">
      <c r="A7066" s="41"/>
      <c r="G7066" s="38" t="n">
        <f aca="false">MONTH(A7066)</f>
        <v>12</v>
      </c>
      <c r="H7066" s="38" t="n">
        <f aca="false">YEAR(Tabela1[[#This Row],[FECHA]])</f>
        <v>1900</v>
      </c>
      <c r="I70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67" customFormat="false" ht="15" hidden="false" customHeight="false" outlineLevel="0" collapsed="false">
      <c r="A7067" s="41"/>
      <c r="G7067" s="38" t="n">
        <f aca="false">MONTH(A7067)</f>
        <v>12</v>
      </c>
      <c r="H7067" s="38" t="n">
        <f aca="false">YEAR(Tabela1[[#This Row],[FECHA]])</f>
        <v>1900</v>
      </c>
      <c r="I70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68" customFormat="false" ht="15" hidden="false" customHeight="false" outlineLevel="0" collapsed="false">
      <c r="A7068" s="41"/>
      <c r="G7068" s="38" t="n">
        <f aca="false">MONTH(A7068)</f>
        <v>12</v>
      </c>
      <c r="H7068" s="38" t="n">
        <f aca="false">YEAR(Tabela1[[#This Row],[FECHA]])</f>
        <v>1900</v>
      </c>
      <c r="I70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69" customFormat="false" ht="15" hidden="false" customHeight="false" outlineLevel="0" collapsed="false">
      <c r="A7069" s="41"/>
      <c r="G7069" s="38" t="n">
        <f aca="false">MONTH(A7069)</f>
        <v>12</v>
      </c>
      <c r="H7069" s="38" t="n">
        <f aca="false">YEAR(Tabela1[[#This Row],[FECHA]])</f>
        <v>1900</v>
      </c>
      <c r="I70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70" customFormat="false" ht="15" hidden="false" customHeight="false" outlineLevel="0" collapsed="false">
      <c r="A7070" s="41"/>
      <c r="G7070" s="38" t="n">
        <f aca="false">MONTH(A7070)</f>
        <v>12</v>
      </c>
      <c r="H7070" s="38" t="n">
        <f aca="false">YEAR(Tabela1[[#This Row],[FECHA]])</f>
        <v>1900</v>
      </c>
      <c r="I70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71" customFormat="false" ht="15" hidden="false" customHeight="false" outlineLevel="0" collapsed="false">
      <c r="A7071" s="41"/>
      <c r="G7071" s="38" t="n">
        <f aca="false">MONTH(A7071)</f>
        <v>12</v>
      </c>
      <c r="H7071" s="38" t="n">
        <f aca="false">YEAR(Tabela1[[#This Row],[FECHA]])</f>
        <v>1900</v>
      </c>
      <c r="I70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72" customFormat="false" ht="15" hidden="false" customHeight="false" outlineLevel="0" collapsed="false">
      <c r="A7072" s="41"/>
      <c r="G7072" s="38" t="n">
        <f aca="false">MONTH(A7072)</f>
        <v>12</v>
      </c>
      <c r="H7072" s="38" t="n">
        <f aca="false">YEAR(Tabela1[[#This Row],[FECHA]])</f>
        <v>1900</v>
      </c>
      <c r="I70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73" customFormat="false" ht="15" hidden="false" customHeight="false" outlineLevel="0" collapsed="false">
      <c r="A7073" s="41"/>
      <c r="G7073" s="38" t="n">
        <f aca="false">MONTH(A7073)</f>
        <v>12</v>
      </c>
      <c r="H7073" s="38" t="n">
        <f aca="false">YEAR(Tabela1[[#This Row],[FECHA]])</f>
        <v>1900</v>
      </c>
      <c r="I70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74" customFormat="false" ht="15" hidden="false" customHeight="false" outlineLevel="0" collapsed="false">
      <c r="A7074" s="41"/>
      <c r="G7074" s="38" t="n">
        <f aca="false">MONTH(A7074)</f>
        <v>12</v>
      </c>
      <c r="H7074" s="38" t="n">
        <f aca="false">YEAR(Tabela1[[#This Row],[FECHA]])</f>
        <v>1900</v>
      </c>
      <c r="I70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75" customFormat="false" ht="15" hidden="false" customHeight="false" outlineLevel="0" collapsed="false">
      <c r="A7075" s="41"/>
      <c r="G7075" s="38" t="n">
        <f aca="false">MONTH(A7075)</f>
        <v>12</v>
      </c>
      <c r="H7075" s="38" t="n">
        <f aca="false">YEAR(Tabela1[[#This Row],[FECHA]])</f>
        <v>1900</v>
      </c>
      <c r="I70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76" customFormat="false" ht="15" hidden="false" customHeight="false" outlineLevel="0" collapsed="false">
      <c r="A7076" s="41"/>
      <c r="G7076" s="38" t="n">
        <f aca="false">MONTH(A7076)</f>
        <v>12</v>
      </c>
      <c r="H7076" s="38" t="n">
        <f aca="false">YEAR(Tabela1[[#This Row],[FECHA]])</f>
        <v>1900</v>
      </c>
      <c r="I70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77" customFormat="false" ht="15" hidden="false" customHeight="false" outlineLevel="0" collapsed="false">
      <c r="A7077" s="41"/>
      <c r="G7077" s="38" t="n">
        <f aca="false">MONTH(A7077)</f>
        <v>12</v>
      </c>
      <c r="H7077" s="38" t="n">
        <f aca="false">YEAR(Tabela1[[#This Row],[FECHA]])</f>
        <v>1900</v>
      </c>
      <c r="I70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78" customFormat="false" ht="15" hidden="false" customHeight="false" outlineLevel="0" collapsed="false">
      <c r="A7078" s="41"/>
      <c r="G7078" s="38" t="n">
        <f aca="false">MONTH(A7078)</f>
        <v>12</v>
      </c>
      <c r="H7078" s="38" t="n">
        <f aca="false">YEAR(Tabela1[[#This Row],[FECHA]])</f>
        <v>1900</v>
      </c>
      <c r="I70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79" customFormat="false" ht="15" hidden="false" customHeight="false" outlineLevel="0" collapsed="false">
      <c r="A7079" s="41"/>
      <c r="G7079" s="38" t="n">
        <f aca="false">MONTH(A7079)</f>
        <v>12</v>
      </c>
      <c r="H7079" s="38" t="n">
        <f aca="false">YEAR(Tabela1[[#This Row],[FECHA]])</f>
        <v>1900</v>
      </c>
      <c r="I70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80" customFormat="false" ht="15" hidden="false" customHeight="false" outlineLevel="0" collapsed="false">
      <c r="A7080" s="41"/>
      <c r="G7080" s="38" t="n">
        <f aca="false">MONTH(A7080)</f>
        <v>12</v>
      </c>
      <c r="H7080" s="38" t="n">
        <f aca="false">YEAR(Tabela1[[#This Row],[FECHA]])</f>
        <v>1900</v>
      </c>
      <c r="I70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81" customFormat="false" ht="15" hidden="false" customHeight="false" outlineLevel="0" collapsed="false">
      <c r="A7081" s="41"/>
      <c r="G7081" s="38" t="n">
        <f aca="false">MONTH(A7081)</f>
        <v>12</v>
      </c>
      <c r="H7081" s="38" t="n">
        <f aca="false">YEAR(Tabela1[[#This Row],[FECHA]])</f>
        <v>1900</v>
      </c>
      <c r="I70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82" customFormat="false" ht="15" hidden="false" customHeight="false" outlineLevel="0" collapsed="false">
      <c r="A7082" s="41"/>
      <c r="G7082" s="38" t="n">
        <f aca="false">MONTH(A7082)</f>
        <v>12</v>
      </c>
      <c r="H7082" s="38" t="n">
        <f aca="false">YEAR(Tabela1[[#This Row],[FECHA]])</f>
        <v>1900</v>
      </c>
      <c r="I70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83" customFormat="false" ht="15" hidden="false" customHeight="false" outlineLevel="0" collapsed="false">
      <c r="A7083" s="41"/>
      <c r="G7083" s="38" t="n">
        <f aca="false">MONTH(A7083)</f>
        <v>12</v>
      </c>
      <c r="H7083" s="38" t="n">
        <f aca="false">YEAR(Tabela1[[#This Row],[FECHA]])</f>
        <v>1900</v>
      </c>
      <c r="I70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84" customFormat="false" ht="15" hidden="false" customHeight="false" outlineLevel="0" collapsed="false">
      <c r="A7084" s="41"/>
      <c r="G7084" s="38" t="n">
        <f aca="false">MONTH(A7084)</f>
        <v>12</v>
      </c>
      <c r="H7084" s="38" t="n">
        <f aca="false">YEAR(Tabela1[[#This Row],[FECHA]])</f>
        <v>1900</v>
      </c>
      <c r="I70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85" customFormat="false" ht="15" hidden="false" customHeight="false" outlineLevel="0" collapsed="false">
      <c r="A7085" s="41"/>
      <c r="G7085" s="38" t="n">
        <f aca="false">MONTH(A7085)</f>
        <v>12</v>
      </c>
      <c r="H7085" s="38" t="n">
        <f aca="false">YEAR(Tabela1[[#This Row],[FECHA]])</f>
        <v>1900</v>
      </c>
      <c r="I70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86" customFormat="false" ht="15" hidden="false" customHeight="false" outlineLevel="0" collapsed="false">
      <c r="A7086" s="41"/>
      <c r="G7086" s="38" t="n">
        <f aca="false">MONTH(A7086)</f>
        <v>12</v>
      </c>
      <c r="H7086" s="38" t="n">
        <f aca="false">YEAR(Tabela1[[#This Row],[FECHA]])</f>
        <v>1900</v>
      </c>
      <c r="I70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87" customFormat="false" ht="15" hidden="false" customHeight="false" outlineLevel="0" collapsed="false">
      <c r="A7087" s="41"/>
      <c r="G7087" s="38" t="n">
        <f aca="false">MONTH(A7087)</f>
        <v>12</v>
      </c>
      <c r="H7087" s="38" t="n">
        <f aca="false">YEAR(Tabela1[[#This Row],[FECHA]])</f>
        <v>1900</v>
      </c>
      <c r="I70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88" customFormat="false" ht="15" hidden="false" customHeight="false" outlineLevel="0" collapsed="false">
      <c r="A7088" s="41"/>
      <c r="G7088" s="38" t="n">
        <f aca="false">MONTH(A7088)</f>
        <v>12</v>
      </c>
      <c r="H7088" s="38" t="n">
        <f aca="false">YEAR(Tabela1[[#This Row],[FECHA]])</f>
        <v>1900</v>
      </c>
      <c r="I70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89" customFormat="false" ht="15" hidden="false" customHeight="false" outlineLevel="0" collapsed="false">
      <c r="A7089" s="41"/>
      <c r="G7089" s="38" t="n">
        <f aca="false">MONTH(A7089)</f>
        <v>12</v>
      </c>
      <c r="H7089" s="38" t="n">
        <f aca="false">YEAR(Tabela1[[#This Row],[FECHA]])</f>
        <v>1900</v>
      </c>
      <c r="I70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90" customFormat="false" ht="15" hidden="false" customHeight="false" outlineLevel="0" collapsed="false">
      <c r="A7090" s="41"/>
      <c r="G7090" s="38" t="n">
        <f aca="false">MONTH(A7090)</f>
        <v>12</v>
      </c>
      <c r="H7090" s="38" t="n">
        <f aca="false">YEAR(Tabela1[[#This Row],[FECHA]])</f>
        <v>1900</v>
      </c>
      <c r="I70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91" customFormat="false" ht="15" hidden="false" customHeight="false" outlineLevel="0" collapsed="false">
      <c r="A7091" s="41"/>
      <c r="G7091" s="38" t="n">
        <f aca="false">MONTH(A7091)</f>
        <v>12</v>
      </c>
      <c r="H7091" s="38" t="n">
        <f aca="false">YEAR(Tabela1[[#This Row],[FECHA]])</f>
        <v>1900</v>
      </c>
      <c r="I70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92" customFormat="false" ht="15" hidden="false" customHeight="false" outlineLevel="0" collapsed="false">
      <c r="A7092" s="41"/>
      <c r="G7092" s="38" t="n">
        <f aca="false">MONTH(A7092)</f>
        <v>12</v>
      </c>
      <c r="H7092" s="38" t="n">
        <f aca="false">YEAR(Tabela1[[#This Row],[FECHA]])</f>
        <v>1900</v>
      </c>
      <c r="I70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93" customFormat="false" ht="15" hidden="false" customHeight="false" outlineLevel="0" collapsed="false">
      <c r="A7093" s="41"/>
      <c r="G7093" s="38" t="n">
        <f aca="false">MONTH(A7093)</f>
        <v>12</v>
      </c>
      <c r="H7093" s="38" t="n">
        <f aca="false">YEAR(Tabela1[[#This Row],[FECHA]])</f>
        <v>1900</v>
      </c>
      <c r="I70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94" customFormat="false" ht="15" hidden="false" customHeight="false" outlineLevel="0" collapsed="false">
      <c r="A7094" s="41"/>
      <c r="G7094" s="38" t="n">
        <f aca="false">MONTH(A7094)</f>
        <v>12</v>
      </c>
      <c r="H7094" s="38" t="n">
        <f aca="false">YEAR(Tabela1[[#This Row],[FECHA]])</f>
        <v>1900</v>
      </c>
      <c r="I70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95" customFormat="false" ht="15" hidden="false" customHeight="false" outlineLevel="0" collapsed="false">
      <c r="A7095" s="41"/>
      <c r="G7095" s="38" t="n">
        <f aca="false">MONTH(A7095)</f>
        <v>12</v>
      </c>
      <c r="H7095" s="38" t="n">
        <f aca="false">YEAR(Tabela1[[#This Row],[FECHA]])</f>
        <v>1900</v>
      </c>
      <c r="I70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96" customFormat="false" ht="15" hidden="false" customHeight="false" outlineLevel="0" collapsed="false">
      <c r="A7096" s="41"/>
      <c r="G7096" s="38" t="n">
        <f aca="false">MONTH(A7096)</f>
        <v>12</v>
      </c>
      <c r="H7096" s="38" t="n">
        <f aca="false">YEAR(Tabela1[[#This Row],[FECHA]])</f>
        <v>1900</v>
      </c>
      <c r="I70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97" customFormat="false" ht="15" hidden="false" customHeight="false" outlineLevel="0" collapsed="false">
      <c r="A7097" s="41"/>
      <c r="G7097" s="38" t="n">
        <f aca="false">MONTH(A7097)</f>
        <v>12</v>
      </c>
      <c r="H7097" s="38" t="n">
        <f aca="false">YEAR(Tabela1[[#This Row],[FECHA]])</f>
        <v>1900</v>
      </c>
      <c r="I70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98" customFormat="false" ht="15" hidden="false" customHeight="false" outlineLevel="0" collapsed="false">
      <c r="A7098" s="41"/>
      <c r="G7098" s="38" t="n">
        <f aca="false">MONTH(A7098)</f>
        <v>12</v>
      </c>
      <c r="H7098" s="38" t="n">
        <f aca="false">YEAR(Tabela1[[#This Row],[FECHA]])</f>
        <v>1900</v>
      </c>
      <c r="I70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099" customFormat="false" ht="15" hidden="false" customHeight="false" outlineLevel="0" collapsed="false">
      <c r="A7099" s="41"/>
      <c r="G7099" s="38" t="n">
        <f aca="false">MONTH(A7099)</f>
        <v>12</v>
      </c>
      <c r="H7099" s="38" t="n">
        <f aca="false">YEAR(Tabela1[[#This Row],[FECHA]])</f>
        <v>1900</v>
      </c>
      <c r="I70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00" customFormat="false" ht="15" hidden="false" customHeight="false" outlineLevel="0" collapsed="false">
      <c r="A7100" s="41"/>
      <c r="G7100" s="38" t="n">
        <f aca="false">MONTH(A7100)</f>
        <v>12</v>
      </c>
      <c r="H7100" s="38" t="n">
        <f aca="false">YEAR(Tabela1[[#This Row],[FECHA]])</f>
        <v>1900</v>
      </c>
      <c r="I71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01" customFormat="false" ht="15" hidden="false" customHeight="false" outlineLevel="0" collapsed="false">
      <c r="A7101" s="41"/>
      <c r="G7101" s="38" t="n">
        <f aca="false">MONTH(A7101)</f>
        <v>12</v>
      </c>
      <c r="H7101" s="38" t="n">
        <f aca="false">YEAR(Tabela1[[#This Row],[FECHA]])</f>
        <v>1900</v>
      </c>
      <c r="I71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02" customFormat="false" ht="15" hidden="false" customHeight="false" outlineLevel="0" collapsed="false">
      <c r="A7102" s="41"/>
      <c r="G7102" s="38" t="n">
        <f aca="false">MONTH(A7102)</f>
        <v>12</v>
      </c>
      <c r="H7102" s="38" t="n">
        <f aca="false">YEAR(Tabela1[[#This Row],[FECHA]])</f>
        <v>1900</v>
      </c>
      <c r="I71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03" customFormat="false" ht="15" hidden="false" customHeight="false" outlineLevel="0" collapsed="false">
      <c r="A7103" s="41"/>
      <c r="G7103" s="38" t="n">
        <f aca="false">MONTH(A7103)</f>
        <v>12</v>
      </c>
      <c r="H7103" s="38" t="n">
        <f aca="false">YEAR(Tabela1[[#This Row],[FECHA]])</f>
        <v>1900</v>
      </c>
      <c r="I71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04" customFormat="false" ht="15" hidden="false" customHeight="false" outlineLevel="0" collapsed="false">
      <c r="A7104" s="41"/>
      <c r="G7104" s="38" t="n">
        <f aca="false">MONTH(A7104)</f>
        <v>12</v>
      </c>
      <c r="H7104" s="38" t="n">
        <f aca="false">YEAR(Tabela1[[#This Row],[FECHA]])</f>
        <v>1900</v>
      </c>
      <c r="I71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05" customFormat="false" ht="15" hidden="false" customHeight="false" outlineLevel="0" collapsed="false">
      <c r="A7105" s="41"/>
      <c r="G7105" s="38" t="n">
        <f aca="false">MONTH(A7105)</f>
        <v>12</v>
      </c>
      <c r="H7105" s="38" t="n">
        <f aca="false">YEAR(Tabela1[[#This Row],[FECHA]])</f>
        <v>1900</v>
      </c>
      <c r="I71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06" customFormat="false" ht="15" hidden="false" customHeight="false" outlineLevel="0" collapsed="false">
      <c r="A7106" s="41"/>
      <c r="G7106" s="38" t="n">
        <f aca="false">MONTH(A7106)</f>
        <v>12</v>
      </c>
      <c r="H7106" s="38" t="n">
        <f aca="false">YEAR(Tabela1[[#This Row],[FECHA]])</f>
        <v>1900</v>
      </c>
      <c r="I71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07" customFormat="false" ht="15" hidden="false" customHeight="false" outlineLevel="0" collapsed="false">
      <c r="A7107" s="41"/>
      <c r="G7107" s="38" t="n">
        <f aca="false">MONTH(A7107)</f>
        <v>12</v>
      </c>
      <c r="H7107" s="38" t="n">
        <f aca="false">YEAR(Tabela1[[#This Row],[FECHA]])</f>
        <v>1900</v>
      </c>
      <c r="I71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08" customFormat="false" ht="15" hidden="false" customHeight="false" outlineLevel="0" collapsed="false">
      <c r="A7108" s="41"/>
      <c r="G7108" s="38" t="n">
        <f aca="false">MONTH(A7108)</f>
        <v>12</v>
      </c>
      <c r="H7108" s="38" t="n">
        <f aca="false">YEAR(Tabela1[[#This Row],[FECHA]])</f>
        <v>1900</v>
      </c>
      <c r="I71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09" customFormat="false" ht="15" hidden="false" customHeight="false" outlineLevel="0" collapsed="false">
      <c r="A7109" s="41"/>
      <c r="G7109" s="38" t="n">
        <f aca="false">MONTH(A7109)</f>
        <v>12</v>
      </c>
      <c r="H7109" s="38" t="n">
        <f aca="false">YEAR(Tabela1[[#This Row],[FECHA]])</f>
        <v>1900</v>
      </c>
      <c r="I71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10" customFormat="false" ht="15" hidden="false" customHeight="false" outlineLevel="0" collapsed="false">
      <c r="A7110" s="41"/>
      <c r="G7110" s="38" t="n">
        <f aca="false">MONTH(A7110)</f>
        <v>12</v>
      </c>
      <c r="H7110" s="38" t="n">
        <f aca="false">YEAR(Tabela1[[#This Row],[FECHA]])</f>
        <v>1900</v>
      </c>
      <c r="I71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11" customFormat="false" ht="15" hidden="false" customHeight="false" outlineLevel="0" collapsed="false">
      <c r="A7111" s="41"/>
      <c r="G7111" s="38" t="n">
        <f aca="false">MONTH(A7111)</f>
        <v>12</v>
      </c>
      <c r="H7111" s="38" t="n">
        <f aca="false">YEAR(Tabela1[[#This Row],[FECHA]])</f>
        <v>1900</v>
      </c>
      <c r="I71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12" customFormat="false" ht="15" hidden="false" customHeight="false" outlineLevel="0" collapsed="false">
      <c r="A7112" s="41"/>
      <c r="G7112" s="38" t="n">
        <f aca="false">MONTH(A7112)</f>
        <v>12</v>
      </c>
      <c r="H7112" s="38" t="n">
        <f aca="false">YEAR(Tabela1[[#This Row],[FECHA]])</f>
        <v>1900</v>
      </c>
      <c r="I71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13" customFormat="false" ht="15" hidden="false" customHeight="false" outlineLevel="0" collapsed="false">
      <c r="A7113" s="41"/>
      <c r="G7113" s="38" t="n">
        <f aca="false">MONTH(A7113)</f>
        <v>12</v>
      </c>
      <c r="H7113" s="38" t="n">
        <f aca="false">YEAR(Tabela1[[#This Row],[FECHA]])</f>
        <v>1900</v>
      </c>
      <c r="I71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14" customFormat="false" ht="15" hidden="false" customHeight="false" outlineLevel="0" collapsed="false">
      <c r="A7114" s="41"/>
      <c r="G7114" s="38" t="n">
        <f aca="false">MONTH(A7114)</f>
        <v>12</v>
      </c>
      <c r="H7114" s="38" t="n">
        <f aca="false">YEAR(Tabela1[[#This Row],[FECHA]])</f>
        <v>1900</v>
      </c>
      <c r="I71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15" customFormat="false" ht="15" hidden="false" customHeight="false" outlineLevel="0" collapsed="false">
      <c r="A7115" s="41"/>
      <c r="G7115" s="38" t="n">
        <f aca="false">MONTH(A7115)</f>
        <v>12</v>
      </c>
      <c r="H7115" s="38" t="n">
        <f aca="false">YEAR(Tabela1[[#This Row],[FECHA]])</f>
        <v>1900</v>
      </c>
      <c r="I71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16" customFormat="false" ht="15" hidden="false" customHeight="false" outlineLevel="0" collapsed="false">
      <c r="A7116" s="41"/>
      <c r="G7116" s="38" t="n">
        <f aca="false">MONTH(A7116)</f>
        <v>12</v>
      </c>
      <c r="H7116" s="38" t="n">
        <f aca="false">YEAR(Tabela1[[#This Row],[FECHA]])</f>
        <v>1900</v>
      </c>
      <c r="I71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17" customFormat="false" ht="15" hidden="false" customHeight="false" outlineLevel="0" collapsed="false">
      <c r="A7117" s="41"/>
      <c r="G7117" s="38" t="n">
        <f aca="false">MONTH(A7117)</f>
        <v>12</v>
      </c>
      <c r="H7117" s="38" t="n">
        <f aca="false">YEAR(Tabela1[[#This Row],[FECHA]])</f>
        <v>1900</v>
      </c>
      <c r="I71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18" customFormat="false" ht="15" hidden="false" customHeight="false" outlineLevel="0" collapsed="false">
      <c r="A7118" s="41"/>
      <c r="G7118" s="38" t="n">
        <f aca="false">MONTH(A7118)</f>
        <v>12</v>
      </c>
      <c r="H7118" s="38" t="n">
        <f aca="false">YEAR(Tabela1[[#This Row],[FECHA]])</f>
        <v>1900</v>
      </c>
      <c r="I71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19" customFormat="false" ht="15" hidden="false" customHeight="false" outlineLevel="0" collapsed="false">
      <c r="A7119" s="41"/>
      <c r="G7119" s="38" t="n">
        <f aca="false">MONTH(A7119)</f>
        <v>12</v>
      </c>
      <c r="H7119" s="38" t="n">
        <f aca="false">YEAR(Tabela1[[#This Row],[FECHA]])</f>
        <v>1900</v>
      </c>
      <c r="I71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20" customFormat="false" ht="15" hidden="false" customHeight="false" outlineLevel="0" collapsed="false">
      <c r="A7120" s="41"/>
      <c r="G7120" s="38" t="n">
        <f aca="false">MONTH(A7120)</f>
        <v>12</v>
      </c>
      <c r="H7120" s="38" t="n">
        <f aca="false">YEAR(Tabela1[[#This Row],[FECHA]])</f>
        <v>1900</v>
      </c>
      <c r="I71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21" customFormat="false" ht="15" hidden="false" customHeight="false" outlineLevel="0" collapsed="false">
      <c r="A7121" s="41"/>
      <c r="G7121" s="38" t="n">
        <f aca="false">MONTH(A7121)</f>
        <v>12</v>
      </c>
      <c r="H7121" s="38" t="n">
        <f aca="false">YEAR(Tabela1[[#This Row],[FECHA]])</f>
        <v>1900</v>
      </c>
      <c r="I71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22" customFormat="false" ht="15" hidden="false" customHeight="false" outlineLevel="0" collapsed="false">
      <c r="A7122" s="41"/>
      <c r="G7122" s="38" t="n">
        <f aca="false">MONTH(A7122)</f>
        <v>12</v>
      </c>
      <c r="H7122" s="38" t="n">
        <f aca="false">YEAR(Tabela1[[#This Row],[FECHA]])</f>
        <v>1900</v>
      </c>
      <c r="I71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23" customFormat="false" ht="15" hidden="false" customHeight="false" outlineLevel="0" collapsed="false">
      <c r="A7123" s="41"/>
      <c r="G7123" s="38" t="n">
        <f aca="false">MONTH(A7123)</f>
        <v>12</v>
      </c>
      <c r="H7123" s="38" t="n">
        <f aca="false">YEAR(Tabela1[[#This Row],[FECHA]])</f>
        <v>1900</v>
      </c>
      <c r="I71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24" customFormat="false" ht="15" hidden="false" customHeight="false" outlineLevel="0" collapsed="false">
      <c r="A7124" s="41"/>
      <c r="G7124" s="38" t="n">
        <f aca="false">MONTH(A7124)</f>
        <v>12</v>
      </c>
      <c r="H7124" s="38" t="n">
        <f aca="false">YEAR(Tabela1[[#This Row],[FECHA]])</f>
        <v>1900</v>
      </c>
      <c r="I71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25" customFormat="false" ht="15" hidden="false" customHeight="false" outlineLevel="0" collapsed="false">
      <c r="A7125" s="41"/>
      <c r="G7125" s="38" t="n">
        <f aca="false">MONTH(A7125)</f>
        <v>12</v>
      </c>
      <c r="H7125" s="38" t="n">
        <f aca="false">YEAR(Tabela1[[#This Row],[FECHA]])</f>
        <v>1900</v>
      </c>
      <c r="I71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26" customFormat="false" ht="15" hidden="false" customHeight="false" outlineLevel="0" collapsed="false">
      <c r="A7126" s="41"/>
      <c r="G7126" s="38" t="n">
        <f aca="false">MONTH(A7126)</f>
        <v>12</v>
      </c>
      <c r="H7126" s="38" t="n">
        <f aca="false">YEAR(Tabela1[[#This Row],[FECHA]])</f>
        <v>1900</v>
      </c>
      <c r="I71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27" customFormat="false" ht="15" hidden="false" customHeight="false" outlineLevel="0" collapsed="false">
      <c r="A7127" s="41"/>
      <c r="G7127" s="38" t="n">
        <f aca="false">MONTH(A7127)</f>
        <v>12</v>
      </c>
      <c r="H7127" s="38" t="n">
        <f aca="false">YEAR(Tabela1[[#This Row],[FECHA]])</f>
        <v>1900</v>
      </c>
      <c r="I71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28" customFormat="false" ht="15" hidden="false" customHeight="false" outlineLevel="0" collapsed="false">
      <c r="A7128" s="41"/>
      <c r="G7128" s="38" t="n">
        <f aca="false">MONTH(A7128)</f>
        <v>12</v>
      </c>
      <c r="H7128" s="38" t="n">
        <f aca="false">YEAR(Tabela1[[#This Row],[FECHA]])</f>
        <v>1900</v>
      </c>
      <c r="I71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29" customFormat="false" ht="15" hidden="false" customHeight="false" outlineLevel="0" collapsed="false">
      <c r="A7129" s="41"/>
      <c r="G7129" s="38" t="n">
        <f aca="false">MONTH(A7129)</f>
        <v>12</v>
      </c>
      <c r="H7129" s="38" t="n">
        <f aca="false">YEAR(Tabela1[[#This Row],[FECHA]])</f>
        <v>1900</v>
      </c>
      <c r="I71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30" customFormat="false" ht="15" hidden="false" customHeight="false" outlineLevel="0" collapsed="false">
      <c r="A7130" s="41"/>
      <c r="G7130" s="38" t="n">
        <f aca="false">MONTH(A7130)</f>
        <v>12</v>
      </c>
      <c r="H7130" s="38" t="n">
        <f aca="false">YEAR(Tabela1[[#This Row],[FECHA]])</f>
        <v>1900</v>
      </c>
      <c r="I71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31" customFormat="false" ht="15" hidden="false" customHeight="false" outlineLevel="0" collapsed="false">
      <c r="A7131" s="41"/>
      <c r="G7131" s="38" t="n">
        <f aca="false">MONTH(A7131)</f>
        <v>12</v>
      </c>
      <c r="H7131" s="38" t="n">
        <f aca="false">YEAR(Tabela1[[#This Row],[FECHA]])</f>
        <v>1900</v>
      </c>
      <c r="I71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32" customFormat="false" ht="15" hidden="false" customHeight="false" outlineLevel="0" collapsed="false">
      <c r="A7132" s="41"/>
      <c r="G7132" s="38" t="n">
        <f aca="false">MONTH(A7132)</f>
        <v>12</v>
      </c>
      <c r="H7132" s="38" t="n">
        <f aca="false">YEAR(Tabela1[[#This Row],[FECHA]])</f>
        <v>1900</v>
      </c>
      <c r="I71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33" customFormat="false" ht="15" hidden="false" customHeight="false" outlineLevel="0" collapsed="false">
      <c r="A7133" s="41"/>
      <c r="G7133" s="38" t="n">
        <f aca="false">MONTH(A7133)</f>
        <v>12</v>
      </c>
      <c r="H7133" s="38" t="n">
        <f aca="false">YEAR(Tabela1[[#This Row],[FECHA]])</f>
        <v>1900</v>
      </c>
      <c r="I71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34" customFormat="false" ht="15" hidden="false" customHeight="false" outlineLevel="0" collapsed="false">
      <c r="A7134" s="41"/>
      <c r="G7134" s="38" t="n">
        <f aca="false">MONTH(A7134)</f>
        <v>12</v>
      </c>
      <c r="H7134" s="38" t="n">
        <f aca="false">YEAR(Tabela1[[#This Row],[FECHA]])</f>
        <v>1900</v>
      </c>
      <c r="I71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35" customFormat="false" ht="15" hidden="false" customHeight="false" outlineLevel="0" collapsed="false">
      <c r="A7135" s="41"/>
      <c r="G7135" s="38" t="n">
        <f aca="false">MONTH(A7135)</f>
        <v>12</v>
      </c>
      <c r="H7135" s="38" t="n">
        <f aca="false">YEAR(Tabela1[[#This Row],[FECHA]])</f>
        <v>1900</v>
      </c>
      <c r="I71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36" customFormat="false" ht="15" hidden="false" customHeight="false" outlineLevel="0" collapsed="false">
      <c r="A7136" s="41"/>
      <c r="G7136" s="38" t="n">
        <f aca="false">MONTH(A7136)</f>
        <v>12</v>
      </c>
      <c r="H7136" s="38" t="n">
        <f aca="false">YEAR(Tabela1[[#This Row],[FECHA]])</f>
        <v>1900</v>
      </c>
      <c r="I71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37" customFormat="false" ht="15" hidden="false" customHeight="false" outlineLevel="0" collapsed="false">
      <c r="A7137" s="41"/>
      <c r="G7137" s="38" t="n">
        <f aca="false">MONTH(A7137)</f>
        <v>12</v>
      </c>
      <c r="H7137" s="38" t="n">
        <f aca="false">YEAR(Tabela1[[#This Row],[FECHA]])</f>
        <v>1900</v>
      </c>
      <c r="I71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38" customFormat="false" ht="15" hidden="false" customHeight="false" outlineLevel="0" collapsed="false">
      <c r="A7138" s="41"/>
      <c r="G7138" s="38" t="n">
        <f aca="false">MONTH(A7138)</f>
        <v>12</v>
      </c>
      <c r="H7138" s="38" t="n">
        <f aca="false">YEAR(Tabela1[[#This Row],[FECHA]])</f>
        <v>1900</v>
      </c>
      <c r="I71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39" customFormat="false" ht="15" hidden="false" customHeight="false" outlineLevel="0" collapsed="false">
      <c r="A7139" s="41"/>
      <c r="G7139" s="38" t="n">
        <f aca="false">MONTH(A7139)</f>
        <v>12</v>
      </c>
      <c r="H7139" s="38" t="n">
        <f aca="false">YEAR(Tabela1[[#This Row],[FECHA]])</f>
        <v>1900</v>
      </c>
      <c r="I71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40" customFormat="false" ht="15" hidden="false" customHeight="false" outlineLevel="0" collapsed="false">
      <c r="A7140" s="41"/>
      <c r="G7140" s="38" t="n">
        <f aca="false">MONTH(A7140)</f>
        <v>12</v>
      </c>
      <c r="H7140" s="38" t="n">
        <f aca="false">YEAR(Tabela1[[#This Row],[FECHA]])</f>
        <v>1900</v>
      </c>
      <c r="I71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41" customFormat="false" ht="15" hidden="false" customHeight="false" outlineLevel="0" collapsed="false">
      <c r="A7141" s="41"/>
      <c r="G7141" s="38" t="n">
        <f aca="false">MONTH(A7141)</f>
        <v>12</v>
      </c>
      <c r="H7141" s="38" t="n">
        <f aca="false">YEAR(Tabela1[[#This Row],[FECHA]])</f>
        <v>1900</v>
      </c>
      <c r="I71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42" customFormat="false" ht="15" hidden="false" customHeight="false" outlineLevel="0" collapsed="false">
      <c r="A7142" s="41"/>
      <c r="G7142" s="38" t="n">
        <f aca="false">MONTH(A7142)</f>
        <v>12</v>
      </c>
      <c r="H7142" s="38" t="n">
        <f aca="false">YEAR(Tabela1[[#This Row],[FECHA]])</f>
        <v>1900</v>
      </c>
      <c r="I71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43" customFormat="false" ht="15" hidden="false" customHeight="false" outlineLevel="0" collapsed="false">
      <c r="A7143" s="41"/>
      <c r="G7143" s="38" t="n">
        <f aca="false">MONTH(A7143)</f>
        <v>12</v>
      </c>
      <c r="H7143" s="38" t="n">
        <f aca="false">YEAR(Tabela1[[#This Row],[FECHA]])</f>
        <v>1900</v>
      </c>
      <c r="I71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44" customFormat="false" ht="15" hidden="false" customHeight="false" outlineLevel="0" collapsed="false">
      <c r="A7144" s="41"/>
      <c r="G7144" s="38" t="n">
        <f aca="false">MONTH(A7144)</f>
        <v>12</v>
      </c>
      <c r="H7144" s="38" t="n">
        <f aca="false">YEAR(Tabela1[[#This Row],[FECHA]])</f>
        <v>1900</v>
      </c>
      <c r="I71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45" customFormat="false" ht="15" hidden="false" customHeight="false" outlineLevel="0" collapsed="false">
      <c r="A7145" s="41"/>
      <c r="G7145" s="38" t="n">
        <f aca="false">MONTH(A7145)</f>
        <v>12</v>
      </c>
      <c r="H7145" s="38" t="n">
        <f aca="false">YEAR(Tabela1[[#This Row],[FECHA]])</f>
        <v>1900</v>
      </c>
      <c r="I71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46" customFormat="false" ht="15" hidden="false" customHeight="false" outlineLevel="0" collapsed="false">
      <c r="A7146" s="41"/>
      <c r="G7146" s="38" t="n">
        <f aca="false">MONTH(A7146)</f>
        <v>12</v>
      </c>
      <c r="H7146" s="38" t="n">
        <f aca="false">YEAR(Tabela1[[#This Row],[FECHA]])</f>
        <v>1900</v>
      </c>
      <c r="I71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47" customFormat="false" ht="15" hidden="false" customHeight="false" outlineLevel="0" collapsed="false">
      <c r="A7147" s="41"/>
      <c r="G7147" s="38" t="n">
        <f aca="false">MONTH(A7147)</f>
        <v>12</v>
      </c>
      <c r="H7147" s="38" t="n">
        <f aca="false">YEAR(Tabela1[[#This Row],[FECHA]])</f>
        <v>1900</v>
      </c>
      <c r="I71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48" customFormat="false" ht="15" hidden="false" customHeight="false" outlineLevel="0" collapsed="false">
      <c r="A7148" s="41"/>
      <c r="G7148" s="38" t="n">
        <f aca="false">MONTH(A7148)</f>
        <v>12</v>
      </c>
      <c r="H7148" s="38" t="n">
        <f aca="false">YEAR(Tabela1[[#This Row],[FECHA]])</f>
        <v>1900</v>
      </c>
      <c r="I71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49" customFormat="false" ht="15" hidden="false" customHeight="false" outlineLevel="0" collapsed="false">
      <c r="A7149" s="41"/>
      <c r="G7149" s="38" t="n">
        <f aca="false">MONTH(A7149)</f>
        <v>12</v>
      </c>
      <c r="H7149" s="38" t="n">
        <f aca="false">YEAR(Tabela1[[#This Row],[FECHA]])</f>
        <v>1900</v>
      </c>
      <c r="I71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50" customFormat="false" ht="15" hidden="false" customHeight="false" outlineLevel="0" collapsed="false">
      <c r="A7150" s="41"/>
      <c r="G7150" s="38" t="n">
        <f aca="false">MONTH(A7150)</f>
        <v>12</v>
      </c>
      <c r="H7150" s="38" t="n">
        <f aca="false">YEAR(Tabela1[[#This Row],[FECHA]])</f>
        <v>1900</v>
      </c>
      <c r="I71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51" customFormat="false" ht="15" hidden="false" customHeight="false" outlineLevel="0" collapsed="false">
      <c r="A7151" s="41"/>
      <c r="G7151" s="38" t="n">
        <f aca="false">MONTH(A7151)</f>
        <v>12</v>
      </c>
      <c r="H7151" s="38" t="n">
        <f aca="false">YEAR(Tabela1[[#This Row],[FECHA]])</f>
        <v>1900</v>
      </c>
      <c r="I71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52" customFormat="false" ht="15" hidden="false" customHeight="false" outlineLevel="0" collapsed="false">
      <c r="A7152" s="41"/>
      <c r="G7152" s="38" t="n">
        <f aca="false">MONTH(A7152)</f>
        <v>12</v>
      </c>
      <c r="H7152" s="38" t="n">
        <f aca="false">YEAR(Tabela1[[#This Row],[FECHA]])</f>
        <v>1900</v>
      </c>
      <c r="I71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53" customFormat="false" ht="15" hidden="false" customHeight="false" outlineLevel="0" collapsed="false">
      <c r="A7153" s="41"/>
      <c r="G7153" s="38" t="n">
        <f aca="false">MONTH(A7153)</f>
        <v>12</v>
      </c>
      <c r="H7153" s="38" t="n">
        <f aca="false">YEAR(Tabela1[[#This Row],[FECHA]])</f>
        <v>1900</v>
      </c>
      <c r="I71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54" customFormat="false" ht="15" hidden="false" customHeight="false" outlineLevel="0" collapsed="false">
      <c r="A7154" s="41"/>
      <c r="G7154" s="38" t="n">
        <f aca="false">MONTH(A7154)</f>
        <v>12</v>
      </c>
      <c r="H7154" s="38" t="n">
        <f aca="false">YEAR(Tabela1[[#This Row],[FECHA]])</f>
        <v>1900</v>
      </c>
      <c r="I71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55" customFormat="false" ht="15" hidden="false" customHeight="false" outlineLevel="0" collapsed="false">
      <c r="A7155" s="41"/>
      <c r="G7155" s="38" t="n">
        <f aca="false">MONTH(A7155)</f>
        <v>12</v>
      </c>
      <c r="H7155" s="38" t="n">
        <f aca="false">YEAR(Tabela1[[#This Row],[FECHA]])</f>
        <v>1900</v>
      </c>
      <c r="I71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56" customFormat="false" ht="15" hidden="false" customHeight="false" outlineLevel="0" collapsed="false">
      <c r="A7156" s="41"/>
      <c r="G7156" s="38" t="n">
        <f aca="false">MONTH(A7156)</f>
        <v>12</v>
      </c>
      <c r="H7156" s="38" t="n">
        <f aca="false">YEAR(Tabela1[[#This Row],[FECHA]])</f>
        <v>1900</v>
      </c>
      <c r="I71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57" customFormat="false" ht="15" hidden="false" customHeight="false" outlineLevel="0" collapsed="false">
      <c r="A7157" s="41"/>
      <c r="G7157" s="38" t="n">
        <f aca="false">MONTH(A7157)</f>
        <v>12</v>
      </c>
      <c r="H7157" s="38" t="n">
        <f aca="false">YEAR(Tabela1[[#This Row],[FECHA]])</f>
        <v>1900</v>
      </c>
      <c r="I71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58" customFormat="false" ht="15" hidden="false" customHeight="false" outlineLevel="0" collapsed="false">
      <c r="A7158" s="41"/>
      <c r="G7158" s="38" t="n">
        <f aca="false">MONTH(A7158)</f>
        <v>12</v>
      </c>
      <c r="H7158" s="38" t="n">
        <f aca="false">YEAR(Tabela1[[#This Row],[FECHA]])</f>
        <v>1900</v>
      </c>
      <c r="I71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59" customFormat="false" ht="15" hidden="false" customHeight="false" outlineLevel="0" collapsed="false">
      <c r="A7159" s="41"/>
      <c r="G7159" s="38" t="n">
        <f aca="false">MONTH(A7159)</f>
        <v>12</v>
      </c>
      <c r="H7159" s="38" t="n">
        <f aca="false">YEAR(Tabela1[[#This Row],[FECHA]])</f>
        <v>1900</v>
      </c>
      <c r="I71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60" customFormat="false" ht="15" hidden="false" customHeight="false" outlineLevel="0" collapsed="false">
      <c r="A7160" s="41"/>
      <c r="G7160" s="38" t="n">
        <f aca="false">MONTH(A7160)</f>
        <v>12</v>
      </c>
      <c r="H7160" s="38" t="n">
        <f aca="false">YEAR(Tabela1[[#This Row],[FECHA]])</f>
        <v>1900</v>
      </c>
      <c r="I71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61" customFormat="false" ht="15" hidden="false" customHeight="false" outlineLevel="0" collapsed="false">
      <c r="A7161" s="41"/>
      <c r="G7161" s="38" t="n">
        <f aca="false">MONTH(A7161)</f>
        <v>12</v>
      </c>
      <c r="H7161" s="38" t="n">
        <f aca="false">YEAR(Tabela1[[#This Row],[FECHA]])</f>
        <v>1900</v>
      </c>
      <c r="I71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62" customFormat="false" ht="15" hidden="false" customHeight="false" outlineLevel="0" collapsed="false">
      <c r="A7162" s="41"/>
      <c r="G7162" s="38" t="n">
        <f aca="false">MONTH(A7162)</f>
        <v>12</v>
      </c>
      <c r="H7162" s="38" t="n">
        <f aca="false">YEAR(Tabela1[[#This Row],[FECHA]])</f>
        <v>1900</v>
      </c>
      <c r="I71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63" customFormat="false" ht="15" hidden="false" customHeight="false" outlineLevel="0" collapsed="false">
      <c r="A7163" s="41"/>
      <c r="G7163" s="38" t="n">
        <f aca="false">MONTH(A7163)</f>
        <v>12</v>
      </c>
      <c r="H7163" s="38" t="n">
        <f aca="false">YEAR(Tabela1[[#This Row],[FECHA]])</f>
        <v>1900</v>
      </c>
      <c r="I71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64" customFormat="false" ht="15" hidden="false" customHeight="false" outlineLevel="0" collapsed="false">
      <c r="A7164" s="41"/>
      <c r="G7164" s="38" t="n">
        <f aca="false">MONTH(A7164)</f>
        <v>12</v>
      </c>
      <c r="H7164" s="38" t="n">
        <f aca="false">YEAR(Tabela1[[#This Row],[FECHA]])</f>
        <v>1900</v>
      </c>
      <c r="I71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65" customFormat="false" ht="15" hidden="false" customHeight="false" outlineLevel="0" collapsed="false">
      <c r="A7165" s="41"/>
      <c r="G7165" s="38" t="n">
        <f aca="false">MONTH(A7165)</f>
        <v>12</v>
      </c>
      <c r="H7165" s="38" t="n">
        <f aca="false">YEAR(Tabela1[[#This Row],[FECHA]])</f>
        <v>1900</v>
      </c>
      <c r="I71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66" customFormat="false" ht="15" hidden="false" customHeight="false" outlineLevel="0" collapsed="false">
      <c r="A7166" s="41"/>
      <c r="G7166" s="38" t="n">
        <f aca="false">MONTH(A7166)</f>
        <v>12</v>
      </c>
      <c r="H7166" s="38" t="n">
        <f aca="false">YEAR(Tabela1[[#This Row],[FECHA]])</f>
        <v>1900</v>
      </c>
      <c r="I71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67" customFormat="false" ht="15" hidden="false" customHeight="false" outlineLevel="0" collapsed="false">
      <c r="A7167" s="41"/>
      <c r="G7167" s="38" t="n">
        <f aca="false">MONTH(A7167)</f>
        <v>12</v>
      </c>
      <c r="H7167" s="38" t="n">
        <f aca="false">YEAR(Tabela1[[#This Row],[FECHA]])</f>
        <v>1900</v>
      </c>
      <c r="I71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68" customFormat="false" ht="15" hidden="false" customHeight="false" outlineLevel="0" collapsed="false">
      <c r="A7168" s="41"/>
      <c r="G7168" s="38" t="n">
        <f aca="false">MONTH(A7168)</f>
        <v>12</v>
      </c>
      <c r="H7168" s="38" t="n">
        <f aca="false">YEAR(Tabela1[[#This Row],[FECHA]])</f>
        <v>1900</v>
      </c>
      <c r="I71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69" customFormat="false" ht="15" hidden="false" customHeight="false" outlineLevel="0" collapsed="false">
      <c r="A7169" s="41"/>
      <c r="G7169" s="38" t="n">
        <f aca="false">MONTH(A7169)</f>
        <v>12</v>
      </c>
      <c r="H7169" s="38" t="n">
        <f aca="false">YEAR(Tabela1[[#This Row],[FECHA]])</f>
        <v>1900</v>
      </c>
      <c r="I71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70" customFormat="false" ht="15" hidden="false" customHeight="false" outlineLevel="0" collapsed="false">
      <c r="A7170" s="41"/>
      <c r="G7170" s="38" t="n">
        <f aca="false">MONTH(A7170)</f>
        <v>12</v>
      </c>
      <c r="H7170" s="38" t="n">
        <f aca="false">YEAR(Tabela1[[#This Row],[FECHA]])</f>
        <v>1900</v>
      </c>
      <c r="I71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71" customFormat="false" ht="15" hidden="false" customHeight="false" outlineLevel="0" collapsed="false">
      <c r="A7171" s="41"/>
      <c r="G7171" s="38" t="n">
        <f aca="false">MONTH(A7171)</f>
        <v>12</v>
      </c>
      <c r="H7171" s="38" t="n">
        <f aca="false">YEAR(Tabela1[[#This Row],[FECHA]])</f>
        <v>1900</v>
      </c>
      <c r="I71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72" customFormat="false" ht="15" hidden="false" customHeight="false" outlineLevel="0" collapsed="false">
      <c r="A7172" s="41"/>
      <c r="G7172" s="38" t="n">
        <f aca="false">MONTH(A7172)</f>
        <v>12</v>
      </c>
      <c r="H7172" s="38" t="n">
        <f aca="false">YEAR(Tabela1[[#This Row],[FECHA]])</f>
        <v>1900</v>
      </c>
      <c r="I71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73" customFormat="false" ht="15" hidden="false" customHeight="false" outlineLevel="0" collapsed="false">
      <c r="A7173" s="41"/>
      <c r="G7173" s="38" t="n">
        <f aca="false">MONTH(A7173)</f>
        <v>12</v>
      </c>
      <c r="H7173" s="38" t="n">
        <f aca="false">YEAR(Tabela1[[#This Row],[FECHA]])</f>
        <v>1900</v>
      </c>
      <c r="I71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74" customFormat="false" ht="15" hidden="false" customHeight="false" outlineLevel="0" collapsed="false">
      <c r="A7174" s="41"/>
      <c r="G7174" s="38" t="n">
        <f aca="false">MONTH(A7174)</f>
        <v>12</v>
      </c>
      <c r="H7174" s="38" t="n">
        <f aca="false">YEAR(Tabela1[[#This Row],[FECHA]])</f>
        <v>1900</v>
      </c>
      <c r="I71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75" customFormat="false" ht="15" hidden="false" customHeight="false" outlineLevel="0" collapsed="false">
      <c r="A7175" s="41"/>
      <c r="G7175" s="38" t="n">
        <f aca="false">MONTH(A7175)</f>
        <v>12</v>
      </c>
      <c r="H7175" s="38" t="n">
        <f aca="false">YEAR(Tabela1[[#This Row],[FECHA]])</f>
        <v>1900</v>
      </c>
      <c r="I71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76" customFormat="false" ht="15" hidden="false" customHeight="false" outlineLevel="0" collapsed="false">
      <c r="A7176" s="41"/>
      <c r="G7176" s="38" t="n">
        <f aca="false">MONTH(A7176)</f>
        <v>12</v>
      </c>
      <c r="H7176" s="38" t="n">
        <f aca="false">YEAR(Tabela1[[#This Row],[FECHA]])</f>
        <v>1900</v>
      </c>
      <c r="I71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77" customFormat="false" ht="15" hidden="false" customHeight="false" outlineLevel="0" collapsed="false">
      <c r="A7177" s="41"/>
      <c r="G7177" s="38" t="n">
        <f aca="false">MONTH(A7177)</f>
        <v>12</v>
      </c>
      <c r="H7177" s="38" t="n">
        <f aca="false">YEAR(Tabela1[[#This Row],[FECHA]])</f>
        <v>1900</v>
      </c>
      <c r="I71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78" customFormat="false" ht="15" hidden="false" customHeight="false" outlineLevel="0" collapsed="false">
      <c r="A7178" s="41"/>
      <c r="G7178" s="38" t="n">
        <f aca="false">MONTH(A7178)</f>
        <v>12</v>
      </c>
      <c r="H7178" s="38" t="n">
        <f aca="false">YEAR(Tabela1[[#This Row],[FECHA]])</f>
        <v>1900</v>
      </c>
      <c r="I71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79" customFormat="false" ht="15" hidden="false" customHeight="false" outlineLevel="0" collapsed="false">
      <c r="A7179" s="41"/>
      <c r="G7179" s="38" t="n">
        <f aca="false">MONTH(A7179)</f>
        <v>12</v>
      </c>
      <c r="H7179" s="38" t="n">
        <f aca="false">YEAR(Tabela1[[#This Row],[FECHA]])</f>
        <v>1900</v>
      </c>
      <c r="I71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80" customFormat="false" ht="15" hidden="false" customHeight="false" outlineLevel="0" collapsed="false">
      <c r="A7180" s="41"/>
      <c r="G7180" s="38" t="n">
        <f aca="false">MONTH(A7180)</f>
        <v>12</v>
      </c>
      <c r="H7180" s="38" t="n">
        <f aca="false">YEAR(Tabela1[[#This Row],[FECHA]])</f>
        <v>1900</v>
      </c>
      <c r="I71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81" customFormat="false" ht="15" hidden="false" customHeight="false" outlineLevel="0" collapsed="false">
      <c r="A7181" s="41"/>
      <c r="G7181" s="38" t="n">
        <f aca="false">MONTH(A7181)</f>
        <v>12</v>
      </c>
      <c r="H7181" s="38" t="n">
        <f aca="false">YEAR(Tabela1[[#This Row],[FECHA]])</f>
        <v>1900</v>
      </c>
      <c r="I71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82" customFormat="false" ht="15" hidden="false" customHeight="false" outlineLevel="0" collapsed="false">
      <c r="A7182" s="41"/>
      <c r="G7182" s="38" t="n">
        <f aca="false">MONTH(A7182)</f>
        <v>12</v>
      </c>
      <c r="H7182" s="38" t="n">
        <f aca="false">YEAR(Tabela1[[#This Row],[FECHA]])</f>
        <v>1900</v>
      </c>
      <c r="I71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83" customFormat="false" ht="15" hidden="false" customHeight="false" outlineLevel="0" collapsed="false">
      <c r="A7183" s="41"/>
      <c r="G7183" s="38" t="n">
        <f aca="false">MONTH(A7183)</f>
        <v>12</v>
      </c>
      <c r="H7183" s="38" t="n">
        <f aca="false">YEAR(Tabela1[[#This Row],[FECHA]])</f>
        <v>1900</v>
      </c>
      <c r="I71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84" customFormat="false" ht="15" hidden="false" customHeight="false" outlineLevel="0" collapsed="false">
      <c r="A7184" s="41"/>
      <c r="G7184" s="38" t="n">
        <f aca="false">MONTH(A7184)</f>
        <v>12</v>
      </c>
      <c r="H7184" s="38" t="n">
        <f aca="false">YEAR(Tabela1[[#This Row],[FECHA]])</f>
        <v>1900</v>
      </c>
      <c r="I71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85" customFormat="false" ht="15" hidden="false" customHeight="false" outlineLevel="0" collapsed="false">
      <c r="A7185" s="41"/>
      <c r="G7185" s="38" t="n">
        <f aca="false">MONTH(A7185)</f>
        <v>12</v>
      </c>
      <c r="H7185" s="38" t="n">
        <f aca="false">YEAR(Tabela1[[#This Row],[FECHA]])</f>
        <v>1900</v>
      </c>
      <c r="I71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86" customFormat="false" ht="15" hidden="false" customHeight="false" outlineLevel="0" collapsed="false">
      <c r="A7186" s="41"/>
      <c r="G7186" s="38" t="n">
        <f aca="false">MONTH(A7186)</f>
        <v>12</v>
      </c>
      <c r="H7186" s="38" t="n">
        <f aca="false">YEAR(Tabela1[[#This Row],[FECHA]])</f>
        <v>1900</v>
      </c>
      <c r="I71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87" customFormat="false" ht="15" hidden="false" customHeight="false" outlineLevel="0" collapsed="false">
      <c r="A7187" s="41"/>
      <c r="G7187" s="38" t="n">
        <f aca="false">MONTH(A7187)</f>
        <v>12</v>
      </c>
      <c r="H7187" s="38" t="n">
        <f aca="false">YEAR(Tabela1[[#This Row],[FECHA]])</f>
        <v>1900</v>
      </c>
      <c r="I71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88" customFormat="false" ht="15" hidden="false" customHeight="false" outlineLevel="0" collapsed="false">
      <c r="A7188" s="41"/>
      <c r="G7188" s="38" t="n">
        <f aca="false">MONTH(A7188)</f>
        <v>12</v>
      </c>
      <c r="H7188" s="38" t="n">
        <f aca="false">YEAR(Tabela1[[#This Row],[FECHA]])</f>
        <v>1900</v>
      </c>
      <c r="I71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89" customFormat="false" ht="15" hidden="false" customHeight="false" outlineLevel="0" collapsed="false">
      <c r="A7189" s="41"/>
      <c r="G7189" s="38" t="n">
        <f aca="false">MONTH(A7189)</f>
        <v>12</v>
      </c>
      <c r="H7189" s="38" t="n">
        <f aca="false">YEAR(Tabela1[[#This Row],[FECHA]])</f>
        <v>1900</v>
      </c>
      <c r="I71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90" customFormat="false" ht="15" hidden="false" customHeight="false" outlineLevel="0" collapsed="false">
      <c r="A7190" s="41"/>
      <c r="G7190" s="38" t="n">
        <f aca="false">MONTH(A7190)</f>
        <v>12</v>
      </c>
      <c r="H7190" s="38" t="n">
        <f aca="false">YEAR(Tabela1[[#This Row],[FECHA]])</f>
        <v>1900</v>
      </c>
      <c r="I71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91" customFormat="false" ht="15" hidden="false" customHeight="false" outlineLevel="0" collapsed="false">
      <c r="A7191" s="41"/>
      <c r="G7191" s="38" t="n">
        <f aca="false">MONTH(A7191)</f>
        <v>12</v>
      </c>
      <c r="H7191" s="38" t="n">
        <f aca="false">YEAR(Tabela1[[#This Row],[FECHA]])</f>
        <v>1900</v>
      </c>
      <c r="I71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92" customFormat="false" ht="15" hidden="false" customHeight="false" outlineLevel="0" collapsed="false">
      <c r="A7192" s="41"/>
      <c r="G7192" s="38" t="n">
        <f aca="false">MONTH(A7192)</f>
        <v>12</v>
      </c>
      <c r="H7192" s="38" t="n">
        <f aca="false">YEAR(Tabela1[[#This Row],[FECHA]])</f>
        <v>1900</v>
      </c>
      <c r="I71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93" customFormat="false" ht="15" hidden="false" customHeight="false" outlineLevel="0" collapsed="false">
      <c r="A7193" s="41"/>
      <c r="G7193" s="38" t="n">
        <f aca="false">MONTH(A7193)</f>
        <v>12</v>
      </c>
      <c r="H7193" s="38" t="n">
        <f aca="false">YEAR(Tabela1[[#This Row],[FECHA]])</f>
        <v>1900</v>
      </c>
      <c r="I71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94" customFormat="false" ht="15" hidden="false" customHeight="false" outlineLevel="0" collapsed="false">
      <c r="A7194" s="41"/>
      <c r="G7194" s="38" t="n">
        <f aca="false">MONTH(A7194)</f>
        <v>12</v>
      </c>
      <c r="H7194" s="38" t="n">
        <f aca="false">YEAR(Tabela1[[#This Row],[FECHA]])</f>
        <v>1900</v>
      </c>
      <c r="I71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95" customFormat="false" ht="15" hidden="false" customHeight="false" outlineLevel="0" collapsed="false">
      <c r="A7195" s="41"/>
      <c r="G7195" s="38" t="n">
        <f aca="false">MONTH(A7195)</f>
        <v>12</v>
      </c>
      <c r="H7195" s="38" t="n">
        <f aca="false">YEAR(Tabela1[[#This Row],[FECHA]])</f>
        <v>1900</v>
      </c>
      <c r="I71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96" customFormat="false" ht="15" hidden="false" customHeight="false" outlineLevel="0" collapsed="false">
      <c r="A7196" s="41"/>
      <c r="G7196" s="38" t="n">
        <f aca="false">MONTH(A7196)</f>
        <v>12</v>
      </c>
      <c r="H7196" s="38" t="n">
        <f aca="false">YEAR(Tabela1[[#This Row],[FECHA]])</f>
        <v>1900</v>
      </c>
      <c r="I71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97" customFormat="false" ht="15" hidden="false" customHeight="false" outlineLevel="0" collapsed="false">
      <c r="A7197" s="41"/>
      <c r="G7197" s="38" t="n">
        <f aca="false">MONTH(A7197)</f>
        <v>12</v>
      </c>
      <c r="H7197" s="38" t="n">
        <f aca="false">YEAR(Tabela1[[#This Row],[FECHA]])</f>
        <v>1900</v>
      </c>
      <c r="I71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98" customFormat="false" ht="15" hidden="false" customHeight="false" outlineLevel="0" collapsed="false">
      <c r="A7198" s="41"/>
      <c r="G7198" s="38" t="n">
        <f aca="false">MONTH(A7198)</f>
        <v>12</v>
      </c>
      <c r="H7198" s="38" t="n">
        <f aca="false">YEAR(Tabela1[[#This Row],[FECHA]])</f>
        <v>1900</v>
      </c>
      <c r="I71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199" customFormat="false" ht="15" hidden="false" customHeight="false" outlineLevel="0" collapsed="false">
      <c r="A7199" s="41"/>
      <c r="G7199" s="38" t="n">
        <f aca="false">MONTH(A7199)</f>
        <v>12</v>
      </c>
      <c r="H7199" s="38" t="n">
        <f aca="false">YEAR(Tabela1[[#This Row],[FECHA]])</f>
        <v>1900</v>
      </c>
      <c r="I71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00" customFormat="false" ht="15" hidden="false" customHeight="false" outlineLevel="0" collapsed="false">
      <c r="A7200" s="41"/>
      <c r="G7200" s="38" t="n">
        <f aca="false">MONTH(A7200)</f>
        <v>12</v>
      </c>
      <c r="H7200" s="38" t="n">
        <f aca="false">YEAR(Tabela1[[#This Row],[FECHA]])</f>
        <v>1900</v>
      </c>
      <c r="I72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01" customFormat="false" ht="15" hidden="false" customHeight="false" outlineLevel="0" collapsed="false">
      <c r="A7201" s="41"/>
      <c r="G7201" s="38" t="n">
        <f aca="false">MONTH(A7201)</f>
        <v>12</v>
      </c>
      <c r="H7201" s="38" t="n">
        <f aca="false">YEAR(Tabela1[[#This Row],[FECHA]])</f>
        <v>1900</v>
      </c>
      <c r="I72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02" customFormat="false" ht="15" hidden="false" customHeight="false" outlineLevel="0" collapsed="false">
      <c r="A7202" s="41"/>
      <c r="G7202" s="38" t="n">
        <f aca="false">MONTH(A7202)</f>
        <v>12</v>
      </c>
      <c r="H7202" s="38" t="n">
        <f aca="false">YEAR(Tabela1[[#This Row],[FECHA]])</f>
        <v>1900</v>
      </c>
      <c r="I72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03" customFormat="false" ht="15" hidden="false" customHeight="false" outlineLevel="0" collapsed="false">
      <c r="A7203" s="41"/>
      <c r="G7203" s="38" t="n">
        <f aca="false">MONTH(A7203)</f>
        <v>12</v>
      </c>
      <c r="H7203" s="38" t="n">
        <f aca="false">YEAR(Tabela1[[#This Row],[FECHA]])</f>
        <v>1900</v>
      </c>
      <c r="I72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04" customFormat="false" ht="15" hidden="false" customHeight="false" outlineLevel="0" collapsed="false">
      <c r="A7204" s="41"/>
      <c r="G7204" s="38" t="n">
        <f aca="false">MONTH(A7204)</f>
        <v>12</v>
      </c>
      <c r="H7204" s="38" t="n">
        <f aca="false">YEAR(Tabela1[[#This Row],[FECHA]])</f>
        <v>1900</v>
      </c>
      <c r="I72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05" customFormat="false" ht="15" hidden="false" customHeight="false" outlineLevel="0" collapsed="false">
      <c r="A7205" s="41"/>
      <c r="G7205" s="38" t="n">
        <f aca="false">MONTH(A7205)</f>
        <v>12</v>
      </c>
      <c r="H7205" s="38" t="n">
        <f aca="false">YEAR(Tabela1[[#This Row],[FECHA]])</f>
        <v>1900</v>
      </c>
      <c r="I72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06" customFormat="false" ht="15" hidden="false" customHeight="false" outlineLevel="0" collapsed="false">
      <c r="A7206" s="41"/>
      <c r="G7206" s="38" t="n">
        <f aca="false">MONTH(A7206)</f>
        <v>12</v>
      </c>
      <c r="H7206" s="38" t="n">
        <f aca="false">YEAR(Tabela1[[#This Row],[FECHA]])</f>
        <v>1900</v>
      </c>
      <c r="I72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07" customFormat="false" ht="15" hidden="false" customHeight="false" outlineLevel="0" collapsed="false">
      <c r="A7207" s="41"/>
      <c r="G7207" s="38" t="n">
        <f aca="false">MONTH(A7207)</f>
        <v>12</v>
      </c>
      <c r="H7207" s="38" t="n">
        <f aca="false">YEAR(Tabela1[[#This Row],[FECHA]])</f>
        <v>1900</v>
      </c>
      <c r="I72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08" customFormat="false" ht="15" hidden="false" customHeight="false" outlineLevel="0" collapsed="false">
      <c r="A7208" s="41"/>
      <c r="G7208" s="38" t="n">
        <f aca="false">MONTH(A7208)</f>
        <v>12</v>
      </c>
      <c r="H7208" s="38" t="n">
        <f aca="false">YEAR(Tabela1[[#This Row],[FECHA]])</f>
        <v>1900</v>
      </c>
      <c r="I72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09" customFormat="false" ht="15" hidden="false" customHeight="false" outlineLevel="0" collapsed="false">
      <c r="A7209" s="41"/>
      <c r="G7209" s="38" t="n">
        <f aca="false">MONTH(A7209)</f>
        <v>12</v>
      </c>
      <c r="H7209" s="38" t="n">
        <f aca="false">YEAR(Tabela1[[#This Row],[FECHA]])</f>
        <v>1900</v>
      </c>
      <c r="I72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10" customFormat="false" ht="15" hidden="false" customHeight="false" outlineLevel="0" collapsed="false">
      <c r="A7210" s="41"/>
      <c r="G7210" s="38" t="n">
        <f aca="false">MONTH(A7210)</f>
        <v>12</v>
      </c>
      <c r="H7210" s="38" t="n">
        <f aca="false">YEAR(Tabela1[[#This Row],[FECHA]])</f>
        <v>1900</v>
      </c>
      <c r="I72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11" customFormat="false" ht="15" hidden="false" customHeight="false" outlineLevel="0" collapsed="false">
      <c r="A7211" s="41"/>
      <c r="G7211" s="38" t="n">
        <f aca="false">MONTH(A7211)</f>
        <v>12</v>
      </c>
      <c r="H7211" s="38" t="n">
        <f aca="false">YEAR(Tabela1[[#This Row],[FECHA]])</f>
        <v>1900</v>
      </c>
      <c r="I72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12" customFormat="false" ht="15" hidden="false" customHeight="false" outlineLevel="0" collapsed="false">
      <c r="A7212" s="41"/>
      <c r="G7212" s="38" t="n">
        <f aca="false">MONTH(A7212)</f>
        <v>12</v>
      </c>
      <c r="H7212" s="38" t="n">
        <f aca="false">YEAR(Tabela1[[#This Row],[FECHA]])</f>
        <v>1900</v>
      </c>
      <c r="I72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13" customFormat="false" ht="15" hidden="false" customHeight="false" outlineLevel="0" collapsed="false">
      <c r="A7213" s="41"/>
      <c r="G7213" s="38" t="n">
        <f aca="false">MONTH(A7213)</f>
        <v>12</v>
      </c>
      <c r="H7213" s="38" t="n">
        <f aca="false">YEAR(Tabela1[[#This Row],[FECHA]])</f>
        <v>1900</v>
      </c>
      <c r="I72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14" customFormat="false" ht="15" hidden="false" customHeight="false" outlineLevel="0" collapsed="false">
      <c r="A7214" s="41"/>
      <c r="G7214" s="38" t="n">
        <f aca="false">MONTH(A7214)</f>
        <v>12</v>
      </c>
      <c r="H7214" s="38" t="n">
        <f aca="false">YEAR(Tabela1[[#This Row],[FECHA]])</f>
        <v>1900</v>
      </c>
      <c r="I72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15" customFormat="false" ht="15" hidden="false" customHeight="false" outlineLevel="0" collapsed="false">
      <c r="A7215" s="41"/>
      <c r="G7215" s="38" t="n">
        <f aca="false">MONTH(A7215)</f>
        <v>12</v>
      </c>
      <c r="H7215" s="38" t="n">
        <f aca="false">YEAR(Tabela1[[#This Row],[FECHA]])</f>
        <v>1900</v>
      </c>
      <c r="I72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16" customFormat="false" ht="15" hidden="false" customHeight="false" outlineLevel="0" collapsed="false">
      <c r="A7216" s="41"/>
      <c r="G7216" s="38" t="n">
        <f aca="false">MONTH(A7216)</f>
        <v>12</v>
      </c>
      <c r="H7216" s="38" t="n">
        <f aca="false">YEAR(Tabela1[[#This Row],[FECHA]])</f>
        <v>1900</v>
      </c>
      <c r="I72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17" customFormat="false" ht="15" hidden="false" customHeight="false" outlineLevel="0" collapsed="false">
      <c r="A7217" s="41"/>
      <c r="G7217" s="38" t="n">
        <f aca="false">MONTH(A7217)</f>
        <v>12</v>
      </c>
      <c r="H7217" s="38" t="n">
        <f aca="false">YEAR(Tabela1[[#This Row],[FECHA]])</f>
        <v>1900</v>
      </c>
      <c r="I72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18" customFormat="false" ht="15" hidden="false" customHeight="false" outlineLevel="0" collapsed="false">
      <c r="A7218" s="41"/>
      <c r="G7218" s="38" t="n">
        <f aca="false">MONTH(A7218)</f>
        <v>12</v>
      </c>
      <c r="H7218" s="38" t="n">
        <f aca="false">YEAR(Tabela1[[#This Row],[FECHA]])</f>
        <v>1900</v>
      </c>
      <c r="I72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19" customFormat="false" ht="15" hidden="false" customHeight="false" outlineLevel="0" collapsed="false">
      <c r="A7219" s="41"/>
      <c r="G7219" s="38" t="n">
        <f aca="false">MONTH(A7219)</f>
        <v>12</v>
      </c>
      <c r="H7219" s="38" t="n">
        <f aca="false">YEAR(Tabela1[[#This Row],[FECHA]])</f>
        <v>1900</v>
      </c>
      <c r="I72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20" customFormat="false" ht="15" hidden="false" customHeight="false" outlineLevel="0" collapsed="false">
      <c r="A7220" s="41"/>
      <c r="G7220" s="38" t="n">
        <f aca="false">MONTH(A7220)</f>
        <v>12</v>
      </c>
      <c r="H7220" s="38" t="n">
        <f aca="false">YEAR(Tabela1[[#This Row],[FECHA]])</f>
        <v>1900</v>
      </c>
      <c r="I72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21" customFormat="false" ht="15" hidden="false" customHeight="false" outlineLevel="0" collapsed="false">
      <c r="A7221" s="41"/>
      <c r="G7221" s="38" t="n">
        <f aca="false">MONTH(A7221)</f>
        <v>12</v>
      </c>
      <c r="H7221" s="38" t="n">
        <f aca="false">YEAR(Tabela1[[#This Row],[FECHA]])</f>
        <v>1900</v>
      </c>
      <c r="I72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22" customFormat="false" ht="15" hidden="false" customHeight="false" outlineLevel="0" collapsed="false">
      <c r="A7222" s="41"/>
      <c r="G7222" s="38" t="n">
        <f aca="false">MONTH(A7222)</f>
        <v>12</v>
      </c>
      <c r="H7222" s="38" t="n">
        <f aca="false">YEAR(Tabela1[[#This Row],[FECHA]])</f>
        <v>1900</v>
      </c>
      <c r="I72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23" customFormat="false" ht="15" hidden="false" customHeight="false" outlineLevel="0" collapsed="false">
      <c r="A7223" s="41"/>
      <c r="G7223" s="38" t="n">
        <f aca="false">MONTH(A7223)</f>
        <v>12</v>
      </c>
      <c r="H7223" s="38" t="n">
        <f aca="false">YEAR(Tabela1[[#This Row],[FECHA]])</f>
        <v>1900</v>
      </c>
      <c r="I72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24" customFormat="false" ht="15" hidden="false" customHeight="false" outlineLevel="0" collapsed="false">
      <c r="A7224" s="41"/>
      <c r="G7224" s="38" t="n">
        <f aca="false">MONTH(A7224)</f>
        <v>12</v>
      </c>
      <c r="H7224" s="38" t="n">
        <f aca="false">YEAR(Tabela1[[#This Row],[FECHA]])</f>
        <v>1900</v>
      </c>
      <c r="I72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25" customFormat="false" ht="15" hidden="false" customHeight="false" outlineLevel="0" collapsed="false">
      <c r="A7225" s="41"/>
      <c r="G7225" s="38" t="n">
        <f aca="false">MONTH(A7225)</f>
        <v>12</v>
      </c>
      <c r="H7225" s="38" t="n">
        <f aca="false">YEAR(Tabela1[[#This Row],[FECHA]])</f>
        <v>1900</v>
      </c>
      <c r="I72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26" customFormat="false" ht="15" hidden="false" customHeight="false" outlineLevel="0" collapsed="false">
      <c r="A7226" s="41"/>
      <c r="G7226" s="38" t="n">
        <f aca="false">MONTH(A7226)</f>
        <v>12</v>
      </c>
      <c r="H7226" s="38" t="n">
        <f aca="false">YEAR(Tabela1[[#This Row],[FECHA]])</f>
        <v>1900</v>
      </c>
      <c r="I72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27" customFormat="false" ht="15" hidden="false" customHeight="false" outlineLevel="0" collapsed="false">
      <c r="A7227" s="41"/>
      <c r="G7227" s="38" t="n">
        <f aca="false">MONTH(A7227)</f>
        <v>12</v>
      </c>
      <c r="H7227" s="38" t="n">
        <f aca="false">YEAR(Tabela1[[#This Row],[FECHA]])</f>
        <v>1900</v>
      </c>
      <c r="I72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28" customFormat="false" ht="15" hidden="false" customHeight="false" outlineLevel="0" collapsed="false">
      <c r="A7228" s="41"/>
      <c r="G7228" s="38" t="n">
        <f aca="false">MONTH(A7228)</f>
        <v>12</v>
      </c>
      <c r="H7228" s="38" t="n">
        <f aca="false">YEAR(Tabela1[[#This Row],[FECHA]])</f>
        <v>1900</v>
      </c>
      <c r="I72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29" customFormat="false" ht="15" hidden="false" customHeight="false" outlineLevel="0" collapsed="false">
      <c r="A7229" s="41"/>
      <c r="G7229" s="38" t="n">
        <f aca="false">MONTH(A7229)</f>
        <v>12</v>
      </c>
      <c r="H7229" s="38" t="n">
        <f aca="false">YEAR(Tabela1[[#This Row],[FECHA]])</f>
        <v>1900</v>
      </c>
      <c r="I72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30" customFormat="false" ht="15" hidden="false" customHeight="false" outlineLevel="0" collapsed="false">
      <c r="A7230" s="41"/>
      <c r="G7230" s="38" t="n">
        <f aca="false">MONTH(A7230)</f>
        <v>12</v>
      </c>
      <c r="H7230" s="38" t="n">
        <f aca="false">YEAR(Tabela1[[#This Row],[FECHA]])</f>
        <v>1900</v>
      </c>
      <c r="I72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31" customFormat="false" ht="15" hidden="false" customHeight="false" outlineLevel="0" collapsed="false">
      <c r="A7231" s="41"/>
      <c r="G7231" s="38" t="n">
        <f aca="false">MONTH(A7231)</f>
        <v>12</v>
      </c>
      <c r="H7231" s="38" t="n">
        <f aca="false">YEAR(Tabela1[[#This Row],[FECHA]])</f>
        <v>1900</v>
      </c>
      <c r="I72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32" customFormat="false" ht="15" hidden="false" customHeight="false" outlineLevel="0" collapsed="false">
      <c r="A7232" s="41"/>
      <c r="G7232" s="38" t="n">
        <f aca="false">MONTH(A7232)</f>
        <v>12</v>
      </c>
      <c r="H7232" s="38" t="n">
        <f aca="false">YEAR(Tabela1[[#This Row],[FECHA]])</f>
        <v>1900</v>
      </c>
      <c r="I72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33" customFormat="false" ht="15" hidden="false" customHeight="false" outlineLevel="0" collapsed="false">
      <c r="A7233" s="41"/>
      <c r="G7233" s="38" t="n">
        <f aca="false">MONTH(A7233)</f>
        <v>12</v>
      </c>
      <c r="H7233" s="38" t="n">
        <f aca="false">YEAR(Tabela1[[#This Row],[FECHA]])</f>
        <v>1900</v>
      </c>
      <c r="I72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34" customFormat="false" ht="15" hidden="false" customHeight="false" outlineLevel="0" collapsed="false">
      <c r="A7234" s="41"/>
      <c r="G7234" s="38" t="n">
        <f aca="false">MONTH(A7234)</f>
        <v>12</v>
      </c>
      <c r="H7234" s="38" t="n">
        <f aca="false">YEAR(Tabela1[[#This Row],[FECHA]])</f>
        <v>1900</v>
      </c>
      <c r="I72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35" customFormat="false" ht="15" hidden="false" customHeight="false" outlineLevel="0" collapsed="false">
      <c r="A7235" s="41"/>
      <c r="G7235" s="38" t="n">
        <f aca="false">MONTH(A7235)</f>
        <v>12</v>
      </c>
      <c r="H7235" s="38" t="n">
        <f aca="false">YEAR(Tabela1[[#This Row],[FECHA]])</f>
        <v>1900</v>
      </c>
      <c r="I72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36" customFormat="false" ht="15" hidden="false" customHeight="false" outlineLevel="0" collapsed="false">
      <c r="A7236" s="41"/>
      <c r="G7236" s="38" t="n">
        <f aca="false">MONTH(A7236)</f>
        <v>12</v>
      </c>
      <c r="H7236" s="38" t="n">
        <f aca="false">YEAR(Tabela1[[#This Row],[FECHA]])</f>
        <v>1900</v>
      </c>
      <c r="I72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37" customFormat="false" ht="15" hidden="false" customHeight="false" outlineLevel="0" collapsed="false">
      <c r="A7237" s="41"/>
      <c r="G7237" s="38" t="n">
        <f aca="false">MONTH(A7237)</f>
        <v>12</v>
      </c>
      <c r="H7237" s="38" t="n">
        <f aca="false">YEAR(Tabela1[[#This Row],[FECHA]])</f>
        <v>1900</v>
      </c>
      <c r="I72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38" customFormat="false" ht="15" hidden="false" customHeight="false" outlineLevel="0" collapsed="false">
      <c r="A7238" s="41"/>
      <c r="G7238" s="38" t="n">
        <f aca="false">MONTH(A7238)</f>
        <v>12</v>
      </c>
      <c r="H7238" s="38" t="n">
        <f aca="false">YEAR(Tabela1[[#This Row],[FECHA]])</f>
        <v>1900</v>
      </c>
      <c r="I72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39" customFormat="false" ht="15" hidden="false" customHeight="false" outlineLevel="0" collapsed="false">
      <c r="A7239" s="41"/>
      <c r="G7239" s="38" t="n">
        <f aca="false">MONTH(A7239)</f>
        <v>12</v>
      </c>
      <c r="H7239" s="38" t="n">
        <f aca="false">YEAR(Tabela1[[#This Row],[FECHA]])</f>
        <v>1900</v>
      </c>
      <c r="I72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40" customFormat="false" ht="15" hidden="false" customHeight="false" outlineLevel="0" collapsed="false">
      <c r="A7240" s="41"/>
      <c r="G7240" s="38" t="n">
        <f aca="false">MONTH(A7240)</f>
        <v>12</v>
      </c>
      <c r="H7240" s="38" t="n">
        <f aca="false">YEAR(Tabela1[[#This Row],[FECHA]])</f>
        <v>1900</v>
      </c>
      <c r="I72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41" customFormat="false" ht="15" hidden="false" customHeight="false" outlineLevel="0" collapsed="false">
      <c r="A7241" s="41"/>
      <c r="G7241" s="38" t="n">
        <f aca="false">MONTH(A7241)</f>
        <v>12</v>
      </c>
      <c r="H7241" s="38" t="n">
        <f aca="false">YEAR(Tabela1[[#This Row],[FECHA]])</f>
        <v>1900</v>
      </c>
      <c r="I72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42" customFormat="false" ht="15" hidden="false" customHeight="false" outlineLevel="0" collapsed="false">
      <c r="A7242" s="41"/>
      <c r="G7242" s="38" t="n">
        <f aca="false">MONTH(A7242)</f>
        <v>12</v>
      </c>
      <c r="H7242" s="38" t="n">
        <f aca="false">YEAR(Tabela1[[#This Row],[FECHA]])</f>
        <v>1900</v>
      </c>
      <c r="I72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43" customFormat="false" ht="15" hidden="false" customHeight="false" outlineLevel="0" collapsed="false">
      <c r="A7243" s="41"/>
      <c r="G7243" s="38" t="n">
        <f aca="false">MONTH(A7243)</f>
        <v>12</v>
      </c>
      <c r="H7243" s="38" t="n">
        <f aca="false">YEAR(Tabela1[[#This Row],[FECHA]])</f>
        <v>1900</v>
      </c>
      <c r="I72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44" customFormat="false" ht="15" hidden="false" customHeight="false" outlineLevel="0" collapsed="false">
      <c r="A7244" s="41"/>
      <c r="G7244" s="38" t="n">
        <f aca="false">MONTH(A7244)</f>
        <v>12</v>
      </c>
      <c r="H7244" s="38" t="n">
        <f aca="false">YEAR(Tabela1[[#This Row],[FECHA]])</f>
        <v>1900</v>
      </c>
      <c r="I72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45" customFormat="false" ht="15" hidden="false" customHeight="false" outlineLevel="0" collapsed="false">
      <c r="A7245" s="41"/>
      <c r="G7245" s="38" t="n">
        <f aca="false">MONTH(A7245)</f>
        <v>12</v>
      </c>
      <c r="H7245" s="38" t="n">
        <f aca="false">YEAR(Tabela1[[#This Row],[FECHA]])</f>
        <v>1900</v>
      </c>
      <c r="I72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46" customFormat="false" ht="15" hidden="false" customHeight="false" outlineLevel="0" collapsed="false">
      <c r="A7246" s="41"/>
      <c r="G7246" s="38" t="n">
        <f aca="false">MONTH(A7246)</f>
        <v>12</v>
      </c>
      <c r="H7246" s="38" t="n">
        <f aca="false">YEAR(Tabela1[[#This Row],[FECHA]])</f>
        <v>1900</v>
      </c>
      <c r="I72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47" customFormat="false" ht="15" hidden="false" customHeight="false" outlineLevel="0" collapsed="false">
      <c r="A7247" s="41"/>
      <c r="G7247" s="38" t="n">
        <f aca="false">MONTH(A7247)</f>
        <v>12</v>
      </c>
      <c r="H7247" s="38" t="n">
        <f aca="false">YEAR(Tabela1[[#This Row],[FECHA]])</f>
        <v>1900</v>
      </c>
      <c r="I72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48" customFormat="false" ht="15" hidden="false" customHeight="false" outlineLevel="0" collapsed="false">
      <c r="A7248" s="41"/>
      <c r="G7248" s="38" t="n">
        <f aca="false">MONTH(A7248)</f>
        <v>12</v>
      </c>
      <c r="H7248" s="38" t="n">
        <f aca="false">YEAR(Tabela1[[#This Row],[FECHA]])</f>
        <v>1900</v>
      </c>
      <c r="I72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49" customFormat="false" ht="15" hidden="false" customHeight="false" outlineLevel="0" collapsed="false">
      <c r="A7249" s="41"/>
      <c r="G7249" s="38" t="n">
        <f aca="false">MONTH(A7249)</f>
        <v>12</v>
      </c>
      <c r="H7249" s="38" t="n">
        <f aca="false">YEAR(Tabela1[[#This Row],[FECHA]])</f>
        <v>1900</v>
      </c>
      <c r="I72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50" customFormat="false" ht="15" hidden="false" customHeight="false" outlineLevel="0" collapsed="false">
      <c r="A7250" s="41"/>
      <c r="G7250" s="38" t="n">
        <f aca="false">MONTH(A7250)</f>
        <v>12</v>
      </c>
      <c r="H7250" s="38" t="n">
        <f aca="false">YEAR(Tabela1[[#This Row],[FECHA]])</f>
        <v>1900</v>
      </c>
      <c r="I72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51" customFormat="false" ht="15" hidden="false" customHeight="false" outlineLevel="0" collapsed="false">
      <c r="A7251" s="41"/>
      <c r="G7251" s="38" t="n">
        <f aca="false">MONTH(A7251)</f>
        <v>12</v>
      </c>
      <c r="H7251" s="38" t="n">
        <f aca="false">YEAR(Tabela1[[#This Row],[FECHA]])</f>
        <v>1900</v>
      </c>
      <c r="I72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52" customFormat="false" ht="15" hidden="false" customHeight="false" outlineLevel="0" collapsed="false">
      <c r="A7252" s="41"/>
      <c r="G7252" s="38" t="n">
        <f aca="false">MONTH(A7252)</f>
        <v>12</v>
      </c>
      <c r="H7252" s="38" t="n">
        <f aca="false">YEAR(Tabela1[[#This Row],[FECHA]])</f>
        <v>1900</v>
      </c>
      <c r="I72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53" customFormat="false" ht="15" hidden="false" customHeight="false" outlineLevel="0" collapsed="false">
      <c r="A7253" s="41"/>
      <c r="G7253" s="38" t="n">
        <f aca="false">MONTH(A7253)</f>
        <v>12</v>
      </c>
      <c r="H7253" s="38" t="n">
        <f aca="false">YEAR(Tabela1[[#This Row],[FECHA]])</f>
        <v>1900</v>
      </c>
      <c r="I72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54" customFormat="false" ht="15" hidden="false" customHeight="false" outlineLevel="0" collapsed="false">
      <c r="A7254" s="41"/>
      <c r="G7254" s="38" t="n">
        <f aca="false">MONTH(A7254)</f>
        <v>12</v>
      </c>
      <c r="H7254" s="38" t="n">
        <f aca="false">YEAR(Tabela1[[#This Row],[FECHA]])</f>
        <v>1900</v>
      </c>
      <c r="I72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55" customFormat="false" ht="15" hidden="false" customHeight="false" outlineLevel="0" collapsed="false">
      <c r="A7255" s="41"/>
      <c r="G7255" s="38" t="n">
        <f aca="false">MONTH(A7255)</f>
        <v>12</v>
      </c>
      <c r="H7255" s="38" t="n">
        <f aca="false">YEAR(Tabela1[[#This Row],[FECHA]])</f>
        <v>1900</v>
      </c>
      <c r="I72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56" customFormat="false" ht="15" hidden="false" customHeight="false" outlineLevel="0" collapsed="false">
      <c r="A7256" s="41"/>
      <c r="G7256" s="38" t="n">
        <f aca="false">MONTH(A7256)</f>
        <v>12</v>
      </c>
      <c r="H7256" s="38" t="n">
        <f aca="false">YEAR(Tabela1[[#This Row],[FECHA]])</f>
        <v>1900</v>
      </c>
      <c r="I72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57" customFormat="false" ht="15" hidden="false" customHeight="false" outlineLevel="0" collapsed="false">
      <c r="A7257" s="41"/>
      <c r="G7257" s="38" t="n">
        <f aca="false">MONTH(A7257)</f>
        <v>12</v>
      </c>
      <c r="H7257" s="38" t="n">
        <f aca="false">YEAR(Tabela1[[#This Row],[FECHA]])</f>
        <v>1900</v>
      </c>
      <c r="I72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58" customFormat="false" ht="15" hidden="false" customHeight="false" outlineLevel="0" collapsed="false">
      <c r="A7258" s="41"/>
      <c r="G7258" s="38" t="n">
        <f aca="false">MONTH(A7258)</f>
        <v>12</v>
      </c>
      <c r="H7258" s="38" t="n">
        <f aca="false">YEAR(Tabela1[[#This Row],[FECHA]])</f>
        <v>1900</v>
      </c>
      <c r="I72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59" customFormat="false" ht="15" hidden="false" customHeight="false" outlineLevel="0" collapsed="false">
      <c r="A7259" s="41"/>
      <c r="G7259" s="38" t="n">
        <f aca="false">MONTH(A7259)</f>
        <v>12</v>
      </c>
      <c r="H7259" s="38" t="n">
        <f aca="false">YEAR(Tabela1[[#This Row],[FECHA]])</f>
        <v>1900</v>
      </c>
      <c r="I72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60" customFormat="false" ht="15" hidden="false" customHeight="false" outlineLevel="0" collapsed="false">
      <c r="A7260" s="41"/>
      <c r="G7260" s="38" t="n">
        <f aca="false">MONTH(A7260)</f>
        <v>12</v>
      </c>
      <c r="H7260" s="38" t="n">
        <f aca="false">YEAR(Tabela1[[#This Row],[FECHA]])</f>
        <v>1900</v>
      </c>
      <c r="I72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61" customFormat="false" ht="15" hidden="false" customHeight="false" outlineLevel="0" collapsed="false">
      <c r="A7261" s="41"/>
      <c r="G7261" s="38" t="n">
        <f aca="false">MONTH(A7261)</f>
        <v>12</v>
      </c>
      <c r="H7261" s="38" t="n">
        <f aca="false">YEAR(Tabela1[[#This Row],[FECHA]])</f>
        <v>1900</v>
      </c>
      <c r="I72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62" customFormat="false" ht="15" hidden="false" customHeight="false" outlineLevel="0" collapsed="false">
      <c r="A7262" s="41"/>
      <c r="G7262" s="38" t="n">
        <f aca="false">MONTH(A7262)</f>
        <v>12</v>
      </c>
      <c r="H7262" s="38" t="n">
        <f aca="false">YEAR(Tabela1[[#This Row],[FECHA]])</f>
        <v>1900</v>
      </c>
      <c r="I72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63" customFormat="false" ht="15" hidden="false" customHeight="false" outlineLevel="0" collapsed="false">
      <c r="A7263" s="41"/>
      <c r="G7263" s="38" t="n">
        <f aca="false">MONTH(A7263)</f>
        <v>12</v>
      </c>
      <c r="H7263" s="38" t="n">
        <f aca="false">YEAR(Tabela1[[#This Row],[FECHA]])</f>
        <v>1900</v>
      </c>
      <c r="I72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64" customFormat="false" ht="15" hidden="false" customHeight="false" outlineLevel="0" collapsed="false">
      <c r="A7264" s="41"/>
      <c r="G7264" s="38" t="n">
        <f aca="false">MONTH(A7264)</f>
        <v>12</v>
      </c>
      <c r="H7264" s="38" t="n">
        <f aca="false">YEAR(Tabela1[[#This Row],[FECHA]])</f>
        <v>1900</v>
      </c>
      <c r="I72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65" customFormat="false" ht="15" hidden="false" customHeight="false" outlineLevel="0" collapsed="false">
      <c r="A7265" s="41"/>
      <c r="G7265" s="38" t="n">
        <f aca="false">MONTH(A7265)</f>
        <v>12</v>
      </c>
      <c r="H7265" s="38" t="n">
        <f aca="false">YEAR(Tabela1[[#This Row],[FECHA]])</f>
        <v>1900</v>
      </c>
      <c r="I72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66" customFormat="false" ht="15" hidden="false" customHeight="false" outlineLevel="0" collapsed="false">
      <c r="A7266" s="41"/>
      <c r="G7266" s="38" t="n">
        <f aca="false">MONTH(A7266)</f>
        <v>12</v>
      </c>
      <c r="H7266" s="38" t="n">
        <f aca="false">YEAR(Tabela1[[#This Row],[FECHA]])</f>
        <v>1900</v>
      </c>
      <c r="I72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67" customFormat="false" ht="15" hidden="false" customHeight="false" outlineLevel="0" collapsed="false">
      <c r="A7267" s="41"/>
      <c r="G7267" s="38" t="n">
        <f aca="false">MONTH(A7267)</f>
        <v>12</v>
      </c>
      <c r="H7267" s="38" t="n">
        <f aca="false">YEAR(Tabela1[[#This Row],[FECHA]])</f>
        <v>1900</v>
      </c>
      <c r="I72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68" customFormat="false" ht="15" hidden="false" customHeight="false" outlineLevel="0" collapsed="false">
      <c r="A7268" s="41"/>
      <c r="G7268" s="38" t="n">
        <f aca="false">MONTH(A7268)</f>
        <v>12</v>
      </c>
      <c r="H7268" s="38" t="n">
        <f aca="false">YEAR(Tabela1[[#This Row],[FECHA]])</f>
        <v>1900</v>
      </c>
      <c r="I72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69" customFormat="false" ht="15" hidden="false" customHeight="false" outlineLevel="0" collapsed="false">
      <c r="A7269" s="41"/>
      <c r="G7269" s="38" t="n">
        <f aca="false">MONTH(A7269)</f>
        <v>12</v>
      </c>
      <c r="H7269" s="38" t="n">
        <f aca="false">YEAR(Tabela1[[#This Row],[FECHA]])</f>
        <v>1900</v>
      </c>
      <c r="I72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70" customFormat="false" ht="15" hidden="false" customHeight="false" outlineLevel="0" collapsed="false">
      <c r="A7270" s="41"/>
      <c r="G7270" s="38" t="n">
        <f aca="false">MONTH(A7270)</f>
        <v>12</v>
      </c>
      <c r="H7270" s="38" t="n">
        <f aca="false">YEAR(Tabela1[[#This Row],[FECHA]])</f>
        <v>1900</v>
      </c>
      <c r="I72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71" customFormat="false" ht="15" hidden="false" customHeight="false" outlineLevel="0" collapsed="false">
      <c r="A7271" s="41"/>
      <c r="G7271" s="38" t="n">
        <f aca="false">MONTH(A7271)</f>
        <v>12</v>
      </c>
      <c r="H7271" s="38" t="n">
        <f aca="false">YEAR(Tabela1[[#This Row],[FECHA]])</f>
        <v>1900</v>
      </c>
      <c r="I72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72" customFormat="false" ht="15" hidden="false" customHeight="false" outlineLevel="0" collapsed="false">
      <c r="A7272" s="41"/>
      <c r="G7272" s="38" t="n">
        <f aca="false">MONTH(A7272)</f>
        <v>12</v>
      </c>
      <c r="H7272" s="38" t="n">
        <f aca="false">YEAR(Tabela1[[#This Row],[FECHA]])</f>
        <v>1900</v>
      </c>
      <c r="I72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73" customFormat="false" ht="15" hidden="false" customHeight="false" outlineLevel="0" collapsed="false">
      <c r="A7273" s="41"/>
      <c r="G7273" s="38" t="n">
        <f aca="false">MONTH(A7273)</f>
        <v>12</v>
      </c>
      <c r="H7273" s="38" t="n">
        <f aca="false">YEAR(Tabela1[[#This Row],[FECHA]])</f>
        <v>1900</v>
      </c>
      <c r="I72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74" customFormat="false" ht="15" hidden="false" customHeight="false" outlineLevel="0" collapsed="false">
      <c r="A7274" s="41"/>
      <c r="G7274" s="38" t="n">
        <f aca="false">MONTH(A7274)</f>
        <v>12</v>
      </c>
      <c r="H7274" s="38" t="n">
        <f aca="false">YEAR(Tabela1[[#This Row],[FECHA]])</f>
        <v>1900</v>
      </c>
      <c r="I72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75" customFormat="false" ht="15" hidden="false" customHeight="false" outlineLevel="0" collapsed="false">
      <c r="A7275" s="41"/>
      <c r="G7275" s="38" t="n">
        <f aca="false">MONTH(A7275)</f>
        <v>12</v>
      </c>
      <c r="H7275" s="38" t="n">
        <f aca="false">YEAR(Tabela1[[#This Row],[FECHA]])</f>
        <v>1900</v>
      </c>
      <c r="I72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76" customFormat="false" ht="15" hidden="false" customHeight="false" outlineLevel="0" collapsed="false">
      <c r="A7276" s="41"/>
      <c r="G7276" s="38" t="n">
        <f aca="false">MONTH(A7276)</f>
        <v>12</v>
      </c>
      <c r="H7276" s="38" t="n">
        <f aca="false">YEAR(Tabela1[[#This Row],[FECHA]])</f>
        <v>1900</v>
      </c>
      <c r="I72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77" customFormat="false" ht="15" hidden="false" customHeight="false" outlineLevel="0" collapsed="false">
      <c r="A7277" s="41"/>
      <c r="G7277" s="38" t="n">
        <f aca="false">MONTH(A7277)</f>
        <v>12</v>
      </c>
      <c r="H7277" s="38" t="n">
        <f aca="false">YEAR(Tabela1[[#This Row],[FECHA]])</f>
        <v>1900</v>
      </c>
      <c r="I72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78" customFormat="false" ht="15" hidden="false" customHeight="false" outlineLevel="0" collapsed="false">
      <c r="A7278" s="41"/>
      <c r="G7278" s="38" t="n">
        <f aca="false">MONTH(A7278)</f>
        <v>12</v>
      </c>
      <c r="H7278" s="38" t="n">
        <f aca="false">YEAR(Tabela1[[#This Row],[FECHA]])</f>
        <v>1900</v>
      </c>
      <c r="I72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79" customFormat="false" ht="15" hidden="false" customHeight="false" outlineLevel="0" collapsed="false">
      <c r="A7279" s="41"/>
      <c r="G7279" s="38" t="n">
        <f aca="false">MONTH(A7279)</f>
        <v>12</v>
      </c>
      <c r="H7279" s="38" t="n">
        <f aca="false">YEAR(Tabela1[[#This Row],[FECHA]])</f>
        <v>1900</v>
      </c>
      <c r="I72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80" customFormat="false" ht="15" hidden="false" customHeight="false" outlineLevel="0" collapsed="false">
      <c r="A7280" s="41"/>
      <c r="G7280" s="38" t="n">
        <f aca="false">MONTH(A7280)</f>
        <v>12</v>
      </c>
      <c r="H7280" s="38" t="n">
        <f aca="false">YEAR(Tabela1[[#This Row],[FECHA]])</f>
        <v>1900</v>
      </c>
      <c r="I72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81" customFormat="false" ht="15" hidden="false" customHeight="false" outlineLevel="0" collapsed="false">
      <c r="A7281" s="41"/>
      <c r="G7281" s="38" t="n">
        <f aca="false">MONTH(A7281)</f>
        <v>12</v>
      </c>
      <c r="H7281" s="38" t="n">
        <f aca="false">YEAR(Tabela1[[#This Row],[FECHA]])</f>
        <v>1900</v>
      </c>
      <c r="I72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82" customFormat="false" ht="15" hidden="false" customHeight="false" outlineLevel="0" collapsed="false">
      <c r="A7282" s="41"/>
      <c r="G7282" s="38" t="n">
        <f aca="false">MONTH(A7282)</f>
        <v>12</v>
      </c>
      <c r="H7282" s="38" t="n">
        <f aca="false">YEAR(Tabela1[[#This Row],[FECHA]])</f>
        <v>1900</v>
      </c>
      <c r="I72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83" customFormat="false" ht="15" hidden="false" customHeight="false" outlineLevel="0" collapsed="false">
      <c r="A7283" s="41"/>
      <c r="G7283" s="38" t="n">
        <f aca="false">MONTH(A7283)</f>
        <v>12</v>
      </c>
      <c r="H7283" s="38" t="n">
        <f aca="false">YEAR(Tabela1[[#This Row],[FECHA]])</f>
        <v>1900</v>
      </c>
      <c r="I72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84" customFormat="false" ht="15" hidden="false" customHeight="false" outlineLevel="0" collapsed="false">
      <c r="A7284" s="41"/>
      <c r="G7284" s="38" t="n">
        <f aca="false">MONTH(A7284)</f>
        <v>12</v>
      </c>
      <c r="H7284" s="38" t="n">
        <f aca="false">YEAR(Tabela1[[#This Row],[FECHA]])</f>
        <v>1900</v>
      </c>
      <c r="I72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85" customFormat="false" ht="15" hidden="false" customHeight="false" outlineLevel="0" collapsed="false">
      <c r="A7285" s="41"/>
      <c r="G7285" s="38" t="n">
        <f aca="false">MONTH(A7285)</f>
        <v>12</v>
      </c>
      <c r="H7285" s="38" t="n">
        <f aca="false">YEAR(Tabela1[[#This Row],[FECHA]])</f>
        <v>1900</v>
      </c>
      <c r="I72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86" customFormat="false" ht="15" hidden="false" customHeight="false" outlineLevel="0" collapsed="false">
      <c r="A7286" s="41"/>
      <c r="G7286" s="38" t="n">
        <f aca="false">MONTH(A7286)</f>
        <v>12</v>
      </c>
      <c r="H7286" s="38" t="n">
        <f aca="false">YEAR(Tabela1[[#This Row],[FECHA]])</f>
        <v>1900</v>
      </c>
      <c r="I72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87" customFormat="false" ht="15" hidden="false" customHeight="false" outlineLevel="0" collapsed="false">
      <c r="A7287" s="41"/>
      <c r="G7287" s="38" t="n">
        <f aca="false">MONTH(A7287)</f>
        <v>12</v>
      </c>
      <c r="H7287" s="38" t="n">
        <f aca="false">YEAR(Tabela1[[#This Row],[FECHA]])</f>
        <v>1900</v>
      </c>
      <c r="I72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88" customFormat="false" ht="15" hidden="false" customHeight="false" outlineLevel="0" collapsed="false">
      <c r="A7288" s="41"/>
      <c r="G7288" s="38" t="n">
        <f aca="false">MONTH(A7288)</f>
        <v>12</v>
      </c>
      <c r="H7288" s="38" t="n">
        <f aca="false">YEAR(Tabela1[[#This Row],[FECHA]])</f>
        <v>1900</v>
      </c>
      <c r="I72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89" customFormat="false" ht="15" hidden="false" customHeight="false" outlineLevel="0" collapsed="false">
      <c r="A7289" s="41"/>
      <c r="G7289" s="38" t="n">
        <f aca="false">MONTH(A7289)</f>
        <v>12</v>
      </c>
      <c r="H7289" s="38" t="n">
        <f aca="false">YEAR(Tabela1[[#This Row],[FECHA]])</f>
        <v>1900</v>
      </c>
      <c r="I72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90" customFormat="false" ht="15" hidden="false" customHeight="false" outlineLevel="0" collapsed="false">
      <c r="A7290" s="41"/>
      <c r="G7290" s="38" t="n">
        <f aca="false">MONTH(A7290)</f>
        <v>12</v>
      </c>
      <c r="H7290" s="38" t="n">
        <f aca="false">YEAR(Tabela1[[#This Row],[FECHA]])</f>
        <v>1900</v>
      </c>
      <c r="I72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91" customFormat="false" ht="15" hidden="false" customHeight="false" outlineLevel="0" collapsed="false">
      <c r="A7291" s="41"/>
      <c r="G7291" s="38" t="n">
        <f aca="false">MONTH(A7291)</f>
        <v>12</v>
      </c>
      <c r="H7291" s="38" t="n">
        <f aca="false">YEAR(Tabela1[[#This Row],[FECHA]])</f>
        <v>1900</v>
      </c>
      <c r="I72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92" customFormat="false" ht="15" hidden="false" customHeight="false" outlineLevel="0" collapsed="false">
      <c r="A7292" s="41"/>
      <c r="G7292" s="38" t="n">
        <f aca="false">MONTH(A7292)</f>
        <v>12</v>
      </c>
      <c r="H7292" s="38" t="n">
        <f aca="false">YEAR(Tabela1[[#This Row],[FECHA]])</f>
        <v>1900</v>
      </c>
      <c r="I72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93" customFormat="false" ht="15" hidden="false" customHeight="false" outlineLevel="0" collapsed="false">
      <c r="A7293" s="41"/>
      <c r="G7293" s="38" t="n">
        <f aca="false">MONTH(A7293)</f>
        <v>12</v>
      </c>
      <c r="H7293" s="38" t="n">
        <f aca="false">YEAR(Tabela1[[#This Row],[FECHA]])</f>
        <v>1900</v>
      </c>
      <c r="I72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94" customFormat="false" ht="15" hidden="false" customHeight="false" outlineLevel="0" collapsed="false">
      <c r="A7294" s="41"/>
      <c r="G7294" s="38" t="n">
        <f aca="false">MONTH(A7294)</f>
        <v>12</v>
      </c>
      <c r="H7294" s="38" t="n">
        <f aca="false">YEAR(Tabela1[[#This Row],[FECHA]])</f>
        <v>1900</v>
      </c>
      <c r="I72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95" customFormat="false" ht="15" hidden="false" customHeight="false" outlineLevel="0" collapsed="false">
      <c r="A7295" s="41"/>
      <c r="G7295" s="38" t="n">
        <f aca="false">MONTH(A7295)</f>
        <v>12</v>
      </c>
      <c r="H7295" s="38" t="n">
        <f aca="false">YEAR(Tabela1[[#This Row],[FECHA]])</f>
        <v>1900</v>
      </c>
      <c r="I72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96" customFormat="false" ht="15" hidden="false" customHeight="false" outlineLevel="0" collapsed="false">
      <c r="A7296" s="41"/>
      <c r="G7296" s="38" t="n">
        <f aca="false">MONTH(A7296)</f>
        <v>12</v>
      </c>
      <c r="H7296" s="38" t="n">
        <f aca="false">YEAR(Tabela1[[#This Row],[FECHA]])</f>
        <v>1900</v>
      </c>
      <c r="I72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97" customFormat="false" ht="15" hidden="false" customHeight="false" outlineLevel="0" collapsed="false">
      <c r="A7297" s="41"/>
      <c r="G7297" s="38" t="n">
        <f aca="false">MONTH(A7297)</f>
        <v>12</v>
      </c>
      <c r="H7297" s="38" t="n">
        <f aca="false">YEAR(Tabela1[[#This Row],[FECHA]])</f>
        <v>1900</v>
      </c>
      <c r="I72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98" customFormat="false" ht="15" hidden="false" customHeight="false" outlineLevel="0" collapsed="false">
      <c r="A7298" s="41"/>
      <c r="G7298" s="38" t="n">
        <f aca="false">MONTH(A7298)</f>
        <v>12</v>
      </c>
      <c r="H7298" s="38" t="n">
        <f aca="false">YEAR(Tabela1[[#This Row],[FECHA]])</f>
        <v>1900</v>
      </c>
      <c r="I72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299" customFormat="false" ht="15" hidden="false" customHeight="false" outlineLevel="0" collapsed="false">
      <c r="A7299" s="41"/>
      <c r="G7299" s="38" t="n">
        <f aca="false">MONTH(A7299)</f>
        <v>12</v>
      </c>
      <c r="H7299" s="38" t="n">
        <f aca="false">YEAR(Tabela1[[#This Row],[FECHA]])</f>
        <v>1900</v>
      </c>
      <c r="I72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00" customFormat="false" ht="15" hidden="false" customHeight="false" outlineLevel="0" collapsed="false">
      <c r="A7300" s="41"/>
      <c r="G7300" s="38" t="n">
        <f aca="false">MONTH(A7300)</f>
        <v>12</v>
      </c>
      <c r="H7300" s="38" t="n">
        <f aca="false">YEAR(Tabela1[[#This Row],[FECHA]])</f>
        <v>1900</v>
      </c>
      <c r="I73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01" customFormat="false" ht="15" hidden="false" customHeight="false" outlineLevel="0" collapsed="false">
      <c r="A7301" s="41"/>
      <c r="G7301" s="38" t="n">
        <f aca="false">MONTH(A7301)</f>
        <v>12</v>
      </c>
      <c r="H7301" s="38" t="n">
        <f aca="false">YEAR(Tabela1[[#This Row],[FECHA]])</f>
        <v>1900</v>
      </c>
      <c r="I73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02" customFormat="false" ht="15" hidden="false" customHeight="false" outlineLevel="0" collapsed="false">
      <c r="A7302" s="41"/>
      <c r="G7302" s="38" t="n">
        <f aca="false">MONTH(A7302)</f>
        <v>12</v>
      </c>
      <c r="H7302" s="38" t="n">
        <f aca="false">YEAR(Tabela1[[#This Row],[FECHA]])</f>
        <v>1900</v>
      </c>
      <c r="I73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03" customFormat="false" ht="15" hidden="false" customHeight="false" outlineLevel="0" collapsed="false">
      <c r="A7303" s="41"/>
      <c r="G7303" s="38" t="n">
        <f aca="false">MONTH(A7303)</f>
        <v>12</v>
      </c>
      <c r="H7303" s="38" t="n">
        <f aca="false">YEAR(Tabela1[[#This Row],[FECHA]])</f>
        <v>1900</v>
      </c>
      <c r="I73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04" customFormat="false" ht="15" hidden="false" customHeight="false" outlineLevel="0" collapsed="false">
      <c r="A7304" s="41"/>
      <c r="G7304" s="38" t="n">
        <f aca="false">MONTH(A7304)</f>
        <v>12</v>
      </c>
      <c r="H7304" s="38" t="n">
        <f aca="false">YEAR(Tabela1[[#This Row],[FECHA]])</f>
        <v>1900</v>
      </c>
      <c r="I73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05" customFormat="false" ht="15" hidden="false" customHeight="false" outlineLevel="0" collapsed="false">
      <c r="A7305" s="41"/>
      <c r="G7305" s="38" t="n">
        <f aca="false">MONTH(A7305)</f>
        <v>12</v>
      </c>
      <c r="H7305" s="38" t="n">
        <f aca="false">YEAR(Tabela1[[#This Row],[FECHA]])</f>
        <v>1900</v>
      </c>
      <c r="I73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06" customFormat="false" ht="15" hidden="false" customHeight="false" outlineLevel="0" collapsed="false">
      <c r="A7306" s="41"/>
      <c r="G7306" s="38" t="n">
        <f aca="false">MONTH(A7306)</f>
        <v>12</v>
      </c>
      <c r="H7306" s="38" t="n">
        <f aca="false">YEAR(Tabela1[[#This Row],[FECHA]])</f>
        <v>1900</v>
      </c>
      <c r="I73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07" customFormat="false" ht="15" hidden="false" customHeight="false" outlineLevel="0" collapsed="false">
      <c r="A7307" s="41"/>
      <c r="G7307" s="38" t="n">
        <f aca="false">MONTH(A7307)</f>
        <v>12</v>
      </c>
      <c r="H7307" s="38" t="n">
        <f aca="false">YEAR(Tabela1[[#This Row],[FECHA]])</f>
        <v>1900</v>
      </c>
      <c r="I73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08" customFormat="false" ht="15" hidden="false" customHeight="false" outlineLevel="0" collapsed="false">
      <c r="A7308" s="41"/>
      <c r="G7308" s="38" t="n">
        <f aca="false">MONTH(A7308)</f>
        <v>12</v>
      </c>
      <c r="H7308" s="38" t="n">
        <f aca="false">YEAR(Tabela1[[#This Row],[FECHA]])</f>
        <v>1900</v>
      </c>
      <c r="I73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09" customFormat="false" ht="15" hidden="false" customHeight="false" outlineLevel="0" collapsed="false">
      <c r="A7309" s="41"/>
      <c r="G7309" s="38" t="n">
        <f aca="false">MONTH(A7309)</f>
        <v>12</v>
      </c>
      <c r="H7309" s="38" t="n">
        <f aca="false">YEAR(Tabela1[[#This Row],[FECHA]])</f>
        <v>1900</v>
      </c>
      <c r="I73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10" customFormat="false" ht="15" hidden="false" customHeight="false" outlineLevel="0" collapsed="false">
      <c r="A7310" s="41"/>
      <c r="G7310" s="38" t="n">
        <f aca="false">MONTH(A7310)</f>
        <v>12</v>
      </c>
      <c r="H7310" s="38" t="n">
        <f aca="false">YEAR(Tabela1[[#This Row],[FECHA]])</f>
        <v>1900</v>
      </c>
      <c r="I73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11" customFormat="false" ht="15" hidden="false" customHeight="false" outlineLevel="0" collapsed="false">
      <c r="A7311" s="41"/>
      <c r="G7311" s="38" t="n">
        <f aca="false">MONTH(A7311)</f>
        <v>12</v>
      </c>
      <c r="H7311" s="38" t="n">
        <f aca="false">YEAR(Tabela1[[#This Row],[FECHA]])</f>
        <v>1900</v>
      </c>
      <c r="I73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12" customFormat="false" ht="15" hidden="false" customHeight="false" outlineLevel="0" collapsed="false">
      <c r="A7312" s="41"/>
      <c r="G7312" s="38" t="n">
        <f aca="false">MONTH(A7312)</f>
        <v>12</v>
      </c>
      <c r="H7312" s="38" t="n">
        <f aca="false">YEAR(Tabela1[[#This Row],[FECHA]])</f>
        <v>1900</v>
      </c>
      <c r="I73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13" customFormat="false" ht="15" hidden="false" customHeight="false" outlineLevel="0" collapsed="false">
      <c r="A7313" s="41"/>
      <c r="G7313" s="38" t="n">
        <f aca="false">MONTH(A7313)</f>
        <v>12</v>
      </c>
      <c r="H7313" s="38" t="n">
        <f aca="false">YEAR(Tabela1[[#This Row],[FECHA]])</f>
        <v>1900</v>
      </c>
      <c r="I73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14" customFormat="false" ht="15" hidden="false" customHeight="false" outlineLevel="0" collapsed="false">
      <c r="A7314" s="41"/>
      <c r="G7314" s="38" t="n">
        <f aca="false">MONTH(A7314)</f>
        <v>12</v>
      </c>
      <c r="H7314" s="38" t="n">
        <f aca="false">YEAR(Tabela1[[#This Row],[FECHA]])</f>
        <v>1900</v>
      </c>
      <c r="I73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15" customFormat="false" ht="15" hidden="false" customHeight="false" outlineLevel="0" collapsed="false">
      <c r="A7315" s="41"/>
      <c r="G7315" s="38" t="n">
        <f aca="false">MONTH(A7315)</f>
        <v>12</v>
      </c>
      <c r="H7315" s="38" t="n">
        <f aca="false">YEAR(Tabela1[[#This Row],[FECHA]])</f>
        <v>1900</v>
      </c>
      <c r="I73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16" customFormat="false" ht="15" hidden="false" customHeight="false" outlineLevel="0" collapsed="false">
      <c r="A7316" s="41"/>
      <c r="G7316" s="38" t="n">
        <f aca="false">MONTH(A7316)</f>
        <v>12</v>
      </c>
      <c r="H7316" s="38" t="n">
        <f aca="false">YEAR(Tabela1[[#This Row],[FECHA]])</f>
        <v>1900</v>
      </c>
      <c r="I73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17" customFormat="false" ht="15" hidden="false" customHeight="false" outlineLevel="0" collapsed="false">
      <c r="A7317" s="41"/>
      <c r="G7317" s="38" t="n">
        <f aca="false">MONTH(A7317)</f>
        <v>12</v>
      </c>
      <c r="H7317" s="38" t="n">
        <f aca="false">YEAR(Tabela1[[#This Row],[FECHA]])</f>
        <v>1900</v>
      </c>
      <c r="I73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18" customFormat="false" ht="15" hidden="false" customHeight="false" outlineLevel="0" collapsed="false">
      <c r="A7318" s="41"/>
      <c r="G7318" s="38" t="n">
        <f aca="false">MONTH(A7318)</f>
        <v>12</v>
      </c>
      <c r="H7318" s="38" t="n">
        <f aca="false">YEAR(Tabela1[[#This Row],[FECHA]])</f>
        <v>1900</v>
      </c>
      <c r="I73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19" customFormat="false" ht="15" hidden="false" customHeight="false" outlineLevel="0" collapsed="false">
      <c r="A7319" s="41"/>
      <c r="G7319" s="38" t="n">
        <f aca="false">MONTH(A7319)</f>
        <v>12</v>
      </c>
      <c r="H7319" s="38" t="n">
        <f aca="false">YEAR(Tabela1[[#This Row],[FECHA]])</f>
        <v>1900</v>
      </c>
      <c r="I73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20" customFormat="false" ht="15" hidden="false" customHeight="false" outlineLevel="0" collapsed="false">
      <c r="A7320" s="41"/>
      <c r="G7320" s="38" t="n">
        <f aca="false">MONTH(A7320)</f>
        <v>12</v>
      </c>
      <c r="H7320" s="38" t="n">
        <f aca="false">YEAR(Tabela1[[#This Row],[FECHA]])</f>
        <v>1900</v>
      </c>
      <c r="I73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21" customFormat="false" ht="15" hidden="false" customHeight="false" outlineLevel="0" collapsed="false">
      <c r="A7321" s="41"/>
      <c r="G7321" s="38" t="n">
        <f aca="false">MONTH(A7321)</f>
        <v>12</v>
      </c>
      <c r="H7321" s="38" t="n">
        <f aca="false">YEAR(Tabela1[[#This Row],[FECHA]])</f>
        <v>1900</v>
      </c>
      <c r="I73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22" customFormat="false" ht="15" hidden="false" customHeight="false" outlineLevel="0" collapsed="false">
      <c r="A7322" s="41"/>
      <c r="G7322" s="38" t="n">
        <f aca="false">MONTH(A7322)</f>
        <v>12</v>
      </c>
      <c r="H7322" s="38" t="n">
        <f aca="false">YEAR(Tabela1[[#This Row],[FECHA]])</f>
        <v>1900</v>
      </c>
      <c r="I73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23" customFormat="false" ht="15" hidden="false" customHeight="false" outlineLevel="0" collapsed="false">
      <c r="A7323" s="41"/>
      <c r="G7323" s="38" t="n">
        <f aca="false">MONTH(A7323)</f>
        <v>12</v>
      </c>
      <c r="H7323" s="38" t="n">
        <f aca="false">YEAR(Tabela1[[#This Row],[FECHA]])</f>
        <v>1900</v>
      </c>
      <c r="I73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24" customFormat="false" ht="15" hidden="false" customHeight="false" outlineLevel="0" collapsed="false">
      <c r="A7324" s="41"/>
      <c r="G7324" s="38" t="n">
        <f aca="false">MONTH(A7324)</f>
        <v>12</v>
      </c>
      <c r="H7324" s="38" t="n">
        <f aca="false">YEAR(Tabela1[[#This Row],[FECHA]])</f>
        <v>1900</v>
      </c>
      <c r="I73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25" customFormat="false" ht="15" hidden="false" customHeight="false" outlineLevel="0" collapsed="false">
      <c r="A7325" s="41"/>
      <c r="G7325" s="38" t="n">
        <f aca="false">MONTH(A7325)</f>
        <v>12</v>
      </c>
      <c r="H7325" s="38" t="n">
        <f aca="false">YEAR(Tabela1[[#This Row],[FECHA]])</f>
        <v>1900</v>
      </c>
      <c r="I73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26" customFormat="false" ht="15" hidden="false" customHeight="false" outlineLevel="0" collapsed="false">
      <c r="A7326" s="41"/>
      <c r="G7326" s="38" t="n">
        <f aca="false">MONTH(A7326)</f>
        <v>12</v>
      </c>
      <c r="H7326" s="38" t="n">
        <f aca="false">YEAR(Tabela1[[#This Row],[FECHA]])</f>
        <v>1900</v>
      </c>
      <c r="I73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27" customFormat="false" ht="15" hidden="false" customHeight="false" outlineLevel="0" collapsed="false">
      <c r="A7327" s="41"/>
      <c r="G7327" s="38" t="n">
        <f aca="false">MONTH(A7327)</f>
        <v>12</v>
      </c>
      <c r="H7327" s="38" t="n">
        <f aca="false">YEAR(Tabela1[[#This Row],[FECHA]])</f>
        <v>1900</v>
      </c>
      <c r="I73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28" customFormat="false" ht="15" hidden="false" customHeight="false" outlineLevel="0" collapsed="false">
      <c r="A7328" s="41"/>
      <c r="G7328" s="38" t="n">
        <f aca="false">MONTH(A7328)</f>
        <v>12</v>
      </c>
      <c r="H7328" s="38" t="n">
        <f aca="false">YEAR(Tabela1[[#This Row],[FECHA]])</f>
        <v>1900</v>
      </c>
      <c r="I73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29" customFormat="false" ht="15" hidden="false" customHeight="false" outlineLevel="0" collapsed="false">
      <c r="A7329" s="41"/>
      <c r="G7329" s="38" t="n">
        <f aca="false">MONTH(A7329)</f>
        <v>12</v>
      </c>
      <c r="H7329" s="38" t="n">
        <f aca="false">YEAR(Tabela1[[#This Row],[FECHA]])</f>
        <v>1900</v>
      </c>
      <c r="I73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30" customFormat="false" ht="15" hidden="false" customHeight="false" outlineLevel="0" collapsed="false">
      <c r="A7330" s="41"/>
      <c r="G7330" s="38" t="n">
        <f aca="false">MONTH(A7330)</f>
        <v>12</v>
      </c>
      <c r="H7330" s="38" t="n">
        <f aca="false">YEAR(Tabela1[[#This Row],[FECHA]])</f>
        <v>1900</v>
      </c>
      <c r="I73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31" customFormat="false" ht="15" hidden="false" customHeight="false" outlineLevel="0" collapsed="false">
      <c r="A7331" s="41"/>
      <c r="G7331" s="38" t="n">
        <f aca="false">MONTH(A7331)</f>
        <v>12</v>
      </c>
      <c r="H7331" s="38" t="n">
        <f aca="false">YEAR(Tabela1[[#This Row],[FECHA]])</f>
        <v>1900</v>
      </c>
      <c r="I73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32" customFormat="false" ht="15" hidden="false" customHeight="false" outlineLevel="0" collapsed="false">
      <c r="A7332" s="41"/>
      <c r="G7332" s="38" t="n">
        <f aca="false">MONTH(A7332)</f>
        <v>12</v>
      </c>
      <c r="H7332" s="38" t="n">
        <f aca="false">YEAR(Tabela1[[#This Row],[FECHA]])</f>
        <v>1900</v>
      </c>
      <c r="I73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33" customFormat="false" ht="15" hidden="false" customHeight="false" outlineLevel="0" collapsed="false">
      <c r="A7333" s="41"/>
      <c r="G7333" s="38" t="n">
        <f aca="false">MONTH(A7333)</f>
        <v>12</v>
      </c>
      <c r="H7333" s="38" t="n">
        <f aca="false">YEAR(Tabela1[[#This Row],[FECHA]])</f>
        <v>1900</v>
      </c>
      <c r="I73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34" customFormat="false" ht="15" hidden="false" customHeight="false" outlineLevel="0" collapsed="false">
      <c r="A7334" s="41"/>
      <c r="G7334" s="38" t="n">
        <f aca="false">MONTH(A7334)</f>
        <v>12</v>
      </c>
      <c r="H7334" s="38" t="n">
        <f aca="false">YEAR(Tabela1[[#This Row],[FECHA]])</f>
        <v>1900</v>
      </c>
      <c r="I73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35" customFormat="false" ht="15" hidden="false" customHeight="false" outlineLevel="0" collapsed="false">
      <c r="A7335" s="41"/>
      <c r="G7335" s="38" t="n">
        <f aca="false">MONTH(A7335)</f>
        <v>12</v>
      </c>
      <c r="H7335" s="38" t="n">
        <f aca="false">YEAR(Tabela1[[#This Row],[FECHA]])</f>
        <v>1900</v>
      </c>
      <c r="I73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36" customFormat="false" ht="15" hidden="false" customHeight="false" outlineLevel="0" collapsed="false">
      <c r="A7336" s="41"/>
      <c r="G7336" s="38" t="n">
        <f aca="false">MONTH(A7336)</f>
        <v>12</v>
      </c>
      <c r="H7336" s="38" t="n">
        <f aca="false">YEAR(Tabela1[[#This Row],[FECHA]])</f>
        <v>1900</v>
      </c>
      <c r="I73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37" customFormat="false" ht="15" hidden="false" customHeight="false" outlineLevel="0" collapsed="false">
      <c r="A7337" s="41"/>
      <c r="G7337" s="38" t="n">
        <f aca="false">MONTH(A7337)</f>
        <v>12</v>
      </c>
      <c r="H7337" s="38" t="n">
        <f aca="false">YEAR(Tabela1[[#This Row],[FECHA]])</f>
        <v>1900</v>
      </c>
      <c r="I73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38" customFormat="false" ht="15" hidden="false" customHeight="false" outlineLevel="0" collapsed="false">
      <c r="A7338" s="41"/>
      <c r="G7338" s="38" t="n">
        <f aca="false">MONTH(A7338)</f>
        <v>12</v>
      </c>
      <c r="H7338" s="38" t="n">
        <f aca="false">YEAR(Tabela1[[#This Row],[FECHA]])</f>
        <v>1900</v>
      </c>
      <c r="I73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39" customFormat="false" ht="15" hidden="false" customHeight="false" outlineLevel="0" collapsed="false">
      <c r="A7339" s="41"/>
      <c r="G7339" s="38" t="n">
        <f aca="false">MONTH(A7339)</f>
        <v>12</v>
      </c>
      <c r="H7339" s="38" t="n">
        <f aca="false">YEAR(Tabela1[[#This Row],[FECHA]])</f>
        <v>1900</v>
      </c>
      <c r="I73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40" customFormat="false" ht="15" hidden="false" customHeight="false" outlineLevel="0" collapsed="false">
      <c r="A7340" s="41"/>
      <c r="G7340" s="38" t="n">
        <f aca="false">MONTH(A7340)</f>
        <v>12</v>
      </c>
      <c r="H7340" s="38" t="n">
        <f aca="false">YEAR(Tabela1[[#This Row],[FECHA]])</f>
        <v>1900</v>
      </c>
      <c r="I73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41" customFormat="false" ht="15" hidden="false" customHeight="false" outlineLevel="0" collapsed="false">
      <c r="A7341" s="41"/>
      <c r="G7341" s="38" t="n">
        <f aca="false">MONTH(A7341)</f>
        <v>12</v>
      </c>
      <c r="H7341" s="38" t="n">
        <f aca="false">YEAR(Tabela1[[#This Row],[FECHA]])</f>
        <v>1900</v>
      </c>
      <c r="I73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42" customFormat="false" ht="15" hidden="false" customHeight="false" outlineLevel="0" collapsed="false">
      <c r="A7342" s="41"/>
      <c r="G7342" s="38" t="n">
        <f aca="false">MONTH(A7342)</f>
        <v>12</v>
      </c>
      <c r="H7342" s="38" t="n">
        <f aca="false">YEAR(Tabela1[[#This Row],[FECHA]])</f>
        <v>1900</v>
      </c>
      <c r="I73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43" customFormat="false" ht="15" hidden="false" customHeight="false" outlineLevel="0" collapsed="false">
      <c r="A7343" s="41"/>
      <c r="G7343" s="38" t="n">
        <f aca="false">MONTH(A7343)</f>
        <v>12</v>
      </c>
      <c r="H7343" s="38" t="n">
        <f aca="false">YEAR(Tabela1[[#This Row],[FECHA]])</f>
        <v>1900</v>
      </c>
      <c r="I73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44" customFormat="false" ht="15" hidden="false" customHeight="false" outlineLevel="0" collapsed="false">
      <c r="A7344" s="41"/>
      <c r="G7344" s="38" t="n">
        <f aca="false">MONTH(A7344)</f>
        <v>12</v>
      </c>
      <c r="H7344" s="38" t="n">
        <f aca="false">YEAR(Tabela1[[#This Row],[FECHA]])</f>
        <v>1900</v>
      </c>
      <c r="I73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45" customFormat="false" ht="15" hidden="false" customHeight="false" outlineLevel="0" collapsed="false">
      <c r="A7345" s="41"/>
      <c r="G7345" s="38" t="n">
        <f aca="false">MONTH(A7345)</f>
        <v>12</v>
      </c>
      <c r="H7345" s="38" t="n">
        <f aca="false">YEAR(Tabela1[[#This Row],[FECHA]])</f>
        <v>1900</v>
      </c>
      <c r="I73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46" customFormat="false" ht="15" hidden="false" customHeight="false" outlineLevel="0" collapsed="false">
      <c r="A7346" s="41"/>
      <c r="G7346" s="38" t="n">
        <f aca="false">MONTH(A7346)</f>
        <v>12</v>
      </c>
      <c r="H7346" s="38" t="n">
        <f aca="false">YEAR(Tabela1[[#This Row],[FECHA]])</f>
        <v>1900</v>
      </c>
      <c r="I73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47" customFormat="false" ht="15" hidden="false" customHeight="false" outlineLevel="0" collapsed="false">
      <c r="A7347" s="41"/>
      <c r="G7347" s="38" t="n">
        <f aca="false">MONTH(A7347)</f>
        <v>12</v>
      </c>
      <c r="H7347" s="38" t="n">
        <f aca="false">YEAR(Tabela1[[#This Row],[FECHA]])</f>
        <v>1900</v>
      </c>
      <c r="I73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48" customFormat="false" ht="15" hidden="false" customHeight="false" outlineLevel="0" collapsed="false">
      <c r="A7348" s="41"/>
      <c r="G7348" s="38" t="n">
        <f aca="false">MONTH(A7348)</f>
        <v>12</v>
      </c>
      <c r="H7348" s="38" t="n">
        <f aca="false">YEAR(Tabela1[[#This Row],[FECHA]])</f>
        <v>1900</v>
      </c>
      <c r="I73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49" customFormat="false" ht="15" hidden="false" customHeight="false" outlineLevel="0" collapsed="false">
      <c r="A7349" s="41"/>
      <c r="G7349" s="38" t="n">
        <f aca="false">MONTH(A7349)</f>
        <v>12</v>
      </c>
      <c r="H7349" s="38" t="n">
        <f aca="false">YEAR(Tabela1[[#This Row],[FECHA]])</f>
        <v>1900</v>
      </c>
      <c r="I73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50" customFormat="false" ht="15" hidden="false" customHeight="false" outlineLevel="0" collapsed="false">
      <c r="A7350" s="41"/>
      <c r="G7350" s="38" t="n">
        <f aca="false">MONTH(A7350)</f>
        <v>12</v>
      </c>
      <c r="H7350" s="38" t="n">
        <f aca="false">YEAR(Tabela1[[#This Row],[FECHA]])</f>
        <v>1900</v>
      </c>
      <c r="I73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51" customFormat="false" ht="15" hidden="false" customHeight="false" outlineLevel="0" collapsed="false">
      <c r="A7351" s="41"/>
      <c r="G7351" s="38" t="n">
        <f aca="false">MONTH(A7351)</f>
        <v>12</v>
      </c>
      <c r="H7351" s="38" t="n">
        <f aca="false">YEAR(Tabela1[[#This Row],[FECHA]])</f>
        <v>1900</v>
      </c>
      <c r="I73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52" customFormat="false" ht="15" hidden="false" customHeight="false" outlineLevel="0" collapsed="false">
      <c r="A7352" s="41"/>
      <c r="G7352" s="38" t="n">
        <f aca="false">MONTH(A7352)</f>
        <v>12</v>
      </c>
      <c r="H7352" s="38" t="n">
        <f aca="false">YEAR(Tabela1[[#This Row],[FECHA]])</f>
        <v>1900</v>
      </c>
      <c r="I73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53" customFormat="false" ht="15" hidden="false" customHeight="false" outlineLevel="0" collapsed="false">
      <c r="A7353" s="41"/>
      <c r="G7353" s="38" t="n">
        <f aca="false">MONTH(A7353)</f>
        <v>12</v>
      </c>
      <c r="H7353" s="38" t="n">
        <f aca="false">YEAR(Tabela1[[#This Row],[FECHA]])</f>
        <v>1900</v>
      </c>
      <c r="I73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54" customFormat="false" ht="15" hidden="false" customHeight="false" outlineLevel="0" collapsed="false">
      <c r="A7354" s="41"/>
      <c r="G7354" s="38" t="n">
        <f aca="false">MONTH(A7354)</f>
        <v>12</v>
      </c>
      <c r="H7354" s="38" t="n">
        <f aca="false">YEAR(Tabela1[[#This Row],[FECHA]])</f>
        <v>1900</v>
      </c>
      <c r="I73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55" customFormat="false" ht="15" hidden="false" customHeight="false" outlineLevel="0" collapsed="false">
      <c r="A7355" s="41"/>
      <c r="G7355" s="38" t="n">
        <f aca="false">MONTH(A7355)</f>
        <v>12</v>
      </c>
      <c r="H7355" s="38" t="n">
        <f aca="false">YEAR(Tabela1[[#This Row],[FECHA]])</f>
        <v>1900</v>
      </c>
      <c r="I73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56" customFormat="false" ht="15" hidden="false" customHeight="false" outlineLevel="0" collapsed="false">
      <c r="A7356" s="41"/>
      <c r="G7356" s="38" t="n">
        <f aca="false">MONTH(A7356)</f>
        <v>12</v>
      </c>
      <c r="H7356" s="38" t="n">
        <f aca="false">YEAR(Tabela1[[#This Row],[FECHA]])</f>
        <v>1900</v>
      </c>
      <c r="I73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57" customFormat="false" ht="15" hidden="false" customHeight="false" outlineLevel="0" collapsed="false">
      <c r="A7357" s="41"/>
      <c r="G7357" s="38" t="n">
        <f aca="false">MONTH(A7357)</f>
        <v>12</v>
      </c>
      <c r="H7357" s="38" t="n">
        <f aca="false">YEAR(Tabela1[[#This Row],[FECHA]])</f>
        <v>1900</v>
      </c>
      <c r="I73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58" customFormat="false" ht="15" hidden="false" customHeight="false" outlineLevel="0" collapsed="false">
      <c r="A7358" s="41"/>
      <c r="G7358" s="38" t="n">
        <f aca="false">MONTH(A7358)</f>
        <v>12</v>
      </c>
      <c r="H7358" s="38" t="n">
        <f aca="false">YEAR(Tabela1[[#This Row],[FECHA]])</f>
        <v>1900</v>
      </c>
      <c r="I73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59" customFormat="false" ht="15" hidden="false" customHeight="false" outlineLevel="0" collapsed="false">
      <c r="A7359" s="41"/>
      <c r="G7359" s="38" t="n">
        <f aca="false">MONTH(A7359)</f>
        <v>12</v>
      </c>
      <c r="H7359" s="38" t="n">
        <f aca="false">YEAR(Tabela1[[#This Row],[FECHA]])</f>
        <v>1900</v>
      </c>
      <c r="I73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60" customFormat="false" ht="15" hidden="false" customHeight="false" outlineLevel="0" collapsed="false">
      <c r="A7360" s="41"/>
      <c r="G7360" s="38" t="n">
        <f aca="false">MONTH(A7360)</f>
        <v>12</v>
      </c>
      <c r="H7360" s="38" t="n">
        <f aca="false">YEAR(Tabela1[[#This Row],[FECHA]])</f>
        <v>1900</v>
      </c>
      <c r="I73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61" customFormat="false" ht="15" hidden="false" customHeight="false" outlineLevel="0" collapsed="false">
      <c r="A7361" s="41"/>
      <c r="G7361" s="38" t="n">
        <f aca="false">MONTH(A7361)</f>
        <v>12</v>
      </c>
      <c r="H7361" s="38" t="n">
        <f aca="false">YEAR(Tabela1[[#This Row],[FECHA]])</f>
        <v>1900</v>
      </c>
      <c r="I73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62" customFormat="false" ht="15" hidden="false" customHeight="false" outlineLevel="0" collapsed="false">
      <c r="A7362" s="41"/>
      <c r="G7362" s="38" t="n">
        <f aca="false">MONTH(A7362)</f>
        <v>12</v>
      </c>
      <c r="H7362" s="38" t="n">
        <f aca="false">YEAR(Tabela1[[#This Row],[FECHA]])</f>
        <v>1900</v>
      </c>
      <c r="I73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63" customFormat="false" ht="15" hidden="false" customHeight="false" outlineLevel="0" collapsed="false">
      <c r="A7363" s="41"/>
      <c r="G7363" s="38" t="n">
        <f aca="false">MONTH(A7363)</f>
        <v>12</v>
      </c>
      <c r="H7363" s="38" t="n">
        <f aca="false">YEAR(Tabela1[[#This Row],[FECHA]])</f>
        <v>1900</v>
      </c>
      <c r="I73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64" customFormat="false" ht="15" hidden="false" customHeight="false" outlineLevel="0" collapsed="false">
      <c r="A7364" s="41"/>
      <c r="G7364" s="38" t="n">
        <f aca="false">MONTH(A7364)</f>
        <v>12</v>
      </c>
      <c r="H7364" s="38" t="n">
        <f aca="false">YEAR(Tabela1[[#This Row],[FECHA]])</f>
        <v>1900</v>
      </c>
      <c r="I73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65" customFormat="false" ht="15" hidden="false" customHeight="false" outlineLevel="0" collapsed="false">
      <c r="A7365" s="41"/>
      <c r="G7365" s="38" t="n">
        <f aca="false">MONTH(A7365)</f>
        <v>12</v>
      </c>
      <c r="H7365" s="38" t="n">
        <f aca="false">YEAR(Tabela1[[#This Row],[FECHA]])</f>
        <v>1900</v>
      </c>
      <c r="I73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66" customFormat="false" ht="15" hidden="false" customHeight="false" outlineLevel="0" collapsed="false">
      <c r="A7366" s="41"/>
      <c r="G7366" s="38" t="n">
        <f aca="false">MONTH(A7366)</f>
        <v>12</v>
      </c>
      <c r="H7366" s="38" t="n">
        <f aca="false">YEAR(Tabela1[[#This Row],[FECHA]])</f>
        <v>1900</v>
      </c>
      <c r="I73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67" customFormat="false" ht="15" hidden="false" customHeight="false" outlineLevel="0" collapsed="false">
      <c r="A7367" s="41"/>
      <c r="G7367" s="38" t="n">
        <f aca="false">MONTH(A7367)</f>
        <v>12</v>
      </c>
      <c r="H7367" s="38" t="n">
        <f aca="false">YEAR(Tabela1[[#This Row],[FECHA]])</f>
        <v>1900</v>
      </c>
      <c r="I73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68" customFormat="false" ht="15" hidden="false" customHeight="false" outlineLevel="0" collapsed="false">
      <c r="A7368" s="41"/>
      <c r="G7368" s="38" t="n">
        <f aca="false">MONTH(A7368)</f>
        <v>12</v>
      </c>
      <c r="H7368" s="38" t="n">
        <f aca="false">YEAR(Tabela1[[#This Row],[FECHA]])</f>
        <v>1900</v>
      </c>
      <c r="I73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69" customFormat="false" ht="15" hidden="false" customHeight="false" outlineLevel="0" collapsed="false">
      <c r="A7369" s="41"/>
      <c r="G7369" s="38" t="n">
        <f aca="false">MONTH(A7369)</f>
        <v>12</v>
      </c>
      <c r="H7369" s="38" t="n">
        <f aca="false">YEAR(Tabela1[[#This Row],[FECHA]])</f>
        <v>1900</v>
      </c>
      <c r="I73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70" customFormat="false" ht="15" hidden="false" customHeight="false" outlineLevel="0" collapsed="false">
      <c r="A7370" s="41"/>
      <c r="G7370" s="38" t="n">
        <f aca="false">MONTH(A7370)</f>
        <v>12</v>
      </c>
      <c r="H7370" s="38" t="n">
        <f aca="false">YEAR(Tabela1[[#This Row],[FECHA]])</f>
        <v>1900</v>
      </c>
      <c r="I73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71" customFormat="false" ht="15" hidden="false" customHeight="false" outlineLevel="0" collapsed="false">
      <c r="A7371" s="41"/>
      <c r="G7371" s="38" t="n">
        <f aca="false">MONTH(A7371)</f>
        <v>12</v>
      </c>
      <c r="H7371" s="38" t="n">
        <f aca="false">YEAR(Tabela1[[#This Row],[FECHA]])</f>
        <v>1900</v>
      </c>
      <c r="I73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72" customFormat="false" ht="15" hidden="false" customHeight="false" outlineLevel="0" collapsed="false">
      <c r="A7372" s="41"/>
      <c r="G7372" s="38" t="n">
        <f aca="false">MONTH(A7372)</f>
        <v>12</v>
      </c>
      <c r="H7372" s="38" t="n">
        <f aca="false">YEAR(Tabela1[[#This Row],[FECHA]])</f>
        <v>1900</v>
      </c>
      <c r="I73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73" customFormat="false" ht="15" hidden="false" customHeight="false" outlineLevel="0" collapsed="false">
      <c r="A7373" s="41"/>
      <c r="G7373" s="38" t="n">
        <f aca="false">MONTH(A7373)</f>
        <v>12</v>
      </c>
      <c r="H7373" s="38" t="n">
        <f aca="false">YEAR(Tabela1[[#This Row],[FECHA]])</f>
        <v>1900</v>
      </c>
      <c r="I73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74" customFormat="false" ht="15" hidden="false" customHeight="false" outlineLevel="0" collapsed="false">
      <c r="A7374" s="41"/>
      <c r="G7374" s="38" t="n">
        <f aca="false">MONTH(A7374)</f>
        <v>12</v>
      </c>
      <c r="H7374" s="38" t="n">
        <f aca="false">YEAR(Tabela1[[#This Row],[FECHA]])</f>
        <v>1900</v>
      </c>
      <c r="I73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75" customFormat="false" ht="15" hidden="false" customHeight="false" outlineLevel="0" collapsed="false">
      <c r="A7375" s="41"/>
      <c r="G7375" s="38" t="n">
        <f aca="false">MONTH(A7375)</f>
        <v>12</v>
      </c>
      <c r="H7375" s="38" t="n">
        <f aca="false">YEAR(Tabela1[[#This Row],[FECHA]])</f>
        <v>1900</v>
      </c>
      <c r="I73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76" customFormat="false" ht="15" hidden="false" customHeight="false" outlineLevel="0" collapsed="false">
      <c r="A7376" s="41"/>
      <c r="G7376" s="38" t="n">
        <f aca="false">MONTH(A7376)</f>
        <v>12</v>
      </c>
      <c r="H7376" s="38" t="n">
        <f aca="false">YEAR(Tabela1[[#This Row],[FECHA]])</f>
        <v>1900</v>
      </c>
      <c r="I73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77" customFormat="false" ht="15" hidden="false" customHeight="false" outlineLevel="0" collapsed="false">
      <c r="A7377" s="41"/>
      <c r="G7377" s="38" t="n">
        <f aca="false">MONTH(A7377)</f>
        <v>12</v>
      </c>
      <c r="H7377" s="38" t="n">
        <f aca="false">YEAR(Tabela1[[#This Row],[FECHA]])</f>
        <v>1900</v>
      </c>
      <c r="I73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78" customFormat="false" ht="15" hidden="false" customHeight="false" outlineLevel="0" collapsed="false">
      <c r="A7378" s="41"/>
      <c r="G7378" s="38" t="n">
        <f aca="false">MONTH(A7378)</f>
        <v>12</v>
      </c>
      <c r="H7378" s="38" t="n">
        <f aca="false">YEAR(Tabela1[[#This Row],[FECHA]])</f>
        <v>1900</v>
      </c>
      <c r="I73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79" customFormat="false" ht="15" hidden="false" customHeight="false" outlineLevel="0" collapsed="false">
      <c r="A7379" s="41"/>
      <c r="G7379" s="38" t="n">
        <f aca="false">MONTH(A7379)</f>
        <v>12</v>
      </c>
      <c r="H7379" s="38" t="n">
        <f aca="false">YEAR(Tabela1[[#This Row],[FECHA]])</f>
        <v>1900</v>
      </c>
      <c r="I73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80" customFormat="false" ht="15" hidden="false" customHeight="false" outlineLevel="0" collapsed="false">
      <c r="A7380" s="41"/>
      <c r="G7380" s="38" t="n">
        <f aca="false">MONTH(A7380)</f>
        <v>12</v>
      </c>
      <c r="H7380" s="38" t="n">
        <f aca="false">YEAR(Tabela1[[#This Row],[FECHA]])</f>
        <v>1900</v>
      </c>
      <c r="I73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81" customFormat="false" ht="15" hidden="false" customHeight="false" outlineLevel="0" collapsed="false">
      <c r="A7381" s="41"/>
      <c r="G7381" s="38" t="n">
        <f aca="false">MONTH(A7381)</f>
        <v>12</v>
      </c>
      <c r="H7381" s="38" t="n">
        <f aca="false">YEAR(Tabela1[[#This Row],[FECHA]])</f>
        <v>1900</v>
      </c>
      <c r="I73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82" customFormat="false" ht="15" hidden="false" customHeight="false" outlineLevel="0" collapsed="false">
      <c r="A7382" s="41"/>
      <c r="G7382" s="38" t="n">
        <f aca="false">MONTH(A7382)</f>
        <v>12</v>
      </c>
      <c r="H7382" s="38" t="n">
        <f aca="false">YEAR(Tabela1[[#This Row],[FECHA]])</f>
        <v>1900</v>
      </c>
      <c r="I73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83" customFormat="false" ht="15" hidden="false" customHeight="false" outlineLevel="0" collapsed="false">
      <c r="A7383" s="41"/>
      <c r="G7383" s="38" t="n">
        <f aca="false">MONTH(A7383)</f>
        <v>12</v>
      </c>
      <c r="H7383" s="38" t="n">
        <f aca="false">YEAR(Tabela1[[#This Row],[FECHA]])</f>
        <v>1900</v>
      </c>
      <c r="I73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84" customFormat="false" ht="15" hidden="false" customHeight="false" outlineLevel="0" collapsed="false">
      <c r="A7384" s="41"/>
      <c r="G7384" s="38" t="n">
        <f aca="false">MONTH(A7384)</f>
        <v>12</v>
      </c>
      <c r="H7384" s="38" t="n">
        <f aca="false">YEAR(Tabela1[[#This Row],[FECHA]])</f>
        <v>1900</v>
      </c>
      <c r="I73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85" customFormat="false" ht="15" hidden="false" customHeight="false" outlineLevel="0" collapsed="false">
      <c r="A7385" s="41"/>
      <c r="G7385" s="38" t="n">
        <f aca="false">MONTH(A7385)</f>
        <v>12</v>
      </c>
      <c r="H7385" s="38" t="n">
        <f aca="false">YEAR(Tabela1[[#This Row],[FECHA]])</f>
        <v>1900</v>
      </c>
      <c r="I73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86" customFormat="false" ht="15" hidden="false" customHeight="false" outlineLevel="0" collapsed="false">
      <c r="A7386" s="41"/>
      <c r="G7386" s="38" t="n">
        <f aca="false">MONTH(A7386)</f>
        <v>12</v>
      </c>
      <c r="H7386" s="38" t="n">
        <f aca="false">YEAR(Tabela1[[#This Row],[FECHA]])</f>
        <v>1900</v>
      </c>
      <c r="I73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87" customFormat="false" ht="15" hidden="false" customHeight="false" outlineLevel="0" collapsed="false">
      <c r="A7387" s="41"/>
      <c r="G7387" s="38" t="n">
        <f aca="false">MONTH(A7387)</f>
        <v>12</v>
      </c>
      <c r="H7387" s="38" t="n">
        <f aca="false">YEAR(Tabela1[[#This Row],[FECHA]])</f>
        <v>1900</v>
      </c>
      <c r="I73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88" customFormat="false" ht="15" hidden="false" customHeight="false" outlineLevel="0" collapsed="false">
      <c r="A7388" s="41"/>
      <c r="G7388" s="38" t="n">
        <f aca="false">MONTH(A7388)</f>
        <v>12</v>
      </c>
      <c r="H7388" s="38" t="n">
        <f aca="false">YEAR(Tabela1[[#This Row],[FECHA]])</f>
        <v>1900</v>
      </c>
      <c r="I73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89" customFormat="false" ht="15" hidden="false" customHeight="false" outlineLevel="0" collapsed="false">
      <c r="A7389" s="41"/>
      <c r="G7389" s="38" t="n">
        <f aca="false">MONTH(A7389)</f>
        <v>12</v>
      </c>
      <c r="H7389" s="38" t="n">
        <f aca="false">YEAR(Tabela1[[#This Row],[FECHA]])</f>
        <v>1900</v>
      </c>
      <c r="I73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90" customFormat="false" ht="15" hidden="false" customHeight="false" outlineLevel="0" collapsed="false">
      <c r="A7390" s="41"/>
      <c r="G7390" s="38" t="n">
        <f aca="false">MONTH(A7390)</f>
        <v>12</v>
      </c>
      <c r="H7390" s="38" t="n">
        <f aca="false">YEAR(Tabela1[[#This Row],[FECHA]])</f>
        <v>1900</v>
      </c>
      <c r="I73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91" customFormat="false" ht="15" hidden="false" customHeight="false" outlineLevel="0" collapsed="false">
      <c r="A7391" s="41"/>
      <c r="G7391" s="38" t="n">
        <f aca="false">MONTH(A7391)</f>
        <v>12</v>
      </c>
      <c r="H7391" s="38" t="n">
        <f aca="false">YEAR(Tabela1[[#This Row],[FECHA]])</f>
        <v>1900</v>
      </c>
      <c r="I73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92" customFormat="false" ht="15" hidden="false" customHeight="false" outlineLevel="0" collapsed="false">
      <c r="A7392" s="41"/>
      <c r="G7392" s="38" t="n">
        <f aca="false">MONTH(A7392)</f>
        <v>12</v>
      </c>
      <c r="H7392" s="38" t="n">
        <f aca="false">YEAR(Tabela1[[#This Row],[FECHA]])</f>
        <v>1900</v>
      </c>
      <c r="I73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93" customFormat="false" ht="15" hidden="false" customHeight="false" outlineLevel="0" collapsed="false">
      <c r="A7393" s="41"/>
      <c r="G7393" s="38" t="n">
        <f aca="false">MONTH(A7393)</f>
        <v>12</v>
      </c>
      <c r="H7393" s="38" t="n">
        <f aca="false">YEAR(Tabela1[[#This Row],[FECHA]])</f>
        <v>1900</v>
      </c>
      <c r="I73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94" customFormat="false" ht="15" hidden="false" customHeight="false" outlineLevel="0" collapsed="false">
      <c r="A7394" s="41"/>
      <c r="G7394" s="38" t="n">
        <f aca="false">MONTH(A7394)</f>
        <v>12</v>
      </c>
      <c r="H7394" s="38" t="n">
        <f aca="false">YEAR(Tabela1[[#This Row],[FECHA]])</f>
        <v>1900</v>
      </c>
      <c r="I73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95" customFormat="false" ht="15" hidden="false" customHeight="false" outlineLevel="0" collapsed="false">
      <c r="A7395" s="41"/>
      <c r="G7395" s="38" t="n">
        <f aca="false">MONTH(A7395)</f>
        <v>12</v>
      </c>
      <c r="H7395" s="38" t="n">
        <f aca="false">YEAR(Tabela1[[#This Row],[FECHA]])</f>
        <v>1900</v>
      </c>
      <c r="I73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96" customFormat="false" ht="15" hidden="false" customHeight="false" outlineLevel="0" collapsed="false">
      <c r="A7396" s="41"/>
      <c r="G7396" s="38" t="n">
        <f aca="false">MONTH(A7396)</f>
        <v>12</v>
      </c>
      <c r="H7396" s="38" t="n">
        <f aca="false">YEAR(Tabela1[[#This Row],[FECHA]])</f>
        <v>1900</v>
      </c>
      <c r="I73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97" customFormat="false" ht="15" hidden="false" customHeight="false" outlineLevel="0" collapsed="false">
      <c r="A7397" s="41"/>
      <c r="G7397" s="38" t="n">
        <f aca="false">MONTH(A7397)</f>
        <v>12</v>
      </c>
      <c r="H7397" s="38" t="n">
        <f aca="false">YEAR(Tabela1[[#This Row],[FECHA]])</f>
        <v>1900</v>
      </c>
      <c r="I73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98" customFormat="false" ht="15" hidden="false" customHeight="false" outlineLevel="0" collapsed="false">
      <c r="A7398" s="41"/>
      <c r="G7398" s="38" t="n">
        <f aca="false">MONTH(A7398)</f>
        <v>12</v>
      </c>
      <c r="H7398" s="38" t="n">
        <f aca="false">YEAR(Tabela1[[#This Row],[FECHA]])</f>
        <v>1900</v>
      </c>
      <c r="I73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399" customFormat="false" ht="15" hidden="false" customHeight="false" outlineLevel="0" collapsed="false">
      <c r="A7399" s="41"/>
      <c r="G7399" s="38" t="n">
        <f aca="false">MONTH(A7399)</f>
        <v>12</v>
      </c>
      <c r="H7399" s="38" t="n">
        <f aca="false">YEAR(Tabela1[[#This Row],[FECHA]])</f>
        <v>1900</v>
      </c>
      <c r="I73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00" customFormat="false" ht="15" hidden="false" customHeight="false" outlineLevel="0" collapsed="false">
      <c r="A7400" s="41"/>
      <c r="G7400" s="38" t="n">
        <f aca="false">MONTH(A7400)</f>
        <v>12</v>
      </c>
      <c r="H7400" s="38" t="n">
        <f aca="false">YEAR(Tabela1[[#This Row],[FECHA]])</f>
        <v>1900</v>
      </c>
      <c r="I74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01" customFormat="false" ht="15" hidden="false" customHeight="false" outlineLevel="0" collapsed="false">
      <c r="A7401" s="41"/>
      <c r="G7401" s="38" t="n">
        <f aca="false">MONTH(A7401)</f>
        <v>12</v>
      </c>
      <c r="H7401" s="38" t="n">
        <f aca="false">YEAR(Tabela1[[#This Row],[FECHA]])</f>
        <v>1900</v>
      </c>
      <c r="I74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02" customFormat="false" ht="15" hidden="false" customHeight="false" outlineLevel="0" collapsed="false">
      <c r="A7402" s="41"/>
      <c r="G7402" s="38" t="n">
        <f aca="false">MONTH(A7402)</f>
        <v>12</v>
      </c>
      <c r="H7402" s="38" t="n">
        <f aca="false">YEAR(Tabela1[[#This Row],[FECHA]])</f>
        <v>1900</v>
      </c>
      <c r="I74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03" customFormat="false" ht="15" hidden="false" customHeight="false" outlineLevel="0" collapsed="false">
      <c r="A7403" s="41"/>
      <c r="G7403" s="38" t="n">
        <f aca="false">MONTH(A7403)</f>
        <v>12</v>
      </c>
      <c r="H7403" s="38" t="n">
        <f aca="false">YEAR(Tabela1[[#This Row],[FECHA]])</f>
        <v>1900</v>
      </c>
      <c r="I74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04" customFormat="false" ht="15" hidden="false" customHeight="false" outlineLevel="0" collapsed="false">
      <c r="A7404" s="41"/>
      <c r="G7404" s="38" t="n">
        <f aca="false">MONTH(A7404)</f>
        <v>12</v>
      </c>
      <c r="H7404" s="38" t="n">
        <f aca="false">YEAR(Tabela1[[#This Row],[FECHA]])</f>
        <v>1900</v>
      </c>
      <c r="I74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05" customFormat="false" ht="15" hidden="false" customHeight="false" outlineLevel="0" collapsed="false">
      <c r="A7405" s="41"/>
      <c r="G7405" s="38" t="n">
        <f aca="false">MONTH(A7405)</f>
        <v>12</v>
      </c>
      <c r="H7405" s="38" t="n">
        <f aca="false">YEAR(Tabela1[[#This Row],[FECHA]])</f>
        <v>1900</v>
      </c>
      <c r="I74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06" customFormat="false" ht="15" hidden="false" customHeight="false" outlineLevel="0" collapsed="false">
      <c r="A7406" s="41"/>
      <c r="G7406" s="38" t="n">
        <f aca="false">MONTH(A7406)</f>
        <v>12</v>
      </c>
      <c r="H7406" s="38" t="n">
        <f aca="false">YEAR(Tabela1[[#This Row],[FECHA]])</f>
        <v>1900</v>
      </c>
      <c r="I74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07" customFormat="false" ht="15" hidden="false" customHeight="false" outlineLevel="0" collapsed="false">
      <c r="A7407" s="41"/>
      <c r="G7407" s="38" t="n">
        <f aca="false">MONTH(A7407)</f>
        <v>12</v>
      </c>
      <c r="H7407" s="38" t="n">
        <f aca="false">YEAR(Tabela1[[#This Row],[FECHA]])</f>
        <v>1900</v>
      </c>
      <c r="I74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08" customFormat="false" ht="15" hidden="false" customHeight="false" outlineLevel="0" collapsed="false">
      <c r="A7408" s="41"/>
      <c r="G7408" s="38" t="n">
        <f aca="false">MONTH(A7408)</f>
        <v>12</v>
      </c>
      <c r="H7408" s="38" t="n">
        <f aca="false">YEAR(Tabela1[[#This Row],[FECHA]])</f>
        <v>1900</v>
      </c>
      <c r="I74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09" customFormat="false" ht="15" hidden="false" customHeight="false" outlineLevel="0" collapsed="false">
      <c r="A7409" s="41"/>
      <c r="G7409" s="38" t="n">
        <f aca="false">MONTH(A7409)</f>
        <v>12</v>
      </c>
      <c r="H7409" s="38" t="n">
        <f aca="false">YEAR(Tabela1[[#This Row],[FECHA]])</f>
        <v>1900</v>
      </c>
      <c r="I74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10" customFormat="false" ht="15" hidden="false" customHeight="false" outlineLevel="0" collapsed="false">
      <c r="A7410" s="41"/>
      <c r="G7410" s="38" t="n">
        <f aca="false">MONTH(A7410)</f>
        <v>12</v>
      </c>
      <c r="H7410" s="38" t="n">
        <f aca="false">YEAR(Tabela1[[#This Row],[FECHA]])</f>
        <v>1900</v>
      </c>
      <c r="I74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11" customFormat="false" ht="15" hidden="false" customHeight="false" outlineLevel="0" collapsed="false">
      <c r="A7411" s="41"/>
      <c r="G7411" s="38" t="n">
        <f aca="false">MONTH(A7411)</f>
        <v>12</v>
      </c>
      <c r="H7411" s="38" t="n">
        <f aca="false">YEAR(Tabela1[[#This Row],[FECHA]])</f>
        <v>1900</v>
      </c>
      <c r="I74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12" customFormat="false" ht="15" hidden="false" customHeight="false" outlineLevel="0" collapsed="false">
      <c r="A7412" s="41"/>
      <c r="G7412" s="38" t="n">
        <f aca="false">MONTH(A7412)</f>
        <v>12</v>
      </c>
      <c r="H7412" s="38" t="n">
        <f aca="false">YEAR(Tabela1[[#This Row],[FECHA]])</f>
        <v>1900</v>
      </c>
      <c r="I74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13" customFormat="false" ht="15" hidden="false" customHeight="false" outlineLevel="0" collapsed="false">
      <c r="A7413" s="41"/>
      <c r="G7413" s="38" t="n">
        <f aca="false">MONTH(A7413)</f>
        <v>12</v>
      </c>
      <c r="H7413" s="38" t="n">
        <f aca="false">YEAR(Tabela1[[#This Row],[FECHA]])</f>
        <v>1900</v>
      </c>
      <c r="I74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14" customFormat="false" ht="15" hidden="false" customHeight="false" outlineLevel="0" collapsed="false">
      <c r="A7414" s="41"/>
      <c r="G7414" s="38" t="n">
        <f aca="false">MONTH(A7414)</f>
        <v>12</v>
      </c>
      <c r="H7414" s="38" t="n">
        <f aca="false">YEAR(Tabela1[[#This Row],[FECHA]])</f>
        <v>1900</v>
      </c>
      <c r="I74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15" customFormat="false" ht="15" hidden="false" customHeight="false" outlineLevel="0" collapsed="false">
      <c r="A7415" s="41"/>
      <c r="G7415" s="38" t="n">
        <f aca="false">MONTH(A7415)</f>
        <v>12</v>
      </c>
      <c r="H7415" s="38" t="n">
        <f aca="false">YEAR(Tabela1[[#This Row],[FECHA]])</f>
        <v>1900</v>
      </c>
      <c r="I74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16" customFormat="false" ht="15" hidden="false" customHeight="false" outlineLevel="0" collapsed="false">
      <c r="A7416" s="41"/>
      <c r="G7416" s="38" t="n">
        <f aca="false">MONTH(A7416)</f>
        <v>12</v>
      </c>
      <c r="H7416" s="38" t="n">
        <f aca="false">YEAR(Tabela1[[#This Row],[FECHA]])</f>
        <v>1900</v>
      </c>
      <c r="I74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17" customFormat="false" ht="15" hidden="false" customHeight="false" outlineLevel="0" collapsed="false">
      <c r="A7417" s="41"/>
      <c r="G7417" s="38" t="n">
        <f aca="false">MONTH(A7417)</f>
        <v>12</v>
      </c>
      <c r="H7417" s="38" t="n">
        <f aca="false">YEAR(Tabela1[[#This Row],[FECHA]])</f>
        <v>1900</v>
      </c>
      <c r="I74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18" customFormat="false" ht="15" hidden="false" customHeight="false" outlineLevel="0" collapsed="false">
      <c r="A7418" s="41"/>
      <c r="G7418" s="38" t="n">
        <f aca="false">MONTH(A7418)</f>
        <v>12</v>
      </c>
      <c r="H7418" s="38" t="n">
        <f aca="false">YEAR(Tabela1[[#This Row],[FECHA]])</f>
        <v>1900</v>
      </c>
      <c r="I74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19" customFormat="false" ht="15" hidden="false" customHeight="false" outlineLevel="0" collapsed="false">
      <c r="A7419" s="41"/>
      <c r="G7419" s="38" t="n">
        <f aca="false">MONTH(A7419)</f>
        <v>12</v>
      </c>
      <c r="H7419" s="38" t="n">
        <f aca="false">YEAR(Tabela1[[#This Row],[FECHA]])</f>
        <v>1900</v>
      </c>
      <c r="I74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20" customFormat="false" ht="15" hidden="false" customHeight="false" outlineLevel="0" collapsed="false">
      <c r="A7420" s="41"/>
      <c r="G7420" s="38" t="n">
        <f aca="false">MONTH(A7420)</f>
        <v>12</v>
      </c>
      <c r="H7420" s="38" t="n">
        <f aca="false">YEAR(Tabela1[[#This Row],[FECHA]])</f>
        <v>1900</v>
      </c>
      <c r="I74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21" customFormat="false" ht="15" hidden="false" customHeight="false" outlineLevel="0" collapsed="false">
      <c r="A7421" s="41"/>
      <c r="G7421" s="38" t="n">
        <f aca="false">MONTH(A7421)</f>
        <v>12</v>
      </c>
      <c r="H7421" s="38" t="n">
        <f aca="false">YEAR(Tabela1[[#This Row],[FECHA]])</f>
        <v>1900</v>
      </c>
      <c r="I74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22" customFormat="false" ht="15" hidden="false" customHeight="false" outlineLevel="0" collapsed="false">
      <c r="A7422" s="41"/>
      <c r="G7422" s="38" t="n">
        <f aca="false">MONTH(A7422)</f>
        <v>12</v>
      </c>
      <c r="H7422" s="38" t="n">
        <f aca="false">YEAR(Tabela1[[#This Row],[FECHA]])</f>
        <v>1900</v>
      </c>
      <c r="I74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23" customFormat="false" ht="15" hidden="false" customHeight="false" outlineLevel="0" collapsed="false">
      <c r="A7423" s="41"/>
      <c r="G7423" s="38" t="n">
        <f aca="false">MONTH(A7423)</f>
        <v>12</v>
      </c>
      <c r="H7423" s="38" t="n">
        <f aca="false">YEAR(Tabela1[[#This Row],[FECHA]])</f>
        <v>1900</v>
      </c>
      <c r="I74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24" customFormat="false" ht="15" hidden="false" customHeight="false" outlineLevel="0" collapsed="false">
      <c r="A7424" s="41"/>
      <c r="G7424" s="38" t="n">
        <f aca="false">MONTH(A7424)</f>
        <v>12</v>
      </c>
      <c r="H7424" s="38" t="n">
        <f aca="false">YEAR(Tabela1[[#This Row],[FECHA]])</f>
        <v>1900</v>
      </c>
      <c r="I74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25" customFormat="false" ht="15" hidden="false" customHeight="false" outlineLevel="0" collapsed="false">
      <c r="A7425" s="41"/>
      <c r="G7425" s="38" t="n">
        <f aca="false">MONTH(A7425)</f>
        <v>12</v>
      </c>
      <c r="H7425" s="38" t="n">
        <f aca="false">YEAR(Tabela1[[#This Row],[FECHA]])</f>
        <v>1900</v>
      </c>
      <c r="I74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26" customFormat="false" ht="15" hidden="false" customHeight="false" outlineLevel="0" collapsed="false">
      <c r="A7426" s="41"/>
      <c r="G7426" s="38" t="n">
        <f aca="false">MONTH(A7426)</f>
        <v>12</v>
      </c>
      <c r="H7426" s="38" t="n">
        <f aca="false">YEAR(Tabela1[[#This Row],[FECHA]])</f>
        <v>1900</v>
      </c>
      <c r="I74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27" customFormat="false" ht="15" hidden="false" customHeight="false" outlineLevel="0" collapsed="false">
      <c r="A7427" s="41"/>
      <c r="G7427" s="38" t="n">
        <f aca="false">MONTH(A7427)</f>
        <v>12</v>
      </c>
      <c r="H7427" s="38" t="n">
        <f aca="false">YEAR(Tabela1[[#This Row],[FECHA]])</f>
        <v>1900</v>
      </c>
      <c r="I74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28" customFormat="false" ht="15" hidden="false" customHeight="false" outlineLevel="0" collapsed="false">
      <c r="A7428" s="41"/>
      <c r="G7428" s="38" t="n">
        <f aca="false">MONTH(A7428)</f>
        <v>12</v>
      </c>
      <c r="H7428" s="38" t="n">
        <f aca="false">YEAR(Tabela1[[#This Row],[FECHA]])</f>
        <v>1900</v>
      </c>
      <c r="I74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29" customFormat="false" ht="15" hidden="false" customHeight="false" outlineLevel="0" collapsed="false">
      <c r="A7429" s="41"/>
      <c r="G7429" s="38" t="n">
        <f aca="false">MONTH(A7429)</f>
        <v>12</v>
      </c>
      <c r="H7429" s="38" t="n">
        <f aca="false">YEAR(Tabela1[[#This Row],[FECHA]])</f>
        <v>1900</v>
      </c>
      <c r="I74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30" customFormat="false" ht="15" hidden="false" customHeight="false" outlineLevel="0" collapsed="false">
      <c r="A7430" s="41"/>
      <c r="G7430" s="38" t="n">
        <f aca="false">MONTH(A7430)</f>
        <v>12</v>
      </c>
      <c r="H7430" s="38" t="n">
        <f aca="false">YEAR(Tabela1[[#This Row],[FECHA]])</f>
        <v>1900</v>
      </c>
      <c r="I74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31" customFormat="false" ht="15" hidden="false" customHeight="false" outlineLevel="0" collapsed="false">
      <c r="A7431" s="41"/>
      <c r="G7431" s="38" t="n">
        <f aca="false">MONTH(A7431)</f>
        <v>12</v>
      </c>
      <c r="H7431" s="38" t="n">
        <f aca="false">YEAR(Tabela1[[#This Row],[FECHA]])</f>
        <v>1900</v>
      </c>
      <c r="I74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32" customFormat="false" ht="15" hidden="false" customHeight="false" outlineLevel="0" collapsed="false">
      <c r="A7432" s="41"/>
      <c r="G7432" s="38" t="n">
        <f aca="false">MONTH(A7432)</f>
        <v>12</v>
      </c>
      <c r="H7432" s="38" t="n">
        <f aca="false">YEAR(Tabela1[[#This Row],[FECHA]])</f>
        <v>1900</v>
      </c>
      <c r="I74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33" customFormat="false" ht="15" hidden="false" customHeight="false" outlineLevel="0" collapsed="false">
      <c r="A7433" s="41"/>
      <c r="G7433" s="38" t="n">
        <f aca="false">MONTH(A7433)</f>
        <v>12</v>
      </c>
      <c r="H7433" s="38" t="n">
        <f aca="false">YEAR(Tabela1[[#This Row],[FECHA]])</f>
        <v>1900</v>
      </c>
      <c r="I74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34" customFormat="false" ht="15" hidden="false" customHeight="false" outlineLevel="0" collapsed="false">
      <c r="A7434" s="41"/>
      <c r="G7434" s="38" t="n">
        <f aca="false">MONTH(A7434)</f>
        <v>12</v>
      </c>
      <c r="H7434" s="38" t="n">
        <f aca="false">YEAR(Tabela1[[#This Row],[FECHA]])</f>
        <v>1900</v>
      </c>
      <c r="I74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35" customFormat="false" ht="15" hidden="false" customHeight="false" outlineLevel="0" collapsed="false">
      <c r="A7435" s="41"/>
      <c r="G7435" s="38" t="n">
        <f aca="false">MONTH(A7435)</f>
        <v>12</v>
      </c>
      <c r="H7435" s="38" t="n">
        <f aca="false">YEAR(Tabela1[[#This Row],[FECHA]])</f>
        <v>1900</v>
      </c>
      <c r="I74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36" customFormat="false" ht="15" hidden="false" customHeight="false" outlineLevel="0" collapsed="false">
      <c r="A7436" s="41"/>
      <c r="G7436" s="38" t="n">
        <f aca="false">MONTH(A7436)</f>
        <v>12</v>
      </c>
      <c r="H7436" s="38" t="n">
        <f aca="false">YEAR(Tabela1[[#This Row],[FECHA]])</f>
        <v>1900</v>
      </c>
      <c r="I74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37" customFormat="false" ht="15" hidden="false" customHeight="false" outlineLevel="0" collapsed="false">
      <c r="A7437" s="41"/>
      <c r="G7437" s="38" t="n">
        <f aca="false">MONTH(A7437)</f>
        <v>12</v>
      </c>
      <c r="H7437" s="38" t="n">
        <f aca="false">YEAR(Tabela1[[#This Row],[FECHA]])</f>
        <v>1900</v>
      </c>
      <c r="I74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38" customFormat="false" ht="15" hidden="false" customHeight="false" outlineLevel="0" collapsed="false">
      <c r="A7438" s="41"/>
      <c r="G7438" s="38" t="n">
        <f aca="false">MONTH(A7438)</f>
        <v>12</v>
      </c>
      <c r="H7438" s="38" t="n">
        <f aca="false">YEAR(Tabela1[[#This Row],[FECHA]])</f>
        <v>1900</v>
      </c>
      <c r="I74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39" customFormat="false" ht="15" hidden="false" customHeight="false" outlineLevel="0" collapsed="false">
      <c r="A7439" s="41"/>
      <c r="G7439" s="38" t="n">
        <f aca="false">MONTH(A7439)</f>
        <v>12</v>
      </c>
      <c r="H7439" s="38" t="n">
        <f aca="false">YEAR(Tabela1[[#This Row],[FECHA]])</f>
        <v>1900</v>
      </c>
      <c r="I74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40" customFormat="false" ht="15" hidden="false" customHeight="false" outlineLevel="0" collapsed="false">
      <c r="A7440" s="41"/>
      <c r="G7440" s="38" t="n">
        <f aca="false">MONTH(A7440)</f>
        <v>12</v>
      </c>
      <c r="H7440" s="38" t="n">
        <f aca="false">YEAR(Tabela1[[#This Row],[FECHA]])</f>
        <v>1900</v>
      </c>
      <c r="I74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41" customFormat="false" ht="15" hidden="false" customHeight="false" outlineLevel="0" collapsed="false">
      <c r="A7441" s="41"/>
      <c r="G7441" s="38" t="n">
        <f aca="false">MONTH(A7441)</f>
        <v>12</v>
      </c>
      <c r="H7441" s="38" t="n">
        <f aca="false">YEAR(Tabela1[[#This Row],[FECHA]])</f>
        <v>1900</v>
      </c>
      <c r="I74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42" customFormat="false" ht="15" hidden="false" customHeight="false" outlineLevel="0" collapsed="false">
      <c r="A7442" s="41"/>
      <c r="G7442" s="38" t="n">
        <f aca="false">MONTH(A7442)</f>
        <v>12</v>
      </c>
      <c r="H7442" s="38" t="n">
        <f aca="false">YEAR(Tabela1[[#This Row],[FECHA]])</f>
        <v>1900</v>
      </c>
      <c r="I74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43" customFormat="false" ht="15" hidden="false" customHeight="false" outlineLevel="0" collapsed="false">
      <c r="A7443" s="41"/>
      <c r="G7443" s="38" t="n">
        <f aca="false">MONTH(A7443)</f>
        <v>12</v>
      </c>
      <c r="H7443" s="38" t="n">
        <f aca="false">YEAR(Tabela1[[#This Row],[FECHA]])</f>
        <v>1900</v>
      </c>
      <c r="I74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44" customFormat="false" ht="15" hidden="false" customHeight="false" outlineLevel="0" collapsed="false">
      <c r="A7444" s="41"/>
      <c r="G7444" s="38" t="n">
        <f aca="false">MONTH(A7444)</f>
        <v>12</v>
      </c>
      <c r="H7444" s="38" t="n">
        <f aca="false">YEAR(Tabela1[[#This Row],[FECHA]])</f>
        <v>1900</v>
      </c>
      <c r="I74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45" customFormat="false" ht="15" hidden="false" customHeight="false" outlineLevel="0" collapsed="false">
      <c r="A7445" s="41"/>
      <c r="G7445" s="38" t="n">
        <f aca="false">MONTH(A7445)</f>
        <v>12</v>
      </c>
      <c r="H7445" s="38" t="n">
        <f aca="false">YEAR(Tabela1[[#This Row],[FECHA]])</f>
        <v>1900</v>
      </c>
      <c r="I74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46" customFormat="false" ht="15" hidden="false" customHeight="false" outlineLevel="0" collapsed="false">
      <c r="A7446" s="41"/>
      <c r="G7446" s="38" t="n">
        <f aca="false">MONTH(A7446)</f>
        <v>12</v>
      </c>
      <c r="H7446" s="38" t="n">
        <f aca="false">YEAR(Tabela1[[#This Row],[FECHA]])</f>
        <v>1900</v>
      </c>
      <c r="I74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47" customFormat="false" ht="15" hidden="false" customHeight="false" outlineLevel="0" collapsed="false">
      <c r="A7447" s="41"/>
      <c r="G7447" s="38" t="n">
        <f aca="false">MONTH(A7447)</f>
        <v>12</v>
      </c>
      <c r="H7447" s="38" t="n">
        <f aca="false">YEAR(Tabela1[[#This Row],[FECHA]])</f>
        <v>1900</v>
      </c>
      <c r="I74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48" customFormat="false" ht="15" hidden="false" customHeight="false" outlineLevel="0" collapsed="false">
      <c r="A7448" s="41"/>
      <c r="G7448" s="38" t="n">
        <f aca="false">MONTH(A7448)</f>
        <v>12</v>
      </c>
      <c r="H7448" s="38" t="n">
        <f aca="false">YEAR(Tabela1[[#This Row],[FECHA]])</f>
        <v>1900</v>
      </c>
      <c r="I74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49" customFormat="false" ht="15" hidden="false" customHeight="false" outlineLevel="0" collapsed="false">
      <c r="A7449" s="41"/>
      <c r="G7449" s="38" t="n">
        <f aca="false">MONTH(A7449)</f>
        <v>12</v>
      </c>
      <c r="H7449" s="38" t="n">
        <f aca="false">YEAR(Tabela1[[#This Row],[FECHA]])</f>
        <v>1900</v>
      </c>
      <c r="I74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50" customFormat="false" ht="15" hidden="false" customHeight="false" outlineLevel="0" collapsed="false">
      <c r="A7450" s="41"/>
      <c r="G7450" s="38" t="n">
        <f aca="false">MONTH(A7450)</f>
        <v>12</v>
      </c>
      <c r="H7450" s="38" t="n">
        <f aca="false">YEAR(Tabela1[[#This Row],[FECHA]])</f>
        <v>1900</v>
      </c>
      <c r="I74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51" customFormat="false" ht="15" hidden="false" customHeight="false" outlineLevel="0" collapsed="false">
      <c r="A7451" s="41"/>
      <c r="G7451" s="38" t="n">
        <f aca="false">MONTH(A7451)</f>
        <v>12</v>
      </c>
      <c r="H7451" s="38" t="n">
        <f aca="false">YEAR(Tabela1[[#This Row],[FECHA]])</f>
        <v>1900</v>
      </c>
      <c r="I74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52" customFormat="false" ht="15" hidden="false" customHeight="false" outlineLevel="0" collapsed="false">
      <c r="A7452" s="41"/>
      <c r="G7452" s="38" t="n">
        <f aca="false">MONTH(A7452)</f>
        <v>12</v>
      </c>
      <c r="H7452" s="38" t="n">
        <f aca="false">YEAR(Tabela1[[#This Row],[FECHA]])</f>
        <v>1900</v>
      </c>
      <c r="I74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53" customFormat="false" ht="15" hidden="false" customHeight="false" outlineLevel="0" collapsed="false">
      <c r="A7453" s="41"/>
      <c r="G7453" s="38" t="n">
        <f aca="false">MONTH(A7453)</f>
        <v>12</v>
      </c>
      <c r="H7453" s="38" t="n">
        <f aca="false">YEAR(Tabela1[[#This Row],[FECHA]])</f>
        <v>1900</v>
      </c>
      <c r="I74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54" customFormat="false" ht="15" hidden="false" customHeight="false" outlineLevel="0" collapsed="false">
      <c r="A7454" s="41"/>
      <c r="G7454" s="38" t="n">
        <f aca="false">MONTH(A7454)</f>
        <v>12</v>
      </c>
      <c r="H7454" s="38" t="n">
        <f aca="false">YEAR(Tabela1[[#This Row],[FECHA]])</f>
        <v>1900</v>
      </c>
      <c r="I74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55" customFormat="false" ht="15" hidden="false" customHeight="false" outlineLevel="0" collapsed="false">
      <c r="A7455" s="41"/>
      <c r="G7455" s="38" t="n">
        <f aca="false">MONTH(A7455)</f>
        <v>12</v>
      </c>
      <c r="H7455" s="38" t="n">
        <f aca="false">YEAR(Tabela1[[#This Row],[FECHA]])</f>
        <v>1900</v>
      </c>
      <c r="I74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56" customFormat="false" ht="15" hidden="false" customHeight="false" outlineLevel="0" collapsed="false">
      <c r="A7456" s="41"/>
      <c r="G7456" s="38" t="n">
        <f aca="false">MONTH(A7456)</f>
        <v>12</v>
      </c>
      <c r="H7456" s="38" t="n">
        <f aca="false">YEAR(Tabela1[[#This Row],[FECHA]])</f>
        <v>1900</v>
      </c>
      <c r="I74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57" customFormat="false" ht="15" hidden="false" customHeight="false" outlineLevel="0" collapsed="false">
      <c r="A7457" s="41"/>
      <c r="G7457" s="38" t="n">
        <f aca="false">MONTH(A7457)</f>
        <v>12</v>
      </c>
      <c r="H7457" s="38" t="n">
        <f aca="false">YEAR(Tabela1[[#This Row],[FECHA]])</f>
        <v>1900</v>
      </c>
      <c r="I74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58" customFormat="false" ht="15" hidden="false" customHeight="false" outlineLevel="0" collapsed="false">
      <c r="A7458" s="41"/>
      <c r="G7458" s="38" t="n">
        <f aca="false">MONTH(A7458)</f>
        <v>12</v>
      </c>
      <c r="H7458" s="38" t="n">
        <f aca="false">YEAR(Tabela1[[#This Row],[FECHA]])</f>
        <v>1900</v>
      </c>
      <c r="I74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59" customFormat="false" ht="15" hidden="false" customHeight="false" outlineLevel="0" collapsed="false">
      <c r="A7459" s="41"/>
      <c r="G7459" s="38" t="n">
        <f aca="false">MONTH(A7459)</f>
        <v>12</v>
      </c>
      <c r="H7459" s="38" t="n">
        <f aca="false">YEAR(Tabela1[[#This Row],[FECHA]])</f>
        <v>1900</v>
      </c>
      <c r="I74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60" customFormat="false" ht="15" hidden="false" customHeight="false" outlineLevel="0" collapsed="false">
      <c r="A7460" s="41"/>
      <c r="G7460" s="38" t="n">
        <f aca="false">MONTH(A7460)</f>
        <v>12</v>
      </c>
      <c r="H7460" s="38" t="n">
        <f aca="false">YEAR(Tabela1[[#This Row],[FECHA]])</f>
        <v>1900</v>
      </c>
      <c r="I74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61" customFormat="false" ht="15" hidden="false" customHeight="false" outlineLevel="0" collapsed="false">
      <c r="A7461" s="41"/>
      <c r="G7461" s="38" t="n">
        <f aca="false">MONTH(A7461)</f>
        <v>12</v>
      </c>
      <c r="H7461" s="38" t="n">
        <f aca="false">YEAR(Tabela1[[#This Row],[FECHA]])</f>
        <v>1900</v>
      </c>
      <c r="I74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62" customFormat="false" ht="15" hidden="false" customHeight="false" outlineLevel="0" collapsed="false">
      <c r="A7462" s="41"/>
      <c r="G7462" s="38" t="n">
        <f aca="false">MONTH(A7462)</f>
        <v>12</v>
      </c>
      <c r="H7462" s="38" t="n">
        <f aca="false">YEAR(Tabela1[[#This Row],[FECHA]])</f>
        <v>1900</v>
      </c>
      <c r="I74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63" customFormat="false" ht="15" hidden="false" customHeight="false" outlineLevel="0" collapsed="false">
      <c r="A7463" s="41"/>
      <c r="G7463" s="38" t="n">
        <f aca="false">MONTH(A7463)</f>
        <v>12</v>
      </c>
      <c r="H7463" s="38" t="n">
        <f aca="false">YEAR(Tabela1[[#This Row],[FECHA]])</f>
        <v>1900</v>
      </c>
      <c r="I74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64" customFormat="false" ht="15" hidden="false" customHeight="false" outlineLevel="0" collapsed="false">
      <c r="A7464" s="41"/>
      <c r="G7464" s="38" t="n">
        <f aca="false">MONTH(A7464)</f>
        <v>12</v>
      </c>
      <c r="H7464" s="38" t="n">
        <f aca="false">YEAR(Tabela1[[#This Row],[FECHA]])</f>
        <v>1900</v>
      </c>
      <c r="I74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65" customFormat="false" ht="15" hidden="false" customHeight="false" outlineLevel="0" collapsed="false">
      <c r="A7465" s="41"/>
      <c r="G7465" s="38" t="n">
        <f aca="false">MONTH(A7465)</f>
        <v>12</v>
      </c>
      <c r="H7465" s="38" t="n">
        <f aca="false">YEAR(Tabela1[[#This Row],[FECHA]])</f>
        <v>1900</v>
      </c>
      <c r="I74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66" customFormat="false" ht="15" hidden="false" customHeight="false" outlineLevel="0" collapsed="false">
      <c r="A7466" s="41"/>
      <c r="G7466" s="38" t="n">
        <f aca="false">MONTH(A7466)</f>
        <v>12</v>
      </c>
      <c r="H7466" s="38" t="n">
        <f aca="false">YEAR(Tabela1[[#This Row],[FECHA]])</f>
        <v>1900</v>
      </c>
      <c r="I74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67" customFormat="false" ht="15" hidden="false" customHeight="false" outlineLevel="0" collapsed="false">
      <c r="A7467" s="41"/>
      <c r="G7467" s="38" t="n">
        <f aca="false">MONTH(A7467)</f>
        <v>12</v>
      </c>
      <c r="H7467" s="38" t="n">
        <f aca="false">YEAR(Tabela1[[#This Row],[FECHA]])</f>
        <v>1900</v>
      </c>
      <c r="I74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68" customFormat="false" ht="15" hidden="false" customHeight="false" outlineLevel="0" collapsed="false">
      <c r="A7468" s="41"/>
      <c r="G7468" s="38" t="n">
        <f aca="false">MONTH(A7468)</f>
        <v>12</v>
      </c>
      <c r="H7468" s="38" t="n">
        <f aca="false">YEAR(Tabela1[[#This Row],[FECHA]])</f>
        <v>1900</v>
      </c>
      <c r="I74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69" customFormat="false" ht="15" hidden="false" customHeight="false" outlineLevel="0" collapsed="false">
      <c r="A7469" s="41"/>
      <c r="G7469" s="38" t="n">
        <f aca="false">MONTH(A7469)</f>
        <v>12</v>
      </c>
      <c r="H7469" s="38" t="n">
        <f aca="false">YEAR(Tabela1[[#This Row],[FECHA]])</f>
        <v>1900</v>
      </c>
      <c r="I74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70" customFormat="false" ht="15" hidden="false" customHeight="false" outlineLevel="0" collapsed="false">
      <c r="A7470" s="41"/>
      <c r="G7470" s="38" t="n">
        <f aca="false">MONTH(A7470)</f>
        <v>12</v>
      </c>
      <c r="H7470" s="38" t="n">
        <f aca="false">YEAR(Tabela1[[#This Row],[FECHA]])</f>
        <v>1900</v>
      </c>
      <c r="I74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71" customFormat="false" ht="15" hidden="false" customHeight="false" outlineLevel="0" collapsed="false">
      <c r="A7471" s="41"/>
      <c r="G7471" s="38" t="n">
        <f aca="false">MONTH(A7471)</f>
        <v>12</v>
      </c>
      <c r="H7471" s="38" t="n">
        <f aca="false">YEAR(Tabela1[[#This Row],[FECHA]])</f>
        <v>1900</v>
      </c>
      <c r="I74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72" customFormat="false" ht="15" hidden="false" customHeight="false" outlineLevel="0" collapsed="false">
      <c r="A7472" s="41"/>
      <c r="G7472" s="38" t="n">
        <f aca="false">MONTH(A7472)</f>
        <v>12</v>
      </c>
      <c r="H7472" s="38" t="n">
        <f aca="false">YEAR(Tabela1[[#This Row],[FECHA]])</f>
        <v>1900</v>
      </c>
      <c r="I74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73" customFormat="false" ht="15" hidden="false" customHeight="false" outlineLevel="0" collapsed="false">
      <c r="A7473" s="41"/>
      <c r="G7473" s="38" t="n">
        <f aca="false">MONTH(A7473)</f>
        <v>12</v>
      </c>
      <c r="H7473" s="38" t="n">
        <f aca="false">YEAR(Tabela1[[#This Row],[FECHA]])</f>
        <v>1900</v>
      </c>
      <c r="I74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74" customFormat="false" ht="15" hidden="false" customHeight="false" outlineLevel="0" collapsed="false">
      <c r="A7474" s="41"/>
      <c r="G7474" s="38" t="n">
        <f aca="false">MONTH(A7474)</f>
        <v>12</v>
      </c>
      <c r="H7474" s="38" t="n">
        <f aca="false">YEAR(Tabela1[[#This Row],[FECHA]])</f>
        <v>1900</v>
      </c>
      <c r="I74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75" customFormat="false" ht="15" hidden="false" customHeight="false" outlineLevel="0" collapsed="false">
      <c r="A7475" s="41"/>
      <c r="G7475" s="38" t="n">
        <f aca="false">MONTH(A7475)</f>
        <v>12</v>
      </c>
      <c r="H7475" s="38" t="n">
        <f aca="false">YEAR(Tabela1[[#This Row],[FECHA]])</f>
        <v>1900</v>
      </c>
      <c r="I74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76" customFormat="false" ht="15" hidden="false" customHeight="false" outlineLevel="0" collapsed="false">
      <c r="A7476" s="41"/>
      <c r="G7476" s="38" t="n">
        <f aca="false">MONTH(A7476)</f>
        <v>12</v>
      </c>
      <c r="H7476" s="38" t="n">
        <f aca="false">YEAR(Tabela1[[#This Row],[FECHA]])</f>
        <v>1900</v>
      </c>
      <c r="I74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77" customFormat="false" ht="15" hidden="false" customHeight="false" outlineLevel="0" collapsed="false">
      <c r="A7477" s="41"/>
      <c r="G7477" s="38" t="n">
        <f aca="false">MONTH(A7477)</f>
        <v>12</v>
      </c>
      <c r="H7477" s="38" t="n">
        <f aca="false">YEAR(Tabela1[[#This Row],[FECHA]])</f>
        <v>1900</v>
      </c>
      <c r="I74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78" customFormat="false" ht="15" hidden="false" customHeight="false" outlineLevel="0" collapsed="false">
      <c r="A7478" s="41"/>
      <c r="G7478" s="38" t="n">
        <f aca="false">MONTH(A7478)</f>
        <v>12</v>
      </c>
      <c r="H7478" s="38" t="n">
        <f aca="false">YEAR(Tabela1[[#This Row],[FECHA]])</f>
        <v>1900</v>
      </c>
      <c r="I74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79" customFormat="false" ht="15" hidden="false" customHeight="false" outlineLevel="0" collapsed="false">
      <c r="A7479" s="41"/>
      <c r="G7479" s="38" t="n">
        <f aca="false">MONTH(A7479)</f>
        <v>12</v>
      </c>
      <c r="H7479" s="38" t="n">
        <f aca="false">YEAR(Tabela1[[#This Row],[FECHA]])</f>
        <v>1900</v>
      </c>
      <c r="I74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80" customFormat="false" ht="15" hidden="false" customHeight="false" outlineLevel="0" collapsed="false">
      <c r="A7480" s="41"/>
      <c r="G7480" s="38" t="n">
        <f aca="false">MONTH(A7480)</f>
        <v>12</v>
      </c>
      <c r="H7480" s="38" t="n">
        <f aca="false">YEAR(Tabela1[[#This Row],[FECHA]])</f>
        <v>1900</v>
      </c>
      <c r="I74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81" customFormat="false" ht="15" hidden="false" customHeight="false" outlineLevel="0" collapsed="false">
      <c r="A7481" s="41"/>
      <c r="G7481" s="38" t="n">
        <f aca="false">MONTH(A7481)</f>
        <v>12</v>
      </c>
      <c r="H7481" s="38" t="n">
        <f aca="false">YEAR(Tabela1[[#This Row],[FECHA]])</f>
        <v>1900</v>
      </c>
      <c r="I74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82" customFormat="false" ht="15" hidden="false" customHeight="false" outlineLevel="0" collapsed="false">
      <c r="A7482" s="41"/>
      <c r="G7482" s="38" t="n">
        <f aca="false">MONTH(A7482)</f>
        <v>12</v>
      </c>
      <c r="H7482" s="38" t="n">
        <f aca="false">YEAR(Tabela1[[#This Row],[FECHA]])</f>
        <v>1900</v>
      </c>
      <c r="I74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83" customFormat="false" ht="15" hidden="false" customHeight="false" outlineLevel="0" collapsed="false">
      <c r="A7483" s="41"/>
      <c r="G7483" s="38" t="n">
        <f aca="false">MONTH(A7483)</f>
        <v>12</v>
      </c>
      <c r="H7483" s="38" t="n">
        <f aca="false">YEAR(Tabela1[[#This Row],[FECHA]])</f>
        <v>1900</v>
      </c>
      <c r="I74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84" customFormat="false" ht="15" hidden="false" customHeight="false" outlineLevel="0" collapsed="false">
      <c r="A7484" s="41"/>
      <c r="G7484" s="38" t="n">
        <f aca="false">MONTH(A7484)</f>
        <v>12</v>
      </c>
      <c r="H7484" s="38" t="n">
        <f aca="false">YEAR(Tabela1[[#This Row],[FECHA]])</f>
        <v>1900</v>
      </c>
      <c r="I74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85" customFormat="false" ht="15" hidden="false" customHeight="false" outlineLevel="0" collapsed="false">
      <c r="A7485" s="41"/>
      <c r="G7485" s="38" t="n">
        <f aca="false">MONTH(A7485)</f>
        <v>12</v>
      </c>
      <c r="H7485" s="38" t="n">
        <f aca="false">YEAR(Tabela1[[#This Row],[FECHA]])</f>
        <v>1900</v>
      </c>
      <c r="I74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86" customFormat="false" ht="15" hidden="false" customHeight="false" outlineLevel="0" collapsed="false">
      <c r="A7486" s="41"/>
      <c r="G7486" s="38" t="n">
        <f aca="false">MONTH(A7486)</f>
        <v>12</v>
      </c>
      <c r="H7486" s="38" t="n">
        <f aca="false">YEAR(Tabela1[[#This Row],[FECHA]])</f>
        <v>1900</v>
      </c>
      <c r="I74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87" customFormat="false" ht="15" hidden="false" customHeight="false" outlineLevel="0" collapsed="false">
      <c r="A7487" s="41"/>
      <c r="G7487" s="38" t="n">
        <f aca="false">MONTH(A7487)</f>
        <v>12</v>
      </c>
      <c r="H7487" s="38" t="n">
        <f aca="false">YEAR(Tabela1[[#This Row],[FECHA]])</f>
        <v>1900</v>
      </c>
      <c r="I74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88" customFormat="false" ht="15" hidden="false" customHeight="false" outlineLevel="0" collapsed="false">
      <c r="A7488" s="41"/>
      <c r="G7488" s="38" t="n">
        <f aca="false">MONTH(A7488)</f>
        <v>12</v>
      </c>
      <c r="H7488" s="38" t="n">
        <f aca="false">YEAR(Tabela1[[#This Row],[FECHA]])</f>
        <v>1900</v>
      </c>
      <c r="I74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89" customFormat="false" ht="15" hidden="false" customHeight="false" outlineLevel="0" collapsed="false">
      <c r="A7489" s="41"/>
      <c r="G7489" s="38" t="n">
        <f aca="false">MONTH(A7489)</f>
        <v>12</v>
      </c>
      <c r="H7489" s="38" t="n">
        <f aca="false">YEAR(Tabela1[[#This Row],[FECHA]])</f>
        <v>1900</v>
      </c>
      <c r="I74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90" customFormat="false" ht="15" hidden="false" customHeight="false" outlineLevel="0" collapsed="false">
      <c r="A7490" s="41"/>
      <c r="G7490" s="38" t="n">
        <f aca="false">MONTH(A7490)</f>
        <v>12</v>
      </c>
      <c r="H7490" s="38" t="n">
        <f aca="false">YEAR(Tabela1[[#This Row],[FECHA]])</f>
        <v>1900</v>
      </c>
      <c r="I74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91" customFormat="false" ht="15" hidden="false" customHeight="false" outlineLevel="0" collapsed="false">
      <c r="A7491" s="41"/>
      <c r="G7491" s="38" t="n">
        <f aca="false">MONTH(A7491)</f>
        <v>12</v>
      </c>
      <c r="H7491" s="38" t="n">
        <f aca="false">YEAR(Tabela1[[#This Row],[FECHA]])</f>
        <v>1900</v>
      </c>
      <c r="I74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92" customFormat="false" ht="15" hidden="false" customHeight="false" outlineLevel="0" collapsed="false">
      <c r="A7492" s="41"/>
      <c r="G7492" s="38" t="n">
        <f aca="false">MONTH(A7492)</f>
        <v>12</v>
      </c>
      <c r="H7492" s="38" t="n">
        <f aca="false">YEAR(Tabela1[[#This Row],[FECHA]])</f>
        <v>1900</v>
      </c>
      <c r="I74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93" customFormat="false" ht="15" hidden="false" customHeight="false" outlineLevel="0" collapsed="false">
      <c r="A7493" s="41"/>
      <c r="G7493" s="38" t="n">
        <f aca="false">MONTH(A7493)</f>
        <v>12</v>
      </c>
      <c r="H7493" s="38" t="n">
        <f aca="false">YEAR(Tabela1[[#This Row],[FECHA]])</f>
        <v>1900</v>
      </c>
      <c r="I74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94" customFormat="false" ht="15" hidden="false" customHeight="false" outlineLevel="0" collapsed="false">
      <c r="A7494" s="41"/>
      <c r="G7494" s="38" t="n">
        <f aca="false">MONTH(A7494)</f>
        <v>12</v>
      </c>
      <c r="H7494" s="38" t="n">
        <f aca="false">YEAR(Tabela1[[#This Row],[FECHA]])</f>
        <v>1900</v>
      </c>
      <c r="I74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95" customFormat="false" ht="15" hidden="false" customHeight="false" outlineLevel="0" collapsed="false">
      <c r="A7495" s="41"/>
      <c r="G7495" s="38" t="n">
        <f aca="false">MONTH(A7495)</f>
        <v>12</v>
      </c>
      <c r="H7495" s="38" t="n">
        <f aca="false">YEAR(Tabela1[[#This Row],[FECHA]])</f>
        <v>1900</v>
      </c>
      <c r="I74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96" customFormat="false" ht="15" hidden="false" customHeight="false" outlineLevel="0" collapsed="false">
      <c r="A7496" s="41"/>
      <c r="G7496" s="38" t="n">
        <f aca="false">MONTH(A7496)</f>
        <v>12</v>
      </c>
      <c r="H7496" s="38" t="n">
        <f aca="false">YEAR(Tabela1[[#This Row],[FECHA]])</f>
        <v>1900</v>
      </c>
      <c r="I74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97" customFormat="false" ht="15" hidden="false" customHeight="false" outlineLevel="0" collapsed="false">
      <c r="A7497" s="41"/>
      <c r="G7497" s="38" t="n">
        <f aca="false">MONTH(A7497)</f>
        <v>12</v>
      </c>
      <c r="H7497" s="38" t="n">
        <f aca="false">YEAR(Tabela1[[#This Row],[FECHA]])</f>
        <v>1900</v>
      </c>
      <c r="I74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98" customFormat="false" ht="15" hidden="false" customHeight="false" outlineLevel="0" collapsed="false">
      <c r="A7498" s="41"/>
      <c r="G7498" s="38" t="n">
        <f aca="false">MONTH(A7498)</f>
        <v>12</v>
      </c>
      <c r="H7498" s="38" t="n">
        <f aca="false">YEAR(Tabela1[[#This Row],[FECHA]])</f>
        <v>1900</v>
      </c>
      <c r="I74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499" customFormat="false" ht="15" hidden="false" customHeight="false" outlineLevel="0" collapsed="false">
      <c r="A7499" s="41"/>
      <c r="G7499" s="38" t="n">
        <f aca="false">MONTH(A7499)</f>
        <v>12</v>
      </c>
      <c r="H7499" s="38" t="n">
        <f aca="false">YEAR(Tabela1[[#This Row],[FECHA]])</f>
        <v>1900</v>
      </c>
      <c r="I74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00" customFormat="false" ht="15" hidden="false" customHeight="false" outlineLevel="0" collapsed="false">
      <c r="A7500" s="41"/>
      <c r="G7500" s="38" t="n">
        <f aca="false">MONTH(A7500)</f>
        <v>12</v>
      </c>
      <c r="H7500" s="38" t="n">
        <f aca="false">YEAR(Tabela1[[#This Row],[FECHA]])</f>
        <v>1900</v>
      </c>
      <c r="I75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01" customFormat="false" ht="15" hidden="false" customHeight="false" outlineLevel="0" collapsed="false">
      <c r="A7501" s="41"/>
      <c r="G7501" s="38" t="n">
        <f aca="false">MONTH(A7501)</f>
        <v>12</v>
      </c>
      <c r="H7501" s="38" t="n">
        <f aca="false">YEAR(Tabela1[[#This Row],[FECHA]])</f>
        <v>1900</v>
      </c>
      <c r="I75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02" customFormat="false" ht="15" hidden="false" customHeight="false" outlineLevel="0" collapsed="false">
      <c r="A7502" s="41"/>
      <c r="G7502" s="38" t="n">
        <f aca="false">MONTH(A7502)</f>
        <v>12</v>
      </c>
      <c r="H7502" s="38" t="n">
        <f aca="false">YEAR(Tabela1[[#This Row],[FECHA]])</f>
        <v>1900</v>
      </c>
      <c r="I75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03" customFormat="false" ht="15" hidden="false" customHeight="false" outlineLevel="0" collapsed="false">
      <c r="A7503" s="41"/>
      <c r="G7503" s="38" t="n">
        <f aca="false">MONTH(A7503)</f>
        <v>12</v>
      </c>
      <c r="H7503" s="38" t="n">
        <f aca="false">YEAR(Tabela1[[#This Row],[FECHA]])</f>
        <v>1900</v>
      </c>
      <c r="I75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04" customFormat="false" ht="15" hidden="false" customHeight="false" outlineLevel="0" collapsed="false">
      <c r="A7504" s="41"/>
      <c r="G7504" s="38" t="n">
        <f aca="false">MONTH(A7504)</f>
        <v>12</v>
      </c>
      <c r="H7504" s="38" t="n">
        <f aca="false">YEAR(Tabela1[[#This Row],[FECHA]])</f>
        <v>1900</v>
      </c>
      <c r="I75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05" customFormat="false" ht="15" hidden="false" customHeight="false" outlineLevel="0" collapsed="false">
      <c r="A7505" s="41"/>
      <c r="G7505" s="38" t="n">
        <f aca="false">MONTH(A7505)</f>
        <v>12</v>
      </c>
      <c r="H7505" s="38" t="n">
        <f aca="false">YEAR(Tabela1[[#This Row],[FECHA]])</f>
        <v>1900</v>
      </c>
      <c r="I75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06" customFormat="false" ht="15" hidden="false" customHeight="false" outlineLevel="0" collapsed="false">
      <c r="A7506" s="41"/>
      <c r="G7506" s="38" t="n">
        <f aca="false">MONTH(A7506)</f>
        <v>12</v>
      </c>
      <c r="H7506" s="38" t="n">
        <f aca="false">YEAR(Tabela1[[#This Row],[FECHA]])</f>
        <v>1900</v>
      </c>
      <c r="I75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07" customFormat="false" ht="15" hidden="false" customHeight="false" outlineLevel="0" collapsed="false">
      <c r="A7507" s="41"/>
      <c r="G7507" s="38" t="n">
        <f aca="false">MONTH(A7507)</f>
        <v>12</v>
      </c>
      <c r="H7507" s="38" t="n">
        <f aca="false">YEAR(Tabela1[[#This Row],[FECHA]])</f>
        <v>1900</v>
      </c>
      <c r="I75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08" customFormat="false" ht="15" hidden="false" customHeight="false" outlineLevel="0" collapsed="false">
      <c r="A7508" s="41"/>
      <c r="G7508" s="38" t="n">
        <f aca="false">MONTH(A7508)</f>
        <v>12</v>
      </c>
      <c r="H7508" s="38" t="n">
        <f aca="false">YEAR(Tabela1[[#This Row],[FECHA]])</f>
        <v>1900</v>
      </c>
      <c r="I75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09" customFormat="false" ht="15" hidden="false" customHeight="false" outlineLevel="0" collapsed="false">
      <c r="A7509" s="41"/>
      <c r="G7509" s="38" t="n">
        <f aca="false">MONTH(A7509)</f>
        <v>12</v>
      </c>
      <c r="H7509" s="38" t="n">
        <f aca="false">YEAR(Tabela1[[#This Row],[FECHA]])</f>
        <v>1900</v>
      </c>
      <c r="I75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10" customFormat="false" ht="15" hidden="false" customHeight="false" outlineLevel="0" collapsed="false">
      <c r="A7510" s="41"/>
      <c r="G7510" s="38" t="n">
        <f aca="false">MONTH(A7510)</f>
        <v>12</v>
      </c>
      <c r="H7510" s="38" t="n">
        <f aca="false">YEAR(Tabela1[[#This Row],[FECHA]])</f>
        <v>1900</v>
      </c>
      <c r="I75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11" customFormat="false" ht="15" hidden="false" customHeight="false" outlineLevel="0" collapsed="false">
      <c r="A7511" s="41"/>
      <c r="G7511" s="38" t="n">
        <f aca="false">MONTH(A7511)</f>
        <v>12</v>
      </c>
      <c r="H7511" s="38" t="n">
        <f aca="false">YEAR(Tabela1[[#This Row],[FECHA]])</f>
        <v>1900</v>
      </c>
      <c r="I75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12" customFormat="false" ht="15" hidden="false" customHeight="false" outlineLevel="0" collapsed="false">
      <c r="A7512" s="41"/>
      <c r="G7512" s="38" t="n">
        <f aca="false">MONTH(A7512)</f>
        <v>12</v>
      </c>
      <c r="H7512" s="38" t="n">
        <f aca="false">YEAR(Tabela1[[#This Row],[FECHA]])</f>
        <v>1900</v>
      </c>
      <c r="I75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13" customFormat="false" ht="15" hidden="false" customHeight="false" outlineLevel="0" collapsed="false">
      <c r="A7513" s="41"/>
      <c r="G7513" s="38" t="n">
        <f aca="false">MONTH(A7513)</f>
        <v>12</v>
      </c>
      <c r="H7513" s="38" t="n">
        <f aca="false">YEAR(Tabela1[[#This Row],[FECHA]])</f>
        <v>1900</v>
      </c>
      <c r="I75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14" customFormat="false" ht="15" hidden="false" customHeight="false" outlineLevel="0" collapsed="false">
      <c r="A7514" s="41"/>
      <c r="G7514" s="38" t="n">
        <f aca="false">MONTH(A7514)</f>
        <v>12</v>
      </c>
      <c r="H7514" s="38" t="n">
        <f aca="false">YEAR(Tabela1[[#This Row],[FECHA]])</f>
        <v>1900</v>
      </c>
      <c r="I75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15" customFormat="false" ht="15" hidden="false" customHeight="false" outlineLevel="0" collapsed="false">
      <c r="A7515" s="41"/>
      <c r="G7515" s="38" t="n">
        <f aca="false">MONTH(A7515)</f>
        <v>12</v>
      </c>
      <c r="H7515" s="38" t="n">
        <f aca="false">YEAR(Tabela1[[#This Row],[FECHA]])</f>
        <v>1900</v>
      </c>
      <c r="I75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16" customFormat="false" ht="15" hidden="false" customHeight="false" outlineLevel="0" collapsed="false">
      <c r="A7516" s="41"/>
      <c r="G7516" s="38" t="n">
        <f aca="false">MONTH(A7516)</f>
        <v>12</v>
      </c>
      <c r="H7516" s="38" t="n">
        <f aca="false">YEAR(Tabela1[[#This Row],[FECHA]])</f>
        <v>1900</v>
      </c>
      <c r="I75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17" customFormat="false" ht="15" hidden="false" customHeight="false" outlineLevel="0" collapsed="false">
      <c r="A7517" s="41"/>
      <c r="G7517" s="38" t="n">
        <f aca="false">MONTH(A7517)</f>
        <v>12</v>
      </c>
      <c r="H7517" s="38" t="n">
        <f aca="false">YEAR(Tabela1[[#This Row],[FECHA]])</f>
        <v>1900</v>
      </c>
      <c r="I75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18" customFormat="false" ht="15" hidden="false" customHeight="false" outlineLevel="0" collapsed="false">
      <c r="A7518" s="41"/>
      <c r="G7518" s="38" t="n">
        <f aca="false">MONTH(A7518)</f>
        <v>12</v>
      </c>
      <c r="H7518" s="38" t="n">
        <f aca="false">YEAR(Tabela1[[#This Row],[FECHA]])</f>
        <v>1900</v>
      </c>
      <c r="I75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19" customFormat="false" ht="15" hidden="false" customHeight="false" outlineLevel="0" collapsed="false">
      <c r="A7519" s="41"/>
      <c r="G7519" s="38" t="n">
        <f aca="false">MONTH(A7519)</f>
        <v>12</v>
      </c>
      <c r="H7519" s="38" t="n">
        <f aca="false">YEAR(Tabela1[[#This Row],[FECHA]])</f>
        <v>1900</v>
      </c>
      <c r="I75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20" customFormat="false" ht="15" hidden="false" customHeight="false" outlineLevel="0" collapsed="false">
      <c r="A7520" s="41"/>
      <c r="G7520" s="38" t="n">
        <f aca="false">MONTH(A7520)</f>
        <v>12</v>
      </c>
      <c r="H7520" s="38" t="n">
        <f aca="false">YEAR(Tabela1[[#This Row],[FECHA]])</f>
        <v>1900</v>
      </c>
      <c r="I75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21" customFormat="false" ht="15" hidden="false" customHeight="false" outlineLevel="0" collapsed="false">
      <c r="A7521" s="41"/>
      <c r="G7521" s="38" t="n">
        <f aca="false">MONTH(A7521)</f>
        <v>12</v>
      </c>
      <c r="H7521" s="38" t="n">
        <f aca="false">YEAR(Tabela1[[#This Row],[FECHA]])</f>
        <v>1900</v>
      </c>
      <c r="I75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22" customFormat="false" ht="15" hidden="false" customHeight="false" outlineLevel="0" collapsed="false">
      <c r="A7522" s="41"/>
      <c r="G7522" s="38" t="n">
        <f aca="false">MONTH(A7522)</f>
        <v>12</v>
      </c>
      <c r="H7522" s="38" t="n">
        <f aca="false">YEAR(Tabela1[[#This Row],[FECHA]])</f>
        <v>1900</v>
      </c>
      <c r="I75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23" customFormat="false" ht="15" hidden="false" customHeight="false" outlineLevel="0" collapsed="false">
      <c r="A7523" s="41"/>
      <c r="G7523" s="38" t="n">
        <f aca="false">MONTH(A7523)</f>
        <v>12</v>
      </c>
      <c r="H7523" s="38" t="n">
        <f aca="false">YEAR(Tabela1[[#This Row],[FECHA]])</f>
        <v>1900</v>
      </c>
      <c r="I75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24" customFormat="false" ht="15" hidden="false" customHeight="false" outlineLevel="0" collapsed="false">
      <c r="A7524" s="41"/>
      <c r="G7524" s="38" t="n">
        <f aca="false">MONTH(A7524)</f>
        <v>12</v>
      </c>
      <c r="H7524" s="38" t="n">
        <f aca="false">YEAR(Tabela1[[#This Row],[FECHA]])</f>
        <v>1900</v>
      </c>
      <c r="I75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25" customFormat="false" ht="15" hidden="false" customHeight="false" outlineLevel="0" collapsed="false">
      <c r="A7525" s="41"/>
      <c r="G7525" s="38" t="n">
        <f aca="false">MONTH(A7525)</f>
        <v>12</v>
      </c>
      <c r="H7525" s="38" t="n">
        <f aca="false">YEAR(Tabela1[[#This Row],[FECHA]])</f>
        <v>1900</v>
      </c>
      <c r="I75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26" customFormat="false" ht="15" hidden="false" customHeight="false" outlineLevel="0" collapsed="false">
      <c r="A7526" s="41"/>
      <c r="G7526" s="38" t="n">
        <f aca="false">MONTH(A7526)</f>
        <v>12</v>
      </c>
      <c r="H7526" s="38" t="n">
        <f aca="false">YEAR(Tabela1[[#This Row],[FECHA]])</f>
        <v>1900</v>
      </c>
      <c r="I75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27" customFormat="false" ht="15" hidden="false" customHeight="false" outlineLevel="0" collapsed="false">
      <c r="A7527" s="41"/>
      <c r="G7527" s="38" t="n">
        <f aca="false">MONTH(A7527)</f>
        <v>12</v>
      </c>
      <c r="H7527" s="38" t="n">
        <f aca="false">YEAR(Tabela1[[#This Row],[FECHA]])</f>
        <v>1900</v>
      </c>
      <c r="I75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28" customFormat="false" ht="15" hidden="false" customHeight="false" outlineLevel="0" collapsed="false">
      <c r="A7528" s="41"/>
      <c r="G7528" s="38" t="n">
        <f aca="false">MONTH(A7528)</f>
        <v>12</v>
      </c>
      <c r="H7528" s="38" t="n">
        <f aca="false">YEAR(Tabela1[[#This Row],[FECHA]])</f>
        <v>1900</v>
      </c>
      <c r="I75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29" customFormat="false" ht="15" hidden="false" customHeight="false" outlineLevel="0" collapsed="false">
      <c r="A7529" s="41"/>
      <c r="G7529" s="38" t="n">
        <f aca="false">MONTH(A7529)</f>
        <v>12</v>
      </c>
      <c r="H7529" s="38" t="n">
        <f aca="false">YEAR(Tabela1[[#This Row],[FECHA]])</f>
        <v>1900</v>
      </c>
      <c r="I75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30" customFormat="false" ht="15" hidden="false" customHeight="false" outlineLevel="0" collapsed="false">
      <c r="A7530" s="41"/>
      <c r="G7530" s="38" t="n">
        <f aca="false">MONTH(A7530)</f>
        <v>12</v>
      </c>
      <c r="H7530" s="38" t="n">
        <f aca="false">YEAR(Tabela1[[#This Row],[FECHA]])</f>
        <v>1900</v>
      </c>
      <c r="I75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31" customFormat="false" ht="15" hidden="false" customHeight="false" outlineLevel="0" collapsed="false">
      <c r="A7531" s="41"/>
      <c r="G7531" s="38" t="n">
        <f aca="false">MONTH(A7531)</f>
        <v>12</v>
      </c>
      <c r="H7531" s="38" t="n">
        <f aca="false">YEAR(Tabela1[[#This Row],[FECHA]])</f>
        <v>1900</v>
      </c>
      <c r="I75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32" customFormat="false" ht="15" hidden="false" customHeight="false" outlineLevel="0" collapsed="false">
      <c r="A7532" s="41"/>
      <c r="G7532" s="38" t="n">
        <f aca="false">MONTH(A7532)</f>
        <v>12</v>
      </c>
      <c r="H7532" s="38" t="n">
        <f aca="false">YEAR(Tabela1[[#This Row],[FECHA]])</f>
        <v>1900</v>
      </c>
      <c r="I75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33" customFormat="false" ht="15" hidden="false" customHeight="false" outlineLevel="0" collapsed="false">
      <c r="A7533" s="41"/>
      <c r="G7533" s="38" t="n">
        <f aca="false">MONTH(A7533)</f>
        <v>12</v>
      </c>
      <c r="H7533" s="38" t="n">
        <f aca="false">YEAR(Tabela1[[#This Row],[FECHA]])</f>
        <v>1900</v>
      </c>
      <c r="I75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34" customFormat="false" ht="15" hidden="false" customHeight="false" outlineLevel="0" collapsed="false">
      <c r="A7534" s="41"/>
      <c r="G7534" s="38" t="n">
        <f aca="false">MONTH(A7534)</f>
        <v>12</v>
      </c>
      <c r="H7534" s="38" t="n">
        <f aca="false">YEAR(Tabela1[[#This Row],[FECHA]])</f>
        <v>1900</v>
      </c>
      <c r="I75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35" customFormat="false" ht="15" hidden="false" customHeight="false" outlineLevel="0" collapsed="false">
      <c r="A7535" s="41"/>
      <c r="G7535" s="38" t="n">
        <f aca="false">MONTH(A7535)</f>
        <v>12</v>
      </c>
      <c r="H7535" s="38" t="n">
        <f aca="false">YEAR(Tabela1[[#This Row],[FECHA]])</f>
        <v>1900</v>
      </c>
      <c r="I75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36" customFormat="false" ht="15" hidden="false" customHeight="false" outlineLevel="0" collapsed="false">
      <c r="A7536" s="41"/>
      <c r="G7536" s="38" t="n">
        <f aca="false">MONTH(A7536)</f>
        <v>12</v>
      </c>
      <c r="H7536" s="38" t="n">
        <f aca="false">YEAR(Tabela1[[#This Row],[FECHA]])</f>
        <v>1900</v>
      </c>
      <c r="I75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37" customFormat="false" ht="15" hidden="false" customHeight="false" outlineLevel="0" collapsed="false">
      <c r="A7537" s="41"/>
      <c r="G7537" s="38" t="n">
        <f aca="false">MONTH(A7537)</f>
        <v>12</v>
      </c>
      <c r="H7537" s="38" t="n">
        <f aca="false">YEAR(Tabela1[[#This Row],[FECHA]])</f>
        <v>1900</v>
      </c>
      <c r="I75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38" customFormat="false" ht="15" hidden="false" customHeight="false" outlineLevel="0" collapsed="false">
      <c r="A7538" s="41"/>
      <c r="G7538" s="38" t="n">
        <f aca="false">MONTH(A7538)</f>
        <v>12</v>
      </c>
      <c r="H7538" s="38" t="n">
        <f aca="false">YEAR(Tabela1[[#This Row],[FECHA]])</f>
        <v>1900</v>
      </c>
      <c r="I75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39" customFormat="false" ht="15" hidden="false" customHeight="false" outlineLevel="0" collapsed="false">
      <c r="A7539" s="41"/>
      <c r="G7539" s="38" t="n">
        <f aca="false">MONTH(A7539)</f>
        <v>12</v>
      </c>
      <c r="H7539" s="38" t="n">
        <f aca="false">YEAR(Tabela1[[#This Row],[FECHA]])</f>
        <v>1900</v>
      </c>
      <c r="I75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40" customFormat="false" ht="15" hidden="false" customHeight="false" outlineLevel="0" collapsed="false">
      <c r="A7540" s="41"/>
      <c r="G7540" s="38" t="n">
        <f aca="false">MONTH(A7540)</f>
        <v>12</v>
      </c>
      <c r="H7540" s="38" t="n">
        <f aca="false">YEAR(Tabela1[[#This Row],[FECHA]])</f>
        <v>1900</v>
      </c>
      <c r="I75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41" customFormat="false" ht="15" hidden="false" customHeight="false" outlineLevel="0" collapsed="false">
      <c r="A7541" s="41"/>
      <c r="G7541" s="38" t="n">
        <f aca="false">MONTH(A7541)</f>
        <v>12</v>
      </c>
      <c r="H7541" s="38" t="n">
        <f aca="false">YEAR(Tabela1[[#This Row],[FECHA]])</f>
        <v>1900</v>
      </c>
      <c r="I75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42" customFormat="false" ht="15" hidden="false" customHeight="false" outlineLevel="0" collapsed="false">
      <c r="A7542" s="41"/>
      <c r="G7542" s="38" t="n">
        <f aca="false">MONTH(A7542)</f>
        <v>12</v>
      </c>
      <c r="H7542" s="38" t="n">
        <f aca="false">YEAR(Tabela1[[#This Row],[FECHA]])</f>
        <v>1900</v>
      </c>
      <c r="I75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43" customFormat="false" ht="15" hidden="false" customHeight="false" outlineLevel="0" collapsed="false">
      <c r="A7543" s="41"/>
      <c r="G7543" s="38" t="n">
        <f aca="false">MONTH(A7543)</f>
        <v>12</v>
      </c>
      <c r="H7543" s="38" t="n">
        <f aca="false">YEAR(Tabela1[[#This Row],[FECHA]])</f>
        <v>1900</v>
      </c>
      <c r="I75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44" customFormat="false" ht="15" hidden="false" customHeight="false" outlineLevel="0" collapsed="false">
      <c r="A7544" s="41"/>
      <c r="G7544" s="38" t="n">
        <f aca="false">MONTH(A7544)</f>
        <v>12</v>
      </c>
      <c r="H7544" s="38" t="n">
        <f aca="false">YEAR(Tabela1[[#This Row],[FECHA]])</f>
        <v>1900</v>
      </c>
      <c r="I75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45" customFormat="false" ht="15" hidden="false" customHeight="false" outlineLevel="0" collapsed="false">
      <c r="A7545" s="41"/>
      <c r="G7545" s="38" t="n">
        <f aca="false">MONTH(A7545)</f>
        <v>12</v>
      </c>
      <c r="H7545" s="38" t="n">
        <f aca="false">YEAR(Tabela1[[#This Row],[FECHA]])</f>
        <v>1900</v>
      </c>
      <c r="I75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46" customFormat="false" ht="15" hidden="false" customHeight="false" outlineLevel="0" collapsed="false">
      <c r="A7546" s="41"/>
      <c r="G7546" s="38" t="n">
        <f aca="false">MONTH(A7546)</f>
        <v>12</v>
      </c>
      <c r="H7546" s="38" t="n">
        <f aca="false">YEAR(Tabela1[[#This Row],[FECHA]])</f>
        <v>1900</v>
      </c>
      <c r="I75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47" customFormat="false" ht="15" hidden="false" customHeight="false" outlineLevel="0" collapsed="false">
      <c r="A7547" s="41"/>
      <c r="G7547" s="38" t="n">
        <f aca="false">MONTH(A7547)</f>
        <v>12</v>
      </c>
      <c r="H7547" s="38" t="n">
        <f aca="false">YEAR(Tabela1[[#This Row],[FECHA]])</f>
        <v>1900</v>
      </c>
      <c r="I75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48" customFormat="false" ht="15" hidden="false" customHeight="false" outlineLevel="0" collapsed="false">
      <c r="A7548" s="41"/>
      <c r="G7548" s="38" t="n">
        <f aca="false">MONTH(A7548)</f>
        <v>12</v>
      </c>
      <c r="H7548" s="38" t="n">
        <f aca="false">YEAR(Tabela1[[#This Row],[FECHA]])</f>
        <v>1900</v>
      </c>
      <c r="I75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49" customFormat="false" ht="15" hidden="false" customHeight="false" outlineLevel="0" collapsed="false">
      <c r="A7549" s="41"/>
      <c r="G7549" s="38" t="n">
        <f aca="false">MONTH(A7549)</f>
        <v>12</v>
      </c>
      <c r="H7549" s="38" t="n">
        <f aca="false">YEAR(Tabela1[[#This Row],[FECHA]])</f>
        <v>1900</v>
      </c>
      <c r="I75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50" customFormat="false" ht="15" hidden="false" customHeight="false" outlineLevel="0" collapsed="false">
      <c r="A7550" s="41"/>
      <c r="G7550" s="38" t="n">
        <f aca="false">MONTH(A7550)</f>
        <v>12</v>
      </c>
      <c r="H7550" s="38" t="n">
        <f aca="false">YEAR(Tabela1[[#This Row],[FECHA]])</f>
        <v>1900</v>
      </c>
      <c r="I75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51" customFormat="false" ht="15" hidden="false" customHeight="false" outlineLevel="0" collapsed="false">
      <c r="A7551" s="41"/>
      <c r="G7551" s="38" t="n">
        <f aca="false">MONTH(A7551)</f>
        <v>12</v>
      </c>
      <c r="H7551" s="38" t="n">
        <f aca="false">YEAR(Tabela1[[#This Row],[FECHA]])</f>
        <v>1900</v>
      </c>
      <c r="I75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52" customFormat="false" ht="15" hidden="false" customHeight="false" outlineLevel="0" collapsed="false">
      <c r="A7552" s="41"/>
      <c r="G7552" s="38" t="n">
        <f aca="false">MONTH(A7552)</f>
        <v>12</v>
      </c>
      <c r="H7552" s="38" t="n">
        <f aca="false">YEAR(Tabela1[[#This Row],[FECHA]])</f>
        <v>1900</v>
      </c>
      <c r="I75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53" customFormat="false" ht="15" hidden="false" customHeight="false" outlineLevel="0" collapsed="false">
      <c r="A7553" s="41"/>
      <c r="G7553" s="38" t="n">
        <f aca="false">MONTH(A7553)</f>
        <v>12</v>
      </c>
      <c r="H7553" s="38" t="n">
        <f aca="false">YEAR(Tabela1[[#This Row],[FECHA]])</f>
        <v>1900</v>
      </c>
      <c r="I75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54" customFormat="false" ht="15" hidden="false" customHeight="false" outlineLevel="0" collapsed="false">
      <c r="A7554" s="41"/>
      <c r="G7554" s="38" t="n">
        <f aca="false">MONTH(A7554)</f>
        <v>12</v>
      </c>
      <c r="H7554" s="38" t="n">
        <f aca="false">YEAR(Tabela1[[#This Row],[FECHA]])</f>
        <v>1900</v>
      </c>
      <c r="I75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55" customFormat="false" ht="15" hidden="false" customHeight="false" outlineLevel="0" collapsed="false">
      <c r="A7555" s="41"/>
      <c r="G7555" s="38" t="n">
        <f aca="false">MONTH(A7555)</f>
        <v>12</v>
      </c>
      <c r="H7555" s="38" t="n">
        <f aca="false">YEAR(Tabela1[[#This Row],[FECHA]])</f>
        <v>1900</v>
      </c>
      <c r="I75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56" customFormat="false" ht="15" hidden="false" customHeight="false" outlineLevel="0" collapsed="false">
      <c r="A7556" s="41"/>
      <c r="G7556" s="38" t="n">
        <f aca="false">MONTH(A7556)</f>
        <v>12</v>
      </c>
      <c r="H7556" s="38" t="n">
        <f aca="false">YEAR(Tabela1[[#This Row],[FECHA]])</f>
        <v>1900</v>
      </c>
      <c r="I75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57" customFormat="false" ht="15" hidden="false" customHeight="false" outlineLevel="0" collapsed="false">
      <c r="A7557" s="41"/>
      <c r="G7557" s="38" t="n">
        <f aca="false">MONTH(A7557)</f>
        <v>12</v>
      </c>
      <c r="H7557" s="38" t="n">
        <f aca="false">YEAR(Tabela1[[#This Row],[FECHA]])</f>
        <v>1900</v>
      </c>
      <c r="I75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58" customFormat="false" ht="15" hidden="false" customHeight="false" outlineLevel="0" collapsed="false">
      <c r="A7558" s="41"/>
      <c r="G7558" s="38" t="n">
        <f aca="false">MONTH(A7558)</f>
        <v>12</v>
      </c>
      <c r="H7558" s="38" t="n">
        <f aca="false">YEAR(Tabela1[[#This Row],[FECHA]])</f>
        <v>1900</v>
      </c>
      <c r="I75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59" customFormat="false" ht="15" hidden="false" customHeight="false" outlineLevel="0" collapsed="false">
      <c r="A7559" s="41"/>
      <c r="G7559" s="38" t="n">
        <f aca="false">MONTH(A7559)</f>
        <v>12</v>
      </c>
      <c r="H7559" s="38" t="n">
        <f aca="false">YEAR(Tabela1[[#This Row],[FECHA]])</f>
        <v>1900</v>
      </c>
      <c r="I75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60" customFormat="false" ht="15" hidden="false" customHeight="false" outlineLevel="0" collapsed="false">
      <c r="A7560" s="41"/>
      <c r="G7560" s="38" t="n">
        <f aca="false">MONTH(A7560)</f>
        <v>12</v>
      </c>
      <c r="H7560" s="38" t="n">
        <f aca="false">YEAR(Tabela1[[#This Row],[FECHA]])</f>
        <v>1900</v>
      </c>
      <c r="I75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61" customFormat="false" ht="15" hidden="false" customHeight="false" outlineLevel="0" collapsed="false">
      <c r="A7561" s="41"/>
      <c r="G7561" s="38" t="n">
        <f aca="false">MONTH(A7561)</f>
        <v>12</v>
      </c>
      <c r="H7561" s="38" t="n">
        <f aca="false">YEAR(Tabela1[[#This Row],[FECHA]])</f>
        <v>1900</v>
      </c>
      <c r="I75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62" customFormat="false" ht="15" hidden="false" customHeight="false" outlineLevel="0" collapsed="false">
      <c r="A7562" s="41"/>
      <c r="G7562" s="38" t="n">
        <f aca="false">MONTH(A7562)</f>
        <v>12</v>
      </c>
      <c r="H7562" s="38" t="n">
        <f aca="false">YEAR(Tabela1[[#This Row],[FECHA]])</f>
        <v>1900</v>
      </c>
      <c r="I75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63" customFormat="false" ht="15" hidden="false" customHeight="false" outlineLevel="0" collapsed="false">
      <c r="A7563" s="41"/>
      <c r="G7563" s="38" t="n">
        <f aca="false">MONTH(A7563)</f>
        <v>12</v>
      </c>
      <c r="H7563" s="38" t="n">
        <f aca="false">YEAR(Tabela1[[#This Row],[FECHA]])</f>
        <v>1900</v>
      </c>
      <c r="I75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64" customFormat="false" ht="15" hidden="false" customHeight="false" outlineLevel="0" collapsed="false">
      <c r="A7564" s="41"/>
      <c r="G7564" s="38" t="n">
        <f aca="false">MONTH(A7564)</f>
        <v>12</v>
      </c>
      <c r="H7564" s="38" t="n">
        <f aca="false">YEAR(Tabela1[[#This Row],[FECHA]])</f>
        <v>1900</v>
      </c>
      <c r="I75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65" customFormat="false" ht="15" hidden="false" customHeight="false" outlineLevel="0" collapsed="false">
      <c r="A7565" s="41"/>
      <c r="G7565" s="38" t="n">
        <f aca="false">MONTH(A7565)</f>
        <v>12</v>
      </c>
      <c r="H7565" s="38" t="n">
        <f aca="false">YEAR(Tabela1[[#This Row],[FECHA]])</f>
        <v>1900</v>
      </c>
      <c r="I75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66" customFormat="false" ht="15" hidden="false" customHeight="false" outlineLevel="0" collapsed="false">
      <c r="A7566" s="41"/>
      <c r="G7566" s="38" t="n">
        <f aca="false">MONTH(A7566)</f>
        <v>12</v>
      </c>
      <c r="H7566" s="38" t="n">
        <f aca="false">YEAR(Tabela1[[#This Row],[FECHA]])</f>
        <v>1900</v>
      </c>
      <c r="I75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67" customFormat="false" ht="15" hidden="false" customHeight="false" outlineLevel="0" collapsed="false">
      <c r="A7567" s="41"/>
      <c r="G7567" s="38" t="n">
        <f aca="false">MONTH(A7567)</f>
        <v>12</v>
      </c>
      <c r="H7567" s="38" t="n">
        <f aca="false">YEAR(Tabela1[[#This Row],[FECHA]])</f>
        <v>1900</v>
      </c>
      <c r="I75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68" customFormat="false" ht="15" hidden="false" customHeight="false" outlineLevel="0" collapsed="false">
      <c r="A7568" s="41"/>
      <c r="G7568" s="38" t="n">
        <f aca="false">MONTH(A7568)</f>
        <v>12</v>
      </c>
      <c r="H7568" s="38" t="n">
        <f aca="false">YEAR(Tabela1[[#This Row],[FECHA]])</f>
        <v>1900</v>
      </c>
      <c r="I75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69" customFormat="false" ht="15" hidden="false" customHeight="false" outlineLevel="0" collapsed="false">
      <c r="A7569" s="41"/>
      <c r="G7569" s="38" t="n">
        <f aca="false">MONTH(A7569)</f>
        <v>12</v>
      </c>
      <c r="H7569" s="38" t="n">
        <f aca="false">YEAR(Tabela1[[#This Row],[FECHA]])</f>
        <v>1900</v>
      </c>
      <c r="I75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70" customFormat="false" ht="15" hidden="false" customHeight="false" outlineLevel="0" collapsed="false">
      <c r="A7570" s="41"/>
      <c r="G7570" s="38" t="n">
        <f aca="false">MONTH(A7570)</f>
        <v>12</v>
      </c>
      <c r="H7570" s="38" t="n">
        <f aca="false">YEAR(Tabela1[[#This Row],[FECHA]])</f>
        <v>1900</v>
      </c>
      <c r="I75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71" customFormat="false" ht="15" hidden="false" customHeight="false" outlineLevel="0" collapsed="false">
      <c r="A7571" s="41"/>
      <c r="G7571" s="38" t="n">
        <f aca="false">MONTH(A7571)</f>
        <v>12</v>
      </c>
      <c r="H7571" s="38" t="n">
        <f aca="false">YEAR(Tabela1[[#This Row],[FECHA]])</f>
        <v>1900</v>
      </c>
      <c r="I75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72" customFormat="false" ht="15" hidden="false" customHeight="false" outlineLevel="0" collapsed="false">
      <c r="A7572" s="41"/>
      <c r="G7572" s="38" t="n">
        <f aca="false">MONTH(A7572)</f>
        <v>12</v>
      </c>
      <c r="H7572" s="38" t="n">
        <f aca="false">YEAR(Tabela1[[#This Row],[FECHA]])</f>
        <v>1900</v>
      </c>
      <c r="I75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73" customFormat="false" ht="15" hidden="false" customHeight="false" outlineLevel="0" collapsed="false">
      <c r="A7573" s="41"/>
      <c r="G7573" s="38" t="n">
        <f aca="false">MONTH(A7573)</f>
        <v>12</v>
      </c>
      <c r="H7573" s="38" t="n">
        <f aca="false">YEAR(Tabela1[[#This Row],[FECHA]])</f>
        <v>1900</v>
      </c>
      <c r="I75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74" customFormat="false" ht="15" hidden="false" customHeight="false" outlineLevel="0" collapsed="false">
      <c r="A7574" s="41"/>
      <c r="G7574" s="38" t="n">
        <f aca="false">MONTH(A7574)</f>
        <v>12</v>
      </c>
      <c r="H7574" s="38" t="n">
        <f aca="false">YEAR(Tabela1[[#This Row],[FECHA]])</f>
        <v>1900</v>
      </c>
      <c r="I75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75" customFormat="false" ht="15" hidden="false" customHeight="false" outlineLevel="0" collapsed="false">
      <c r="A7575" s="41"/>
      <c r="G7575" s="38" t="n">
        <f aca="false">MONTH(A7575)</f>
        <v>12</v>
      </c>
      <c r="H7575" s="38" t="n">
        <f aca="false">YEAR(Tabela1[[#This Row],[FECHA]])</f>
        <v>1900</v>
      </c>
      <c r="I75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76" customFormat="false" ht="15" hidden="false" customHeight="false" outlineLevel="0" collapsed="false">
      <c r="A7576" s="41"/>
      <c r="G7576" s="38" t="n">
        <f aca="false">MONTH(A7576)</f>
        <v>12</v>
      </c>
      <c r="H7576" s="38" t="n">
        <f aca="false">YEAR(Tabela1[[#This Row],[FECHA]])</f>
        <v>1900</v>
      </c>
      <c r="I75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77" customFormat="false" ht="15" hidden="false" customHeight="false" outlineLevel="0" collapsed="false">
      <c r="A7577" s="41"/>
      <c r="G7577" s="38" t="n">
        <f aca="false">MONTH(A7577)</f>
        <v>12</v>
      </c>
      <c r="H7577" s="38" t="n">
        <f aca="false">YEAR(Tabela1[[#This Row],[FECHA]])</f>
        <v>1900</v>
      </c>
      <c r="I75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78" customFormat="false" ht="15" hidden="false" customHeight="false" outlineLevel="0" collapsed="false">
      <c r="A7578" s="41"/>
      <c r="G7578" s="38" t="n">
        <f aca="false">MONTH(A7578)</f>
        <v>12</v>
      </c>
      <c r="H7578" s="38" t="n">
        <f aca="false">YEAR(Tabela1[[#This Row],[FECHA]])</f>
        <v>1900</v>
      </c>
      <c r="I75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79" customFormat="false" ht="15" hidden="false" customHeight="false" outlineLevel="0" collapsed="false">
      <c r="A7579" s="41"/>
      <c r="G7579" s="38" t="n">
        <f aca="false">MONTH(A7579)</f>
        <v>12</v>
      </c>
      <c r="H7579" s="38" t="n">
        <f aca="false">YEAR(Tabela1[[#This Row],[FECHA]])</f>
        <v>1900</v>
      </c>
      <c r="I75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80" customFormat="false" ht="15" hidden="false" customHeight="false" outlineLevel="0" collapsed="false">
      <c r="A7580" s="41"/>
      <c r="G7580" s="38" t="n">
        <f aca="false">MONTH(A7580)</f>
        <v>12</v>
      </c>
      <c r="H7580" s="38" t="n">
        <f aca="false">YEAR(Tabela1[[#This Row],[FECHA]])</f>
        <v>1900</v>
      </c>
      <c r="I75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81" customFormat="false" ht="15" hidden="false" customHeight="false" outlineLevel="0" collapsed="false">
      <c r="A7581" s="41"/>
      <c r="G7581" s="38" t="n">
        <f aca="false">MONTH(A7581)</f>
        <v>12</v>
      </c>
      <c r="H7581" s="38" t="n">
        <f aca="false">YEAR(Tabela1[[#This Row],[FECHA]])</f>
        <v>1900</v>
      </c>
      <c r="I75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82" customFormat="false" ht="15" hidden="false" customHeight="false" outlineLevel="0" collapsed="false">
      <c r="A7582" s="41"/>
      <c r="G7582" s="38" t="n">
        <f aca="false">MONTH(A7582)</f>
        <v>12</v>
      </c>
      <c r="H7582" s="38" t="n">
        <f aca="false">YEAR(Tabela1[[#This Row],[FECHA]])</f>
        <v>1900</v>
      </c>
      <c r="I75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83" customFormat="false" ht="15" hidden="false" customHeight="false" outlineLevel="0" collapsed="false">
      <c r="A7583" s="41"/>
      <c r="G7583" s="38" t="n">
        <f aca="false">MONTH(A7583)</f>
        <v>12</v>
      </c>
      <c r="H7583" s="38" t="n">
        <f aca="false">YEAR(Tabela1[[#This Row],[FECHA]])</f>
        <v>1900</v>
      </c>
      <c r="I75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84" customFormat="false" ht="15" hidden="false" customHeight="false" outlineLevel="0" collapsed="false">
      <c r="A7584" s="41"/>
      <c r="G7584" s="38" t="n">
        <f aca="false">MONTH(A7584)</f>
        <v>12</v>
      </c>
      <c r="H7584" s="38" t="n">
        <f aca="false">YEAR(Tabela1[[#This Row],[FECHA]])</f>
        <v>1900</v>
      </c>
      <c r="I75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85" customFormat="false" ht="15" hidden="false" customHeight="false" outlineLevel="0" collapsed="false">
      <c r="A7585" s="41"/>
      <c r="G7585" s="38" t="n">
        <f aca="false">MONTH(A7585)</f>
        <v>12</v>
      </c>
      <c r="H7585" s="38" t="n">
        <f aca="false">YEAR(Tabela1[[#This Row],[FECHA]])</f>
        <v>1900</v>
      </c>
      <c r="I75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86" customFormat="false" ht="15" hidden="false" customHeight="false" outlineLevel="0" collapsed="false">
      <c r="A7586" s="41"/>
      <c r="G7586" s="38" t="n">
        <f aca="false">MONTH(A7586)</f>
        <v>12</v>
      </c>
      <c r="H7586" s="38" t="n">
        <f aca="false">YEAR(Tabela1[[#This Row],[FECHA]])</f>
        <v>1900</v>
      </c>
      <c r="I75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87" customFormat="false" ht="15" hidden="false" customHeight="false" outlineLevel="0" collapsed="false">
      <c r="A7587" s="41"/>
      <c r="G7587" s="38" t="n">
        <f aca="false">MONTH(A7587)</f>
        <v>12</v>
      </c>
      <c r="H7587" s="38" t="n">
        <f aca="false">YEAR(Tabela1[[#This Row],[FECHA]])</f>
        <v>1900</v>
      </c>
      <c r="I75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88" customFormat="false" ht="15" hidden="false" customHeight="false" outlineLevel="0" collapsed="false">
      <c r="A7588" s="41"/>
      <c r="G7588" s="38" t="n">
        <f aca="false">MONTH(A7588)</f>
        <v>12</v>
      </c>
      <c r="H7588" s="38" t="n">
        <f aca="false">YEAR(Tabela1[[#This Row],[FECHA]])</f>
        <v>1900</v>
      </c>
      <c r="I75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89" customFormat="false" ht="15" hidden="false" customHeight="false" outlineLevel="0" collapsed="false">
      <c r="A7589" s="41"/>
      <c r="G7589" s="38" t="n">
        <f aca="false">MONTH(A7589)</f>
        <v>12</v>
      </c>
      <c r="H7589" s="38" t="n">
        <f aca="false">YEAR(Tabela1[[#This Row],[FECHA]])</f>
        <v>1900</v>
      </c>
      <c r="I75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90" customFormat="false" ht="15" hidden="false" customHeight="false" outlineLevel="0" collapsed="false">
      <c r="A7590" s="41"/>
      <c r="G7590" s="38" t="n">
        <f aca="false">MONTH(A7590)</f>
        <v>12</v>
      </c>
      <c r="H7590" s="38" t="n">
        <f aca="false">YEAR(Tabela1[[#This Row],[FECHA]])</f>
        <v>1900</v>
      </c>
      <c r="I75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91" customFormat="false" ht="15" hidden="false" customHeight="false" outlineLevel="0" collapsed="false">
      <c r="A7591" s="41"/>
      <c r="G7591" s="38" t="n">
        <f aca="false">MONTH(A7591)</f>
        <v>12</v>
      </c>
      <c r="H7591" s="38" t="n">
        <f aca="false">YEAR(Tabela1[[#This Row],[FECHA]])</f>
        <v>1900</v>
      </c>
      <c r="I75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92" customFormat="false" ht="15" hidden="false" customHeight="false" outlineLevel="0" collapsed="false">
      <c r="A7592" s="41"/>
      <c r="G7592" s="38" t="n">
        <f aca="false">MONTH(A7592)</f>
        <v>12</v>
      </c>
      <c r="H7592" s="38" t="n">
        <f aca="false">YEAR(Tabela1[[#This Row],[FECHA]])</f>
        <v>1900</v>
      </c>
      <c r="I75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93" customFormat="false" ht="15" hidden="false" customHeight="false" outlineLevel="0" collapsed="false">
      <c r="A7593" s="41"/>
      <c r="G7593" s="38" t="n">
        <f aca="false">MONTH(A7593)</f>
        <v>12</v>
      </c>
      <c r="H7593" s="38" t="n">
        <f aca="false">YEAR(Tabela1[[#This Row],[FECHA]])</f>
        <v>1900</v>
      </c>
      <c r="I75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94" customFormat="false" ht="15" hidden="false" customHeight="false" outlineLevel="0" collapsed="false">
      <c r="A7594" s="41"/>
      <c r="G7594" s="38" t="n">
        <f aca="false">MONTH(A7594)</f>
        <v>12</v>
      </c>
      <c r="H7594" s="38" t="n">
        <f aca="false">YEAR(Tabela1[[#This Row],[FECHA]])</f>
        <v>1900</v>
      </c>
      <c r="I75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95" customFormat="false" ht="15" hidden="false" customHeight="false" outlineLevel="0" collapsed="false">
      <c r="A7595" s="41"/>
      <c r="G7595" s="38" t="n">
        <f aca="false">MONTH(A7595)</f>
        <v>12</v>
      </c>
      <c r="H7595" s="38" t="n">
        <f aca="false">YEAR(Tabela1[[#This Row],[FECHA]])</f>
        <v>1900</v>
      </c>
      <c r="I75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96" customFormat="false" ht="15" hidden="false" customHeight="false" outlineLevel="0" collapsed="false">
      <c r="A7596" s="41"/>
      <c r="G7596" s="38" t="n">
        <f aca="false">MONTH(A7596)</f>
        <v>12</v>
      </c>
      <c r="H7596" s="38" t="n">
        <f aca="false">YEAR(Tabela1[[#This Row],[FECHA]])</f>
        <v>1900</v>
      </c>
      <c r="I75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97" customFormat="false" ht="15" hidden="false" customHeight="false" outlineLevel="0" collapsed="false">
      <c r="A7597" s="41"/>
      <c r="G7597" s="38" t="n">
        <f aca="false">MONTH(A7597)</f>
        <v>12</v>
      </c>
      <c r="H7597" s="38" t="n">
        <f aca="false">YEAR(Tabela1[[#This Row],[FECHA]])</f>
        <v>1900</v>
      </c>
      <c r="I75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98" customFormat="false" ht="15" hidden="false" customHeight="false" outlineLevel="0" collapsed="false">
      <c r="A7598" s="41"/>
      <c r="G7598" s="38" t="n">
        <f aca="false">MONTH(A7598)</f>
        <v>12</v>
      </c>
      <c r="H7598" s="38" t="n">
        <f aca="false">YEAR(Tabela1[[#This Row],[FECHA]])</f>
        <v>1900</v>
      </c>
      <c r="I75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599" customFormat="false" ht="15" hidden="false" customHeight="false" outlineLevel="0" collapsed="false">
      <c r="A7599" s="41"/>
      <c r="G7599" s="38" t="n">
        <f aca="false">MONTH(A7599)</f>
        <v>12</v>
      </c>
      <c r="H7599" s="38" t="n">
        <f aca="false">YEAR(Tabela1[[#This Row],[FECHA]])</f>
        <v>1900</v>
      </c>
      <c r="I75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00" customFormat="false" ht="15" hidden="false" customHeight="false" outlineLevel="0" collapsed="false">
      <c r="A7600" s="41"/>
      <c r="G7600" s="38" t="n">
        <f aca="false">MONTH(A7600)</f>
        <v>12</v>
      </c>
      <c r="H7600" s="38" t="n">
        <f aca="false">YEAR(Tabela1[[#This Row],[FECHA]])</f>
        <v>1900</v>
      </c>
      <c r="I76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01" customFormat="false" ht="15" hidden="false" customHeight="false" outlineLevel="0" collapsed="false">
      <c r="A7601" s="41"/>
      <c r="G7601" s="38" t="n">
        <f aca="false">MONTH(A7601)</f>
        <v>12</v>
      </c>
      <c r="H7601" s="38" t="n">
        <f aca="false">YEAR(Tabela1[[#This Row],[FECHA]])</f>
        <v>1900</v>
      </c>
      <c r="I76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02" customFormat="false" ht="15" hidden="false" customHeight="false" outlineLevel="0" collapsed="false">
      <c r="A7602" s="41"/>
      <c r="G7602" s="38" t="n">
        <f aca="false">MONTH(A7602)</f>
        <v>12</v>
      </c>
      <c r="H7602" s="38" t="n">
        <f aca="false">YEAR(Tabela1[[#This Row],[FECHA]])</f>
        <v>1900</v>
      </c>
      <c r="I76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03" customFormat="false" ht="15" hidden="false" customHeight="false" outlineLevel="0" collapsed="false">
      <c r="A7603" s="41"/>
      <c r="G7603" s="38" t="n">
        <f aca="false">MONTH(A7603)</f>
        <v>12</v>
      </c>
      <c r="H7603" s="38" t="n">
        <f aca="false">YEAR(Tabela1[[#This Row],[FECHA]])</f>
        <v>1900</v>
      </c>
      <c r="I76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04" customFormat="false" ht="15" hidden="false" customHeight="false" outlineLevel="0" collapsed="false">
      <c r="A7604" s="41"/>
      <c r="G7604" s="38" t="n">
        <f aca="false">MONTH(A7604)</f>
        <v>12</v>
      </c>
      <c r="H7604" s="38" t="n">
        <f aca="false">YEAR(Tabela1[[#This Row],[FECHA]])</f>
        <v>1900</v>
      </c>
      <c r="I76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05" customFormat="false" ht="15" hidden="false" customHeight="false" outlineLevel="0" collapsed="false">
      <c r="A7605" s="41"/>
      <c r="G7605" s="38" t="n">
        <f aca="false">MONTH(A7605)</f>
        <v>12</v>
      </c>
      <c r="H7605" s="38" t="n">
        <f aca="false">YEAR(Tabela1[[#This Row],[FECHA]])</f>
        <v>1900</v>
      </c>
      <c r="I76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06" customFormat="false" ht="15" hidden="false" customHeight="false" outlineLevel="0" collapsed="false">
      <c r="A7606" s="41"/>
      <c r="G7606" s="38" t="n">
        <f aca="false">MONTH(A7606)</f>
        <v>12</v>
      </c>
      <c r="H7606" s="38" t="n">
        <f aca="false">YEAR(Tabela1[[#This Row],[FECHA]])</f>
        <v>1900</v>
      </c>
      <c r="I76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07" customFormat="false" ht="15" hidden="false" customHeight="false" outlineLevel="0" collapsed="false">
      <c r="A7607" s="41"/>
      <c r="G7607" s="38" t="n">
        <f aca="false">MONTH(A7607)</f>
        <v>12</v>
      </c>
      <c r="H7607" s="38" t="n">
        <f aca="false">YEAR(Tabela1[[#This Row],[FECHA]])</f>
        <v>1900</v>
      </c>
      <c r="I76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08" customFormat="false" ht="15" hidden="false" customHeight="false" outlineLevel="0" collapsed="false">
      <c r="A7608" s="41"/>
      <c r="G7608" s="38" t="n">
        <f aca="false">MONTH(A7608)</f>
        <v>12</v>
      </c>
      <c r="H7608" s="38" t="n">
        <f aca="false">YEAR(Tabela1[[#This Row],[FECHA]])</f>
        <v>1900</v>
      </c>
      <c r="I76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09" customFormat="false" ht="15" hidden="false" customHeight="false" outlineLevel="0" collapsed="false">
      <c r="A7609" s="41"/>
      <c r="G7609" s="38" t="n">
        <f aca="false">MONTH(A7609)</f>
        <v>12</v>
      </c>
      <c r="H7609" s="38" t="n">
        <f aca="false">YEAR(Tabela1[[#This Row],[FECHA]])</f>
        <v>1900</v>
      </c>
      <c r="I76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10" customFormat="false" ht="15" hidden="false" customHeight="false" outlineLevel="0" collapsed="false">
      <c r="A7610" s="41"/>
      <c r="G7610" s="38" t="n">
        <f aca="false">MONTH(A7610)</f>
        <v>12</v>
      </c>
      <c r="H7610" s="38" t="n">
        <f aca="false">YEAR(Tabela1[[#This Row],[FECHA]])</f>
        <v>1900</v>
      </c>
      <c r="I76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11" customFormat="false" ht="15" hidden="false" customHeight="false" outlineLevel="0" collapsed="false">
      <c r="A7611" s="41"/>
      <c r="G7611" s="38" t="n">
        <f aca="false">MONTH(A7611)</f>
        <v>12</v>
      </c>
      <c r="H7611" s="38" t="n">
        <f aca="false">YEAR(Tabela1[[#This Row],[FECHA]])</f>
        <v>1900</v>
      </c>
      <c r="I76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12" customFormat="false" ht="15" hidden="false" customHeight="false" outlineLevel="0" collapsed="false">
      <c r="A7612" s="41"/>
      <c r="G7612" s="38" t="n">
        <f aca="false">MONTH(A7612)</f>
        <v>12</v>
      </c>
      <c r="H7612" s="38" t="n">
        <f aca="false">YEAR(Tabela1[[#This Row],[FECHA]])</f>
        <v>1900</v>
      </c>
      <c r="I76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13" customFormat="false" ht="15" hidden="false" customHeight="false" outlineLevel="0" collapsed="false">
      <c r="A7613" s="41"/>
      <c r="G7613" s="38" t="n">
        <f aca="false">MONTH(A7613)</f>
        <v>12</v>
      </c>
      <c r="H7613" s="38" t="n">
        <f aca="false">YEAR(Tabela1[[#This Row],[FECHA]])</f>
        <v>1900</v>
      </c>
      <c r="I76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14" customFormat="false" ht="15" hidden="false" customHeight="false" outlineLevel="0" collapsed="false">
      <c r="A7614" s="41"/>
      <c r="G7614" s="38" t="n">
        <f aca="false">MONTH(A7614)</f>
        <v>12</v>
      </c>
      <c r="H7614" s="38" t="n">
        <f aca="false">YEAR(Tabela1[[#This Row],[FECHA]])</f>
        <v>1900</v>
      </c>
      <c r="I76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15" customFormat="false" ht="15" hidden="false" customHeight="false" outlineLevel="0" collapsed="false">
      <c r="A7615" s="41"/>
      <c r="G7615" s="38" t="n">
        <f aca="false">MONTH(A7615)</f>
        <v>12</v>
      </c>
      <c r="H7615" s="38" t="n">
        <f aca="false">YEAR(Tabela1[[#This Row],[FECHA]])</f>
        <v>1900</v>
      </c>
      <c r="I76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16" customFormat="false" ht="15" hidden="false" customHeight="false" outlineLevel="0" collapsed="false">
      <c r="A7616" s="41"/>
      <c r="G7616" s="38" t="n">
        <f aca="false">MONTH(A7616)</f>
        <v>12</v>
      </c>
      <c r="H7616" s="38" t="n">
        <f aca="false">YEAR(Tabela1[[#This Row],[FECHA]])</f>
        <v>1900</v>
      </c>
      <c r="I76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17" customFormat="false" ht="15" hidden="false" customHeight="false" outlineLevel="0" collapsed="false">
      <c r="A7617" s="41"/>
      <c r="G7617" s="38" t="n">
        <f aca="false">MONTH(A7617)</f>
        <v>12</v>
      </c>
      <c r="H7617" s="38" t="n">
        <f aca="false">YEAR(Tabela1[[#This Row],[FECHA]])</f>
        <v>1900</v>
      </c>
      <c r="I76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18" customFormat="false" ht="15" hidden="false" customHeight="false" outlineLevel="0" collapsed="false">
      <c r="A7618" s="41"/>
      <c r="G7618" s="38" t="n">
        <f aca="false">MONTH(A7618)</f>
        <v>12</v>
      </c>
      <c r="H7618" s="38" t="n">
        <f aca="false">YEAR(Tabela1[[#This Row],[FECHA]])</f>
        <v>1900</v>
      </c>
      <c r="I76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19" customFormat="false" ht="15" hidden="false" customHeight="false" outlineLevel="0" collapsed="false">
      <c r="A7619" s="41"/>
      <c r="G7619" s="38" t="n">
        <f aca="false">MONTH(A7619)</f>
        <v>12</v>
      </c>
      <c r="H7619" s="38" t="n">
        <f aca="false">YEAR(Tabela1[[#This Row],[FECHA]])</f>
        <v>1900</v>
      </c>
      <c r="I76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20" customFormat="false" ht="15" hidden="false" customHeight="false" outlineLevel="0" collapsed="false">
      <c r="A7620" s="41"/>
      <c r="G7620" s="38" t="n">
        <f aca="false">MONTH(A7620)</f>
        <v>12</v>
      </c>
      <c r="H7620" s="38" t="n">
        <f aca="false">YEAR(Tabela1[[#This Row],[FECHA]])</f>
        <v>1900</v>
      </c>
      <c r="I76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21" customFormat="false" ht="15" hidden="false" customHeight="false" outlineLevel="0" collapsed="false">
      <c r="A7621" s="41"/>
      <c r="G7621" s="38" t="n">
        <f aca="false">MONTH(A7621)</f>
        <v>12</v>
      </c>
      <c r="H7621" s="38" t="n">
        <f aca="false">YEAR(Tabela1[[#This Row],[FECHA]])</f>
        <v>1900</v>
      </c>
      <c r="I76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22" customFormat="false" ht="15" hidden="false" customHeight="false" outlineLevel="0" collapsed="false">
      <c r="A7622" s="41"/>
      <c r="G7622" s="38" t="n">
        <f aca="false">MONTH(A7622)</f>
        <v>12</v>
      </c>
      <c r="H7622" s="38" t="n">
        <f aca="false">YEAR(Tabela1[[#This Row],[FECHA]])</f>
        <v>1900</v>
      </c>
      <c r="I76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23" customFormat="false" ht="15" hidden="false" customHeight="false" outlineLevel="0" collapsed="false">
      <c r="A7623" s="41"/>
      <c r="G7623" s="38" t="n">
        <f aca="false">MONTH(A7623)</f>
        <v>12</v>
      </c>
      <c r="H7623" s="38" t="n">
        <f aca="false">YEAR(Tabela1[[#This Row],[FECHA]])</f>
        <v>1900</v>
      </c>
      <c r="I76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24" customFormat="false" ht="15" hidden="false" customHeight="false" outlineLevel="0" collapsed="false">
      <c r="A7624" s="41"/>
      <c r="G7624" s="38" t="n">
        <f aca="false">MONTH(A7624)</f>
        <v>12</v>
      </c>
      <c r="H7624" s="38" t="n">
        <f aca="false">YEAR(Tabela1[[#This Row],[FECHA]])</f>
        <v>1900</v>
      </c>
      <c r="I76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25" customFormat="false" ht="15" hidden="false" customHeight="false" outlineLevel="0" collapsed="false">
      <c r="A7625" s="41"/>
      <c r="G7625" s="38" t="n">
        <f aca="false">MONTH(A7625)</f>
        <v>12</v>
      </c>
      <c r="H7625" s="38" t="n">
        <f aca="false">YEAR(Tabela1[[#This Row],[FECHA]])</f>
        <v>1900</v>
      </c>
      <c r="I76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26" customFormat="false" ht="15" hidden="false" customHeight="false" outlineLevel="0" collapsed="false">
      <c r="A7626" s="41"/>
      <c r="G7626" s="38" t="n">
        <f aca="false">MONTH(A7626)</f>
        <v>12</v>
      </c>
      <c r="H7626" s="38" t="n">
        <f aca="false">YEAR(Tabela1[[#This Row],[FECHA]])</f>
        <v>1900</v>
      </c>
      <c r="I76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27" customFormat="false" ht="15" hidden="false" customHeight="false" outlineLevel="0" collapsed="false">
      <c r="A7627" s="41"/>
      <c r="G7627" s="38" t="n">
        <f aca="false">MONTH(A7627)</f>
        <v>12</v>
      </c>
      <c r="H7627" s="38" t="n">
        <f aca="false">YEAR(Tabela1[[#This Row],[FECHA]])</f>
        <v>1900</v>
      </c>
      <c r="I76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28" customFormat="false" ht="15" hidden="false" customHeight="false" outlineLevel="0" collapsed="false">
      <c r="A7628" s="41"/>
      <c r="G7628" s="38" t="n">
        <f aca="false">MONTH(A7628)</f>
        <v>12</v>
      </c>
      <c r="H7628" s="38" t="n">
        <f aca="false">YEAR(Tabela1[[#This Row],[FECHA]])</f>
        <v>1900</v>
      </c>
      <c r="I76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29" customFormat="false" ht="15" hidden="false" customHeight="false" outlineLevel="0" collapsed="false">
      <c r="A7629" s="41"/>
      <c r="G7629" s="38" t="n">
        <f aca="false">MONTH(A7629)</f>
        <v>12</v>
      </c>
      <c r="H7629" s="38" t="n">
        <f aca="false">YEAR(Tabela1[[#This Row],[FECHA]])</f>
        <v>1900</v>
      </c>
      <c r="I76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30" customFormat="false" ht="15" hidden="false" customHeight="false" outlineLevel="0" collapsed="false">
      <c r="A7630" s="41"/>
      <c r="G7630" s="38" t="n">
        <f aca="false">MONTH(A7630)</f>
        <v>12</v>
      </c>
      <c r="H7630" s="38" t="n">
        <f aca="false">YEAR(Tabela1[[#This Row],[FECHA]])</f>
        <v>1900</v>
      </c>
      <c r="I76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31" customFormat="false" ht="15" hidden="false" customHeight="false" outlineLevel="0" collapsed="false">
      <c r="A7631" s="41"/>
      <c r="G7631" s="38" t="n">
        <f aca="false">MONTH(A7631)</f>
        <v>12</v>
      </c>
      <c r="H7631" s="38" t="n">
        <f aca="false">YEAR(Tabela1[[#This Row],[FECHA]])</f>
        <v>1900</v>
      </c>
      <c r="I76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32" customFormat="false" ht="15" hidden="false" customHeight="false" outlineLevel="0" collapsed="false">
      <c r="A7632" s="41"/>
      <c r="G7632" s="38" t="n">
        <f aca="false">MONTH(A7632)</f>
        <v>12</v>
      </c>
      <c r="H7632" s="38" t="n">
        <f aca="false">YEAR(Tabela1[[#This Row],[FECHA]])</f>
        <v>1900</v>
      </c>
      <c r="I76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33" customFormat="false" ht="15" hidden="false" customHeight="false" outlineLevel="0" collapsed="false">
      <c r="A7633" s="41"/>
      <c r="G7633" s="38" t="n">
        <f aca="false">MONTH(A7633)</f>
        <v>12</v>
      </c>
      <c r="H7633" s="38" t="n">
        <f aca="false">YEAR(Tabela1[[#This Row],[FECHA]])</f>
        <v>1900</v>
      </c>
      <c r="I76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34" customFormat="false" ht="15" hidden="false" customHeight="false" outlineLevel="0" collapsed="false">
      <c r="A7634" s="41"/>
      <c r="G7634" s="38" t="n">
        <f aca="false">MONTH(A7634)</f>
        <v>12</v>
      </c>
      <c r="H7634" s="38" t="n">
        <f aca="false">YEAR(Tabela1[[#This Row],[FECHA]])</f>
        <v>1900</v>
      </c>
      <c r="I76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35" customFormat="false" ht="15" hidden="false" customHeight="false" outlineLevel="0" collapsed="false">
      <c r="A7635" s="41"/>
      <c r="G7635" s="38" t="n">
        <f aca="false">MONTH(A7635)</f>
        <v>12</v>
      </c>
      <c r="H7635" s="38" t="n">
        <f aca="false">YEAR(Tabela1[[#This Row],[FECHA]])</f>
        <v>1900</v>
      </c>
      <c r="I76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36" customFormat="false" ht="15" hidden="false" customHeight="false" outlineLevel="0" collapsed="false">
      <c r="A7636" s="41"/>
      <c r="G7636" s="38" t="n">
        <f aca="false">MONTH(A7636)</f>
        <v>12</v>
      </c>
      <c r="H7636" s="38" t="n">
        <f aca="false">YEAR(Tabela1[[#This Row],[FECHA]])</f>
        <v>1900</v>
      </c>
      <c r="I76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37" customFormat="false" ht="15" hidden="false" customHeight="false" outlineLevel="0" collapsed="false">
      <c r="A7637" s="41"/>
      <c r="G7637" s="38" t="n">
        <f aca="false">MONTH(A7637)</f>
        <v>12</v>
      </c>
      <c r="H7637" s="38" t="n">
        <f aca="false">YEAR(Tabela1[[#This Row],[FECHA]])</f>
        <v>1900</v>
      </c>
      <c r="I76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38" customFormat="false" ht="15" hidden="false" customHeight="false" outlineLevel="0" collapsed="false">
      <c r="A7638" s="41"/>
      <c r="G7638" s="38" t="n">
        <f aca="false">MONTH(A7638)</f>
        <v>12</v>
      </c>
      <c r="H7638" s="38" t="n">
        <f aca="false">YEAR(Tabela1[[#This Row],[FECHA]])</f>
        <v>1900</v>
      </c>
      <c r="I76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39" customFormat="false" ht="15" hidden="false" customHeight="false" outlineLevel="0" collapsed="false">
      <c r="A7639" s="41"/>
      <c r="G7639" s="38" t="n">
        <f aca="false">MONTH(A7639)</f>
        <v>12</v>
      </c>
      <c r="H7639" s="38" t="n">
        <f aca="false">YEAR(Tabela1[[#This Row],[FECHA]])</f>
        <v>1900</v>
      </c>
      <c r="I76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40" customFormat="false" ht="15" hidden="false" customHeight="false" outlineLevel="0" collapsed="false">
      <c r="A7640" s="41"/>
      <c r="G7640" s="38" t="n">
        <f aca="false">MONTH(A7640)</f>
        <v>12</v>
      </c>
      <c r="H7640" s="38" t="n">
        <f aca="false">YEAR(Tabela1[[#This Row],[FECHA]])</f>
        <v>1900</v>
      </c>
      <c r="I76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41" customFormat="false" ht="15" hidden="false" customHeight="false" outlineLevel="0" collapsed="false">
      <c r="A7641" s="41"/>
      <c r="G7641" s="38" t="n">
        <f aca="false">MONTH(A7641)</f>
        <v>12</v>
      </c>
      <c r="H7641" s="38" t="n">
        <f aca="false">YEAR(Tabela1[[#This Row],[FECHA]])</f>
        <v>1900</v>
      </c>
      <c r="I76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42" customFormat="false" ht="15" hidden="false" customHeight="false" outlineLevel="0" collapsed="false">
      <c r="A7642" s="41"/>
      <c r="G7642" s="38" t="n">
        <f aca="false">MONTH(A7642)</f>
        <v>12</v>
      </c>
      <c r="H7642" s="38" t="n">
        <f aca="false">YEAR(Tabela1[[#This Row],[FECHA]])</f>
        <v>1900</v>
      </c>
      <c r="I76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43" customFormat="false" ht="15" hidden="false" customHeight="false" outlineLevel="0" collapsed="false">
      <c r="A7643" s="41"/>
      <c r="G7643" s="38" t="n">
        <f aca="false">MONTH(A7643)</f>
        <v>12</v>
      </c>
      <c r="H7643" s="38" t="n">
        <f aca="false">YEAR(Tabela1[[#This Row],[FECHA]])</f>
        <v>1900</v>
      </c>
      <c r="I76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44" customFormat="false" ht="15" hidden="false" customHeight="false" outlineLevel="0" collapsed="false">
      <c r="A7644" s="41"/>
      <c r="G7644" s="38" t="n">
        <f aca="false">MONTH(A7644)</f>
        <v>12</v>
      </c>
      <c r="H7644" s="38" t="n">
        <f aca="false">YEAR(Tabela1[[#This Row],[FECHA]])</f>
        <v>1900</v>
      </c>
      <c r="I76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45" customFormat="false" ht="15" hidden="false" customHeight="false" outlineLevel="0" collapsed="false">
      <c r="A7645" s="41"/>
      <c r="G7645" s="38" t="n">
        <f aca="false">MONTH(A7645)</f>
        <v>12</v>
      </c>
      <c r="H7645" s="38" t="n">
        <f aca="false">YEAR(Tabela1[[#This Row],[FECHA]])</f>
        <v>1900</v>
      </c>
      <c r="I76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46" customFormat="false" ht="15" hidden="false" customHeight="false" outlineLevel="0" collapsed="false">
      <c r="A7646" s="41"/>
      <c r="G7646" s="38" t="n">
        <f aca="false">MONTH(A7646)</f>
        <v>12</v>
      </c>
      <c r="H7646" s="38" t="n">
        <f aca="false">YEAR(Tabela1[[#This Row],[FECHA]])</f>
        <v>1900</v>
      </c>
      <c r="I76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47" customFormat="false" ht="15" hidden="false" customHeight="false" outlineLevel="0" collapsed="false">
      <c r="A7647" s="41"/>
      <c r="G7647" s="38" t="n">
        <f aca="false">MONTH(A7647)</f>
        <v>12</v>
      </c>
      <c r="H7647" s="38" t="n">
        <f aca="false">YEAR(Tabela1[[#This Row],[FECHA]])</f>
        <v>1900</v>
      </c>
      <c r="I76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48" customFormat="false" ht="15" hidden="false" customHeight="false" outlineLevel="0" collapsed="false">
      <c r="A7648" s="41"/>
      <c r="G7648" s="38" t="n">
        <f aca="false">MONTH(A7648)</f>
        <v>12</v>
      </c>
      <c r="H7648" s="38" t="n">
        <f aca="false">YEAR(Tabela1[[#This Row],[FECHA]])</f>
        <v>1900</v>
      </c>
      <c r="I76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49" customFormat="false" ht="15" hidden="false" customHeight="false" outlineLevel="0" collapsed="false">
      <c r="A7649" s="41"/>
      <c r="G7649" s="38" t="n">
        <f aca="false">MONTH(A7649)</f>
        <v>12</v>
      </c>
      <c r="H7649" s="38" t="n">
        <f aca="false">YEAR(Tabela1[[#This Row],[FECHA]])</f>
        <v>1900</v>
      </c>
      <c r="I76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50" customFormat="false" ht="15" hidden="false" customHeight="false" outlineLevel="0" collapsed="false">
      <c r="A7650" s="41"/>
      <c r="G7650" s="38" t="n">
        <f aca="false">MONTH(A7650)</f>
        <v>12</v>
      </c>
      <c r="H7650" s="38" t="n">
        <f aca="false">YEAR(Tabela1[[#This Row],[FECHA]])</f>
        <v>1900</v>
      </c>
      <c r="I76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51" customFormat="false" ht="15" hidden="false" customHeight="false" outlineLevel="0" collapsed="false">
      <c r="A7651" s="41"/>
      <c r="G7651" s="38" t="n">
        <f aca="false">MONTH(A7651)</f>
        <v>12</v>
      </c>
      <c r="H7651" s="38" t="n">
        <f aca="false">YEAR(Tabela1[[#This Row],[FECHA]])</f>
        <v>1900</v>
      </c>
      <c r="I76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52" customFormat="false" ht="15" hidden="false" customHeight="false" outlineLevel="0" collapsed="false">
      <c r="A7652" s="41"/>
      <c r="G7652" s="38" t="n">
        <f aca="false">MONTH(A7652)</f>
        <v>12</v>
      </c>
      <c r="H7652" s="38" t="n">
        <f aca="false">YEAR(Tabela1[[#This Row],[FECHA]])</f>
        <v>1900</v>
      </c>
      <c r="I76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53" customFormat="false" ht="15" hidden="false" customHeight="false" outlineLevel="0" collapsed="false">
      <c r="A7653" s="41"/>
      <c r="G7653" s="38" t="n">
        <f aca="false">MONTH(A7653)</f>
        <v>12</v>
      </c>
      <c r="H7653" s="38" t="n">
        <f aca="false">YEAR(Tabela1[[#This Row],[FECHA]])</f>
        <v>1900</v>
      </c>
      <c r="I76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54" customFormat="false" ht="15" hidden="false" customHeight="false" outlineLevel="0" collapsed="false">
      <c r="A7654" s="41"/>
      <c r="G7654" s="38" t="n">
        <f aca="false">MONTH(A7654)</f>
        <v>12</v>
      </c>
      <c r="H7654" s="38" t="n">
        <f aca="false">YEAR(Tabela1[[#This Row],[FECHA]])</f>
        <v>1900</v>
      </c>
      <c r="I76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55" customFormat="false" ht="15" hidden="false" customHeight="false" outlineLevel="0" collapsed="false">
      <c r="A7655" s="41"/>
      <c r="G7655" s="38" t="n">
        <f aca="false">MONTH(A7655)</f>
        <v>12</v>
      </c>
      <c r="H7655" s="38" t="n">
        <f aca="false">YEAR(Tabela1[[#This Row],[FECHA]])</f>
        <v>1900</v>
      </c>
      <c r="I76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56" customFormat="false" ht="15" hidden="false" customHeight="false" outlineLevel="0" collapsed="false">
      <c r="A7656" s="41"/>
      <c r="G7656" s="38" t="n">
        <f aca="false">MONTH(A7656)</f>
        <v>12</v>
      </c>
      <c r="H7656" s="38" t="n">
        <f aca="false">YEAR(Tabela1[[#This Row],[FECHA]])</f>
        <v>1900</v>
      </c>
      <c r="I76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57" customFormat="false" ht="15" hidden="false" customHeight="false" outlineLevel="0" collapsed="false">
      <c r="A7657" s="41"/>
      <c r="G7657" s="38" t="n">
        <f aca="false">MONTH(A7657)</f>
        <v>12</v>
      </c>
      <c r="H7657" s="38" t="n">
        <f aca="false">YEAR(Tabela1[[#This Row],[FECHA]])</f>
        <v>1900</v>
      </c>
      <c r="I76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58" customFormat="false" ht="15" hidden="false" customHeight="false" outlineLevel="0" collapsed="false">
      <c r="A7658" s="41"/>
      <c r="G7658" s="38" t="n">
        <f aca="false">MONTH(A7658)</f>
        <v>12</v>
      </c>
      <c r="H7658" s="38" t="n">
        <f aca="false">YEAR(Tabela1[[#This Row],[FECHA]])</f>
        <v>1900</v>
      </c>
      <c r="I76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59" customFormat="false" ht="15" hidden="false" customHeight="false" outlineLevel="0" collapsed="false">
      <c r="A7659" s="41"/>
      <c r="G7659" s="38" t="n">
        <f aca="false">MONTH(A7659)</f>
        <v>12</v>
      </c>
      <c r="H7659" s="38" t="n">
        <f aca="false">YEAR(Tabela1[[#This Row],[FECHA]])</f>
        <v>1900</v>
      </c>
      <c r="I76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60" customFormat="false" ht="15" hidden="false" customHeight="false" outlineLevel="0" collapsed="false">
      <c r="A7660" s="41"/>
      <c r="G7660" s="38" t="n">
        <f aca="false">MONTH(A7660)</f>
        <v>12</v>
      </c>
      <c r="H7660" s="38" t="n">
        <f aca="false">YEAR(Tabela1[[#This Row],[FECHA]])</f>
        <v>1900</v>
      </c>
      <c r="I76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61" customFormat="false" ht="15" hidden="false" customHeight="false" outlineLevel="0" collapsed="false">
      <c r="A7661" s="41"/>
      <c r="G7661" s="38" t="n">
        <f aca="false">MONTH(A7661)</f>
        <v>12</v>
      </c>
      <c r="H7661" s="38" t="n">
        <f aca="false">YEAR(Tabela1[[#This Row],[FECHA]])</f>
        <v>1900</v>
      </c>
      <c r="I76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62" customFormat="false" ht="15" hidden="false" customHeight="false" outlineLevel="0" collapsed="false">
      <c r="A7662" s="41"/>
      <c r="G7662" s="38" t="n">
        <f aca="false">MONTH(A7662)</f>
        <v>12</v>
      </c>
      <c r="H7662" s="38" t="n">
        <f aca="false">YEAR(Tabela1[[#This Row],[FECHA]])</f>
        <v>1900</v>
      </c>
      <c r="I76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63" customFormat="false" ht="15" hidden="false" customHeight="false" outlineLevel="0" collapsed="false">
      <c r="A7663" s="41"/>
      <c r="G7663" s="38" t="n">
        <f aca="false">MONTH(A7663)</f>
        <v>12</v>
      </c>
      <c r="H7663" s="38" t="n">
        <f aca="false">YEAR(Tabela1[[#This Row],[FECHA]])</f>
        <v>1900</v>
      </c>
      <c r="I76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64" customFormat="false" ht="15" hidden="false" customHeight="false" outlineLevel="0" collapsed="false">
      <c r="A7664" s="41"/>
      <c r="G7664" s="38" t="n">
        <f aca="false">MONTH(A7664)</f>
        <v>12</v>
      </c>
      <c r="H7664" s="38" t="n">
        <f aca="false">YEAR(Tabela1[[#This Row],[FECHA]])</f>
        <v>1900</v>
      </c>
      <c r="I76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65" customFormat="false" ht="15" hidden="false" customHeight="false" outlineLevel="0" collapsed="false">
      <c r="A7665" s="41"/>
      <c r="G7665" s="38" t="n">
        <f aca="false">MONTH(A7665)</f>
        <v>12</v>
      </c>
      <c r="H7665" s="38" t="n">
        <f aca="false">YEAR(Tabela1[[#This Row],[FECHA]])</f>
        <v>1900</v>
      </c>
      <c r="I76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66" customFormat="false" ht="15" hidden="false" customHeight="false" outlineLevel="0" collapsed="false">
      <c r="A7666" s="41"/>
      <c r="G7666" s="38" t="n">
        <f aca="false">MONTH(A7666)</f>
        <v>12</v>
      </c>
      <c r="H7666" s="38" t="n">
        <f aca="false">YEAR(Tabela1[[#This Row],[FECHA]])</f>
        <v>1900</v>
      </c>
      <c r="I76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67" customFormat="false" ht="15" hidden="false" customHeight="false" outlineLevel="0" collapsed="false">
      <c r="A7667" s="41"/>
      <c r="G7667" s="38" t="n">
        <f aca="false">MONTH(A7667)</f>
        <v>12</v>
      </c>
      <c r="H7667" s="38" t="n">
        <f aca="false">YEAR(Tabela1[[#This Row],[FECHA]])</f>
        <v>1900</v>
      </c>
      <c r="I76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68" customFormat="false" ht="15" hidden="false" customHeight="false" outlineLevel="0" collapsed="false">
      <c r="A7668" s="41"/>
      <c r="G7668" s="38" t="n">
        <f aca="false">MONTH(A7668)</f>
        <v>12</v>
      </c>
      <c r="H7668" s="38" t="n">
        <f aca="false">YEAR(Tabela1[[#This Row],[FECHA]])</f>
        <v>1900</v>
      </c>
      <c r="I76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69" customFormat="false" ht="15" hidden="false" customHeight="false" outlineLevel="0" collapsed="false">
      <c r="A7669" s="41"/>
      <c r="G7669" s="38" t="n">
        <f aca="false">MONTH(A7669)</f>
        <v>12</v>
      </c>
      <c r="H7669" s="38" t="n">
        <f aca="false">YEAR(Tabela1[[#This Row],[FECHA]])</f>
        <v>1900</v>
      </c>
      <c r="I76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70" customFormat="false" ht="15" hidden="false" customHeight="false" outlineLevel="0" collapsed="false">
      <c r="A7670" s="41"/>
      <c r="G7670" s="38" t="n">
        <f aca="false">MONTH(A7670)</f>
        <v>12</v>
      </c>
      <c r="H7670" s="38" t="n">
        <f aca="false">YEAR(Tabela1[[#This Row],[FECHA]])</f>
        <v>1900</v>
      </c>
      <c r="I76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71" customFormat="false" ht="15" hidden="false" customHeight="false" outlineLevel="0" collapsed="false">
      <c r="A7671" s="41"/>
      <c r="G7671" s="38" t="n">
        <f aca="false">MONTH(A7671)</f>
        <v>12</v>
      </c>
      <c r="H7671" s="38" t="n">
        <f aca="false">YEAR(Tabela1[[#This Row],[FECHA]])</f>
        <v>1900</v>
      </c>
      <c r="I76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72" customFormat="false" ht="15" hidden="false" customHeight="false" outlineLevel="0" collapsed="false">
      <c r="A7672" s="41"/>
      <c r="G7672" s="38" t="n">
        <f aca="false">MONTH(A7672)</f>
        <v>12</v>
      </c>
      <c r="H7672" s="38" t="n">
        <f aca="false">YEAR(Tabela1[[#This Row],[FECHA]])</f>
        <v>1900</v>
      </c>
      <c r="I76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73" customFormat="false" ht="15" hidden="false" customHeight="false" outlineLevel="0" collapsed="false">
      <c r="A7673" s="41"/>
      <c r="G7673" s="38" t="n">
        <f aca="false">MONTH(A7673)</f>
        <v>12</v>
      </c>
      <c r="H7673" s="38" t="n">
        <f aca="false">YEAR(Tabela1[[#This Row],[FECHA]])</f>
        <v>1900</v>
      </c>
      <c r="I76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74" customFormat="false" ht="15" hidden="false" customHeight="false" outlineLevel="0" collapsed="false">
      <c r="A7674" s="41"/>
      <c r="G7674" s="38" t="n">
        <f aca="false">MONTH(A7674)</f>
        <v>12</v>
      </c>
      <c r="H7674" s="38" t="n">
        <f aca="false">YEAR(Tabela1[[#This Row],[FECHA]])</f>
        <v>1900</v>
      </c>
      <c r="I76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75" customFormat="false" ht="15" hidden="false" customHeight="false" outlineLevel="0" collapsed="false">
      <c r="A7675" s="41"/>
      <c r="G7675" s="38" t="n">
        <f aca="false">MONTH(A7675)</f>
        <v>12</v>
      </c>
      <c r="H7675" s="38" t="n">
        <f aca="false">YEAR(Tabela1[[#This Row],[FECHA]])</f>
        <v>1900</v>
      </c>
      <c r="I76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76" customFormat="false" ht="15" hidden="false" customHeight="false" outlineLevel="0" collapsed="false">
      <c r="A7676" s="41"/>
      <c r="G7676" s="38" t="n">
        <f aca="false">MONTH(A7676)</f>
        <v>12</v>
      </c>
      <c r="H7676" s="38" t="n">
        <f aca="false">YEAR(Tabela1[[#This Row],[FECHA]])</f>
        <v>1900</v>
      </c>
      <c r="I76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77" customFormat="false" ht="15" hidden="false" customHeight="false" outlineLevel="0" collapsed="false">
      <c r="A7677" s="41"/>
      <c r="G7677" s="38" t="n">
        <f aca="false">MONTH(A7677)</f>
        <v>12</v>
      </c>
      <c r="H7677" s="38" t="n">
        <f aca="false">YEAR(Tabela1[[#This Row],[FECHA]])</f>
        <v>1900</v>
      </c>
      <c r="I76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78" customFormat="false" ht="15" hidden="false" customHeight="false" outlineLevel="0" collapsed="false">
      <c r="A7678" s="41"/>
      <c r="G7678" s="38" t="n">
        <f aca="false">MONTH(A7678)</f>
        <v>12</v>
      </c>
      <c r="H7678" s="38" t="n">
        <f aca="false">YEAR(Tabela1[[#This Row],[FECHA]])</f>
        <v>1900</v>
      </c>
      <c r="I76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79" customFormat="false" ht="15" hidden="false" customHeight="false" outlineLevel="0" collapsed="false">
      <c r="A7679" s="41"/>
      <c r="G7679" s="38" t="n">
        <f aca="false">MONTH(A7679)</f>
        <v>12</v>
      </c>
      <c r="H7679" s="38" t="n">
        <f aca="false">YEAR(Tabela1[[#This Row],[FECHA]])</f>
        <v>1900</v>
      </c>
      <c r="I76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80" customFormat="false" ht="15" hidden="false" customHeight="false" outlineLevel="0" collapsed="false">
      <c r="A7680" s="41"/>
      <c r="G7680" s="38" t="n">
        <f aca="false">MONTH(A7680)</f>
        <v>12</v>
      </c>
      <c r="H7680" s="38" t="n">
        <f aca="false">YEAR(Tabela1[[#This Row],[FECHA]])</f>
        <v>1900</v>
      </c>
      <c r="I76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81" customFormat="false" ht="15" hidden="false" customHeight="false" outlineLevel="0" collapsed="false">
      <c r="A7681" s="41"/>
      <c r="G7681" s="38" t="n">
        <f aca="false">MONTH(A7681)</f>
        <v>12</v>
      </c>
      <c r="H7681" s="38" t="n">
        <f aca="false">YEAR(Tabela1[[#This Row],[FECHA]])</f>
        <v>1900</v>
      </c>
      <c r="I76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82" customFormat="false" ht="15" hidden="false" customHeight="false" outlineLevel="0" collapsed="false">
      <c r="A7682" s="41"/>
      <c r="G7682" s="38" t="n">
        <f aca="false">MONTH(A7682)</f>
        <v>12</v>
      </c>
      <c r="H7682" s="38" t="n">
        <f aca="false">YEAR(Tabela1[[#This Row],[FECHA]])</f>
        <v>1900</v>
      </c>
      <c r="I76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83" customFormat="false" ht="15" hidden="false" customHeight="false" outlineLevel="0" collapsed="false">
      <c r="A7683" s="41"/>
      <c r="G7683" s="38" t="n">
        <f aca="false">MONTH(A7683)</f>
        <v>12</v>
      </c>
      <c r="H7683" s="38" t="n">
        <f aca="false">YEAR(Tabela1[[#This Row],[FECHA]])</f>
        <v>1900</v>
      </c>
      <c r="I76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84" customFormat="false" ht="15" hidden="false" customHeight="false" outlineLevel="0" collapsed="false">
      <c r="A7684" s="41"/>
      <c r="G7684" s="38" t="n">
        <f aca="false">MONTH(A7684)</f>
        <v>12</v>
      </c>
      <c r="H7684" s="38" t="n">
        <f aca="false">YEAR(Tabela1[[#This Row],[FECHA]])</f>
        <v>1900</v>
      </c>
      <c r="I76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85" customFormat="false" ht="15" hidden="false" customHeight="false" outlineLevel="0" collapsed="false">
      <c r="A7685" s="41"/>
      <c r="G7685" s="38" t="n">
        <f aca="false">MONTH(A7685)</f>
        <v>12</v>
      </c>
      <c r="H7685" s="38" t="n">
        <f aca="false">YEAR(Tabela1[[#This Row],[FECHA]])</f>
        <v>1900</v>
      </c>
      <c r="I76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86" customFormat="false" ht="15" hidden="false" customHeight="false" outlineLevel="0" collapsed="false">
      <c r="A7686" s="41"/>
      <c r="G7686" s="38" t="n">
        <f aca="false">MONTH(A7686)</f>
        <v>12</v>
      </c>
      <c r="H7686" s="38" t="n">
        <f aca="false">YEAR(Tabela1[[#This Row],[FECHA]])</f>
        <v>1900</v>
      </c>
      <c r="I76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87" customFormat="false" ht="15" hidden="false" customHeight="false" outlineLevel="0" collapsed="false">
      <c r="A7687" s="41"/>
      <c r="G7687" s="38" t="n">
        <f aca="false">MONTH(A7687)</f>
        <v>12</v>
      </c>
      <c r="H7687" s="38" t="n">
        <f aca="false">YEAR(Tabela1[[#This Row],[FECHA]])</f>
        <v>1900</v>
      </c>
      <c r="I76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88" customFormat="false" ht="15" hidden="false" customHeight="false" outlineLevel="0" collapsed="false">
      <c r="A7688" s="41"/>
      <c r="G7688" s="38" t="n">
        <f aca="false">MONTH(A7688)</f>
        <v>12</v>
      </c>
      <c r="H7688" s="38" t="n">
        <f aca="false">YEAR(Tabela1[[#This Row],[FECHA]])</f>
        <v>1900</v>
      </c>
      <c r="I76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89" customFormat="false" ht="15" hidden="false" customHeight="false" outlineLevel="0" collapsed="false">
      <c r="A7689" s="41"/>
      <c r="G7689" s="38" t="n">
        <f aca="false">MONTH(A7689)</f>
        <v>12</v>
      </c>
      <c r="H7689" s="38" t="n">
        <f aca="false">YEAR(Tabela1[[#This Row],[FECHA]])</f>
        <v>1900</v>
      </c>
      <c r="I76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90" customFormat="false" ht="15" hidden="false" customHeight="false" outlineLevel="0" collapsed="false">
      <c r="A7690" s="41"/>
      <c r="G7690" s="38" t="n">
        <f aca="false">MONTH(A7690)</f>
        <v>12</v>
      </c>
      <c r="H7690" s="38" t="n">
        <f aca="false">YEAR(Tabela1[[#This Row],[FECHA]])</f>
        <v>1900</v>
      </c>
      <c r="I76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91" customFormat="false" ht="15" hidden="false" customHeight="false" outlineLevel="0" collapsed="false">
      <c r="A7691" s="41"/>
      <c r="G7691" s="38" t="n">
        <f aca="false">MONTH(A7691)</f>
        <v>12</v>
      </c>
      <c r="H7691" s="38" t="n">
        <f aca="false">YEAR(Tabela1[[#This Row],[FECHA]])</f>
        <v>1900</v>
      </c>
      <c r="I76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92" customFormat="false" ht="15" hidden="false" customHeight="false" outlineLevel="0" collapsed="false">
      <c r="A7692" s="41"/>
      <c r="G7692" s="38" t="n">
        <f aca="false">MONTH(A7692)</f>
        <v>12</v>
      </c>
      <c r="H7692" s="38" t="n">
        <f aca="false">YEAR(Tabela1[[#This Row],[FECHA]])</f>
        <v>1900</v>
      </c>
      <c r="I76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93" customFormat="false" ht="15" hidden="false" customHeight="false" outlineLevel="0" collapsed="false">
      <c r="A7693" s="41"/>
      <c r="G7693" s="38" t="n">
        <f aca="false">MONTH(A7693)</f>
        <v>12</v>
      </c>
      <c r="H7693" s="38" t="n">
        <f aca="false">YEAR(Tabela1[[#This Row],[FECHA]])</f>
        <v>1900</v>
      </c>
      <c r="I76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94" customFormat="false" ht="15" hidden="false" customHeight="false" outlineLevel="0" collapsed="false">
      <c r="A7694" s="41"/>
      <c r="G7694" s="38" t="n">
        <f aca="false">MONTH(A7694)</f>
        <v>12</v>
      </c>
      <c r="H7694" s="38" t="n">
        <f aca="false">YEAR(Tabela1[[#This Row],[FECHA]])</f>
        <v>1900</v>
      </c>
      <c r="I76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95" customFormat="false" ht="15" hidden="false" customHeight="false" outlineLevel="0" collapsed="false">
      <c r="A7695" s="41"/>
      <c r="G7695" s="38" t="n">
        <f aca="false">MONTH(A7695)</f>
        <v>12</v>
      </c>
      <c r="H7695" s="38" t="n">
        <f aca="false">YEAR(Tabela1[[#This Row],[FECHA]])</f>
        <v>1900</v>
      </c>
      <c r="I76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96" customFormat="false" ht="15" hidden="false" customHeight="false" outlineLevel="0" collapsed="false">
      <c r="A7696" s="41"/>
      <c r="G7696" s="38" t="n">
        <f aca="false">MONTH(A7696)</f>
        <v>12</v>
      </c>
      <c r="H7696" s="38" t="n">
        <f aca="false">YEAR(Tabela1[[#This Row],[FECHA]])</f>
        <v>1900</v>
      </c>
      <c r="I76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97" customFormat="false" ht="15" hidden="false" customHeight="false" outlineLevel="0" collapsed="false">
      <c r="A7697" s="41"/>
      <c r="G7697" s="38" t="n">
        <f aca="false">MONTH(A7697)</f>
        <v>12</v>
      </c>
      <c r="H7697" s="38" t="n">
        <f aca="false">YEAR(Tabela1[[#This Row],[FECHA]])</f>
        <v>1900</v>
      </c>
      <c r="I76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98" customFormat="false" ht="15" hidden="false" customHeight="false" outlineLevel="0" collapsed="false">
      <c r="A7698" s="41"/>
      <c r="G7698" s="38" t="n">
        <f aca="false">MONTH(A7698)</f>
        <v>12</v>
      </c>
      <c r="H7698" s="38" t="n">
        <f aca="false">YEAR(Tabela1[[#This Row],[FECHA]])</f>
        <v>1900</v>
      </c>
      <c r="I76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699" customFormat="false" ht="15" hidden="false" customHeight="false" outlineLevel="0" collapsed="false">
      <c r="A7699" s="41"/>
      <c r="G7699" s="38" t="n">
        <f aca="false">MONTH(A7699)</f>
        <v>12</v>
      </c>
      <c r="H7699" s="38" t="n">
        <f aca="false">YEAR(Tabela1[[#This Row],[FECHA]])</f>
        <v>1900</v>
      </c>
      <c r="I76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00" customFormat="false" ht="15" hidden="false" customHeight="false" outlineLevel="0" collapsed="false">
      <c r="A7700" s="41"/>
      <c r="G7700" s="38" t="n">
        <f aca="false">MONTH(A7700)</f>
        <v>12</v>
      </c>
      <c r="H7700" s="38" t="n">
        <f aca="false">YEAR(Tabela1[[#This Row],[FECHA]])</f>
        <v>1900</v>
      </c>
      <c r="I77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01" customFormat="false" ht="15" hidden="false" customHeight="false" outlineLevel="0" collapsed="false">
      <c r="A7701" s="41"/>
      <c r="G7701" s="38" t="n">
        <f aca="false">MONTH(A7701)</f>
        <v>12</v>
      </c>
      <c r="H7701" s="38" t="n">
        <f aca="false">YEAR(Tabela1[[#This Row],[FECHA]])</f>
        <v>1900</v>
      </c>
      <c r="I77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02" customFormat="false" ht="15" hidden="false" customHeight="false" outlineLevel="0" collapsed="false">
      <c r="A7702" s="41"/>
      <c r="G7702" s="38" t="n">
        <f aca="false">MONTH(A7702)</f>
        <v>12</v>
      </c>
      <c r="H7702" s="38" t="n">
        <f aca="false">YEAR(Tabela1[[#This Row],[FECHA]])</f>
        <v>1900</v>
      </c>
      <c r="I77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03" customFormat="false" ht="15" hidden="false" customHeight="false" outlineLevel="0" collapsed="false">
      <c r="A7703" s="41"/>
      <c r="G7703" s="38" t="n">
        <f aca="false">MONTH(A7703)</f>
        <v>12</v>
      </c>
      <c r="H7703" s="38" t="n">
        <f aca="false">YEAR(Tabela1[[#This Row],[FECHA]])</f>
        <v>1900</v>
      </c>
      <c r="I77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04" customFormat="false" ht="15" hidden="false" customHeight="false" outlineLevel="0" collapsed="false">
      <c r="A7704" s="41"/>
      <c r="G7704" s="38" t="n">
        <f aca="false">MONTH(A7704)</f>
        <v>12</v>
      </c>
      <c r="H7704" s="38" t="n">
        <f aca="false">YEAR(Tabela1[[#This Row],[FECHA]])</f>
        <v>1900</v>
      </c>
      <c r="I77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05" customFormat="false" ht="15" hidden="false" customHeight="false" outlineLevel="0" collapsed="false">
      <c r="A7705" s="41"/>
      <c r="G7705" s="38" t="n">
        <f aca="false">MONTH(A7705)</f>
        <v>12</v>
      </c>
      <c r="H7705" s="38" t="n">
        <f aca="false">YEAR(Tabela1[[#This Row],[FECHA]])</f>
        <v>1900</v>
      </c>
      <c r="I77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06" customFormat="false" ht="15" hidden="false" customHeight="false" outlineLevel="0" collapsed="false">
      <c r="A7706" s="41"/>
      <c r="G7706" s="38" t="n">
        <f aca="false">MONTH(A7706)</f>
        <v>12</v>
      </c>
      <c r="H7706" s="38" t="n">
        <f aca="false">YEAR(Tabela1[[#This Row],[FECHA]])</f>
        <v>1900</v>
      </c>
      <c r="I77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07" customFormat="false" ht="15" hidden="false" customHeight="false" outlineLevel="0" collapsed="false">
      <c r="A7707" s="41"/>
      <c r="G7707" s="38" t="n">
        <f aca="false">MONTH(A7707)</f>
        <v>12</v>
      </c>
      <c r="H7707" s="38" t="n">
        <f aca="false">YEAR(Tabela1[[#This Row],[FECHA]])</f>
        <v>1900</v>
      </c>
      <c r="I77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08" customFormat="false" ht="15" hidden="false" customHeight="false" outlineLevel="0" collapsed="false">
      <c r="A7708" s="41"/>
      <c r="G7708" s="38" t="n">
        <f aca="false">MONTH(A7708)</f>
        <v>12</v>
      </c>
      <c r="H7708" s="38" t="n">
        <f aca="false">YEAR(Tabela1[[#This Row],[FECHA]])</f>
        <v>1900</v>
      </c>
      <c r="I77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09" customFormat="false" ht="15" hidden="false" customHeight="false" outlineLevel="0" collapsed="false">
      <c r="A7709" s="41"/>
      <c r="G7709" s="38" t="n">
        <f aca="false">MONTH(A7709)</f>
        <v>12</v>
      </c>
      <c r="H7709" s="38" t="n">
        <f aca="false">YEAR(Tabela1[[#This Row],[FECHA]])</f>
        <v>1900</v>
      </c>
      <c r="I77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10" customFormat="false" ht="15" hidden="false" customHeight="false" outlineLevel="0" collapsed="false">
      <c r="A7710" s="41"/>
      <c r="G7710" s="38" t="n">
        <f aca="false">MONTH(A7710)</f>
        <v>12</v>
      </c>
      <c r="H7710" s="38" t="n">
        <f aca="false">YEAR(Tabela1[[#This Row],[FECHA]])</f>
        <v>1900</v>
      </c>
      <c r="I77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11" customFormat="false" ht="15" hidden="false" customHeight="false" outlineLevel="0" collapsed="false">
      <c r="A7711" s="41"/>
      <c r="G7711" s="38" t="n">
        <f aca="false">MONTH(A7711)</f>
        <v>12</v>
      </c>
      <c r="H7711" s="38" t="n">
        <f aca="false">YEAR(Tabela1[[#This Row],[FECHA]])</f>
        <v>1900</v>
      </c>
      <c r="I77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12" customFormat="false" ht="15" hidden="false" customHeight="false" outlineLevel="0" collapsed="false">
      <c r="A7712" s="41"/>
      <c r="G7712" s="38" t="n">
        <f aca="false">MONTH(A7712)</f>
        <v>12</v>
      </c>
      <c r="H7712" s="38" t="n">
        <f aca="false">YEAR(Tabela1[[#This Row],[FECHA]])</f>
        <v>1900</v>
      </c>
      <c r="I77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13" customFormat="false" ht="15" hidden="false" customHeight="false" outlineLevel="0" collapsed="false">
      <c r="A7713" s="41"/>
      <c r="G7713" s="38" t="n">
        <f aca="false">MONTH(A7713)</f>
        <v>12</v>
      </c>
      <c r="H7713" s="38" t="n">
        <f aca="false">YEAR(Tabela1[[#This Row],[FECHA]])</f>
        <v>1900</v>
      </c>
      <c r="I77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14" customFormat="false" ht="15" hidden="false" customHeight="false" outlineLevel="0" collapsed="false">
      <c r="A7714" s="41"/>
      <c r="G7714" s="38" t="n">
        <f aca="false">MONTH(A7714)</f>
        <v>12</v>
      </c>
      <c r="H7714" s="38" t="n">
        <f aca="false">YEAR(Tabela1[[#This Row],[FECHA]])</f>
        <v>1900</v>
      </c>
      <c r="I77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15" customFormat="false" ht="15" hidden="false" customHeight="false" outlineLevel="0" collapsed="false">
      <c r="A7715" s="41"/>
      <c r="G7715" s="38" t="n">
        <f aca="false">MONTH(A7715)</f>
        <v>12</v>
      </c>
      <c r="H7715" s="38" t="n">
        <f aca="false">YEAR(Tabela1[[#This Row],[FECHA]])</f>
        <v>1900</v>
      </c>
      <c r="I77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16" customFormat="false" ht="15" hidden="false" customHeight="false" outlineLevel="0" collapsed="false">
      <c r="A7716" s="41"/>
      <c r="G7716" s="38" t="n">
        <f aca="false">MONTH(A7716)</f>
        <v>12</v>
      </c>
      <c r="H7716" s="38" t="n">
        <f aca="false">YEAR(Tabela1[[#This Row],[FECHA]])</f>
        <v>1900</v>
      </c>
      <c r="I77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17" customFormat="false" ht="15" hidden="false" customHeight="false" outlineLevel="0" collapsed="false">
      <c r="A7717" s="41"/>
      <c r="G7717" s="38" t="n">
        <f aca="false">MONTH(A7717)</f>
        <v>12</v>
      </c>
      <c r="H7717" s="38" t="n">
        <f aca="false">YEAR(Tabela1[[#This Row],[FECHA]])</f>
        <v>1900</v>
      </c>
      <c r="I77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18" customFormat="false" ht="15" hidden="false" customHeight="false" outlineLevel="0" collapsed="false">
      <c r="A7718" s="41"/>
      <c r="G7718" s="38" t="n">
        <f aca="false">MONTH(A7718)</f>
        <v>12</v>
      </c>
      <c r="H7718" s="38" t="n">
        <f aca="false">YEAR(Tabela1[[#This Row],[FECHA]])</f>
        <v>1900</v>
      </c>
      <c r="I77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19" customFormat="false" ht="15" hidden="false" customHeight="false" outlineLevel="0" collapsed="false">
      <c r="A7719" s="41"/>
      <c r="G7719" s="38" t="n">
        <f aca="false">MONTH(A7719)</f>
        <v>12</v>
      </c>
      <c r="H7719" s="38" t="n">
        <f aca="false">YEAR(Tabela1[[#This Row],[FECHA]])</f>
        <v>1900</v>
      </c>
      <c r="I77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20" customFormat="false" ht="15" hidden="false" customHeight="false" outlineLevel="0" collapsed="false">
      <c r="A7720" s="41"/>
      <c r="G7720" s="38" t="n">
        <f aca="false">MONTH(A7720)</f>
        <v>12</v>
      </c>
      <c r="H7720" s="38" t="n">
        <f aca="false">YEAR(Tabela1[[#This Row],[FECHA]])</f>
        <v>1900</v>
      </c>
      <c r="I77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21" customFormat="false" ht="15" hidden="false" customHeight="false" outlineLevel="0" collapsed="false">
      <c r="A7721" s="41"/>
      <c r="G7721" s="38" t="n">
        <f aca="false">MONTH(A7721)</f>
        <v>12</v>
      </c>
      <c r="H7721" s="38" t="n">
        <f aca="false">YEAR(Tabela1[[#This Row],[FECHA]])</f>
        <v>1900</v>
      </c>
      <c r="I77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22" customFormat="false" ht="15" hidden="false" customHeight="false" outlineLevel="0" collapsed="false">
      <c r="A7722" s="41"/>
      <c r="G7722" s="38" t="n">
        <f aca="false">MONTH(A7722)</f>
        <v>12</v>
      </c>
      <c r="H7722" s="38" t="n">
        <f aca="false">YEAR(Tabela1[[#This Row],[FECHA]])</f>
        <v>1900</v>
      </c>
      <c r="I77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23" customFormat="false" ht="15" hidden="false" customHeight="false" outlineLevel="0" collapsed="false">
      <c r="A7723" s="41"/>
      <c r="G7723" s="38" t="n">
        <f aca="false">MONTH(A7723)</f>
        <v>12</v>
      </c>
      <c r="H7723" s="38" t="n">
        <f aca="false">YEAR(Tabela1[[#This Row],[FECHA]])</f>
        <v>1900</v>
      </c>
      <c r="I77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24" customFormat="false" ht="15" hidden="false" customHeight="false" outlineLevel="0" collapsed="false">
      <c r="A7724" s="41"/>
      <c r="G7724" s="38" t="n">
        <f aca="false">MONTH(A7724)</f>
        <v>12</v>
      </c>
      <c r="H7724" s="38" t="n">
        <f aca="false">YEAR(Tabela1[[#This Row],[FECHA]])</f>
        <v>1900</v>
      </c>
      <c r="I77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25" customFormat="false" ht="15" hidden="false" customHeight="false" outlineLevel="0" collapsed="false">
      <c r="A7725" s="41"/>
      <c r="G7725" s="38" t="n">
        <f aca="false">MONTH(A7725)</f>
        <v>12</v>
      </c>
      <c r="H7725" s="38" t="n">
        <f aca="false">YEAR(Tabela1[[#This Row],[FECHA]])</f>
        <v>1900</v>
      </c>
      <c r="I77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26" customFormat="false" ht="15" hidden="false" customHeight="false" outlineLevel="0" collapsed="false">
      <c r="A7726" s="41"/>
      <c r="G7726" s="38" t="n">
        <f aca="false">MONTH(A7726)</f>
        <v>12</v>
      </c>
      <c r="H7726" s="38" t="n">
        <f aca="false">YEAR(Tabela1[[#This Row],[FECHA]])</f>
        <v>1900</v>
      </c>
      <c r="I77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27" customFormat="false" ht="15" hidden="false" customHeight="false" outlineLevel="0" collapsed="false">
      <c r="A7727" s="41"/>
      <c r="G7727" s="38" t="n">
        <f aca="false">MONTH(A7727)</f>
        <v>12</v>
      </c>
      <c r="H7727" s="38" t="n">
        <f aca="false">YEAR(Tabela1[[#This Row],[FECHA]])</f>
        <v>1900</v>
      </c>
      <c r="I77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28" customFormat="false" ht="15" hidden="false" customHeight="false" outlineLevel="0" collapsed="false">
      <c r="A7728" s="41"/>
      <c r="G7728" s="38" t="n">
        <f aca="false">MONTH(A7728)</f>
        <v>12</v>
      </c>
      <c r="H7728" s="38" t="n">
        <f aca="false">YEAR(Tabela1[[#This Row],[FECHA]])</f>
        <v>1900</v>
      </c>
      <c r="I77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29" customFormat="false" ht="15" hidden="false" customHeight="false" outlineLevel="0" collapsed="false">
      <c r="A7729" s="41"/>
      <c r="G7729" s="38" t="n">
        <f aca="false">MONTH(A7729)</f>
        <v>12</v>
      </c>
      <c r="H7729" s="38" t="n">
        <f aca="false">YEAR(Tabela1[[#This Row],[FECHA]])</f>
        <v>1900</v>
      </c>
      <c r="I77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30" customFormat="false" ht="15" hidden="false" customHeight="false" outlineLevel="0" collapsed="false">
      <c r="A7730" s="41"/>
      <c r="G7730" s="38" t="n">
        <f aca="false">MONTH(A7730)</f>
        <v>12</v>
      </c>
      <c r="H7730" s="38" t="n">
        <f aca="false">YEAR(Tabela1[[#This Row],[FECHA]])</f>
        <v>1900</v>
      </c>
      <c r="I77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31" customFormat="false" ht="15" hidden="false" customHeight="false" outlineLevel="0" collapsed="false">
      <c r="A7731" s="41"/>
      <c r="G7731" s="38" t="n">
        <f aca="false">MONTH(A7731)</f>
        <v>12</v>
      </c>
      <c r="H7731" s="38" t="n">
        <f aca="false">YEAR(Tabela1[[#This Row],[FECHA]])</f>
        <v>1900</v>
      </c>
      <c r="I77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32" customFormat="false" ht="15" hidden="false" customHeight="false" outlineLevel="0" collapsed="false">
      <c r="A7732" s="41"/>
      <c r="G7732" s="38" t="n">
        <f aca="false">MONTH(A7732)</f>
        <v>12</v>
      </c>
      <c r="H7732" s="38" t="n">
        <f aca="false">YEAR(Tabela1[[#This Row],[FECHA]])</f>
        <v>1900</v>
      </c>
      <c r="I77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33" customFormat="false" ht="15" hidden="false" customHeight="false" outlineLevel="0" collapsed="false">
      <c r="A7733" s="41"/>
      <c r="G7733" s="38" t="n">
        <f aca="false">MONTH(A7733)</f>
        <v>12</v>
      </c>
      <c r="H7733" s="38" t="n">
        <f aca="false">YEAR(Tabela1[[#This Row],[FECHA]])</f>
        <v>1900</v>
      </c>
      <c r="I77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34" customFormat="false" ht="15" hidden="false" customHeight="false" outlineLevel="0" collapsed="false">
      <c r="A7734" s="41"/>
      <c r="G7734" s="38" t="n">
        <f aca="false">MONTH(A7734)</f>
        <v>12</v>
      </c>
      <c r="H7734" s="38" t="n">
        <f aca="false">YEAR(Tabela1[[#This Row],[FECHA]])</f>
        <v>1900</v>
      </c>
      <c r="I77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35" customFormat="false" ht="15" hidden="false" customHeight="false" outlineLevel="0" collapsed="false">
      <c r="A7735" s="41"/>
      <c r="G7735" s="38" t="n">
        <f aca="false">MONTH(A7735)</f>
        <v>12</v>
      </c>
      <c r="H7735" s="38" t="n">
        <f aca="false">YEAR(Tabela1[[#This Row],[FECHA]])</f>
        <v>1900</v>
      </c>
      <c r="I77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36" customFormat="false" ht="15" hidden="false" customHeight="false" outlineLevel="0" collapsed="false">
      <c r="A7736" s="41"/>
      <c r="G7736" s="38" t="n">
        <f aca="false">MONTH(A7736)</f>
        <v>12</v>
      </c>
      <c r="H7736" s="38" t="n">
        <f aca="false">YEAR(Tabela1[[#This Row],[FECHA]])</f>
        <v>1900</v>
      </c>
      <c r="I77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37" customFormat="false" ht="15" hidden="false" customHeight="false" outlineLevel="0" collapsed="false">
      <c r="A7737" s="41"/>
      <c r="G7737" s="38" t="n">
        <f aca="false">MONTH(A7737)</f>
        <v>12</v>
      </c>
      <c r="H7737" s="38" t="n">
        <f aca="false">YEAR(Tabela1[[#This Row],[FECHA]])</f>
        <v>1900</v>
      </c>
      <c r="I77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38" customFormat="false" ht="15" hidden="false" customHeight="false" outlineLevel="0" collapsed="false">
      <c r="A7738" s="41"/>
      <c r="G7738" s="38" t="n">
        <f aca="false">MONTH(A7738)</f>
        <v>12</v>
      </c>
      <c r="H7738" s="38" t="n">
        <f aca="false">YEAR(Tabela1[[#This Row],[FECHA]])</f>
        <v>1900</v>
      </c>
      <c r="I77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39" customFormat="false" ht="15" hidden="false" customHeight="false" outlineLevel="0" collapsed="false">
      <c r="A7739" s="41"/>
      <c r="G7739" s="38" t="n">
        <f aca="false">MONTH(A7739)</f>
        <v>12</v>
      </c>
      <c r="H7739" s="38" t="n">
        <f aca="false">YEAR(Tabela1[[#This Row],[FECHA]])</f>
        <v>1900</v>
      </c>
      <c r="I77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40" customFormat="false" ht="15" hidden="false" customHeight="false" outlineLevel="0" collapsed="false">
      <c r="A7740" s="41"/>
      <c r="G7740" s="38" t="n">
        <f aca="false">MONTH(A7740)</f>
        <v>12</v>
      </c>
      <c r="H7740" s="38" t="n">
        <f aca="false">YEAR(Tabela1[[#This Row],[FECHA]])</f>
        <v>1900</v>
      </c>
      <c r="I77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41" customFormat="false" ht="15" hidden="false" customHeight="false" outlineLevel="0" collapsed="false">
      <c r="A7741" s="41"/>
      <c r="G7741" s="38" t="n">
        <f aca="false">MONTH(A7741)</f>
        <v>12</v>
      </c>
      <c r="H7741" s="38" t="n">
        <f aca="false">YEAR(Tabela1[[#This Row],[FECHA]])</f>
        <v>1900</v>
      </c>
      <c r="I77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42" customFormat="false" ht="15" hidden="false" customHeight="false" outlineLevel="0" collapsed="false">
      <c r="A7742" s="41"/>
      <c r="G7742" s="38" t="n">
        <f aca="false">MONTH(A7742)</f>
        <v>12</v>
      </c>
      <c r="H7742" s="38" t="n">
        <f aca="false">YEAR(Tabela1[[#This Row],[FECHA]])</f>
        <v>1900</v>
      </c>
      <c r="I77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43" customFormat="false" ht="15" hidden="false" customHeight="false" outlineLevel="0" collapsed="false">
      <c r="A7743" s="41"/>
      <c r="G7743" s="38" t="n">
        <f aca="false">MONTH(A7743)</f>
        <v>12</v>
      </c>
      <c r="H7743" s="38" t="n">
        <f aca="false">YEAR(Tabela1[[#This Row],[FECHA]])</f>
        <v>1900</v>
      </c>
      <c r="I77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44" customFormat="false" ht="15" hidden="false" customHeight="false" outlineLevel="0" collapsed="false">
      <c r="A7744" s="41"/>
      <c r="G7744" s="38" t="n">
        <f aca="false">MONTH(A7744)</f>
        <v>12</v>
      </c>
      <c r="H7744" s="38" t="n">
        <f aca="false">YEAR(Tabela1[[#This Row],[FECHA]])</f>
        <v>1900</v>
      </c>
      <c r="I77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45" customFormat="false" ht="15" hidden="false" customHeight="false" outlineLevel="0" collapsed="false">
      <c r="A7745" s="41"/>
      <c r="G7745" s="38" t="n">
        <f aca="false">MONTH(A7745)</f>
        <v>12</v>
      </c>
      <c r="H7745" s="38" t="n">
        <f aca="false">YEAR(Tabela1[[#This Row],[FECHA]])</f>
        <v>1900</v>
      </c>
      <c r="I77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46" customFormat="false" ht="15" hidden="false" customHeight="false" outlineLevel="0" collapsed="false">
      <c r="A7746" s="41"/>
      <c r="G7746" s="38" t="n">
        <f aca="false">MONTH(A7746)</f>
        <v>12</v>
      </c>
      <c r="H7746" s="38" t="n">
        <f aca="false">YEAR(Tabela1[[#This Row],[FECHA]])</f>
        <v>1900</v>
      </c>
      <c r="I77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47" customFormat="false" ht="15" hidden="false" customHeight="false" outlineLevel="0" collapsed="false">
      <c r="A7747" s="41"/>
      <c r="G7747" s="38" t="n">
        <f aca="false">MONTH(A7747)</f>
        <v>12</v>
      </c>
      <c r="H7747" s="38" t="n">
        <f aca="false">YEAR(Tabela1[[#This Row],[FECHA]])</f>
        <v>1900</v>
      </c>
      <c r="I77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48" customFormat="false" ht="15" hidden="false" customHeight="false" outlineLevel="0" collapsed="false">
      <c r="A7748" s="41"/>
      <c r="G7748" s="38" t="n">
        <f aca="false">MONTH(A7748)</f>
        <v>12</v>
      </c>
      <c r="H7748" s="38" t="n">
        <f aca="false">YEAR(Tabela1[[#This Row],[FECHA]])</f>
        <v>1900</v>
      </c>
      <c r="I77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49" customFormat="false" ht="15" hidden="false" customHeight="false" outlineLevel="0" collapsed="false">
      <c r="A7749" s="41"/>
      <c r="G7749" s="38" t="n">
        <f aca="false">MONTH(A7749)</f>
        <v>12</v>
      </c>
      <c r="H7749" s="38" t="n">
        <f aca="false">YEAR(Tabela1[[#This Row],[FECHA]])</f>
        <v>1900</v>
      </c>
      <c r="I77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50" customFormat="false" ht="15" hidden="false" customHeight="false" outlineLevel="0" collapsed="false">
      <c r="A7750" s="41"/>
      <c r="G7750" s="38" t="n">
        <f aca="false">MONTH(A7750)</f>
        <v>12</v>
      </c>
      <c r="H7750" s="38" t="n">
        <f aca="false">YEAR(Tabela1[[#This Row],[FECHA]])</f>
        <v>1900</v>
      </c>
      <c r="I77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51" customFormat="false" ht="15" hidden="false" customHeight="false" outlineLevel="0" collapsed="false">
      <c r="A7751" s="41"/>
      <c r="G7751" s="38" t="n">
        <f aca="false">MONTH(A7751)</f>
        <v>12</v>
      </c>
      <c r="H7751" s="38" t="n">
        <f aca="false">YEAR(Tabela1[[#This Row],[FECHA]])</f>
        <v>1900</v>
      </c>
      <c r="I77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52" customFormat="false" ht="15" hidden="false" customHeight="false" outlineLevel="0" collapsed="false">
      <c r="A7752" s="41"/>
      <c r="G7752" s="38" t="n">
        <f aca="false">MONTH(A7752)</f>
        <v>12</v>
      </c>
      <c r="H7752" s="38" t="n">
        <f aca="false">YEAR(Tabela1[[#This Row],[FECHA]])</f>
        <v>1900</v>
      </c>
      <c r="I77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53" customFormat="false" ht="15" hidden="false" customHeight="false" outlineLevel="0" collapsed="false">
      <c r="A7753" s="41"/>
      <c r="G7753" s="38" t="n">
        <f aca="false">MONTH(A7753)</f>
        <v>12</v>
      </c>
      <c r="H7753" s="38" t="n">
        <f aca="false">YEAR(Tabela1[[#This Row],[FECHA]])</f>
        <v>1900</v>
      </c>
      <c r="I77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54" customFormat="false" ht="15" hidden="false" customHeight="false" outlineLevel="0" collapsed="false">
      <c r="A7754" s="41"/>
      <c r="G7754" s="38" t="n">
        <f aca="false">MONTH(A7754)</f>
        <v>12</v>
      </c>
      <c r="H7754" s="38" t="n">
        <f aca="false">YEAR(Tabela1[[#This Row],[FECHA]])</f>
        <v>1900</v>
      </c>
      <c r="I77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55" customFormat="false" ht="15" hidden="false" customHeight="false" outlineLevel="0" collapsed="false">
      <c r="A7755" s="41"/>
      <c r="G7755" s="38" t="n">
        <f aca="false">MONTH(A7755)</f>
        <v>12</v>
      </c>
      <c r="H7755" s="38" t="n">
        <f aca="false">YEAR(Tabela1[[#This Row],[FECHA]])</f>
        <v>1900</v>
      </c>
      <c r="I77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56" customFormat="false" ht="15" hidden="false" customHeight="false" outlineLevel="0" collapsed="false">
      <c r="A7756" s="41"/>
      <c r="G7756" s="38" t="n">
        <f aca="false">MONTH(A7756)</f>
        <v>12</v>
      </c>
      <c r="H7756" s="38" t="n">
        <f aca="false">YEAR(Tabela1[[#This Row],[FECHA]])</f>
        <v>1900</v>
      </c>
      <c r="I77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57" customFormat="false" ht="15" hidden="false" customHeight="false" outlineLevel="0" collapsed="false">
      <c r="A7757" s="41"/>
      <c r="G7757" s="38" t="n">
        <f aca="false">MONTH(A7757)</f>
        <v>12</v>
      </c>
      <c r="H7757" s="38" t="n">
        <f aca="false">YEAR(Tabela1[[#This Row],[FECHA]])</f>
        <v>1900</v>
      </c>
      <c r="I77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58" customFormat="false" ht="15" hidden="false" customHeight="false" outlineLevel="0" collapsed="false">
      <c r="A7758" s="41"/>
      <c r="G7758" s="38" t="n">
        <f aca="false">MONTH(A7758)</f>
        <v>12</v>
      </c>
      <c r="H7758" s="38" t="n">
        <f aca="false">YEAR(Tabela1[[#This Row],[FECHA]])</f>
        <v>1900</v>
      </c>
      <c r="I77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59" customFormat="false" ht="15" hidden="false" customHeight="false" outlineLevel="0" collapsed="false">
      <c r="A7759" s="41"/>
      <c r="G7759" s="38" t="n">
        <f aca="false">MONTH(A7759)</f>
        <v>12</v>
      </c>
      <c r="H7759" s="38" t="n">
        <f aca="false">YEAR(Tabela1[[#This Row],[FECHA]])</f>
        <v>1900</v>
      </c>
      <c r="I77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60" customFormat="false" ht="15" hidden="false" customHeight="false" outlineLevel="0" collapsed="false">
      <c r="A7760" s="41"/>
      <c r="G7760" s="38" t="n">
        <f aca="false">MONTH(A7760)</f>
        <v>12</v>
      </c>
      <c r="H7760" s="38" t="n">
        <f aca="false">YEAR(Tabela1[[#This Row],[FECHA]])</f>
        <v>1900</v>
      </c>
      <c r="I77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61" customFormat="false" ht="15" hidden="false" customHeight="false" outlineLevel="0" collapsed="false">
      <c r="A7761" s="41"/>
      <c r="G7761" s="38" t="n">
        <f aca="false">MONTH(A7761)</f>
        <v>12</v>
      </c>
      <c r="H7761" s="38" t="n">
        <f aca="false">YEAR(Tabela1[[#This Row],[FECHA]])</f>
        <v>1900</v>
      </c>
      <c r="I77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62" customFormat="false" ht="15" hidden="false" customHeight="false" outlineLevel="0" collapsed="false">
      <c r="A7762" s="41"/>
      <c r="G7762" s="38" t="n">
        <f aca="false">MONTH(A7762)</f>
        <v>12</v>
      </c>
      <c r="H7762" s="38" t="n">
        <f aca="false">YEAR(Tabela1[[#This Row],[FECHA]])</f>
        <v>1900</v>
      </c>
      <c r="I77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63" customFormat="false" ht="15" hidden="false" customHeight="false" outlineLevel="0" collapsed="false">
      <c r="A7763" s="41"/>
      <c r="G7763" s="38" t="n">
        <f aca="false">MONTH(A7763)</f>
        <v>12</v>
      </c>
      <c r="H7763" s="38" t="n">
        <f aca="false">YEAR(Tabela1[[#This Row],[FECHA]])</f>
        <v>1900</v>
      </c>
      <c r="I77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64" customFormat="false" ht="15" hidden="false" customHeight="false" outlineLevel="0" collapsed="false">
      <c r="A7764" s="41"/>
      <c r="G7764" s="38" t="n">
        <f aca="false">MONTH(A7764)</f>
        <v>12</v>
      </c>
      <c r="H7764" s="38" t="n">
        <f aca="false">YEAR(Tabela1[[#This Row],[FECHA]])</f>
        <v>1900</v>
      </c>
      <c r="I77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65" customFormat="false" ht="15" hidden="false" customHeight="false" outlineLevel="0" collapsed="false">
      <c r="A7765" s="41"/>
      <c r="G7765" s="38" t="n">
        <f aca="false">MONTH(A7765)</f>
        <v>12</v>
      </c>
      <c r="H7765" s="38" t="n">
        <f aca="false">YEAR(Tabela1[[#This Row],[FECHA]])</f>
        <v>1900</v>
      </c>
      <c r="I77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66" customFormat="false" ht="15" hidden="false" customHeight="false" outlineLevel="0" collapsed="false">
      <c r="A7766" s="41"/>
      <c r="G7766" s="38" t="n">
        <f aca="false">MONTH(A7766)</f>
        <v>12</v>
      </c>
      <c r="H7766" s="38" t="n">
        <f aca="false">YEAR(Tabela1[[#This Row],[FECHA]])</f>
        <v>1900</v>
      </c>
      <c r="I77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67" customFormat="false" ht="15" hidden="false" customHeight="false" outlineLevel="0" collapsed="false">
      <c r="A7767" s="41"/>
      <c r="G7767" s="38" t="n">
        <f aca="false">MONTH(A7767)</f>
        <v>12</v>
      </c>
      <c r="H7767" s="38" t="n">
        <f aca="false">YEAR(Tabela1[[#This Row],[FECHA]])</f>
        <v>1900</v>
      </c>
      <c r="I77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68" customFormat="false" ht="15" hidden="false" customHeight="false" outlineLevel="0" collapsed="false">
      <c r="A7768" s="41"/>
      <c r="G7768" s="38" t="n">
        <f aca="false">MONTH(A7768)</f>
        <v>12</v>
      </c>
      <c r="H7768" s="38" t="n">
        <f aca="false">YEAR(Tabela1[[#This Row],[FECHA]])</f>
        <v>1900</v>
      </c>
      <c r="I77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69" customFormat="false" ht="15" hidden="false" customHeight="false" outlineLevel="0" collapsed="false">
      <c r="A7769" s="41"/>
      <c r="G7769" s="38" t="n">
        <f aca="false">MONTH(A7769)</f>
        <v>12</v>
      </c>
      <c r="H7769" s="38" t="n">
        <f aca="false">YEAR(Tabela1[[#This Row],[FECHA]])</f>
        <v>1900</v>
      </c>
      <c r="I77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70" customFormat="false" ht="15" hidden="false" customHeight="false" outlineLevel="0" collapsed="false">
      <c r="A7770" s="41"/>
      <c r="G7770" s="38" t="n">
        <f aca="false">MONTH(A7770)</f>
        <v>12</v>
      </c>
      <c r="H7770" s="38" t="n">
        <f aca="false">YEAR(Tabela1[[#This Row],[FECHA]])</f>
        <v>1900</v>
      </c>
      <c r="I77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71" customFormat="false" ht="15" hidden="false" customHeight="false" outlineLevel="0" collapsed="false">
      <c r="A7771" s="41"/>
      <c r="G7771" s="38" t="n">
        <f aca="false">MONTH(A7771)</f>
        <v>12</v>
      </c>
      <c r="H7771" s="38" t="n">
        <f aca="false">YEAR(Tabela1[[#This Row],[FECHA]])</f>
        <v>1900</v>
      </c>
      <c r="I77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72" customFormat="false" ht="15" hidden="false" customHeight="false" outlineLevel="0" collapsed="false">
      <c r="A7772" s="41"/>
      <c r="G7772" s="38" t="n">
        <f aca="false">MONTH(A7772)</f>
        <v>12</v>
      </c>
      <c r="H7772" s="38" t="n">
        <f aca="false">YEAR(Tabela1[[#This Row],[FECHA]])</f>
        <v>1900</v>
      </c>
      <c r="I77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73" customFormat="false" ht="15" hidden="false" customHeight="false" outlineLevel="0" collapsed="false">
      <c r="A7773" s="41"/>
      <c r="G7773" s="38" t="n">
        <f aca="false">MONTH(A7773)</f>
        <v>12</v>
      </c>
      <c r="H7773" s="38" t="n">
        <f aca="false">YEAR(Tabela1[[#This Row],[FECHA]])</f>
        <v>1900</v>
      </c>
      <c r="I77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74" customFormat="false" ht="15" hidden="false" customHeight="false" outlineLevel="0" collapsed="false">
      <c r="A7774" s="41"/>
      <c r="G7774" s="38" t="n">
        <f aca="false">MONTH(A7774)</f>
        <v>12</v>
      </c>
      <c r="H7774" s="38" t="n">
        <f aca="false">YEAR(Tabela1[[#This Row],[FECHA]])</f>
        <v>1900</v>
      </c>
      <c r="I77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75" customFormat="false" ht="15" hidden="false" customHeight="false" outlineLevel="0" collapsed="false">
      <c r="A7775" s="41"/>
      <c r="G7775" s="38" t="n">
        <f aca="false">MONTH(A7775)</f>
        <v>12</v>
      </c>
      <c r="H7775" s="38" t="n">
        <f aca="false">YEAR(Tabela1[[#This Row],[FECHA]])</f>
        <v>1900</v>
      </c>
      <c r="I77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76" customFormat="false" ht="15" hidden="false" customHeight="false" outlineLevel="0" collapsed="false">
      <c r="A7776" s="41"/>
      <c r="G7776" s="38" t="n">
        <f aca="false">MONTH(A7776)</f>
        <v>12</v>
      </c>
      <c r="H7776" s="38" t="n">
        <f aca="false">YEAR(Tabela1[[#This Row],[FECHA]])</f>
        <v>1900</v>
      </c>
      <c r="I77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77" customFormat="false" ht="15" hidden="false" customHeight="false" outlineLevel="0" collapsed="false">
      <c r="A7777" s="41"/>
      <c r="G7777" s="38" t="n">
        <f aca="false">MONTH(A7777)</f>
        <v>12</v>
      </c>
      <c r="H7777" s="38" t="n">
        <f aca="false">YEAR(Tabela1[[#This Row],[FECHA]])</f>
        <v>1900</v>
      </c>
      <c r="I77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78" customFormat="false" ht="15" hidden="false" customHeight="false" outlineLevel="0" collapsed="false">
      <c r="A7778" s="41"/>
      <c r="G7778" s="38" t="n">
        <f aca="false">MONTH(A7778)</f>
        <v>12</v>
      </c>
      <c r="H7778" s="38" t="n">
        <f aca="false">YEAR(Tabela1[[#This Row],[FECHA]])</f>
        <v>1900</v>
      </c>
      <c r="I77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79" customFormat="false" ht="15" hidden="false" customHeight="false" outlineLevel="0" collapsed="false">
      <c r="A7779" s="41"/>
      <c r="G7779" s="38" t="n">
        <f aca="false">MONTH(A7779)</f>
        <v>12</v>
      </c>
      <c r="H7779" s="38" t="n">
        <f aca="false">YEAR(Tabela1[[#This Row],[FECHA]])</f>
        <v>1900</v>
      </c>
      <c r="I77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80" customFormat="false" ht="15" hidden="false" customHeight="false" outlineLevel="0" collapsed="false">
      <c r="A7780" s="41"/>
      <c r="G7780" s="38" t="n">
        <f aca="false">MONTH(A7780)</f>
        <v>12</v>
      </c>
      <c r="H7780" s="38" t="n">
        <f aca="false">YEAR(Tabela1[[#This Row],[FECHA]])</f>
        <v>1900</v>
      </c>
      <c r="I77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81" customFormat="false" ht="15" hidden="false" customHeight="false" outlineLevel="0" collapsed="false">
      <c r="A7781" s="41"/>
      <c r="G7781" s="38" t="n">
        <f aca="false">MONTH(A7781)</f>
        <v>12</v>
      </c>
      <c r="H7781" s="38" t="n">
        <f aca="false">YEAR(Tabela1[[#This Row],[FECHA]])</f>
        <v>1900</v>
      </c>
      <c r="I77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82" customFormat="false" ht="15" hidden="false" customHeight="false" outlineLevel="0" collapsed="false">
      <c r="A7782" s="41"/>
      <c r="G7782" s="38" t="n">
        <f aca="false">MONTH(A7782)</f>
        <v>12</v>
      </c>
      <c r="H7782" s="38" t="n">
        <f aca="false">YEAR(Tabela1[[#This Row],[FECHA]])</f>
        <v>1900</v>
      </c>
      <c r="I77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83" customFormat="false" ht="15" hidden="false" customHeight="false" outlineLevel="0" collapsed="false">
      <c r="A7783" s="41"/>
      <c r="G7783" s="38" t="n">
        <f aca="false">MONTH(A7783)</f>
        <v>12</v>
      </c>
      <c r="H7783" s="38" t="n">
        <f aca="false">YEAR(Tabela1[[#This Row],[FECHA]])</f>
        <v>1900</v>
      </c>
      <c r="I77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84" customFormat="false" ht="15" hidden="false" customHeight="false" outlineLevel="0" collapsed="false">
      <c r="A7784" s="41"/>
      <c r="G7784" s="38" t="n">
        <f aca="false">MONTH(A7784)</f>
        <v>12</v>
      </c>
      <c r="H7784" s="38" t="n">
        <f aca="false">YEAR(Tabela1[[#This Row],[FECHA]])</f>
        <v>1900</v>
      </c>
      <c r="I77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85" customFormat="false" ht="15" hidden="false" customHeight="false" outlineLevel="0" collapsed="false">
      <c r="A7785" s="41"/>
      <c r="G7785" s="38" t="n">
        <f aca="false">MONTH(A7785)</f>
        <v>12</v>
      </c>
      <c r="H7785" s="38" t="n">
        <f aca="false">YEAR(Tabela1[[#This Row],[FECHA]])</f>
        <v>1900</v>
      </c>
      <c r="I77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86" customFormat="false" ht="15" hidden="false" customHeight="false" outlineLevel="0" collapsed="false">
      <c r="A7786" s="41"/>
      <c r="G7786" s="38" t="n">
        <f aca="false">MONTH(A7786)</f>
        <v>12</v>
      </c>
      <c r="H7786" s="38" t="n">
        <f aca="false">YEAR(Tabela1[[#This Row],[FECHA]])</f>
        <v>1900</v>
      </c>
      <c r="I77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87" customFormat="false" ht="15" hidden="false" customHeight="false" outlineLevel="0" collapsed="false">
      <c r="A7787" s="41"/>
      <c r="G7787" s="38" t="n">
        <f aca="false">MONTH(A7787)</f>
        <v>12</v>
      </c>
      <c r="H7787" s="38" t="n">
        <f aca="false">YEAR(Tabela1[[#This Row],[FECHA]])</f>
        <v>1900</v>
      </c>
      <c r="I77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88" customFormat="false" ht="15" hidden="false" customHeight="false" outlineLevel="0" collapsed="false">
      <c r="A7788" s="41"/>
      <c r="G7788" s="38" t="n">
        <f aca="false">MONTH(A7788)</f>
        <v>12</v>
      </c>
      <c r="H7788" s="38" t="n">
        <f aca="false">YEAR(Tabela1[[#This Row],[FECHA]])</f>
        <v>1900</v>
      </c>
      <c r="I77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89" customFormat="false" ht="15" hidden="false" customHeight="false" outlineLevel="0" collapsed="false">
      <c r="A7789" s="41"/>
      <c r="G7789" s="38" t="n">
        <f aca="false">MONTH(A7789)</f>
        <v>12</v>
      </c>
      <c r="H7789" s="38" t="n">
        <f aca="false">YEAR(Tabela1[[#This Row],[FECHA]])</f>
        <v>1900</v>
      </c>
      <c r="I77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90" customFormat="false" ht="15" hidden="false" customHeight="false" outlineLevel="0" collapsed="false">
      <c r="A7790" s="41"/>
      <c r="G7790" s="38" t="n">
        <f aca="false">MONTH(A7790)</f>
        <v>12</v>
      </c>
      <c r="H7790" s="38" t="n">
        <f aca="false">YEAR(Tabela1[[#This Row],[FECHA]])</f>
        <v>1900</v>
      </c>
      <c r="I77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91" customFormat="false" ht="15" hidden="false" customHeight="false" outlineLevel="0" collapsed="false">
      <c r="A7791" s="41"/>
      <c r="G7791" s="38" t="n">
        <f aca="false">MONTH(A7791)</f>
        <v>12</v>
      </c>
      <c r="H7791" s="38" t="n">
        <f aca="false">YEAR(Tabela1[[#This Row],[FECHA]])</f>
        <v>1900</v>
      </c>
      <c r="I77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92" customFormat="false" ht="15" hidden="false" customHeight="false" outlineLevel="0" collapsed="false">
      <c r="A7792" s="41"/>
      <c r="G7792" s="38" t="n">
        <f aca="false">MONTH(A7792)</f>
        <v>12</v>
      </c>
      <c r="H7792" s="38" t="n">
        <f aca="false">YEAR(Tabela1[[#This Row],[FECHA]])</f>
        <v>1900</v>
      </c>
      <c r="I77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93" customFormat="false" ht="15" hidden="false" customHeight="false" outlineLevel="0" collapsed="false">
      <c r="A7793" s="41"/>
      <c r="G7793" s="38" t="n">
        <f aca="false">MONTH(A7793)</f>
        <v>12</v>
      </c>
      <c r="H7793" s="38" t="n">
        <f aca="false">YEAR(Tabela1[[#This Row],[FECHA]])</f>
        <v>1900</v>
      </c>
      <c r="I77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94" customFormat="false" ht="15" hidden="false" customHeight="false" outlineLevel="0" collapsed="false">
      <c r="A7794" s="41"/>
      <c r="G7794" s="38" t="n">
        <f aca="false">MONTH(A7794)</f>
        <v>12</v>
      </c>
      <c r="H7794" s="38" t="n">
        <f aca="false">YEAR(Tabela1[[#This Row],[FECHA]])</f>
        <v>1900</v>
      </c>
      <c r="I77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95" customFormat="false" ht="15" hidden="false" customHeight="false" outlineLevel="0" collapsed="false">
      <c r="A7795" s="41"/>
      <c r="G7795" s="38" t="n">
        <f aca="false">MONTH(A7795)</f>
        <v>12</v>
      </c>
      <c r="H7795" s="38" t="n">
        <f aca="false">YEAR(Tabela1[[#This Row],[FECHA]])</f>
        <v>1900</v>
      </c>
      <c r="I77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96" customFormat="false" ht="15" hidden="false" customHeight="false" outlineLevel="0" collapsed="false">
      <c r="A7796" s="41"/>
      <c r="G7796" s="38" t="n">
        <f aca="false">MONTH(A7796)</f>
        <v>12</v>
      </c>
      <c r="H7796" s="38" t="n">
        <f aca="false">YEAR(Tabela1[[#This Row],[FECHA]])</f>
        <v>1900</v>
      </c>
      <c r="I77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97" customFormat="false" ht="15" hidden="false" customHeight="false" outlineLevel="0" collapsed="false">
      <c r="A7797" s="41"/>
      <c r="G7797" s="38" t="n">
        <f aca="false">MONTH(A7797)</f>
        <v>12</v>
      </c>
      <c r="H7797" s="38" t="n">
        <f aca="false">YEAR(Tabela1[[#This Row],[FECHA]])</f>
        <v>1900</v>
      </c>
      <c r="I77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98" customFormat="false" ht="15" hidden="false" customHeight="false" outlineLevel="0" collapsed="false">
      <c r="A7798" s="41"/>
      <c r="G7798" s="38" t="n">
        <f aca="false">MONTH(A7798)</f>
        <v>12</v>
      </c>
      <c r="H7798" s="38" t="n">
        <f aca="false">YEAR(Tabela1[[#This Row],[FECHA]])</f>
        <v>1900</v>
      </c>
      <c r="I77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799" customFormat="false" ht="15" hidden="false" customHeight="false" outlineLevel="0" collapsed="false">
      <c r="A7799" s="41"/>
      <c r="G7799" s="38" t="n">
        <f aca="false">MONTH(A7799)</f>
        <v>12</v>
      </c>
      <c r="H7799" s="38" t="n">
        <f aca="false">YEAR(Tabela1[[#This Row],[FECHA]])</f>
        <v>1900</v>
      </c>
      <c r="I77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00" customFormat="false" ht="15" hidden="false" customHeight="false" outlineLevel="0" collapsed="false">
      <c r="A7800" s="41"/>
      <c r="G7800" s="38" t="n">
        <f aca="false">MONTH(A7800)</f>
        <v>12</v>
      </c>
      <c r="H7800" s="38" t="n">
        <f aca="false">YEAR(Tabela1[[#This Row],[FECHA]])</f>
        <v>1900</v>
      </c>
      <c r="I78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01" customFormat="false" ht="15" hidden="false" customHeight="false" outlineLevel="0" collapsed="false">
      <c r="A7801" s="41"/>
      <c r="G7801" s="38" t="n">
        <f aca="false">MONTH(A7801)</f>
        <v>12</v>
      </c>
      <c r="H7801" s="38" t="n">
        <f aca="false">YEAR(Tabela1[[#This Row],[FECHA]])</f>
        <v>1900</v>
      </c>
      <c r="I78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02" customFormat="false" ht="15" hidden="false" customHeight="false" outlineLevel="0" collapsed="false">
      <c r="A7802" s="41"/>
      <c r="G7802" s="38" t="n">
        <f aca="false">MONTH(A7802)</f>
        <v>12</v>
      </c>
      <c r="H7802" s="38" t="n">
        <f aca="false">YEAR(Tabela1[[#This Row],[FECHA]])</f>
        <v>1900</v>
      </c>
      <c r="I78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03" customFormat="false" ht="15" hidden="false" customHeight="false" outlineLevel="0" collapsed="false">
      <c r="A7803" s="41"/>
      <c r="G7803" s="38" t="n">
        <f aca="false">MONTH(A7803)</f>
        <v>12</v>
      </c>
      <c r="H7803" s="38" t="n">
        <f aca="false">YEAR(Tabela1[[#This Row],[FECHA]])</f>
        <v>1900</v>
      </c>
      <c r="I78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04" customFormat="false" ht="15" hidden="false" customHeight="false" outlineLevel="0" collapsed="false">
      <c r="A7804" s="41"/>
      <c r="G7804" s="38" t="n">
        <f aca="false">MONTH(A7804)</f>
        <v>12</v>
      </c>
      <c r="H7804" s="38" t="n">
        <f aca="false">YEAR(Tabela1[[#This Row],[FECHA]])</f>
        <v>1900</v>
      </c>
      <c r="I78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05" customFormat="false" ht="15" hidden="false" customHeight="false" outlineLevel="0" collapsed="false">
      <c r="A7805" s="41"/>
      <c r="G7805" s="38" t="n">
        <f aca="false">MONTH(A7805)</f>
        <v>12</v>
      </c>
      <c r="H7805" s="38" t="n">
        <f aca="false">YEAR(Tabela1[[#This Row],[FECHA]])</f>
        <v>1900</v>
      </c>
      <c r="I78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06" customFormat="false" ht="15" hidden="false" customHeight="false" outlineLevel="0" collapsed="false">
      <c r="A7806" s="41"/>
      <c r="G7806" s="38" t="n">
        <f aca="false">MONTH(A7806)</f>
        <v>12</v>
      </c>
      <c r="H7806" s="38" t="n">
        <f aca="false">YEAR(Tabela1[[#This Row],[FECHA]])</f>
        <v>1900</v>
      </c>
      <c r="I78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07" customFormat="false" ht="15" hidden="false" customHeight="false" outlineLevel="0" collapsed="false">
      <c r="A7807" s="41"/>
      <c r="G7807" s="38" t="n">
        <f aca="false">MONTH(A7807)</f>
        <v>12</v>
      </c>
      <c r="H7807" s="38" t="n">
        <f aca="false">YEAR(Tabela1[[#This Row],[FECHA]])</f>
        <v>1900</v>
      </c>
      <c r="I78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08" customFormat="false" ht="15" hidden="false" customHeight="false" outlineLevel="0" collapsed="false">
      <c r="A7808" s="41"/>
      <c r="G7808" s="38" t="n">
        <f aca="false">MONTH(A7808)</f>
        <v>12</v>
      </c>
      <c r="H7808" s="38" t="n">
        <f aca="false">YEAR(Tabela1[[#This Row],[FECHA]])</f>
        <v>1900</v>
      </c>
      <c r="I78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09" customFormat="false" ht="15" hidden="false" customHeight="false" outlineLevel="0" collapsed="false">
      <c r="A7809" s="41"/>
      <c r="G7809" s="38" t="n">
        <f aca="false">MONTH(A7809)</f>
        <v>12</v>
      </c>
      <c r="H7809" s="38" t="n">
        <f aca="false">YEAR(Tabela1[[#This Row],[FECHA]])</f>
        <v>1900</v>
      </c>
      <c r="I78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10" customFormat="false" ht="15" hidden="false" customHeight="false" outlineLevel="0" collapsed="false">
      <c r="A7810" s="41"/>
      <c r="G7810" s="38" t="n">
        <f aca="false">MONTH(A7810)</f>
        <v>12</v>
      </c>
      <c r="H7810" s="38" t="n">
        <f aca="false">YEAR(Tabela1[[#This Row],[FECHA]])</f>
        <v>1900</v>
      </c>
      <c r="I78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11" customFormat="false" ht="15" hidden="false" customHeight="false" outlineLevel="0" collapsed="false">
      <c r="A7811" s="41"/>
      <c r="G7811" s="38" t="n">
        <f aca="false">MONTH(A7811)</f>
        <v>12</v>
      </c>
      <c r="H7811" s="38" t="n">
        <f aca="false">YEAR(Tabela1[[#This Row],[FECHA]])</f>
        <v>1900</v>
      </c>
      <c r="I78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12" customFormat="false" ht="15" hidden="false" customHeight="false" outlineLevel="0" collapsed="false">
      <c r="A7812" s="41"/>
      <c r="G7812" s="38" t="n">
        <f aca="false">MONTH(A7812)</f>
        <v>12</v>
      </c>
      <c r="H7812" s="38" t="n">
        <f aca="false">YEAR(Tabela1[[#This Row],[FECHA]])</f>
        <v>1900</v>
      </c>
      <c r="I78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13" customFormat="false" ht="15" hidden="false" customHeight="false" outlineLevel="0" collapsed="false">
      <c r="A7813" s="41"/>
      <c r="G7813" s="38" t="n">
        <f aca="false">MONTH(A7813)</f>
        <v>12</v>
      </c>
      <c r="H7813" s="38" t="n">
        <f aca="false">YEAR(Tabela1[[#This Row],[FECHA]])</f>
        <v>1900</v>
      </c>
      <c r="I78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14" customFormat="false" ht="15" hidden="false" customHeight="false" outlineLevel="0" collapsed="false">
      <c r="A7814" s="41"/>
      <c r="G7814" s="38" t="n">
        <f aca="false">MONTH(A7814)</f>
        <v>12</v>
      </c>
      <c r="H7814" s="38" t="n">
        <f aca="false">YEAR(Tabela1[[#This Row],[FECHA]])</f>
        <v>1900</v>
      </c>
      <c r="I78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15" customFormat="false" ht="15" hidden="false" customHeight="false" outlineLevel="0" collapsed="false">
      <c r="A7815" s="41"/>
      <c r="G7815" s="38" t="n">
        <f aca="false">MONTH(A7815)</f>
        <v>12</v>
      </c>
      <c r="H7815" s="38" t="n">
        <f aca="false">YEAR(Tabela1[[#This Row],[FECHA]])</f>
        <v>1900</v>
      </c>
      <c r="I78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16" customFormat="false" ht="15" hidden="false" customHeight="false" outlineLevel="0" collapsed="false">
      <c r="A7816" s="41"/>
      <c r="G7816" s="38" t="n">
        <f aca="false">MONTH(A7816)</f>
        <v>12</v>
      </c>
      <c r="H7816" s="38" t="n">
        <f aca="false">YEAR(Tabela1[[#This Row],[FECHA]])</f>
        <v>1900</v>
      </c>
      <c r="I78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17" customFormat="false" ht="15" hidden="false" customHeight="false" outlineLevel="0" collapsed="false">
      <c r="A7817" s="41"/>
      <c r="G7817" s="38" t="n">
        <f aca="false">MONTH(A7817)</f>
        <v>12</v>
      </c>
      <c r="H7817" s="38" t="n">
        <f aca="false">YEAR(Tabela1[[#This Row],[FECHA]])</f>
        <v>1900</v>
      </c>
      <c r="I78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18" customFormat="false" ht="15" hidden="false" customHeight="false" outlineLevel="0" collapsed="false">
      <c r="A7818" s="41"/>
      <c r="G7818" s="38" t="n">
        <f aca="false">MONTH(A7818)</f>
        <v>12</v>
      </c>
      <c r="H7818" s="38" t="n">
        <f aca="false">YEAR(Tabela1[[#This Row],[FECHA]])</f>
        <v>1900</v>
      </c>
      <c r="I78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19" customFormat="false" ht="15" hidden="false" customHeight="false" outlineLevel="0" collapsed="false">
      <c r="A7819" s="41"/>
      <c r="G7819" s="38" t="n">
        <f aca="false">MONTH(A7819)</f>
        <v>12</v>
      </c>
      <c r="H7819" s="38" t="n">
        <f aca="false">YEAR(Tabela1[[#This Row],[FECHA]])</f>
        <v>1900</v>
      </c>
      <c r="I78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20" customFormat="false" ht="15" hidden="false" customHeight="false" outlineLevel="0" collapsed="false">
      <c r="A7820" s="41"/>
      <c r="G7820" s="38" t="n">
        <f aca="false">MONTH(A7820)</f>
        <v>12</v>
      </c>
      <c r="H7820" s="38" t="n">
        <f aca="false">YEAR(Tabela1[[#This Row],[FECHA]])</f>
        <v>1900</v>
      </c>
      <c r="I78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21" customFormat="false" ht="15" hidden="false" customHeight="false" outlineLevel="0" collapsed="false">
      <c r="A7821" s="41"/>
      <c r="G7821" s="38" t="n">
        <f aca="false">MONTH(A7821)</f>
        <v>12</v>
      </c>
      <c r="H7821" s="38" t="n">
        <f aca="false">YEAR(Tabela1[[#This Row],[FECHA]])</f>
        <v>1900</v>
      </c>
      <c r="I78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22" customFormat="false" ht="15" hidden="false" customHeight="false" outlineLevel="0" collapsed="false">
      <c r="A7822" s="41"/>
      <c r="G7822" s="38" t="n">
        <f aca="false">MONTH(A7822)</f>
        <v>12</v>
      </c>
      <c r="H7822" s="38" t="n">
        <f aca="false">YEAR(Tabela1[[#This Row],[FECHA]])</f>
        <v>1900</v>
      </c>
      <c r="I78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23" customFormat="false" ht="15" hidden="false" customHeight="false" outlineLevel="0" collapsed="false">
      <c r="A7823" s="41"/>
      <c r="G7823" s="38" t="n">
        <f aca="false">MONTH(A7823)</f>
        <v>12</v>
      </c>
      <c r="H7823" s="38" t="n">
        <f aca="false">YEAR(Tabela1[[#This Row],[FECHA]])</f>
        <v>1900</v>
      </c>
      <c r="I78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24" customFormat="false" ht="15" hidden="false" customHeight="false" outlineLevel="0" collapsed="false">
      <c r="A7824" s="41"/>
      <c r="G7824" s="38" t="n">
        <f aca="false">MONTH(A7824)</f>
        <v>12</v>
      </c>
      <c r="H7824" s="38" t="n">
        <f aca="false">YEAR(Tabela1[[#This Row],[FECHA]])</f>
        <v>1900</v>
      </c>
      <c r="I78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25" customFormat="false" ht="15" hidden="false" customHeight="false" outlineLevel="0" collapsed="false">
      <c r="A7825" s="41"/>
      <c r="G7825" s="38" t="n">
        <f aca="false">MONTH(A7825)</f>
        <v>12</v>
      </c>
      <c r="H7825" s="38" t="n">
        <f aca="false">YEAR(Tabela1[[#This Row],[FECHA]])</f>
        <v>1900</v>
      </c>
      <c r="I78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26" customFormat="false" ht="15" hidden="false" customHeight="false" outlineLevel="0" collapsed="false">
      <c r="A7826" s="41"/>
      <c r="G7826" s="38" t="n">
        <f aca="false">MONTH(A7826)</f>
        <v>12</v>
      </c>
      <c r="H7826" s="38" t="n">
        <f aca="false">YEAR(Tabela1[[#This Row],[FECHA]])</f>
        <v>1900</v>
      </c>
      <c r="I78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27" customFormat="false" ht="15" hidden="false" customHeight="false" outlineLevel="0" collapsed="false">
      <c r="A7827" s="41"/>
      <c r="G7827" s="38" t="n">
        <f aca="false">MONTH(A7827)</f>
        <v>12</v>
      </c>
      <c r="H7827" s="38" t="n">
        <f aca="false">YEAR(Tabela1[[#This Row],[FECHA]])</f>
        <v>1900</v>
      </c>
      <c r="I78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28" customFormat="false" ht="15" hidden="false" customHeight="false" outlineLevel="0" collapsed="false">
      <c r="A7828" s="41"/>
      <c r="G7828" s="38" t="n">
        <f aca="false">MONTH(A7828)</f>
        <v>12</v>
      </c>
      <c r="H7828" s="38" t="n">
        <f aca="false">YEAR(Tabela1[[#This Row],[FECHA]])</f>
        <v>1900</v>
      </c>
      <c r="I78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29" customFormat="false" ht="15" hidden="false" customHeight="false" outlineLevel="0" collapsed="false">
      <c r="A7829" s="41"/>
      <c r="G7829" s="38" t="n">
        <f aca="false">MONTH(A7829)</f>
        <v>12</v>
      </c>
      <c r="H7829" s="38" t="n">
        <f aca="false">YEAR(Tabela1[[#This Row],[FECHA]])</f>
        <v>1900</v>
      </c>
      <c r="I78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30" customFormat="false" ht="15" hidden="false" customHeight="false" outlineLevel="0" collapsed="false">
      <c r="A7830" s="41"/>
      <c r="G7830" s="38" t="n">
        <f aca="false">MONTH(A7830)</f>
        <v>12</v>
      </c>
      <c r="H7830" s="38" t="n">
        <f aca="false">YEAR(Tabela1[[#This Row],[FECHA]])</f>
        <v>1900</v>
      </c>
      <c r="I78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31" customFormat="false" ht="15" hidden="false" customHeight="false" outlineLevel="0" collapsed="false">
      <c r="A7831" s="41"/>
      <c r="G7831" s="38" t="n">
        <f aca="false">MONTH(A7831)</f>
        <v>12</v>
      </c>
      <c r="H7831" s="38" t="n">
        <f aca="false">YEAR(Tabela1[[#This Row],[FECHA]])</f>
        <v>1900</v>
      </c>
      <c r="I78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32" customFormat="false" ht="15" hidden="false" customHeight="false" outlineLevel="0" collapsed="false">
      <c r="A7832" s="41"/>
      <c r="G7832" s="38" t="n">
        <f aca="false">MONTH(A7832)</f>
        <v>12</v>
      </c>
      <c r="H7832" s="38" t="n">
        <f aca="false">YEAR(Tabela1[[#This Row],[FECHA]])</f>
        <v>1900</v>
      </c>
      <c r="I78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33" customFormat="false" ht="15" hidden="false" customHeight="false" outlineLevel="0" collapsed="false">
      <c r="A7833" s="41"/>
      <c r="G7833" s="38" t="n">
        <f aca="false">MONTH(A7833)</f>
        <v>12</v>
      </c>
      <c r="H7833" s="38" t="n">
        <f aca="false">YEAR(Tabela1[[#This Row],[FECHA]])</f>
        <v>1900</v>
      </c>
      <c r="I78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34" customFormat="false" ht="15" hidden="false" customHeight="false" outlineLevel="0" collapsed="false">
      <c r="A7834" s="41"/>
      <c r="G7834" s="38" t="n">
        <f aca="false">MONTH(A7834)</f>
        <v>12</v>
      </c>
      <c r="H7834" s="38" t="n">
        <f aca="false">YEAR(Tabela1[[#This Row],[FECHA]])</f>
        <v>1900</v>
      </c>
      <c r="I78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35" customFormat="false" ht="15" hidden="false" customHeight="false" outlineLevel="0" collapsed="false">
      <c r="A7835" s="41"/>
      <c r="G7835" s="38" t="n">
        <f aca="false">MONTH(A7835)</f>
        <v>12</v>
      </c>
      <c r="H7835" s="38" t="n">
        <f aca="false">YEAR(Tabela1[[#This Row],[FECHA]])</f>
        <v>1900</v>
      </c>
      <c r="I78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36" customFormat="false" ht="15" hidden="false" customHeight="false" outlineLevel="0" collapsed="false">
      <c r="A7836" s="41"/>
      <c r="G7836" s="38" t="n">
        <f aca="false">MONTH(A7836)</f>
        <v>12</v>
      </c>
      <c r="H7836" s="38" t="n">
        <f aca="false">YEAR(Tabela1[[#This Row],[FECHA]])</f>
        <v>1900</v>
      </c>
      <c r="I78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37" customFormat="false" ht="15" hidden="false" customHeight="false" outlineLevel="0" collapsed="false">
      <c r="A7837" s="41"/>
      <c r="G7837" s="38" t="n">
        <f aca="false">MONTH(A7837)</f>
        <v>12</v>
      </c>
      <c r="H7837" s="38" t="n">
        <f aca="false">YEAR(Tabela1[[#This Row],[FECHA]])</f>
        <v>1900</v>
      </c>
      <c r="I78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38" customFormat="false" ht="15" hidden="false" customHeight="false" outlineLevel="0" collapsed="false">
      <c r="A7838" s="41"/>
      <c r="G7838" s="38" t="n">
        <f aca="false">MONTH(A7838)</f>
        <v>12</v>
      </c>
      <c r="H7838" s="38" t="n">
        <f aca="false">YEAR(Tabela1[[#This Row],[FECHA]])</f>
        <v>1900</v>
      </c>
      <c r="I78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39" customFormat="false" ht="15" hidden="false" customHeight="false" outlineLevel="0" collapsed="false">
      <c r="A7839" s="41"/>
      <c r="G7839" s="38" t="n">
        <f aca="false">MONTH(A7839)</f>
        <v>12</v>
      </c>
      <c r="H7839" s="38" t="n">
        <f aca="false">YEAR(Tabela1[[#This Row],[FECHA]])</f>
        <v>1900</v>
      </c>
      <c r="I78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40" customFormat="false" ht="15" hidden="false" customHeight="false" outlineLevel="0" collapsed="false">
      <c r="A7840" s="41"/>
      <c r="G7840" s="38" t="n">
        <f aca="false">MONTH(A7840)</f>
        <v>12</v>
      </c>
      <c r="H7840" s="38" t="n">
        <f aca="false">YEAR(Tabela1[[#This Row],[FECHA]])</f>
        <v>1900</v>
      </c>
      <c r="I78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41" customFormat="false" ht="15" hidden="false" customHeight="false" outlineLevel="0" collapsed="false">
      <c r="A7841" s="41"/>
      <c r="G7841" s="38" t="n">
        <f aca="false">MONTH(A7841)</f>
        <v>12</v>
      </c>
      <c r="H7841" s="38" t="n">
        <f aca="false">YEAR(Tabela1[[#This Row],[FECHA]])</f>
        <v>1900</v>
      </c>
      <c r="I78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42" customFormat="false" ht="15" hidden="false" customHeight="false" outlineLevel="0" collapsed="false">
      <c r="A7842" s="41"/>
      <c r="G7842" s="38" t="n">
        <f aca="false">MONTH(A7842)</f>
        <v>12</v>
      </c>
      <c r="H7842" s="38" t="n">
        <f aca="false">YEAR(Tabela1[[#This Row],[FECHA]])</f>
        <v>1900</v>
      </c>
      <c r="I78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43" customFormat="false" ht="15" hidden="false" customHeight="false" outlineLevel="0" collapsed="false">
      <c r="A7843" s="41"/>
      <c r="G7843" s="38" t="n">
        <f aca="false">MONTH(A7843)</f>
        <v>12</v>
      </c>
      <c r="H7843" s="38" t="n">
        <f aca="false">YEAR(Tabela1[[#This Row],[FECHA]])</f>
        <v>1900</v>
      </c>
      <c r="I78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44" customFormat="false" ht="15" hidden="false" customHeight="false" outlineLevel="0" collapsed="false">
      <c r="A7844" s="41"/>
      <c r="G7844" s="38" t="n">
        <f aca="false">MONTH(A7844)</f>
        <v>12</v>
      </c>
      <c r="H7844" s="38" t="n">
        <f aca="false">YEAR(Tabela1[[#This Row],[FECHA]])</f>
        <v>1900</v>
      </c>
      <c r="I78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45" customFormat="false" ht="15" hidden="false" customHeight="false" outlineLevel="0" collapsed="false">
      <c r="A7845" s="41"/>
      <c r="G7845" s="38" t="n">
        <f aca="false">MONTH(A7845)</f>
        <v>12</v>
      </c>
      <c r="H7845" s="38" t="n">
        <f aca="false">YEAR(Tabela1[[#This Row],[FECHA]])</f>
        <v>1900</v>
      </c>
      <c r="I78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46" customFormat="false" ht="15" hidden="false" customHeight="false" outlineLevel="0" collapsed="false">
      <c r="A7846" s="41"/>
      <c r="G7846" s="38" t="n">
        <f aca="false">MONTH(A7846)</f>
        <v>12</v>
      </c>
      <c r="H7846" s="38" t="n">
        <f aca="false">YEAR(Tabela1[[#This Row],[FECHA]])</f>
        <v>1900</v>
      </c>
      <c r="I78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47" customFormat="false" ht="15" hidden="false" customHeight="false" outlineLevel="0" collapsed="false">
      <c r="A7847" s="41"/>
      <c r="G7847" s="38" t="n">
        <f aca="false">MONTH(A7847)</f>
        <v>12</v>
      </c>
      <c r="H7847" s="38" t="n">
        <f aca="false">YEAR(Tabela1[[#This Row],[FECHA]])</f>
        <v>1900</v>
      </c>
      <c r="I78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48" customFormat="false" ht="15" hidden="false" customHeight="false" outlineLevel="0" collapsed="false">
      <c r="A7848" s="41"/>
      <c r="G7848" s="38" t="n">
        <f aca="false">MONTH(A7848)</f>
        <v>12</v>
      </c>
      <c r="H7848" s="38" t="n">
        <f aca="false">YEAR(Tabela1[[#This Row],[FECHA]])</f>
        <v>1900</v>
      </c>
      <c r="I78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49" customFormat="false" ht="15" hidden="false" customHeight="false" outlineLevel="0" collapsed="false">
      <c r="A7849" s="41"/>
      <c r="G7849" s="38" t="n">
        <f aca="false">MONTH(A7849)</f>
        <v>12</v>
      </c>
      <c r="H7849" s="38" t="n">
        <f aca="false">YEAR(Tabela1[[#This Row],[FECHA]])</f>
        <v>1900</v>
      </c>
      <c r="I78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50" customFormat="false" ht="15" hidden="false" customHeight="false" outlineLevel="0" collapsed="false">
      <c r="A7850" s="41"/>
      <c r="G7850" s="38" t="n">
        <f aca="false">MONTH(A7850)</f>
        <v>12</v>
      </c>
      <c r="H7850" s="38" t="n">
        <f aca="false">YEAR(Tabela1[[#This Row],[FECHA]])</f>
        <v>1900</v>
      </c>
      <c r="I78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51" customFormat="false" ht="15" hidden="false" customHeight="false" outlineLevel="0" collapsed="false">
      <c r="A7851" s="41"/>
      <c r="G7851" s="38" t="n">
        <f aca="false">MONTH(A7851)</f>
        <v>12</v>
      </c>
      <c r="H7851" s="38" t="n">
        <f aca="false">YEAR(Tabela1[[#This Row],[FECHA]])</f>
        <v>1900</v>
      </c>
      <c r="I78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52" customFormat="false" ht="15" hidden="false" customHeight="false" outlineLevel="0" collapsed="false">
      <c r="A7852" s="41"/>
      <c r="G7852" s="38" t="n">
        <f aca="false">MONTH(A7852)</f>
        <v>12</v>
      </c>
      <c r="H7852" s="38" t="n">
        <f aca="false">YEAR(Tabela1[[#This Row],[FECHA]])</f>
        <v>1900</v>
      </c>
      <c r="I78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53" customFormat="false" ht="15" hidden="false" customHeight="false" outlineLevel="0" collapsed="false">
      <c r="A7853" s="41"/>
      <c r="G7853" s="38" t="n">
        <f aca="false">MONTH(A7853)</f>
        <v>12</v>
      </c>
      <c r="H7853" s="38" t="n">
        <f aca="false">YEAR(Tabela1[[#This Row],[FECHA]])</f>
        <v>1900</v>
      </c>
      <c r="I78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54" customFormat="false" ht="15" hidden="false" customHeight="false" outlineLevel="0" collapsed="false">
      <c r="A7854" s="41"/>
      <c r="G7854" s="38" t="n">
        <f aca="false">MONTH(A7854)</f>
        <v>12</v>
      </c>
      <c r="H7854" s="38" t="n">
        <f aca="false">YEAR(Tabela1[[#This Row],[FECHA]])</f>
        <v>1900</v>
      </c>
      <c r="I78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55" customFormat="false" ht="15" hidden="false" customHeight="false" outlineLevel="0" collapsed="false">
      <c r="A7855" s="41"/>
      <c r="G7855" s="38" t="n">
        <f aca="false">MONTH(A7855)</f>
        <v>12</v>
      </c>
      <c r="H7855" s="38" t="n">
        <f aca="false">YEAR(Tabela1[[#This Row],[FECHA]])</f>
        <v>1900</v>
      </c>
      <c r="I78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56" customFormat="false" ht="15" hidden="false" customHeight="false" outlineLevel="0" collapsed="false">
      <c r="A7856" s="41"/>
      <c r="G7856" s="38" t="n">
        <f aca="false">MONTH(A7856)</f>
        <v>12</v>
      </c>
      <c r="H7856" s="38" t="n">
        <f aca="false">YEAR(Tabela1[[#This Row],[FECHA]])</f>
        <v>1900</v>
      </c>
      <c r="I78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57" customFormat="false" ht="15" hidden="false" customHeight="false" outlineLevel="0" collapsed="false">
      <c r="A7857" s="41"/>
      <c r="G7857" s="38" t="n">
        <f aca="false">MONTH(A7857)</f>
        <v>12</v>
      </c>
      <c r="H7857" s="38" t="n">
        <f aca="false">YEAR(Tabela1[[#This Row],[FECHA]])</f>
        <v>1900</v>
      </c>
      <c r="I78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58" customFormat="false" ht="15" hidden="false" customHeight="false" outlineLevel="0" collapsed="false">
      <c r="A7858" s="41"/>
      <c r="G7858" s="38" t="n">
        <f aca="false">MONTH(A7858)</f>
        <v>12</v>
      </c>
      <c r="H7858" s="38" t="n">
        <f aca="false">YEAR(Tabela1[[#This Row],[FECHA]])</f>
        <v>1900</v>
      </c>
      <c r="I78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59" customFormat="false" ht="15" hidden="false" customHeight="false" outlineLevel="0" collapsed="false">
      <c r="A7859" s="41"/>
      <c r="G7859" s="38" t="n">
        <f aca="false">MONTH(A7859)</f>
        <v>12</v>
      </c>
      <c r="H7859" s="38" t="n">
        <f aca="false">YEAR(Tabela1[[#This Row],[FECHA]])</f>
        <v>1900</v>
      </c>
      <c r="I78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60" customFormat="false" ht="15" hidden="false" customHeight="false" outlineLevel="0" collapsed="false">
      <c r="A7860" s="41"/>
      <c r="G7860" s="38" t="n">
        <f aca="false">MONTH(A7860)</f>
        <v>12</v>
      </c>
      <c r="H7860" s="38" t="n">
        <f aca="false">YEAR(Tabela1[[#This Row],[FECHA]])</f>
        <v>1900</v>
      </c>
      <c r="I78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61" customFormat="false" ht="15" hidden="false" customHeight="false" outlineLevel="0" collapsed="false">
      <c r="A7861" s="41"/>
      <c r="G7861" s="38" t="n">
        <f aca="false">MONTH(A7861)</f>
        <v>12</v>
      </c>
      <c r="H7861" s="38" t="n">
        <f aca="false">YEAR(Tabela1[[#This Row],[FECHA]])</f>
        <v>1900</v>
      </c>
      <c r="I78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62" customFormat="false" ht="15" hidden="false" customHeight="false" outlineLevel="0" collapsed="false">
      <c r="A7862" s="41"/>
      <c r="G7862" s="38" t="n">
        <f aca="false">MONTH(A7862)</f>
        <v>12</v>
      </c>
      <c r="H7862" s="38" t="n">
        <f aca="false">YEAR(Tabela1[[#This Row],[FECHA]])</f>
        <v>1900</v>
      </c>
      <c r="I78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63" customFormat="false" ht="15" hidden="false" customHeight="false" outlineLevel="0" collapsed="false">
      <c r="A7863" s="41"/>
      <c r="G7863" s="38" t="n">
        <f aca="false">MONTH(A7863)</f>
        <v>12</v>
      </c>
      <c r="H7863" s="38" t="n">
        <f aca="false">YEAR(Tabela1[[#This Row],[FECHA]])</f>
        <v>1900</v>
      </c>
      <c r="I78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64" customFormat="false" ht="15" hidden="false" customHeight="false" outlineLevel="0" collapsed="false">
      <c r="A7864" s="41"/>
      <c r="G7864" s="38" t="n">
        <f aca="false">MONTH(A7864)</f>
        <v>12</v>
      </c>
      <c r="H7864" s="38" t="n">
        <f aca="false">YEAR(Tabela1[[#This Row],[FECHA]])</f>
        <v>1900</v>
      </c>
      <c r="I78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65" customFormat="false" ht="15" hidden="false" customHeight="false" outlineLevel="0" collapsed="false">
      <c r="A7865" s="41"/>
      <c r="G7865" s="38" t="n">
        <f aca="false">MONTH(A7865)</f>
        <v>12</v>
      </c>
      <c r="H7865" s="38" t="n">
        <f aca="false">YEAR(Tabela1[[#This Row],[FECHA]])</f>
        <v>1900</v>
      </c>
      <c r="I78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66" customFormat="false" ht="15" hidden="false" customHeight="false" outlineLevel="0" collapsed="false">
      <c r="A7866" s="41"/>
      <c r="G7866" s="38" t="n">
        <f aca="false">MONTH(A7866)</f>
        <v>12</v>
      </c>
      <c r="H7866" s="38" t="n">
        <f aca="false">YEAR(Tabela1[[#This Row],[FECHA]])</f>
        <v>1900</v>
      </c>
      <c r="I78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67" customFormat="false" ht="15" hidden="false" customHeight="false" outlineLevel="0" collapsed="false">
      <c r="A7867" s="41"/>
      <c r="G7867" s="38" t="n">
        <f aca="false">MONTH(A7867)</f>
        <v>12</v>
      </c>
      <c r="H7867" s="38" t="n">
        <f aca="false">YEAR(Tabela1[[#This Row],[FECHA]])</f>
        <v>1900</v>
      </c>
      <c r="I78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68" customFormat="false" ht="15" hidden="false" customHeight="false" outlineLevel="0" collapsed="false">
      <c r="A7868" s="41"/>
      <c r="G7868" s="38" t="n">
        <f aca="false">MONTH(A7868)</f>
        <v>12</v>
      </c>
      <c r="H7868" s="38" t="n">
        <f aca="false">YEAR(Tabela1[[#This Row],[FECHA]])</f>
        <v>1900</v>
      </c>
      <c r="I78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69" customFormat="false" ht="15" hidden="false" customHeight="false" outlineLevel="0" collapsed="false">
      <c r="A7869" s="41"/>
      <c r="G7869" s="38" t="n">
        <f aca="false">MONTH(A7869)</f>
        <v>12</v>
      </c>
      <c r="H7869" s="38" t="n">
        <f aca="false">YEAR(Tabela1[[#This Row],[FECHA]])</f>
        <v>1900</v>
      </c>
      <c r="I78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70" customFormat="false" ht="15" hidden="false" customHeight="false" outlineLevel="0" collapsed="false">
      <c r="A7870" s="41"/>
      <c r="G7870" s="38" t="n">
        <f aca="false">MONTH(A7870)</f>
        <v>12</v>
      </c>
      <c r="H7870" s="38" t="n">
        <f aca="false">YEAR(Tabela1[[#This Row],[FECHA]])</f>
        <v>1900</v>
      </c>
      <c r="I78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71" customFormat="false" ht="15" hidden="false" customHeight="false" outlineLevel="0" collapsed="false">
      <c r="A7871" s="41"/>
      <c r="G7871" s="38" t="n">
        <f aca="false">MONTH(A7871)</f>
        <v>12</v>
      </c>
      <c r="H7871" s="38" t="n">
        <f aca="false">YEAR(Tabela1[[#This Row],[FECHA]])</f>
        <v>1900</v>
      </c>
      <c r="I78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72" customFormat="false" ht="15" hidden="false" customHeight="false" outlineLevel="0" collapsed="false">
      <c r="A7872" s="41"/>
      <c r="G7872" s="38" t="n">
        <f aca="false">MONTH(A7872)</f>
        <v>12</v>
      </c>
      <c r="H7872" s="38" t="n">
        <f aca="false">YEAR(Tabela1[[#This Row],[FECHA]])</f>
        <v>1900</v>
      </c>
      <c r="I78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73" customFormat="false" ht="15" hidden="false" customHeight="false" outlineLevel="0" collapsed="false">
      <c r="A7873" s="41"/>
      <c r="G7873" s="38" t="n">
        <f aca="false">MONTH(A7873)</f>
        <v>12</v>
      </c>
      <c r="H7873" s="38" t="n">
        <f aca="false">YEAR(Tabela1[[#This Row],[FECHA]])</f>
        <v>1900</v>
      </c>
      <c r="I78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74" customFormat="false" ht="15" hidden="false" customHeight="false" outlineLevel="0" collapsed="false">
      <c r="A7874" s="41"/>
      <c r="G7874" s="38" t="n">
        <f aca="false">MONTH(A7874)</f>
        <v>12</v>
      </c>
      <c r="H7874" s="38" t="n">
        <f aca="false">YEAR(Tabela1[[#This Row],[FECHA]])</f>
        <v>1900</v>
      </c>
      <c r="I78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75" customFormat="false" ht="15" hidden="false" customHeight="false" outlineLevel="0" collapsed="false">
      <c r="A7875" s="41"/>
      <c r="G7875" s="38" t="n">
        <f aca="false">MONTH(A7875)</f>
        <v>12</v>
      </c>
      <c r="H7875" s="38" t="n">
        <f aca="false">YEAR(Tabela1[[#This Row],[FECHA]])</f>
        <v>1900</v>
      </c>
      <c r="I78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76" customFormat="false" ht="15" hidden="false" customHeight="false" outlineLevel="0" collapsed="false">
      <c r="A7876" s="41"/>
      <c r="G7876" s="38" t="n">
        <f aca="false">MONTH(A7876)</f>
        <v>12</v>
      </c>
      <c r="H7876" s="38" t="n">
        <f aca="false">YEAR(Tabela1[[#This Row],[FECHA]])</f>
        <v>1900</v>
      </c>
      <c r="I78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77" customFormat="false" ht="15" hidden="false" customHeight="false" outlineLevel="0" collapsed="false">
      <c r="A7877" s="41"/>
      <c r="G7877" s="38" t="n">
        <f aca="false">MONTH(A7877)</f>
        <v>12</v>
      </c>
      <c r="H7877" s="38" t="n">
        <f aca="false">YEAR(Tabela1[[#This Row],[FECHA]])</f>
        <v>1900</v>
      </c>
      <c r="I78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78" customFormat="false" ht="15" hidden="false" customHeight="false" outlineLevel="0" collapsed="false">
      <c r="A7878" s="41"/>
      <c r="G7878" s="38" t="n">
        <f aca="false">MONTH(A7878)</f>
        <v>12</v>
      </c>
      <c r="H7878" s="38" t="n">
        <f aca="false">YEAR(Tabela1[[#This Row],[FECHA]])</f>
        <v>1900</v>
      </c>
      <c r="I78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79" customFormat="false" ht="15" hidden="false" customHeight="false" outlineLevel="0" collapsed="false">
      <c r="A7879" s="41"/>
      <c r="G7879" s="38" t="n">
        <f aca="false">MONTH(A7879)</f>
        <v>12</v>
      </c>
      <c r="H7879" s="38" t="n">
        <f aca="false">YEAR(Tabela1[[#This Row],[FECHA]])</f>
        <v>1900</v>
      </c>
      <c r="I78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80" customFormat="false" ht="15" hidden="false" customHeight="false" outlineLevel="0" collapsed="false">
      <c r="A7880" s="41"/>
      <c r="G7880" s="38" t="n">
        <f aca="false">MONTH(A7880)</f>
        <v>12</v>
      </c>
      <c r="H7880" s="38" t="n">
        <f aca="false">YEAR(Tabela1[[#This Row],[FECHA]])</f>
        <v>1900</v>
      </c>
      <c r="I78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81" customFormat="false" ht="15" hidden="false" customHeight="false" outlineLevel="0" collapsed="false">
      <c r="A7881" s="41"/>
      <c r="G7881" s="38" t="n">
        <f aca="false">MONTH(A7881)</f>
        <v>12</v>
      </c>
      <c r="H7881" s="38" t="n">
        <f aca="false">YEAR(Tabela1[[#This Row],[FECHA]])</f>
        <v>1900</v>
      </c>
      <c r="I78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82" customFormat="false" ht="15" hidden="false" customHeight="false" outlineLevel="0" collapsed="false">
      <c r="A7882" s="41"/>
      <c r="G7882" s="38" t="n">
        <f aca="false">MONTH(A7882)</f>
        <v>12</v>
      </c>
      <c r="H7882" s="38" t="n">
        <f aca="false">YEAR(Tabela1[[#This Row],[FECHA]])</f>
        <v>1900</v>
      </c>
      <c r="I78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83" customFormat="false" ht="15" hidden="false" customHeight="false" outlineLevel="0" collapsed="false">
      <c r="A7883" s="41"/>
      <c r="G7883" s="38" t="n">
        <f aca="false">MONTH(A7883)</f>
        <v>12</v>
      </c>
      <c r="H7883" s="38" t="n">
        <f aca="false">YEAR(Tabela1[[#This Row],[FECHA]])</f>
        <v>1900</v>
      </c>
      <c r="I78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84" customFormat="false" ht="15" hidden="false" customHeight="false" outlineLevel="0" collapsed="false">
      <c r="A7884" s="41"/>
      <c r="G7884" s="38" t="n">
        <f aca="false">MONTH(A7884)</f>
        <v>12</v>
      </c>
      <c r="H7884" s="38" t="n">
        <f aca="false">YEAR(Tabela1[[#This Row],[FECHA]])</f>
        <v>1900</v>
      </c>
      <c r="I78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85" customFormat="false" ht="15" hidden="false" customHeight="false" outlineLevel="0" collapsed="false">
      <c r="A7885" s="41"/>
      <c r="G7885" s="38" t="n">
        <f aca="false">MONTH(A7885)</f>
        <v>12</v>
      </c>
      <c r="H7885" s="38" t="n">
        <f aca="false">YEAR(Tabela1[[#This Row],[FECHA]])</f>
        <v>1900</v>
      </c>
      <c r="I78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86" customFormat="false" ht="15" hidden="false" customHeight="false" outlineLevel="0" collapsed="false">
      <c r="A7886" s="41"/>
      <c r="G7886" s="38" t="n">
        <f aca="false">MONTH(A7886)</f>
        <v>12</v>
      </c>
      <c r="H7886" s="38" t="n">
        <f aca="false">YEAR(Tabela1[[#This Row],[FECHA]])</f>
        <v>1900</v>
      </c>
      <c r="I78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87" customFormat="false" ht="15" hidden="false" customHeight="false" outlineLevel="0" collapsed="false">
      <c r="A7887" s="41"/>
      <c r="G7887" s="38" t="n">
        <f aca="false">MONTH(A7887)</f>
        <v>12</v>
      </c>
      <c r="H7887" s="38" t="n">
        <f aca="false">YEAR(Tabela1[[#This Row],[FECHA]])</f>
        <v>1900</v>
      </c>
      <c r="I78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88" customFormat="false" ht="15" hidden="false" customHeight="false" outlineLevel="0" collapsed="false">
      <c r="A7888" s="41"/>
      <c r="G7888" s="38" t="n">
        <f aca="false">MONTH(A7888)</f>
        <v>12</v>
      </c>
      <c r="H7888" s="38" t="n">
        <f aca="false">YEAR(Tabela1[[#This Row],[FECHA]])</f>
        <v>1900</v>
      </c>
      <c r="I78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89" customFormat="false" ht="15" hidden="false" customHeight="false" outlineLevel="0" collapsed="false">
      <c r="A7889" s="41"/>
      <c r="G7889" s="38" t="n">
        <f aca="false">MONTH(A7889)</f>
        <v>12</v>
      </c>
      <c r="H7889" s="38" t="n">
        <f aca="false">YEAR(Tabela1[[#This Row],[FECHA]])</f>
        <v>1900</v>
      </c>
      <c r="I78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90" customFormat="false" ht="15" hidden="false" customHeight="false" outlineLevel="0" collapsed="false">
      <c r="A7890" s="41"/>
      <c r="G7890" s="38" t="n">
        <f aca="false">MONTH(A7890)</f>
        <v>12</v>
      </c>
      <c r="H7890" s="38" t="n">
        <f aca="false">YEAR(Tabela1[[#This Row],[FECHA]])</f>
        <v>1900</v>
      </c>
      <c r="I78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91" customFormat="false" ht="15" hidden="false" customHeight="false" outlineLevel="0" collapsed="false">
      <c r="A7891" s="41"/>
      <c r="G7891" s="38" t="n">
        <f aca="false">MONTH(A7891)</f>
        <v>12</v>
      </c>
      <c r="H7891" s="38" t="n">
        <f aca="false">YEAR(Tabela1[[#This Row],[FECHA]])</f>
        <v>1900</v>
      </c>
      <c r="I78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92" customFormat="false" ht="15" hidden="false" customHeight="false" outlineLevel="0" collapsed="false">
      <c r="A7892" s="41"/>
      <c r="G7892" s="38" t="n">
        <f aca="false">MONTH(A7892)</f>
        <v>12</v>
      </c>
      <c r="H7892" s="38" t="n">
        <f aca="false">YEAR(Tabela1[[#This Row],[FECHA]])</f>
        <v>1900</v>
      </c>
      <c r="I78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93" customFormat="false" ht="15" hidden="false" customHeight="false" outlineLevel="0" collapsed="false">
      <c r="A7893" s="41"/>
      <c r="G7893" s="38" t="n">
        <f aca="false">MONTH(A7893)</f>
        <v>12</v>
      </c>
      <c r="H7893" s="38" t="n">
        <f aca="false">YEAR(Tabela1[[#This Row],[FECHA]])</f>
        <v>1900</v>
      </c>
      <c r="I78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94" customFormat="false" ht="15" hidden="false" customHeight="false" outlineLevel="0" collapsed="false">
      <c r="A7894" s="41"/>
      <c r="G7894" s="38" t="n">
        <f aca="false">MONTH(A7894)</f>
        <v>12</v>
      </c>
      <c r="H7894" s="38" t="n">
        <f aca="false">YEAR(Tabela1[[#This Row],[FECHA]])</f>
        <v>1900</v>
      </c>
      <c r="I78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95" customFormat="false" ht="15" hidden="false" customHeight="false" outlineLevel="0" collapsed="false">
      <c r="A7895" s="41"/>
      <c r="G7895" s="38" t="n">
        <f aca="false">MONTH(A7895)</f>
        <v>12</v>
      </c>
      <c r="H7895" s="38" t="n">
        <f aca="false">YEAR(Tabela1[[#This Row],[FECHA]])</f>
        <v>1900</v>
      </c>
      <c r="I78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96" customFormat="false" ht="15" hidden="false" customHeight="false" outlineLevel="0" collapsed="false">
      <c r="A7896" s="41"/>
      <c r="G7896" s="38" t="n">
        <f aca="false">MONTH(A7896)</f>
        <v>12</v>
      </c>
      <c r="H7896" s="38" t="n">
        <f aca="false">YEAR(Tabela1[[#This Row],[FECHA]])</f>
        <v>1900</v>
      </c>
      <c r="I78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97" customFormat="false" ht="15" hidden="false" customHeight="false" outlineLevel="0" collapsed="false">
      <c r="A7897" s="41"/>
      <c r="G7897" s="38" t="n">
        <f aca="false">MONTH(A7897)</f>
        <v>12</v>
      </c>
      <c r="H7897" s="38" t="n">
        <f aca="false">YEAR(Tabela1[[#This Row],[FECHA]])</f>
        <v>1900</v>
      </c>
      <c r="I78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98" customFormat="false" ht="15" hidden="false" customHeight="false" outlineLevel="0" collapsed="false">
      <c r="A7898" s="41"/>
      <c r="G7898" s="38" t="n">
        <f aca="false">MONTH(A7898)</f>
        <v>12</v>
      </c>
      <c r="H7898" s="38" t="n">
        <f aca="false">YEAR(Tabela1[[#This Row],[FECHA]])</f>
        <v>1900</v>
      </c>
      <c r="I78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899" customFormat="false" ht="15" hidden="false" customHeight="false" outlineLevel="0" collapsed="false">
      <c r="A7899" s="41"/>
      <c r="G7899" s="38" t="n">
        <f aca="false">MONTH(A7899)</f>
        <v>12</v>
      </c>
      <c r="H7899" s="38" t="n">
        <f aca="false">YEAR(Tabela1[[#This Row],[FECHA]])</f>
        <v>1900</v>
      </c>
      <c r="I78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00" customFormat="false" ht="15" hidden="false" customHeight="false" outlineLevel="0" collapsed="false">
      <c r="A7900" s="41"/>
      <c r="G7900" s="38" t="n">
        <f aca="false">MONTH(A7900)</f>
        <v>12</v>
      </c>
      <c r="H7900" s="38" t="n">
        <f aca="false">YEAR(Tabela1[[#This Row],[FECHA]])</f>
        <v>1900</v>
      </c>
      <c r="I79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01" customFormat="false" ht="15" hidden="false" customHeight="false" outlineLevel="0" collapsed="false">
      <c r="A7901" s="41"/>
      <c r="G7901" s="38" t="n">
        <f aca="false">MONTH(A7901)</f>
        <v>12</v>
      </c>
      <c r="H7901" s="38" t="n">
        <f aca="false">YEAR(Tabela1[[#This Row],[FECHA]])</f>
        <v>1900</v>
      </c>
      <c r="I79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02" customFormat="false" ht="15" hidden="false" customHeight="false" outlineLevel="0" collapsed="false">
      <c r="A7902" s="41"/>
      <c r="G7902" s="38" t="n">
        <f aca="false">MONTH(A7902)</f>
        <v>12</v>
      </c>
      <c r="H7902" s="38" t="n">
        <f aca="false">YEAR(Tabela1[[#This Row],[FECHA]])</f>
        <v>1900</v>
      </c>
      <c r="I79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03" customFormat="false" ht="15" hidden="false" customHeight="false" outlineLevel="0" collapsed="false">
      <c r="A7903" s="41"/>
      <c r="G7903" s="38" t="n">
        <f aca="false">MONTH(A7903)</f>
        <v>12</v>
      </c>
      <c r="H7903" s="38" t="n">
        <f aca="false">YEAR(Tabela1[[#This Row],[FECHA]])</f>
        <v>1900</v>
      </c>
      <c r="I79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04" customFormat="false" ht="15" hidden="false" customHeight="false" outlineLevel="0" collapsed="false">
      <c r="A7904" s="41"/>
      <c r="G7904" s="38" t="n">
        <f aca="false">MONTH(A7904)</f>
        <v>12</v>
      </c>
      <c r="H7904" s="38" t="n">
        <f aca="false">YEAR(Tabela1[[#This Row],[FECHA]])</f>
        <v>1900</v>
      </c>
      <c r="I79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05" customFormat="false" ht="15" hidden="false" customHeight="false" outlineLevel="0" collapsed="false">
      <c r="A7905" s="41"/>
      <c r="G7905" s="38" t="n">
        <f aca="false">MONTH(A7905)</f>
        <v>12</v>
      </c>
      <c r="H7905" s="38" t="n">
        <f aca="false">YEAR(Tabela1[[#This Row],[FECHA]])</f>
        <v>1900</v>
      </c>
      <c r="I79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06" customFormat="false" ht="15" hidden="false" customHeight="false" outlineLevel="0" collapsed="false">
      <c r="A7906" s="41"/>
      <c r="G7906" s="38" t="n">
        <f aca="false">MONTH(A7906)</f>
        <v>12</v>
      </c>
      <c r="H7906" s="38" t="n">
        <f aca="false">YEAR(Tabela1[[#This Row],[FECHA]])</f>
        <v>1900</v>
      </c>
      <c r="I79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07" customFormat="false" ht="15" hidden="false" customHeight="false" outlineLevel="0" collapsed="false">
      <c r="A7907" s="41"/>
      <c r="G7907" s="38" t="n">
        <f aca="false">MONTH(A7907)</f>
        <v>12</v>
      </c>
      <c r="H7907" s="38" t="n">
        <f aca="false">YEAR(Tabela1[[#This Row],[FECHA]])</f>
        <v>1900</v>
      </c>
      <c r="I79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08" customFormat="false" ht="15" hidden="false" customHeight="false" outlineLevel="0" collapsed="false">
      <c r="A7908" s="41"/>
      <c r="G7908" s="38" t="n">
        <f aca="false">MONTH(A7908)</f>
        <v>12</v>
      </c>
      <c r="H7908" s="38" t="n">
        <f aca="false">YEAR(Tabela1[[#This Row],[FECHA]])</f>
        <v>1900</v>
      </c>
      <c r="I79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09" customFormat="false" ht="15" hidden="false" customHeight="false" outlineLevel="0" collapsed="false">
      <c r="A7909" s="41"/>
      <c r="G7909" s="38" t="n">
        <f aca="false">MONTH(A7909)</f>
        <v>12</v>
      </c>
      <c r="H7909" s="38" t="n">
        <f aca="false">YEAR(Tabela1[[#This Row],[FECHA]])</f>
        <v>1900</v>
      </c>
      <c r="I79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10" customFormat="false" ht="15" hidden="false" customHeight="false" outlineLevel="0" collapsed="false">
      <c r="A7910" s="41"/>
      <c r="G7910" s="38" t="n">
        <f aca="false">MONTH(A7910)</f>
        <v>12</v>
      </c>
      <c r="H7910" s="38" t="n">
        <f aca="false">YEAR(Tabela1[[#This Row],[FECHA]])</f>
        <v>1900</v>
      </c>
      <c r="I79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11" customFormat="false" ht="15" hidden="false" customHeight="false" outlineLevel="0" collapsed="false">
      <c r="A7911" s="41"/>
      <c r="G7911" s="38" t="n">
        <f aca="false">MONTH(A7911)</f>
        <v>12</v>
      </c>
      <c r="H7911" s="38" t="n">
        <f aca="false">YEAR(Tabela1[[#This Row],[FECHA]])</f>
        <v>1900</v>
      </c>
      <c r="I79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12" customFormat="false" ht="15" hidden="false" customHeight="false" outlineLevel="0" collapsed="false">
      <c r="A7912" s="41"/>
      <c r="G7912" s="38" t="n">
        <f aca="false">MONTH(A7912)</f>
        <v>12</v>
      </c>
      <c r="H7912" s="38" t="n">
        <f aca="false">YEAR(Tabela1[[#This Row],[FECHA]])</f>
        <v>1900</v>
      </c>
      <c r="I79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13" customFormat="false" ht="15" hidden="false" customHeight="false" outlineLevel="0" collapsed="false">
      <c r="A7913" s="41"/>
      <c r="G7913" s="38" t="n">
        <f aca="false">MONTH(A7913)</f>
        <v>12</v>
      </c>
      <c r="H7913" s="38" t="n">
        <f aca="false">YEAR(Tabela1[[#This Row],[FECHA]])</f>
        <v>1900</v>
      </c>
      <c r="I79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14" customFormat="false" ht="15" hidden="false" customHeight="false" outlineLevel="0" collapsed="false">
      <c r="A7914" s="41"/>
      <c r="G7914" s="38" t="n">
        <f aca="false">MONTH(A7914)</f>
        <v>12</v>
      </c>
      <c r="H7914" s="38" t="n">
        <f aca="false">YEAR(Tabela1[[#This Row],[FECHA]])</f>
        <v>1900</v>
      </c>
      <c r="I79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15" customFormat="false" ht="15" hidden="false" customHeight="false" outlineLevel="0" collapsed="false">
      <c r="A7915" s="41"/>
      <c r="G7915" s="38" t="n">
        <f aca="false">MONTH(A7915)</f>
        <v>12</v>
      </c>
      <c r="H7915" s="38" t="n">
        <f aca="false">YEAR(Tabela1[[#This Row],[FECHA]])</f>
        <v>1900</v>
      </c>
      <c r="I79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16" customFormat="false" ht="15" hidden="false" customHeight="false" outlineLevel="0" collapsed="false">
      <c r="A7916" s="41"/>
      <c r="G7916" s="38" t="n">
        <f aca="false">MONTH(A7916)</f>
        <v>12</v>
      </c>
      <c r="H7916" s="38" t="n">
        <f aca="false">YEAR(Tabela1[[#This Row],[FECHA]])</f>
        <v>1900</v>
      </c>
      <c r="I79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17" customFormat="false" ht="15" hidden="false" customHeight="false" outlineLevel="0" collapsed="false">
      <c r="A7917" s="41"/>
      <c r="G7917" s="38" t="n">
        <f aca="false">MONTH(A7917)</f>
        <v>12</v>
      </c>
      <c r="H7917" s="38" t="n">
        <f aca="false">YEAR(Tabela1[[#This Row],[FECHA]])</f>
        <v>1900</v>
      </c>
      <c r="I79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18" customFormat="false" ht="15" hidden="false" customHeight="false" outlineLevel="0" collapsed="false">
      <c r="A7918" s="41"/>
      <c r="G7918" s="38" t="n">
        <f aca="false">MONTH(A7918)</f>
        <v>12</v>
      </c>
      <c r="H7918" s="38" t="n">
        <f aca="false">YEAR(Tabela1[[#This Row],[FECHA]])</f>
        <v>1900</v>
      </c>
      <c r="I79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19" customFormat="false" ht="15" hidden="false" customHeight="false" outlineLevel="0" collapsed="false">
      <c r="A7919" s="41"/>
      <c r="G7919" s="38" t="n">
        <f aca="false">MONTH(A7919)</f>
        <v>12</v>
      </c>
      <c r="H7919" s="38" t="n">
        <f aca="false">YEAR(Tabela1[[#This Row],[FECHA]])</f>
        <v>1900</v>
      </c>
      <c r="I79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20" customFormat="false" ht="15" hidden="false" customHeight="false" outlineLevel="0" collapsed="false">
      <c r="A7920" s="41"/>
      <c r="G7920" s="38" t="n">
        <f aca="false">MONTH(A7920)</f>
        <v>12</v>
      </c>
      <c r="H7920" s="38" t="n">
        <f aca="false">YEAR(Tabela1[[#This Row],[FECHA]])</f>
        <v>1900</v>
      </c>
      <c r="I79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21" customFormat="false" ht="15" hidden="false" customHeight="false" outlineLevel="0" collapsed="false">
      <c r="A7921" s="41"/>
      <c r="G7921" s="38" t="n">
        <f aca="false">MONTH(A7921)</f>
        <v>12</v>
      </c>
      <c r="H7921" s="38" t="n">
        <f aca="false">YEAR(Tabela1[[#This Row],[FECHA]])</f>
        <v>1900</v>
      </c>
      <c r="I79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22" customFormat="false" ht="15" hidden="false" customHeight="false" outlineLevel="0" collapsed="false">
      <c r="A7922" s="41"/>
      <c r="G7922" s="38" t="n">
        <f aca="false">MONTH(A7922)</f>
        <v>12</v>
      </c>
      <c r="H7922" s="38" t="n">
        <f aca="false">YEAR(Tabela1[[#This Row],[FECHA]])</f>
        <v>1900</v>
      </c>
      <c r="I79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23" customFormat="false" ht="15" hidden="false" customHeight="false" outlineLevel="0" collapsed="false">
      <c r="A7923" s="41"/>
      <c r="G7923" s="38" t="n">
        <f aca="false">MONTH(A7923)</f>
        <v>12</v>
      </c>
      <c r="H7923" s="38" t="n">
        <f aca="false">YEAR(Tabela1[[#This Row],[FECHA]])</f>
        <v>1900</v>
      </c>
      <c r="I79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24" customFormat="false" ht="15" hidden="false" customHeight="false" outlineLevel="0" collapsed="false">
      <c r="A7924" s="41"/>
      <c r="G7924" s="38" t="n">
        <f aca="false">MONTH(A7924)</f>
        <v>12</v>
      </c>
      <c r="H7924" s="38" t="n">
        <f aca="false">YEAR(Tabela1[[#This Row],[FECHA]])</f>
        <v>1900</v>
      </c>
      <c r="I79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25" customFormat="false" ht="15" hidden="false" customHeight="false" outlineLevel="0" collapsed="false">
      <c r="A7925" s="41"/>
      <c r="G7925" s="38" t="n">
        <f aca="false">MONTH(A7925)</f>
        <v>12</v>
      </c>
      <c r="H7925" s="38" t="n">
        <f aca="false">YEAR(Tabela1[[#This Row],[FECHA]])</f>
        <v>1900</v>
      </c>
      <c r="I79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26" customFormat="false" ht="15" hidden="false" customHeight="false" outlineLevel="0" collapsed="false">
      <c r="A7926" s="41"/>
      <c r="G7926" s="38" t="n">
        <f aca="false">MONTH(A7926)</f>
        <v>12</v>
      </c>
      <c r="H7926" s="38" t="n">
        <f aca="false">YEAR(Tabela1[[#This Row],[FECHA]])</f>
        <v>1900</v>
      </c>
      <c r="I79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27" customFormat="false" ht="15" hidden="false" customHeight="false" outlineLevel="0" collapsed="false">
      <c r="A7927" s="41"/>
      <c r="G7927" s="38" t="n">
        <f aca="false">MONTH(A7927)</f>
        <v>12</v>
      </c>
      <c r="H7927" s="38" t="n">
        <f aca="false">YEAR(Tabela1[[#This Row],[FECHA]])</f>
        <v>1900</v>
      </c>
      <c r="I79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28" customFormat="false" ht="15" hidden="false" customHeight="false" outlineLevel="0" collapsed="false">
      <c r="A7928" s="41"/>
      <c r="G7928" s="38" t="n">
        <f aca="false">MONTH(A7928)</f>
        <v>12</v>
      </c>
      <c r="H7928" s="38" t="n">
        <f aca="false">YEAR(Tabela1[[#This Row],[FECHA]])</f>
        <v>1900</v>
      </c>
      <c r="I79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29" customFormat="false" ht="15" hidden="false" customHeight="false" outlineLevel="0" collapsed="false">
      <c r="A7929" s="41"/>
      <c r="G7929" s="38" t="n">
        <f aca="false">MONTH(A7929)</f>
        <v>12</v>
      </c>
      <c r="H7929" s="38" t="n">
        <f aca="false">YEAR(Tabela1[[#This Row],[FECHA]])</f>
        <v>1900</v>
      </c>
      <c r="I79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30" customFormat="false" ht="15" hidden="false" customHeight="false" outlineLevel="0" collapsed="false">
      <c r="A7930" s="41"/>
      <c r="G7930" s="38" t="n">
        <f aca="false">MONTH(A7930)</f>
        <v>12</v>
      </c>
      <c r="H7930" s="38" t="n">
        <f aca="false">YEAR(Tabela1[[#This Row],[FECHA]])</f>
        <v>1900</v>
      </c>
      <c r="I79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31" customFormat="false" ht="15" hidden="false" customHeight="false" outlineLevel="0" collapsed="false">
      <c r="A7931" s="41"/>
      <c r="G7931" s="38" t="n">
        <f aca="false">MONTH(A7931)</f>
        <v>12</v>
      </c>
      <c r="H7931" s="38" t="n">
        <f aca="false">YEAR(Tabela1[[#This Row],[FECHA]])</f>
        <v>1900</v>
      </c>
      <c r="I79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32" customFormat="false" ht="15" hidden="false" customHeight="false" outlineLevel="0" collapsed="false">
      <c r="A7932" s="41"/>
      <c r="G7932" s="38" t="n">
        <f aca="false">MONTH(A7932)</f>
        <v>12</v>
      </c>
      <c r="H7932" s="38" t="n">
        <f aca="false">YEAR(Tabela1[[#This Row],[FECHA]])</f>
        <v>1900</v>
      </c>
      <c r="I79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33" customFormat="false" ht="15" hidden="false" customHeight="false" outlineLevel="0" collapsed="false">
      <c r="A7933" s="41"/>
      <c r="G7933" s="38" t="n">
        <f aca="false">MONTH(A7933)</f>
        <v>12</v>
      </c>
      <c r="H7933" s="38" t="n">
        <f aca="false">YEAR(Tabela1[[#This Row],[FECHA]])</f>
        <v>1900</v>
      </c>
      <c r="I79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34" customFormat="false" ht="15" hidden="false" customHeight="false" outlineLevel="0" collapsed="false">
      <c r="A7934" s="41"/>
      <c r="G7934" s="38" t="n">
        <f aca="false">MONTH(A7934)</f>
        <v>12</v>
      </c>
      <c r="H7934" s="38" t="n">
        <f aca="false">YEAR(Tabela1[[#This Row],[FECHA]])</f>
        <v>1900</v>
      </c>
      <c r="I79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35" customFormat="false" ht="15" hidden="false" customHeight="false" outlineLevel="0" collapsed="false">
      <c r="A7935" s="41"/>
      <c r="G7935" s="38" t="n">
        <f aca="false">MONTH(A7935)</f>
        <v>12</v>
      </c>
      <c r="H7935" s="38" t="n">
        <f aca="false">YEAR(Tabela1[[#This Row],[FECHA]])</f>
        <v>1900</v>
      </c>
      <c r="I79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36" customFormat="false" ht="15" hidden="false" customHeight="false" outlineLevel="0" collapsed="false">
      <c r="A7936" s="41"/>
      <c r="G7936" s="38" t="n">
        <f aca="false">MONTH(A7936)</f>
        <v>12</v>
      </c>
      <c r="H7936" s="38" t="n">
        <f aca="false">YEAR(Tabela1[[#This Row],[FECHA]])</f>
        <v>1900</v>
      </c>
      <c r="I79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37" customFormat="false" ht="15" hidden="false" customHeight="false" outlineLevel="0" collapsed="false">
      <c r="A7937" s="41"/>
      <c r="G7937" s="38" t="n">
        <f aca="false">MONTH(A7937)</f>
        <v>12</v>
      </c>
      <c r="H7937" s="38" t="n">
        <f aca="false">YEAR(Tabela1[[#This Row],[FECHA]])</f>
        <v>1900</v>
      </c>
      <c r="I79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38" customFormat="false" ht="15" hidden="false" customHeight="false" outlineLevel="0" collapsed="false">
      <c r="A7938" s="41"/>
      <c r="G7938" s="38" t="n">
        <f aca="false">MONTH(A7938)</f>
        <v>12</v>
      </c>
      <c r="H7938" s="38" t="n">
        <f aca="false">YEAR(Tabela1[[#This Row],[FECHA]])</f>
        <v>1900</v>
      </c>
      <c r="I79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39" customFormat="false" ht="15" hidden="false" customHeight="false" outlineLevel="0" collapsed="false">
      <c r="A7939" s="41"/>
      <c r="G7939" s="38" t="n">
        <f aca="false">MONTH(A7939)</f>
        <v>12</v>
      </c>
      <c r="H7939" s="38" t="n">
        <f aca="false">YEAR(Tabela1[[#This Row],[FECHA]])</f>
        <v>1900</v>
      </c>
      <c r="I79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40" customFormat="false" ht="15" hidden="false" customHeight="false" outlineLevel="0" collapsed="false">
      <c r="A7940" s="41"/>
      <c r="G7940" s="38" t="n">
        <f aca="false">MONTH(A7940)</f>
        <v>12</v>
      </c>
      <c r="H7940" s="38" t="n">
        <f aca="false">YEAR(Tabela1[[#This Row],[FECHA]])</f>
        <v>1900</v>
      </c>
      <c r="I79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41" customFormat="false" ht="15" hidden="false" customHeight="false" outlineLevel="0" collapsed="false">
      <c r="A7941" s="41"/>
      <c r="G7941" s="38" t="n">
        <f aca="false">MONTH(A7941)</f>
        <v>12</v>
      </c>
      <c r="H7941" s="38" t="n">
        <f aca="false">YEAR(Tabela1[[#This Row],[FECHA]])</f>
        <v>1900</v>
      </c>
      <c r="I79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42" customFormat="false" ht="15" hidden="false" customHeight="false" outlineLevel="0" collapsed="false">
      <c r="A7942" s="41"/>
      <c r="G7942" s="38" t="n">
        <f aca="false">MONTH(A7942)</f>
        <v>12</v>
      </c>
      <c r="H7942" s="38" t="n">
        <f aca="false">YEAR(Tabela1[[#This Row],[FECHA]])</f>
        <v>1900</v>
      </c>
      <c r="I79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43" customFormat="false" ht="15" hidden="false" customHeight="false" outlineLevel="0" collapsed="false">
      <c r="A7943" s="41"/>
      <c r="G7943" s="38" t="n">
        <f aca="false">MONTH(A7943)</f>
        <v>12</v>
      </c>
      <c r="H7943" s="38" t="n">
        <f aca="false">YEAR(Tabela1[[#This Row],[FECHA]])</f>
        <v>1900</v>
      </c>
      <c r="I79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44" customFormat="false" ht="15" hidden="false" customHeight="false" outlineLevel="0" collapsed="false">
      <c r="A7944" s="41"/>
      <c r="G7944" s="38" t="n">
        <f aca="false">MONTH(A7944)</f>
        <v>12</v>
      </c>
      <c r="H7944" s="38" t="n">
        <f aca="false">YEAR(Tabela1[[#This Row],[FECHA]])</f>
        <v>1900</v>
      </c>
      <c r="I79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45" customFormat="false" ht="15" hidden="false" customHeight="false" outlineLevel="0" collapsed="false">
      <c r="A7945" s="41"/>
      <c r="G7945" s="38" t="n">
        <f aca="false">MONTH(A7945)</f>
        <v>12</v>
      </c>
      <c r="H7945" s="38" t="n">
        <f aca="false">YEAR(Tabela1[[#This Row],[FECHA]])</f>
        <v>1900</v>
      </c>
      <c r="I79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46" customFormat="false" ht="15" hidden="false" customHeight="false" outlineLevel="0" collapsed="false">
      <c r="A7946" s="41"/>
      <c r="G7946" s="38" t="n">
        <f aca="false">MONTH(A7946)</f>
        <v>12</v>
      </c>
      <c r="H7946" s="38" t="n">
        <f aca="false">YEAR(Tabela1[[#This Row],[FECHA]])</f>
        <v>1900</v>
      </c>
      <c r="I79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47" customFormat="false" ht="15" hidden="false" customHeight="false" outlineLevel="0" collapsed="false">
      <c r="A7947" s="41"/>
      <c r="G7947" s="38" t="n">
        <f aca="false">MONTH(A7947)</f>
        <v>12</v>
      </c>
      <c r="H7947" s="38" t="n">
        <f aca="false">YEAR(Tabela1[[#This Row],[FECHA]])</f>
        <v>1900</v>
      </c>
      <c r="I79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48" customFormat="false" ht="15" hidden="false" customHeight="false" outlineLevel="0" collapsed="false">
      <c r="A7948" s="41"/>
      <c r="G7948" s="38" t="n">
        <f aca="false">MONTH(A7948)</f>
        <v>12</v>
      </c>
      <c r="H7948" s="38" t="n">
        <f aca="false">YEAR(Tabela1[[#This Row],[FECHA]])</f>
        <v>1900</v>
      </c>
      <c r="I79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49" customFormat="false" ht="15" hidden="false" customHeight="false" outlineLevel="0" collapsed="false">
      <c r="A7949" s="41"/>
      <c r="G7949" s="38" t="n">
        <f aca="false">MONTH(A7949)</f>
        <v>12</v>
      </c>
      <c r="H7949" s="38" t="n">
        <f aca="false">YEAR(Tabela1[[#This Row],[FECHA]])</f>
        <v>1900</v>
      </c>
      <c r="I79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50" customFormat="false" ht="15" hidden="false" customHeight="false" outlineLevel="0" collapsed="false">
      <c r="A7950" s="41"/>
      <c r="G7950" s="38" t="n">
        <f aca="false">MONTH(A7950)</f>
        <v>12</v>
      </c>
      <c r="H7950" s="38" t="n">
        <f aca="false">YEAR(Tabela1[[#This Row],[FECHA]])</f>
        <v>1900</v>
      </c>
      <c r="I79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51" customFormat="false" ht="15" hidden="false" customHeight="false" outlineLevel="0" collapsed="false">
      <c r="A7951" s="41"/>
      <c r="G7951" s="38" t="n">
        <f aca="false">MONTH(A7951)</f>
        <v>12</v>
      </c>
      <c r="H7951" s="38" t="n">
        <f aca="false">YEAR(Tabela1[[#This Row],[FECHA]])</f>
        <v>1900</v>
      </c>
      <c r="I79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52" customFormat="false" ht="15" hidden="false" customHeight="false" outlineLevel="0" collapsed="false">
      <c r="A7952" s="41"/>
      <c r="G7952" s="38" t="n">
        <f aca="false">MONTH(A7952)</f>
        <v>12</v>
      </c>
      <c r="H7952" s="38" t="n">
        <f aca="false">YEAR(Tabela1[[#This Row],[FECHA]])</f>
        <v>1900</v>
      </c>
      <c r="I79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53" customFormat="false" ht="15" hidden="false" customHeight="false" outlineLevel="0" collapsed="false">
      <c r="A7953" s="41"/>
      <c r="G7953" s="38" t="n">
        <f aca="false">MONTH(A7953)</f>
        <v>12</v>
      </c>
      <c r="H7953" s="38" t="n">
        <f aca="false">YEAR(Tabela1[[#This Row],[FECHA]])</f>
        <v>1900</v>
      </c>
      <c r="I79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54" customFormat="false" ht="15" hidden="false" customHeight="false" outlineLevel="0" collapsed="false">
      <c r="A7954" s="41"/>
      <c r="G7954" s="38" t="n">
        <f aca="false">MONTH(A7954)</f>
        <v>12</v>
      </c>
      <c r="H7954" s="38" t="n">
        <f aca="false">YEAR(Tabela1[[#This Row],[FECHA]])</f>
        <v>1900</v>
      </c>
      <c r="I79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55" customFormat="false" ht="15" hidden="false" customHeight="false" outlineLevel="0" collapsed="false">
      <c r="A7955" s="41"/>
      <c r="G7955" s="38" t="n">
        <f aca="false">MONTH(A7955)</f>
        <v>12</v>
      </c>
      <c r="H7955" s="38" t="n">
        <f aca="false">YEAR(Tabela1[[#This Row],[FECHA]])</f>
        <v>1900</v>
      </c>
      <c r="I79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56" customFormat="false" ht="15" hidden="false" customHeight="false" outlineLevel="0" collapsed="false">
      <c r="A7956" s="41"/>
      <c r="G7956" s="38" t="n">
        <f aca="false">MONTH(A7956)</f>
        <v>12</v>
      </c>
      <c r="H7956" s="38" t="n">
        <f aca="false">YEAR(Tabela1[[#This Row],[FECHA]])</f>
        <v>1900</v>
      </c>
      <c r="I79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57" customFormat="false" ht="15" hidden="false" customHeight="false" outlineLevel="0" collapsed="false">
      <c r="A7957" s="41"/>
      <c r="G7957" s="38" t="n">
        <f aca="false">MONTH(A7957)</f>
        <v>12</v>
      </c>
      <c r="H7957" s="38" t="n">
        <f aca="false">YEAR(Tabela1[[#This Row],[FECHA]])</f>
        <v>1900</v>
      </c>
      <c r="I79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58" customFormat="false" ht="15" hidden="false" customHeight="false" outlineLevel="0" collapsed="false">
      <c r="A7958" s="41"/>
      <c r="G7958" s="38" t="n">
        <f aca="false">MONTH(A7958)</f>
        <v>12</v>
      </c>
      <c r="H7958" s="38" t="n">
        <f aca="false">YEAR(Tabela1[[#This Row],[FECHA]])</f>
        <v>1900</v>
      </c>
      <c r="I79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59" customFormat="false" ht="15" hidden="false" customHeight="false" outlineLevel="0" collapsed="false">
      <c r="A7959" s="41"/>
      <c r="G7959" s="38" t="n">
        <f aca="false">MONTH(A7959)</f>
        <v>12</v>
      </c>
      <c r="H7959" s="38" t="n">
        <f aca="false">YEAR(Tabela1[[#This Row],[FECHA]])</f>
        <v>1900</v>
      </c>
      <c r="I79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60" customFormat="false" ht="15" hidden="false" customHeight="false" outlineLevel="0" collapsed="false">
      <c r="A7960" s="41"/>
      <c r="G7960" s="38" t="n">
        <f aca="false">MONTH(A7960)</f>
        <v>12</v>
      </c>
      <c r="H7960" s="38" t="n">
        <f aca="false">YEAR(Tabela1[[#This Row],[FECHA]])</f>
        <v>1900</v>
      </c>
      <c r="I79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61" customFormat="false" ht="15" hidden="false" customHeight="false" outlineLevel="0" collapsed="false">
      <c r="A7961" s="41"/>
      <c r="G7961" s="38" t="n">
        <f aca="false">MONTH(A7961)</f>
        <v>12</v>
      </c>
      <c r="H7961" s="38" t="n">
        <f aca="false">YEAR(Tabela1[[#This Row],[FECHA]])</f>
        <v>1900</v>
      </c>
      <c r="I79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62" customFormat="false" ht="15" hidden="false" customHeight="false" outlineLevel="0" collapsed="false">
      <c r="A7962" s="41"/>
      <c r="G7962" s="38" t="n">
        <f aca="false">MONTH(A7962)</f>
        <v>12</v>
      </c>
      <c r="H7962" s="38" t="n">
        <f aca="false">YEAR(Tabela1[[#This Row],[FECHA]])</f>
        <v>1900</v>
      </c>
      <c r="I79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63" customFormat="false" ht="15" hidden="false" customHeight="false" outlineLevel="0" collapsed="false">
      <c r="A7963" s="41"/>
      <c r="G7963" s="38" t="n">
        <f aca="false">MONTH(A7963)</f>
        <v>12</v>
      </c>
      <c r="H7963" s="38" t="n">
        <f aca="false">YEAR(Tabela1[[#This Row],[FECHA]])</f>
        <v>1900</v>
      </c>
      <c r="I79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64" customFormat="false" ht="15" hidden="false" customHeight="false" outlineLevel="0" collapsed="false">
      <c r="A7964" s="41"/>
      <c r="G7964" s="38" t="n">
        <f aca="false">MONTH(A7964)</f>
        <v>12</v>
      </c>
      <c r="H7964" s="38" t="n">
        <f aca="false">YEAR(Tabela1[[#This Row],[FECHA]])</f>
        <v>1900</v>
      </c>
      <c r="I79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65" customFormat="false" ht="15" hidden="false" customHeight="false" outlineLevel="0" collapsed="false">
      <c r="A7965" s="41"/>
      <c r="G7965" s="38" t="n">
        <f aca="false">MONTH(A7965)</f>
        <v>12</v>
      </c>
      <c r="H7965" s="38" t="n">
        <f aca="false">YEAR(Tabela1[[#This Row],[FECHA]])</f>
        <v>1900</v>
      </c>
      <c r="I79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66" customFormat="false" ht="15" hidden="false" customHeight="false" outlineLevel="0" collapsed="false">
      <c r="A7966" s="41"/>
      <c r="G7966" s="38" t="n">
        <f aca="false">MONTH(A7966)</f>
        <v>12</v>
      </c>
      <c r="H7966" s="38" t="n">
        <f aca="false">YEAR(Tabela1[[#This Row],[FECHA]])</f>
        <v>1900</v>
      </c>
      <c r="I79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67" customFormat="false" ht="15" hidden="false" customHeight="false" outlineLevel="0" collapsed="false">
      <c r="A7967" s="41"/>
      <c r="G7967" s="38" t="n">
        <f aca="false">MONTH(A7967)</f>
        <v>12</v>
      </c>
      <c r="H7967" s="38" t="n">
        <f aca="false">YEAR(Tabela1[[#This Row],[FECHA]])</f>
        <v>1900</v>
      </c>
      <c r="I79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68" customFormat="false" ht="15" hidden="false" customHeight="false" outlineLevel="0" collapsed="false">
      <c r="A7968" s="41"/>
      <c r="G7968" s="38" t="n">
        <f aca="false">MONTH(A7968)</f>
        <v>12</v>
      </c>
      <c r="H7968" s="38" t="n">
        <f aca="false">YEAR(Tabela1[[#This Row],[FECHA]])</f>
        <v>1900</v>
      </c>
      <c r="I79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69" customFormat="false" ht="15" hidden="false" customHeight="false" outlineLevel="0" collapsed="false">
      <c r="A7969" s="41"/>
      <c r="G7969" s="38" t="n">
        <f aca="false">MONTH(A7969)</f>
        <v>12</v>
      </c>
      <c r="H7969" s="38" t="n">
        <f aca="false">YEAR(Tabela1[[#This Row],[FECHA]])</f>
        <v>1900</v>
      </c>
      <c r="I79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70" customFormat="false" ht="15" hidden="false" customHeight="false" outlineLevel="0" collapsed="false">
      <c r="A7970" s="41"/>
      <c r="G7970" s="38" t="n">
        <f aca="false">MONTH(A7970)</f>
        <v>12</v>
      </c>
      <c r="H7970" s="38" t="n">
        <f aca="false">YEAR(Tabela1[[#This Row],[FECHA]])</f>
        <v>1900</v>
      </c>
      <c r="I79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71" customFormat="false" ht="15" hidden="false" customHeight="false" outlineLevel="0" collapsed="false">
      <c r="A7971" s="41"/>
      <c r="G7971" s="38" t="n">
        <f aca="false">MONTH(A7971)</f>
        <v>12</v>
      </c>
      <c r="H7971" s="38" t="n">
        <f aca="false">YEAR(Tabela1[[#This Row],[FECHA]])</f>
        <v>1900</v>
      </c>
      <c r="I79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72" customFormat="false" ht="15" hidden="false" customHeight="false" outlineLevel="0" collapsed="false">
      <c r="A7972" s="41"/>
      <c r="G7972" s="38" t="n">
        <f aca="false">MONTH(A7972)</f>
        <v>12</v>
      </c>
      <c r="H7972" s="38" t="n">
        <f aca="false">YEAR(Tabela1[[#This Row],[FECHA]])</f>
        <v>1900</v>
      </c>
      <c r="I79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73" customFormat="false" ht="15" hidden="false" customHeight="false" outlineLevel="0" collapsed="false">
      <c r="A7973" s="41"/>
      <c r="G7973" s="38" t="n">
        <f aca="false">MONTH(A7973)</f>
        <v>12</v>
      </c>
      <c r="H7973" s="38" t="n">
        <f aca="false">YEAR(Tabela1[[#This Row],[FECHA]])</f>
        <v>1900</v>
      </c>
      <c r="I79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74" customFormat="false" ht="15" hidden="false" customHeight="false" outlineLevel="0" collapsed="false">
      <c r="A7974" s="41"/>
      <c r="G7974" s="38" t="n">
        <f aca="false">MONTH(A7974)</f>
        <v>12</v>
      </c>
      <c r="H7974" s="38" t="n">
        <f aca="false">YEAR(Tabela1[[#This Row],[FECHA]])</f>
        <v>1900</v>
      </c>
      <c r="I79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75" customFormat="false" ht="15" hidden="false" customHeight="false" outlineLevel="0" collapsed="false">
      <c r="A7975" s="41"/>
      <c r="G7975" s="38" t="n">
        <f aca="false">MONTH(A7975)</f>
        <v>12</v>
      </c>
      <c r="H7975" s="38" t="n">
        <f aca="false">YEAR(Tabela1[[#This Row],[FECHA]])</f>
        <v>1900</v>
      </c>
      <c r="I79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76" customFormat="false" ht="15" hidden="false" customHeight="false" outlineLevel="0" collapsed="false">
      <c r="A7976" s="41"/>
      <c r="G7976" s="38" t="n">
        <f aca="false">MONTH(A7976)</f>
        <v>12</v>
      </c>
      <c r="H7976" s="38" t="n">
        <f aca="false">YEAR(Tabela1[[#This Row],[FECHA]])</f>
        <v>1900</v>
      </c>
      <c r="I79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77" customFormat="false" ht="15" hidden="false" customHeight="false" outlineLevel="0" collapsed="false">
      <c r="A7977" s="41"/>
      <c r="G7977" s="38" t="n">
        <f aca="false">MONTH(A7977)</f>
        <v>12</v>
      </c>
      <c r="H7977" s="38" t="n">
        <f aca="false">YEAR(Tabela1[[#This Row],[FECHA]])</f>
        <v>1900</v>
      </c>
      <c r="I79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78" customFormat="false" ht="15" hidden="false" customHeight="false" outlineLevel="0" collapsed="false">
      <c r="A7978" s="41"/>
      <c r="G7978" s="38" t="n">
        <f aca="false">MONTH(A7978)</f>
        <v>12</v>
      </c>
      <c r="H7978" s="38" t="n">
        <f aca="false">YEAR(Tabela1[[#This Row],[FECHA]])</f>
        <v>1900</v>
      </c>
      <c r="I79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79" customFormat="false" ht="15" hidden="false" customHeight="false" outlineLevel="0" collapsed="false">
      <c r="A7979" s="41"/>
      <c r="G7979" s="38" t="n">
        <f aca="false">MONTH(A7979)</f>
        <v>12</v>
      </c>
      <c r="H7979" s="38" t="n">
        <f aca="false">YEAR(Tabela1[[#This Row],[FECHA]])</f>
        <v>1900</v>
      </c>
      <c r="I79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80" customFormat="false" ht="15" hidden="false" customHeight="false" outlineLevel="0" collapsed="false">
      <c r="A7980" s="41"/>
      <c r="G7980" s="38" t="n">
        <f aca="false">MONTH(A7980)</f>
        <v>12</v>
      </c>
      <c r="H7980" s="38" t="n">
        <f aca="false">YEAR(Tabela1[[#This Row],[FECHA]])</f>
        <v>1900</v>
      </c>
      <c r="I79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81" customFormat="false" ht="15" hidden="false" customHeight="false" outlineLevel="0" collapsed="false">
      <c r="A7981" s="41"/>
      <c r="G7981" s="38" t="n">
        <f aca="false">MONTH(A7981)</f>
        <v>12</v>
      </c>
      <c r="H7981" s="38" t="n">
        <f aca="false">YEAR(Tabela1[[#This Row],[FECHA]])</f>
        <v>1900</v>
      </c>
      <c r="I79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82" customFormat="false" ht="15" hidden="false" customHeight="false" outlineLevel="0" collapsed="false">
      <c r="A7982" s="41"/>
      <c r="G7982" s="38" t="n">
        <f aca="false">MONTH(A7982)</f>
        <v>12</v>
      </c>
      <c r="H7982" s="38" t="n">
        <f aca="false">YEAR(Tabela1[[#This Row],[FECHA]])</f>
        <v>1900</v>
      </c>
      <c r="I79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83" customFormat="false" ht="15" hidden="false" customHeight="false" outlineLevel="0" collapsed="false">
      <c r="A7983" s="41"/>
      <c r="G7983" s="38" t="n">
        <f aca="false">MONTH(A7983)</f>
        <v>12</v>
      </c>
      <c r="H7983" s="38" t="n">
        <f aca="false">YEAR(Tabela1[[#This Row],[FECHA]])</f>
        <v>1900</v>
      </c>
      <c r="I79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84" customFormat="false" ht="15" hidden="false" customHeight="false" outlineLevel="0" collapsed="false">
      <c r="A7984" s="41"/>
      <c r="G7984" s="38" t="n">
        <f aca="false">MONTH(A7984)</f>
        <v>12</v>
      </c>
      <c r="H7984" s="38" t="n">
        <f aca="false">YEAR(Tabela1[[#This Row],[FECHA]])</f>
        <v>1900</v>
      </c>
      <c r="I79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85" customFormat="false" ht="15" hidden="false" customHeight="false" outlineLevel="0" collapsed="false">
      <c r="A7985" s="41"/>
      <c r="G7985" s="38" t="n">
        <f aca="false">MONTH(A7985)</f>
        <v>12</v>
      </c>
      <c r="H7985" s="38" t="n">
        <f aca="false">YEAR(Tabela1[[#This Row],[FECHA]])</f>
        <v>1900</v>
      </c>
      <c r="I79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86" customFormat="false" ht="15" hidden="false" customHeight="false" outlineLevel="0" collapsed="false">
      <c r="A7986" s="41"/>
      <c r="G7986" s="38" t="n">
        <f aca="false">MONTH(A7986)</f>
        <v>12</v>
      </c>
      <c r="H7986" s="38" t="n">
        <f aca="false">YEAR(Tabela1[[#This Row],[FECHA]])</f>
        <v>1900</v>
      </c>
      <c r="I79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87" customFormat="false" ht="15" hidden="false" customHeight="false" outlineLevel="0" collapsed="false">
      <c r="A7987" s="41"/>
      <c r="G7987" s="38" t="n">
        <f aca="false">MONTH(A7987)</f>
        <v>12</v>
      </c>
      <c r="H7987" s="38" t="n">
        <f aca="false">YEAR(Tabela1[[#This Row],[FECHA]])</f>
        <v>1900</v>
      </c>
      <c r="I79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88" customFormat="false" ht="15" hidden="false" customHeight="false" outlineLevel="0" collapsed="false">
      <c r="A7988" s="41"/>
      <c r="G7988" s="38" t="n">
        <f aca="false">MONTH(A7988)</f>
        <v>12</v>
      </c>
      <c r="H7988" s="38" t="n">
        <f aca="false">YEAR(Tabela1[[#This Row],[FECHA]])</f>
        <v>1900</v>
      </c>
      <c r="I79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89" customFormat="false" ht="15" hidden="false" customHeight="false" outlineLevel="0" collapsed="false">
      <c r="A7989" s="41"/>
      <c r="G7989" s="38" t="n">
        <f aca="false">MONTH(A7989)</f>
        <v>12</v>
      </c>
      <c r="H7989" s="38" t="n">
        <f aca="false">YEAR(Tabela1[[#This Row],[FECHA]])</f>
        <v>1900</v>
      </c>
      <c r="I79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90" customFormat="false" ht="15" hidden="false" customHeight="false" outlineLevel="0" collapsed="false">
      <c r="A7990" s="41"/>
      <c r="G7990" s="38" t="n">
        <f aca="false">MONTH(A7990)</f>
        <v>12</v>
      </c>
      <c r="H7990" s="38" t="n">
        <f aca="false">YEAR(Tabela1[[#This Row],[FECHA]])</f>
        <v>1900</v>
      </c>
      <c r="I79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91" customFormat="false" ht="15" hidden="false" customHeight="false" outlineLevel="0" collapsed="false">
      <c r="A7991" s="41"/>
      <c r="G7991" s="38" t="n">
        <f aca="false">MONTH(A7991)</f>
        <v>12</v>
      </c>
      <c r="H7991" s="38" t="n">
        <f aca="false">YEAR(Tabela1[[#This Row],[FECHA]])</f>
        <v>1900</v>
      </c>
      <c r="I79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92" customFormat="false" ht="15" hidden="false" customHeight="false" outlineLevel="0" collapsed="false">
      <c r="A7992" s="41"/>
      <c r="G7992" s="38" t="n">
        <f aca="false">MONTH(A7992)</f>
        <v>12</v>
      </c>
      <c r="H7992" s="38" t="n">
        <f aca="false">YEAR(Tabela1[[#This Row],[FECHA]])</f>
        <v>1900</v>
      </c>
      <c r="I79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93" customFormat="false" ht="15" hidden="false" customHeight="false" outlineLevel="0" collapsed="false">
      <c r="A7993" s="41"/>
      <c r="G7993" s="38" t="n">
        <f aca="false">MONTH(A7993)</f>
        <v>12</v>
      </c>
      <c r="H7993" s="38" t="n">
        <f aca="false">YEAR(Tabela1[[#This Row],[FECHA]])</f>
        <v>1900</v>
      </c>
      <c r="I79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94" customFormat="false" ht="15" hidden="false" customHeight="false" outlineLevel="0" collapsed="false">
      <c r="A7994" s="41"/>
      <c r="G7994" s="38" t="n">
        <f aca="false">MONTH(A7994)</f>
        <v>12</v>
      </c>
      <c r="H7994" s="38" t="n">
        <f aca="false">YEAR(Tabela1[[#This Row],[FECHA]])</f>
        <v>1900</v>
      </c>
      <c r="I79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95" customFormat="false" ht="15" hidden="false" customHeight="false" outlineLevel="0" collapsed="false">
      <c r="A7995" s="41"/>
      <c r="G7995" s="38" t="n">
        <f aca="false">MONTH(A7995)</f>
        <v>12</v>
      </c>
      <c r="H7995" s="38" t="n">
        <f aca="false">YEAR(Tabela1[[#This Row],[FECHA]])</f>
        <v>1900</v>
      </c>
      <c r="I79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96" customFormat="false" ht="15" hidden="false" customHeight="false" outlineLevel="0" collapsed="false">
      <c r="A7996" s="41"/>
      <c r="G7996" s="38" t="n">
        <f aca="false">MONTH(A7996)</f>
        <v>12</v>
      </c>
      <c r="H7996" s="38" t="n">
        <f aca="false">YEAR(Tabela1[[#This Row],[FECHA]])</f>
        <v>1900</v>
      </c>
      <c r="I79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97" customFormat="false" ht="15" hidden="false" customHeight="false" outlineLevel="0" collapsed="false">
      <c r="A7997" s="41"/>
      <c r="G7997" s="38" t="n">
        <f aca="false">MONTH(A7997)</f>
        <v>12</v>
      </c>
      <c r="H7997" s="38" t="n">
        <f aca="false">YEAR(Tabela1[[#This Row],[FECHA]])</f>
        <v>1900</v>
      </c>
      <c r="I79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98" customFormat="false" ht="15" hidden="false" customHeight="false" outlineLevel="0" collapsed="false">
      <c r="A7998" s="41"/>
      <c r="G7998" s="38" t="n">
        <f aca="false">MONTH(A7998)</f>
        <v>12</v>
      </c>
      <c r="H7998" s="38" t="n">
        <f aca="false">YEAR(Tabela1[[#This Row],[FECHA]])</f>
        <v>1900</v>
      </c>
      <c r="I79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7999" customFormat="false" ht="15" hidden="false" customHeight="false" outlineLevel="0" collapsed="false">
      <c r="A7999" s="41"/>
      <c r="G7999" s="38" t="n">
        <f aca="false">MONTH(A7999)</f>
        <v>12</v>
      </c>
      <c r="H7999" s="38" t="n">
        <f aca="false">YEAR(Tabela1[[#This Row],[FECHA]])</f>
        <v>1900</v>
      </c>
      <c r="I79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00" customFormat="false" ht="15" hidden="false" customHeight="false" outlineLevel="0" collapsed="false">
      <c r="A8000" s="41"/>
      <c r="G8000" s="38" t="n">
        <f aca="false">MONTH(A8000)</f>
        <v>12</v>
      </c>
      <c r="H8000" s="38" t="n">
        <f aca="false">YEAR(Tabela1[[#This Row],[FECHA]])</f>
        <v>1900</v>
      </c>
      <c r="I80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01" customFormat="false" ht="15" hidden="false" customHeight="false" outlineLevel="0" collapsed="false">
      <c r="A8001" s="41"/>
      <c r="G8001" s="38" t="n">
        <f aca="false">MONTH(A8001)</f>
        <v>12</v>
      </c>
      <c r="H8001" s="38" t="n">
        <f aca="false">YEAR(Tabela1[[#This Row],[FECHA]])</f>
        <v>1900</v>
      </c>
      <c r="I80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02" customFormat="false" ht="15" hidden="false" customHeight="false" outlineLevel="0" collapsed="false">
      <c r="A8002" s="41"/>
      <c r="G8002" s="38" t="n">
        <f aca="false">MONTH(A8002)</f>
        <v>12</v>
      </c>
      <c r="H8002" s="38" t="n">
        <f aca="false">YEAR(Tabela1[[#This Row],[FECHA]])</f>
        <v>1900</v>
      </c>
      <c r="I80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03" customFormat="false" ht="15" hidden="false" customHeight="false" outlineLevel="0" collapsed="false">
      <c r="A8003" s="41"/>
      <c r="G8003" s="38" t="n">
        <f aca="false">MONTH(A8003)</f>
        <v>12</v>
      </c>
      <c r="H8003" s="38" t="n">
        <f aca="false">YEAR(Tabela1[[#This Row],[FECHA]])</f>
        <v>1900</v>
      </c>
      <c r="I80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04" customFormat="false" ht="15" hidden="false" customHeight="false" outlineLevel="0" collapsed="false">
      <c r="A8004" s="41"/>
      <c r="G8004" s="38" t="n">
        <f aca="false">MONTH(A8004)</f>
        <v>12</v>
      </c>
      <c r="H8004" s="38" t="n">
        <f aca="false">YEAR(Tabela1[[#This Row],[FECHA]])</f>
        <v>1900</v>
      </c>
      <c r="I80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05" customFormat="false" ht="15" hidden="false" customHeight="false" outlineLevel="0" collapsed="false">
      <c r="A8005" s="41"/>
      <c r="G8005" s="38" t="n">
        <f aca="false">MONTH(A8005)</f>
        <v>12</v>
      </c>
      <c r="H8005" s="38" t="n">
        <f aca="false">YEAR(Tabela1[[#This Row],[FECHA]])</f>
        <v>1900</v>
      </c>
      <c r="I80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06" customFormat="false" ht="15" hidden="false" customHeight="false" outlineLevel="0" collapsed="false">
      <c r="A8006" s="41"/>
      <c r="G8006" s="38" t="n">
        <f aca="false">MONTH(A8006)</f>
        <v>12</v>
      </c>
      <c r="H8006" s="38" t="n">
        <f aca="false">YEAR(Tabela1[[#This Row],[FECHA]])</f>
        <v>1900</v>
      </c>
      <c r="I80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07" customFormat="false" ht="15" hidden="false" customHeight="false" outlineLevel="0" collapsed="false">
      <c r="A8007" s="41"/>
      <c r="G8007" s="38" t="n">
        <f aca="false">MONTH(A8007)</f>
        <v>12</v>
      </c>
      <c r="H8007" s="38" t="n">
        <f aca="false">YEAR(Tabela1[[#This Row],[FECHA]])</f>
        <v>1900</v>
      </c>
      <c r="I80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08" customFormat="false" ht="15" hidden="false" customHeight="false" outlineLevel="0" collapsed="false">
      <c r="A8008" s="41"/>
      <c r="G8008" s="38" t="n">
        <f aca="false">MONTH(A8008)</f>
        <v>12</v>
      </c>
      <c r="H8008" s="38" t="n">
        <f aca="false">YEAR(Tabela1[[#This Row],[FECHA]])</f>
        <v>1900</v>
      </c>
      <c r="I80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09" customFormat="false" ht="15" hidden="false" customHeight="false" outlineLevel="0" collapsed="false">
      <c r="A8009" s="41"/>
      <c r="G8009" s="38" t="n">
        <f aca="false">MONTH(A8009)</f>
        <v>12</v>
      </c>
      <c r="H8009" s="38" t="n">
        <f aca="false">YEAR(Tabela1[[#This Row],[FECHA]])</f>
        <v>1900</v>
      </c>
      <c r="I80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10" customFormat="false" ht="15" hidden="false" customHeight="false" outlineLevel="0" collapsed="false">
      <c r="A8010" s="41"/>
      <c r="G8010" s="38" t="n">
        <f aca="false">MONTH(A8010)</f>
        <v>12</v>
      </c>
      <c r="H8010" s="38" t="n">
        <f aca="false">YEAR(Tabela1[[#This Row],[FECHA]])</f>
        <v>1900</v>
      </c>
      <c r="I80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11" customFormat="false" ht="15" hidden="false" customHeight="false" outlineLevel="0" collapsed="false">
      <c r="A8011" s="41"/>
      <c r="G8011" s="38" t="n">
        <f aca="false">MONTH(A8011)</f>
        <v>12</v>
      </c>
      <c r="H8011" s="38" t="n">
        <f aca="false">YEAR(Tabela1[[#This Row],[FECHA]])</f>
        <v>1900</v>
      </c>
      <c r="I80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12" customFormat="false" ht="15" hidden="false" customHeight="false" outlineLevel="0" collapsed="false">
      <c r="A8012" s="41"/>
      <c r="G8012" s="38" t="n">
        <f aca="false">MONTH(A8012)</f>
        <v>12</v>
      </c>
      <c r="H8012" s="38" t="n">
        <f aca="false">YEAR(Tabela1[[#This Row],[FECHA]])</f>
        <v>1900</v>
      </c>
      <c r="I80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13" customFormat="false" ht="15" hidden="false" customHeight="false" outlineLevel="0" collapsed="false">
      <c r="A8013" s="41"/>
      <c r="G8013" s="38" t="n">
        <f aca="false">MONTH(A8013)</f>
        <v>12</v>
      </c>
      <c r="H8013" s="38" t="n">
        <f aca="false">YEAR(Tabela1[[#This Row],[FECHA]])</f>
        <v>1900</v>
      </c>
      <c r="I80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14" customFormat="false" ht="15" hidden="false" customHeight="false" outlineLevel="0" collapsed="false">
      <c r="A8014" s="41"/>
      <c r="G8014" s="38" t="n">
        <f aca="false">MONTH(A8014)</f>
        <v>12</v>
      </c>
      <c r="H8014" s="38" t="n">
        <f aca="false">YEAR(Tabela1[[#This Row],[FECHA]])</f>
        <v>1900</v>
      </c>
      <c r="I80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15" customFormat="false" ht="15" hidden="false" customHeight="false" outlineLevel="0" collapsed="false">
      <c r="A8015" s="41"/>
      <c r="G8015" s="38" t="n">
        <f aca="false">MONTH(A8015)</f>
        <v>12</v>
      </c>
      <c r="H8015" s="38" t="n">
        <f aca="false">YEAR(Tabela1[[#This Row],[FECHA]])</f>
        <v>1900</v>
      </c>
      <c r="I80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16" customFormat="false" ht="15" hidden="false" customHeight="false" outlineLevel="0" collapsed="false">
      <c r="A8016" s="41"/>
      <c r="G8016" s="38" t="n">
        <f aca="false">MONTH(A8016)</f>
        <v>12</v>
      </c>
      <c r="H8016" s="38" t="n">
        <f aca="false">YEAR(Tabela1[[#This Row],[FECHA]])</f>
        <v>1900</v>
      </c>
      <c r="I80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17" customFormat="false" ht="15" hidden="false" customHeight="false" outlineLevel="0" collapsed="false">
      <c r="A8017" s="41"/>
      <c r="G8017" s="38" t="n">
        <f aca="false">MONTH(A8017)</f>
        <v>12</v>
      </c>
      <c r="H8017" s="38" t="n">
        <f aca="false">YEAR(Tabela1[[#This Row],[FECHA]])</f>
        <v>1900</v>
      </c>
      <c r="I80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18" customFormat="false" ht="15" hidden="false" customHeight="false" outlineLevel="0" collapsed="false">
      <c r="A8018" s="41"/>
      <c r="G8018" s="38" t="n">
        <f aca="false">MONTH(A8018)</f>
        <v>12</v>
      </c>
      <c r="H8018" s="38" t="n">
        <f aca="false">YEAR(Tabela1[[#This Row],[FECHA]])</f>
        <v>1900</v>
      </c>
      <c r="I80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19" customFormat="false" ht="15" hidden="false" customHeight="false" outlineLevel="0" collapsed="false">
      <c r="A8019" s="41"/>
      <c r="G8019" s="38" t="n">
        <f aca="false">MONTH(A8019)</f>
        <v>12</v>
      </c>
      <c r="H8019" s="38" t="n">
        <f aca="false">YEAR(Tabela1[[#This Row],[FECHA]])</f>
        <v>1900</v>
      </c>
      <c r="I80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20" customFormat="false" ht="15" hidden="false" customHeight="false" outlineLevel="0" collapsed="false">
      <c r="A8020" s="41"/>
      <c r="G8020" s="38" t="n">
        <f aca="false">MONTH(A8020)</f>
        <v>12</v>
      </c>
      <c r="H8020" s="38" t="n">
        <f aca="false">YEAR(Tabela1[[#This Row],[FECHA]])</f>
        <v>1900</v>
      </c>
      <c r="I80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21" customFormat="false" ht="15" hidden="false" customHeight="false" outlineLevel="0" collapsed="false">
      <c r="A8021" s="41"/>
      <c r="G8021" s="38" t="n">
        <f aca="false">MONTH(A8021)</f>
        <v>12</v>
      </c>
      <c r="H8021" s="38" t="n">
        <f aca="false">YEAR(Tabela1[[#This Row],[FECHA]])</f>
        <v>1900</v>
      </c>
      <c r="I80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22" customFormat="false" ht="15" hidden="false" customHeight="false" outlineLevel="0" collapsed="false">
      <c r="A8022" s="41"/>
      <c r="G8022" s="38" t="n">
        <f aca="false">MONTH(A8022)</f>
        <v>12</v>
      </c>
      <c r="H8022" s="38" t="n">
        <f aca="false">YEAR(Tabela1[[#This Row],[FECHA]])</f>
        <v>1900</v>
      </c>
      <c r="I80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23" customFormat="false" ht="15" hidden="false" customHeight="false" outlineLevel="0" collapsed="false">
      <c r="A8023" s="41"/>
      <c r="G8023" s="38" t="n">
        <f aca="false">MONTH(A8023)</f>
        <v>12</v>
      </c>
      <c r="H8023" s="38" t="n">
        <f aca="false">YEAR(Tabela1[[#This Row],[FECHA]])</f>
        <v>1900</v>
      </c>
      <c r="I80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24" customFormat="false" ht="15" hidden="false" customHeight="false" outlineLevel="0" collapsed="false">
      <c r="A8024" s="41"/>
      <c r="G8024" s="38" t="n">
        <f aca="false">MONTH(A8024)</f>
        <v>12</v>
      </c>
      <c r="H8024" s="38" t="n">
        <f aca="false">YEAR(Tabela1[[#This Row],[FECHA]])</f>
        <v>1900</v>
      </c>
      <c r="I80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25" customFormat="false" ht="15" hidden="false" customHeight="false" outlineLevel="0" collapsed="false">
      <c r="A8025" s="41"/>
      <c r="G8025" s="38" t="n">
        <f aca="false">MONTH(A8025)</f>
        <v>12</v>
      </c>
      <c r="H8025" s="38" t="n">
        <f aca="false">YEAR(Tabela1[[#This Row],[FECHA]])</f>
        <v>1900</v>
      </c>
      <c r="I80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26" customFormat="false" ht="15" hidden="false" customHeight="false" outlineLevel="0" collapsed="false">
      <c r="A8026" s="41"/>
      <c r="G8026" s="38" t="n">
        <f aca="false">MONTH(A8026)</f>
        <v>12</v>
      </c>
      <c r="H8026" s="38" t="n">
        <f aca="false">YEAR(Tabela1[[#This Row],[FECHA]])</f>
        <v>1900</v>
      </c>
      <c r="I80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27" customFormat="false" ht="15" hidden="false" customHeight="false" outlineLevel="0" collapsed="false">
      <c r="A8027" s="41"/>
      <c r="G8027" s="38" t="n">
        <f aca="false">MONTH(A8027)</f>
        <v>12</v>
      </c>
      <c r="H8027" s="38" t="n">
        <f aca="false">YEAR(Tabela1[[#This Row],[FECHA]])</f>
        <v>1900</v>
      </c>
      <c r="I80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28" customFormat="false" ht="15" hidden="false" customHeight="false" outlineLevel="0" collapsed="false">
      <c r="A8028" s="41"/>
      <c r="G8028" s="38" t="n">
        <f aca="false">MONTH(A8028)</f>
        <v>12</v>
      </c>
      <c r="H8028" s="38" t="n">
        <f aca="false">YEAR(Tabela1[[#This Row],[FECHA]])</f>
        <v>1900</v>
      </c>
      <c r="I80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29" customFormat="false" ht="15" hidden="false" customHeight="false" outlineLevel="0" collapsed="false">
      <c r="A8029" s="41"/>
      <c r="G8029" s="38" t="n">
        <f aca="false">MONTH(A8029)</f>
        <v>12</v>
      </c>
      <c r="H8029" s="38" t="n">
        <f aca="false">YEAR(Tabela1[[#This Row],[FECHA]])</f>
        <v>1900</v>
      </c>
      <c r="I80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30" customFormat="false" ht="15" hidden="false" customHeight="false" outlineLevel="0" collapsed="false">
      <c r="A8030" s="41"/>
      <c r="G8030" s="38" t="n">
        <f aca="false">MONTH(A8030)</f>
        <v>12</v>
      </c>
      <c r="H8030" s="38" t="n">
        <f aca="false">YEAR(Tabela1[[#This Row],[FECHA]])</f>
        <v>1900</v>
      </c>
      <c r="I80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31" customFormat="false" ht="15" hidden="false" customHeight="false" outlineLevel="0" collapsed="false">
      <c r="A8031" s="41"/>
      <c r="G8031" s="38" t="n">
        <f aca="false">MONTH(A8031)</f>
        <v>12</v>
      </c>
      <c r="H8031" s="38" t="n">
        <f aca="false">YEAR(Tabela1[[#This Row],[FECHA]])</f>
        <v>1900</v>
      </c>
      <c r="I80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32" customFormat="false" ht="15" hidden="false" customHeight="false" outlineLevel="0" collapsed="false">
      <c r="A8032" s="41"/>
      <c r="G8032" s="38" t="n">
        <f aca="false">MONTH(A8032)</f>
        <v>12</v>
      </c>
      <c r="H8032" s="38" t="n">
        <f aca="false">YEAR(Tabela1[[#This Row],[FECHA]])</f>
        <v>1900</v>
      </c>
      <c r="I80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33" customFormat="false" ht="15" hidden="false" customHeight="false" outlineLevel="0" collapsed="false">
      <c r="A8033" s="41"/>
      <c r="G8033" s="38" t="n">
        <f aca="false">MONTH(A8033)</f>
        <v>12</v>
      </c>
      <c r="H8033" s="38" t="n">
        <f aca="false">YEAR(Tabela1[[#This Row],[FECHA]])</f>
        <v>1900</v>
      </c>
      <c r="I80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34" customFormat="false" ht="15" hidden="false" customHeight="false" outlineLevel="0" collapsed="false">
      <c r="A8034" s="41"/>
      <c r="G8034" s="38" t="n">
        <f aca="false">MONTH(A8034)</f>
        <v>12</v>
      </c>
      <c r="H8034" s="38" t="n">
        <f aca="false">YEAR(Tabela1[[#This Row],[FECHA]])</f>
        <v>1900</v>
      </c>
      <c r="I80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35" customFormat="false" ht="15" hidden="false" customHeight="false" outlineLevel="0" collapsed="false">
      <c r="A8035" s="41"/>
      <c r="G8035" s="38" t="n">
        <f aca="false">MONTH(A8035)</f>
        <v>12</v>
      </c>
      <c r="H8035" s="38" t="n">
        <f aca="false">YEAR(Tabela1[[#This Row],[FECHA]])</f>
        <v>1900</v>
      </c>
      <c r="I80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36" customFormat="false" ht="15" hidden="false" customHeight="false" outlineLevel="0" collapsed="false">
      <c r="A8036" s="41"/>
      <c r="G8036" s="38" t="n">
        <f aca="false">MONTH(A8036)</f>
        <v>12</v>
      </c>
      <c r="H8036" s="38" t="n">
        <f aca="false">YEAR(Tabela1[[#This Row],[FECHA]])</f>
        <v>1900</v>
      </c>
      <c r="I80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37" customFormat="false" ht="15" hidden="false" customHeight="false" outlineLevel="0" collapsed="false">
      <c r="A8037" s="41"/>
      <c r="G8037" s="38" t="n">
        <f aca="false">MONTH(A8037)</f>
        <v>12</v>
      </c>
      <c r="H8037" s="38" t="n">
        <f aca="false">YEAR(Tabela1[[#This Row],[FECHA]])</f>
        <v>1900</v>
      </c>
      <c r="I80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38" customFormat="false" ht="15" hidden="false" customHeight="false" outlineLevel="0" collapsed="false">
      <c r="A8038" s="41"/>
      <c r="G8038" s="38" t="n">
        <f aca="false">MONTH(A8038)</f>
        <v>12</v>
      </c>
      <c r="H8038" s="38" t="n">
        <f aca="false">YEAR(Tabela1[[#This Row],[FECHA]])</f>
        <v>1900</v>
      </c>
      <c r="I80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39" customFormat="false" ht="15" hidden="false" customHeight="false" outlineLevel="0" collapsed="false">
      <c r="A8039" s="41"/>
      <c r="G8039" s="38" t="n">
        <f aca="false">MONTH(A8039)</f>
        <v>12</v>
      </c>
      <c r="H8039" s="38" t="n">
        <f aca="false">YEAR(Tabela1[[#This Row],[FECHA]])</f>
        <v>1900</v>
      </c>
      <c r="I80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40" customFormat="false" ht="15" hidden="false" customHeight="false" outlineLevel="0" collapsed="false">
      <c r="A8040" s="41"/>
      <c r="G8040" s="38" t="n">
        <f aca="false">MONTH(A8040)</f>
        <v>12</v>
      </c>
      <c r="H8040" s="38" t="n">
        <f aca="false">YEAR(Tabela1[[#This Row],[FECHA]])</f>
        <v>1900</v>
      </c>
      <c r="I80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41" customFormat="false" ht="15" hidden="false" customHeight="false" outlineLevel="0" collapsed="false">
      <c r="A8041" s="41"/>
      <c r="G8041" s="38" t="n">
        <f aca="false">MONTH(A8041)</f>
        <v>12</v>
      </c>
      <c r="H8041" s="38" t="n">
        <f aca="false">YEAR(Tabela1[[#This Row],[FECHA]])</f>
        <v>1900</v>
      </c>
      <c r="I80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42" customFormat="false" ht="15" hidden="false" customHeight="false" outlineLevel="0" collapsed="false">
      <c r="A8042" s="41"/>
      <c r="G8042" s="38" t="n">
        <f aca="false">MONTH(A8042)</f>
        <v>12</v>
      </c>
      <c r="H8042" s="38" t="n">
        <f aca="false">YEAR(Tabela1[[#This Row],[FECHA]])</f>
        <v>1900</v>
      </c>
      <c r="I80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43" customFormat="false" ht="15" hidden="false" customHeight="false" outlineLevel="0" collapsed="false">
      <c r="A8043" s="41"/>
      <c r="G8043" s="38" t="n">
        <f aca="false">MONTH(A8043)</f>
        <v>12</v>
      </c>
      <c r="H8043" s="38" t="n">
        <f aca="false">YEAR(Tabela1[[#This Row],[FECHA]])</f>
        <v>1900</v>
      </c>
      <c r="I80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44" customFormat="false" ht="15" hidden="false" customHeight="false" outlineLevel="0" collapsed="false">
      <c r="A8044" s="41"/>
      <c r="G8044" s="38" t="n">
        <f aca="false">MONTH(A8044)</f>
        <v>12</v>
      </c>
      <c r="H8044" s="38" t="n">
        <f aca="false">YEAR(Tabela1[[#This Row],[FECHA]])</f>
        <v>1900</v>
      </c>
      <c r="I80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45" customFormat="false" ht="15" hidden="false" customHeight="false" outlineLevel="0" collapsed="false">
      <c r="A8045" s="41"/>
      <c r="G8045" s="38" t="n">
        <f aca="false">MONTH(A8045)</f>
        <v>12</v>
      </c>
      <c r="H8045" s="38" t="n">
        <f aca="false">YEAR(Tabela1[[#This Row],[FECHA]])</f>
        <v>1900</v>
      </c>
      <c r="I80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46" customFormat="false" ht="15" hidden="false" customHeight="false" outlineLevel="0" collapsed="false">
      <c r="A8046" s="41"/>
      <c r="G8046" s="38" t="n">
        <f aca="false">MONTH(A8046)</f>
        <v>12</v>
      </c>
      <c r="H8046" s="38" t="n">
        <f aca="false">YEAR(Tabela1[[#This Row],[FECHA]])</f>
        <v>1900</v>
      </c>
      <c r="I80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47" customFormat="false" ht="15" hidden="false" customHeight="false" outlineLevel="0" collapsed="false">
      <c r="A8047" s="41"/>
      <c r="G8047" s="38" t="n">
        <f aca="false">MONTH(A8047)</f>
        <v>12</v>
      </c>
      <c r="H8047" s="38" t="n">
        <f aca="false">YEAR(Tabela1[[#This Row],[FECHA]])</f>
        <v>1900</v>
      </c>
      <c r="I80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48" customFormat="false" ht="15" hidden="false" customHeight="false" outlineLevel="0" collapsed="false">
      <c r="A8048" s="41"/>
      <c r="G8048" s="38" t="n">
        <f aca="false">MONTH(A8048)</f>
        <v>12</v>
      </c>
      <c r="H8048" s="38" t="n">
        <f aca="false">YEAR(Tabela1[[#This Row],[FECHA]])</f>
        <v>1900</v>
      </c>
      <c r="I80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49" customFormat="false" ht="15" hidden="false" customHeight="false" outlineLevel="0" collapsed="false">
      <c r="A8049" s="41"/>
      <c r="G8049" s="38" t="n">
        <f aca="false">MONTH(A8049)</f>
        <v>12</v>
      </c>
      <c r="H8049" s="38" t="n">
        <f aca="false">YEAR(Tabela1[[#This Row],[FECHA]])</f>
        <v>1900</v>
      </c>
      <c r="I80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50" customFormat="false" ht="15" hidden="false" customHeight="false" outlineLevel="0" collapsed="false">
      <c r="A8050" s="41"/>
      <c r="G8050" s="38" t="n">
        <f aca="false">MONTH(A8050)</f>
        <v>12</v>
      </c>
      <c r="H8050" s="38" t="n">
        <f aca="false">YEAR(Tabela1[[#This Row],[FECHA]])</f>
        <v>1900</v>
      </c>
      <c r="I80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51" customFormat="false" ht="15" hidden="false" customHeight="false" outlineLevel="0" collapsed="false">
      <c r="A8051" s="41"/>
      <c r="G8051" s="38" t="n">
        <f aca="false">MONTH(A8051)</f>
        <v>12</v>
      </c>
      <c r="H8051" s="38" t="n">
        <f aca="false">YEAR(Tabela1[[#This Row],[FECHA]])</f>
        <v>1900</v>
      </c>
      <c r="I80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52" customFormat="false" ht="15" hidden="false" customHeight="false" outlineLevel="0" collapsed="false">
      <c r="A8052" s="41"/>
      <c r="G8052" s="38" t="n">
        <f aca="false">MONTH(A8052)</f>
        <v>12</v>
      </c>
      <c r="H8052" s="38" t="n">
        <f aca="false">YEAR(Tabela1[[#This Row],[FECHA]])</f>
        <v>1900</v>
      </c>
      <c r="I80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53" customFormat="false" ht="15" hidden="false" customHeight="false" outlineLevel="0" collapsed="false">
      <c r="A8053" s="41"/>
      <c r="G8053" s="38" t="n">
        <f aca="false">MONTH(A8053)</f>
        <v>12</v>
      </c>
      <c r="H8053" s="38" t="n">
        <f aca="false">YEAR(Tabela1[[#This Row],[FECHA]])</f>
        <v>1900</v>
      </c>
      <c r="I80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54" customFormat="false" ht="15" hidden="false" customHeight="false" outlineLevel="0" collapsed="false">
      <c r="A8054" s="41"/>
      <c r="G8054" s="38" t="n">
        <f aca="false">MONTH(A8054)</f>
        <v>12</v>
      </c>
      <c r="H8054" s="38" t="n">
        <f aca="false">YEAR(Tabela1[[#This Row],[FECHA]])</f>
        <v>1900</v>
      </c>
      <c r="I80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55" customFormat="false" ht="15" hidden="false" customHeight="false" outlineLevel="0" collapsed="false">
      <c r="A8055" s="41"/>
      <c r="G8055" s="38" t="n">
        <f aca="false">MONTH(A8055)</f>
        <v>12</v>
      </c>
      <c r="H8055" s="38" t="n">
        <f aca="false">YEAR(Tabela1[[#This Row],[FECHA]])</f>
        <v>1900</v>
      </c>
      <c r="I80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56" customFormat="false" ht="15" hidden="false" customHeight="false" outlineLevel="0" collapsed="false">
      <c r="A8056" s="41"/>
      <c r="G8056" s="38" t="n">
        <f aca="false">MONTH(A8056)</f>
        <v>12</v>
      </c>
      <c r="H8056" s="38" t="n">
        <f aca="false">YEAR(Tabela1[[#This Row],[FECHA]])</f>
        <v>1900</v>
      </c>
      <c r="I80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57" customFormat="false" ht="15" hidden="false" customHeight="false" outlineLevel="0" collapsed="false">
      <c r="A8057" s="41"/>
      <c r="G8057" s="38" t="n">
        <f aca="false">MONTH(A8057)</f>
        <v>12</v>
      </c>
      <c r="H8057" s="38" t="n">
        <f aca="false">YEAR(Tabela1[[#This Row],[FECHA]])</f>
        <v>1900</v>
      </c>
      <c r="I80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58" customFormat="false" ht="15" hidden="false" customHeight="false" outlineLevel="0" collapsed="false">
      <c r="A8058" s="41"/>
      <c r="G8058" s="38" t="n">
        <f aca="false">MONTH(A8058)</f>
        <v>12</v>
      </c>
      <c r="H8058" s="38" t="n">
        <f aca="false">YEAR(Tabela1[[#This Row],[FECHA]])</f>
        <v>1900</v>
      </c>
      <c r="I80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59" customFormat="false" ht="15" hidden="false" customHeight="false" outlineLevel="0" collapsed="false">
      <c r="A8059" s="41"/>
      <c r="G8059" s="38" t="n">
        <f aca="false">MONTH(A8059)</f>
        <v>12</v>
      </c>
      <c r="H8059" s="38" t="n">
        <f aca="false">YEAR(Tabela1[[#This Row],[FECHA]])</f>
        <v>1900</v>
      </c>
      <c r="I80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60" customFormat="false" ht="15" hidden="false" customHeight="false" outlineLevel="0" collapsed="false">
      <c r="A8060" s="41"/>
      <c r="G8060" s="38" t="n">
        <f aca="false">MONTH(A8060)</f>
        <v>12</v>
      </c>
      <c r="H8060" s="38" t="n">
        <f aca="false">YEAR(Tabela1[[#This Row],[FECHA]])</f>
        <v>1900</v>
      </c>
      <c r="I80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61" customFormat="false" ht="15" hidden="false" customHeight="false" outlineLevel="0" collapsed="false">
      <c r="A8061" s="41"/>
      <c r="G8061" s="38" t="n">
        <f aca="false">MONTH(A8061)</f>
        <v>12</v>
      </c>
      <c r="H8061" s="38" t="n">
        <f aca="false">YEAR(Tabela1[[#This Row],[FECHA]])</f>
        <v>1900</v>
      </c>
      <c r="I80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62" customFormat="false" ht="15" hidden="false" customHeight="false" outlineLevel="0" collapsed="false">
      <c r="A8062" s="41"/>
      <c r="G8062" s="38" t="n">
        <f aca="false">MONTH(A8062)</f>
        <v>12</v>
      </c>
      <c r="H8062" s="38" t="n">
        <f aca="false">YEAR(Tabela1[[#This Row],[FECHA]])</f>
        <v>1900</v>
      </c>
      <c r="I80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63" customFormat="false" ht="15" hidden="false" customHeight="false" outlineLevel="0" collapsed="false">
      <c r="A8063" s="41"/>
      <c r="G8063" s="38" t="n">
        <f aca="false">MONTH(A8063)</f>
        <v>12</v>
      </c>
      <c r="H8063" s="38" t="n">
        <f aca="false">YEAR(Tabela1[[#This Row],[FECHA]])</f>
        <v>1900</v>
      </c>
      <c r="I80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64" customFormat="false" ht="15" hidden="false" customHeight="false" outlineLevel="0" collapsed="false">
      <c r="A8064" s="41"/>
      <c r="G8064" s="38" t="n">
        <f aca="false">MONTH(A8064)</f>
        <v>12</v>
      </c>
      <c r="H8064" s="38" t="n">
        <f aca="false">YEAR(Tabela1[[#This Row],[FECHA]])</f>
        <v>1900</v>
      </c>
      <c r="I80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65" customFormat="false" ht="15" hidden="false" customHeight="false" outlineLevel="0" collapsed="false">
      <c r="A8065" s="41"/>
      <c r="G8065" s="38" t="n">
        <f aca="false">MONTH(A8065)</f>
        <v>12</v>
      </c>
      <c r="H8065" s="38" t="n">
        <f aca="false">YEAR(Tabela1[[#This Row],[FECHA]])</f>
        <v>1900</v>
      </c>
      <c r="I80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66" customFormat="false" ht="15" hidden="false" customHeight="false" outlineLevel="0" collapsed="false">
      <c r="A8066" s="41"/>
      <c r="G8066" s="38" t="n">
        <f aca="false">MONTH(A8066)</f>
        <v>12</v>
      </c>
      <c r="H8066" s="38" t="n">
        <f aca="false">YEAR(Tabela1[[#This Row],[FECHA]])</f>
        <v>1900</v>
      </c>
      <c r="I80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67" customFormat="false" ht="15" hidden="false" customHeight="false" outlineLevel="0" collapsed="false">
      <c r="A8067" s="41"/>
      <c r="G8067" s="38" t="n">
        <f aca="false">MONTH(A8067)</f>
        <v>12</v>
      </c>
      <c r="H8067" s="38" t="n">
        <f aca="false">YEAR(Tabela1[[#This Row],[FECHA]])</f>
        <v>1900</v>
      </c>
      <c r="I80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68" customFormat="false" ht="15" hidden="false" customHeight="false" outlineLevel="0" collapsed="false">
      <c r="A8068" s="41"/>
      <c r="G8068" s="38" t="n">
        <f aca="false">MONTH(A8068)</f>
        <v>12</v>
      </c>
      <c r="H8068" s="38" t="n">
        <f aca="false">YEAR(Tabela1[[#This Row],[FECHA]])</f>
        <v>1900</v>
      </c>
      <c r="I80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69" customFormat="false" ht="15" hidden="false" customHeight="false" outlineLevel="0" collapsed="false">
      <c r="A8069" s="41"/>
      <c r="G8069" s="38" t="n">
        <f aca="false">MONTH(A8069)</f>
        <v>12</v>
      </c>
      <c r="H8069" s="38" t="n">
        <f aca="false">YEAR(Tabela1[[#This Row],[FECHA]])</f>
        <v>1900</v>
      </c>
      <c r="I80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70" customFormat="false" ht="15" hidden="false" customHeight="false" outlineLevel="0" collapsed="false">
      <c r="A8070" s="41"/>
      <c r="G8070" s="38" t="n">
        <f aca="false">MONTH(A8070)</f>
        <v>12</v>
      </c>
      <c r="H8070" s="38" t="n">
        <f aca="false">YEAR(Tabela1[[#This Row],[FECHA]])</f>
        <v>1900</v>
      </c>
      <c r="I80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71" customFormat="false" ht="15" hidden="false" customHeight="false" outlineLevel="0" collapsed="false">
      <c r="A8071" s="41"/>
      <c r="G8071" s="38" t="n">
        <f aca="false">MONTH(A8071)</f>
        <v>12</v>
      </c>
      <c r="H8071" s="38" t="n">
        <f aca="false">YEAR(Tabela1[[#This Row],[FECHA]])</f>
        <v>1900</v>
      </c>
      <c r="I80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72" customFormat="false" ht="15" hidden="false" customHeight="false" outlineLevel="0" collapsed="false">
      <c r="A8072" s="41"/>
      <c r="G8072" s="38" t="n">
        <f aca="false">MONTH(A8072)</f>
        <v>12</v>
      </c>
      <c r="H8072" s="38" t="n">
        <f aca="false">YEAR(Tabela1[[#This Row],[FECHA]])</f>
        <v>1900</v>
      </c>
      <c r="I80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73" customFormat="false" ht="15" hidden="false" customHeight="false" outlineLevel="0" collapsed="false">
      <c r="A8073" s="41"/>
      <c r="G8073" s="38" t="n">
        <f aca="false">MONTH(A8073)</f>
        <v>12</v>
      </c>
      <c r="H8073" s="38" t="n">
        <f aca="false">YEAR(Tabela1[[#This Row],[FECHA]])</f>
        <v>1900</v>
      </c>
      <c r="I80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74" customFormat="false" ht="15" hidden="false" customHeight="false" outlineLevel="0" collapsed="false">
      <c r="A8074" s="41"/>
      <c r="G8074" s="38" t="n">
        <f aca="false">MONTH(A8074)</f>
        <v>12</v>
      </c>
      <c r="H8074" s="38" t="n">
        <f aca="false">YEAR(Tabela1[[#This Row],[FECHA]])</f>
        <v>1900</v>
      </c>
      <c r="I80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75" customFormat="false" ht="15" hidden="false" customHeight="false" outlineLevel="0" collapsed="false">
      <c r="A8075" s="41"/>
      <c r="G8075" s="38" t="n">
        <f aca="false">MONTH(A8075)</f>
        <v>12</v>
      </c>
      <c r="H8075" s="38" t="n">
        <f aca="false">YEAR(Tabela1[[#This Row],[FECHA]])</f>
        <v>1900</v>
      </c>
      <c r="I80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76" customFormat="false" ht="15" hidden="false" customHeight="false" outlineLevel="0" collapsed="false">
      <c r="A8076" s="41"/>
      <c r="G8076" s="38" t="n">
        <f aca="false">MONTH(A8076)</f>
        <v>12</v>
      </c>
      <c r="H8076" s="38" t="n">
        <f aca="false">YEAR(Tabela1[[#This Row],[FECHA]])</f>
        <v>1900</v>
      </c>
      <c r="I80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77" customFormat="false" ht="15" hidden="false" customHeight="false" outlineLevel="0" collapsed="false">
      <c r="A8077" s="41"/>
      <c r="G8077" s="38" t="n">
        <f aca="false">MONTH(A8077)</f>
        <v>12</v>
      </c>
      <c r="H8077" s="38" t="n">
        <f aca="false">YEAR(Tabela1[[#This Row],[FECHA]])</f>
        <v>1900</v>
      </c>
      <c r="I80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78" customFormat="false" ht="15" hidden="false" customHeight="false" outlineLevel="0" collapsed="false">
      <c r="A8078" s="41"/>
      <c r="G8078" s="38" t="n">
        <f aca="false">MONTH(A8078)</f>
        <v>12</v>
      </c>
      <c r="H8078" s="38" t="n">
        <f aca="false">YEAR(Tabela1[[#This Row],[FECHA]])</f>
        <v>1900</v>
      </c>
      <c r="I80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79" customFormat="false" ht="15" hidden="false" customHeight="false" outlineLevel="0" collapsed="false">
      <c r="A8079" s="41"/>
      <c r="G8079" s="38" t="n">
        <f aca="false">MONTH(A8079)</f>
        <v>12</v>
      </c>
      <c r="H8079" s="38" t="n">
        <f aca="false">YEAR(Tabela1[[#This Row],[FECHA]])</f>
        <v>1900</v>
      </c>
      <c r="I80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80" customFormat="false" ht="15" hidden="false" customHeight="false" outlineLevel="0" collapsed="false">
      <c r="A8080" s="41"/>
      <c r="G8080" s="38" t="n">
        <f aca="false">MONTH(A8080)</f>
        <v>12</v>
      </c>
      <c r="H8080" s="38" t="n">
        <f aca="false">YEAR(Tabela1[[#This Row],[FECHA]])</f>
        <v>1900</v>
      </c>
      <c r="I80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81" customFormat="false" ht="15" hidden="false" customHeight="false" outlineLevel="0" collapsed="false">
      <c r="A8081" s="41"/>
      <c r="G8081" s="38" t="n">
        <f aca="false">MONTH(A8081)</f>
        <v>12</v>
      </c>
      <c r="H8081" s="38" t="n">
        <f aca="false">YEAR(Tabela1[[#This Row],[FECHA]])</f>
        <v>1900</v>
      </c>
      <c r="I80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82" customFormat="false" ht="15" hidden="false" customHeight="false" outlineLevel="0" collapsed="false">
      <c r="A8082" s="41"/>
      <c r="G8082" s="38" t="n">
        <f aca="false">MONTH(A8082)</f>
        <v>12</v>
      </c>
      <c r="H8082" s="38" t="n">
        <f aca="false">YEAR(Tabela1[[#This Row],[FECHA]])</f>
        <v>1900</v>
      </c>
      <c r="I80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83" customFormat="false" ht="15" hidden="false" customHeight="false" outlineLevel="0" collapsed="false">
      <c r="A8083" s="41"/>
      <c r="G8083" s="38" t="n">
        <f aca="false">MONTH(A8083)</f>
        <v>12</v>
      </c>
      <c r="H8083" s="38" t="n">
        <f aca="false">YEAR(Tabela1[[#This Row],[FECHA]])</f>
        <v>1900</v>
      </c>
      <c r="I80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84" customFormat="false" ht="15" hidden="false" customHeight="false" outlineLevel="0" collapsed="false">
      <c r="A8084" s="41"/>
      <c r="G8084" s="38" t="n">
        <f aca="false">MONTH(A8084)</f>
        <v>12</v>
      </c>
      <c r="H8084" s="38" t="n">
        <f aca="false">YEAR(Tabela1[[#This Row],[FECHA]])</f>
        <v>1900</v>
      </c>
      <c r="I80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85" customFormat="false" ht="15" hidden="false" customHeight="false" outlineLevel="0" collapsed="false">
      <c r="A8085" s="41"/>
      <c r="G8085" s="38" t="n">
        <f aca="false">MONTH(A8085)</f>
        <v>12</v>
      </c>
      <c r="H8085" s="38" t="n">
        <f aca="false">YEAR(Tabela1[[#This Row],[FECHA]])</f>
        <v>1900</v>
      </c>
      <c r="I80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86" customFormat="false" ht="15" hidden="false" customHeight="false" outlineLevel="0" collapsed="false">
      <c r="A8086" s="41"/>
      <c r="G8086" s="38" t="n">
        <f aca="false">MONTH(A8086)</f>
        <v>12</v>
      </c>
      <c r="H8086" s="38" t="n">
        <f aca="false">YEAR(Tabela1[[#This Row],[FECHA]])</f>
        <v>1900</v>
      </c>
      <c r="I80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87" customFormat="false" ht="15" hidden="false" customHeight="false" outlineLevel="0" collapsed="false">
      <c r="A8087" s="41"/>
      <c r="G8087" s="38" t="n">
        <f aca="false">MONTH(A8087)</f>
        <v>12</v>
      </c>
      <c r="H8087" s="38" t="n">
        <f aca="false">YEAR(Tabela1[[#This Row],[FECHA]])</f>
        <v>1900</v>
      </c>
      <c r="I80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88" customFormat="false" ht="15" hidden="false" customHeight="false" outlineLevel="0" collapsed="false">
      <c r="A8088" s="41"/>
      <c r="G8088" s="38" t="n">
        <f aca="false">MONTH(A8088)</f>
        <v>12</v>
      </c>
      <c r="H8088" s="38" t="n">
        <f aca="false">YEAR(Tabela1[[#This Row],[FECHA]])</f>
        <v>1900</v>
      </c>
      <c r="I80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89" customFormat="false" ht="15" hidden="false" customHeight="false" outlineLevel="0" collapsed="false">
      <c r="A8089" s="41"/>
      <c r="G8089" s="38" t="n">
        <f aca="false">MONTH(A8089)</f>
        <v>12</v>
      </c>
      <c r="H8089" s="38" t="n">
        <f aca="false">YEAR(Tabela1[[#This Row],[FECHA]])</f>
        <v>1900</v>
      </c>
      <c r="I80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90" customFormat="false" ht="15" hidden="false" customHeight="false" outlineLevel="0" collapsed="false">
      <c r="A8090" s="41"/>
      <c r="G8090" s="38" t="n">
        <f aca="false">MONTH(A8090)</f>
        <v>12</v>
      </c>
      <c r="H8090" s="38" t="n">
        <f aca="false">YEAR(Tabela1[[#This Row],[FECHA]])</f>
        <v>1900</v>
      </c>
      <c r="I80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91" customFormat="false" ht="15" hidden="false" customHeight="false" outlineLevel="0" collapsed="false">
      <c r="A8091" s="41"/>
      <c r="G8091" s="38" t="n">
        <f aca="false">MONTH(A8091)</f>
        <v>12</v>
      </c>
      <c r="H8091" s="38" t="n">
        <f aca="false">YEAR(Tabela1[[#This Row],[FECHA]])</f>
        <v>1900</v>
      </c>
      <c r="I80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92" customFormat="false" ht="15" hidden="false" customHeight="false" outlineLevel="0" collapsed="false">
      <c r="A8092" s="41"/>
      <c r="G8092" s="38" t="n">
        <f aca="false">MONTH(A8092)</f>
        <v>12</v>
      </c>
      <c r="H8092" s="38" t="n">
        <f aca="false">YEAR(Tabela1[[#This Row],[FECHA]])</f>
        <v>1900</v>
      </c>
      <c r="I80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93" customFormat="false" ht="15" hidden="false" customHeight="false" outlineLevel="0" collapsed="false">
      <c r="A8093" s="41"/>
      <c r="G8093" s="38" t="n">
        <f aca="false">MONTH(A8093)</f>
        <v>12</v>
      </c>
      <c r="H8093" s="38" t="n">
        <f aca="false">YEAR(Tabela1[[#This Row],[FECHA]])</f>
        <v>1900</v>
      </c>
      <c r="I80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94" customFormat="false" ht="15" hidden="false" customHeight="false" outlineLevel="0" collapsed="false">
      <c r="A8094" s="41"/>
      <c r="G8094" s="38" t="n">
        <f aca="false">MONTH(A8094)</f>
        <v>12</v>
      </c>
      <c r="H8094" s="38" t="n">
        <f aca="false">YEAR(Tabela1[[#This Row],[FECHA]])</f>
        <v>1900</v>
      </c>
      <c r="I80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95" customFormat="false" ht="15" hidden="false" customHeight="false" outlineLevel="0" collapsed="false">
      <c r="A8095" s="41"/>
      <c r="G8095" s="38" t="n">
        <f aca="false">MONTH(A8095)</f>
        <v>12</v>
      </c>
      <c r="H8095" s="38" t="n">
        <f aca="false">YEAR(Tabela1[[#This Row],[FECHA]])</f>
        <v>1900</v>
      </c>
      <c r="I80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96" customFormat="false" ht="15" hidden="false" customHeight="false" outlineLevel="0" collapsed="false">
      <c r="A8096" s="41"/>
      <c r="G8096" s="38" t="n">
        <f aca="false">MONTH(A8096)</f>
        <v>12</v>
      </c>
      <c r="H8096" s="38" t="n">
        <f aca="false">YEAR(Tabela1[[#This Row],[FECHA]])</f>
        <v>1900</v>
      </c>
      <c r="I80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97" customFormat="false" ht="15" hidden="false" customHeight="false" outlineLevel="0" collapsed="false">
      <c r="A8097" s="41"/>
      <c r="G8097" s="38" t="n">
        <f aca="false">MONTH(A8097)</f>
        <v>12</v>
      </c>
      <c r="H8097" s="38" t="n">
        <f aca="false">YEAR(Tabela1[[#This Row],[FECHA]])</f>
        <v>1900</v>
      </c>
      <c r="I80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98" customFormat="false" ht="15" hidden="false" customHeight="false" outlineLevel="0" collapsed="false">
      <c r="A8098" s="41"/>
      <c r="G8098" s="38" t="n">
        <f aca="false">MONTH(A8098)</f>
        <v>12</v>
      </c>
      <c r="H8098" s="38" t="n">
        <f aca="false">YEAR(Tabela1[[#This Row],[FECHA]])</f>
        <v>1900</v>
      </c>
      <c r="I80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099" customFormat="false" ht="15" hidden="false" customHeight="false" outlineLevel="0" collapsed="false">
      <c r="A8099" s="41"/>
      <c r="G8099" s="38" t="n">
        <f aca="false">MONTH(A8099)</f>
        <v>12</v>
      </c>
      <c r="H8099" s="38" t="n">
        <f aca="false">YEAR(Tabela1[[#This Row],[FECHA]])</f>
        <v>1900</v>
      </c>
      <c r="I80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00" customFormat="false" ht="15" hidden="false" customHeight="false" outlineLevel="0" collapsed="false">
      <c r="A8100" s="41"/>
      <c r="G8100" s="38" t="n">
        <f aca="false">MONTH(A8100)</f>
        <v>12</v>
      </c>
      <c r="H8100" s="38" t="n">
        <f aca="false">YEAR(Tabela1[[#This Row],[FECHA]])</f>
        <v>1900</v>
      </c>
      <c r="I81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01" customFormat="false" ht="15" hidden="false" customHeight="false" outlineLevel="0" collapsed="false">
      <c r="A8101" s="41"/>
      <c r="G8101" s="38" t="n">
        <f aca="false">MONTH(A8101)</f>
        <v>12</v>
      </c>
      <c r="H8101" s="38" t="n">
        <f aca="false">YEAR(Tabela1[[#This Row],[FECHA]])</f>
        <v>1900</v>
      </c>
      <c r="I81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02" customFormat="false" ht="15" hidden="false" customHeight="false" outlineLevel="0" collapsed="false">
      <c r="A8102" s="41"/>
      <c r="G8102" s="38" t="n">
        <f aca="false">MONTH(A8102)</f>
        <v>12</v>
      </c>
      <c r="H8102" s="38" t="n">
        <f aca="false">YEAR(Tabela1[[#This Row],[FECHA]])</f>
        <v>1900</v>
      </c>
      <c r="I81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03" customFormat="false" ht="15" hidden="false" customHeight="false" outlineLevel="0" collapsed="false">
      <c r="A8103" s="41"/>
      <c r="G8103" s="38" t="n">
        <f aca="false">MONTH(A8103)</f>
        <v>12</v>
      </c>
      <c r="H8103" s="38" t="n">
        <f aca="false">YEAR(Tabela1[[#This Row],[FECHA]])</f>
        <v>1900</v>
      </c>
      <c r="I81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04" customFormat="false" ht="15" hidden="false" customHeight="false" outlineLevel="0" collapsed="false">
      <c r="A8104" s="41"/>
      <c r="G8104" s="38" t="n">
        <f aca="false">MONTH(A8104)</f>
        <v>12</v>
      </c>
      <c r="H8104" s="38" t="n">
        <f aca="false">YEAR(Tabela1[[#This Row],[FECHA]])</f>
        <v>1900</v>
      </c>
      <c r="I81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05" customFormat="false" ht="15" hidden="false" customHeight="false" outlineLevel="0" collapsed="false">
      <c r="A8105" s="41"/>
      <c r="G8105" s="38" t="n">
        <f aca="false">MONTH(A8105)</f>
        <v>12</v>
      </c>
      <c r="H8105" s="38" t="n">
        <f aca="false">YEAR(Tabela1[[#This Row],[FECHA]])</f>
        <v>1900</v>
      </c>
      <c r="I81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06" customFormat="false" ht="15" hidden="false" customHeight="false" outlineLevel="0" collapsed="false">
      <c r="A8106" s="41"/>
      <c r="G8106" s="38" t="n">
        <f aca="false">MONTH(A8106)</f>
        <v>12</v>
      </c>
      <c r="H8106" s="38" t="n">
        <f aca="false">YEAR(Tabela1[[#This Row],[FECHA]])</f>
        <v>1900</v>
      </c>
      <c r="I81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07" customFormat="false" ht="15" hidden="false" customHeight="false" outlineLevel="0" collapsed="false">
      <c r="A8107" s="41"/>
      <c r="G8107" s="38" t="n">
        <f aca="false">MONTH(A8107)</f>
        <v>12</v>
      </c>
      <c r="H8107" s="38" t="n">
        <f aca="false">YEAR(Tabela1[[#This Row],[FECHA]])</f>
        <v>1900</v>
      </c>
      <c r="I81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08" customFormat="false" ht="15" hidden="false" customHeight="false" outlineLevel="0" collapsed="false">
      <c r="A8108" s="41"/>
      <c r="G8108" s="38" t="n">
        <f aca="false">MONTH(A8108)</f>
        <v>12</v>
      </c>
      <c r="H8108" s="38" t="n">
        <f aca="false">YEAR(Tabela1[[#This Row],[FECHA]])</f>
        <v>1900</v>
      </c>
      <c r="I81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09" customFormat="false" ht="15" hidden="false" customHeight="false" outlineLevel="0" collapsed="false">
      <c r="A8109" s="41"/>
      <c r="G8109" s="38" t="n">
        <f aca="false">MONTH(A8109)</f>
        <v>12</v>
      </c>
      <c r="H8109" s="38" t="n">
        <f aca="false">YEAR(Tabela1[[#This Row],[FECHA]])</f>
        <v>1900</v>
      </c>
      <c r="I81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10" customFormat="false" ht="15" hidden="false" customHeight="false" outlineLevel="0" collapsed="false">
      <c r="A8110" s="41"/>
      <c r="G8110" s="38" t="n">
        <f aca="false">MONTH(A8110)</f>
        <v>12</v>
      </c>
      <c r="H8110" s="38" t="n">
        <f aca="false">YEAR(Tabela1[[#This Row],[FECHA]])</f>
        <v>1900</v>
      </c>
      <c r="I81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11" customFormat="false" ht="15" hidden="false" customHeight="false" outlineLevel="0" collapsed="false">
      <c r="A8111" s="41"/>
      <c r="G8111" s="38" t="n">
        <f aca="false">MONTH(A8111)</f>
        <v>12</v>
      </c>
      <c r="H8111" s="38" t="n">
        <f aca="false">YEAR(Tabela1[[#This Row],[FECHA]])</f>
        <v>1900</v>
      </c>
      <c r="I81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12" customFormat="false" ht="15" hidden="false" customHeight="false" outlineLevel="0" collapsed="false">
      <c r="A8112" s="41"/>
      <c r="G8112" s="38" t="n">
        <f aca="false">MONTH(A8112)</f>
        <v>12</v>
      </c>
      <c r="H8112" s="38" t="n">
        <f aca="false">YEAR(Tabela1[[#This Row],[FECHA]])</f>
        <v>1900</v>
      </c>
      <c r="I81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13" customFormat="false" ht="15" hidden="false" customHeight="false" outlineLevel="0" collapsed="false">
      <c r="A8113" s="41"/>
      <c r="G8113" s="38" t="n">
        <f aca="false">MONTH(A8113)</f>
        <v>12</v>
      </c>
      <c r="H8113" s="38" t="n">
        <f aca="false">YEAR(Tabela1[[#This Row],[FECHA]])</f>
        <v>1900</v>
      </c>
      <c r="I81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14" customFormat="false" ht="15" hidden="false" customHeight="false" outlineLevel="0" collapsed="false">
      <c r="A8114" s="41"/>
      <c r="G8114" s="38" t="n">
        <f aca="false">MONTH(A8114)</f>
        <v>12</v>
      </c>
      <c r="H8114" s="38" t="n">
        <f aca="false">YEAR(Tabela1[[#This Row],[FECHA]])</f>
        <v>1900</v>
      </c>
      <c r="I81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15" customFormat="false" ht="15" hidden="false" customHeight="false" outlineLevel="0" collapsed="false">
      <c r="A8115" s="41"/>
      <c r="G8115" s="38" t="n">
        <f aca="false">MONTH(A8115)</f>
        <v>12</v>
      </c>
      <c r="H8115" s="38" t="n">
        <f aca="false">YEAR(Tabela1[[#This Row],[FECHA]])</f>
        <v>1900</v>
      </c>
      <c r="I81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16" customFormat="false" ht="15" hidden="false" customHeight="false" outlineLevel="0" collapsed="false">
      <c r="A8116" s="41"/>
      <c r="G8116" s="38" t="n">
        <f aca="false">MONTH(A8116)</f>
        <v>12</v>
      </c>
      <c r="H8116" s="38" t="n">
        <f aca="false">YEAR(Tabela1[[#This Row],[FECHA]])</f>
        <v>1900</v>
      </c>
      <c r="I81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17" customFormat="false" ht="15" hidden="false" customHeight="false" outlineLevel="0" collapsed="false">
      <c r="A8117" s="41"/>
      <c r="G8117" s="38" t="n">
        <f aca="false">MONTH(A8117)</f>
        <v>12</v>
      </c>
      <c r="H8117" s="38" t="n">
        <f aca="false">YEAR(Tabela1[[#This Row],[FECHA]])</f>
        <v>1900</v>
      </c>
      <c r="I81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18" customFormat="false" ht="15" hidden="false" customHeight="false" outlineLevel="0" collapsed="false">
      <c r="A8118" s="41"/>
      <c r="G8118" s="38" t="n">
        <f aca="false">MONTH(A8118)</f>
        <v>12</v>
      </c>
      <c r="H8118" s="38" t="n">
        <f aca="false">YEAR(Tabela1[[#This Row],[FECHA]])</f>
        <v>1900</v>
      </c>
      <c r="I81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19" customFormat="false" ht="15" hidden="false" customHeight="false" outlineLevel="0" collapsed="false">
      <c r="A8119" s="41"/>
      <c r="G8119" s="38" t="n">
        <f aca="false">MONTH(A8119)</f>
        <v>12</v>
      </c>
      <c r="H8119" s="38" t="n">
        <f aca="false">YEAR(Tabela1[[#This Row],[FECHA]])</f>
        <v>1900</v>
      </c>
      <c r="I81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20" customFormat="false" ht="15" hidden="false" customHeight="false" outlineLevel="0" collapsed="false">
      <c r="A8120" s="41"/>
      <c r="G8120" s="38" t="n">
        <f aca="false">MONTH(A8120)</f>
        <v>12</v>
      </c>
      <c r="H8120" s="38" t="n">
        <f aca="false">YEAR(Tabela1[[#This Row],[FECHA]])</f>
        <v>1900</v>
      </c>
      <c r="I81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21" customFormat="false" ht="15" hidden="false" customHeight="false" outlineLevel="0" collapsed="false">
      <c r="A8121" s="41"/>
      <c r="G8121" s="38" t="n">
        <f aca="false">MONTH(A8121)</f>
        <v>12</v>
      </c>
      <c r="H8121" s="38" t="n">
        <f aca="false">YEAR(Tabela1[[#This Row],[FECHA]])</f>
        <v>1900</v>
      </c>
      <c r="I81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22" customFormat="false" ht="15" hidden="false" customHeight="false" outlineLevel="0" collapsed="false">
      <c r="A8122" s="41"/>
      <c r="G8122" s="38" t="n">
        <f aca="false">MONTH(A8122)</f>
        <v>12</v>
      </c>
      <c r="H8122" s="38" t="n">
        <f aca="false">YEAR(Tabela1[[#This Row],[FECHA]])</f>
        <v>1900</v>
      </c>
      <c r="I81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23" customFormat="false" ht="15" hidden="false" customHeight="false" outlineLevel="0" collapsed="false">
      <c r="A8123" s="41"/>
      <c r="G8123" s="38" t="n">
        <f aca="false">MONTH(A8123)</f>
        <v>12</v>
      </c>
      <c r="H8123" s="38" t="n">
        <f aca="false">YEAR(Tabela1[[#This Row],[FECHA]])</f>
        <v>1900</v>
      </c>
      <c r="I81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24" customFormat="false" ht="15" hidden="false" customHeight="false" outlineLevel="0" collapsed="false">
      <c r="A8124" s="41"/>
      <c r="G8124" s="38" t="n">
        <f aca="false">MONTH(A8124)</f>
        <v>12</v>
      </c>
      <c r="H8124" s="38" t="n">
        <f aca="false">YEAR(Tabela1[[#This Row],[FECHA]])</f>
        <v>1900</v>
      </c>
      <c r="I81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25" customFormat="false" ht="15" hidden="false" customHeight="false" outlineLevel="0" collapsed="false">
      <c r="A8125" s="41"/>
      <c r="G8125" s="38" t="n">
        <f aca="false">MONTH(A8125)</f>
        <v>12</v>
      </c>
      <c r="H8125" s="38" t="n">
        <f aca="false">YEAR(Tabela1[[#This Row],[FECHA]])</f>
        <v>1900</v>
      </c>
      <c r="I81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26" customFormat="false" ht="15" hidden="false" customHeight="false" outlineLevel="0" collapsed="false">
      <c r="A8126" s="41"/>
      <c r="G8126" s="38" t="n">
        <f aca="false">MONTH(A8126)</f>
        <v>12</v>
      </c>
      <c r="H8126" s="38" t="n">
        <f aca="false">YEAR(Tabela1[[#This Row],[FECHA]])</f>
        <v>1900</v>
      </c>
      <c r="I81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27" customFormat="false" ht="15" hidden="false" customHeight="false" outlineLevel="0" collapsed="false">
      <c r="A8127" s="41"/>
      <c r="G8127" s="38" t="n">
        <f aca="false">MONTH(A8127)</f>
        <v>12</v>
      </c>
      <c r="H8127" s="38" t="n">
        <f aca="false">YEAR(Tabela1[[#This Row],[FECHA]])</f>
        <v>1900</v>
      </c>
      <c r="I81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28" customFormat="false" ht="15" hidden="false" customHeight="false" outlineLevel="0" collapsed="false">
      <c r="A8128" s="41"/>
      <c r="G8128" s="38" t="n">
        <f aca="false">MONTH(A8128)</f>
        <v>12</v>
      </c>
      <c r="H8128" s="38" t="n">
        <f aca="false">YEAR(Tabela1[[#This Row],[FECHA]])</f>
        <v>1900</v>
      </c>
      <c r="I81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29" customFormat="false" ht="15" hidden="false" customHeight="false" outlineLevel="0" collapsed="false">
      <c r="A8129" s="41"/>
      <c r="G8129" s="38" t="n">
        <f aca="false">MONTH(A8129)</f>
        <v>12</v>
      </c>
      <c r="H8129" s="38" t="n">
        <f aca="false">YEAR(Tabela1[[#This Row],[FECHA]])</f>
        <v>1900</v>
      </c>
      <c r="I81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30" customFormat="false" ht="15" hidden="false" customHeight="false" outlineLevel="0" collapsed="false">
      <c r="A8130" s="41"/>
      <c r="G8130" s="38" t="n">
        <f aca="false">MONTH(A8130)</f>
        <v>12</v>
      </c>
      <c r="H8130" s="38" t="n">
        <f aca="false">YEAR(Tabela1[[#This Row],[FECHA]])</f>
        <v>1900</v>
      </c>
      <c r="I81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31" customFormat="false" ht="15" hidden="false" customHeight="false" outlineLevel="0" collapsed="false">
      <c r="A8131" s="41"/>
      <c r="G8131" s="38" t="n">
        <f aca="false">MONTH(A8131)</f>
        <v>12</v>
      </c>
      <c r="H8131" s="38" t="n">
        <f aca="false">YEAR(Tabela1[[#This Row],[FECHA]])</f>
        <v>1900</v>
      </c>
      <c r="I81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32" customFormat="false" ht="15" hidden="false" customHeight="false" outlineLevel="0" collapsed="false">
      <c r="A8132" s="41"/>
      <c r="G8132" s="38" t="n">
        <f aca="false">MONTH(A8132)</f>
        <v>12</v>
      </c>
      <c r="H8132" s="38" t="n">
        <f aca="false">YEAR(Tabela1[[#This Row],[FECHA]])</f>
        <v>1900</v>
      </c>
      <c r="I81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33" customFormat="false" ht="15" hidden="false" customHeight="false" outlineLevel="0" collapsed="false">
      <c r="A8133" s="41"/>
      <c r="G8133" s="38" t="n">
        <f aca="false">MONTH(A8133)</f>
        <v>12</v>
      </c>
      <c r="H8133" s="38" t="n">
        <f aca="false">YEAR(Tabela1[[#This Row],[FECHA]])</f>
        <v>1900</v>
      </c>
      <c r="I81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34" customFormat="false" ht="15" hidden="false" customHeight="false" outlineLevel="0" collapsed="false">
      <c r="A8134" s="41"/>
      <c r="G8134" s="38" t="n">
        <f aca="false">MONTH(A8134)</f>
        <v>12</v>
      </c>
      <c r="H8134" s="38" t="n">
        <f aca="false">YEAR(Tabela1[[#This Row],[FECHA]])</f>
        <v>1900</v>
      </c>
      <c r="I81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35" customFormat="false" ht="15" hidden="false" customHeight="false" outlineLevel="0" collapsed="false">
      <c r="A8135" s="41"/>
      <c r="G8135" s="38" t="n">
        <f aca="false">MONTH(A8135)</f>
        <v>12</v>
      </c>
      <c r="H8135" s="38" t="n">
        <f aca="false">YEAR(Tabela1[[#This Row],[FECHA]])</f>
        <v>1900</v>
      </c>
      <c r="I81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36" customFormat="false" ht="15" hidden="false" customHeight="false" outlineLevel="0" collapsed="false">
      <c r="A8136" s="41"/>
      <c r="G8136" s="38" t="n">
        <f aca="false">MONTH(A8136)</f>
        <v>12</v>
      </c>
      <c r="H8136" s="38" t="n">
        <f aca="false">YEAR(Tabela1[[#This Row],[FECHA]])</f>
        <v>1900</v>
      </c>
      <c r="I81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37" customFormat="false" ht="15" hidden="false" customHeight="false" outlineLevel="0" collapsed="false">
      <c r="A8137" s="41"/>
      <c r="G8137" s="38" t="n">
        <f aca="false">MONTH(A8137)</f>
        <v>12</v>
      </c>
      <c r="H8137" s="38" t="n">
        <f aca="false">YEAR(Tabela1[[#This Row],[FECHA]])</f>
        <v>1900</v>
      </c>
      <c r="I81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38" customFormat="false" ht="15" hidden="false" customHeight="false" outlineLevel="0" collapsed="false">
      <c r="A8138" s="41"/>
      <c r="G8138" s="38" t="n">
        <f aca="false">MONTH(A8138)</f>
        <v>12</v>
      </c>
      <c r="H8138" s="38" t="n">
        <f aca="false">YEAR(Tabela1[[#This Row],[FECHA]])</f>
        <v>1900</v>
      </c>
      <c r="I81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39" customFormat="false" ht="15" hidden="false" customHeight="false" outlineLevel="0" collapsed="false">
      <c r="A8139" s="41"/>
      <c r="G8139" s="38" t="n">
        <f aca="false">MONTH(A8139)</f>
        <v>12</v>
      </c>
      <c r="H8139" s="38" t="n">
        <f aca="false">YEAR(Tabela1[[#This Row],[FECHA]])</f>
        <v>1900</v>
      </c>
      <c r="I81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40" customFormat="false" ht="15" hidden="false" customHeight="false" outlineLevel="0" collapsed="false">
      <c r="A8140" s="41"/>
      <c r="G8140" s="38" t="n">
        <f aca="false">MONTH(A8140)</f>
        <v>12</v>
      </c>
      <c r="H8140" s="38" t="n">
        <f aca="false">YEAR(Tabela1[[#This Row],[FECHA]])</f>
        <v>1900</v>
      </c>
      <c r="I81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41" customFormat="false" ht="15" hidden="false" customHeight="false" outlineLevel="0" collapsed="false">
      <c r="A8141" s="41"/>
      <c r="G8141" s="38" t="n">
        <f aca="false">MONTH(A8141)</f>
        <v>12</v>
      </c>
      <c r="H8141" s="38" t="n">
        <f aca="false">YEAR(Tabela1[[#This Row],[FECHA]])</f>
        <v>1900</v>
      </c>
      <c r="I81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42" customFormat="false" ht="15" hidden="false" customHeight="false" outlineLevel="0" collapsed="false">
      <c r="A8142" s="41"/>
      <c r="G8142" s="38" t="n">
        <f aca="false">MONTH(A8142)</f>
        <v>12</v>
      </c>
      <c r="H8142" s="38" t="n">
        <f aca="false">YEAR(Tabela1[[#This Row],[FECHA]])</f>
        <v>1900</v>
      </c>
      <c r="I81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43" customFormat="false" ht="15" hidden="false" customHeight="false" outlineLevel="0" collapsed="false">
      <c r="A8143" s="41"/>
      <c r="G8143" s="38" t="n">
        <f aca="false">MONTH(A8143)</f>
        <v>12</v>
      </c>
      <c r="H8143" s="38" t="n">
        <f aca="false">YEAR(Tabela1[[#This Row],[FECHA]])</f>
        <v>1900</v>
      </c>
      <c r="I81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44" customFormat="false" ht="15" hidden="false" customHeight="false" outlineLevel="0" collapsed="false">
      <c r="A8144" s="41"/>
      <c r="G8144" s="38" t="n">
        <f aca="false">MONTH(A8144)</f>
        <v>12</v>
      </c>
      <c r="H8144" s="38" t="n">
        <f aca="false">YEAR(Tabela1[[#This Row],[FECHA]])</f>
        <v>1900</v>
      </c>
      <c r="I81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45" customFormat="false" ht="15" hidden="false" customHeight="false" outlineLevel="0" collapsed="false">
      <c r="A8145" s="41"/>
      <c r="G8145" s="38" t="n">
        <f aca="false">MONTH(A8145)</f>
        <v>12</v>
      </c>
      <c r="H8145" s="38" t="n">
        <f aca="false">YEAR(Tabela1[[#This Row],[FECHA]])</f>
        <v>1900</v>
      </c>
      <c r="I81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46" customFormat="false" ht="15" hidden="false" customHeight="false" outlineLevel="0" collapsed="false">
      <c r="A8146" s="41"/>
      <c r="G8146" s="38" t="n">
        <f aca="false">MONTH(A8146)</f>
        <v>12</v>
      </c>
      <c r="H8146" s="38" t="n">
        <f aca="false">YEAR(Tabela1[[#This Row],[FECHA]])</f>
        <v>1900</v>
      </c>
      <c r="I81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47" customFormat="false" ht="15" hidden="false" customHeight="false" outlineLevel="0" collapsed="false">
      <c r="A8147" s="41"/>
      <c r="G8147" s="38" t="n">
        <f aca="false">MONTH(A8147)</f>
        <v>12</v>
      </c>
      <c r="H8147" s="38" t="n">
        <f aca="false">YEAR(Tabela1[[#This Row],[FECHA]])</f>
        <v>1900</v>
      </c>
      <c r="I81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48" customFormat="false" ht="15" hidden="false" customHeight="false" outlineLevel="0" collapsed="false">
      <c r="A8148" s="41"/>
      <c r="G8148" s="38" t="n">
        <f aca="false">MONTH(A8148)</f>
        <v>12</v>
      </c>
      <c r="H8148" s="38" t="n">
        <f aca="false">YEAR(Tabela1[[#This Row],[FECHA]])</f>
        <v>1900</v>
      </c>
      <c r="I81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49" customFormat="false" ht="15" hidden="false" customHeight="false" outlineLevel="0" collapsed="false">
      <c r="A8149" s="41"/>
      <c r="G8149" s="38" t="n">
        <f aca="false">MONTH(A8149)</f>
        <v>12</v>
      </c>
      <c r="H8149" s="38" t="n">
        <f aca="false">YEAR(Tabela1[[#This Row],[FECHA]])</f>
        <v>1900</v>
      </c>
      <c r="I81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50" customFormat="false" ht="15" hidden="false" customHeight="false" outlineLevel="0" collapsed="false">
      <c r="A8150" s="41"/>
      <c r="G8150" s="38" t="n">
        <f aca="false">MONTH(A8150)</f>
        <v>12</v>
      </c>
      <c r="H8150" s="38" t="n">
        <f aca="false">YEAR(Tabela1[[#This Row],[FECHA]])</f>
        <v>1900</v>
      </c>
      <c r="I81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51" customFormat="false" ht="15" hidden="false" customHeight="false" outlineLevel="0" collapsed="false">
      <c r="A8151" s="41"/>
      <c r="G8151" s="38" t="n">
        <f aca="false">MONTH(A8151)</f>
        <v>12</v>
      </c>
      <c r="H8151" s="38" t="n">
        <f aca="false">YEAR(Tabela1[[#This Row],[FECHA]])</f>
        <v>1900</v>
      </c>
      <c r="I81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52" customFormat="false" ht="15" hidden="false" customHeight="false" outlineLevel="0" collapsed="false">
      <c r="A8152" s="41"/>
      <c r="G8152" s="38" t="n">
        <f aca="false">MONTH(A8152)</f>
        <v>12</v>
      </c>
      <c r="H8152" s="38" t="n">
        <f aca="false">YEAR(Tabela1[[#This Row],[FECHA]])</f>
        <v>1900</v>
      </c>
      <c r="I81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53" customFormat="false" ht="15" hidden="false" customHeight="false" outlineLevel="0" collapsed="false">
      <c r="A8153" s="41"/>
      <c r="G8153" s="38" t="n">
        <f aca="false">MONTH(A8153)</f>
        <v>12</v>
      </c>
      <c r="H8153" s="38" t="n">
        <f aca="false">YEAR(Tabela1[[#This Row],[FECHA]])</f>
        <v>1900</v>
      </c>
      <c r="I81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54" customFormat="false" ht="15" hidden="false" customHeight="false" outlineLevel="0" collapsed="false">
      <c r="A8154" s="41"/>
      <c r="G8154" s="38" t="n">
        <f aca="false">MONTH(A8154)</f>
        <v>12</v>
      </c>
      <c r="H8154" s="38" t="n">
        <f aca="false">YEAR(Tabela1[[#This Row],[FECHA]])</f>
        <v>1900</v>
      </c>
      <c r="I81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55" customFormat="false" ht="15" hidden="false" customHeight="false" outlineLevel="0" collapsed="false">
      <c r="A8155" s="41"/>
      <c r="G8155" s="38" t="n">
        <f aca="false">MONTH(A8155)</f>
        <v>12</v>
      </c>
      <c r="H8155" s="38" t="n">
        <f aca="false">YEAR(Tabela1[[#This Row],[FECHA]])</f>
        <v>1900</v>
      </c>
      <c r="I81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56" customFormat="false" ht="15" hidden="false" customHeight="false" outlineLevel="0" collapsed="false">
      <c r="A8156" s="41"/>
      <c r="G8156" s="38" t="n">
        <f aca="false">MONTH(A8156)</f>
        <v>12</v>
      </c>
      <c r="H8156" s="38" t="n">
        <f aca="false">YEAR(Tabela1[[#This Row],[FECHA]])</f>
        <v>1900</v>
      </c>
      <c r="I81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57" customFormat="false" ht="15" hidden="false" customHeight="false" outlineLevel="0" collapsed="false">
      <c r="A8157" s="41"/>
      <c r="G8157" s="38" t="n">
        <f aca="false">MONTH(A8157)</f>
        <v>12</v>
      </c>
      <c r="H8157" s="38" t="n">
        <f aca="false">YEAR(Tabela1[[#This Row],[FECHA]])</f>
        <v>1900</v>
      </c>
      <c r="I81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58" customFormat="false" ht="15" hidden="false" customHeight="false" outlineLevel="0" collapsed="false">
      <c r="A8158" s="41"/>
      <c r="G8158" s="38" t="n">
        <f aca="false">MONTH(A8158)</f>
        <v>12</v>
      </c>
      <c r="H8158" s="38" t="n">
        <f aca="false">YEAR(Tabela1[[#This Row],[FECHA]])</f>
        <v>1900</v>
      </c>
      <c r="I81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59" customFormat="false" ht="15" hidden="false" customHeight="false" outlineLevel="0" collapsed="false">
      <c r="A8159" s="41"/>
      <c r="G8159" s="38" t="n">
        <f aca="false">MONTH(A8159)</f>
        <v>12</v>
      </c>
      <c r="H8159" s="38" t="n">
        <f aca="false">YEAR(Tabela1[[#This Row],[FECHA]])</f>
        <v>1900</v>
      </c>
      <c r="I81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60" customFormat="false" ht="15" hidden="false" customHeight="false" outlineLevel="0" collapsed="false">
      <c r="A8160" s="41"/>
      <c r="G8160" s="38" t="n">
        <f aca="false">MONTH(A8160)</f>
        <v>12</v>
      </c>
      <c r="H8160" s="38" t="n">
        <f aca="false">YEAR(Tabela1[[#This Row],[FECHA]])</f>
        <v>1900</v>
      </c>
      <c r="I81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61" customFormat="false" ht="15" hidden="false" customHeight="false" outlineLevel="0" collapsed="false">
      <c r="A8161" s="41"/>
      <c r="G8161" s="38" t="n">
        <f aca="false">MONTH(A8161)</f>
        <v>12</v>
      </c>
      <c r="H8161" s="38" t="n">
        <f aca="false">YEAR(Tabela1[[#This Row],[FECHA]])</f>
        <v>1900</v>
      </c>
      <c r="I81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62" customFormat="false" ht="15" hidden="false" customHeight="false" outlineLevel="0" collapsed="false">
      <c r="A8162" s="41"/>
      <c r="G8162" s="38" t="n">
        <f aca="false">MONTH(A8162)</f>
        <v>12</v>
      </c>
      <c r="H8162" s="38" t="n">
        <f aca="false">YEAR(Tabela1[[#This Row],[FECHA]])</f>
        <v>1900</v>
      </c>
      <c r="I81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63" customFormat="false" ht="15" hidden="false" customHeight="false" outlineLevel="0" collapsed="false">
      <c r="A8163" s="41"/>
      <c r="G8163" s="38" t="n">
        <f aca="false">MONTH(A8163)</f>
        <v>12</v>
      </c>
      <c r="H8163" s="38" t="n">
        <f aca="false">YEAR(Tabela1[[#This Row],[FECHA]])</f>
        <v>1900</v>
      </c>
      <c r="I81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64" customFormat="false" ht="15" hidden="false" customHeight="false" outlineLevel="0" collapsed="false">
      <c r="A8164" s="41"/>
      <c r="G8164" s="38" t="n">
        <f aca="false">MONTH(A8164)</f>
        <v>12</v>
      </c>
      <c r="H8164" s="38" t="n">
        <f aca="false">YEAR(Tabela1[[#This Row],[FECHA]])</f>
        <v>1900</v>
      </c>
      <c r="I81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65" customFormat="false" ht="15" hidden="false" customHeight="false" outlineLevel="0" collapsed="false">
      <c r="A8165" s="41"/>
      <c r="G8165" s="38" t="n">
        <f aca="false">MONTH(A8165)</f>
        <v>12</v>
      </c>
      <c r="H8165" s="38" t="n">
        <f aca="false">YEAR(Tabela1[[#This Row],[FECHA]])</f>
        <v>1900</v>
      </c>
      <c r="I81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66" customFormat="false" ht="15" hidden="false" customHeight="false" outlineLevel="0" collapsed="false">
      <c r="A8166" s="41"/>
      <c r="G8166" s="38" t="n">
        <f aca="false">MONTH(A8166)</f>
        <v>12</v>
      </c>
      <c r="H8166" s="38" t="n">
        <f aca="false">YEAR(Tabela1[[#This Row],[FECHA]])</f>
        <v>1900</v>
      </c>
      <c r="I81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67" customFormat="false" ht="15" hidden="false" customHeight="false" outlineLevel="0" collapsed="false">
      <c r="A8167" s="41"/>
      <c r="G8167" s="38" t="n">
        <f aca="false">MONTH(A8167)</f>
        <v>12</v>
      </c>
      <c r="H8167" s="38" t="n">
        <f aca="false">YEAR(Tabela1[[#This Row],[FECHA]])</f>
        <v>1900</v>
      </c>
      <c r="I81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68" customFormat="false" ht="15" hidden="false" customHeight="false" outlineLevel="0" collapsed="false">
      <c r="A8168" s="41"/>
      <c r="G8168" s="38" t="n">
        <f aca="false">MONTH(A8168)</f>
        <v>12</v>
      </c>
      <c r="H8168" s="38" t="n">
        <f aca="false">YEAR(Tabela1[[#This Row],[FECHA]])</f>
        <v>1900</v>
      </c>
      <c r="I81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69" customFormat="false" ht="15" hidden="false" customHeight="false" outlineLevel="0" collapsed="false">
      <c r="A8169" s="41"/>
      <c r="G8169" s="38" t="n">
        <f aca="false">MONTH(A8169)</f>
        <v>12</v>
      </c>
      <c r="H8169" s="38" t="n">
        <f aca="false">YEAR(Tabela1[[#This Row],[FECHA]])</f>
        <v>1900</v>
      </c>
      <c r="I81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70" customFormat="false" ht="15" hidden="false" customHeight="false" outlineLevel="0" collapsed="false">
      <c r="A8170" s="41"/>
      <c r="G8170" s="38" t="n">
        <f aca="false">MONTH(A8170)</f>
        <v>12</v>
      </c>
      <c r="H8170" s="38" t="n">
        <f aca="false">YEAR(Tabela1[[#This Row],[FECHA]])</f>
        <v>1900</v>
      </c>
      <c r="I81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71" customFormat="false" ht="15" hidden="false" customHeight="false" outlineLevel="0" collapsed="false">
      <c r="A8171" s="41"/>
      <c r="G8171" s="38" t="n">
        <f aca="false">MONTH(A8171)</f>
        <v>12</v>
      </c>
      <c r="H8171" s="38" t="n">
        <f aca="false">YEAR(Tabela1[[#This Row],[FECHA]])</f>
        <v>1900</v>
      </c>
      <c r="I81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72" customFormat="false" ht="15" hidden="false" customHeight="false" outlineLevel="0" collapsed="false">
      <c r="A8172" s="41"/>
      <c r="G8172" s="38" t="n">
        <f aca="false">MONTH(A8172)</f>
        <v>12</v>
      </c>
      <c r="H8172" s="38" t="n">
        <f aca="false">YEAR(Tabela1[[#This Row],[FECHA]])</f>
        <v>1900</v>
      </c>
      <c r="I81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73" customFormat="false" ht="15" hidden="false" customHeight="false" outlineLevel="0" collapsed="false">
      <c r="A8173" s="41"/>
      <c r="G8173" s="38" t="n">
        <f aca="false">MONTH(A8173)</f>
        <v>12</v>
      </c>
      <c r="H8173" s="38" t="n">
        <f aca="false">YEAR(Tabela1[[#This Row],[FECHA]])</f>
        <v>1900</v>
      </c>
      <c r="I81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74" customFormat="false" ht="15" hidden="false" customHeight="false" outlineLevel="0" collapsed="false">
      <c r="A8174" s="41"/>
      <c r="G8174" s="38" t="n">
        <f aca="false">MONTH(A8174)</f>
        <v>12</v>
      </c>
      <c r="H8174" s="38" t="n">
        <f aca="false">YEAR(Tabela1[[#This Row],[FECHA]])</f>
        <v>1900</v>
      </c>
      <c r="I81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75" customFormat="false" ht="15" hidden="false" customHeight="false" outlineLevel="0" collapsed="false">
      <c r="A8175" s="41"/>
      <c r="G8175" s="38" t="n">
        <f aca="false">MONTH(A8175)</f>
        <v>12</v>
      </c>
      <c r="H8175" s="38" t="n">
        <f aca="false">YEAR(Tabela1[[#This Row],[FECHA]])</f>
        <v>1900</v>
      </c>
      <c r="I81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76" customFormat="false" ht="15" hidden="false" customHeight="false" outlineLevel="0" collapsed="false">
      <c r="A8176" s="41"/>
      <c r="G8176" s="38" t="n">
        <f aca="false">MONTH(A8176)</f>
        <v>12</v>
      </c>
      <c r="H8176" s="38" t="n">
        <f aca="false">YEAR(Tabela1[[#This Row],[FECHA]])</f>
        <v>1900</v>
      </c>
      <c r="I81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77" customFormat="false" ht="15" hidden="false" customHeight="false" outlineLevel="0" collapsed="false">
      <c r="A8177" s="41"/>
      <c r="G8177" s="38" t="n">
        <f aca="false">MONTH(A8177)</f>
        <v>12</v>
      </c>
      <c r="H8177" s="38" t="n">
        <f aca="false">YEAR(Tabela1[[#This Row],[FECHA]])</f>
        <v>1900</v>
      </c>
      <c r="I81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78" customFormat="false" ht="15" hidden="false" customHeight="false" outlineLevel="0" collapsed="false">
      <c r="A8178" s="41"/>
      <c r="G8178" s="38" t="n">
        <f aca="false">MONTH(A8178)</f>
        <v>12</v>
      </c>
      <c r="H8178" s="38" t="n">
        <f aca="false">YEAR(Tabela1[[#This Row],[FECHA]])</f>
        <v>1900</v>
      </c>
      <c r="I81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79" customFormat="false" ht="15" hidden="false" customHeight="false" outlineLevel="0" collapsed="false">
      <c r="A8179" s="41"/>
      <c r="G8179" s="38" t="n">
        <f aca="false">MONTH(A8179)</f>
        <v>12</v>
      </c>
      <c r="H8179" s="38" t="n">
        <f aca="false">YEAR(Tabela1[[#This Row],[FECHA]])</f>
        <v>1900</v>
      </c>
      <c r="I81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80" customFormat="false" ht="15" hidden="false" customHeight="false" outlineLevel="0" collapsed="false">
      <c r="A8180" s="41"/>
      <c r="G8180" s="38" t="n">
        <f aca="false">MONTH(A8180)</f>
        <v>12</v>
      </c>
      <c r="H8180" s="38" t="n">
        <f aca="false">YEAR(Tabela1[[#This Row],[FECHA]])</f>
        <v>1900</v>
      </c>
      <c r="I81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81" customFormat="false" ht="15" hidden="false" customHeight="false" outlineLevel="0" collapsed="false">
      <c r="A8181" s="41"/>
      <c r="G8181" s="38" t="n">
        <f aca="false">MONTH(A8181)</f>
        <v>12</v>
      </c>
      <c r="H8181" s="38" t="n">
        <f aca="false">YEAR(Tabela1[[#This Row],[FECHA]])</f>
        <v>1900</v>
      </c>
      <c r="I81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82" customFormat="false" ht="15" hidden="false" customHeight="false" outlineLevel="0" collapsed="false">
      <c r="A8182" s="41"/>
      <c r="G8182" s="38" t="n">
        <f aca="false">MONTH(A8182)</f>
        <v>12</v>
      </c>
      <c r="H8182" s="38" t="n">
        <f aca="false">YEAR(Tabela1[[#This Row],[FECHA]])</f>
        <v>1900</v>
      </c>
      <c r="I81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83" customFormat="false" ht="15" hidden="false" customHeight="false" outlineLevel="0" collapsed="false">
      <c r="A8183" s="41"/>
      <c r="G8183" s="38" t="n">
        <f aca="false">MONTH(A8183)</f>
        <v>12</v>
      </c>
      <c r="H8183" s="38" t="n">
        <f aca="false">YEAR(Tabela1[[#This Row],[FECHA]])</f>
        <v>1900</v>
      </c>
      <c r="I81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84" customFormat="false" ht="15" hidden="false" customHeight="false" outlineLevel="0" collapsed="false">
      <c r="A8184" s="41"/>
      <c r="G8184" s="38" t="n">
        <f aca="false">MONTH(A8184)</f>
        <v>12</v>
      </c>
      <c r="H8184" s="38" t="n">
        <f aca="false">YEAR(Tabela1[[#This Row],[FECHA]])</f>
        <v>1900</v>
      </c>
      <c r="I81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85" customFormat="false" ht="15" hidden="false" customHeight="false" outlineLevel="0" collapsed="false">
      <c r="A8185" s="41"/>
      <c r="G8185" s="38" t="n">
        <f aca="false">MONTH(A8185)</f>
        <v>12</v>
      </c>
      <c r="H8185" s="38" t="n">
        <f aca="false">YEAR(Tabela1[[#This Row],[FECHA]])</f>
        <v>1900</v>
      </c>
      <c r="I81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86" customFormat="false" ht="15" hidden="false" customHeight="false" outlineLevel="0" collapsed="false">
      <c r="A8186" s="41"/>
      <c r="G8186" s="38" t="n">
        <f aca="false">MONTH(A8186)</f>
        <v>12</v>
      </c>
      <c r="H8186" s="38" t="n">
        <f aca="false">YEAR(Tabela1[[#This Row],[FECHA]])</f>
        <v>1900</v>
      </c>
      <c r="I81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87" customFormat="false" ht="15" hidden="false" customHeight="false" outlineLevel="0" collapsed="false">
      <c r="A8187" s="41"/>
      <c r="G8187" s="38" t="n">
        <f aca="false">MONTH(A8187)</f>
        <v>12</v>
      </c>
      <c r="H8187" s="38" t="n">
        <f aca="false">YEAR(Tabela1[[#This Row],[FECHA]])</f>
        <v>1900</v>
      </c>
      <c r="I81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88" customFormat="false" ht="15" hidden="false" customHeight="false" outlineLevel="0" collapsed="false">
      <c r="A8188" s="41"/>
      <c r="G8188" s="38" t="n">
        <f aca="false">MONTH(A8188)</f>
        <v>12</v>
      </c>
      <c r="H8188" s="38" t="n">
        <f aca="false">YEAR(Tabela1[[#This Row],[FECHA]])</f>
        <v>1900</v>
      </c>
      <c r="I81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89" customFormat="false" ht="15" hidden="false" customHeight="false" outlineLevel="0" collapsed="false">
      <c r="A8189" s="41"/>
      <c r="G8189" s="38" t="n">
        <f aca="false">MONTH(A8189)</f>
        <v>12</v>
      </c>
      <c r="H8189" s="38" t="n">
        <f aca="false">YEAR(Tabela1[[#This Row],[FECHA]])</f>
        <v>1900</v>
      </c>
      <c r="I81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90" customFormat="false" ht="15" hidden="false" customHeight="false" outlineLevel="0" collapsed="false">
      <c r="A8190" s="41"/>
      <c r="G8190" s="38" t="n">
        <f aca="false">MONTH(A8190)</f>
        <v>12</v>
      </c>
      <c r="H8190" s="38" t="n">
        <f aca="false">YEAR(Tabela1[[#This Row],[FECHA]])</f>
        <v>1900</v>
      </c>
      <c r="I81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91" customFormat="false" ht="15" hidden="false" customHeight="false" outlineLevel="0" collapsed="false">
      <c r="A8191" s="41"/>
      <c r="G8191" s="38" t="n">
        <f aca="false">MONTH(A8191)</f>
        <v>12</v>
      </c>
      <c r="H8191" s="38" t="n">
        <f aca="false">YEAR(Tabela1[[#This Row],[FECHA]])</f>
        <v>1900</v>
      </c>
      <c r="I81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92" customFormat="false" ht="15" hidden="false" customHeight="false" outlineLevel="0" collapsed="false">
      <c r="A8192" s="41"/>
      <c r="G8192" s="38" t="n">
        <f aca="false">MONTH(A8192)</f>
        <v>12</v>
      </c>
      <c r="H8192" s="38" t="n">
        <f aca="false">YEAR(Tabela1[[#This Row],[FECHA]])</f>
        <v>1900</v>
      </c>
      <c r="I81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93" customFormat="false" ht="15" hidden="false" customHeight="false" outlineLevel="0" collapsed="false">
      <c r="A8193" s="41"/>
      <c r="G8193" s="38" t="n">
        <f aca="false">MONTH(A8193)</f>
        <v>12</v>
      </c>
      <c r="H8193" s="38" t="n">
        <f aca="false">YEAR(Tabela1[[#This Row],[FECHA]])</f>
        <v>1900</v>
      </c>
      <c r="I81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94" customFormat="false" ht="15" hidden="false" customHeight="false" outlineLevel="0" collapsed="false">
      <c r="A8194" s="41"/>
      <c r="G8194" s="38" t="n">
        <f aca="false">MONTH(A8194)</f>
        <v>12</v>
      </c>
      <c r="H8194" s="38" t="n">
        <f aca="false">YEAR(Tabela1[[#This Row],[FECHA]])</f>
        <v>1900</v>
      </c>
      <c r="I81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95" customFormat="false" ht="15" hidden="false" customHeight="false" outlineLevel="0" collapsed="false">
      <c r="A8195" s="41"/>
      <c r="G8195" s="38" t="n">
        <f aca="false">MONTH(A8195)</f>
        <v>12</v>
      </c>
      <c r="H8195" s="38" t="n">
        <f aca="false">YEAR(Tabela1[[#This Row],[FECHA]])</f>
        <v>1900</v>
      </c>
      <c r="I81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96" customFormat="false" ht="15" hidden="false" customHeight="false" outlineLevel="0" collapsed="false">
      <c r="A8196" s="41"/>
      <c r="G8196" s="38" t="n">
        <f aca="false">MONTH(A8196)</f>
        <v>12</v>
      </c>
      <c r="H8196" s="38" t="n">
        <f aca="false">YEAR(Tabela1[[#This Row],[FECHA]])</f>
        <v>1900</v>
      </c>
      <c r="I81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97" customFormat="false" ht="15" hidden="false" customHeight="false" outlineLevel="0" collapsed="false">
      <c r="A8197" s="41"/>
      <c r="G8197" s="38" t="n">
        <f aca="false">MONTH(A8197)</f>
        <v>12</v>
      </c>
      <c r="H8197" s="38" t="n">
        <f aca="false">YEAR(Tabela1[[#This Row],[FECHA]])</f>
        <v>1900</v>
      </c>
      <c r="I81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98" customFormat="false" ht="15" hidden="false" customHeight="false" outlineLevel="0" collapsed="false">
      <c r="A8198" s="41"/>
      <c r="G8198" s="38" t="n">
        <f aca="false">MONTH(A8198)</f>
        <v>12</v>
      </c>
      <c r="H8198" s="38" t="n">
        <f aca="false">YEAR(Tabela1[[#This Row],[FECHA]])</f>
        <v>1900</v>
      </c>
      <c r="I81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199" customFormat="false" ht="15" hidden="false" customHeight="false" outlineLevel="0" collapsed="false">
      <c r="A8199" s="41"/>
      <c r="G8199" s="38" t="n">
        <f aca="false">MONTH(A8199)</f>
        <v>12</v>
      </c>
      <c r="H8199" s="38" t="n">
        <f aca="false">YEAR(Tabela1[[#This Row],[FECHA]])</f>
        <v>1900</v>
      </c>
      <c r="I81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00" customFormat="false" ht="15" hidden="false" customHeight="false" outlineLevel="0" collapsed="false">
      <c r="A8200" s="41"/>
      <c r="G8200" s="38" t="n">
        <f aca="false">MONTH(A8200)</f>
        <v>12</v>
      </c>
      <c r="H8200" s="38" t="n">
        <f aca="false">YEAR(Tabela1[[#This Row],[FECHA]])</f>
        <v>1900</v>
      </c>
      <c r="I82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01" customFormat="false" ht="15" hidden="false" customHeight="false" outlineLevel="0" collapsed="false">
      <c r="A8201" s="41"/>
      <c r="G8201" s="38" t="n">
        <f aca="false">MONTH(A8201)</f>
        <v>12</v>
      </c>
      <c r="H8201" s="38" t="n">
        <f aca="false">YEAR(Tabela1[[#This Row],[FECHA]])</f>
        <v>1900</v>
      </c>
      <c r="I82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02" customFormat="false" ht="15" hidden="false" customHeight="false" outlineLevel="0" collapsed="false">
      <c r="A8202" s="41"/>
      <c r="G8202" s="38" t="n">
        <f aca="false">MONTH(A8202)</f>
        <v>12</v>
      </c>
      <c r="H8202" s="38" t="n">
        <f aca="false">YEAR(Tabela1[[#This Row],[FECHA]])</f>
        <v>1900</v>
      </c>
      <c r="I82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03" customFormat="false" ht="15" hidden="false" customHeight="false" outlineLevel="0" collapsed="false">
      <c r="A8203" s="41"/>
      <c r="G8203" s="38" t="n">
        <f aca="false">MONTH(A8203)</f>
        <v>12</v>
      </c>
      <c r="H8203" s="38" t="n">
        <f aca="false">YEAR(Tabela1[[#This Row],[FECHA]])</f>
        <v>1900</v>
      </c>
      <c r="I82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04" customFormat="false" ht="15" hidden="false" customHeight="false" outlineLevel="0" collapsed="false">
      <c r="A8204" s="41"/>
      <c r="G8204" s="38" t="n">
        <f aca="false">MONTH(A8204)</f>
        <v>12</v>
      </c>
      <c r="H8204" s="38" t="n">
        <f aca="false">YEAR(Tabela1[[#This Row],[FECHA]])</f>
        <v>1900</v>
      </c>
      <c r="I82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05" customFormat="false" ht="15" hidden="false" customHeight="false" outlineLevel="0" collapsed="false">
      <c r="A8205" s="41"/>
      <c r="G8205" s="38" t="n">
        <f aca="false">MONTH(A8205)</f>
        <v>12</v>
      </c>
      <c r="H8205" s="38" t="n">
        <f aca="false">YEAR(Tabela1[[#This Row],[FECHA]])</f>
        <v>1900</v>
      </c>
      <c r="I82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06" customFormat="false" ht="15" hidden="false" customHeight="false" outlineLevel="0" collapsed="false">
      <c r="A8206" s="41"/>
      <c r="G8206" s="38" t="n">
        <f aca="false">MONTH(A8206)</f>
        <v>12</v>
      </c>
      <c r="H8206" s="38" t="n">
        <f aca="false">YEAR(Tabela1[[#This Row],[FECHA]])</f>
        <v>1900</v>
      </c>
      <c r="I82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07" customFormat="false" ht="15" hidden="false" customHeight="false" outlineLevel="0" collapsed="false">
      <c r="A8207" s="41"/>
      <c r="G8207" s="38" t="n">
        <f aca="false">MONTH(A8207)</f>
        <v>12</v>
      </c>
      <c r="H8207" s="38" t="n">
        <f aca="false">YEAR(Tabela1[[#This Row],[FECHA]])</f>
        <v>1900</v>
      </c>
      <c r="I82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08" customFormat="false" ht="15" hidden="false" customHeight="false" outlineLevel="0" collapsed="false">
      <c r="A8208" s="41"/>
      <c r="G8208" s="38" t="n">
        <f aca="false">MONTH(A8208)</f>
        <v>12</v>
      </c>
      <c r="H8208" s="38" t="n">
        <f aca="false">YEAR(Tabela1[[#This Row],[FECHA]])</f>
        <v>1900</v>
      </c>
      <c r="I82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09" customFormat="false" ht="15" hidden="false" customHeight="false" outlineLevel="0" collapsed="false">
      <c r="A8209" s="41"/>
      <c r="G8209" s="38" t="n">
        <f aca="false">MONTH(A8209)</f>
        <v>12</v>
      </c>
      <c r="H8209" s="38" t="n">
        <f aca="false">YEAR(Tabela1[[#This Row],[FECHA]])</f>
        <v>1900</v>
      </c>
      <c r="I82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10" customFormat="false" ht="15" hidden="false" customHeight="false" outlineLevel="0" collapsed="false">
      <c r="A8210" s="41"/>
      <c r="G8210" s="38" t="n">
        <f aca="false">MONTH(A8210)</f>
        <v>12</v>
      </c>
      <c r="H8210" s="38" t="n">
        <f aca="false">YEAR(Tabela1[[#This Row],[FECHA]])</f>
        <v>1900</v>
      </c>
      <c r="I82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11" customFormat="false" ht="15" hidden="false" customHeight="false" outlineLevel="0" collapsed="false">
      <c r="A8211" s="41"/>
      <c r="G8211" s="38" t="n">
        <f aca="false">MONTH(A8211)</f>
        <v>12</v>
      </c>
      <c r="H8211" s="38" t="n">
        <f aca="false">YEAR(Tabela1[[#This Row],[FECHA]])</f>
        <v>1900</v>
      </c>
      <c r="I82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12" customFormat="false" ht="15" hidden="false" customHeight="false" outlineLevel="0" collapsed="false">
      <c r="A8212" s="41"/>
      <c r="G8212" s="38" t="n">
        <f aca="false">MONTH(A8212)</f>
        <v>12</v>
      </c>
      <c r="H8212" s="38" t="n">
        <f aca="false">YEAR(Tabela1[[#This Row],[FECHA]])</f>
        <v>1900</v>
      </c>
      <c r="I82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13" customFormat="false" ht="15" hidden="false" customHeight="false" outlineLevel="0" collapsed="false">
      <c r="A8213" s="41"/>
      <c r="G8213" s="38" t="n">
        <f aca="false">MONTH(A8213)</f>
        <v>12</v>
      </c>
      <c r="H8213" s="38" t="n">
        <f aca="false">YEAR(Tabela1[[#This Row],[FECHA]])</f>
        <v>1900</v>
      </c>
      <c r="I82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14" customFormat="false" ht="15" hidden="false" customHeight="false" outlineLevel="0" collapsed="false">
      <c r="A8214" s="41"/>
      <c r="G8214" s="38" t="n">
        <f aca="false">MONTH(A8214)</f>
        <v>12</v>
      </c>
      <c r="H8214" s="38" t="n">
        <f aca="false">YEAR(Tabela1[[#This Row],[FECHA]])</f>
        <v>1900</v>
      </c>
      <c r="I82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15" customFormat="false" ht="15" hidden="false" customHeight="false" outlineLevel="0" collapsed="false">
      <c r="A8215" s="41"/>
      <c r="G8215" s="38" t="n">
        <f aca="false">MONTH(A8215)</f>
        <v>12</v>
      </c>
      <c r="H8215" s="38" t="n">
        <f aca="false">YEAR(Tabela1[[#This Row],[FECHA]])</f>
        <v>1900</v>
      </c>
      <c r="I82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16" customFormat="false" ht="15" hidden="false" customHeight="false" outlineLevel="0" collapsed="false">
      <c r="A8216" s="41"/>
      <c r="G8216" s="38" t="n">
        <f aca="false">MONTH(A8216)</f>
        <v>12</v>
      </c>
      <c r="H8216" s="38" t="n">
        <f aca="false">YEAR(Tabela1[[#This Row],[FECHA]])</f>
        <v>1900</v>
      </c>
      <c r="I82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17" customFormat="false" ht="15" hidden="false" customHeight="false" outlineLevel="0" collapsed="false">
      <c r="A8217" s="41"/>
      <c r="G8217" s="38" t="n">
        <f aca="false">MONTH(A8217)</f>
        <v>12</v>
      </c>
      <c r="H8217" s="38" t="n">
        <f aca="false">YEAR(Tabela1[[#This Row],[FECHA]])</f>
        <v>1900</v>
      </c>
      <c r="I82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18" customFormat="false" ht="15" hidden="false" customHeight="false" outlineLevel="0" collapsed="false">
      <c r="A8218" s="41"/>
      <c r="G8218" s="38" t="n">
        <f aca="false">MONTH(A8218)</f>
        <v>12</v>
      </c>
      <c r="H8218" s="38" t="n">
        <f aca="false">YEAR(Tabela1[[#This Row],[FECHA]])</f>
        <v>1900</v>
      </c>
      <c r="I82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19" customFormat="false" ht="15" hidden="false" customHeight="false" outlineLevel="0" collapsed="false">
      <c r="A8219" s="41"/>
      <c r="G8219" s="38" t="n">
        <f aca="false">MONTH(A8219)</f>
        <v>12</v>
      </c>
      <c r="H8219" s="38" t="n">
        <f aca="false">YEAR(Tabela1[[#This Row],[FECHA]])</f>
        <v>1900</v>
      </c>
      <c r="I82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20" customFormat="false" ht="15" hidden="false" customHeight="false" outlineLevel="0" collapsed="false">
      <c r="A8220" s="41"/>
      <c r="G8220" s="38" t="n">
        <f aca="false">MONTH(A8220)</f>
        <v>12</v>
      </c>
      <c r="H8220" s="38" t="n">
        <f aca="false">YEAR(Tabela1[[#This Row],[FECHA]])</f>
        <v>1900</v>
      </c>
      <c r="I82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21" customFormat="false" ht="15" hidden="false" customHeight="false" outlineLevel="0" collapsed="false">
      <c r="A8221" s="41"/>
      <c r="G8221" s="38" t="n">
        <f aca="false">MONTH(A8221)</f>
        <v>12</v>
      </c>
      <c r="H8221" s="38" t="n">
        <f aca="false">YEAR(Tabela1[[#This Row],[FECHA]])</f>
        <v>1900</v>
      </c>
      <c r="I82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22" customFormat="false" ht="15" hidden="false" customHeight="false" outlineLevel="0" collapsed="false">
      <c r="A8222" s="41"/>
      <c r="G8222" s="38" t="n">
        <f aca="false">MONTH(A8222)</f>
        <v>12</v>
      </c>
      <c r="H8222" s="38" t="n">
        <f aca="false">YEAR(Tabela1[[#This Row],[FECHA]])</f>
        <v>1900</v>
      </c>
      <c r="I82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23" customFormat="false" ht="15" hidden="false" customHeight="false" outlineLevel="0" collapsed="false">
      <c r="A8223" s="41"/>
      <c r="G8223" s="38" t="n">
        <f aca="false">MONTH(A8223)</f>
        <v>12</v>
      </c>
      <c r="H8223" s="38" t="n">
        <f aca="false">YEAR(Tabela1[[#This Row],[FECHA]])</f>
        <v>1900</v>
      </c>
      <c r="I82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24" customFormat="false" ht="15" hidden="false" customHeight="false" outlineLevel="0" collapsed="false">
      <c r="A8224" s="41"/>
      <c r="G8224" s="38" t="n">
        <f aca="false">MONTH(A8224)</f>
        <v>12</v>
      </c>
      <c r="H8224" s="38" t="n">
        <f aca="false">YEAR(Tabela1[[#This Row],[FECHA]])</f>
        <v>1900</v>
      </c>
      <c r="I82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25" customFormat="false" ht="15" hidden="false" customHeight="false" outlineLevel="0" collapsed="false">
      <c r="A8225" s="41"/>
      <c r="G8225" s="38" t="n">
        <f aca="false">MONTH(A8225)</f>
        <v>12</v>
      </c>
      <c r="H8225" s="38" t="n">
        <f aca="false">YEAR(Tabela1[[#This Row],[FECHA]])</f>
        <v>1900</v>
      </c>
      <c r="I82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26" customFormat="false" ht="15" hidden="false" customHeight="false" outlineLevel="0" collapsed="false">
      <c r="A8226" s="41"/>
      <c r="G8226" s="38" t="n">
        <f aca="false">MONTH(A8226)</f>
        <v>12</v>
      </c>
      <c r="H8226" s="38" t="n">
        <f aca="false">YEAR(Tabela1[[#This Row],[FECHA]])</f>
        <v>1900</v>
      </c>
      <c r="I82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27" customFormat="false" ht="15" hidden="false" customHeight="false" outlineLevel="0" collapsed="false">
      <c r="A8227" s="41"/>
      <c r="G8227" s="38" t="n">
        <f aca="false">MONTH(A8227)</f>
        <v>12</v>
      </c>
      <c r="H8227" s="38" t="n">
        <f aca="false">YEAR(Tabela1[[#This Row],[FECHA]])</f>
        <v>1900</v>
      </c>
      <c r="I82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28" customFormat="false" ht="15" hidden="false" customHeight="false" outlineLevel="0" collapsed="false">
      <c r="A8228" s="41"/>
      <c r="G8228" s="38" t="n">
        <f aca="false">MONTH(A8228)</f>
        <v>12</v>
      </c>
      <c r="H8228" s="38" t="n">
        <f aca="false">YEAR(Tabela1[[#This Row],[FECHA]])</f>
        <v>1900</v>
      </c>
      <c r="I82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29" customFormat="false" ht="15" hidden="false" customHeight="false" outlineLevel="0" collapsed="false">
      <c r="A8229" s="41"/>
      <c r="G8229" s="38" t="n">
        <f aca="false">MONTH(A8229)</f>
        <v>12</v>
      </c>
      <c r="H8229" s="38" t="n">
        <f aca="false">YEAR(Tabela1[[#This Row],[FECHA]])</f>
        <v>1900</v>
      </c>
      <c r="I82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30" customFormat="false" ht="15" hidden="false" customHeight="false" outlineLevel="0" collapsed="false">
      <c r="A8230" s="41"/>
      <c r="G8230" s="38" t="n">
        <f aca="false">MONTH(A8230)</f>
        <v>12</v>
      </c>
      <c r="H8230" s="38" t="n">
        <f aca="false">YEAR(Tabela1[[#This Row],[FECHA]])</f>
        <v>1900</v>
      </c>
      <c r="I82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31" customFormat="false" ht="15" hidden="false" customHeight="false" outlineLevel="0" collapsed="false">
      <c r="A8231" s="41"/>
      <c r="G8231" s="38" t="n">
        <f aca="false">MONTH(A8231)</f>
        <v>12</v>
      </c>
      <c r="H8231" s="38" t="n">
        <f aca="false">YEAR(Tabela1[[#This Row],[FECHA]])</f>
        <v>1900</v>
      </c>
      <c r="I82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32" customFormat="false" ht="15" hidden="false" customHeight="false" outlineLevel="0" collapsed="false">
      <c r="A8232" s="41"/>
      <c r="G8232" s="38" t="n">
        <f aca="false">MONTH(A8232)</f>
        <v>12</v>
      </c>
      <c r="H8232" s="38" t="n">
        <f aca="false">YEAR(Tabela1[[#This Row],[FECHA]])</f>
        <v>1900</v>
      </c>
      <c r="I82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33" customFormat="false" ht="15" hidden="false" customHeight="false" outlineLevel="0" collapsed="false">
      <c r="A8233" s="41"/>
      <c r="G8233" s="38" t="n">
        <f aca="false">MONTH(A8233)</f>
        <v>12</v>
      </c>
      <c r="H8233" s="38" t="n">
        <f aca="false">YEAR(Tabela1[[#This Row],[FECHA]])</f>
        <v>1900</v>
      </c>
      <c r="I82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34" customFormat="false" ht="15" hidden="false" customHeight="false" outlineLevel="0" collapsed="false">
      <c r="A8234" s="41"/>
      <c r="G8234" s="38" t="n">
        <f aca="false">MONTH(A8234)</f>
        <v>12</v>
      </c>
      <c r="H8234" s="38" t="n">
        <f aca="false">YEAR(Tabela1[[#This Row],[FECHA]])</f>
        <v>1900</v>
      </c>
      <c r="I82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35" customFormat="false" ht="15" hidden="false" customHeight="false" outlineLevel="0" collapsed="false">
      <c r="A8235" s="41"/>
      <c r="G8235" s="38" t="n">
        <f aca="false">MONTH(A8235)</f>
        <v>12</v>
      </c>
      <c r="H8235" s="38" t="n">
        <f aca="false">YEAR(Tabela1[[#This Row],[FECHA]])</f>
        <v>1900</v>
      </c>
      <c r="I82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36" customFormat="false" ht="15" hidden="false" customHeight="false" outlineLevel="0" collapsed="false">
      <c r="A8236" s="41"/>
      <c r="G8236" s="38" t="n">
        <f aca="false">MONTH(A8236)</f>
        <v>12</v>
      </c>
      <c r="H8236" s="38" t="n">
        <f aca="false">YEAR(Tabela1[[#This Row],[FECHA]])</f>
        <v>1900</v>
      </c>
      <c r="I82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37" customFormat="false" ht="15" hidden="false" customHeight="false" outlineLevel="0" collapsed="false">
      <c r="A8237" s="41"/>
      <c r="G8237" s="38" t="n">
        <f aca="false">MONTH(A8237)</f>
        <v>12</v>
      </c>
      <c r="H8237" s="38" t="n">
        <f aca="false">YEAR(Tabela1[[#This Row],[FECHA]])</f>
        <v>1900</v>
      </c>
      <c r="I82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38" customFormat="false" ht="15" hidden="false" customHeight="false" outlineLevel="0" collapsed="false">
      <c r="A8238" s="41"/>
      <c r="G8238" s="38" t="n">
        <f aca="false">MONTH(A8238)</f>
        <v>12</v>
      </c>
      <c r="H8238" s="38" t="n">
        <f aca="false">YEAR(Tabela1[[#This Row],[FECHA]])</f>
        <v>1900</v>
      </c>
      <c r="I82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39" customFormat="false" ht="15" hidden="false" customHeight="false" outlineLevel="0" collapsed="false">
      <c r="A8239" s="41"/>
      <c r="G8239" s="38" t="n">
        <f aca="false">MONTH(A8239)</f>
        <v>12</v>
      </c>
      <c r="H8239" s="38" t="n">
        <f aca="false">YEAR(Tabela1[[#This Row],[FECHA]])</f>
        <v>1900</v>
      </c>
      <c r="I82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40" customFormat="false" ht="15" hidden="false" customHeight="false" outlineLevel="0" collapsed="false">
      <c r="A8240" s="41"/>
      <c r="G8240" s="38" t="n">
        <f aca="false">MONTH(A8240)</f>
        <v>12</v>
      </c>
      <c r="H8240" s="38" t="n">
        <f aca="false">YEAR(Tabela1[[#This Row],[FECHA]])</f>
        <v>1900</v>
      </c>
      <c r="I82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41" customFormat="false" ht="15" hidden="false" customHeight="false" outlineLevel="0" collapsed="false">
      <c r="A8241" s="41"/>
      <c r="G8241" s="38" t="n">
        <f aca="false">MONTH(A8241)</f>
        <v>12</v>
      </c>
      <c r="H8241" s="38" t="n">
        <f aca="false">YEAR(Tabela1[[#This Row],[FECHA]])</f>
        <v>1900</v>
      </c>
      <c r="I82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42" customFormat="false" ht="15" hidden="false" customHeight="false" outlineLevel="0" collapsed="false">
      <c r="A8242" s="41"/>
      <c r="G8242" s="38" t="n">
        <f aca="false">MONTH(A8242)</f>
        <v>12</v>
      </c>
      <c r="H8242" s="38" t="n">
        <f aca="false">YEAR(Tabela1[[#This Row],[FECHA]])</f>
        <v>1900</v>
      </c>
      <c r="I82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43" customFormat="false" ht="15" hidden="false" customHeight="false" outlineLevel="0" collapsed="false">
      <c r="A8243" s="41"/>
      <c r="G8243" s="38" t="n">
        <f aca="false">MONTH(A8243)</f>
        <v>12</v>
      </c>
      <c r="H8243" s="38" t="n">
        <f aca="false">YEAR(Tabela1[[#This Row],[FECHA]])</f>
        <v>1900</v>
      </c>
      <c r="I82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44" customFormat="false" ht="15" hidden="false" customHeight="false" outlineLevel="0" collapsed="false">
      <c r="A8244" s="41"/>
      <c r="G8244" s="38" t="n">
        <f aca="false">MONTH(A8244)</f>
        <v>12</v>
      </c>
      <c r="H8244" s="38" t="n">
        <f aca="false">YEAR(Tabela1[[#This Row],[FECHA]])</f>
        <v>1900</v>
      </c>
      <c r="I82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45" customFormat="false" ht="15" hidden="false" customHeight="false" outlineLevel="0" collapsed="false">
      <c r="A8245" s="41"/>
      <c r="G8245" s="38" t="n">
        <f aca="false">MONTH(A8245)</f>
        <v>12</v>
      </c>
      <c r="H8245" s="38" t="n">
        <f aca="false">YEAR(Tabela1[[#This Row],[FECHA]])</f>
        <v>1900</v>
      </c>
      <c r="I82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46" customFormat="false" ht="15" hidden="false" customHeight="false" outlineLevel="0" collapsed="false">
      <c r="A8246" s="41"/>
      <c r="G8246" s="38" t="n">
        <f aca="false">MONTH(A8246)</f>
        <v>12</v>
      </c>
      <c r="H8246" s="38" t="n">
        <f aca="false">YEAR(Tabela1[[#This Row],[FECHA]])</f>
        <v>1900</v>
      </c>
      <c r="I82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47" customFormat="false" ht="15" hidden="false" customHeight="false" outlineLevel="0" collapsed="false">
      <c r="A8247" s="41"/>
      <c r="G8247" s="38" t="n">
        <f aca="false">MONTH(A8247)</f>
        <v>12</v>
      </c>
      <c r="H8247" s="38" t="n">
        <f aca="false">YEAR(Tabela1[[#This Row],[FECHA]])</f>
        <v>1900</v>
      </c>
      <c r="I82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48" customFormat="false" ht="15" hidden="false" customHeight="false" outlineLevel="0" collapsed="false">
      <c r="A8248" s="41"/>
      <c r="G8248" s="38" t="n">
        <f aca="false">MONTH(A8248)</f>
        <v>12</v>
      </c>
      <c r="H8248" s="38" t="n">
        <f aca="false">YEAR(Tabela1[[#This Row],[FECHA]])</f>
        <v>1900</v>
      </c>
      <c r="I82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49" customFormat="false" ht="15" hidden="false" customHeight="false" outlineLevel="0" collapsed="false">
      <c r="A8249" s="41"/>
      <c r="G8249" s="38" t="n">
        <f aca="false">MONTH(A8249)</f>
        <v>12</v>
      </c>
      <c r="H8249" s="38" t="n">
        <f aca="false">YEAR(Tabela1[[#This Row],[FECHA]])</f>
        <v>1900</v>
      </c>
      <c r="I82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50" customFormat="false" ht="15" hidden="false" customHeight="false" outlineLevel="0" collapsed="false">
      <c r="A8250" s="41"/>
      <c r="G8250" s="38" t="n">
        <f aca="false">MONTH(A8250)</f>
        <v>12</v>
      </c>
      <c r="H8250" s="38" t="n">
        <f aca="false">YEAR(Tabela1[[#This Row],[FECHA]])</f>
        <v>1900</v>
      </c>
      <c r="I82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51" customFormat="false" ht="15" hidden="false" customHeight="false" outlineLevel="0" collapsed="false">
      <c r="A8251" s="41"/>
      <c r="G8251" s="38" t="n">
        <f aca="false">MONTH(A8251)</f>
        <v>12</v>
      </c>
      <c r="H8251" s="38" t="n">
        <f aca="false">YEAR(Tabela1[[#This Row],[FECHA]])</f>
        <v>1900</v>
      </c>
      <c r="I82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52" customFormat="false" ht="15" hidden="false" customHeight="false" outlineLevel="0" collapsed="false">
      <c r="A8252" s="41"/>
      <c r="G8252" s="38" t="n">
        <f aca="false">MONTH(A8252)</f>
        <v>12</v>
      </c>
      <c r="H8252" s="38" t="n">
        <f aca="false">YEAR(Tabela1[[#This Row],[FECHA]])</f>
        <v>1900</v>
      </c>
      <c r="I82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53" customFormat="false" ht="15" hidden="false" customHeight="false" outlineLevel="0" collapsed="false">
      <c r="A8253" s="41"/>
      <c r="G8253" s="38" t="n">
        <f aca="false">MONTH(A8253)</f>
        <v>12</v>
      </c>
      <c r="H8253" s="38" t="n">
        <f aca="false">YEAR(Tabela1[[#This Row],[FECHA]])</f>
        <v>1900</v>
      </c>
      <c r="I82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54" customFormat="false" ht="15" hidden="false" customHeight="false" outlineLevel="0" collapsed="false">
      <c r="A8254" s="41"/>
      <c r="G8254" s="38" t="n">
        <f aca="false">MONTH(A8254)</f>
        <v>12</v>
      </c>
      <c r="H8254" s="38" t="n">
        <f aca="false">YEAR(Tabela1[[#This Row],[FECHA]])</f>
        <v>1900</v>
      </c>
      <c r="I82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55" customFormat="false" ht="15" hidden="false" customHeight="false" outlineLevel="0" collapsed="false">
      <c r="A8255" s="41"/>
      <c r="G8255" s="38" t="n">
        <f aca="false">MONTH(A8255)</f>
        <v>12</v>
      </c>
      <c r="H8255" s="38" t="n">
        <f aca="false">YEAR(Tabela1[[#This Row],[FECHA]])</f>
        <v>1900</v>
      </c>
      <c r="I82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56" customFormat="false" ht="15" hidden="false" customHeight="false" outlineLevel="0" collapsed="false">
      <c r="A8256" s="41"/>
      <c r="G8256" s="38" t="n">
        <f aca="false">MONTH(A8256)</f>
        <v>12</v>
      </c>
      <c r="H8256" s="38" t="n">
        <f aca="false">YEAR(Tabela1[[#This Row],[FECHA]])</f>
        <v>1900</v>
      </c>
      <c r="I82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57" customFormat="false" ht="15" hidden="false" customHeight="false" outlineLevel="0" collapsed="false">
      <c r="A8257" s="41"/>
      <c r="G8257" s="38" t="n">
        <f aca="false">MONTH(A8257)</f>
        <v>12</v>
      </c>
      <c r="H8257" s="38" t="n">
        <f aca="false">YEAR(Tabela1[[#This Row],[FECHA]])</f>
        <v>1900</v>
      </c>
      <c r="I82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58" customFormat="false" ht="15" hidden="false" customHeight="false" outlineLevel="0" collapsed="false">
      <c r="A8258" s="41"/>
      <c r="G8258" s="38" t="n">
        <f aca="false">MONTH(A8258)</f>
        <v>12</v>
      </c>
      <c r="H8258" s="38" t="n">
        <f aca="false">YEAR(Tabela1[[#This Row],[FECHA]])</f>
        <v>1900</v>
      </c>
      <c r="I82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59" customFormat="false" ht="15" hidden="false" customHeight="false" outlineLevel="0" collapsed="false">
      <c r="A8259" s="41"/>
      <c r="G8259" s="38" t="n">
        <f aca="false">MONTH(A8259)</f>
        <v>12</v>
      </c>
      <c r="H8259" s="38" t="n">
        <f aca="false">YEAR(Tabela1[[#This Row],[FECHA]])</f>
        <v>1900</v>
      </c>
      <c r="I82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60" customFormat="false" ht="15" hidden="false" customHeight="false" outlineLevel="0" collapsed="false">
      <c r="A8260" s="41"/>
      <c r="G8260" s="38" t="n">
        <f aca="false">MONTH(A8260)</f>
        <v>12</v>
      </c>
      <c r="H8260" s="38" t="n">
        <f aca="false">YEAR(Tabela1[[#This Row],[FECHA]])</f>
        <v>1900</v>
      </c>
      <c r="I82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61" customFormat="false" ht="15" hidden="false" customHeight="false" outlineLevel="0" collapsed="false">
      <c r="A8261" s="41"/>
      <c r="G8261" s="38" t="n">
        <f aca="false">MONTH(A8261)</f>
        <v>12</v>
      </c>
      <c r="H8261" s="38" t="n">
        <f aca="false">YEAR(Tabela1[[#This Row],[FECHA]])</f>
        <v>1900</v>
      </c>
      <c r="I82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62" customFormat="false" ht="15" hidden="false" customHeight="false" outlineLevel="0" collapsed="false">
      <c r="A8262" s="41"/>
      <c r="G8262" s="38" t="n">
        <f aca="false">MONTH(A8262)</f>
        <v>12</v>
      </c>
      <c r="H8262" s="38" t="n">
        <f aca="false">YEAR(Tabela1[[#This Row],[FECHA]])</f>
        <v>1900</v>
      </c>
      <c r="I82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63" customFormat="false" ht="15" hidden="false" customHeight="false" outlineLevel="0" collapsed="false">
      <c r="A8263" s="41"/>
      <c r="G8263" s="38" t="n">
        <f aca="false">MONTH(A8263)</f>
        <v>12</v>
      </c>
      <c r="H8263" s="38" t="n">
        <f aca="false">YEAR(Tabela1[[#This Row],[FECHA]])</f>
        <v>1900</v>
      </c>
      <c r="I82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64" customFormat="false" ht="15" hidden="false" customHeight="false" outlineLevel="0" collapsed="false">
      <c r="A8264" s="41"/>
      <c r="G8264" s="38" t="n">
        <f aca="false">MONTH(A8264)</f>
        <v>12</v>
      </c>
      <c r="H8264" s="38" t="n">
        <f aca="false">YEAR(Tabela1[[#This Row],[FECHA]])</f>
        <v>1900</v>
      </c>
      <c r="I82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65" customFormat="false" ht="15" hidden="false" customHeight="false" outlineLevel="0" collapsed="false">
      <c r="A8265" s="41"/>
      <c r="G8265" s="38" t="n">
        <f aca="false">MONTH(A8265)</f>
        <v>12</v>
      </c>
      <c r="H8265" s="38" t="n">
        <f aca="false">YEAR(Tabela1[[#This Row],[FECHA]])</f>
        <v>1900</v>
      </c>
      <c r="I82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66" customFormat="false" ht="15" hidden="false" customHeight="false" outlineLevel="0" collapsed="false">
      <c r="A8266" s="41"/>
      <c r="G8266" s="38" t="n">
        <f aca="false">MONTH(A8266)</f>
        <v>12</v>
      </c>
      <c r="H8266" s="38" t="n">
        <f aca="false">YEAR(Tabela1[[#This Row],[FECHA]])</f>
        <v>1900</v>
      </c>
      <c r="I82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67" customFormat="false" ht="15" hidden="false" customHeight="false" outlineLevel="0" collapsed="false">
      <c r="A8267" s="41"/>
      <c r="G8267" s="38" t="n">
        <f aca="false">MONTH(A8267)</f>
        <v>12</v>
      </c>
      <c r="H8267" s="38" t="n">
        <f aca="false">YEAR(Tabela1[[#This Row],[FECHA]])</f>
        <v>1900</v>
      </c>
      <c r="I82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68" customFormat="false" ht="15" hidden="false" customHeight="false" outlineLevel="0" collapsed="false">
      <c r="A8268" s="41"/>
      <c r="G8268" s="38" t="n">
        <f aca="false">MONTH(A8268)</f>
        <v>12</v>
      </c>
      <c r="H8268" s="38" t="n">
        <f aca="false">YEAR(Tabela1[[#This Row],[FECHA]])</f>
        <v>1900</v>
      </c>
      <c r="I82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69" customFormat="false" ht="15" hidden="false" customHeight="false" outlineLevel="0" collapsed="false">
      <c r="A8269" s="41"/>
      <c r="G8269" s="38" t="n">
        <f aca="false">MONTH(A8269)</f>
        <v>12</v>
      </c>
      <c r="H8269" s="38" t="n">
        <f aca="false">YEAR(Tabela1[[#This Row],[FECHA]])</f>
        <v>1900</v>
      </c>
      <c r="I82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70" customFormat="false" ht="15" hidden="false" customHeight="false" outlineLevel="0" collapsed="false">
      <c r="A8270" s="41"/>
      <c r="G8270" s="38" t="n">
        <f aca="false">MONTH(A8270)</f>
        <v>12</v>
      </c>
      <c r="H8270" s="38" t="n">
        <f aca="false">YEAR(Tabela1[[#This Row],[FECHA]])</f>
        <v>1900</v>
      </c>
      <c r="I82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71" customFormat="false" ht="15" hidden="false" customHeight="false" outlineLevel="0" collapsed="false">
      <c r="A8271" s="41"/>
      <c r="G8271" s="38" t="n">
        <f aca="false">MONTH(A8271)</f>
        <v>12</v>
      </c>
      <c r="H8271" s="38" t="n">
        <f aca="false">YEAR(Tabela1[[#This Row],[FECHA]])</f>
        <v>1900</v>
      </c>
      <c r="I82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72" customFormat="false" ht="15" hidden="false" customHeight="false" outlineLevel="0" collapsed="false">
      <c r="A8272" s="41"/>
      <c r="G8272" s="38" t="n">
        <f aca="false">MONTH(A8272)</f>
        <v>12</v>
      </c>
      <c r="H8272" s="38" t="n">
        <f aca="false">YEAR(Tabela1[[#This Row],[FECHA]])</f>
        <v>1900</v>
      </c>
      <c r="I82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73" customFormat="false" ht="15" hidden="false" customHeight="false" outlineLevel="0" collapsed="false">
      <c r="A8273" s="41"/>
      <c r="G8273" s="38" t="n">
        <f aca="false">MONTH(A8273)</f>
        <v>12</v>
      </c>
      <c r="H8273" s="38" t="n">
        <f aca="false">YEAR(Tabela1[[#This Row],[FECHA]])</f>
        <v>1900</v>
      </c>
      <c r="I82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74" customFormat="false" ht="15" hidden="false" customHeight="false" outlineLevel="0" collapsed="false">
      <c r="A8274" s="41"/>
      <c r="G8274" s="38" t="n">
        <f aca="false">MONTH(A8274)</f>
        <v>12</v>
      </c>
      <c r="H8274" s="38" t="n">
        <f aca="false">YEAR(Tabela1[[#This Row],[FECHA]])</f>
        <v>1900</v>
      </c>
      <c r="I82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75" customFormat="false" ht="15" hidden="false" customHeight="false" outlineLevel="0" collapsed="false">
      <c r="A8275" s="41"/>
      <c r="G8275" s="38" t="n">
        <f aca="false">MONTH(A8275)</f>
        <v>12</v>
      </c>
      <c r="H8275" s="38" t="n">
        <f aca="false">YEAR(Tabela1[[#This Row],[FECHA]])</f>
        <v>1900</v>
      </c>
      <c r="I82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76" customFormat="false" ht="15" hidden="false" customHeight="false" outlineLevel="0" collapsed="false">
      <c r="A8276" s="41"/>
      <c r="G8276" s="38" t="n">
        <f aca="false">MONTH(A8276)</f>
        <v>12</v>
      </c>
      <c r="H8276" s="38" t="n">
        <f aca="false">YEAR(Tabela1[[#This Row],[FECHA]])</f>
        <v>1900</v>
      </c>
      <c r="I82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77" customFormat="false" ht="15" hidden="false" customHeight="false" outlineLevel="0" collapsed="false">
      <c r="A8277" s="41"/>
      <c r="G8277" s="38" t="n">
        <f aca="false">MONTH(A8277)</f>
        <v>12</v>
      </c>
      <c r="H8277" s="38" t="n">
        <f aca="false">YEAR(Tabela1[[#This Row],[FECHA]])</f>
        <v>1900</v>
      </c>
      <c r="I82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78" customFormat="false" ht="15" hidden="false" customHeight="false" outlineLevel="0" collapsed="false">
      <c r="A8278" s="41"/>
      <c r="G8278" s="38" t="n">
        <f aca="false">MONTH(A8278)</f>
        <v>12</v>
      </c>
      <c r="H8278" s="38" t="n">
        <f aca="false">YEAR(Tabela1[[#This Row],[FECHA]])</f>
        <v>1900</v>
      </c>
      <c r="I82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79" customFormat="false" ht="15" hidden="false" customHeight="false" outlineLevel="0" collapsed="false">
      <c r="A8279" s="41"/>
      <c r="G8279" s="38" t="n">
        <f aca="false">MONTH(A8279)</f>
        <v>12</v>
      </c>
      <c r="H8279" s="38" t="n">
        <f aca="false">YEAR(Tabela1[[#This Row],[FECHA]])</f>
        <v>1900</v>
      </c>
      <c r="I82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80" customFormat="false" ht="15" hidden="false" customHeight="false" outlineLevel="0" collapsed="false">
      <c r="A8280" s="41"/>
      <c r="G8280" s="38" t="n">
        <f aca="false">MONTH(A8280)</f>
        <v>12</v>
      </c>
      <c r="H8280" s="38" t="n">
        <f aca="false">YEAR(Tabela1[[#This Row],[FECHA]])</f>
        <v>1900</v>
      </c>
      <c r="I82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81" customFormat="false" ht="15" hidden="false" customHeight="false" outlineLevel="0" collapsed="false">
      <c r="A8281" s="41"/>
      <c r="G8281" s="38" t="n">
        <f aca="false">MONTH(A8281)</f>
        <v>12</v>
      </c>
      <c r="H8281" s="38" t="n">
        <f aca="false">YEAR(Tabela1[[#This Row],[FECHA]])</f>
        <v>1900</v>
      </c>
      <c r="I82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82" customFormat="false" ht="15" hidden="false" customHeight="false" outlineLevel="0" collapsed="false">
      <c r="A8282" s="41"/>
      <c r="G8282" s="38" t="n">
        <f aca="false">MONTH(A8282)</f>
        <v>12</v>
      </c>
      <c r="H8282" s="38" t="n">
        <f aca="false">YEAR(Tabela1[[#This Row],[FECHA]])</f>
        <v>1900</v>
      </c>
      <c r="I82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83" customFormat="false" ht="15" hidden="false" customHeight="false" outlineLevel="0" collapsed="false">
      <c r="A8283" s="41"/>
      <c r="G8283" s="38" t="n">
        <f aca="false">MONTH(A8283)</f>
        <v>12</v>
      </c>
      <c r="H8283" s="38" t="n">
        <f aca="false">YEAR(Tabela1[[#This Row],[FECHA]])</f>
        <v>1900</v>
      </c>
      <c r="I82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84" customFormat="false" ht="15" hidden="false" customHeight="false" outlineLevel="0" collapsed="false">
      <c r="A8284" s="41"/>
      <c r="G8284" s="38" t="n">
        <f aca="false">MONTH(A8284)</f>
        <v>12</v>
      </c>
      <c r="H8284" s="38" t="n">
        <f aca="false">YEAR(Tabela1[[#This Row],[FECHA]])</f>
        <v>1900</v>
      </c>
      <c r="I82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85" customFormat="false" ht="15" hidden="false" customHeight="false" outlineLevel="0" collapsed="false">
      <c r="A8285" s="41"/>
      <c r="G8285" s="38" t="n">
        <f aca="false">MONTH(A8285)</f>
        <v>12</v>
      </c>
      <c r="H8285" s="38" t="n">
        <f aca="false">YEAR(Tabela1[[#This Row],[FECHA]])</f>
        <v>1900</v>
      </c>
      <c r="I82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86" customFormat="false" ht="15" hidden="false" customHeight="false" outlineLevel="0" collapsed="false">
      <c r="A8286" s="41"/>
      <c r="G8286" s="38" t="n">
        <f aca="false">MONTH(A8286)</f>
        <v>12</v>
      </c>
      <c r="H8286" s="38" t="n">
        <f aca="false">YEAR(Tabela1[[#This Row],[FECHA]])</f>
        <v>1900</v>
      </c>
      <c r="I82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87" customFormat="false" ht="15" hidden="false" customHeight="false" outlineLevel="0" collapsed="false">
      <c r="A8287" s="41"/>
      <c r="G8287" s="38" t="n">
        <f aca="false">MONTH(A8287)</f>
        <v>12</v>
      </c>
      <c r="H8287" s="38" t="n">
        <f aca="false">YEAR(Tabela1[[#This Row],[FECHA]])</f>
        <v>1900</v>
      </c>
      <c r="I82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88" customFormat="false" ht="15" hidden="false" customHeight="false" outlineLevel="0" collapsed="false">
      <c r="A8288" s="41"/>
      <c r="G8288" s="38" t="n">
        <f aca="false">MONTH(A8288)</f>
        <v>12</v>
      </c>
      <c r="H8288" s="38" t="n">
        <f aca="false">YEAR(Tabela1[[#This Row],[FECHA]])</f>
        <v>1900</v>
      </c>
      <c r="I82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89" customFormat="false" ht="15" hidden="false" customHeight="false" outlineLevel="0" collapsed="false">
      <c r="A8289" s="41"/>
      <c r="G8289" s="38" t="n">
        <f aca="false">MONTH(A8289)</f>
        <v>12</v>
      </c>
      <c r="H8289" s="38" t="n">
        <f aca="false">YEAR(Tabela1[[#This Row],[FECHA]])</f>
        <v>1900</v>
      </c>
      <c r="I82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90" customFormat="false" ht="15" hidden="false" customHeight="false" outlineLevel="0" collapsed="false">
      <c r="A8290" s="41"/>
      <c r="G8290" s="38" t="n">
        <f aca="false">MONTH(A8290)</f>
        <v>12</v>
      </c>
      <c r="H8290" s="38" t="n">
        <f aca="false">YEAR(Tabela1[[#This Row],[FECHA]])</f>
        <v>1900</v>
      </c>
      <c r="I82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91" customFormat="false" ht="15" hidden="false" customHeight="false" outlineLevel="0" collapsed="false">
      <c r="A8291" s="41"/>
      <c r="G8291" s="38" t="n">
        <f aca="false">MONTH(A8291)</f>
        <v>12</v>
      </c>
      <c r="H8291" s="38" t="n">
        <f aca="false">YEAR(Tabela1[[#This Row],[FECHA]])</f>
        <v>1900</v>
      </c>
      <c r="I82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92" customFormat="false" ht="15" hidden="false" customHeight="false" outlineLevel="0" collapsed="false">
      <c r="A8292" s="41"/>
      <c r="G8292" s="38" t="n">
        <f aca="false">MONTH(A8292)</f>
        <v>12</v>
      </c>
      <c r="H8292" s="38" t="n">
        <f aca="false">YEAR(Tabela1[[#This Row],[FECHA]])</f>
        <v>1900</v>
      </c>
      <c r="I82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93" customFormat="false" ht="15" hidden="false" customHeight="false" outlineLevel="0" collapsed="false">
      <c r="A8293" s="41"/>
      <c r="G8293" s="38" t="n">
        <f aca="false">MONTH(A8293)</f>
        <v>12</v>
      </c>
      <c r="H8293" s="38" t="n">
        <f aca="false">YEAR(Tabela1[[#This Row],[FECHA]])</f>
        <v>1900</v>
      </c>
      <c r="I82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94" customFormat="false" ht="15" hidden="false" customHeight="false" outlineLevel="0" collapsed="false">
      <c r="A8294" s="41"/>
      <c r="G8294" s="38" t="n">
        <f aca="false">MONTH(A8294)</f>
        <v>12</v>
      </c>
      <c r="H8294" s="38" t="n">
        <f aca="false">YEAR(Tabela1[[#This Row],[FECHA]])</f>
        <v>1900</v>
      </c>
      <c r="I82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95" customFormat="false" ht="15" hidden="false" customHeight="false" outlineLevel="0" collapsed="false">
      <c r="A8295" s="41"/>
      <c r="G8295" s="38" t="n">
        <f aca="false">MONTH(A8295)</f>
        <v>12</v>
      </c>
      <c r="H8295" s="38" t="n">
        <f aca="false">YEAR(Tabela1[[#This Row],[FECHA]])</f>
        <v>1900</v>
      </c>
      <c r="I82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96" customFormat="false" ht="15" hidden="false" customHeight="false" outlineLevel="0" collapsed="false">
      <c r="A8296" s="41"/>
      <c r="G8296" s="38" t="n">
        <f aca="false">MONTH(A8296)</f>
        <v>12</v>
      </c>
      <c r="H8296" s="38" t="n">
        <f aca="false">YEAR(Tabela1[[#This Row],[FECHA]])</f>
        <v>1900</v>
      </c>
      <c r="I82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97" customFormat="false" ht="15" hidden="false" customHeight="false" outlineLevel="0" collapsed="false">
      <c r="A8297" s="41"/>
      <c r="G8297" s="38" t="n">
        <f aca="false">MONTH(A8297)</f>
        <v>12</v>
      </c>
      <c r="H8297" s="38" t="n">
        <f aca="false">YEAR(Tabela1[[#This Row],[FECHA]])</f>
        <v>1900</v>
      </c>
      <c r="I82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98" customFormat="false" ht="15" hidden="false" customHeight="false" outlineLevel="0" collapsed="false">
      <c r="A8298" s="41"/>
      <c r="G8298" s="38" t="n">
        <f aca="false">MONTH(A8298)</f>
        <v>12</v>
      </c>
      <c r="H8298" s="38" t="n">
        <f aca="false">YEAR(Tabela1[[#This Row],[FECHA]])</f>
        <v>1900</v>
      </c>
      <c r="I82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299" customFormat="false" ht="15" hidden="false" customHeight="false" outlineLevel="0" collapsed="false">
      <c r="A8299" s="41"/>
      <c r="G8299" s="38" t="n">
        <f aca="false">MONTH(A8299)</f>
        <v>12</v>
      </c>
      <c r="H8299" s="38" t="n">
        <f aca="false">YEAR(Tabela1[[#This Row],[FECHA]])</f>
        <v>1900</v>
      </c>
      <c r="I82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00" customFormat="false" ht="15" hidden="false" customHeight="false" outlineLevel="0" collapsed="false">
      <c r="A8300" s="41"/>
      <c r="G8300" s="38" t="n">
        <f aca="false">MONTH(A8300)</f>
        <v>12</v>
      </c>
      <c r="H8300" s="38" t="n">
        <f aca="false">YEAR(Tabela1[[#This Row],[FECHA]])</f>
        <v>1900</v>
      </c>
      <c r="I83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01" customFormat="false" ht="15" hidden="false" customHeight="false" outlineLevel="0" collapsed="false">
      <c r="A8301" s="41"/>
      <c r="G8301" s="38" t="n">
        <f aca="false">MONTH(A8301)</f>
        <v>12</v>
      </c>
      <c r="H8301" s="38" t="n">
        <f aca="false">YEAR(Tabela1[[#This Row],[FECHA]])</f>
        <v>1900</v>
      </c>
      <c r="I83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02" customFormat="false" ht="15" hidden="false" customHeight="false" outlineLevel="0" collapsed="false">
      <c r="A8302" s="41"/>
      <c r="G8302" s="38" t="n">
        <f aca="false">MONTH(A8302)</f>
        <v>12</v>
      </c>
      <c r="H8302" s="38" t="n">
        <f aca="false">YEAR(Tabela1[[#This Row],[FECHA]])</f>
        <v>1900</v>
      </c>
      <c r="I83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03" customFormat="false" ht="15" hidden="false" customHeight="false" outlineLevel="0" collapsed="false">
      <c r="A8303" s="41"/>
      <c r="G8303" s="38" t="n">
        <f aca="false">MONTH(A8303)</f>
        <v>12</v>
      </c>
      <c r="H8303" s="38" t="n">
        <f aca="false">YEAR(Tabela1[[#This Row],[FECHA]])</f>
        <v>1900</v>
      </c>
      <c r="I83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04" customFormat="false" ht="15" hidden="false" customHeight="false" outlineLevel="0" collapsed="false">
      <c r="A8304" s="41"/>
      <c r="G8304" s="38" t="n">
        <f aca="false">MONTH(A8304)</f>
        <v>12</v>
      </c>
      <c r="H8304" s="38" t="n">
        <f aca="false">YEAR(Tabela1[[#This Row],[FECHA]])</f>
        <v>1900</v>
      </c>
      <c r="I83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05" customFormat="false" ht="15" hidden="false" customHeight="false" outlineLevel="0" collapsed="false">
      <c r="A8305" s="41"/>
      <c r="G8305" s="38" t="n">
        <f aca="false">MONTH(A8305)</f>
        <v>12</v>
      </c>
      <c r="H8305" s="38" t="n">
        <f aca="false">YEAR(Tabela1[[#This Row],[FECHA]])</f>
        <v>1900</v>
      </c>
      <c r="I83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06" customFormat="false" ht="15" hidden="false" customHeight="false" outlineLevel="0" collapsed="false">
      <c r="A8306" s="41"/>
      <c r="G8306" s="38" t="n">
        <f aca="false">MONTH(A8306)</f>
        <v>12</v>
      </c>
      <c r="H8306" s="38" t="n">
        <f aca="false">YEAR(Tabela1[[#This Row],[FECHA]])</f>
        <v>1900</v>
      </c>
      <c r="I83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07" customFormat="false" ht="15" hidden="false" customHeight="false" outlineLevel="0" collapsed="false">
      <c r="A8307" s="41"/>
      <c r="G8307" s="38" t="n">
        <f aca="false">MONTH(A8307)</f>
        <v>12</v>
      </c>
      <c r="H8307" s="38" t="n">
        <f aca="false">YEAR(Tabela1[[#This Row],[FECHA]])</f>
        <v>1900</v>
      </c>
      <c r="I83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08" customFormat="false" ht="15" hidden="false" customHeight="false" outlineLevel="0" collapsed="false">
      <c r="A8308" s="41"/>
      <c r="G8308" s="38" t="n">
        <f aca="false">MONTH(A8308)</f>
        <v>12</v>
      </c>
      <c r="H8308" s="38" t="n">
        <f aca="false">YEAR(Tabela1[[#This Row],[FECHA]])</f>
        <v>1900</v>
      </c>
      <c r="I83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09" customFormat="false" ht="15" hidden="false" customHeight="false" outlineLevel="0" collapsed="false">
      <c r="A8309" s="41"/>
      <c r="G8309" s="38" t="n">
        <f aca="false">MONTH(A8309)</f>
        <v>12</v>
      </c>
      <c r="H8309" s="38" t="n">
        <f aca="false">YEAR(Tabela1[[#This Row],[FECHA]])</f>
        <v>1900</v>
      </c>
      <c r="I83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10" customFormat="false" ht="15" hidden="false" customHeight="false" outlineLevel="0" collapsed="false">
      <c r="A8310" s="41"/>
      <c r="G8310" s="38" t="n">
        <f aca="false">MONTH(A8310)</f>
        <v>12</v>
      </c>
      <c r="H8310" s="38" t="n">
        <f aca="false">YEAR(Tabela1[[#This Row],[FECHA]])</f>
        <v>1900</v>
      </c>
      <c r="I83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11" customFormat="false" ht="15" hidden="false" customHeight="false" outlineLevel="0" collapsed="false">
      <c r="A8311" s="41"/>
      <c r="G8311" s="38" t="n">
        <f aca="false">MONTH(A8311)</f>
        <v>12</v>
      </c>
      <c r="H8311" s="38" t="n">
        <f aca="false">YEAR(Tabela1[[#This Row],[FECHA]])</f>
        <v>1900</v>
      </c>
      <c r="I83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12" customFormat="false" ht="15" hidden="false" customHeight="false" outlineLevel="0" collapsed="false">
      <c r="A8312" s="41"/>
      <c r="G8312" s="38" t="n">
        <f aca="false">MONTH(A8312)</f>
        <v>12</v>
      </c>
      <c r="H8312" s="38" t="n">
        <f aca="false">YEAR(Tabela1[[#This Row],[FECHA]])</f>
        <v>1900</v>
      </c>
      <c r="I83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13" customFormat="false" ht="15" hidden="false" customHeight="false" outlineLevel="0" collapsed="false">
      <c r="A8313" s="41"/>
      <c r="G8313" s="38" t="n">
        <f aca="false">MONTH(A8313)</f>
        <v>12</v>
      </c>
      <c r="H8313" s="38" t="n">
        <f aca="false">YEAR(Tabela1[[#This Row],[FECHA]])</f>
        <v>1900</v>
      </c>
      <c r="I83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14" customFormat="false" ht="15" hidden="false" customHeight="false" outlineLevel="0" collapsed="false">
      <c r="A8314" s="41"/>
      <c r="G8314" s="38" t="n">
        <f aca="false">MONTH(A8314)</f>
        <v>12</v>
      </c>
      <c r="H8314" s="38" t="n">
        <f aca="false">YEAR(Tabela1[[#This Row],[FECHA]])</f>
        <v>1900</v>
      </c>
      <c r="I83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15" customFormat="false" ht="15" hidden="false" customHeight="false" outlineLevel="0" collapsed="false">
      <c r="A8315" s="41"/>
      <c r="G8315" s="38" t="n">
        <f aca="false">MONTH(A8315)</f>
        <v>12</v>
      </c>
      <c r="H8315" s="38" t="n">
        <f aca="false">YEAR(Tabela1[[#This Row],[FECHA]])</f>
        <v>1900</v>
      </c>
      <c r="I83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16" customFormat="false" ht="15" hidden="false" customHeight="false" outlineLevel="0" collapsed="false">
      <c r="A8316" s="41"/>
      <c r="G8316" s="38" t="n">
        <f aca="false">MONTH(A8316)</f>
        <v>12</v>
      </c>
      <c r="H8316" s="38" t="n">
        <f aca="false">YEAR(Tabela1[[#This Row],[FECHA]])</f>
        <v>1900</v>
      </c>
      <c r="I83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17" customFormat="false" ht="15" hidden="false" customHeight="false" outlineLevel="0" collapsed="false">
      <c r="A8317" s="41"/>
      <c r="G8317" s="38" t="n">
        <f aca="false">MONTH(A8317)</f>
        <v>12</v>
      </c>
      <c r="H8317" s="38" t="n">
        <f aca="false">YEAR(Tabela1[[#This Row],[FECHA]])</f>
        <v>1900</v>
      </c>
      <c r="I83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18" customFormat="false" ht="15" hidden="false" customHeight="false" outlineLevel="0" collapsed="false">
      <c r="A8318" s="41"/>
      <c r="G8318" s="38" t="n">
        <f aca="false">MONTH(A8318)</f>
        <v>12</v>
      </c>
      <c r="H8318" s="38" t="n">
        <f aca="false">YEAR(Tabela1[[#This Row],[FECHA]])</f>
        <v>1900</v>
      </c>
      <c r="I83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19" customFormat="false" ht="15" hidden="false" customHeight="false" outlineLevel="0" collapsed="false">
      <c r="A8319" s="41"/>
      <c r="G8319" s="38" t="n">
        <f aca="false">MONTH(A8319)</f>
        <v>12</v>
      </c>
      <c r="H8319" s="38" t="n">
        <f aca="false">YEAR(Tabela1[[#This Row],[FECHA]])</f>
        <v>1900</v>
      </c>
      <c r="I83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20" customFormat="false" ht="15" hidden="false" customHeight="false" outlineLevel="0" collapsed="false">
      <c r="A8320" s="41"/>
      <c r="G8320" s="38" t="n">
        <f aca="false">MONTH(A8320)</f>
        <v>12</v>
      </c>
      <c r="H8320" s="38" t="n">
        <f aca="false">YEAR(Tabela1[[#This Row],[FECHA]])</f>
        <v>1900</v>
      </c>
      <c r="I83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21" customFormat="false" ht="15" hidden="false" customHeight="false" outlineLevel="0" collapsed="false">
      <c r="A8321" s="41"/>
      <c r="G8321" s="38" t="n">
        <f aca="false">MONTH(A8321)</f>
        <v>12</v>
      </c>
      <c r="H8321" s="38" t="n">
        <f aca="false">YEAR(Tabela1[[#This Row],[FECHA]])</f>
        <v>1900</v>
      </c>
      <c r="I83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22" customFormat="false" ht="15" hidden="false" customHeight="false" outlineLevel="0" collapsed="false">
      <c r="A8322" s="41"/>
      <c r="G8322" s="38" t="n">
        <f aca="false">MONTH(A8322)</f>
        <v>12</v>
      </c>
      <c r="H8322" s="38" t="n">
        <f aca="false">YEAR(Tabela1[[#This Row],[FECHA]])</f>
        <v>1900</v>
      </c>
      <c r="I83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23" customFormat="false" ht="15" hidden="false" customHeight="false" outlineLevel="0" collapsed="false">
      <c r="A8323" s="41"/>
      <c r="G8323" s="38" t="n">
        <f aca="false">MONTH(A8323)</f>
        <v>12</v>
      </c>
      <c r="H8323" s="38" t="n">
        <f aca="false">YEAR(Tabela1[[#This Row],[FECHA]])</f>
        <v>1900</v>
      </c>
      <c r="I83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24" customFormat="false" ht="15" hidden="false" customHeight="false" outlineLevel="0" collapsed="false">
      <c r="A8324" s="41"/>
      <c r="G8324" s="38" t="n">
        <f aca="false">MONTH(A8324)</f>
        <v>12</v>
      </c>
      <c r="H8324" s="38" t="n">
        <f aca="false">YEAR(Tabela1[[#This Row],[FECHA]])</f>
        <v>1900</v>
      </c>
      <c r="I83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25" customFormat="false" ht="15" hidden="false" customHeight="false" outlineLevel="0" collapsed="false">
      <c r="A8325" s="41"/>
      <c r="G8325" s="38" t="n">
        <f aca="false">MONTH(A8325)</f>
        <v>12</v>
      </c>
      <c r="H8325" s="38" t="n">
        <f aca="false">YEAR(Tabela1[[#This Row],[FECHA]])</f>
        <v>1900</v>
      </c>
      <c r="I83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26" customFormat="false" ht="15" hidden="false" customHeight="false" outlineLevel="0" collapsed="false">
      <c r="A8326" s="41"/>
      <c r="G8326" s="38" t="n">
        <f aca="false">MONTH(A8326)</f>
        <v>12</v>
      </c>
      <c r="H8326" s="38" t="n">
        <f aca="false">YEAR(Tabela1[[#This Row],[FECHA]])</f>
        <v>1900</v>
      </c>
      <c r="I83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27" customFormat="false" ht="15" hidden="false" customHeight="false" outlineLevel="0" collapsed="false">
      <c r="A8327" s="41"/>
      <c r="G8327" s="38" t="n">
        <f aca="false">MONTH(A8327)</f>
        <v>12</v>
      </c>
      <c r="H8327" s="38" t="n">
        <f aca="false">YEAR(Tabela1[[#This Row],[FECHA]])</f>
        <v>1900</v>
      </c>
      <c r="I83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28" customFormat="false" ht="15" hidden="false" customHeight="false" outlineLevel="0" collapsed="false">
      <c r="A8328" s="41"/>
      <c r="G8328" s="38" t="n">
        <f aca="false">MONTH(A8328)</f>
        <v>12</v>
      </c>
      <c r="H8328" s="38" t="n">
        <f aca="false">YEAR(Tabela1[[#This Row],[FECHA]])</f>
        <v>1900</v>
      </c>
      <c r="I83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29" customFormat="false" ht="15" hidden="false" customHeight="false" outlineLevel="0" collapsed="false">
      <c r="A8329" s="41"/>
      <c r="G8329" s="38" t="n">
        <f aca="false">MONTH(A8329)</f>
        <v>12</v>
      </c>
      <c r="H8329" s="38" t="n">
        <f aca="false">YEAR(Tabela1[[#This Row],[FECHA]])</f>
        <v>1900</v>
      </c>
      <c r="I83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30" customFormat="false" ht="15" hidden="false" customHeight="false" outlineLevel="0" collapsed="false">
      <c r="A8330" s="41"/>
      <c r="G8330" s="38" t="n">
        <f aca="false">MONTH(A8330)</f>
        <v>12</v>
      </c>
      <c r="H8330" s="38" t="n">
        <f aca="false">YEAR(Tabela1[[#This Row],[FECHA]])</f>
        <v>1900</v>
      </c>
      <c r="I83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31" customFormat="false" ht="15" hidden="false" customHeight="false" outlineLevel="0" collapsed="false">
      <c r="A8331" s="41"/>
      <c r="G8331" s="38" t="n">
        <f aca="false">MONTH(A8331)</f>
        <v>12</v>
      </c>
      <c r="H8331" s="38" t="n">
        <f aca="false">YEAR(Tabela1[[#This Row],[FECHA]])</f>
        <v>1900</v>
      </c>
      <c r="I83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32" customFormat="false" ht="15" hidden="false" customHeight="false" outlineLevel="0" collapsed="false">
      <c r="A8332" s="41"/>
      <c r="G8332" s="38" t="n">
        <f aca="false">MONTH(A8332)</f>
        <v>12</v>
      </c>
      <c r="H8332" s="38" t="n">
        <f aca="false">YEAR(Tabela1[[#This Row],[FECHA]])</f>
        <v>1900</v>
      </c>
      <c r="I83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33" customFormat="false" ht="15" hidden="false" customHeight="false" outlineLevel="0" collapsed="false">
      <c r="A8333" s="41"/>
      <c r="G8333" s="38" t="n">
        <f aca="false">MONTH(A8333)</f>
        <v>12</v>
      </c>
      <c r="H8333" s="38" t="n">
        <f aca="false">YEAR(Tabela1[[#This Row],[FECHA]])</f>
        <v>1900</v>
      </c>
      <c r="I83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34" customFormat="false" ht="15" hidden="false" customHeight="false" outlineLevel="0" collapsed="false">
      <c r="A8334" s="41"/>
      <c r="G8334" s="38" t="n">
        <f aca="false">MONTH(A8334)</f>
        <v>12</v>
      </c>
      <c r="H8334" s="38" t="n">
        <f aca="false">YEAR(Tabela1[[#This Row],[FECHA]])</f>
        <v>1900</v>
      </c>
      <c r="I83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35" customFormat="false" ht="15" hidden="false" customHeight="false" outlineLevel="0" collapsed="false">
      <c r="A8335" s="41"/>
      <c r="G8335" s="38" t="n">
        <f aca="false">MONTH(A8335)</f>
        <v>12</v>
      </c>
      <c r="H8335" s="38" t="n">
        <f aca="false">YEAR(Tabela1[[#This Row],[FECHA]])</f>
        <v>1900</v>
      </c>
      <c r="I83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36" customFormat="false" ht="15" hidden="false" customHeight="false" outlineLevel="0" collapsed="false">
      <c r="A8336" s="41"/>
      <c r="G8336" s="38" t="n">
        <f aca="false">MONTH(A8336)</f>
        <v>12</v>
      </c>
      <c r="H8336" s="38" t="n">
        <f aca="false">YEAR(Tabela1[[#This Row],[FECHA]])</f>
        <v>1900</v>
      </c>
      <c r="I83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37" customFormat="false" ht="15" hidden="false" customHeight="false" outlineLevel="0" collapsed="false">
      <c r="A8337" s="41"/>
      <c r="G8337" s="38" t="n">
        <f aca="false">MONTH(A8337)</f>
        <v>12</v>
      </c>
      <c r="H8337" s="38" t="n">
        <f aca="false">YEAR(Tabela1[[#This Row],[FECHA]])</f>
        <v>1900</v>
      </c>
      <c r="I83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38" customFormat="false" ht="15" hidden="false" customHeight="false" outlineLevel="0" collapsed="false">
      <c r="A8338" s="41"/>
      <c r="G8338" s="38" t="n">
        <f aca="false">MONTH(A8338)</f>
        <v>12</v>
      </c>
      <c r="H8338" s="38" t="n">
        <f aca="false">YEAR(Tabela1[[#This Row],[FECHA]])</f>
        <v>1900</v>
      </c>
      <c r="I83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39" customFormat="false" ht="15" hidden="false" customHeight="false" outlineLevel="0" collapsed="false">
      <c r="A8339" s="41"/>
      <c r="G8339" s="38" t="n">
        <f aca="false">MONTH(A8339)</f>
        <v>12</v>
      </c>
      <c r="H8339" s="38" t="n">
        <f aca="false">YEAR(Tabela1[[#This Row],[FECHA]])</f>
        <v>1900</v>
      </c>
      <c r="I83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40" customFormat="false" ht="15" hidden="false" customHeight="false" outlineLevel="0" collapsed="false">
      <c r="A8340" s="41"/>
      <c r="G8340" s="38" t="n">
        <f aca="false">MONTH(A8340)</f>
        <v>12</v>
      </c>
      <c r="H8340" s="38" t="n">
        <f aca="false">YEAR(Tabela1[[#This Row],[FECHA]])</f>
        <v>1900</v>
      </c>
      <c r="I83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41" customFormat="false" ht="15" hidden="false" customHeight="false" outlineLevel="0" collapsed="false">
      <c r="A8341" s="41"/>
      <c r="G8341" s="38" t="n">
        <f aca="false">MONTH(A8341)</f>
        <v>12</v>
      </c>
      <c r="H8341" s="38" t="n">
        <f aca="false">YEAR(Tabela1[[#This Row],[FECHA]])</f>
        <v>1900</v>
      </c>
      <c r="I83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42" customFormat="false" ht="15" hidden="false" customHeight="false" outlineLevel="0" collapsed="false">
      <c r="A8342" s="41"/>
      <c r="G8342" s="38" t="n">
        <f aca="false">MONTH(A8342)</f>
        <v>12</v>
      </c>
      <c r="H8342" s="38" t="n">
        <f aca="false">YEAR(Tabela1[[#This Row],[FECHA]])</f>
        <v>1900</v>
      </c>
      <c r="I83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43" customFormat="false" ht="15" hidden="false" customHeight="false" outlineLevel="0" collapsed="false">
      <c r="A8343" s="41"/>
      <c r="G8343" s="38" t="n">
        <f aca="false">MONTH(A8343)</f>
        <v>12</v>
      </c>
      <c r="H8343" s="38" t="n">
        <f aca="false">YEAR(Tabela1[[#This Row],[FECHA]])</f>
        <v>1900</v>
      </c>
      <c r="I83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44" customFormat="false" ht="15" hidden="false" customHeight="false" outlineLevel="0" collapsed="false">
      <c r="A8344" s="41"/>
      <c r="G8344" s="38" t="n">
        <f aca="false">MONTH(A8344)</f>
        <v>12</v>
      </c>
      <c r="H8344" s="38" t="n">
        <f aca="false">YEAR(Tabela1[[#This Row],[FECHA]])</f>
        <v>1900</v>
      </c>
      <c r="I83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45" customFormat="false" ht="15" hidden="false" customHeight="false" outlineLevel="0" collapsed="false">
      <c r="A8345" s="41"/>
      <c r="G8345" s="38" t="n">
        <f aca="false">MONTH(A8345)</f>
        <v>12</v>
      </c>
      <c r="H8345" s="38" t="n">
        <f aca="false">YEAR(Tabela1[[#This Row],[FECHA]])</f>
        <v>1900</v>
      </c>
      <c r="I83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46" customFormat="false" ht="15" hidden="false" customHeight="false" outlineLevel="0" collapsed="false">
      <c r="A8346" s="41"/>
      <c r="G8346" s="38" t="n">
        <f aca="false">MONTH(A8346)</f>
        <v>12</v>
      </c>
      <c r="H8346" s="38" t="n">
        <f aca="false">YEAR(Tabela1[[#This Row],[FECHA]])</f>
        <v>1900</v>
      </c>
      <c r="I83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47" customFormat="false" ht="15" hidden="false" customHeight="false" outlineLevel="0" collapsed="false">
      <c r="A8347" s="41"/>
      <c r="G8347" s="38" t="n">
        <f aca="false">MONTH(A8347)</f>
        <v>12</v>
      </c>
      <c r="H8347" s="38" t="n">
        <f aca="false">YEAR(Tabela1[[#This Row],[FECHA]])</f>
        <v>1900</v>
      </c>
      <c r="I83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48" customFormat="false" ht="15" hidden="false" customHeight="false" outlineLevel="0" collapsed="false">
      <c r="A8348" s="41"/>
      <c r="G8348" s="38" t="n">
        <f aca="false">MONTH(A8348)</f>
        <v>12</v>
      </c>
      <c r="H8348" s="38" t="n">
        <f aca="false">YEAR(Tabela1[[#This Row],[FECHA]])</f>
        <v>1900</v>
      </c>
      <c r="I83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49" customFormat="false" ht="15" hidden="false" customHeight="false" outlineLevel="0" collapsed="false">
      <c r="A8349" s="41"/>
      <c r="G8349" s="38" t="n">
        <f aca="false">MONTH(A8349)</f>
        <v>12</v>
      </c>
      <c r="H8349" s="38" t="n">
        <f aca="false">YEAR(Tabela1[[#This Row],[FECHA]])</f>
        <v>1900</v>
      </c>
      <c r="I83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50" customFormat="false" ht="15" hidden="false" customHeight="false" outlineLevel="0" collapsed="false">
      <c r="A8350" s="41"/>
      <c r="G8350" s="38" t="n">
        <f aca="false">MONTH(A8350)</f>
        <v>12</v>
      </c>
      <c r="H8350" s="38" t="n">
        <f aca="false">YEAR(Tabela1[[#This Row],[FECHA]])</f>
        <v>1900</v>
      </c>
      <c r="I83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51" customFormat="false" ht="15" hidden="false" customHeight="false" outlineLevel="0" collapsed="false">
      <c r="A8351" s="41"/>
      <c r="G8351" s="38" t="n">
        <f aca="false">MONTH(A8351)</f>
        <v>12</v>
      </c>
      <c r="H8351" s="38" t="n">
        <f aca="false">YEAR(Tabela1[[#This Row],[FECHA]])</f>
        <v>1900</v>
      </c>
      <c r="I83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52" customFormat="false" ht="15" hidden="false" customHeight="false" outlineLevel="0" collapsed="false">
      <c r="A8352" s="41"/>
      <c r="G8352" s="38" t="n">
        <f aca="false">MONTH(A8352)</f>
        <v>12</v>
      </c>
      <c r="H8352" s="38" t="n">
        <f aca="false">YEAR(Tabela1[[#This Row],[FECHA]])</f>
        <v>1900</v>
      </c>
      <c r="I83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53" customFormat="false" ht="15" hidden="false" customHeight="false" outlineLevel="0" collapsed="false">
      <c r="A8353" s="41"/>
      <c r="G8353" s="38" t="n">
        <f aca="false">MONTH(A8353)</f>
        <v>12</v>
      </c>
      <c r="H8353" s="38" t="n">
        <f aca="false">YEAR(Tabela1[[#This Row],[FECHA]])</f>
        <v>1900</v>
      </c>
      <c r="I83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54" customFormat="false" ht="15" hidden="false" customHeight="false" outlineLevel="0" collapsed="false">
      <c r="A8354" s="41"/>
      <c r="G8354" s="38" t="n">
        <f aca="false">MONTH(A8354)</f>
        <v>12</v>
      </c>
      <c r="H8354" s="38" t="n">
        <f aca="false">YEAR(Tabela1[[#This Row],[FECHA]])</f>
        <v>1900</v>
      </c>
      <c r="I83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55" customFormat="false" ht="15" hidden="false" customHeight="false" outlineLevel="0" collapsed="false">
      <c r="A8355" s="41"/>
      <c r="G8355" s="38" t="n">
        <f aca="false">MONTH(A8355)</f>
        <v>12</v>
      </c>
      <c r="H8355" s="38" t="n">
        <f aca="false">YEAR(Tabela1[[#This Row],[FECHA]])</f>
        <v>1900</v>
      </c>
      <c r="I83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56" customFormat="false" ht="15" hidden="false" customHeight="false" outlineLevel="0" collapsed="false">
      <c r="A8356" s="41"/>
      <c r="G8356" s="38" t="n">
        <f aca="false">MONTH(A8356)</f>
        <v>12</v>
      </c>
      <c r="H8356" s="38" t="n">
        <f aca="false">YEAR(Tabela1[[#This Row],[FECHA]])</f>
        <v>1900</v>
      </c>
      <c r="I83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57" customFormat="false" ht="15" hidden="false" customHeight="false" outlineLevel="0" collapsed="false">
      <c r="A8357" s="41"/>
      <c r="G8357" s="38" t="n">
        <f aca="false">MONTH(A8357)</f>
        <v>12</v>
      </c>
      <c r="H8357" s="38" t="n">
        <f aca="false">YEAR(Tabela1[[#This Row],[FECHA]])</f>
        <v>1900</v>
      </c>
      <c r="I83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58" customFormat="false" ht="15" hidden="false" customHeight="false" outlineLevel="0" collapsed="false">
      <c r="A8358" s="41"/>
      <c r="G8358" s="38" t="n">
        <f aca="false">MONTH(A8358)</f>
        <v>12</v>
      </c>
      <c r="H8358" s="38" t="n">
        <f aca="false">YEAR(Tabela1[[#This Row],[FECHA]])</f>
        <v>1900</v>
      </c>
      <c r="I83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59" customFormat="false" ht="15" hidden="false" customHeight="false" outlineLevel="0" collapsed="false">
      <c r="A8359" s="41"/>
      <c r="G8359" s="38" t="n">
        <f aca="false">MONTH(A8359)</f>
        <v>12</v>
      </c>
      <c r="H8359" s="38" t="n">
        <f aca="false">YEAR(Tabela1[[#This Row],[FECHA]])</f>
        <v>1900</v>
      </c>
      <c r="I83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60" customFormat="false" ht="15" hidden="false" customHeight="false" outlineLevel="0" collapsed="false">
      <c r="A8360" s="41"/>
      <c r="G8360" s="38" t="n">
        <f aca="false">MONTH(A8360)</f>
        <v>12</v>
      </c>
      <c r="H8360" s="38" t="n">
        <f aca="false">YEAR(Tabela1[[#This Row],[FECHA]])</f>
        <v>1900</v>
      </c>
      <c r="I83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61" customFormat="false" ht="15" hidden="false" customHeight="false" outlineLevel="0" collapsed="false">
      <c r="A8361" s="41"/>
      <c r="G8361" s="38" t="n">
        <f aca="false">MONTH(A8361)</f>
        <v>12</v>
      </c>
      <c r="H8361" s="38" t="n">
        <f aca="false">YEAR(Tabela1[[#This Row],[FECHA]])</f>
        <v>1900</v>
      </c>
      <c r="I83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62" customFormat="false" ht="15" hidden="false" customHeight="false" outlineLevel="0" collapsed="false">
      <c r="A8362" s="41"/>
      <c r="G8362" s="38" t="n">
        <f aca="false">MONTH(A8362)</f>
        <v>12</v>
      </c>
      <c r="H8362" s="38" t="n">
        <f aca="false">YEAR(Tabela1[[#This Row],[FECHA]])</f>
        <v>1900</v>
      </c>
      <c r="I83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63" customFormat="false" ht="15" hidden="false" customHeight="false" outlineLevel="0" collapsed="false">
      <c r="A8363" s="41"/>
      <c r="G8363" s="38" t="n">
        <f aca="false">MONTH(A8363)</f>
        <v>12</v>
      </c>
      <c r="H8363" s="38" t="n">
        <f aca="false">YEAR(Tabela1[[#This Row],[FECHA]])</f>
        <v>1900</v>
      </c>
      <c r="I83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64" customFormat="false" ht="15" hidden="false" customHeight="false" outlineLevel="0" collapsed="false">
      <c r="A8364" s="41"/>
      <c r="G8364" s="38" t="n">
        <f aca="false">MONTH(A8364)</f>
        <v>12</v>
      </c>
      <c r="H8364" s="38" t="n">
        <f aca="false">YEAR(Tabela1[[#This Row],[FECHA]])</f>
        <v>1900</v>
      </c>
      <c r="I83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65" customFormat="false" ht="15" hidden="false" customHeight="false" outlineLevel="0" collapsed="false">
      <c r="A8365" s="41"/>
      <c r="G8365" s="38" t="n">
        <f aca="false">MONTH(A8365)</f>
        <v>12</v>
      </c>
      <c r="H8365" s="38" t="n">
        <f aca="false">YEAR(Tabela1[[#This Row],[FECHA]])</f>
        <v>1900</v>
      </c>
      <c r="I83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66" customFormat="false" ht="15" hidden="false" customHeight="false" outlineLevel="0" collapsed="false">
      <c r="A8366" s="41"/>
      <c r="G8366" s="38" t="n">
        <f aca="false">MONTH(A8366)</f>
        <v>12</v>
      </c>
      <c r="H8366" s="38" t="n">
        <f aca="false">YEAR(Tabela1[[#This Row],[FECHA]])</f>
        <v>1900</v>
      </c>
      <c r="I83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67" customFormat="false" ht="15" hidden="false" customHeight="false" outlineLevel="0" collapsed="false">
      <c r="A8367" s="41"/>
      <c r="G8367" s="38" t="n">
        <f aca="false">MONTH(A8367)</f>
        <v>12</v>
      </c>
      <c r="H8367" s="38" t="n">
        <f aca="false">YEAR(Tabela1[[#This Row],[FECHA]])</f>
        <v>1900</v>
      </c>
      <c r="I83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68" customFormat="false" ht="15" hidden="false" customHeight="false" outlineLevel="0" collapsed="false">
      <c r="A8368" s="41"/>
      <c r="G8368" s="38" t="n">
        <f aca="false">MONTH(A8368)</f>
        <v>12</v>
      </c>
      <c r="H8368" s="38" t="n">
        <f aca="false">YEAR(Tabela1[[#This Row],[FECHA]])</f>
        <v>1900</v>
      </c>
      <c r="I83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69" customFormat="false" ht="15" hidden="false" customHeight="false" outlineLevel="0" collapsed="false">
      <c r="A8369" s="41"/>
      <c r="G8369" s="38" t="n">
        <f aca="false">MONTH(A8369)</f>
        <v>12</v>
      </c>
      <c r="H8369" s="38" t="n">
        <f aca="false">YEAR(Tabela1[[#This Row],[FECHA]])</f>
        <v>1900</v>
      </c>
      <c r="I83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70" customFormat="false" ht="15" hidden="false" customHeight="false" outlineLevel="0" collapsed="false">
      <c r="A8370" s="41"/>
      <c r="G8370" s="38" t="n">
        <f aca="false">MONTH(A8370)</f>
        <v>12</v>
      </c>
      <c r="H8370" s="38" t="n">
        <f aca="false">YEAR(Tabela1[[#This Row],[FECHA]])</f>
        <v>1900</v>
      </c>
      <c r="I83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71" customFormat="false" ht="15" hidden="false" customHeight="false" outlineLevel="0" collapsed="false">
      <c r="A8371" s="41"/>
      <c r="G8371" s="38" t="n">
        <f aca="false">MONTH(A8371)</f>
        <v>12</v>
      </c>
      <c r="H8371" s="38" t="n">
        <f aca="false">YEAR(Tabela1[[#This Row],[FECHA]])</f>
        <v>1900</v>
      </c>
      <c r="I83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72" customFormat="false" ht="15" hidden="false" customHeight="false" outlineLevel="0" collapsed="false">
      <c r="A8372" s="41"/>
      <c r="G8372" s="38" t="n">
        <f aca="false">MONTH(A8372)</f>
        <v>12</v>
      </c>
      <c r="H8372" s="38" t="n">
        <f aca="false">YEAR(Tabela1[[#This Row],[FECHA]])</f>
        <v>1900</v>
      </c>
      <c r="I83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73" customFormat="false" ht="15" hidden="false" customHeight="false" outlineLevel="0" collapsed="false">
      <c r="A8373" s="41"/>
      <c r="G8373" s="38" t="n">
        <f aca="false">MONTH(A8373)</f>
        <v>12</v>
      </c>
      <c r="H8373" s="38" t="n">
        <f aca="false">YEAR(Tabela1[[#This Row],[FECHA]])</f>
        <v>1900</v>
      </c>
      <c r="I83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74" customFormat="false" ht="15" hidden="false" customHeight="false" outlineLevel="0" collapsed="false">
      <c r="A8374" s="41"/>
      <c r="G8374" s="38" t="n">
        <f aca="false">MONTH(A8374)</f>
        <v>12</v>
      </c>
      <c r="H8374" s="38" t="n">
        <f aca="false">YEAR(Tabela1[[#This Row],[FECHA]])</f>
        <v>1900</v>
      </c>
      <c r="I83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75" customFormat="false" ht="15" hidden="false" customHeight="false" outlineLevel="0" collapsed="false">
      <c r="A8375" s="41"/>
      <c r="G8375" s="38" t="n">
        <f aca="false">MONTH(A8375)</f>
        <v>12</v>
      </c>
      <c r="H8375" s="38" t="n">
        <f aca="false">YEAR(Tabela1[[#This Row],[FECHA]])</f>
        <v>1900</v>
      </c>
      <c r="I83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76" customFormat="false" ht="15" hidden="false" customHeight="false" outlineLevel="0" collapsed="false">
      <c r="A8376" s="41"/>
      <c r="G8376" s="38" t="n">
        <f aca="false">MONTH(A8376)</f>
        <v>12</v>
      </c>
      <c r="H8376" s="38" t="n">
        <f aca="false">YEAR(Tabela1[[#This Row],[FECHA]])</f>
        <v>1900</v>
      </c>
      <c r="I83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77" customFormat="false" ht="15" hidden="false" customHeight="false" outlineLevel="0" collapsed="false">
      <c r="A8377" s="41"/>
      <c r="G8377" s="38" t="n">
        <f aca="false">MONTH(A8377)</f>
        <v>12</v>
      </c>
      <c r="H8377" s="38" t="n">
        <f aca="false">YEAR(Tabela1[[#This Row],[FECHA]])</f>
        <v>1900</v>
      </c>
      <c r="I83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78" customFormat="false" ht="15" hidden="false" customHeight="false" outlineLevel="0" collapsed="false">
      <c r="A8378" s="41"/>
      <c r="G8378" s="38" t="n">
        <f aca="false">MONTH(A8378)</f>
        <v>12</v>
      </c>
      <c r="H8378" s="38" t="n">
        <f aca="false">YEAR(Tabela1[[#This Row],[FECHA]])</f>
        <v>1900</v>
      </c>
      <c r="I83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79" customFormat="false" ht="15" hidden="false" customHeight="false" outlineLevel="0" collapsed="false">
      <c r="A8379" s="41"/>
      <c r="G8379" s="38" t="n">
        <f aca="false">MONTH(A8379)</f>
        <v>12</v>
      </c>
      <c r="H8379" s="38" t="n">
        <f aca="false">YEAR(Tabela1[[#This Row],[FECHA]])</f>
        <v>1900</v>
      </c>
      <c r="I83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80" customFormat="false" ht="15" hidden="false" customHeight="false" outlineLevel="0" collapsed="false">
      <c r="A8380" s="41"/>
      <c r="G8380" s="38" t="n">
        <f aca="false">MONTH(A8380)</f>
        <v>12</v>
      </c>
      <c r="H8380" s="38" t="n">
        <f aca="false">YEAR(Tabela1[[#This Row],[FECHA]])</f>
        <v>1900</v>
      </c>
      <c r="I83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81" customFormat="false" ht="15" hidden="false" customHeight="false" outlineLevel="0" collapsed="false">
      <c r="A8381" s="41"/>
      <c r="G8381" s="38" t="n">
        <f aca="false">MONTH(A8381)</f>
        <v>12</v>
      </c>
      <c r="H8381" s="38" t="n">
        <f aca="false">YEAR(Tabela1[[#This Row],[FECHA]])</f>
        <v>1900</v>
      </c>
      <c r="I83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82" customFormat="false" ht="15" hidden="false" customHeight="false" outlineLevel="0" collapsed="false">
      <c r="A8382" s="41"/>
      <c r="G8382" s="38" t="n">
        <f aca="false">MONTH(A8382)</f>
        <v>12</v>
      </c>
      <c r="H8382" s="38" t="n">
        <f aca="false">YEAR(Tabela1[[#This Row],[FECHA]])</f>
        <v>1900</v>
      </c>
      <c r="I83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83" customFormat="false" ht="15" hidden="false" customHeight="false" outlineLevel="0" collapsed="false">
      <c r="A8383" s="41"/>
      <c r="G8383" s="38" t="n">
        <f aca="false">MONTH(A8383)</f>
        <v>12</v>
      </c>
      <c r="H8383" s="38" t="n">
        <f aca="false">YEAR(Tabela1[[#This Row],[FECHA]])</f>
        <v>1900</v>
      </c>
      <c r="I83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84" customFormat="false" ht="15" hidden="false" customHeight="false" outlineLevel="0" collapsed="false">
      <c r="A8384" s="41"/>
      <c r="G8384" s="38" t="n">
        <f aca="false">MONTH(A8384)</f>
        <v>12</v>
      </c>
      <c r="H8384" s="38" t="n">
        <f aca="false">YEAR(Tabela1[[#This Row],[FECHA]])</f>
        <v>1900</v>
      </c>
      <c r="I83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85" customFormat="false" ht="15" hidden="false" customHeight="false" outlineLevel="0" collapsed="false">
      <c r="A8385" s="41"/>
      <c r="G8385" s="38" t="n">
        <f aca="false">MONTH(A8385)</f>
        <v>12</v>
      </c>
      <c r="H8385" s="38" t="n">
        <f aca="false">YEAR(Tabela1[[#This Row],[FECHA]])</f>
        <v>1900</v>
      </c>
      <c r="I83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86" customFormat="false" ht="15" hidden="false" customHeight="false" outlineLevel="0" collapsed="false">
      <c r="A8386" s="41"/>
      <c r="G8386" s="38" t="n">
        <f aca="false">MONTH(A8386)</f>
        <v>12</v>
      </c>
      <c r="H8386" s="38" t="n">
        <f aca="false">YEAR(Tabela1[[#This Row],[FECHA]])</f>
        <v>1900</v>
      </c>
      <c r="I83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87" customFormat="false" ht="15" hidden="false" customHeight="false" outlineLevel="0" collapsed="false">
      <c r="A8387" s="41"/>
      <c r="G8387" s="38" t="n">
        <f aca="false">MONTH(A8387)</f>
        <v>12</v>
      </c>
      <c r="H8387" s="38" t="n">
        <f aca="false">YEAR(Tabela1[[#This Row],[FECHA]])</f>
        <v>1900</v>
      </c>
      <c r="I83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88" customFormat="false" ht="15" hidden="false" customHeight="false" outlineLevel="0" collapsed="false">
      <c r="A8388" s="41"/>
      <c r="G8388" s="38" t="n">
        <f aca="false">MONTH(A8388)</f>
        <v>12</v>
      </c>
      <c r="H8388" s="38" t="n">
        <f aca="false">YEAR(Tabela1[[#This Row],[FECHA]])</f>
        <v>1900</v>
      </c>
      <c r="I83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89" customFormat="false" ht="15" hidden="false" customHeight="false" outlineLevel="0" collapsed="false">
      <c r="A8389" s="41"/>
      <c r="G8389" s="38" t="n">
        <f aca="false">MONTH(A8389)</f>
        <v>12</v>
      </c>
      <c r="H8389" s="38" t="n">
        <f aca="false">YEAR(Tabela1[[#This Row],[FECHA]])</f>
        <v>1900</v>
      </c>
      <c r="I83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90" customFormat="false" ht="15" hidden="false" customHeight="false" outlineLevel="0" collapsed="false">
      <c r="A8390" s="41"/>
      <c r="G8390" s="38" t="n">
        <f aca="false">MONTH(A8390)</f>
        <v>12</v>
      </c>
      <c r="H8390" s="38" t="n">
        <f aca="false">YEAR(Tabela1[[#This Row],[FECHA]])</f>
        <v>1900</v>
      </c>
      <c r="I83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91" customFormat="false" ht="15" hidden="false" customHeight="false" outlineLevel="0" collapsed="false">
      <c r="A8391" s="41"/>
      <c r="G8391" s="38" t="n">
        <f aca="false">MONTH(A8391)</f>
        <v>12</v>
      </c>
      <c r="H8391" s="38" t="n">
        <f aca="false">YEAR(Tabela1[[#This Row],[FECHA]])</f>
        <v>1900</v>
      </c>
      <c r="I83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92" customFormat="false" ht="15" hidden="false" customHeight="false" outlineLevel="0" collapsed="false">
      <c r="A8392" s="41"/>
      <c r="G8392" s="38" t="n">
        <f aca="false">MONTH(A8392)</f>
        <v>12</v>
      </c>
      <c r="H8392" s="38" t="n">
        <f aca="false">YEAR(Tabela1[[#This Row],[FECHA]])</f>
        <v>1900</v>
      </c>
      <c r="I83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93" customFormat="false" ht="15" hidden="false" customHeight="false" outlineLevel="0" collapsed="false">
      <c r="A8393" s="41"/>
      <c r="G8393" s="38" t="n">
        <f aca="false">MONTH(A8393)</f>
        <v>12</v>
      </c>
      <c r="H8393" s="38" t="n">
        <f aca="false">YEAR(Tabela1[[#This Row],[FECHA]])</f>
        <v>1900</v>
      </c>
      <c r="I83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94" customFormat="false" ht="15" hidden="false" customHeight="false" outlineLevel="0" collapsed="false">
      <c r="A8394" s="41"/>
      <c r="G8394" s="38" t="n">
        <f aca="false">MONTH(A8394)</f>
        <v>12</v>
      </c>
      <c r="H8394" s="38" t="n">
        <f aca="false">YEAR(Tabela1[[#This Row],[FECHA]])</f>
        <v>1900</v>
      </c>
      <c r="I83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95" customFormat="false" ht="15" hidden="false" customHeight="false" outlineLevel="0" collapsed="false">
      <c r="A8395" s="41"/>
      <c r="G8395" s="38" t="n">
        <f aca="false">MONTH(A8395)</f>
        <v>12</v>
      </c>
      <c r="H8395" s="38" t="n">
        <f aca="false">YEAR(Tabela1[[#This Row],[FECHA]])</f>
        <v>1900</v>
      </c>
      <c r="I83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96" customFormat="false" ht="15" hidden="false" customHeight="false" outlineLevel="0" collapsed="false">
      <c r="A8396" s="41"/>
      <c r="G8396" s="38" t="n">
        <f aca="false">MONTH(A8396)</f>
        <v>12</v>
      </c>
      <c r="H8396" s="38" t="n">
        <f aca="false">YEAR(Tabela1[[#This Row],[FECHA]])</f>
        <v>1900</v>
      </c>
      <c r="I83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97" customFormat="false" ht="15" hidden="false" customHeight="false" outlineLevel="0" collapsed="false">
      <c r="A8397" s="41"/>
      <c r="G8397" s="38" t="n">
        <f aca="false">MONTH(A8397)</f>
        <v>12</v>
      </c>
      <c r="H8397" s="38" t="n">
        <f aca="false">YEAR(Tabela1[[#This Row],[FECHA]])</f>
        <v>1900</v>
      </c>
      <c r="I83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98" customFormat="false" ht="15" hidden="false" customHeight="false" outlineLevel="0" collapsed="false">
      <c r="A8398" s="41"/>
      <c r="G8398" s="38" t="n">
        <f aca="false">MONTH(A8398)</f>
        <v>12</v>
      </c>
      <c r="H8398" s="38" t="n">
        <f aca="false">YEAR(Tabela1[[#This Row],[FECHA]])</f>
        <v>1900</v>
      </c>
      <c r="I83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399" customFormat="false" ht="15" hidden="false" customHeight="false" outlineLevel="0" collapsed="false">
      <c r="A8399" s="41"/>
      <c r="G8399" s="38" t="n">
        <f aca="false">MONTH(A8399)</f>
        <v>12</v>
      </c>
      <c r="H8399" s="38" t="n">
        <f aca="false">YEAR(Tabela1[[#This Row],[FECHA]])</f>
        <v>1900</v>
      </c>
      <c r="I83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00" customFormat="false" ht="15" hidden="false" customHeight="false" outlineLevel="0" collapsed="false">
      <c r="A8400" s="41"/>
      <c r="G8400" s="38" t="n">
        <f aca="false">MONTH(A8400)</f>
        <v>12</v>
      </c>
      <c r="H8400" s="38" t="n">
        <f aca="false">YEAR(Tabela1[[#This Row],[FECHA]])</f>
        <v>1900</v>
      </c>
      <c r="I84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01" customFormat="false" ht="15" hidden="false" customHeight="false" outlineLevel="0" collapsed="false">
      <c r="A8401" s="41"/>
      <c r="G8401" s="38" t="n">
        <f aca="false">MONTH(A8401)</f>
        <v>12</v>
      </c>
      <c r="H8401" s="38" t="n">
        <f aca="false">YEAR(Tabela1[[#This Row],[FECHA]])</f>
        <v>1900</v>
      </c>
      <c r="I84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02" customFormat="false" ht="15" hidden="false" customHeight="false" outlineLevel="0" collapsed="false">
      <c r="A8402" s="41"/>
      <c r="G8402" s="38" t="n">
        <f aca="false">MONTH(A8402)</f>
        <v>12</v>
      </c>
      <c r="H8402" s="38" t="n">
        <f aca="false">YEAR(Tabela1[[#This Row],[FECHA]])</f>
        <v>1900</v>
      </c>
      <c r="I84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03" customFormat="false" ht="15" hidden="false" customHeight="false" outlineLevel="0" collapsed="false">
      <c r="A8403" s="41"/>
      <c r="G8403" s="38" t="n">
        <f aca="false">MONTH(A8403)</f>
        <v>12</v>
      </c>
      <c r="H8403" s="38" t="n">
        <f aca="false">YEAR(Tabela1[[#This Row],[FECHA]])</f>
        <v>1900</v>
      </c>
      <c r="I84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04" customFormat="false" ht="15" hidden="false" customHeight="false" outlineLevel="0" collapsed="false">
      <c r="A8404" s="41"/>
      <c r="G8404" s="38" t="n">
        <f aca="false">MONTH(A8404)</f>
        <v>12</v>
      </c>
      <c r="H8404" s="38" t="n">
        <f aca="false">YEAR(Tabela1[[#This Row],[FECHA]])</f>
        <v>1900</v>
      </c>
      <c r="I84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05" customFormat="false" ht="15" hidden="false" customHeight="false" outlineLevel="0" collapsed="false">
      <c r="A8405" s="41"/>
      <c r="G8405" s="38" t="n">
        <f aca="false">MONTH(A8405)</f>
        <v>12</v>
      </c>
      <c r="H8405" s="38" t="n">
        <f aca="false">YEAR(Tabela1[[#This Row],[FECHA]])</f>
        <v>1900</v>
      </c>
      <c r="I84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06" customFormat="false" ht="15" hidden="false" customHeight="false" outlineLevel="0" collapsed="false">
      <c r="A8406" s="41"/>
      <c r="G8406" s="38" t="n">
        <f aca="false">MONTH(A8406)</f>
        <v>12</v>
      </c>
      <c r="H8406" s="38" t="n">
        <f aca="false">YEAR(Tabela1[[#This Row],[FECHA]])</f>
        <v>1900</v>
      </c>
      <c r="I84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07" customFormat="false" ht="15" hidden="false" customHeight="false" outlineLevel="0" collapsed="false">
      <c r="A8407" s="41"/>
      <c r="G8407" s="38" t="n">
        <f aca="false">MONTH(A8407)</f>
        <v>12</v>
      </c>
      <c r="H8407" s="38" t="n">
        <f aca="false">YEAR(Tabela1[[#This Row],[FECHA]])</f>
        <v>1900</v>
      </c>
      <c r="I84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08" customFormat="false" ht="15" hidden="false" customHeight="false" outlineLevel="0" collapsed="false">
      <c r="A8408" s="41"/>
      <c r="G8408" s="38" t="n">
        <f aca="false">MONTH(A8408)</f>
        <v>12</v>
      </c>
      <c r="H8408" s="38" t="n">
        <f aca="false">YEAR(Tabela1[[#This Row],[FECHA]])</f>
        <v>1900</v>
      </c>
      <c r="I84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09" customFormat="false" ht="15" hidden="false" customHeight="false" outlineLevel="0" collapsed="false">
      <c r="A8409" s="41"/>
      <c r="G8409" s="38" t="n">
        <f aca="false">MONTH(A8409)</f>
        <v>12</v>
      </c>
      <c r="H8409" s="38" t="n">
        <f aca="false">YEAR(Tabela1[[#This Row],[FECHA]])</f>
        <v>1900</v>
      </c>
      <c r="I84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10" customFormat="false" ht="15" hidden="false" customHeight="false" outlineLevel="0" collapsed="false">
      <c r="A8410" s="41"/>
      <c r="G8410" s="38" t="n">
        <f aca="false">MONTH(A8410)</f>
        <v>12</v>
      </c>
      <c r="H8410" s="38" t="n">
        <f aca="false">YEAR(Tabela1[[#This Row],[FECHA]])</f>
        <v>1900</v>
      </c>
      <c r="I84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11" customFormat="false" ht="15" hidden="false" customHeight="false" outlineLevel="0" collapsed="false">
      <c r="A8411" s="41"/>
      <c r="G8411" s="38" t="n">
        <f aca="false">MONTH(A8411)</f>
        <v>12</v>
      </c>
      <c r="H8411" s="38" t="n">
        <f aca="false">YEAR(Tabela1[[#This Row],[FECHA]])</f>
        <v>1900</v>
      </c>
      <c r="I84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12" customFormat="false" ht="15" hidden="false" customHeight="false" outlineLevel="0" collapsed="false">
      <c r="A8412" s="41"/>
      <c r="G8412" s="38" t="n">
        <f aca="false">MONTH(A8412)</f>
        <v>12</v>
      </c>
      <c r="H8412" s="38" t="n">
        <f aca="false">YEAR(Tabela1[[#This Row],[FECHA]])</f>
        <v>1900</v>
      </c>
      <c r="I84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13" customFormat="false" ht="15" hidden="false" customHeight="false" outlineLevel="0" collapsed="false">
      <c r="A8413" s="41"/>
      <c r="G8413" s="38" t="n">
        <f aca="false">MONTH(A8413)</f>
        <v>12</v>
      </c>
      <c r="H8413" s="38" t="n">
        <f aca="false">YEAR(Tabela1[[#This Row],[FECHA]])</f>
        <v>1900</v>
      </c>
      <c r="I84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14" customFormat="false" ht="15" hidden="false" customHeight="false" outlineLevel="0" collapsed="false">
      <c r="A8414" s="41"/>
      <c r="G8414" s="38" t="n">
        <f aca="false">MONTH(A8414)</f>
        <v>12</v>
      </c>
      <c r="H8414" s="38" t="n">
        <f aca="false">YEAR(Tabela1[[#This Row],[FECHA]])</f>
        <v>1900</v>
      </c>
      <c r="I84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15" customFormat="false" ht="15" hidden="false" customHeight="false" outlineLevel="0" collapsed="false">
      <c r="A8415" s="41"/>
      <c r="G8415" s="38" t="n">
        <f aca="false">MONTH(A8415)</f>
        <v>12</v>
      </c>
      <c r="H8415" s="38" t="n">
        <f aca="false">YEAR(Tabela1[[#This Row],[FECHA]])</f>
        <v>1900</v>
      </c>
      <c r="I84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16" customFormat="false" ht="15" hidden="false" customHeight="false" outlineLevel="0" collapsed="false">
      <c r="A8416" s="41"/>
      <c r="G8416" s="38" t="n">
        <f aca="false">MONTH(A8416)</f>
        <v>12</v>
      </c>
      <c r="H8416" s="38" t="n">
        <f aca="false">YEAR(Tabela1[[#This Row],[FECHA]])</f>
        <v>1900</v>
      </c>
      <c r="I84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17" customFormat="false" ht="15" hidden="false" customHeight="false" outlineLevel="0" collapsed="false">
      <c r="A8417" s="41"/>
      <c r="G8417" s="38" t="n">
        <f aca="false">MONTH(A8417)</f>
        <v>12</v>
      </c>
      <c r="H8417" s="38" t="n">
        <f aca="false">YEAR(Tabela1[[#This Row],[FECHA]])</f>
        <v>1900</v>
      </c>
      <c r="I84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18" customFormat="false" ht="15" hidden="false" customHeight="false" outlineLevel="0" collapsed="false">
      <c r="A8418" s="41"/>
      <c r="G8418" s="38" t="n">
        <f aca="false">MONTH(A8418)</f>
        <v>12</v>
      </c>
      <c r="H8418" s="38" t="n">
        <f aca="false">YEAR(Tabela1[[#This Row],[FECHA]])</f>
        <v>1900</v>
      </c>
      <c r="I84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19" customFormat="false" ht="15" hidden="false" customHeight="false" outlineLevel="0" collapsed="false">
      <c r="A8419" s="41"/>
      <c r="G8419" s="38" t="n">
        <f aca="false">MONTH(A8419)</f>
        <v>12</v>
      </c>
      <c r="H8419" s="38" t="n">
        <f aca="false">YEAR(Tabela1[[#This Row],[FECHA]])</f>
        <v>1900</v>
      </c>
      <c r="I84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20" customFormat="false" ht="15" hidden="false" customHeight="false" outlineLevel="0" collapsed="false">
      <c r="A8420" s="41"/>
      <c r="G8420" s="38" t="n">
        <f aca="false">MONTH(A8420)</f>
        <v>12</v>
      </c>
      <c r="H8420" s="38" t="n">
        <f aca="false">YEAR(Tabela1[[#This Row],[FECHA]])</f>
        <v>1900</v>
      </c>
      <c r="I84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21" customFormat="false" ht="15" hidden="false" customHeight="false" outlineLevel="0" collapsed="false">
      <c r="A8421" s="41"/>
      <c r="G8421" s="38" t="n">
        <f aca="false">MONTH(A8421)</f>
        <v>12</v>
      </c>
      <c r="H8421" s="38" t="n">
        <f aca="false">YEAR(Tabela1[[#This Row],[FECHA]])</f>
        <v>1900</v>
      </c>
      <c r="I84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22" customFormat="false" ht="15" hidden="false" customHeight="false" outlineLevel="0" collapsed="false">
      <c r="A8422" s="41"/>
      <c r="G8422" s="38" t="n">
        <f aca="false">MONTH(A8422)</f>
        <v>12</v>
      </c>
      <c r="H8422" s="38" t="n">
        <f aca="false">YEAR(Tabela1[[#This Row],[FECHA]])</f>
        <v>1900</v>
      </c>
      <c r="I84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23" customFormat="false" ht="15" hidden="false" customHeight="false" outlineLevel="0" collapsed="false">
      <c r="A8423" s="41"/>
      <c r="G8423" s="38" t="n">
        <f aca="false">MONTH(A8423)</f>
        <v>12</v>
      </c>
      <c r="H8423" s="38" t="n">
        <f aca="false">YEAR(Tabela1[[#This Row],[FECHA]])</f>
        <v>1900</v>
      </c>
      <c r="I84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24" customFormat="false" ht="15" hidden="false" customHeight="false" outlineLevel="0" collapsed="false">
      <c r="A8424" s="41"/>
      <c r="G8424" s="38" t="n">
        <f aca="false">MONTH(A8424)</f>
        <v>12</v>
      </c>
      <c r="H8424" s="38" t="n">
        <f aca="false">YEAR(Tabela1[[#This Row],[FECHA]])</f>
        <v>1900</v>
      </c>
      <c r="I84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25" customFormat="false" ht="15" hidden="false" customHeight="false" outlineLevel="0" collapsed="false">
      <c r="A8425" s="41"/>
      <c r="G8425" s="38" t="n">
        <f aca="false">MONTH(A8425)</f>
        <v>12</v>
      </c>
      <c r="H8425" s="38" t="n">
        <f aca="false">YEAR(Tabela1[[#This Row],[FECHA]])</f>
        <v>1900</v>
      </c>
      <c r="I84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26" customFormat="false" ht="15" hidden="false" customHeight="false" outlineLevel="0" collapsed="false">
      <c r="A8426" s="41"/>
      <c r="G8426" s="38" t="n">
        <f aca="false">MONTH(A8426)</f>
        <v>12</v>
      </c>
      <c r="H8426" s="38" t="n">
        <f aca="false">YEAR(Tabela1[[#This Row],[FECHA]])</f>
        <v>1900</v>
      </c>
      <c r="I84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27" customFormat="false" ht="15" hidden="false" customHeight="false" outlineLevel="0" collapsed="false">
      <c r="A8427" s="41"/>
      <c r="G8427" s="38" t="n">
        <f aca="false">MONTH(A8427)</f>
        <v>12</v>
      </c>
      <c r="H8427" s="38" t="n">
        <f aca="false">YEAR(Tabela1[[#This Row],[FECHA]])</f>
        <v>1900</v>
      </c>
      <c r="I84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28" customFormat="false" ht="15" hidden="false" customHeight="false" outlineLevel="0" collapsed="false">
      <c r="A8428" s="41"/>
      <c r="G8428" s="38" t="n">
        <f aca="false">MONTH(A8428)</f>
        <v>12</v>
      </c>
      <c r="H8428" s="38" t="n">
        <f aca="false">YEAR(Tabela1[[#This Row],[FECHA]])</f>
        <v>1900</v>
      </c>
      <c r="I84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29" customFormat="false" ht="15" hidden="false" customHeight="false" outlineLevel="0" collapsed="false">
      <c r="A8429" s="41"/>
      <c r="G8429" s="38" t="n">
        <f aca="false">MONTH(A8429)</f>
        <v>12</v>
      </c>
      <c r="H8429" s="38" t="n">
        <f aca="false">YEAR(Tabela1[[#This Row],[FECHA]])</f>
        <v>1900</v>
      </c>
      <c r="I84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30" customFormat="false" ht="15" hidden="false" customHeight="false" outlineLevel="0" collapsed="false">
      <c r="A8430" s="41"/>
      <c r="G8430" s="38" t="n">
        <f aca="false">MONTH(A8430)</f>
        <v>12</v>
      </c>
      <c r="H8430" s="38" t="n">
        <f aca="false">YEAR(Tabela1[[#This Row],[FECHA]])</f>
        <v>1900</v>
      </c>
      <c r="I84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31" customFormat="false" ht="15" hidden="false" customHeight="false" outlineLevel="0" collapsed="false">
      <c r="A8431" s="41"/>
      <c r="G8431" s="38" t="n">
        <f aca="false">MONTH(A8431)</f>
        <v>12</v>
      </c>
      <c r="H8431" s="38" t="n">
        <f aca="false">YEAR(Tabela1[[#This Row],[FECHA]])</f>
        <v>1900</v>
      </c>
      <c r="I84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32" customFormat="false" ht="15" hidden="false" customHeight="false" outlineLevel="0" collapsed="false">
      <c r="A8432" s="41"/>
      <c r="G8432" s="38" t="n">
        <f aca="false">MONTH(A8432)</f>
        <v>12</v>
      </c>
      <c r="H8432" s="38" t="n">
        <f aca="false">YEAR(Tabela1[[#This Row],[FECHA]])</f>
        <v>1900</v>
      </c>
      <c r="I84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33" customFormat="false" ht="15" hidden="false" customHeight="false" outlineLevel="0" collapsed="false">
      <c r="A8433" s="41"/>
      <c r="G8433" s="38" t="n">
        <f aca="false">MONTH(A8433)</f>
        <v>12</v>
      </c>
      <c r="H8433" s="38" t="n">
        <f aca="false">YEAR(Tabela1[[#This Row],[FECHA]])</f>
        <v>1900</v>
      </c>
      <c r="I84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34" customFormat="false" ht="15" hidden="false" customHeight="false" outlineLevel="0" collapsed="false">
      <c r="A8434" s="41"/>
      <c r="G8434" s="38" t="n">
        <f aca="false">MONTH(A8434)</f>
        <v>12</v>
      </c>
      <c r="H8434" s="38" t="n">
        <f aca="false">YEAR(Tabela1[[#This Row],[FECHA]])</f>
        <v>1900</v>
      </c>
      <c r="I84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35" customFormat="false" ht="15" hidden="false" customHeight="false" outlineLevel="0" collapsed="false">
      <c r="A8435" s="41"/>
      <c r="G8435" s="38" t="n">
        <f aca="false">MONTH(A8435)</f>
        <v>12</v>
      </c>
      <c r="H8435" s="38" t="n">
        <f aca="false">YEAR(Tabela1[[#This Row],[FECHA]])</f>
        <v>1900</v>
      </c>
      <c r="I84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36" customFormat="false" ht="15" hidden="false" customHeight="false" outlineLevel="0" collapsed="false">
      <c r="A8436" s="41"/>
      <c r="G8436" s="38" t="n">
        <f aca="false">MONTH(A8436)</f>
        <v>12</v>
      </c>
      <c r="H8436" s="38" t="n">
        <f aca="false">YEAR(Tabela1[[#This Row],[FECHA]])</f>
        <v>1900</v>
      </c>
      <c r="I84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37" customFormat="false" ht="15" hidden="false" customHeight="false" outlineLevel="0" collapsed="false">
      <c r="A8437" s="41"/>
      <c r="G8437" s="38" t="n">
        <f aca="false">MONTH(A8437)</f>
        <v>12</v>
      </c>
      <c r="H8437" s="38" t="n">
        <f aca="false">YEAR(Tabela1[[#This Row],[FECHA]])</f>
        <v>1900</v>
      </c>
      <c r="I84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38" customFormat="false" ht="15" hidden="false" customHeight="false" outlineLevel="0" collapsed="false">
      <c r="A8438" s="41"/>
      <c r="G8438" s="38" t="n">
        <f aca="false">MONTH(A8438)</f>
        <v>12</v>
      </c>
      <c r="H8438" s="38" t="n">
        <f aca="false">YEAR(Tabela1[[#This Row],[FECHA]])</f>
        <v>1900</v>
      </c>
      <c r="I84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39" customFormat="false" ht="15" hidden="false" customHeight="false" outlineLevel="0" collapsed="false">
      <c r="A8439" s="41"/>
      <c r="G8439" s="38" t="n">
        <f aca="false">MONTH(A8439)</f>
        <v>12</v>
      </c>
      <c r="H8439" s="38" t="n">
        <f aca="false">YEAR(Tabela1[[#This Row],[FECHA]])</f>
        <v>1900</v>
      </c>
      <c r="I84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40" customFormat="false" ht="15" hidden="false" customHeight="false" outlineLevel="0" collapsed="false">
      <c r="A8440" s="41"/>
      <c r="G8440" s="38" t="n">
        <f aca="false">MONTH(A8440)</f>
        <v>12</v>
      </c>
      <c r="H8440" s="38" t="n">
        <f aca="false">YEAR(Tabela1[[#This Row],[FECHA]])</f>
        <v>1900</v>
      </c>
      <c r="I84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41" customFormat="false" ht="15" hidden="false" customHeight="false" outlineLevel="0" collapsed="false">
      <c r="A8441" s="41"/>
      <c r="G8441" s="38" t="n">
        <f aca="false">MONTH(A8441)</f>
        <v>12</v>
      </c>
      <c r="H8441" s="38" t="n">
        <f aca="false">YEAR(Tabela1[[#This Row],[FECHA]])</f>
        <v>1900</v>
      </c>
      <c r="I84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42" customFormat="false" ht="15" hidden="false" customHeight="false" outlineLevel="0" collapsed="false">
      <c r="A8442" s="41"/>
      <c r="G8442" s="38" t="n">
        <f aca="false">MONTH(A8442)</f>
        <v>12</v>
      </c>
      <c r="H8442" s="38" t="n">
        <f aca="false">YEAR(Tabela1[[#This Row],[FECHA]])</f>
        <v>1900</v>
      </c>
      <c r="I84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43" customFormat="false" ht="15" hidden="false" customHeight="false" outlineLevel="0" collapsed="false">
      <c r="A8443" s="41"/>
      <c r="G8443" s="38" t="n">
        <f aca="false">MONTH(A8443)</f>
        <v>12</v>
      </c>
      <c r="H8443" s="38" t="n">
        <f aca="false">YEAR(Tabela1[[#This Row],[FECHA]])</f>
        <v>1900</v>
      </c>
      <c r="I84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44" customFormat="false" ht="15" hidden="false" customHeight="false" outlineLevel="0" collapsed="false">
      <c r="A8444" s="41"/>
      <c r="G8444" s="38" t="n">
        <f aca="false">MONTH(A8444)</f>
        <v>12</v>
      </c>
      <c r="H8444" s="38" t="n">
        <f aca="false">YEAR(Tabela1[[#This Row],[FECHA]])</f>
        <v>1900</v>
      </c>
      <c r="I84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45" customFormat="false" ht="15" hidden="false" customHeight="false" outlineLevel="0" collapsed="false">
      <c r="A8445" s="41"/>
      <c r="G8445" s="38" t="n">
        <f aca="false">MONTH(A8445)</f>
        <v>12</v>
      </c>
      <c r="H8445" s="38" t="n">
        <f aca="false">YEAR(Tabela1[[#This Row],[FECHA]])</f>
        <v>1900</v>
      </c>
      <c r="I84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46" customFormat="false" ht="15" hidden="false" customHeight="false" outlineLevel="0" collapsed="false">
      <c r="A8446" s="41"/>
      <c r="G8446" s="38" t="n">
        <f aca="false">MONTH(A8446)</f>
        <v>12</v>
      </c>
      <c r="H8446" s="38" t="n">
        <f aca="false">YEAR(Tabela1[[#This Row],[FECHA]])</f>
        <v>1900</v>
      </c>
      <c r="I84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47" customFormat="false" ht="15" hidden="false" customHeight="false" outlineLevel="0" collapsed="false">
      <c r="A8447" s="41"/>
      <c r="G8447" s="38" t="n">
        <f aca="false">MONTH(A8447)</f>
        <v>12</v>
      </c>
      <c r="H8447" s="38" t="n">
        <f aca="false">YEAR(Tabela1[[#This Row],[FECHA]])</f>
        <v>1900</v>
      </c>
      <c r="I84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48" customFormat="false" ht="15" hidden="false" customHeight="false" outlineLevel="0" collapsed="false">
      <c r="A8448" s="41"/>
      <c r="G8448" s="38" t="n">
        <f aca="false">MONTH(A8448)</f>
        <v>12</v>
      </c>
      <c r="H8448" s="38" t="n">
        <f aca="false">YEAR(Tabela1[[#This Row],[FECHA]])</f>
        <v>1900</v>
      </c>
      <c r="I84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49" customFormat="false" ht="15" hidden="false" customHeight="false" outlineLevel="0" collapsed="false">
      <c r="A8449" s="41"/>
      <c r="G8449" s="38" t="n">
        <f aca="false">MONTH(A8449)</f>
        <v>12</v>
      </c>
      <c r="H8449" s="38" t="n">
        <f aca="false">YEAR(Tabela1[[#This Row],[FECHA]])</f>
        <v>1900</v>
      </c>
      <c r="I84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50" customFormat="false" ht="15" hidden="false" customHeight="false" outlineLevel="0" collapsed="false">
      <c r="A8450" s="41"/>
      <c r="G8450" s="38" t="n">
        <f aca="false">MONTH(A8450)</f>
        <v>12</v>
      </c>
      <c r="H8450" s="38" t="n">
        <f aca="false">YEAR(Tabela1[[#This Row],[FECHA]])</f>
        <v>1900</v>
      </c>
      <c r="I84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51" customFormat="false" ht="15" hidden="false" customHeight="false" outlineLevel="0" collapsed="false">
      <c r="A8451" s="41"/>
      <c r="G8451" s="38" t="n">
        <f aca="false">MONTH(A8451)</f>
        <v>12</v>
      </c>
      <c r="H8451" s="38" t="n">
        <f aca="false">YEAR(Tabela1[[#This Row],[FECHA]])</f>
        <v>1900</v>
      </c>
      <c r="I84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52" customFormat="false" ht="15" hidden="false" customHeight="false" outlineLevel="0" collapsed="false">
      <c r="A8452" s="41"/>
      <c r="G8452" s="38" t="n">
        <f aca="false">MONTH(A8452)</f>
        <v>12</v>
      </c>
      <c r="H8452" s="38" t="n">
        <f aca="false">YEAR(Tabela1[[#This Row],[FECHA]])</f>
        <v>1900</v>
      </c>
      <c r="I84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53" customFormat="false" ht="15" hidden="false" customHeight="false" outlineLevel="0" collapsed="false">
      <c r="A8453" s="41"/>
      <c r="G8453" s="38" t="n">
        <f aca="false">MONTH(A8453)</f>
        <v>12</v>
      </c>
      <c r="H8453" s="38" t="n">
        <f aca="false">YEAR(Tabela1[[#This Row],[FECHA]])</f>
        <v>1900</v>
      </c>
      <c r="I84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54" customFormat="false" ht="15" hidden="false" customHeight="false" outlineLevel="0" collapsed="false">
      <c r="A8454" s="41"/>
      <c r="G8454" s="38" t="n">
        <f aca="false">MONTH(A8454)</f>
        <v>12</v>
      </c>
      <c r="H8454" s="38" t="n">
        <f aca="false">YEAR(Tabela1[[#This Row],[FECHA]])</f>
        <v>1900</v>
      </c>
      <c r="I84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55" customFormat="false" ht="15" hidden="false" customHeight="false" outlineLevel="0" collapsed="false">
      <c r="A8455" s="41"/>
      <c r="G8455" s="38" t="n">
        <f aca="false">MONTH(A8455)</f>
        <v>12</v>
      </c>
      <c r="H8455" s="38" t="n">
        <f aca="false">YEAR(Tabela1[[#This Row],[FECHA]])</f>
        <v>1900</v>
      </c>
      <c r="I84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56" customFormat="false" ht="15" hidden="false" customHeight="false" outlineLevel="0" collapsed="false">
      <c r="A8456" s="41"/>
      <c r="G8456" s="38" t="n">
        <f aca="false">MONTH(A8456)</f>
        <v>12</v>
      </c>
      <c r="H8456" s="38" t="n">
        <f aca="false">YEAR(Tabela1[[#This Row],[FECHA]])</f>
        <v>1900</v>
      </c>
      <c r="I84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57" customFormat="false" ht="15" hidden="false" customHeight="false" outlineLevel="0" collapsed="false">
      <c r="A8457" s="41"/>
      <c r="G8457" s="38" t="n">
        <f aca="false">MONTH(A8457)</f>
        <v>12</v>
      </c>
      <c r="H8457" s="38" t="n">
        <f aca="false">YEAR(Tabela1[[#This Row],[FECHA]])</f>
        <v>1900</v>
      </c>
      <c r="I84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58" customFormat="false" ht="15" hidden="false" customHeight="false" outlineLevel="0" collapsed="false">
      <c r="A8458" s="41"/>
      <c r="G8458" s="38" t="n">
        <f aca="false">MONTH(A8458)</f>
        <v>12</v>
      </c>
      <c r="H8458" s="38" t="n">
        <f aca="false">YEAR(Tabela1[[#This Row],[FECHA]])</f>
        <v>1900</v>
      </c>
      <c r="I84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59" customFormat="false" ht="15" hidden="false" customHeight="false" outlineLevel="0" collapsed="false">
      <c r="A8459" s="41"/>
      <c r="G8459" s="38" t="n">
        <f aca="false">MONTH(A8459)</f>
        <v>12</v>
      </c>
      <c r="H8459" s="38" t="n">
        <f aca="false">YEAR(Tabela1[[#This Row],[FECHA]])</f>
        <v>1900</v>
      </c>
      <c r="I84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60" customFormat="false" ht="15" hidden="false" customHeight="false" outlineLevel="0" collapsed="false">
      <c r="A8460" s="41"/>
      <c r="G8460" s="38" t="n">
        <f aca="false">MONTH(A8460)</f>
        <v>12</v>
      </c>
      <c r="H8460" s="38" t="n">
        <f aca="false">YEAR(Tabela1[[#This Row],[FECHA]])</f>
        <v>1900</v>
      </c>
      <c r="I84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61" customFormat="false" ht="15" hidden="false" customHeight="false" outlineLevel="0" collapsed="false">
      <c r="A8461" s="41"/>
      <c r="G8461" s="38" t="n">
        <f aca="false">MONTH(A8461)</f>
        <v>12</v>
      </c>
      <c r="H8461" s="38" t="n">
        <f aca="false">YEAR(Tabela1[[#This Row],[FECHA]])</f>
        <v>1900</v>
      </c>
      <c r="I84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62" customFormat="false" ht="15" hidden="false" customHeight="false" outlineLevel="0" collapsed="false">
      <c r="A8462" s="41"/>
      <c r="G8462" s="38" t="n">
        <f aca="false">MONTH(A8462)</f>
        <v>12</v>
      </c>
      <c r="H8462" s="38" t="n">
        <f aca="false">YEAR(Tabela1[[#This Row],[FECHA]])</f>
        <v>1900</v>
      </c>
      <c r="I84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63" customFormat="false" ht="15" hidden="false" customHeight="false" outlineLevel="0" collapsed="false">
      <c r="A8463" s="41"/>
      <c r="G8463" s="38" t="n">
        <f aca="false">MONTH(A8463)</f>
        <v>12</v>
      </c>
      <c r="H8463" s="38" t="n">
        <f aca="false">YEAR(Tabela1[[#This Row],[FECHA]])</f>
        <v>1900</v>
      </c>
      <c r="I84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64" customFormat="false" ht="15" hidden="false" customHeight="false" outlineLevel="0" collapsed="false">
      <c r="A8464" s="41"/>
      <c r="G8464" s="38" t="n">
        <f aca="false">MONTH(A8464)</f>
        <v>12</v>
      </c>
      <c r="H8464" s="38" t="n">
        <f aca="false">YEAR(Tabela1[[#This Row],[FECHA]])</f>
        <v>1900</v>
      </c>
      <c r="I84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65" customFormat="false" ht="15" hidden="false" customHeight="false" outlineLevel="0" collapsed="false">
      <c r="A8465" s="41"/>
      <c r="G8465" s="38" t="n">
        <f aca="false">MONTH(A8465)</f>
        <v>12</v>
      </c>
      <c r="H8465" s="38" t="n">
        <f aca="false">YEAR(Tabela1[[#This Row],[FECHA]])</f>
        <v>1900</v>
      </c>
      <c r="I84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66" customFormat="false" ht="15" hidden="false" customHeight="false" outlineLevel="0" collapsed="false">
      <c r="A8466" s="41"/>
      <c r="G8466" s="38" t="n">
        <f aca="false">MONTH(A8466)</f>
        <v>12</v>
      </c>
      <c r="H8466" s="38" t="n">
        <f aca="false">YEAR(Tabela1[[#This Row],[FECHA]])</f>
        <v>1900</v>
      </c>
      <c r="I84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67" customFormat="false" ht="15" hidden="false" customHeight="false" outlineLevel="0" collapsed="false">
      <c r="A8467" s="41"/>
      <c r="G8467" s="38" t="n">
        <f aca="false">MONTH(A8467)</f>
        <v>12</v>
      </c>
      <c r="H8467" s="38" t="n">
        <f aca="false">YEAR(Tabela1[[#This Row],[FECHA]])</f>
        <v>1900</v>
      </c>
      <c r="I84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68" customFormat="false" ht="15" hidden="false" customHeight="false" outlineLevel="0" collapsed="false">
      <c r="A8468" s="41"/>
      <c r="G8468" s="38" t="n">
        <f aca="false">MONTH(A8468)</f>
        <v>12</v>
      </c>
      <c r="H8468" s="38" t="n">
        <f aca="false">YEAR(Tabela1[[#This Row],[FECHA]])</f>
        <v>1900</v>
      </c>
      <c r="I84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69" customFormat="false" ht="15" hidden="false" customHeight="false" outlineLevel="0" collapsed="false">
      <c r="A8469" s="41"/>
      <c r="G8469" s="38" t="n">
        <f aca="false">MONTH(A8469)</f>
        <v>12</v>
      </c>
      <c r="H8469" s="38" t="n">
        <f aca="false">YEAR(Tabela1[[#This Row],[FECHA]])</f>
        <v>1900</v>
      </c>
      <c r="I84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70" customFormat="false" ht="15" hidden="false" customHeight="false" outlineLevel="0" collapsed="false">
      <c r="A8470" s="41"/>
      <c r="G8470" s="38" t="n">
        <f aca="false">MONTH(A8470)</f>
        <v>12</v>
      </c>
      <c r="H8470" s="38" t="n">
        <f aca="false">YEAR(Tabela1[[#This Row],[FECHA]])</f>
        <v>1900</v>
      </c>
      <c r="I84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71" customFormat="false" ht="15" hidden="false" customHeight="false" outlineLevel="0" collapsed="false">
      <c r="A8471" s="41"/>
      <c r="G8471" s="38" t="n">
        <f aca="false">MONTH(A8471)</f>
        <v>12</v>
      </c>
      <c r="H8471" s="38" t="n">
        <f aca="false">YEAR(Tabela1[[#This Row],[FECHA]])</f>
        <v>1900</v>
      </c>
      <c r="I84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72" customFormat="false" ht="15" hidden="false" customHeight="false" outlineLevel="0" collapsed="false">
      <c r="A8472" s="41"/>
      <c r="G8472" s="38" t="n">
        <f aca="false">MONTH(A8472)</f>
        <v>12</v>
      </c>
      <c r="H8472" s="38" t="n">
        <f aca="false">YEAR(Tabela1[[#This Row],[FECHA]])</f>
        <v>1900</v>
      </c>
      <c r="I84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73" customFormat="false" ht="15" hidden="false" customHeight="false" outlineLevel="0" collapsed="false">
      <c r="A8473" s="41"/>
      <c r="G8473" s="38" t="n">
        <f aca="false">MONTH(A8473)</f>
        <v>12</v>
      </c>
      <c r="H8473" s="38" t="n">
        <f aca="false">YEAR(Tabela1[[#This Row],[FECHA]])</f>
        <v>1900</v>
      </c>
      <c r="I84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74" customFormat="false" ht="15" hidden="false" customHeight="false" outlineLevel="0" collapsed="false">
      <c r="A8474" s="41"/>
      <c r="G8474" s="38" t="n">
        <f aca="false">MONTH(A8474)</f>
        <v>12</v>
      </c>
      <c r="H8474" s="38" t="n">
        <f aca="false">YEAR(Tabela1[[#This Row],[FECHA]])</f>
        <v>1900</v>
      </c>
      <c r="I84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75" customFormat="false" ht="15" hidden="false" customHeight="false" outlineLevel="0" collapsed="false">
      <c r="A8475" s="41"/>
      <c r="G8475" s="38" t="n">
        <f aca="false">MONTH(A8475)</f>
        <v>12</v>
      </c>
      <c r="H8475" s="38" t="n">
        <f aca="false">YEAR(Tabela1[[#This Row],[FECHA]])</f>
        <v>1900</v>
      </c>
      <c r="I84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76" customFormat="false" ht="15" hidden="false" customHeight="false" outlineLevel="0" collapsed="false">
      <c r="A8476" s="41"/>
      <c r="G8476" s="38" t="n">
        <f aca="false">MONTH(A8476)</f>
        <v>12</v>
      </c>
      <c r="H8476" s="38" t="n">
        <f aca="false">YEAR(Tabela1[[#This Row],[FECHA]])</f>
        <v>1900</v>
      </c>
      <c r="I84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77" customFormat="false" ht="15" hidden="false" customHeight="false" outlineLevel="0" collapsed="false">
      <c r="A8477" s="41"/>
      <c r="G8477" s="38" t="n">
        <f aca="false">MONTH(A8477)</f>
        <v>12</v>
      </c>
      <c r="H8477" s="38" t="n">
        <f aca="false">YEAR(Tabela1[[#This Row],[FECHA]])</f>
        <v>1900</v>
      </c>
      <c r="I84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78" customFormat="false" ht="15" hidden="false" customHeight="false" outlineLevel="0" collapsed="false">
      <c r="A8478" s="41"/>
      <c r="G8478" s="38" t="n">
        <f aca="false">MONTH(A8478)</f>
        <v>12</v>
      </c>
      <c r="H8478" s="38" t="n">
        <f aca="false">YEAR(Tabela1[[#This Row],[FECHA]])</f>
        <v>1900</v>
      </c>
      <c r="I84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79" customFormat="false" ht="15" hidden="false" customHeight="false" outlineLevel="0" collapsed="false">
      <c r="A8479" s="41"/>
      <c r="G8479" s="38" t="n">
        <f aca="false">MONTH(A8479)</f>
        <v>12</v>
      </c>
      <c r="H8479" s="38" t="n">
        <f aca="false">YEAR(Tabela1[[#This Row],[FECHA]])</f>
        <v>1900</v>
      </c>
      <c r="I84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80" customFormat="false" ht="15" hidden="false" customHeight="false" outlineLevel="0" collapsed="false">
      <c r="A8480" s="41"/>
      <c r="G8480" s="38" t="n">
        <f aca="false">MONTH(A8480)</f>
        <v>12</v>
      </c>
      <c r="H8480" s="38" t="n">
        <f aca="false">YEAR(Tabela1[[#This Row],[FECHA]])</f>
        <v>1900</v>
      </c>
      <c r="I84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81" customFormat="false" ht="15" hidden="false" customHeight="false" outlineLevel="0" collapsed="false">
      <c r="A8481" s="41"/>
      <c r="G8481" s="38" t="n">
        <f aca="false">MONTH(A8481)</f>
        <v>12</v>
      </c>
      <c r="H8481" s="38" t="n">
        <f aca="false">YEAR(Tabela1[[#This Row],[FECHA]])</f>
        <v>1900</v>
      </c>
      <c r="I84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82" customFormat="false" ht="15" hidden="false" customHeight="false" outlineLevel="0" collapsed="false">
      <c r="A8482" s="41"/>
      <c r="G8482" s="38" t="n">
        <f aca="false">MONTH(A8482)</f>
        <v>12</v>
      </c>
      <c r="H8482" s="38" t="n">
        <f aca="false">YEAR(Tabela1[[#This Row],[FECHA]])</f>
        <v>1900</v>
      </c>
      <c r="I84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83" customFormat="false" ht="15" hidden="false" customHeight="false" outlineLevel="0" collapsed="false">
      <c r="A8483" s="41"/>
      <c r="G8483" s="38" t="n">
        <f aca="false">MONTH(A8483)</f>
        <v>12</v>
      </c>
      <c r="H8483" s="38" t="n">
        <f aca="false">YEAR(Tabela1[[#This Row],[FECHA]])</f>
        <v>1900</v>
      </c>
      <c r="I84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84" customFormat="false" ht="15" hidden="false" customHeight="false" outlineLevel="0" collapsed="false">
      <c r="A8484" s="41"/>
      <c r="G8484" s="38" t="n">
        <f aca="false">MONTH(A8484)</f>
        <v>12</v>
      </c>
      <c r="H8484" s="38" t="n">
        <f aca="false">YEAR(Tabela1[[#This Row],[FECHA]])</f>
        <v>1900</v>
      </c>
      <c r="I84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85" customFormat="false" ht="15" hidden="false" customHeight="false" outlineLevel="0" collapsed="false">
      <c r="A8485" s="41"/>
      <c r="G8485" s="38" t="n">
        <f aca="false">MONTH(A8485)</f>
        <v>12</v>
      </c>
      <c r="H8485" s="38" t="n">
        <f aca="false">YEAR(Tabela1[[#This Row],[FECHA]])</f>
        <v>1900</v>
      </c>
      <c r="I84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86" customFormat="false" ht="15" hidden="false" customHeight="false" outlineLevel="0" collapsed="false">
      <c r="A8486" s="41"/>
      <c r="G8486" s="38" t="n">
        <f aca="false">MONTH(A8486)</f>
        <v>12</v>
      </c>
      <c r="H8486" s="38" t="n">
        <f aca="false">YEAR(Tabela1[[#This Row],[FECHA]])</f>
        <v>1900</v>
      </c>
      <c r="I84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87" customFormat="false" ht="15" hidden="false" customHeight="false" outlineLevel="0" collapsed="false">
      <c r="A8487" s="41"/>
      <c r="G8487" s="38" t="n">
        <f aca="false">MONTH(A8487)</f>
        <v>12</v>
      </c>
      <c r="H8487" s="38" t="n">
        <f aca="false">YEAR(Tabela1[[#This Row],[FECHA]])</f>
        <v>1900</v>
      </c>
      <c r="I84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88" customFormat="false" ht="15" hidden="false" customHeight="false" outlineLevel="0" collapsed="false">
      <c r="A8488" s="41"/>
      <c r="G8488" s="38" t="n">
        <f aca="false">MONTH(A8488)</f>
        <v>12</v>
      </c>
      <c r="H8488" s="38" t="n">
        <f aca="false">YEAR(Tabela1[[#This Row],[FECHA]])</f>
        <v>1900</v>
      </c>
      <c r="I84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89" customFormat="false" ht="15" hidden="false" customHeight="false" outlineLevel="0" collapsed="false">
      <c r="A8489" s="41"/>
      <c r="G8489" s="38" t="n">
        <f aca="false">MONTH(A8489)</f>
        <v>12</v>
      </c>
      <c r="H8489" s="38" t="n">
        <f aca="false">YEAR(Tabela1[[#This Row],[FECHA]])</f>
        <v>1900</v>
      </c>
      <c r="I84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90" customFormat="false" ht="15" hidden="false" customHeight="false" outlineLevel="0" collapsed="false">
      <c r="A8490" s="41"/>
      <c r="G8490" s="38" t="n">
        <f aca="false">MONTH(A8490)</f>
        <v>12</v>
      </c>
      <c r="H8490" s="38" t="n">
        <f aca="false">YEAR(Tabela1[[#This Row],[FECHA]])</f>
        <v>1900</v>
      </c>
      <c r="I84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91" customFormat="false" ht="15" hidden="false" customHeight="false" outlineLevel="0" collapsed="false">
      <c r="A8491" s="41"/>
      <c r="G8491" s="38" t="n">
        <f aca="false">MONTH(A8491)</f>
        <v>12</v>
      </c>
      <c r="H8491" s="38" t="n">
        <f aca="false">YEAR(Tabela1[[#This Row],[FECHA]])</f>
        <v>1900</v>
      </c>
      <c r="I84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92" customFormat="false" ht="15" hidden="false" customHeight="false" outlineLevel="0" collapsed="false">
      <c r="A8492" s="41"/>
      <c r="G8492" s="38" t="n">
        <f aca="false">MONTH(A8492)</f>
        <v>12</v>
      </c>
      <c r="H8492" s="38" t="n">
        <f aca="false">YEAR(Tabela1[[#This Row],[FECHA]])</f>
        <v>1900</v>
      </c>
      <c r="I84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93" customFormat="false" ht="15" hidden="false" customHeight="false" outlineLevel="0" collapsed="false">
      <c r="A8493" s="41"/>
      <c r="G8493" s="38" t="n">
        <f aca="false">MONTH(A8493)</f>
        <v>12</v>
      </c>
      <c r="H8493" s="38" t="n">
        <f aca="false">YEAR(Tabela1[[#This Row],[FECHA]])</f>
        <v>1900</v>
      </c>
      <c r="I84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94" customFormat="false" ht="15" hidden="false" customHeight="false" outlineLevel="0" collapsed="false">
      <c r="A8494" s="41"/>
      <c r="G8494" s="38" t="n">
        <f aca="false">MONTH(A8494)</f>
        <v>12</v>
      </c>
      <c r="H8494" s="38" t="n">
        <f aca="false">YEAR(Tabela1[[#This Row],[FECHA]])</f>
        <v>1900</v>
      </c>
      <c r="I84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95" customFormat="false" ht="15" hidden="false" customHeight="false" outlineLevel="0" collapsed="false">
      <c r="A8495" s="41"/>
      <c r="G8495" s="38" t="n">
        <f aca="false">MONTH(A8495)</f>
        <v>12</v>
      </c>
      <c r="H8495" s="38" t="n">
        <f aca="false">YEAR(Tabela1[[#This Row],[FECHA]])</f>
        <v>1900</v>
      </c>
      <c r="I84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96" customFormat="false" ht="15" hidden="false" customHeight="false" outlineLevel="0" collapsed="false">
      <c r="A8496" s="41"/>
      <c r="G8496" s="38" t="n">
        <f aca="false">MONTH(A8496)</f>
        <v>12</v>
      </c>
      <c r="H8496" s="38" t="n">
        <f aca="false">YEAR(Tabela1[[#This Row],[FECHA]])</f>
        <v>1900</v>
      </c>
      <c r="I84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97" customFormat="false" ht="15" hidden="false" customHeight="false" outlineLevel="0" collapsed="false">
      <c r="A8497" s="41"/>
      <c r="G8497" s="38" t="n">
        <f aca="false">MONTH(A8497)</f>
        <v>12</v>
      </c>
      <c r="H8497" s="38" t="n">
        <f aca="false">YEAR(Tabela1[[#This Row],[FECHA]])</f>
        <v>1900</v>
      </c>
      <c r="I84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98" customFormat="false" ht="15" hidden="false" customHeight="false" outlineLevel="0" collapsed="false">
      <c r="A8498" s="41"/>
      <c r="G8498" s="38" t="n">
        <f aca="false">MONTH(A8498)</f>
        <v>12</v>
      </c>
      <c r="H8498" s="38" t="n">
        <f aca="false">YEAR(Tabela1[[#This Row],[FECHA]])</f>
        <v>1900</v>
      </c>
      <c r="I84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499" customFormat="false" ht="15" hidden="false" customHeight="false" outlineLevel="0" collapsed="false">
      <c r="A8499" s="41"/>
      <c r="G8499" s="38" t="n">
        <f aca="false">MONTH(A8499)</f>
        <v>12</v>
      </c>
      <c r="H8499" s="38" t="n">
        <f aca="false">YEAR(Tabela1[[#This Row],[FECHA]])</f>
        <v>1900</v>
      </c>
      <c r="I84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00" customFormat="false" ht="15" hidden="false" customHeight="false" outlineLevel="0" collapsed="false">
      <c r="A8500" s="41"/>
      <c r="G8500" s="38" t="n">
        <f aca="false">MONTH(A8500)</f>
        <v>12</v>
      </c>
      <c r="H8500" s="38" t="n">
        <f aca="false">YEAR(Tabela1[[#This Row],[FECHA]])</f>
        <v>1900</v>
      </c>
      <c r="I85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01" customFormat="false" ht="15" hidden="false" customHeight="false" outlineLevel="0" collapsed="false">
      <c r="A8501" s="41"/>
      <c r="G8501" s="38" t="n">
        <f aca="false">MONTH(A8501)</f>
        <v>12</v>
      </c>
      <c r="H8501" s="38" t="n">
        <f aca="false">YEAR(Tabela1[[#This Row],[FECHA]])</f>
        <v>1900</v>
      </c>
      <c r="I85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02" customFormat="false" ht="15" hidden="false" customHeight="false" outlineLevel="0" collapsed="false">
      <c r="A8502" s="41"/>
      <c r="G8502" s="38" t="n">
        <f aca="false">MONTH(A8502)</f>
        <v>12</v>
      </c>
      <c r="H8502" s="38" t="n">
        <f aca="false">YEAR(Tabela1[[#This Row],[FECHA]])</f>
        <v>1900</v>
      </c>
      <c r="I85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03" customFormat="false" ht="15" hidden="false" customHeight="false" outlineLevel="0" collapsed="false">
      <c r="A8503" s="41"/>
      <c r="G8503" s="38" t="n">
        <f aca="false">MONTH(A8503)</f>
        <v>12</v>
      </c>
      <c r="H8503" s="38" t="n">
        <f aca="false">YEAR(Tabela1[[#This Row],[FECHA]])</f>
        <v>1900</v>
      </c>
      <c r="I85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04" customFormat="false" ht="15" hidden="false" customHeight="false" outlineLevel="0" collapsed="false">
      <c r="A8504" s="41"/>
      <c r="G8504" s="38" t="n">
        <f aca="false">MONTH(A8504)</f>
        <v>12</v>
      </c>
      <c r="H8504" s="38" t="n">
        <f aca="false">YEAR(Tabela1[[#This Row],[FECHA]])</f>
        <v>1900</v>
      </c>
      <c r="I85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05" customFormat="false" ht="15" hidden="false" customHeight="false" outlineLevel="0" collapsed="false">
      <c r="A8505" s="41"/>
      <c r="G8505" s="38" t="n">
        <f aca="false">MONTH(A8505)</f>
        <v>12</v>
      </c>
      <c r="H8505" s="38" t="n">
        <f aca="false">YEAR(Tabela1[[#This Row],[FECHA]])</f>
        <v>1900</v>
      </c>
      <c r="I85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06" customFormat="false" ht="15" hidden="false" customHeight="false" outlineLevel="0" collapsed="false">
      <c r="A8506" s="41"/>
      <c r="G8506" s="38" t="n">
        <f aca="false">MONTH(A8506)</f>
        <v>12</v>
      </c>
      <c r="H8506" s="38" t="n">
        <f aca="false">YEAR(Tabela1[[#This Row],[FECHA]])</f>
        <v>1900</v>
      </c>
      <c r="I85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07" customFormat="false" ht="15" hidden="false" customHeight="false" outlineLevel="0" collapsed="false">
      <c r="A8507" s="41"/>
      <c r="G8507" s="38" t="n">
        <f aca="false">MONTH(A8507)</f>
        <v>12</v>
      </c>
      <c r="H8507" s="38" t="n">
        <f aca="false">YEAR(Tabela1[[#This Row],[FECHA]])</f>
        <v>1900</v>
      </c>
      <c r="I85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08" customFormat="false" ht="15" hidden="false" customHeight="false" outlineLevel="0" collapsed="false">
      <c r="A8508" s="41"/>
      <c r="G8508" s="38" t="n">
        <f aca="false">MONTH(A8508)</f>
        <v>12</v>
      </c>
      <c r="H8508" s="38" t="n">
        <f aca="false">YEAR(Tabela1[[#This Row],[FECHA]])</f>
        <v>1900</v>
      </c>
      <c r="I85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09" customFormat="false" ht="15" hidden="false" customHeight="false" outlineLevel="0" collapsed="false">
      <c r="A8509" s="41"/>
      <c r="G8509" s="38" t="n">
        <f aca="false">MONTH(A8509)</f>
        <v>12</v>
      </c>
      <c r="H8509" s="38" t="n">
        <f aca="false">YEAR(Tabela1[[#This Row],[FECHA]])</f>
        <v>1900</v>
      </c>
      <c r="I85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10" customFormat="false" ht="15" hidden="false" customHeight="false" outlineLevel="0" collapsed="false">
      <c r="A8510" s="41"/>
      <c r="G8510" s="38" t="n">
        <f aca="false">MONTH(A8510)</f>
        <v>12</v>
      </c>
      <c r="H8510" s="38" t="n">
        <f aca="false">YEAR(Tabela1[[#This Row],[FECHA]])</f>
        <v>1900</v>
      </c>
      <c r="I85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11" customFormat="false" ht="15" hidden="false" customHeight="false" outlineLevel="0" collapsed="false">
      <c r="A8511" s="41"/>
      <c r="G8511" s="38" t="n">
        <f aca="false">MONTH(A8511)</f>
        <v>12</v>
      </c>
      <c r="H8511" s="38" t="n">
        <f aca="false">YEAR(Tabela1[[#This Row],[FECHA]])</f>
        <v>1900</v>
      </c>
      <c r="I85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12" customFormat="false" ht="15" hidden="false" customHeight="false" outlineLevel="0" collapsed="false">
      <c r="A8512" s="41"/>
      <c r="G8512" s="38" t="n">
        <f aca="false">MONTH(A8512)</f>
        <v>12</v>
      </c>
      <c r="H8512" s="38" t="n">
        <f aca="false">YEAR(Tabela1[[#This Row],[FECHA]])</f>
        <v>1900</v>
      </c>
      <c r="I85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13" customFormat="false" ht="15" hidden="false" customHeight="false" outlineLevel="0" collapsed="false">
      <c r="A8513" s="41"/>
      <c r="G8513" s="38" t="n">
        <f aca="false">MONTH(A8513)</f>
        <v>12</v>
      </c>
      <c r="H8513" s="38" t="n">
        <f aca="false">YEAR(Tabela1[[#This Row],[FECHA]])</f>
        <v>1900</v>
      </c>
      <c r="I85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14" customFormat="false" ht="15" hidden="false" customHeight="false" outlineLevel="0" collapsed="false">
      <c r="A8514" s="41"/>
      <c r="G8514" s="38" t="n">
        <f aca="false">MONTH(A8514)</f>
        <v>12</v>
      </c>
      <c r="H8514" s="38" t="n">
        <f aca="false">YEAR(Tabela1[[#This Row],[FECHA]])</f>
        <v>1900</v>
      </c>
      <c r="I85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15" customFormat="false" ht="15" hidden="false" customHeight="false" outlineLevel="0" collapsed="false">
      <c r="A8515" s="41"/>
      <c r="G8515" s="38" t="n">
        <f aca="false">MONTH(A8515)</f>
        <v>12</v>
      </c>
      <c r="H8515" s="38" t="n">
        <f aca="false">YEAR(Tabela1[[#This Row],[FECHA]])</f>
        <v>1900</v>
      </c>
      <c r="I85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16" customFormat="false" ht="15" hidden="false" customHeight="false" outlineLevel="0" collapsed="false">
      <c r="A8516" s="41"/>
      <c r="G8516" s="38" t="n">
        <f aca="false">MONTH(A8516)</f>
        <v>12</v>
      </c>
      <c r="H8516" s="38" t="n">
        <f aca="false">YEAR(Tabela1[[#This Row],[FECHA]])</f>
        <v>1900</v>
      </c>
      <c r="I85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17" customFormat="false" ht="15" hidden="false" customHeight="false" outlineLevel="0" collapsed="false">
      <c r="A8517" s="41"/>
      <c r="G8517" s="38" t="n">
        <f aca="false">MONTH(A8517)</f>
        <v>12</v>
      </c>
      <c r="H8517" s="38" t="n">
        <f aca="false">YEAR(Tabela1[[#This Row],[FECHA]])</f>
        <v>1900</v>
      </c>
      <c r="I85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18" customFormat="false" ht="15" hidden="false" customHeight="false" outlineLevel="0" collapsed="false">
      <c r="A8518" s="41"/>
      <c r="G8518" s="38" t="n">
        <f aca="false">MONTH(A8518)</f>
        <v>12</v>
      </c>
      <c r="H8518" s="38" t="n">
        <f aca="false">YEAR(Tabela1[[#This Row],[FECHA]])</f>
        <v>1900</v>
      </c>
      <c r="I85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19" customFormat="false" ht="15" hidden="false" customHeight="false" outlineLevel="0" collapsed="false">
      <c r="A8519" s="41"/>
      <c r="G8519" s="38" t="n">
        <f aca="false">MONTH(A8519)</f>
        <v>12</v>
      </c>
      <c r="H8519" s="38" t="n">
        <f aca="false">YEAR(Tabela1[[#This Row],[FECHA]])</f>
        <v>1900</v>
      </c>
      <c r="I85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20" customFormat="false" ht="15" hidden="false" customHeight="false" outlineLevel="0" collapsed="false">
      <c r="A8520" s="41"/>
      <c r="G8520" s="38" t="n">
        <f aca="false">MONTH(A8520)</f>
        <v>12</v>
      </c>
      <c r="H8520" s="38" t="n">
        <f aca="false">YEAR(Tabela1[[#This Row],[FECHA]])</f>
        <v>1900</v>
      </c>
      <c r="I85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21" customFormat="false" ht="15" hidden="false" customHeight="false" outlineLevel="0" collapsed="false">
      <c r="A8521" s="41"/>
      <c r="G8521" s="38" t="n">
        <f aca="false">MONTH(A8521)</f>
        <v>12</v>
      </c>
      <c r="H8521" s="38" t="n">
        <f aca="false">YEAR(Tabela1[[#This Row],[FECHA]])</f>
        <v>1900</v>
      </c>
      <c r="I85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22" customFormat="false" ht="15" hidden="false" customHeight="false" outlineLevel="0" collapsed="false">
      <c r="A8522" s="41"/>
      <c r="G8522" s="38" t="n">
        <f aca="false">MONTH(A8522)</f>
        <v>12</v>
      </c>
      <c r="H8522" s="38" t="n">
        <f aca="false">YEAR(Tabela1[[#This Row],[FECHA]])</f>
        <v>1900</v>
      </c>
      <c r="I85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23" customFormat="false" ht="15" hidden="false" customHeight="false" outlineLevel="0" collapsed="false">
      <c r="A8523" s="41"/>
      <c r="G8523" s="38" t="n">
        <f aca="false">MONTH(A8523)</f>
        <v>12</v>
      </c>
      <c r="H8523" s="38" t="n">
        <f aca="false">YEAR(Tabela1[[#This Row],[FECHA]])</f>
        <v>1900</v>
      </c>
      <c r="I85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24" customFormat="false" ht="15" hidden="false" customHeight="false" outlineLevel="0" collapsed="false">
      <c r="A8524" s="41"/>
      <c r="G8524" s="38" t="n">
        <f aca="false">MONTH(A8524)</f>
        <v>12</v>
      </c>
      <c r="H8524" s="38" t="n">
        <f aca="false">YEAR(Tabela1[[#This Row],[FECHA]])</f>
        <v>1900</v>
      </c>
      <c r="I85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25" customFormat="false" ht="15" hidden="false" customHeight="false" outlineLevel="0" collapsed="false">
      <c r="A8525" s="41"/>
      <c r="G8525" s="38" t="n">
        <f aca="false">MONTH(A8525)</f>
        <v>12</v>
      </c>
      <c r="H8525" s="38" t="n">
        <f aca="false">YEAR(Tabela1[[#This Row],[FECHA]])</f>
        <v>1900</v>
      </c>
      <c r="I85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26" customFormat="false" ht="15" hidden="false" customHeight="false" outlineLevel="0" collapsed="false">
      <c r="A8526" s="41"/>
      <c r="G8526" s="38" t="n">
        <f aca="false">MONTH(A8526)</f>
        <v>12</v>
      </c>
      <c r="H8526" s="38" t="n">
        <f aca="false">YEAR(Tabela1[[#This Row],[FECHA]])</f>
        <v>1900</v>
      </c>
      <c r="I85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27" customFormat="false" ht="15" hidden="false" customHeight="false" outlineLevel="0" collapsed="false">
      <c r="A8527" s="41"/>
      <c r="G8527" s="38" t="n">
        <f aca="false">MONTH(A8527)</f>
        <v>12</v>
      </c>
      <c r="H8527" s="38" t="n">
        <f aca="false">YEAR(Tabela1[[#This Row],[FECHA]])</f>
        <v>1900</v>
      </c>
      <c r="I85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28" customFormat="false" ht="15" hidden="false" customHeight="false" outlineLevel="0" collapsed="false">
      <c r="A8528" s="41"/>
      <c r="G8528" s="38" t="n">
        <f aca="false">MONTH(A8528)</f>
        <v>12</v>
      </c>
      <c r="H8528" s="38" t="n">
        <f aca="false">YEAR(Tabela1[[#This Row],[FECHA]])</f>
        <v>1900</v>
      </c>
      <c r="I85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29" customFormat="false" ht="15" hidden="false" customHeight="false" outlineLevel="0" collapsed="false">
      <c r="A8529" s="41"/>
      <c r="G8529" s="38" t="n">
        <f aca="false">MONTH(A8529)</f>
        <v>12</v>
      </c>
      <c r="H8529" s="38" t="n">
        <f aca="false">YEAR(Tabela1[[#This Row],[FECHA]])</f>
        <v>1900</v>
      </c>
      <c r="I85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30" customFormat="false" ht="15" hidden="false" customHeight="false" outlineLevel="0" collapsed="false">
      <c r="A8530" s="41"/>
      <c r="G8530" s="38" t="n">
        <f aca="false">MONTH(A8530)</f>
        <v>12</v>
      </c>
      <c r="H8530" s="38" t="n">
        <f aca="false">YEAR(Tabela1[[#This Row],[FECHA]])</f>
        <v>1900</v>
      </c>
      <c r="I85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31" customFormat="false" ht="15" hidden="false" customHeight="false" outlineLevel="0" collapsed="false">
      <c r="A8531" s="41"/>
      <c r="G8531" s="38" t="n">
        <f aca="false">MONTH(A8531)</f>
        <v>12</v>
      </c>
      <c r="H8531" s="38" t="n">
        <f aca="false">YEAR(Tabela1[[#This Row],[FECHA]])</f>
        <v>1900</v>
      </c>
      <c r="I85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32" customFormat="false" ht="15" hidden="false" customHeight="false" outlineLevel="0" collapsed="false">
      <c r="A8532" s="41"/>
      <c r="G8532" s="38" t="n">
        <f aca="false">MONTH(A8532)</f>
        <v>12</v>
      </c>
      <c r="H8532" s="38" t="n">
        <f aca="false">YEAR(Tabela1[[#This Row],[FECHA]])</f>
        <v>1900</v>
      </c>
      <c r="I85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33" customFormat="false" ht="15" hidden="false" customHeight="false" outlineLevel="0" collapsed="false">
      <c r="A8533" s="41"/>
      <c r="G8533" s="38" t="n">
        <f aca="false">MONTH(A8533)</f>
        <v>12</v>
      </c>
      <c r="H8533" s="38" t="n">
        <f aca="false">YEAR(Tabela1[[#This Row],[FECHA]])</f>
        <v>1900</v>
      </c>
      <c r="I85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34" customFormat="false" ht="15" hidden="false" customHeight="false" outlineLevel="0" collapsed="false">
      <c r="A8534" s="41"/>
      <c r="G8534" s="38" t="n">
        <f aca="false">MONTH(A8534)</f>
        <v>12</v>
      </c>
      <c r="H8534" s="38" t="n">
        <f aca="false">YEAR(Tabela1[[#This Row],[FECHA]])</f>
        <v>1900</v>
      </c>
      <c r="I85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35" customFormat="false" ht="15" hidden="false" customHeight="false" outlineLevel="0" collapsed="false">
      <c r="A8535" s="41"/>
      <c r="G8535" s="38" t="n">
        <f aca="false">MONTH(A8535)</f>
        <v>12</v>
      </c>
      <c r="H8535" s="38" t="n">
        <f aca="false">YEAR(Tabela1[[#This Row],[FECHA]])</f>
        <v>1900</v>
      </c>
      <c r="I85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36" customFormat="false" ht="15" hidden="false" customHeight="false" outlineLevel="0" collapsed="false">
      <c r="A8536" s="41"/>
      <c r="G8536" s="38" t="n">
        <f aca="false">MONTH(A8536)</f>
        <v>12</v>
      </c>
      <c r="H8536" s="38" t="n">
        <f aca="false">YEAR(Tabela1[[#This Row],[FECHA]])</f>
        <v>1900</v>
      </c>
      <c r="I85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37" customFormat="false" ht="15" hidden="false" customHeight="false" outlineLevel="0" collapsed="false">
      <c r="A8537" s="41"/>
      <c r="G8537" s="38" t="n">
        <f aca="false">MONTH(A8537)</f>
        <v>12</v>
      </c>
      <c r="H8537" s="38" t="n">
        <f aca="false">YEAR(Tabela1[[#This Row],[FECHA]])</f>
        <v>1900</v>
      </c>
      <c r="I85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38" customFormat="false" ht="15" hidden="false" customHeight="false" outlineLevel="0" collapsed="false">
      <c r="A8538" s="41"/>
      <c r="G8538" s="38" t="n">
        <f aca="false">MONTH(A8538)</f>
        <v>12</v>
      </c>
      <c r="H8538" s="38" t="n">
        <f aca="false">YEAR(Tabela1[[#This Row],[FECHA]])</f>
        <v>1900</v>
      </c>
      <c r="I85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39" customFormat="false" ht="15" hidden="false" customHeight="false" outlineLevel="0" collapsed="false">
      <c r="A8539" s="41"/>
      <c r="G8539" s="38" t="n">
        <f aca="false">MONTH(A8539)</f>
        <v>12</v>
      </c>
      <c r="H8539" s="38" t="n">
        <f aca="false">YEAR(Tabela1[[#This Row],[FECHA]])</f>
        <v>1900</v>
      </c>
      <c r="I85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40" customFormat="false" ht="15" hidden="false" customHeight="false" outlineLevel="0" collapsed="false">
      <c r="A8540" s="41"/>
      <c r="G8540" s="38" t="n">
        <f aca="false">MONTH(A8540)</f>
        <v>12</v>
      </c>
      <c r="H8540" s="38" t="n">
        <f aca="false">YEAR(Tabela1[[#This Row],[FECHA]])</f>
        <v>1900</v>
      </c>
      <c r="I85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41" customFormat="false" ht="15" hidden="false" customHeight="false" outlineLevel="0" collapsed="false">
      <c r="A8541" s="41"/>
      <c r="G8541" s="38" t="n">
        <f aca="false">MONTH(A8541)</f>
        <v>12</v>
      </c>
      <c r="H8541" s="38" t="n">
        <f aca="false">YEAR(Tabela1[[#This Row],[FECHA]])</f>
        <v>1900</v>
      </c>
      <c r="I85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42" customFormat="false" ht="15" hidden="false" customHeight="false" outlineLevel="0" collapsed="false">
      <c r="A8542" s="41"/>
      <c r="G8542" s="38" t="n">
        <f aca="false">MONTH(A8542)</f>
        <v>12</v>
      </c>
      <c r="H8542" s="38" t="n">
        <f aca="false">YEAR(Tabela1[[#This Row],[FECHA]])</f>
        <v>1900</v>
      </c>
      <c r="I85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43" customFormat="false" ht="15" hidden="false" customHeight="false" outlineLevel="0" collapsed="false">
      <c r="A8543" s="41"/>
      <c r="G8543" s="38" t="n">
        <f aca="false">MONTH(A8543)</f>
        <v>12</v>
      </c>
      <c r="H8543" s="38" t="n">
        <f aca="false">YEAR(Tabela1[[#This Row],[FECHA]])</f>
        <v>1900</v>
      </c>
      <c r="I85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44" customFormat="false" ht="15" hidden="false" customHeight="false" outlineLevel="0" collapsed="false">
      <c r="A8544" s="41"/>
      <c r="G8544" s="38" t="n">
        <f aca="false">MONTH(A8544)</f>
        <v>12</v>
      </c>
      <c r="H8544" s="38" t="n">
        <f aca="false">YEAR(Tabela1[[#This Row],[FECHA]])</f>
        <v>1900</v>
      </c>
      <c r="I85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45" customFormat="false" ht="15" hidden="false" customHeight="false" outlineLevel="0" collapsed="false">
      <c r="A8545" s="41"/>
      <c r="G8545" s="38" t="n">
        <f aca="false">MONTH(A8545)</f>
        <v>12</v>
      </c>
      <c r="H8545" s="38" t="n">
        <f aca="false">YEAR(Tabela1[[#This Row],[FECHA]])</f>
        <v>1900</v>
      </c>
      <c r="I85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46" customFormat="false" ht="15" hidden="false" customHeight="false" outlineLevel="0" collapsed="false">
      <c r="A8546" s="41"/>
      <c r="G8546" s="38" t="n">
        <f aca="false">MONTH(A8546)</f>
        <v>12</v>
      </c>
      <c r="H8546" s="38" t="n">
        <f aca="false">YEAR(Tabela1[[#This Row],[FECHA]])</f>
        <v>1900</v>
      </c>
      <c r="I85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47" customFormat="false" ht="15" hidden="false" customHeight="false" outlineLevel="0" collapsed="false">
      <c r="A8547" s="41"/>
      <c r="G8547" s="38" t="n">
        <f aca="false">MONTH(A8547)</f>
        <v>12</v>
      </c>
      <c r="H8547" s="38" t="n">
        <f aca="false">YEAR(Tabela1[[#This Row],[FECHA]])</f>
        <v>1900</v>
      </c>
      <c r="I85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48" customFormat="false" ht="15" hidden="false" customHeight="false" outlineLevel="0" collapsed="false">
      <c r="A8548" s="41"/>
      <c r="G8548" s="38" t="n">
        <f aca="false">MONTH(A8548)</f>
        <v>12</v>
      </c>
      <c r="H8548" s="38" t="n">
        <f aca="false">YEAR(Tabela1[[#This Row],[FECHA]])</f>
        <v>1900</v>
      </c>
      <c r="I85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49" customFormat="false" ht="15" hidden="false" customHeight="false" outlineLevel="0" collapsed="false">
      <c r="A8549" s="41"/>
      <c r="G8549" s="38" t="n">
        <f aca="false">MONTH(A8549)</f>
        <v>12</v>
      </c>
      <c r="H8549" s="38" t="n">
        <f aca="false">YEAR(Tabela1[[#This Row],[FECHA]])</f>
        <v>1900</v>
      </c>
      <c r="I85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50" customFormat="false" ht="15" hidden="false" customHeight="false" outlineLevel="0" collapsed="false">
      <c r="A8550" s="41"/>
      <c r="G8550" s="38" t="n">
        <f aca="false">MONTH(A8550)</f>
        <v>12</v>
      </c>
      <c r="H8550" s="38" t="n">
        <f aca="false">YEAR(Tabela1[[#This Row],[FECHA]])</f>
        <v>1900</v>
      </c>
      <c r="I85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51" customFormat="false" ht="15" hidden="false" customHeight="false" outlineLevel="0" collapsed="false">
      <c r="A8551" s="41"/>
      <c r="G8551" s="38" t="n">
        <f aca="false">MONTH(A8551)</f>
        <v>12</v>
      </c>
      <c r="H8551" s="38" t="n">
        <f aca="false">YEAR(Tabela1[[#This Row],[FECHA]])</f>
        <v>1900</v>
      </c>
      <c r="I85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52" customFormat="false" ht="15" hidden="false" customHeight="false" outlineLevel="0" collapsed="false">
      <c r="A8552" s="41"/>
      <c r="G8552" s="38" t="n">
        <f aca="false">MONTH(A8552)</f>
        <v>12</v>
      </c>
      <c r="H8552" s="38" t="n">
        <f aca="false">YEAR(Tabela1[[#This Row],[FECHA]])</f>
        <v>1900</v>
      </c>
      <c r="I85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53" customFormat="false" ht="15" hidden="false" customHeight="false" outlineLevel="0" collapsed="false">
      <c r="A8553" s="41"/>
      <c r="G8553" s="38" t="n">
        <f aca="false">MONTH(A8553)</f>
        <v>12</v>
      </c>
      <c r="H8553" s="38" t="n">
        <f aca="false">YEAR(Tabela1[[#This Row],[FECHA]])</f>
        <v>1900</v>
      </c>
      <c r="I85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54" customFormat="false" ht="15" hidden="false" customHeight="false" outlineLevel="0" collapsed="false">
      <c r="A8554" s="41"/>
      <c r="G8554" s="38" t="n">
        <f aca="false">MONTH(A8554)</f>
        <v>12</v>
      </c>
      <c r="H8554" s="38" t="n">
        <f aca="false">YEAR(Tabela1[[#This Row],[FECHA]])</f>
        <v>1900</v>
      </c>
      <c r="I85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55" customFormat="false" ht="15" hidden="false" customHeight="false" outlineLevel="0" collapsed="false">
      <c r="A8555" s="41"/>
      <c r="G8555" s="38" t="n">
        <f aca="false">MONTH(A8555)</f>
        <v>12</v>
      </c>
      <c r="H8555" s="38" t="n">
        <f aca="false">YEAR(Tabela1[[#This Row],[FECHA]])</f>
        <v>1900</v>
      </c>
      <c r="I85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56" customFormat="false" ht="15" hidden="false" customHeight="false" outlineLevel="0" collapsed="false">
      <c r="A8556" s="41"/>
      <c r="G8556" s="38" t="n">
        <f aca="false">MONTH(A8556)</f>
        <v>12</v>
      </c>
      <c r="H8556" s="38" t="n">
        <f aca="false">YEAR(Tabela1[[#This Row],[FECHA]])</f>
        <v>1900</v>
      </c>
      <c r="I85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57" customFormat="false" ht="15" hidden="false" customHeight="false" outlineLevel="0" collapsed="false">
      <c r="A8557" s="41"/>
      <c r="G8557" s="38" t="n">
        <f aca="false">MONTH(A8557)</f>
        <v>12</v>
      </c>
      <c r="H8557" s="38" t="n">
        <f aca="false">YEAR(Tabela1[[#This Row],[FECHA]])</f>
        <v>1900</v>
      </c>
      <c r="I85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58" customFormat="false" ht="15" hidden="false" customHeight="false" outlineLevel="0" collapsed="false">
      <c r="A8558" s="41"/>
      <c r="G8558" s="38" t="n">
        <f aca="false">MONTH(A8558)</f>
        <v>12</v>
      </c>
      <c r="H8558" s="38" t="n">
        <f aca="false">YEAR(Tabela1[[#This Row],[FECHA]])</f>
        <v>1900</v>
      </c>
      <c r="I85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59" customFormat="false" ht="15" hidden="false" customHeight="false" outlineLevel="0" collapsed="false">
      <c r="A8559" s="41"/>
      <c r="G8559" s="38" t="n">
        <f aca="false">MONTH(A8559)</f>
        <v>12</v>
      </c>
      <c r="H8559" s="38" t="n">
        <f aca="false">YEAR(Tabela1[[#This Row],[FECHA]])</f>
        <v>1900</v>
      </c>
      <c r="I85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60" customFormat="false" ht="15" hidden="false" customHeight="false" outlineLevel="0" collapsed="false">
      <c r="A8560" s="41"/>
      <c r="G8560" s="38" t="n">
        <f aca="false">MONTH(A8560)</f>
        <v>12</v>
      </c>
      <c r="H8560" s="38" t="n">
        <f aca="false">YEAR(Tabela1[[#This Row],[FECHA]])</f>
        <v>1900</v>
      </c>
      <c r="I85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61" customFormat="false" ht="15" hidden="false" customHeight="false" outlineLevel="0" collapsed="false">
      <c r="A8561" s="41"/>
      <c r="G8561" s="38" t="n">
        <f aca="false">MONTH(A8561)</f>
        <v>12</v>
      </c>
      <c r="H8561" s="38" t="n">
        <f aca="false">YEAR(Tabela1[[#This Row],[FECHA]])</f>
        <v>1900</v>
      </c>
      <c r="I85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62" customFormat="false" ht="15" hidden="false" customHeight="false" outlineLevel="0" collapsed="false">
      <c r="A8562" s="41"/>
      <c r="G8562" s="38" t="n">
        <f aca="false">MONTH(A8562)</f>
        <v>12</v>
      </c>
      <c r="H8562" s="38" t="n">
        <f aca="false">YEAR(Tabela1[[#This Row],[FECHA]])</f>
        <v>1900</v>
      </c>
      <c r="I85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63" customFormat="false" ht="15" hidden="false" customHeight="false" outlineLevel="0" collapsed="false">
      <c r="A8563" s="41"/>
      <c r="G8563" s="38" t="n">
        <f aca="false">MONTH(A8563)</f>
        <v>12</v>
      </c>
      <c r="H8563" s="38" t="n">
        <f aca="false">YEAR(Tabela1[[#This Row],[FECHA]])</f>
        <v>1900</v>
      </c>
      <c r="I85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64" customFormat="false" ht="15" hidden="false" customHeight="false" outlineLevel="0" collapsed="false">
      <c r="A8564" s="41"/>
      <c r="G8564" s="38" t="n">
        <f aca="false">MONTH(A8564)</f>
        <v>12</v>
      </c>
      <c r="H8564" s="38" t="n">
        <f aca="false">YEAR(Tabela1[[#This Row],[FECHA]])</f>
        <v>1900</v>
      </c>
      <c r="I85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65" customFormat="false" ht="15" hidden="false" customHeight="false" outlineLevel="0" collapsed="false">
      <c r="A8565" s="41"/>
      <c r="G8565" s="38" t="n">
        <f aca="false">MONTH(A8565)</f>
        <v>12</v>
      </c>
      <c r="H8565" s="38" t="n">
        <f aca="false">YEAR(Tabela1[[#This Row],[FECHA]])</f>
        <v>1900</v>
      </c>
      <c r="I85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66" customFormat="false" ht="15" hidden="false" customHeight="false" outlineLevel="0" collapsed="false">
      <c r="A8566" s="41"/>
      <c r="G8566" s="38" t="n">
        <f aca="false">MONTH(A8566)</f>
        <v>12</v>
      </c>
      <c r="H8566" s="38" t="n">
        <f aca="false">YEAR(Tabela1[[#This Row],[FECHA]])</f>
        <v>1900</v>
      </c>
      <c r="I85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67" customFormat="false" ht="15" hidden="false" customHeight="false" outlineLevel="0" collapsed="false">
      <c r="A8567" s="41"/>
      <c r="G8567" s="38" t="n">
        <f aca="false">MONTH(A8567)</f>
        <v>12</v>
      </c>
      <c r="H8567" s="38" t="n">
        <f aca="false">YEAR(Tabela1[[#This Row],[FECHA]])</f>
        <v>1900</v>
      </c>
      <c r="I85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68" customFormat="false" ht="15" hidden="false" customHeight="false" outlineLevel="0" collapsed="false">
      <c r="A8568" s="41"/>
      <c r="G8568" s="38" t="n">
        <f aca="false">MONTH(A8568)</f>
        <v>12</v>
      </c>
      <c r="H8568" s="38" t="n">
        <f aca="false">YEAR(Tabela1[[#This Row],[FECHA]])</f>
        <v>1900</v>
      </c>
      <c r="I85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69" customFormat="false" ht="15" hidden="false" customHeight="false" outlineLevel="0" collapsed="false">
      <c r="A8569" s="41"/>
      <c r="G8569" s="38" t="n">
        <f aca="false">MONTH(A8569)</f>
        <v>12</v>
      </c>
      <c r="H8569" s="38" t="n">
        <f aca="false">YEAR(Tabela1[[#This Row],[FECHA]])</f>
        <v>1900</v>
      </c>
      <c r="I85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70" customFormat="false" ht="15" hidden="false" customHeight="false" outlineLevel="0" collapsed="false">
      <c r="A8570" s="41"/>
      <c r="G8570" s="38" t="n">
        <f aca="false">MONTH(A8570)</f>
        <v>12</v>
      </c>
      <c r="H8570" s="38" t="n">
        <f aca="false">YEAR(Tabela1[[#This Row],[FECHA]])</f>
        <v>1900</v>
      </c>
      <c r="I85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71" customFormat="false" ht="15" hidden="false" customHeight="false" outlineLevel="0" collapsed="false">
      <c r="A8571" s="41"/>
      <c r="G8571" s="38" t="n">
        <f aca="false">MONTH(A8571)</f>
        <v>12</v>
      </c>
      <c r="H8571" s="38" t="n">
        <f aca="false">YEAR(Tabela1[[#This Row],[FECHA]])</f>
        <v>1900</v>
      </c>
      <c r="I85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72" customFormat="false" ht="15" hidden="false" customHeight="false" outlineLevel="0" collapsed="false">
      <c r="A8572" s="41"/>
      <c r="G8572" s="38" t="n">
        <f aca="false">MONTH(A8572)</f>
        <v>12</v>
      </c>
      <c r="H8572" s="38" t="n">
        <f aca="false">YEAR(Tabela1[[#This Row],[FECHA]])</f>
        <v>1900</v>
      </c>
      <c r="I85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73" customFormat="false" ht="15" hidden="false" customHeight="false" outlineLevel="0" collapsed="false">
      <c r="A8573" s="41"/>
      <c r="G8573" s="38" t="n">
        <f aca="false">MONTH(A8573)</f>
        <v>12</v>
      </c>
      <c r="H8573" s="38" t="n">
        <f aca="false">YEAR(Tabela1[[#This Row],[FECHA]])</f>
        <v>1900</v>
      </c>
      <c r="I85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74" customFormat="false" ht="15" hidden="false" customHeight="false" outlineLevel="0" collapsed="false">
      <c r="A8574" s="41"/>
      <c r="G8574" s="38" t="n">
        <f aca="false">MONTH(A8574)</f>
        <v>12</v>
      </c>
      <c r="H8574" s="38" t="n">
        <f aca="false">YEAR(Tabela1[[#This Row],[FECHA]])</f>
        <v>1900</v>
      </c>
      <c r="I85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75" customFormat="false" ht="15" hidden="false" customHeight="false" outlineLevel="0" collapsed="false">
      <c r="A8575" s="41"/>
      <c r="G8575" s="38" t="n">
        <f aca="false">MONTH(A8575)</f>
        <v>12</v>
      </c>
      <c r="H8575" s="38" t="n">
        <f aca="false">YEAR(Tabela1[[#This Row],[FECHA]])</f>
        <v>1900</v>
      </c>
      <c r="I85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76" customFormat="false" ht="15" hidden="false" customHeight="false" outlineLevel="0" collapsed="false">
      <c r="A8576" s="41"/>
      <c r="G8576" s="38" t="n">
        <f aca="false">MONTH(A8576)</f>
        <v>12</v>
      </c>
      <c r="H8576" s="38" t="n">
        <f aca="false">YEAR(Tabela1[[#This Row],[FECHA]])</f>
        <v>1900</v>
      </c>
      <c r="I85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77" customFormat="false" ht="15" hidden="false" customHeight="false" outlineLevel="0" collapsed="false">
      <c r="A8577" s="41"/>
      <c r="G8577" s="38" t="n">
        <f aca="false">MONTH(A8577)</f>
        <v>12</v>
      </c>
      <c r="H8577" s="38" t="n">
        <f aca="false">YEAR(Tabela1[[#This Row],[FECHA]])</f>
        <v>1900</v>
      </c>
      <c r="I85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78" customFormat="false" ht="15" hidden="false" customHeight="false" outlineLevel="0" collapsed="false">
      <c r="A8578" s="41"/>
      <c r="G8578" s="38" t="n">
        <f aca="false">MONTH(A8578)</f>
        <v>12</v>
      </c>
      <c r="H8578" s="38" t="n">
        <f aca="false">YEAR(Tabela1[[#This Row],[FECHA]])</f>
        <v>1900</v>
      </c>
      <c r="I85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79" customFormat="false" ht="15" hidden="false" customHeight="false" outlineLevel="0" collapsed="false">
      <c r="A8579" s="41"/>
      <c r="G8579" s="38" t="n">
        <f aca="false">MONTH(A8579)</f>
        <v>12</v>
      </c>
      <c r="H8579" s="38" t="n">
        <f aca="false">YEAR(Tabela1[[#This Row],[FECHA]])</f>
        <v>1900</v>
      </c>
      <c r="I85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80" customFormat="false" ht="15" hidden="false" customHeight="false" outlineLevel="0" collapsed="false">
      <c r="A8580" s="41"/>
      <c r="G8580" s="38" t="n">
        <f aca="false">MONTH(A8580)</f>
        <v>12</v>
      </c>
      <c r="H8580" s="38" t="n">
        <f aca="false">YEAR(Tabela1[[#This Row],[FECHA]])</f>
        <v>1900</v>
      </c>
      <c r="I85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81" customFormat="false" ht="15" hidden="false" customHeight="false" outlineLevel="0" collapsed="false">
      <c r="A8581" s="41"/>
      <c r="G8581" s="38" t="n">
        <f aca="false">MONTH(A8581)</f>
        <v>12</v>
      </c>
      <c r="H8581" s="38" t="n">
        <f aca="false">YEAR(Tabela1[[#This Row],[FECHA]])</f>
        <v>1900</v>
      </c>
      <c r="I85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82" customFormat="false" ht="15" hidden="false" customHeight="false" outlineLevel="0" collapsed="false">
      <c r="A8582" s="41"/>
      <c r="G8582" s="38" t="n">
        <f aca="false">MONTH(A8582)</f>
        <v>12</v>
      </c>
      <c r="H8582" s="38" t="n">
        <f aca="false">YEAR(Tabela1[[#This Row],[FECHA]])</f>
        <v>1900</v>
      </c>
      <c r="I85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83" customFormat="false" ht="15" hidden="false" customHeight="false" outlineLevel="0" collapsed="false">
      <c r="A8583" s="41"/>
      <c r="G8583" s="38" t="n">
        <f aca="false">MONTH(A8583)</f>
        <v>12</v>
      </c>
      <c r="H8583" s="38" t="n">
        <f aca="false">YEAR(Tabela1[[#This Row],[FECHA]])</f>
        <v>1900</v>
      </c>
      <c r="I85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84" customFormat="false" ht="15" hidden="false" customHeight="false" outlineLevel="0" collapsed="false">
      <c r="A8584" s="41"/>
      <c r="G8584" s="38" t="n">
        <f aca="false">MONTH(A8584)</f>
        <v>12</v>
      </c>
      <c r="H8584" s="38" t="n">
        <f aca="false">YEAR(Tabela1[[#This Row],[FECHA]])</f>
        <v>1900</v>
      </c>
      <c r="I85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85" customFormat="false" ht="15" hidden="false" customHeight="false" outlineLevel="0" collapsed="false">
      <c r="A8585" s="41"/>
      <c r="G8585" s="38" t="n">
        <f aca="false">MONTH(A8585)</f>
        <v>12</v>
      </c>
      <c r="H8585" s="38" t="n">
        <f aca="false">YEAR(Tabela1[[#This Row],[FECHA]])</f>
        <v>1900</v>
      </c>
      <c r="I85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86" customFormat="false" ht="15" hidden="false" customHeight="false" outlineLevel="0" collapsed="false">
      <c r="A8586" s="41"/>
      <c r="G8586" s="38" t="n">
        <f aca="false">MONTH(A8586)</f>
        <v>12</v>
      </c>
      <c r="H8586" s="38" t="n">
        <f aca="false">YEAR(Tabela1[[#This Row],[FECHA]])</f>
        <v>1900</v>
      </c>
      <c r="I85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87" customFormat="false" ht="15" hidden="false" customHeight="false" outlineLevel="0" collapsed="false">
      <c r="A8587" s="41"/>
      <c r="G8587" s="38" t="n">
        <f aca="false">MONTH(A8587)</f>
        <v>12</v>
      </c>
      <c r="H8587" s="38" t="n">
        <f aca="false">YEAR(Tabela1[[#This Row],[FECHA]])</f>
        <v>1900</v>
      </c>
      <c r="I85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88" customFormat="false" ht="15" hidden="false" customHeight="false" outlineLevel="0" collapsed="false">
      <c r="A8588" s="41"/>
      <c r="G8588" s="38" t="n">
        <f aca="false">MONTH(A8588)</f>
        <v>12</v>
      </c>
      <c r="H8588" s="38" t="n">
        <f aca="false">YEAR(Tabela1[[#This Row],[FECHA]])</f>
        <v>1900</v>
      </c>
      <c r="I85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89" customFormat="false" ht="15" hidden="false" customHeight="false" outlineLevel="0" collapsed="false">
      <c r="A8589" s="41"/>
      <c r="G8589" s="38" t="n">
        <f aca="false">MONTH(A8589)</f>
        <v>12</v>
      </c>
      <c r="H8589" s="38" t="n">
        <f aca="false">YEAR(Tabela1[[#This Row],[FECHA]])</f>
        <v>1900</v>
      </c>
      <c r="I85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90" customFormat="false" ht="15" hidden="false" customHeight="false" outlineLevel="0" collapsed="false">
      <c r="A8590" s="41"/>
      <c r="G8590" s="38" t="n">
        <f aca="false">MONTH(A8590)</f>
        <v>12</v>
      </c>
      <c r="H8590" s="38" t="n">
        <f aca="false">YEAR(Tabela1[[#This Row],[FECHA]])</f>
        <v>1900</v>
      </c>
      <c r="I85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91" customFormat="false" ht="15" hidden="false" customHeight="false" outlineLevel="0" collapsed="false">
      <c r="A8591" s="41"/>
      <c r="G8591" s="38" t="n">
        <f aca="false">MONTH(A8591)</f>
        <v>12</v>
      </c>
      <c r="H8591" s="38" t="n">
        <f aca="false">YEAR(Tabela1[[#This Row],[FECHA]])</f>
        <v>1900</v>
      </c>
      <c r="I85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92" customFormat="false" ht="15" hidden="false" customHeight="false" outlineLevel="0" collapsed="false">
      <c r="A8592" s="41"/>
      <c r="G8592" s="38" t="n">
        <f aca="false">MONTH(A8592)</f>
        <v>12</v>
      </c>
      <c r="H8592" s="38" t="n">
        <f aca="false">YEAR(Tabela1[[#This Row],[FECHA]])</f>
        <v>1900</v>
      </c>
      <c r="I85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93" customFormat="false" ht="15" hidden="false" customHeight="false" outlineLevel="0" collapsed="false">
      <c r="A8593" s="41"/>
      <c r="G8593" s="38" t="n">
        <f aca="false">MONTH(A8593)</f>
        <v>12</v>
      </c>
      <c r="H8593" s="38" t="n">
        <f aca="false">YEAR(Tabela1[[#This Row],[FECHA]])</f>
        <v>1900</v>
      </c>
      <c r="I85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94" customFormat="false" ht="15" hidden="false" customHeight="false" outlineLevel="0" collapsed="false">
      <c r="A8594" s="41"/>
      <c r="G8594" s="38" t="n">
        <f aca="false">MONTH(A8594)</f>
        <v>12</v>
      </c>
      <c r="H8594" s="38" t="n">
        <f aca="false">YEAR(Tabela1[[#This Row],[FECHA]])</f>
        <v>1900</v>
      </c>
      <c r="I85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95" customFormat="false" ht="15" hidden="false" customHeight="false" outlineLevel="0" collapsed="false">
      <c r="A8595" s="41"/>
      <c r="G8595" s="38" t="n">
        <f aca="false">MONTH(A8595)</f>
        <v>12</v>
      </c>
      <c r="H8595" s="38" t="n">
        <f aca="false">YEAR(Tabela1[[#This Row],[FECHA]])</f>
        <v>1900</v>
      </c>
      <c r="I85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96" customFormat="false" ht="15" hidden="false" customHeight="false" outlineLevel="0" collapsed="false">
      <c r="A8596" s="41"/>
      <c r="G8596" s="38" t="n">
        <f aca="false">MONTH(A8596)</f>
        <v>12</v>
      </c>
      <c r="H8596" s="38" t="n">
        <f aca="false">YEAR(Tabela1[[#This Row],[FECHA]])</f>
        <v>1900</v>
      </c>
      <c r="I85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97" customFormat="false" ht="15" hidden="false" customHeight="false" outlineLevel="0" collapsed="false">
      <c r="A8597" s="41"/>
      <c r="G8597" s="38" t="n">
        <f aca="false">MONTH(A8597)</f>
        <v>12</v>
      </c>
      <c r="H8597" s="38" t="n">
        <f aca="false">YEAR(Tabela1[[#This Row],[FECHA]])</f>
        <v>1900</v>
      </c>
      <c r="I85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98" customFormat="false" ht="15" hidden="false" customHeight="false" outlineLevel="0" collapsed="false">
      <c r="A8598" s="41"/>
      <c r="G8598" s="38" t="n">
        <f aca="false">MONTH(A8598)</f>
        <v>12</v>
      </c>
      <c r="H8598" s="38" t="n">
        <f aca="false">YEAR(Tabela1[[#This Row],[FECHA]])</f>
        <v>1900</v>
      </c>
      <c r="I85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599" customFormat="false" ht="15" hidden="false" customHeight="false" outlineLevel="0" collapsed="false">
      <c r="A8599" s="41"/>
      <c r="G8599" s="38" t="n">
        <f aca="false">MONTH(A8599)</f>
        <v>12</v>
      </c>
      <c r="H8599" s="38" t="n">
        <f aca="false">YEAR(Tabela1[[#This Row],[FECHA]])</f>
        <v>1900</v>
      </c>
      <c r="I85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00" customFormat="false" ht="15" hidden="false" customHeight="false" outlineLevel="0" collapsed="false">
      <c r="A8600" s="41"/>
      <c r="G8600" s="38" t="n">
        <f aca="false">MONTH(A8600)</f>
        <v>12</v>
      </c>
      <c r="H8600" s="38" t="n">
        <f aca="false">YEAR(Tabela1[[#This Row],[FECHA]])</f>
        <v>1900</v>
      </c>
      <c r="I86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01" customFormat="false" ht="15" hidden="false" customHeight="false" outlineLevel="0" collapsed="false">
      <c r="A8601" s="41"/>
      <c r="G8601" s="38" t="n">
        <f aca="false">MONTH(A8601)</f>
        <v>12</v>
      </c>
      <c r="H8601" s="38" t="n">
        <f aca="false">YEAR(Tabela1[[#This Row],[FECHA]])</f>
        <v>1900</v>
      </c>
      <c r="I86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02" customFormat="false" ht="15" hidden="false" customHeight="false" outlineLevel="0" collapsed="false">
      <c r="A8602" s="41"/>
      <c r="G8602" s="38" t="n">
        <f aca="false">MONTH(A8602)</f>
        <v>12</v>
      </c>
      <c r="H8602" s="38" t="n">
        <f aca="false">YEAR(Tabela1[[#This Row],[FECHA]])</f>
        <v>1900</v>
      </c>
      <c r="I86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03" customFormat="false" ht="15" hidden="false" customHeight="false" outlineLevel="0" collapsed="false">
      <c r="A8603" s="41"/>
      <c r="G8603" s="38" t="n">
        <f aca="false">MONTH(A8603)</f>
        <v>12</v>
      </c>
      <c r="H8603" s="38" t="n">
        <f aca="false">YEAR(Tabela1[[#This Row],[FECHA]])</f>
        <v>1900</v>
      </c>
      <c r="I86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04" customFormat="false" ht="15" hidden="false" customHeight="false" outlineLevel="0" collapsed="false">
      <c r="A8604" s="41"/>
      <c r="G8604" s="38" t="n">
        <f aca="false">MONTH(A8604)</f>
        <v>12</v>
      </c>
      <c r="H8604" s="38" t="n">
        <f aca="false">YEAR(Tabela1[[#This Row],[FECHA]])</f>
        <v>1900</v>
      </c>
      <c r="I86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05" customFormat="false" ht="15" hidden="false" customHeight="false" outlineLevel="0" collapsed="false">
      <c r="A8605" s="41"/>
      <c r="G8605" s="38" t="n">
        <f aca="false">MONTH(A8605)</f>
        <v>12</v>
      </c>
      <c r="H8605" s="38" t="n">
        <f aca="false">YEAR(Tabela1[[#This Row],[FECHA]])</f>
        <v>1900</v>
      </c>
      <c r="I86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06" customFormat="false" ht="15" hidden="false" customHeight="false" outlineLevel="0" collapsed="false">
      <c r="A8606" s="41"/>
      <c r="G8606" s="38" t="n">
        <f aca="false">MONTH(A8606)</f>
        <v>12</v>
      </c>
      <c r="H8606" s="38" t="n">
        <f aca="false">YEAR(Tabela1[[#This Row],[FECHA]])</f>
        <v>1900</v>
      </c>
      <c r="I86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07" customFormat="false" ht="15" hidden="false" customHeight="false" outlineLevel="0" collapsed="false">
      <c r="A8607" s="41"/>
      <c r="G8607" s="38" t="n">
        <f aca="false">MONTH(A8607)</f>
        <v>12</v>
      </c>
      <c r="H8607" s="38" t="n">
        <f aca="false">YEAR(Tabela1[[#This Row],[FECHA]])</f>
        <v>1900</v>
      </c>
      <c r="I86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08" customFormat="false" ht="15" hidden="false" customHeight="false" outlineLevel="0" collapsed="false">
      <c r="A8608" s="41"/>
      <c r="G8608" s="38" t="n">
        <f aca="false">MONTH(A8608)</f>
        <v>12</v>
      </c>
      <c r="H8608" s="38" t="n">
        <f aca="false">YEAR(Tabela1[[#This Row],[FECHA]])</f>
        <v>1900</v>
      </c>
      <c r="I86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09" customFormat="false" ht="15" hidden="false" customHeight="false" outlineLevel="0" collapsed="false">
      <c r="A8609" s="41"/>
      <c r="G8609" s="38" t="n">
        <f aca="false">MONTH(A8609)</f>
        <v>12</v>
      </c>
      <c r="H8609" s="38" t="n">
        <f aca="false">YEAR(Tabela1[[#This Row],[FECHA]])</f>
        <v>1900</v>
      </c>
      <c r="I86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10" customFormat="false" ht="15" hidden="false" customHeight="false" outlineLevel="0" collapsed="false">
      <c r="A8610" s="41"/>
      <c r="G8610" s="38" t="n">
        <f aca="false">MONTH(A8610)</f>
        <v>12</v>
      </c>
      <c r="H8610" s="38" t="n">
        <f aca="false">YEAR(Tabela1[[#This Row],[FECHA]])</f>
        <v>1900</v>
      </c>
      <c r="I86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11" customFormat="false" ht="15" hidden="false" customHeight="false" outlineLevel="0" collapsed="false">
      <c r="A8611" s="41"/>
      <c r="G8611" s="38" t="n">
        <f aca="false">MONTH(A8611)</f>
        <v>12</v>
      </c>
      <c r="H8611" s="38" t="n">
        <f aca="false">YEAR(Tabela1[[#This Row],[FECHA]])</f>
        <v>1900</v>
      </c>
      <c r="I86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12" customFormat="false" ht="15" hidden="false" customHeight="false" outlineLevel="0" collapsed="false">
      <c r="A8612" s="41"/>
      <c r="G8612" s="38" t="n">
        <f aca="false">MONTH(A8612)</f>
        <v>12</v>
      </c>
      <c r="H8612" s="38" t="n">
        <f aca="false">YEAR(Tabela1[[#This Row],[FECHA]])</f>
        <v>1900</v>
      </c>
      <c r="I86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13" customFormat="false" ht="15" hidden="false" customHeight="false" outlineLevel="0" collapsed="false">
      <c r="A8613" s="41"/>
      <c r="G8613" s="38" t="n">
        <f aca="false">MONTH(A8613)</f>
        <v>12</v>
      </c>
      <c r="H8613" s="38" t="n">
        <f aca="false">YEAR(Tabela1[[#This Row],[FECHA]])</f>
        <v>1900</v>
      </c>
      <c r="I86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14" customFormat="false" ht="15" hidden="false" customHeight="false" outlineLevel="0" collapsed="false">
      <c r="A8614" s="41"/>
      <c r="G8614" s="38" t="n">
        <f aca="false">MONTH(A8614)</f>
        <v>12</v>
      </c>
      <c r="H8614" s="38" t="n">
        <f aca="false">YEAR(Tabela1[[#This Row],[FECHA]])</f>
        <v>1900</v>
      </c>
      <c r="I86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15" customFormat="false" ht="15" hidden="false" customHeight="false" outlineLevel="0" collapsed="false">
      <c r="A8615" s="41"/>
      <c r="G8615" s="38" t="n">
        <f aca="false">MONTH(A8615)</f>
        <v>12</v>
      </c>
      <c r="H8615" s="38" t="n">
        <f aca="false">YEAR(Tabela1[[#This Row],[FECHA]])</f>
        <v>1900</v>
      </c>
      <c r="I86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16" customFormat="false" ht="15" hidden="false" customHeight="false" outlineLevel="0" collapsed="false">
      <c r="A8616" s="41"/>
      <c r="G8616" s="38" t="n">
        <f aca="false">MONTH(A8616)</f>
        <v>12</v>
      </c>
      <c r="H8616" s="38" t="n">
        <f aca="false">YEAR(Tabela1[[#This Row],[FECHA]])</f>
        <v>1900</v>
      </c>
      <c r="I86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17" customFormat="false" ht="15" hidden="false" customHeight="false" outlineLevel="0" collapsed="false">
      <c r="A8617" s="41"/>
      <c r="G8617" s="38" t="n">
        <f aca="false">MONTH(A8617)</f>
        <v>12</v>
      </c>
      <c r="H8617" s="38" t="n">
        <f aca="false">YEAR(Tabela1[[#This Row],[FECHA]])</f>
        <v>1900</v>
      </c>
      <c r="I86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18" customFormat="false" ht="15" hidden="false" customHeight="false" outlineLevel="0" collapsed="false">
      <c r="A8618" s="41"/>
      <c r="G8618" s="38" t="n">
        <f aca="false">MONTH(A8618)</f>
        <v>12</v>
      </c>
      <c r="H8618" s="38" t="n">
        <f aca="false">YEAR(Tabela1[[#This Row],[FECHA]])</f>
        <v>1900</v>
      </c>
      <c r="I86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19" customFormat="false" ht="15" hidden="false" customHeight="false" outlineLevel="0" collapsed="false">
      <c r="A8619" s="41"/>
      <c r="G8619" s="38" t="n">
        <f aca="false">MONTH(A8619)</f>
        <v>12</v>
      </c>
      <c r="H8619" s="38" t="n">
        <f aca="false">YEAR(Tabela1[[#This Row],[FECHA]])</f>
        <v>1900</v>
      </c>
      <c r="I86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20" customFormat="false" ht="15" hidden="false" customHeight="false" outlineLevel="0" collapsed="false">
      <c r="A8620" s="41"/>
      <c r="G8620" s="38" t="n">
        <f aca="false">MONTH(A8620)</f>
        <v>12</v>
      </c>
      <c r="H8620" s="38" t="n">
        <f aca="false">YEAR(Tabela1[[#This Row],[FECHA]])</f>
        <v>1900</v>
      </c>
      <c r="I86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21" customFormat="false" ht="15" hidden="false" customHeight="false" outlineLevel="0" collapsed="false">
      <c r="A8621" s="41"/>
      <c r="G8621" s="38" t="n">
        <f aca="false">MONTH(A8621)</f>
        <v>12</v>
      </c>
      <c r="H8621" s="38" t="n">
        <f aca="false">YEAR(Tabela1[[#This Row],[FECHA]])</f>
        <v>1900</v>
      </c>
      <c r="I86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22" customFormat="false" ht="15" hidden="false" customHeight="false" outlineLevel="0" collapsed="false">
      <c r="A8622" s="41"/>
      <c r="G8622" s="38" t="n">
        <f aca="false">MONTH(A8622)</f>
        <v>12</v>
      </c>
      <c r="H8622" s="38" t="n">
        <f aca="false">YEAR(Tabela1[[#This Row],[FECHA]])</f>
        <v>1900</v>
      </c>
      <c r="I86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23" customFormat="false" ht="15" hidden="false" customHeight="false" outlineLevel="0" collapsed="false">
      <c r="A8623" s="41"/>
      <c r="G8623" s="38" t="n">
        <f aca="false">MONTH(A8623)</f>
        <v>12</v>
      </c>
      <c r="H8623" s="38" t="n">
        <f aca="false">YEAR(Tabela1[[#This Row],[FECHA]])</f>
        <v>1900</v>
      </c>
      <c r="I86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24" customFormat="false" ht="15" hidden="false" customHeight="false" outlineLevel="0" collapsed="false">
      <c r="A8624" s="41"/>
      <c r="G8624" s="38" t="n">
        <f aca="false">MONTH(A8624)</f>
        <v>12</v>
      </c>
      <c r="H8624" s="38" t="n">
        <f aca="false">YEAR(Tabela1[[#This Row],[FECHA]])</f>
        <v>1900</v>
      </c>
      <c r="I86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25" customFormat="false" ht="15" hidden="false" customHeight="false" outlineLevel="0" collapsed="false">
      <c r="A8625" s="41"/>
      <c r="G8625" s="38" t="n">
        <f aca="false">MONTH(A8625)</f>
        <v>12</v>
      </c>
      <c r="H8625" s="38" t="n">
        <f aca="false">YEAR(Tabela1[[#This Row],[FECHA]])</f>
        <v>1900</v>
      </c>
      <c r="I86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26" customFormat="false" ht="15" hidden="false" customHeight="false" outlineLevel="0" collapsed="false">
      <c r="A8626" s="41"/>
      <c r="G8626" s="38" t="n">
        <f aca="false">MONTH(A8626)</f>
        <v>12</v>
      </c>
      <c r="H8626" s="38" t="n">
        <f aca="false">YEAR(Tabela1[[#This Row],[FECHA]])</f>
        <v>1900</v>
      </c>
      <c r="I86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27" customFormat="false" ht="15" hidden="false" customHeight="false" outlineLevel="0" collapsed="false">
      <c r="A8627" s="41"/>
      <c r="G8627" s="38" t="n">
        <f aca="false">MONTH(A8627)</f>
        <v>12</v>
      </c>
      <c r="H8627" s="38" t="n">
        <f aca="false">YEAR(Tabela1[[#This Row],[FECHA]])</f>
        <v>1900</v>
      </c>
      <c r="I86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28" customFormat="false" ht="15" hidden="false" customHeight="false" outlineLevel="0" collapsed="false">
      <c r="A8628" s="41"/>
      <c r="G8628" s="38" t="n">
        <f aca="false">MONTH(A8628)</f>
        <v>12</v>
      </c>
      <c r="H8628" s="38" t="n">
        <f aca="false">YEAR(Tabela1[[#This Row],[FECHA]])</f>
        <v>1900</v>
      </c>
      <c r="I86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29" customFormat="false" ht="15" hidden="false" customHeight="false" outlineLevel="0" collapsed="false">
      <c r="A8629" s="41"/>
      <c r="G8629" s="38" t="n">
        <f aca="false">MONTH(A8629)</f>
        <v>12</v>
      </c>
      <c r="H8629" s="38" t="n">
        <f aca="false">YEAR(Tabela1[[#This Row],[FECHA]])</f>
        <v>1900</v>
      </c>
      <c r="I86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30" customFormat="false" ht="15" hidden="false" customHeight="false" outlineLevel="0" collapsed="false">
      <c r="A8630" s="41"/>
      <c r="G8630" s="38" t="n">
        <f aca="false">MONTH(A8630)</f>
        <v>12</v>
      </c>
      <c r="H8630" s="38" t="n">
        <f aca="false">YEAR(Tabela1[[#This Row],[FECHA]])</f>
        <v>1900</v>
      </c>
      <c r="I86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31" customFormat="false" ht="15" hidden="false" customHeight="false" outlineLevel="0" collapsed="false">
      <c r="A8631" s="41"/>
      <c r="G8631" s="38" t="n">
        <f aca="false">MONTH(A8631)</f>
        <v>12</v>
      </c>
      <c r="H8631" s="38" t="n">
        <f aca="false">YEAR(Tabela1[[#This Row],[FECHA]])</f>
        <v>1900</v>
      </c>
      <c r="I86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32" customFormat="false" ht="15" hidden="false" customHeight="false" outlineLevel="0" collapsed="false">
      <c r="A8632" s="41"/>
      <c r="G8632" s="38" t="n">
        <f aca="false">MONTH(A8632)</f>
        <v>12</v>
      </c>
      <c r="H8632" s="38" t="n">
        <f aca="false">YEAR(Tabela1[[#This Row],[FECHA]])</f>
        <v>1900</v>
      </c>
      <c r="I86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33" customFormat="false" ht="15" hidden="false" customHeight="false" outlineLevel="0" collapsed="false">
      <c r="A8633" s="41"/>
      <c r="G8633" s="38" t="n">
        <f aca="false">MONTH(A8633)</f>
        <v>12</v>
      </c>
      <c r="H8633" s="38" t="n">
        <f aca="false">YEAR(Tabela1[[#This Row],[FECHA]])</f>
        <v>1900</v>
      </c>
      <c r="I86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34" customFormat="false" ht="15" hidden="false" customHeight="false" outlineLevel="0" collapsed="false">
      <c r="A8634" s="41"/>
      <c r="G8634" s="38" t="n">
        <f aca="false">MONTH(A8634)</f>
        <v>12</v>
      </c>
      <c r="H8634" s="38" t="n">
        <f aca="false">YEAR(Tabela1[[#This Row],[FECHA]])</f>
        <v>1900</v>
      </c>
      <c r="I86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35" customFormat="false" ht="15" hidden="false" customHeight="false" outlineLevel="0" collapsed="false">
      <c r="A8635" s="41"/>
      <c r="G8635" s="38" t="n">
        <f aca="false">MONTH(A8635)</f>
        <v>12</v>
      </c>
      <c r="H8635" s="38" t="n">
        <f aca="false">YEAR(Tabela1[[#This Row],[FECHA]])</f>
        <v>1900</v>
      </c>
      <c r="I86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36" customFormat="false" ht="15" hidden="false" customHeight="false" outlineLevel="0" collapsed="false">
      <c r="A8636" s="41"/>
      <c r="G8636" s="38" t="n">
        <f aca="false">MONTH(A8636)</f>
        <v>12</v>
      </c>
      <c r="H8636" s="38" t="n">
        <f aca="false">YEAR(Tabela1[[#This Row],[FECHA]])</f>
        <v>1900</v>
      </c>
      <c r="I86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37" customFormat="false" ht="15" hidden="false" customHeight="false" outlineLevel="0" collapsed="false">
      <c r="A8637" s="41"/>
      <c r="G8637" s="38" t="n">
        <f aca="false">MONTH(A8637)</f>
        <v>12</v>
      </c>
      <c r="H8637" s="38" t="n">
        <f aca="false">YEAR(Tabela1[[#This Row],[FECHA]])</f>
        <v>1900</v>
      </c>
      <c r="I86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38" customFormat="false" ht="15" hidden="false" customHeight="false" outlineLevel="0" collapsed="false">
      <c r="A8638" s="41"/>
      <c r="G8638" s="38" t="n">
        <f aca="false">MONTH(A8638)</f>
        <v>12</v>
      </c>
      <c r="H8638" s="38" t="n">
        <f aca="false">YEAR(Tabela1[[#This Row],[FECHA]])</f>
        <v>1900</v>
      </c>
      <c r="I86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39" customFormat="false" ht="15" hidden="false" customHeight="false" outlineLevel="0" collapsed="false">
      <c r="A8639" s="41"/>
      <c r="G8639" s="38" t="n">
        <f aca="false">MONTH(A8639)</f>
        <v>12</v>
      </c>
      <c r="H8639" s="38" t="n">
        <f aca="false">YEAR(Tabela1[[#This Row],[FECHA]])</f>
        <v>1900</v>
      </c>
      <c r="I86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40" customFormat="false" ht="15" hidden="false" customHeight="false" outlineLevel="0" collapsed="false">
      <c r="A8640" s="41"/>
      <c r="G8640" s="38" t="n">
        <f aca="false">MONTH(A8640)</f>
        <v>12</v>
      </c>
      <c r="H8640" s="38" t="n">
        <f aca="false">YEAR(Tabela1[[#This Row],[FECHA]])</f>
        <v>1900</v>
      </c>
      <c r="I86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41" customFormat="false" ht="15" hidden="false" customHeight="false" outlineLevel="0" collapsed="false">
      <c r="A8641" s="41"/>
      <c r="G8641" s="38" t="n">
        <f aca="false">MONTH(A8641)</f>
        <v>12</v>
      </c>
      <c r="H8641" s="38" t="n">
        <f aca="false">YEAR(Tabela1[[#This Row],[FECHA]])</f>
        <v>1900</v>
      </c>
      <c r="I86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42" customFormat="false" ht="15" hidden="false" customHeight="false" outlineLevel="0" collapsed="false">
      <c r="A8642" s="41"/>
      <c r="G8642" s="38" t="n">
        <f aca="false">MONTH(A8642)</f>
        <v>12</v>
      </c>
      <c r="H8642" s="38" t="n">
        <f aca="false">YEAR(Tabela1[[#This Row],[FECHA]])</f>
        <v>1900</v>
      </c>
      <c r="I86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43" customFormat="false" ht="15" hidden="false" customHeight="false" outlineLevel="0" collapsed="false">
      <c r="A8643" s="41"/>
      <c r="G8643" s="38" t="n">
        <f aca="false">MONTH(A8643)</f>
        <v>12</v>
      </c>
      <c r="H8643" s="38" t="n">
        <f aca="false">YEAR(Tabela1[[#This Row],[FECHA]])</f>
        <v>1900</v>
      </c>
      <c r="I86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44" customFormat="false" ht="15" hidden="false" customHeight="false" outlineLevel="0" collapsed="false">
      <c r="A8644" s="41"/>
      <c r="G8644" s="38" t="n">
        <f aca="false">MONTH(A8644)</f>
        <v>12</v>
      </c>
      <c r="H8644" s="38" t="n">
        <f aca="false">YEAR(Tabela1[[#This Row],[FECHA]])</f>
        <v>1900</v>
      </c>
      <c r="I86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45" customFormat="false" ht="15" hidden="false" customHeight="false" outlineLevel="0" collapsed="false">
      <c r="A8645" s="41"/>
      <c r="G8645" s="38" t="n">
        <f aca="false">MONTH(A8645)</f>
        <v>12</v>
      </c>
      <c r="H8645" s="38" t="n">
        <f aca="false">YEAR(Tabela1[[#This Row],[FECHA]])</f>
        <v>1900</v>
      </c>
      <c r="I86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46" customFormat="false" ht="15" hidden="false" customHeight="false" outlineLevel="0" collapsed="false">
      <c r="A8646" s="41"/>
      <c r="G8646" s="38" t="n">
        <f aca="false">MONTH(A8646)</f>
        <v>12</v>
      </c>
      <c r="H8646" s="38" t="n">
        <f aca="false">YEAR(Tabela1[[#This Row],[FECHA]])</f>
        <v>1900</v>
      </c>
      <c r="I86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47" customFormat="false" ht="15" hidden="false" customHeight="false" outlineLevel="0" collapsed="false">
      <c r="A8647" s="41"/>
      <c r="G8647" s="38" t="n">
        <f aca="false">MONTH(A8647)</f>
        <v>12</v>
      </c>
      <c r="H8647" s="38" t="n">
        <f aca="false">YEAR(Tabela1[[#This Row],[FECHA]])</f>
        <v>1900</v>
      </c>
      <c r="I86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48" customFormat="false" ht="15" hidden="false" customHeight="false" outlineLevel="0" collapsed="false">
      <c r="A8648" s="41"/>
      <c r="G8648" s="38" t="n">
        <f aca="false">MONTH(A8648)</f>
        <v>12</v>
      </c>
      <c r="H8648" s="38" t="n">
        <f aca="false">YEAR(Tabela1[[#This Row],[FECHA]])</f>
        <v>1900</v>
      </c>
      <c r="I86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49" customFormat="false" ht="15" hidden="false" customHeight="false" outlineLevel="0" collapsed="false">
      <c r="A8649" s="41"/>
      <c r="G8649" s="38" t="n">
        <f aca="false">MONTH(A8649)</f>
        <v>12</v>
      </c>
      <c r="H8649" s="38" t="n">
        <f aca="false">YEAR(Tabela1[[#This Row],[FECHA]])</f>
        <v>1900</v>
      </c>
      <c r="I86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50" customFormat="false" ht="15" hidden="false" customHeight="false" outlineLevel="0" collapsed="false">
      <c r="A8650" s="41"/>
      <c r="G8650" s="38" t="n">
        <f aca="false">MONTH(A8650)</f>
        <v>12</v>
      </c>
      <c r="H8650" s="38" t="n">
        <f aca="false">YEAR(Tabela1[[#This Row],[FECHA]])</f>
        <v>1900</v>
      </c>
      <c r="I86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51" customFormat="false" ht="15" hidden="false" customHeight="false" outlineLevel="0" collapsed="false">
      <c r="A8651" s="41"/>
      <c r="G8651" s="38" t="n">
        <f aca="false">MONTH(A8651)</f>
        <v>12</v>
      </c>
      <c r="H8651" s="38" t="n">
        <f aca="false">YEAR(Tabela1[[#This Row],[FECHA]])</f>
        <v>1900</v>
      </c>
      <c r="I86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52" customFormat="false" ht="15" hidden="false" customHeight="false" outlineLevel="0" collapsed="false">
      <c r="A8652" s="41"/>
      <c r="G8652" s="38" t="n">
        <f aca="false">MONTH(A8652)</f>
        <v>12</v>
      </c>
      <c r="H8652" s="38" t="n">
        <f aca="false">YEAR(Tabela1[[#This Row],[FECHA]])</f>
        <v>1900</v>
      </c>
      <c r="I86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53" customFormat="false" ht="15" hidden="false" customHeight="false" outlineLevel="0" collapsed="false">
      <c r="A8653" s="41"/>
      <c r="G8653" s="38" t="n">
        <f aca="false">MONTH(A8653)</f>
        <v>12</v>
      </c>
      <c r="H8653" s="38" t="n">
        <f aca="false">YEAR(Tabela1[[#This Row],[FECHA]])</f>
        <v>1900</v>
      </c>
      <c r="I86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54" customFormat="false" ht="15" hidden="false" customHeight="false" outlineLevel="0" collapsed="false">
      <c r="A8654" s="41"/>
      <c r="G8654" s="38" t="n">
        <f aca="false">MONTH(A8654)</f>
        <v>12</v>
      </c>
      <c r="H8654" s="38" t="n">
        <f aca="false">YEAR(Tabela1[[#This Row],[FECHA]])</f>
        <v>1900</v>
      </c>
      <c r="I86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55" customFormat="false" ht="15" hidden="false" customHeight="false" outlineLevel="0" collapsed="false">
      <c r="A8655" s="41"/>
      <c r="G8655" s="38" t="n">
        <f aca="false">MONTH(A8655)</f>
        <v>12</v>
      </c>
      <c r="H8655" s="38" t="n">
        <f aca="false">YEAR(Tabela1[[#This Row],[FECHA]])</f>
        <v>1900</v>
      </c>
      <c r="I86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56" customFormat="false" ht="15" hidden="false" customHeight="false" outlineLevel="0" collapsed="false">
      <c r="A8656" s="41"/>
      <c r="G8656" s="38" t="n">
        <f aca="false">MONTH(A8656)</f>
        <v>12</v>
      </c>
      <c r="H8656" s="38" t="n">
        <f aca="false">YEAR(Tabela1[[#This Row],[FECHA]])</f>
        <v>1900</v>
      </c>
      <c r="I86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57" customFormat="false" ht="15" hidden="false" customHeight="false" outlineLevel="0" collapsed="false">
      <c r="A8657" s="41"/>
      <c r="G8657" s="38" t="n">
        <f aca="false">MONTH(A8657)</f>
        <v>12</v>
      </c>
      <c r="H8657" s="38" t="n">
        <f aca="false">YEAR(Tabela1[[#This Row],[FECHA]])</f>
        <v>1900</v>
      </c>
      <c r="I86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58" customFormat="false" ht="15" hidden="false" customHeight="false" outlineLevel="0" collapsed="false">
      <c r="A8658" s="41"/>
      <c r="G8658" s="38" t="n">
        <f aca="false">MONTH(A8658)</f>
        <v>12</v>
      </c>
      <c r="H8658" s="38" t="n">
        <f aca="false">YEAR(Tabela1[[#This Row],[FECHA]])</f>
        <v>1900</v>
      </c>
      <c r="I86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59" customFormat="false" ht="15" hidden="false" customHeight="false" outlineLevel="0" collapsed="false">
      <c r="A8659" s="41"/>
      <c r="G8659" s="38" t="n">
        <f aca="false">MONTH(A8659)</f>
        <v>12</v>
      </c>
      <c r="H8659" s="38" t="n">
        <f aca="false">YEAR(Tabela1[[#This Row],[FECHA]])</f>
        <v>1900</v>
      </c>
      <c r="I86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60" customFormat="false" ht="15" hidden="false" customHeight="false" outlineLevel="0" collapsed="false">
      <c r="A8660" s="41"/>
      <c r="G8660" s="38" t="n">
        <f aca="false">MONTH(A8660)</f>
        <v>12</v>
      </c>
      <c r="H8660" s="38" t="n">
        <f aca="false">YEAR(Tabela1[[#This Row],[FECHA]])</f>
        <v>1900</v>
      </c>
      <c r="I86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61" customFormat="false" ht="15" hidden="false" customHeight="false" outlineLevel="0" collapsed="false">
      <c r="A8661" s="41"/>
      <c r="G8661" s="38" t="n">
        <f aca="false">MONTH(A8661)</f>
        <v>12</v>
      </c>
      <c r="H8661" s="38" t="n">
        <f aca="false">YEAR(Tabela1[[#This Row],[FECHA]])</f>
        <v>1900</v>
      </c>
      <c r="I86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62" customFormat="false" ht="15" hidden="false" customHeight="false" outlineLevel="0" collapsed="false">
      <c r="A8662" s="41"/>
      <c r="G8662" s="38" t="n">
        <f aca="false">MONTH(A8662)</f>
        <v>12</v>
      </c>
      <c r="H8662" s="38" t="n">
        <f aca="false">YEAR(Tabela1[[#This Row],[FECHA]])</f>
        <v>1900</v>
      </c>
      <c r="I86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63" customFormat="false" ht="15" hidden="false" customHeight="false" outlineLevel="0" collapsed="false">
      <c r="A8663" s="41"/>
      <c r="G8663" s="38" t="n">
        <f aca="false">MONTH(A8663)</f>
        <v>12</v>
      </c>
      <c r="H8663" s="38" t="n">
        <f aca="false">YEAR(Tabela1[[#This Row],[FECHA]])</f>
        <v>1900</v>
      </c>
      <c r="I86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64" customFormat="false" ht="15" hidden="false" customHeight="false" outlineLevel="0" collapsed="false">
      <c r="A8664" s="41"/>
      <c r="G8664" s="38" t="n">
        <f aca="false">MONTH(A8664)</f>
        <v>12</v>
      </c>
      <c r="H8664" s="38" t="n">
        <f aca="false">YEAR(Tabela1[[#This Row],[FECHA]])</f>
        <v>1900</v>
      </c>
      <c r="I86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65" customFormat="false" ht="15" hidden="false" customHeight="false" outlineLevel="0" collapsed="false">
      <c r="A8665" s="41"/>
      <c r="G8665" s="38" t="n">
        <f aca="false">MONTH(A8665)</f>
        <v>12</v>
      </c>
      <c r="H8665" s="38" t="n">
        <f aca="false">YEAR(Tabela1[[#This Row],[FECHA]])</f>
        <v>1900</v>
      </c>
      <c r="I86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66" customFormat="false" ht="15" hidden="false" customHeight="false" outlineLevel="0" collapsed="false">
      <c r="A8666" s="41"/>
      <c r="G8666" s="38" t="n">
        <f aca="false">MONTH(A8666)</f>
        <v>12</v>
      </c>
      <c r="H8666" s="38" t="n">
        <f aca="false">YEAR(Tabela1[[#This Row],[FECHA]])</f>
        <v>1900</v>
      </c>
      <c r="I86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67" customFormat="false" ht="15" hidden="false" customHeight="false" outlineLevel="0" collapsed="false">
      <c r="A8667" s="41"/>
      <c r="G8667" s="38" t="n">
        <f aca="false">MONTH(A8667)</f>
        <v>12</v>
      </c>
      <c r="H8667" s="38" t="n">
        <f aca="false">YEAR(Tabela1[[#This Row],[FECHA]])</f>
        <v>1900</v>
      </c>
      <c r="I86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68" customFormat="false" ht="15" hidden="false" customHeight="false" outlineLevel="0" collapsed="false">
      <c r="A8668" s="41"/>
      <c r="G8668" s="38" t="n">
        <f aca="false">MONTH(A8668)</f>
        <v>12</v>
      </c>
      <c r="H8668" s="38" t="n">
        <f aca="false">YEAR(Tabela1[[#This Row],[FECHA]])</f>
        <v>1900</v>
      </c>
      <c r="I86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69" customFormat="false" ht="15" hidden="false" customHeight="false" outlineLevel="0" collapsed="false">
      <c r="A8669" s="41"/>
      <c r="G8669" s="38" t="n">
        <f aca="false">MONTH(A8669)</f>
        <v>12</v>
      </c>
      <c r="H8669" s="38" t="n">
        <f aca="false">YEAR(Tabela1[[#This Row],[FECHA]])</f>
        <v>1900</v>
      </c>
      <c r="I86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70" customFormat="false" ht="15" hidden="false" customHeight="false" outlineLevel="0" collapsed="false">
      <c r="A8670" s="41"/>
      <c r="G8670" s="38" t="n">
        <f aca="false">MONTH(A8670)</f>
        <v>12</v>
      </c>
      <c r="H8670" s="38" t="n">
        <f aca="false">YEAR(Tabela1[[#This Row],[FECHA]])</f>
        <v>1900</v>
      </c>
      <c r="I86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71" customFormat="false" ht="15" hidden="false" customHeight="false" outlineLevel="0" collapsed="false">
      <c r="A8671" s="41"/>
      <c r="G8671" s="38" t="n">
        <f aca="false">MONTH(A8671)</f>
        <v>12</v>
      </c>
      <c r="H8671" s="38" t="n">
        <f aca="false">YEAR(Tabela1[[#This Row],[FECHA]])</f>
        <v>1900</v>
      </c>
      <c r="I86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72" customFormat="false" ht="15" hidden="false" customHeight="false" outlineLevel="0" collapsed="false">
      <c r="A8672" s="41"/>
      <c r="G8672" s="38" t="n">
        <f aca="false">MONTH(A8672)</f>
        <v>12</v>
      </c>
      <c r="H8672" s="38" t="n">
        <f aca="false">YEAR(Tabela1[[#This Row],[FECHA]])</f>
        <v>1900</v>
      </c>
      <c r="I86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73" customFormat="false" ht="15" hidden="false" customHeight="false" outlineLevel="0" collapsed="false">
      <c r="A8673" s="41"/>
      <c r="G8673" s="38" t="n">
        <f aca="false">MONTH(A8673)</f>
        <v>12</v>
      </c>
      <c r="H8673" s="38" t="n">
        <f aca="false">YEAR(Tabela1[[#This Row],[FECHA]])</f>
        <v>1900</v>
      </c>
      <c r="I86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74" customFormat="false" ht="15" hidden="false" customHeight="false" outlineLevel="0" collapsed="false">
      <c r="A8674" s="41"/>
      <c r="G8674" s="38" t="n">
        <f aca="false">MONTH(A8674)</f>
        <v>12</v>
      </c>
      <c r="H8674" s="38" t="n">
        <f aca="false">YEAR(Tabela1[[#This Row],[FECHA]])</f>
        <v>1900</v>
      </c>
      <c r="I86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75" customFormat="false" ht="15" hidden="false" customHeight="false" outlineLevel="0" collapsed="false">
      <c r="A8675" s="41"/>
      <c r="G8675" s="38" t="n">
        <f aca="false">MONTH(A8675)</f>
        <v>12</v>
      </c>
      <c r="H8675" s="38" t="n">
        <f aca="false">YEAR(Tabela1[[#This Row],[FECHA]])</f>
        <v>1900</v>
      </c>
      <c r="I86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76" customFormat="false" ht="15" hidden="false" customHeight="false" outlineLevel="0" collapsed="false">
      <c r="A8676" s="41"/>
      <c r="G8676" s="38" t="n">
        <f aca="false">MONTH(A8676)</f>
        <v>12</v>
      </c>
      <c r="H8676" s="38" t="n">
        <f aca="false">YEAR(Tabela1[[#This Row],[FECHA]])</f>
        <v>1900</v>
      </c>
      <c r="I86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77" customFormat="false" ht="15" hidden="false" customHeight="false" outlineLevel="0" collapsed="false">
      <c r="A8677" s="41"/>
      <c r="G8677" s="38" t="n">
        <f aca="false">MONTH(A8677)</f>
        <v>12</v>
      </c>
      <c r="H8677" s="38" t="n">
        <f aca="false">YEAR(Tabela1[[#This Row],[FECHA]])</f>
        <v>1900</v>
      </c>
      <c r="I86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78" customFormat="false" ht="15" hidden="false" customHeight="false" outlineLevel="0" collapsed="false">
      <c r="A8678" s="41"/>
      <c r="G8678" s="38" t="n">
        <f aca="false">MONTH(A8678)</f>
        <v>12</v>
      </c>
      <c r="H8678" s="38" t="n">
        <f aca="false">YEAR(Tabela1[[#This Row],[FECHA]])</f>
        <v>1900</v>
      </c>
      <c r="I86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79" customFormat="false" ht="15" hidden="false" customHeight="false" outlineLevel="0" collapsed="false">
      <c r="A8679" s="41"/>
      <c r="G8679" s="38" t="n">
        <f aca="false">MONTH(A8679)</f>
        <v>12</v>
      </c>
      <c r="H8679" s="38" t="n">
        <f aca="false">YEAR(Tabela1[[#This Row],[FECHA]])</f>
        <v>1900</v>
      </c>
      <c r="I86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80" customFormat="false" ht="15" hidden="false" customHeight="false" outlineLevel="0" collapsed="false">
      <c r="A8680" s="41"/>
      <c r="G8680" s="38" t="n">
        <f aca="false">MONTH(A8680)</f>
        <v>12</v>
      </c>
      <c r="H8680" s="38" t="n">
        <f aca="false">YEAR(Tabela1[[#This Row],[FECHA]])</f>
        <v>1900</v>
      </c>
      <c r="I86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81" customFormat="false" ht="15" hidden="false" customHeight="false" outlineLevel="0" collapsed="false">
      <c r="A8681" s="41"/>
      <c r="G8681" s="38" t="n">
        <f aca="false">MONTH(A8681)</f>
        <v>12</v>
      </c>
      <c r="H8681" s="38" t="n">
        <f aca="false">YEAR(Tabela1[[#This Row],[FECHA]])</f>
        <v>1900</v>
      </c>
      <c r="I86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82" customFormat="false" ht="15" hidden="false" customHeight="false" outlineLevel="0" collapsed="false">
      <c r="A8682" s="41"/>
      <c r="G8682" s="38" t="n">
        <f aca="false">MONTH(A8682)</f>
        <v>12</v>
      </c>
      <c r="H8682" s="38" t="n">
        <f aca="false">YEAR(Tabela1[[#This Row],[FECHA]])</f>
        <v>1900</v>
      </c>
      <c r="I86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83" customFormat="false" ht="15" hidden="false" customHeight="false" outlineLevel="0" collapsed="false">
      <c r="A8683" s="41"/>
      <c r="G8683" s="38" t="n">
        <f aca="false">MONTH(A8683)</f>
        <v>12</v>
      </c>
      <c r="H8683" s="38" t="n">
        <f aca="false">YEAR(Tabela1[[#This Row],[FECHA]])</f>
        <v>1900</v>
      </c>
      <c r="I86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84" customFormat="false" ht="15" hidden="false" customHeight="false" outlineLevel="0" collapsed="false">
      <c r="A8684" s="41"/>
      <c r="G8684" s="38" t="n">
        <f aca="false">MONTH(A8684)</f>
        <v>12</v>
      </c>
      <c r="H8684" s="38" t="n">
        <f aca="false">YEAR(Tabela1[[#This Row],[FECHA]])</f>
        <v>1900</v>
      </c>
      <c r="I86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85" customFormat="false" ht="15" hidden="false" customHeight="false" outlineLevel="0" collapsed="false">
      <c r="A8685" s="41"/>
      <c r="G8685" s="38" t="n">
        <f aca="false">MONTH(A8685)</f>
        <v>12</v>
      </c>
      <c r="H8685" s="38" t="n">
        <f aca="false">YEAR(Tabela1[[#This Row],[FECHA]])</f>
        <v>1900</v>
      </c>
      <c r="I86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86" customFormat="false" ht="15" hidden="false" customHeight="false" outlineLevel="0" collapsed="false">
      <c r="A8686" s="41"/>
      <c r="G8686" s="38" t="n">
        <f aca="false">MONTH(A8686)</f>
        <v>12</v>
      </c>
      <c r="H8686" s="38" t="n">
        <f aca="false">YEAR(Tabela1[[#This Row],[FECHA]])</f>
        <v>1900</v>
      </c>
      <c r="I86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87" customFormat="false" ht="15" hidden="false" customHeight="false" outlineLevel="0" collapsed="false">
      <c r="A8687" s="41"/>
      <c r="G8687" s="38" t="n">
        <f aca="false">MONTH(A8687)</f>
        <v>12</v>
      </c>
      <c r="H8687" s="38" t="n">
        <f aca="false">YEAR(Tabela1[[#This Row],[FECHA]])</f>
        <v>1900</v>
      </c>
      <c r="I86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88" customFormat="false" ht="15" hidden="false" customHeight="false" outlineLevel="0" collapsed="false">
      <c r="A8688" s="41"/>
      <c r="G8688" s="38" t="n">
        <f aca="false">MONTH(A8688)</f>
        <v>12</v>
      </c>
      <c r="H8688" s="38" t="n">
        <f aca="false">YEAR(Tabela1[[#This Row],[FECHA]])</f>
        <v>1900</v>
      </c>
      <c r="I86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89" customFormat="false" ht="15" hidden="false" customHeight="false" outlineLevel="0" collapsed="false">
      <c r="A8689" s="41"/>
      <c r="G8689" s="38" t="n">
        <f aca="false">MONTH(A8689)</f>
        <v>12</v>
      </c>
      <c r="H8689" s="38" t="n">
        <f aca="false">YEAR(Tabela1[[#This Row],[FECHA]])</f>
        <v>1900</v>
      </c>
      <c r="I86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90" customFormat="false" ht="15" hidden="false" customHeight="false" outlineLevel="0" collapsed="false">
      <c r="A8690" s="41"/>
      <c r="G8690" s="38" t="n">
        <f aca="false">MONTH(A8690)</f>
        <v>12</v>
      </c>
      <c r="H8690" s="38" t="n">
        <f aca="false">YEAR(Tabela1[[#This Row],[FECHA]])</f>
        <v>1900</v>
      </c>
      <c r="I86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91" customFormat="false" ht="15" hidden="false" customHeight="false" outlineLevel="0" collapsed="false">
      <c r="A8691" s="41"/>
      <c r="G8691" s="38" t="n">
        <f aca="false">MONTH(A8691)</f>
        <v>12</v>
      </c>
      <c r="H8691" s="38" t="n">
        <f aca="false">YEAR(Tabela1[[#This Row],[FECHA]])</f>
        <v>1900</v>
      </c>
      <c r="I86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92" customFormat="false" ht="15" hidden="false" customHeight="false" outlineLevel="0" collapsed="false">
      <c r="A8692" s="41"/>
      <c r="G8692" s="38" t="n">
        <f aca="false">MONTH(A8692)</f>
        <v>12</v>
      </c>
      <c r="H8692" s="38" t="n">
        <f aca="false">YEAR(Tabela1[[#This Row],[FECHA]])</f>
        <v>1900</v>
      </c>
      <c r="I86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93" customFormat="false" ht="15" hidden="false" customHeight="false" outlineLevel="0" collapsed="false">
      <c r="A8693" s="41"/>
      <c r="G8693" s="38" t="n">
        <f aca="false">MONTH(A8693)</f>
        <v>12</v>
      </c>
      <c r="H8693" s="38" t="n">
        <f aca="false">YEAR(Tabela1[[#This Row],[FECHA]])</f>
        <v>1900</v>
      </c>
      <c r="I86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94" customFormat="false" ht="15" hidden="false" customHeight="false" outlineLevel="0" collapsed="false">
      <c r="A8694" s="41"/>
      <c r="G8694" s="38" t="n">
        <f aca="false">MONTH(A8694)</f>
        <v>12</v>
      </c>
      <c r="H8694" s="38" t="n">
        <f aca="false">YEAR(Tabela1[[#This Row],[FECHA]])</f>
        <v>1900</v>
      </c>
      <c r="I86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95" customFormat="false" ht="15" hidden="false" customHeight="false" outlineLevel="0" collapsed="false">
      <c r="A8695" s="41"/>
      <c r="G8695" s="38" t="n">
        <f aca="false">MONTH(A8695)</f>
        <v>12</v>
      </c>
      <c r="H8695" s="38" t="n">
        <f aca="false">YEAR(Tabela1[[#This Row],[FECHA]])</f>
        <v>1900</v>
      </c>
      <c r="I86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96" customFormat="false" ht="15" hidden="false" customHeight="false" outlineLevel="0" collapsed="false">
      <c r="A8696" s="41"/>
      <c r="G8696" s="38" t="n">
        <f aca="false">MONTH(A8696)</f>
        <v>12</v>
      </c>
      <c r="H8696" s="38" t="n">
        <f aca="false">YEAR(Tabela1[[#This Row],[FECHA]])</f>
        <v>1900</v>
      </c>
      <c r="I86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97" customFormat="false" ht="15" hidden="false" customHeight="false" outlineLevel="0" collapsed="false">
      <c r="A8697" s="41"/>
      <c r="G8697" s="38" t="n">
        <f aca="false">MONTH(A8697)</f>
        <v>12</v>
      </c>
      <c r="H8697" s="38" t="n">
        <f aca="false">YEAR(Tabela1[[#This Row],[FECHA]])</f>
        <v>1900</v>
      </c>
      <c r="I86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98" customFormat="false" ht="15" hidden="false" customHeight="false" outlineLevel="0" collapsed="false">
      <c r="A8698" s="41"/>
      <c r="G8698" s="38" t="n">
        <f aca="false">MONTH(A8698)</f>
        <v>12</v>
      </c>
      <c r="H8698" s="38" t="n">
        <f aca="false">YEAR(Tabela1[[#This Row],[FECHA]])</f>
        <v>1900</v>
      </c>
      <c r="I86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699" customFormat="false" ht="15" hidden="false" customHeight="false" outlineLevel="0" collapsed="false">
      <c r="A8699" s="41"/>
      <c r="G8699" s="38" t="n">
        <f aca="false">MONTH(A8699)</f>
        <v>12</v>
      </c>
      <c r="H8699" s="38" t="n">
        <f aca="false">YEAR(Tabela1[[#This Row],[FECHA]])</f>
        <v>1900</v>
      </c>
      <c r="I86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00" customFormat="false" ht="15" hidden="false" customHeight="false" outlineLevel="0" collapsed="false">
      <c r="A8700" s="41"/>
      <c r="G8700" s="38" t="n">
        <f aca="false">MONTH(A8700)</f>
        <v>12</v>
      </c>
      <c r="H8700" s="38" t="n">
        <f aca="false">YEAR(Tabela1[[#This Row],[FECHA]])</f>
        <v>1900</v>
      </c>
      <c r="I87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01" customFormat="false" ht="15" hidden="false" customHeight="false" outlineLevel="0" collapsed="false">
      <c r="A8701" s="41"/>
      <c r="G8701" s="38" t="n">
        <f aca="false">MONTH(A8701)</f>
        <v>12</v>
      </c>
      <c r="H8701" s="38" t="n">
        <f aca="false">YEAR(Tabela1[[#This Row],[FECHA]])</f>
        <v>1900</v>
      </c>
      <c r="I87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02" customFormat="false" ht="15" hidden="false" customHeight="false" outlineLevel="0" collapsed="false">
      <c r="A8702" s="41"/>
      <c r="G8702" s="38" t="n">
        <f aca="false">MONTH(A8702)</f>
        <v>12</v>
      </c>
      <c r="H8702" s="38" t="n">
        <f aca="false">YEAR(Tabela1[[#This Row],[FECHA]])</f>
        <v>1900</v>
      </c>
      <c r="I87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03" customFormat="false" ht="15" hidden="false" customHeight="false" outlineLevel="0" collapsed="false">
      <c r="A8703" s="41"/>
      <c r="G8703" s="38" t="n">
        <f aca="false">MONTH(A8703)</f>
        <v>12</v>
      </c>
      <c r="H8703" s="38" t="n">
        <f aca="false">YEAR(Tabela1[[#This Row],[FECHA]])</f>
        <v>1900</v>
      </c>
      <c r="I87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04" customFormat="false" ht="15" hidden="false" customHeight="false" outlineLevel="0" collapsed="false">
      <c r="A8704" s="41"/>
      <c r="G8704" s="38" t="n">
        <f aca="false">MONTH(A8704)</f>
        <v>12</v>
      </c>
      <c r="H8704" s="38" t="n">
        <f aca="false">YEAR(Tabela1[[#This Row],[FECHA]])</f>
        <v>1900</v>
      </c>
      <c r="I87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05" customFormat="false" ht="15" hidden="false" customHeight="false" outlineLevel="0" collapsed="false">
      <c r="A8705" s="41"/>
      <c r="G8705" s="38" t="n">
        <f aca="false">MONTH(A8705)</f>
        <v>12</v>
      </c>
      <c r="H8705" s="38" t="n">
        <f aca="false">YEAR(Tabela1[[#This Row],[FECHA]])</f>
        <v>1900</v>
      </c>
      <c r="I87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06" customFormat="false" ht="15" hidden="false" customHeight="false" outlineLevel="0" collapsed="false">
      <c r="A8706" s="41"/>
      <c r="G8706" s="38" t="n">
        <f aca="false">MONTH(A8706)</f>
        <v>12</v>
      </c>
      <c r="H8706" s="38" t="n">
        <f aca="false">YEAR(Tabela1[[#This Row],[FECHA]])</f>
        <v>1900</v>
      </c>
      <c r="I87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07" customFormat="false" ht="15" hidden="false" customHeight="false" outlineLevel="0" collapsed="false">
      <c r="A8707" s="41"/>
      <c r="G8707" s="38" t="n">
        <f aca="false">MONTH(A8707)</f>
        <v>12</v>
      </c>
      <c r="H8707" s="38" t="n">
        <f aca="false">YEAR(Tabela1[[#This Row],[FECHA]])</f>
        <v>1900</v>
      </c>
      <c r="I87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08" customFormat="false" ht="15" hidden="false" customHeight="false" outlineLevel="0" collapsed="false">
      <c r="A8708" s="41"/>
      <c r="G8708" s="38" t="n">
        <f aca="false">MONTH(A8708)</f>
        <v>12</v>
      </c>
      <c r="H8708" s="38" t="n">
        <f aca="false">YEAR(Tabela1[[#This Row],[FECHA]])</f>
        <v>1900</v>
      </c>
      <c r="I87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09" customFormat="false" ht="15" hidden="false" customHeight="false" outlineLevel="0" collapsed="false">
      <c r="A8709" s="41"/>
      <c r="G8709" s="38" t="n">
        <f aca="false">MONTH(A8709)</f>
        <v>12</v>
      </c>
      <c r="H8709" s="38" t="n">
        <f aca="false">YEAR(Tabela1[[#This Row],[FECHA]])</f>
        <v>1900</v>
      </c>
      <c r="I87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10" customFormat="false" ht="15" hidden="false" customHeight="false" outlineLevel="0" collapsed="false">
      <c r="A8710" s="41"/>
      <c r="G8710" s="38" t="n">
        <f aca="false">MONTH(A8710)</f>
        <v>12</v>
      </c>
      <c r="H8710" s="38" t="n">
        <f aca="false">YEAR(Tabela1[[#This Row],[FECHA]])</f>
        <v>1900</v>
      </c>
      <c r="I87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11" customFormat="false" ht="15" hidden="false" customHeight="false" outlineLevel="0" collapsed="false">
      <c r="A8711" s="41"/>
      <c r="G8711" s="38" t="n">
        <f aca="false">MONTH(A8711)</f>
        <v>12</v>
      </c>
      <c r="H8711" s="38" t="n">
        <f aca="false">YEAR(Tabela1[[#This Row],[FECHA]])</f>
        <v>1900</v>
      </c>
      <c r="I87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12" customFormat="false" ht="15" hidden="false" customHeight="false" outlineLevel="0" collapsed="false">
      <c r="A8712" s="41"/>
      <c r="G8712" s="38" t="n">
        <f aca="false">MONTH(A8712)</f>
        <v>12</v>
      </c>
      <c r="H8712" s="38" t="n">
        <f aca="false">YEAR(Tabela1[[#This Row],[FECHA]])</f>
        <v>1900</v>
      </c>
      <c r="I87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13" customFormat="false" ht="15" hidden="false" customHeight="false" outlineLevel="0" collapsed="false">
      <c r="A8713" s="41"/>
      <c r="G8713" s="38" t="n">
        <f aca="false">MONTH(A8713)</f>
        <v>12</v>
      </c>
      <c r="H8713" s="38" t="n">
        <f aca="false">YEAR(Tabela1[[#This Row],[FECHA]])</f>
        <v>1900</v>
      </c>
      <c r="I87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14" customFormat="false" ht="15" hidden="false" customHeight="false" outlineLevel="0" collapsed="false">
      <c r="A8714" s="41"/>
      <c r="G8714" s="38" t="n">
        <f aca="false">MONTH(A8714)</f>
        <v>12</v>
      </c>
      <c r="H8714" s="38" t="n">
        <f aca="false">YEAR(Tabela1[[#This Row],[FECHA]])</f>
        <v>1900</v>
      </c>
      <c r="I87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15" customFormat="false" ht="15" hidden="false" customHeight="false" outlineLevel="0" collapsed="false">
      <c r="A8715" s="41"/>
      <c r="G8715" s="38" t="n">
        <f aca="false">MONTH(A8715)</f>
        <v>12</v>
      </c>
      <c r="H8715" s="38" t="n">
        <f aca="false">YEAR(Tabela1[[#This Row],[FECHA]])</f>
        <v>1900</v>
      </c>
      <c r="I87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16" customFormat="false" ht="15" hidden="false" customHeight="false" outlineLevel="0" collapsed="false">
      <c r="A8716" s="41"/>
      <c r="G8716" s="38" t="n">
        <f aca="false">MONTH(A8716)</f>
        <v>12</v>
      </c>
      <c r="H8716" s="38" t="n">
        <f aca="false">YEAR(Tabela1[[#This Row],[FECHA]])</f>
        <v>1900</v>
      </c>
      <c r="I87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17" customFormat="false" ht="15" hidden="false" customHeight="false" outlineLevel="0" collapsed="false">
      <c r="A8717" s="41"/>
      <c r="G8717" s="38" t="n">
        <f aca="false">MONTH(A8717)</f>
        <v>12</v>
      </c>
      <c r="H8717" s="38" t="n">
        <f aca="false">YEAR(Tabela1[[#This Row],[FECHA]])</f>
        <v>1900</v>
      </c>
      <c r="I87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18" customFormat="false" ht="15" hidden="false" customHeight="false" outlineLevel="0" collapsed="false">
      <c r="A8718" s="41"/>
      <c r="G8718" s="38" t="n">
        <f aca="false">MONTH(A8718)</f>
        <v>12</v>
      </c>
      <c r="H8718" s="38" t="n">
        <f aca="false">YEAR(Tabela1[[#This Row],[FECHA]])</f>
        <v>1900</v>
      </c>
      <c r="I87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19" customFormat="false" ht="15" hidden="false" customHeight="false" outlineLevel="0" collapsed="false">
      <c r="A8719" s="41"/>
      <c r="G8719" s="38" t="n">
        <f aca="false">MONTH(A8719)</f>
        <v>12</v>
      </c>
      <c r="H8719" s="38" t="n">
        <f aca="false">YEAR(Tabela1[[#This Row],[FECHA]])</f>
        <v>1900</v>
      </c>
      <c r="I87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20" customFormat="false" ht="15" hidden="false" customHeight="false" outlineLevel="0" collapsed="false">
      <c r="A8720" s="41"/>
      <c r="G8720" s="38" t="n">
        <f aca="false">MONTH(A8720)</f>
        <v>12</v>
      </c>
      <c r="H8720" s="38" t="n">
        <f aca="false">YEAR(Tabela1[[#This Row],[FECHA]])</f>
        <v>1900</v>
      </c>
      <c r="I87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21" customFormat="false" ht="15" hidden="false" customHeight="false" outlineLevel="0" collapsed="false">
      <c r="A8721" s="41"/>
      <c r="G8721" s="38" t="n">
        <f aca="false">MONTH(A8721)</f>
        <v>12</v>
      </c>
      <c r="H8721" s="38" t="n">
        <f aca="false">YEAR(Tabela1[[#This Row],[FECHA]])</f>
        <v>1900</v>
      </c>
      <c r="I87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22" customFormat="false" ht="15" hidden="false" customHeight="false" outlineLevel="0" collapsed="false">
      <c r="A8722" s="41"/>
      <c r="G8722" s="38" t="n">
        <f aca="false">MONTH(A8722)</f>
        <v>12</v>
      </c>
      <c r="H8722" s="38" t="n">
        <f aca="false">YEAR(Tabela1[[#This Row],[FECHA]])</f>
        <v>1900</v>
      </c>
      <c r="I87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23" customFormat="false" ht="15" hidden="false" customHeight="false" outlineLevel="0" collapsed="false">
      <c r="A8723" s="41"/>
      <c r="G8723" s="38" t="n">
        <f aca="false">MONTH(A8723)</f>
        <v>12</v>
      </c>
      <c r="H8723" s="38" t="n">
        <f aca="false">YEAR(Tabela1[[#This Row],[FECHA]])</f>
        <v>1900</v>
      </c>
      <c r="I87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24" customFormat="false" ht="15" hidden="false" customHeight="false" outlineLevel="0" collapsed="false">
      <c r="A8724" s="41"/>
      <c r="G8724" s="38" t="n">
        <f aca="false">MONTH(A8724)</f>
        <v>12</v>
      </c>
      <c r="H8724" s="38" t="n">
        <f aca="false">YEAR(Tabela1[[#This Row],[FECHA]])</f>
        <v>1900</v>
      </c>
      <c r="I87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25" customFormat="false" ht="15" hidden="false" customHeight="false" outlineLevel="0" collapsed="false">
      <c r="A8725" s="41"/>
      <c r="G8725" s="38" t="n">
        <f aca="false">MONTH(A8725)</f>
        <v>12</v>
      </c>
      <c r="H8725" s="38" t="n">
        <f aca="false">YEAR(Tabela1[[#This Row],[FECHA]])</f>
        <v>1900</v>
      </c>
      <c r="I87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26" customFormat="false" ht="15" hidden="false" customHeight="false" outlineLevel="0" collapsed="false">
      <c r="A8726" s="41"/>
      <c r="G8726" s="38" t="n">
        <f aca="false">MONTH(A8726)</f>
        <v>12</v>
      </c>
      <c r="H8726" s="38" t="n">
        <f aca="false">YEAR(Tabela1[[#This Row],[FECHA]])</f>
        <v>1900</v>
      </c>
      <c r="I87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27" customFormat="false" ht="15" hidden="false" customHeight="false" outlineLevel="0" collapsed="false">
      <c r="A8727" s="41"/>
      <c r="G8727" s="38" t="n">
        <f aca="false">MONTH(A8727)</f>
        <v>12</v>
      </c>
      <c r="H8727" s="38" t="n">
        <f aca="false">YEAR(Tabela1[[#This Row],[FECHA]])</f>
        <v>1900</v>
      </c>
      <c r="I87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28" customFormat="false" ht="15" hidden="false" customHeight="false" outlineLevel="0" collapsed="false">
      <c r="A8728" s="41"/>
      <c r="G8728" s="38" t="n">
        <f aca="false">MONTH(A8728)</f>
        <v>12</v>
      </c>
      <c r="H8728" s="38" t="n">
        <f aca="false">YEAR(Tabela1[[#This Row],[FECHA]])</f>
        <v>1900</v>
      </c>
      <c r="I87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29" customFormat="false" ht="15" hidden="false" customHeight="false" outlineLevel="0" collapsed="false">
      <c r="A8729" s="41"/>
      <c r="G8729" s="38" t="n">
        <f aca="false">MONTH(A8729)</f>
        <v>12</v>
      </c>
      <c r="H8729" s="38" t="n">
        <f aca="false">YEAR(Tabela1[[#This Row],[FECHA]])</f>
        <v>1900</v>
      </c>
      <c r="I87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30" customFormat="false" ht="15" hidden="false" customHeight="false" outlineLevel="0" collapsed="false">
      <c r="A8730" s="41"/>
      <c r="G8730" s="38" t="n">
        <f aca="false">MONTH(A8730)</f>
        <v>12</v>
      </c>
      <c r="H8730" s="38" t="n">
        <f aca="false">YEAR(Tabela1[[#This Row],[FECHA]])</f>
        <v>1900</v>
      </c>
      <c r="I87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31" customFormat="false" ht="15" hidden="false" customHeight="false" outlineLevel="0" collapsed="false">
      <c r="A8731" s="41"/>
      <c r="G8731" s="38" t="n">
        <f aca="false">MONTH(A8731)</f>
        <v>12</v>
      </c>
      <c r="H8731" s="38" t="n">
        <f aca="false">YEAR(Tabela1[[#This Row],[FECHA]])</f>
        <v>1900</v>
      </c>
      <c r="I87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32" customFormat="false" ht="15" hidden="false" customHeight="false" outlineLevel="0" collapsed="false">
      <c r="A8732" s="41"/>
      <c r="G8732" s="38" t="n">
        <f aca="false">MONTH(A8732)</f>
        <v>12</v>
      </c>
      <c r="H8732" s="38" t="n">
        <f aca="false">YEAR(Tabela1[[#This Row],[FECHA]])</f>
        <v>1900</v>
      </c>
      <c r="I87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33" customFormat="false" ht="15" hidden="false" customHeight="false" outlineLevel="0" collapsed="false">
      <c r="A8733" s="41"/>
      <c r="G8733" s="38" t="n">
        <f aca="false">MONTH(A8733)</f>
        <v>12</v>
      </c>
      <c r="H8733" s="38" t="n">
        <f aca="false">YEAR(Tabela1[[#This Row],[FECHA]])</f>
        <v>1900</v>
      </c>
      <c r="I87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34" customFormat="false" ht="15" hidden="false" customHeight="false" outlineLevel="0" collapsed="false">
      <c r="A8734" s="41"/>
      <c r="G8734" s="38" t="n">
        <f aca="false">MONTH(A8734)</f>
        <v>12</v>
      </c>
      <c r="H8734" s="38" t="n">
        <f aca="false">YEAR(Tabela1[[#This Row],[FECHA]])</f>
        <v>1900</v>
      </c>
      <c r="I87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35" customFormat="false" ht="15" hidden="false" customHeight="false" outlineLevel="0" collapsed="false">
      <c r="A8735" s="41"/>
      <c r="G8735" s="38" t="n">
        <f aca="false">MONTH(A8735)</f>
        <v>12</v>
      </c>
      <c r="H8735" s="38" t="n">
        <f aca="false">YEAR(Tabela1[[#This Row],[FECHA]])</f>
        <v>1900</v>
      </c>
      <c r="I87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36" customFormat="false" ht="15" hidden="false" customHeight="false" outlineLevel="0" collapsed="false">
      <c r="A8736" s="41"/>
      <c r="G8736" s="38" t="n">
        <f aca="false">MONTH(A8736)</f>
        <v>12</v>
      </c>
      <c r="H8736" s="38" t="n">
        <f aca="false">YEAR(Tabela1[[#This Row],[FECHA]])</f>
        <v>1900</v>
      </c>
      <c r="I87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37" customFormat="false" ht="15" hidden="false" customHeight="false" outlineLevel="0" collapsed="false">
      <c r="A8737" s="41"/>
      <c r="G8737" s="38" t="n">
        <f aca="false">MONTH(A8737)</f>
        <v>12</v>
      </c>
      <c r="H8737" s="38" t="n">
        <f aca="false">YEAR(Tabela1[[#This Row],[FECHA]])</f>
        <v>1900</v>
      </c>
      <c r="I87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38" customFormat="false" ht="15" hidden="false" customHeight="false" outlineLevel="0" collapsed="false">
      <c r="A8738" s="41"/>
      <c r="G8738" s="38" t="n">
        <f aca="false">MONTH(A8738)</f>
        <v>12</v>
      </c>
      <c r="H8738" s="38" t="n">
        <f aca="false">YEAR(Tabela1[[#This Row],[FECHA]])</f>
        <v>1900</v>
      </c>
      <c r="I87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39" customFormat="false" ht="15" hidden="false" customHeight="false" outlineLevel="0" collapsed="false">
      <c r="A8739" s="41"/>
      <c r="G8739" s="38" t="n">
        <f aca="false">MONTH(A8739)</f>
        <v>12</v>
      </c>
      <c r="H8739" s="38" t="n">
        <f aca="false">YEAR(Tabela1[[#This Row],[FECHA]])</f>
        <v>1900</v>
      </c>
      <c r="I87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40" customFormat="false" ht="15" hidden="false" customHeight="false" outlineLevel="0" collapsed="false">
      <c r="A8740" s="41"/>
      <c r="G8740" s="38" t="n">
        <f aca="false">MONTH(A8740)</f>
        <v>12</v>
      </c>
      <c r="H8740" s="38" t="n">
        <f aca="false">YEAR(Tabela1[[#This Row],[FECHA]])</f>
        <v>1900</v>
      </c>
      <c r="I87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41" customFormat="false" ht="15" hidden="false" customHeight="false" outlineLevel="0" collapsed="false">
      <c r="A8741" s="41"/>
      <c r="G8741" s="38" t="n">
        <f aca="false">MONTH(A8741)</f>
        <v>12</v>
      </c>
      <c r="H8741" s="38" t="n">
        <f aca="false">YEAR(Tabela1[[#This Row],[FECHA]])</f>
        <v>1900</v>
      </c>
      <c r="I87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42" customFormat="false" ht="15" hidden="false" customHeight="false" outlineLevel="0" collapsed="false">
      <c r="A8742" s="41"/>
      <c r="G8742" s="38" t="n">
        <f aca="false">MONTH(A8742)</f>
        <v>12</v>
      </c>
      <c r="H8742" s="38" t="n">
        <f aca="false">YEAR(Tabela1[[#This Row],[FECHA]])</f>
        <v>1900</v>
      </c>
      <c r="I87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43" customFormat="false" ht="15" hidden="false" customHeight="false" outlineLevel="0" collapsed="false">
      <c r="A8743" s="41"/>
      <c r="G8743" s="38" t="n">
        <f aca="false">MONTH(A8743)</f>
        <v>12</v>
      </c>
      <c r="H8743" s="38" t="n">
        <f aca="false">YEAR(Tabela1[[#This Row],[FECHA]])</f>
        <v>1900</v>
      </c>
      <c r="I87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44" customFormat="false" ht="15" hidden="false" customHeight="false" outlineLevel="0" collapsed="false">
      <c r="A8744" s="41"/>
      <c r="G8744" s="38" t="n">
        <f aca="false">MONTH(A8744)</f>
        <v>12</v>
      </c>
      <c r="H8744" s="38" t="n">
        <f aca="false">YEAR(Tabela1[[#This Row],[FECHA]])</f>
        <v>1900</v>
      </c>
      <c r="I87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45" customFormat="false" ht="15" hidden="false" customHeight="false" outlineLevel="0" collapsed="false">
      <c r="A8745" s="41"/>
      <c r="G8745" s="38" t="n">
        <f aca="false">MONTH(A8745)</f>
        <v>12</v>
      </c>
      <c r="H8745" s="38" t="n">
        <f aca="false">YEAR(Tabela1[[#This Row],[FECHA]])</f>
        <v>1900</v>
      </c>
      <c r="I87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46" customFormat="false" ht="15" hidden="false" customHeight="false" outlineLevel="0" collapsed="false">
      <c r="A8746" s="41"/>
      <c r="G8746" s="38" t="n">
        <f aca="false">MONTH(A8746)</f>
        <v>12</v>
      </c>
      <c r="H8746" s="38" t="n">
        <f aca="false">YEAR(Tabela1[[#This Row],[FECHA]])</f>
        <v>1900</v>
      </c>
      <c r="I87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47" customFormat="false" ht="15" hidden="false" customHeight="false" outlineLevel="0" collapsed="false">
      <c r="A8747" s="41"/>
      <c r="G8747" s="38" t="n">
        <f aca="false">MONTH(A8747)</f>
        <v>12</v>
      </c>
      <c r="H8747" s="38" t="n">
        <f aca="false">YEAR(Tabela1[[#This Row],[FECHA]])</f>
        <v>1900</v>
      </c>
      <c r="I87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48" customFormat="false" ht="15" hidden="false" customHeight="false" outlineLevel="0" collapsed="false">
      <c r="A8748" s="41"/>
      <c r="G8748" s="38" t="n">
        <f aca="false">MONTH(A8748)</f>
        <v>12</v>
      </c>
      <c r="H8748" s="38" t="n">
        <f aca="false">YEAR(Tabela1[[#This Row],[FECHA]])</f>
        <v>1900</v>
      </c>
      <c r="I87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49" customFormat="false" ht="15" hidden="false" customHeight="false" outlineLevel="0" collapsed="false">
      <c r="A8749" s="41"/>
      <c r="G8749" s="38" t="n">
        <f aca="false">MONTH(A8749)</f>
        <v>12</v>
      </c>
      <c r="H8749" s="38" t="n">
        <f aca="false">YEAR(Tabela1[[#This Row],[FECHA]])</f>
        <v>1900</v>
      </c>
      <c r="I87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50" customFormat="false" ht="15" hidden="false" customHeight="false" outlineLevel="0" collapsed="false">
      <c r="A8750" s="41"/>
      <c r="G8750" s="38" t="n">
        <f aca="false">MONTH(A8750)</f>
        <v>12</v>
      </c>
      <c r="H8750" s="38" t="n">
        <f aca="false">YEAR(Tabela1[[#This Row],[FECHA]])</f>
        <v>1900</v>
      </c>
      <c r="I87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51" customFormat="false" ht="15" hidden="false" customHeight="false" outlineLevel="0" collapsed="false">
      <c r="A8751" s="41"/>
      <c r="G8751" s="38" t="n">
        <f aca="false">MONTH(A8751)</f>
        <v>12</v>
      </c>
      <c r="H8751" s="38" t="n">
        <f aca="false">YEAR(Tabela1[[#This Row],[FECHA]])</f>
        <v>1900</v>
      </c>
      <c r="I87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52" customFormat="false" ht="15" hidden="false" customHeight="false" outlineLevel="0" collapsed="false">
      <c r="A8752" s="41"/>
      <c r="G8752" s="38" t="n">
        <f aca="false">MONTH(A8752)</f>
        <v>12</v>
      </c>
      <c r="H8752" s="38" t="n">
        <f aca="false">YEAR(Tabela1[[#This Row],[FECHA]])</f>
        <v>1900</v>
      </c>
      <c r="I87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53" customFormat="false" ht="15" hidden="false" customHeight="false" outlineLevel="0" collapsed="false">
      <c r="A8753" s="41"/>
      <c r="G8753" s="38" t="n">
        <f aca="false">MONTH(A8753)</f>
        <v>12</v>
      </c>
      <c r="H8753" s="38" t="n">
        <f aca="false">YEAR(Tabela1[[#This Row],[FECHA]])</f>
        <v>1900</v>
      </c>
      <c r="I87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54" customFormat="false" ht="15" hidden="false" customHeight="false" outlineLevel="0" collapsed="false">
      <c r="A8754" s="41"/>
      <c r="G8754" s="38" t="n">
        <f aca="false">MONTH(A8754)</f>
        <v>12</v>
      </c>
      <c r="H8754" s="38" t="n">
        <f aca="false">YEAR(Tabela1[[#This Row],[FECHA]])</f>
        <v>1900</v>
      </c>
      <c r="I87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55" customFormat="false" ht="15" hidden="false" customHeight="false" outlineLevel="0" collapsed="false">
      <c r="A8755" s="41"/>
      <c r="G8755" s="38" t="n">
        <f aca="false">MONTH(A8755)</f>
        <v>12</v>
      </c>
      <c r="H8755" s="38" t="n">
        <f aca="false">YEAR(Tabela1[[#This Row],[FECHA]])</f>
        <v>1900</v>
      </c>
      <c r="I87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56" customFormat="false" ht="15" hidden="false" customHeight="false" outlineLevel="0" collapsed="false">
      <c r="A8756" s="41"/>
      <c r="G8756" s="38" t="n">
        <f aca="false">MONTH(A8756)</f>
        <v>12</v>
      </c>
      <c r="H8756" s="38" t="n">
        <f aca="false">YEAR(Tabela1[[#This Row],[FECHA]])</f>
        <v>1900</v>
      </c>
      <c r="I87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57" customFormat="false" ht="15" hidden="false" customHeight="false" outlineLevel="0" collapsed="false">
      <c r="A8757" s="41"/>
      <c r="G8757" s="38" t="n">
        <f aca="false">MONTH(A8757)</f>
        <v>12</v>
      </c>
      <c r="H8757" s="38" t="n">
        <f aca="false">YEAR(Tabela1[[#This Row],[FECHA]])</f>
        <v>1900</v>
      </c>
      <c r="I87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58" customFormat="false" ht="15" hidden="false" customHeight="false" outlineLevel="0" collapsed="false">
      <c r="A8758" s="41"/>
      <c r="G8758" s="38" t="n">
        <f aca="false">MONTH(A8758)</f>
        <v>12</v>
      </c>
      <c r="H8758" s="38" t="n">
        <f aca="false">YEAR(Tabela1[[#This Row],[FECHA]])</f>
        <v>1900</v>
      </c>
      <c r="I87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59" customFormat="false" ht="15" hidden="false" customHeight="false" outlineLevel="0" collapsed="false">
      <c r="A8759" s="41"/>
      <c r="G8759" s="38" t="n">
        <f aca="false">MONTH(A8759)</f>
        <v>12</v>
      </c>
      <c r="H8759" s="38" t="n">
        <f aca="false">YEAR(Tabela1[[#This Row],[FECHA]])</f>
        <v>1900</v>
      </c>
      <c r="I87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60" customFormat="false" ht="15" hidden="false" customHeight="false" outlineLevel="0" collapsed="false">
      <c r="A8760" s="41"/>
      <c r="G8760" s="38" t="n">
        <f aca="false">MONTH(A8760)</f>
        <v>12</v>
      </c>
      <c r="H8760" s="38" t="n">
        <f aca="false">YEAR(Tabela1[[#This Row],[FECHA]])</f>
        <v>1900</v>
      </c>
      <c r="I87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61" customFormat="false" ht="15" hidden="false" customHeight="false" outlineLevel="0" collapsed="false">
      <c r="A8761" s="41"/>
      <c r="G8761" s="38" t="n">
        <f aca="false">MONTH(A8761)</f>
        <v>12</v>
      </c>
      <c r="H8761" s="38" t="n">
        <f aca="false">YEAR(Tabela1[[#This Row],[FECHA]])</f>
        <v>1900</v>
      </c>
      <c r="I87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62" customFormat="false" ht="15" hidden="false" customHeight="false" outlineLevel="0" collapsed="false">
      <c r="A8762" s="41"/>
      <c r="G8762" s="38" t="n">
        <f aca="false">MONTH(A8762)</f>
        <v>12</v>
      </c>
      <c r="H8762" s="38" t="n">
        <f aca="false">YEAR(Tabela1[[#This Row],[FECHA]])</f>
        <v>1900</v>
      </c>
      <c r="I87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63" customFormat="false" ht="15" hidden="false" customHeight="false" outlineLevel="0" collapsed="false">
      <c r="A8763" s="41"/>
      <c r="G8763" s="38" t="n">
        <f aca="false">MONTH(A8763)</f>
        <v>12</v>
      </c>
      <c r="H8763" s="38" t="n">
        <f aca="false">YEAR(Tabela1[[#This Row],[FECHA]])</f>
        <v>1900</v>
      </c>
      <c r="I87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64" customFormat="false" ht="15" hidden="false" customHeight="false" outlineLevel="0" collapsed="false">
      <c r="A8764" s="41"/>
      <c r="G8764" s="38" t="n">
        <f aca="false">MONTH(A8764)</f>
        <v>12</v>
      </c>
      <c r="H8764" s="38" t="n">
        <f aca="false">YEAR(Tabela1[[#This Row],[FECHA]])</f>
        <v>1900</v>
      </c>
      <c r="I87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65" customFormat="false" ht="15" hidden="false" customHeight="false" outlineLevel="0" collapsed="false">
      <c r="A8765" s="41"/>
      <c r="G8765" s="38" t="n">
        <f aca="false">MONTH(A8765)</f>
        <v>12</v>
      </c>
      <c r="H8765" s="38" t="n">
        <f aca="false">YEAR(Tabela1[[#This Row],[FECHA]])</f>
        <v>1900</v>
      </c>
      <c r="I87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66" customFormat="false" ht="15" hidden="false" customHeight="false" outlineLevel="0" collapsed="false">
      <c r="A8766" s="41"/>
      <c r="G8766" s="38" t="n">
        <f aca="false">MONTH(A8766)</f>
        <v>12</v>
      </c>
      <c r="H8766" s="38" t="n">
        <f aca="false">YEAR(Tabela1[[#This Row],[FECHA]])</f>
        <v>1900</v>
      </c>
      <c r="I87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67" customFormat="false" ht="15" hidden="false" customHeight="false" outlineLevel="0" collapsed="false">
      <c r="A8767" s="41"/>
      <c r="G8767" s="38" t="n">
        <f aca="false">MONTH(A8767)</f>
        <v>12</v>
      </c>
      <c r="H8767" s="38" t="n">
        <f aca="false">YEAR(Tabela1[[#This Row],[FECHA]])</f>
        <v>1900</v>
      </c>
      <c r="I87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68" customFormat="false" ht="15" hidden="false" customHeight="false" outlineLevel="0" collapsed="false">
      <c r="A8768" s="41"/>
      <c r="G8768" s="38" t="n">
        <f aca="false">MONTH(A8768)</f>
        <v>12</v>
      </c>
      <c r="H8768" s="38" t="n">
        <f aca="false">YEAR(Tabela1[[#This Row],[FECHA]])</f>
        <v>1900</v>
      </c>
      <c r="I87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69" customFormat="false" ht="15" hidden="false" customHeight="false" outlineLevel="0" collapsed="false">
      <c r="A8769" s="41"/>
      <c r="G8769" s="38" t="n">
        <f aca="false">MONTH(A8769)</f>
        <v>12</v>
      </c>
      <c r="H8769" s="38" t="n">
        <f aca="false">YEAR(Tabela1[[#This Row],[FECHA]])</f>
        <v>1900</v>
      </c>
      <c r="I87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70" customFormat="false" ht="15" hidden="false" customHeight="false" outlineLevel="0" collapsed="false">
      <c r="A8770" s="41"/>
      <c r="G8770" s="38" t="n">
        <f aca="false">MONTH(A8770)</f>
        <v>12</v>
      </c>
      <c r="H8770" s="38" t="n">
        <f aca="false">YEAR(Tabela1[[#This Row],[FECHA]])</f>
        <v>1900</v>
      </c>
      <c r="I87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71" customFormat="false" ht="15" hidden="false" customHeight="false" outlineLevel="0" collapsed="false">
      <c r="A8771" s="41"/>
      <c r="G8771" s="38" t="n">
        <f aca="false">MONTH(A8771)</f>
        <v>12</v>
      </c>
      <c r="H8771" s="38" t="n">
        <f aca="false">YEAR(Tabela1[[#This Row],[FECHA]])</f>
        <v>1900</v>
      </c>
      <c r="I87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72" customFormat="false" ht="15" hidden="false" customHeight="false" outlineLevel="0" collapsed="false">
      <c r="A8772" s="41"/>
      <c r="G8772" s="38" t="n">
        <f aca="false">MONTH(A8772)</f>
        <v>12</v>
      </c>
      <c r="H8772" s="38" t="n">
        <f aca="false">YEAR(Tabela1[[#This Row],[FECHA]])</f>
        <v>1900</v>
      </c>
      <c r="I87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73" customFormat="false" ht="15" hidden="false" customHeight="false" outlineLevel="0" collapsed="false">
      <c r="A8773" s="41"/>
      <c r="G8773" s="38" t="n">
        <f aca="false">MONTH(A8773)</f>
        <v>12</v>
      </c>
      <c r="H8773" s="38" t="n">
        <f aca="false">YEAR(Tabela1[[#This Row],[FECHA]])</f>
        <v>1900</v>
      </c>
      <c r="I87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74" customFormat="false" ht="15" hidden="false" customHeight="false" outlineLevel="0" collapsed="false">
      <c r="A8774" s="41"/>
      <c r="G8774" s="38" t="n">
        <f aca="false">MONTH(A8774)</f>
        <v>12</v>
      </c>
      <c r="H8774" s="38" t="n">
        <f aca="false">YEAR(Tabela1[[#This Row],[FECHA]])</f>
        <v>1900</v>
      </c>
      <c r="I87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75" customFormat="false" ht="15" hidden="false" customHeight="false" outlineLevel="0" collapsed="false">
      <c r="A8775" s="41"/>
      <c r="G8775" s="38" t="n">
        <f aca="false">MONTH(A8775)</f>
        <v>12</v>
      </c>
      <c r="H8775" s="38" t="n">
        <f aca="false">YEAR(Tabela1[[#This Row],[FECHA]])</f>
        <v>1900</v>
      </c>
      <c r="I87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76" customFormat="false" ht="15" hidden="false" customHeight="false" outlineLevel="0" collapsed="false">
      <c r="A8776" s="41"/>
      <c r="G8776" s="38" t="n">
        <f aca="false">MONTH(A8776)</f>
        <v>12</v>
      </c>
      <c r="H8776" s="38" t="n">
        <f aca="false">YEAR(Tabela1[[#This Row],[FECHA]])</f>
        <v>1900</v>
      </c>
      <c r="I87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77" customFormat="false" ht="15" hidden="false" customHeight="false" outlineLevel="0" collapsed="false">
      <c r="A8777" s="41"/>
      <c r="G8777" s="38" t="n">
        <f aca="false">MONTH(A8777)</f>
        <v>12</v>
      </c>
      <c r="H8777" s="38" t="n">
        <f aca="false">YEAR(Tabela1[[#This Row],[FECHA]])</f>
        <v>1900</v>
      </c>
      <c r="I87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78" customFormat="false" ht="15" hidden="false" customHeight="false" outlineLevel="0" collapsed="false">
      <c r="A8778" s="41"/>
      <c r="G8778" s="38" t="n">
        <f aca="false">MONTH(A8778)</f>
        <v>12</v>
      </c>
      <c r="H8778" s="38" t="n">
        <f aca="false">YEAR(Tabela1[[#This Row],[FECHA]])</f>
        <v>1900</v>
      </c>
      <c r="I87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79" customFormat="false" ht="15" hidden="false" customHeight="false" outlineLevel="0" collapsed="false">
      <c r="A8779" s="41"/>
      <c r="G8779" s="38" t="n">
        <f aca="false">MONTH(A8779)</f>
        <v>12</v>
      </c>
      <c r="H8779" s="38" t="n">
        <f aca="false">YEAR(Tabela1[[#This Row],[FECHA]])</f>
        <v>1900</v>
      </c>
      <c r="I87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80" customFormat="false" ht="15" hidden="false" customHeight="false" outlineLevel="0" collapsed="false">
      <c r="A8780" s="41"/>
      <c r="G8780" s="38" t="n">
        <f aca="false">MONTH(A8780)</f>
        <v>12</v>
      </c>
      <c r="H8780" s="38" t="n">
        <f aca="false">YEAR(Tabela1[[#This Row],[FECHA]])</f>
        <v>1900</v>
      </c>
      <c r="I87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81" customFormat="false" ht="15" hidden="false" customHeight="false" outlineLevel="0" collapsed="false">
      <c r="A8781" s="41"/>
      <c r="G8781" s="38" t="n">
        <f aca="false">MONTH(A8781)</f>
        <v>12</v>
      </c>
      <c r="H8781" s="38" t="n">
        <f aca="false">YEAR(Tabela1[[#This Row],[FECHA]])</f>
        <v>1900</v>
      </c>
      <c r="I87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82" customFormat="false" ht="15" hidden="false" customHeight="false" outlineLevel="0" collapsed="false">
      <c r="A8782" s="41"/>
      <c r="G8782" s="38" t="n">
        <f aca="false">MONTH(A8782)</f>
        <v>12</v>
      </c>
      <c r="H8782" s="38" t="n">
        <f aca="false">YEAR(Tabela1[[#This Row],[FECHA]])</f>
        <v>1900</v>
      </c>
      <c r="I87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83" customFormat="false" ht="15" hidden="false" customHeight="false" outlineLevel="0" collapsed="false">
      <c r="A8783" s="41"/>
      <c r="G8783" s="38" t="n">
        <f aca="false">MONTH(A8783)</f>
        <v>12</v>
      </c>
      <c r="H8783" s="38" t="n">
        <f aca="false">YEAR(Tabela1[[#This Row],[FECHA]])</f>
        <v>1900</v>
      </c>
      <c r="I87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84" customFormat="false" ht="15" hidden="false" customHeight="false" outlineLevel="0" collapsed="false">
      <c r="A8784" s="41"/>
      <c r="G8784" s="38" t="n">
        <f aca="false">MONTH(A8784)</f>
        <v>12</v>
      </c>
      <c r="H8784" s="38" t="n">
        <f aca="false">YEAR(Tabela1[[#This Row],[FECHA]])</f>
        <v>1900</v>
      </c>
      <c r="I87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85" customFormat="false" ht="15" hidden="false" customHeight="false" outlineLevel="0" collapsed="false">
      <c r="A8785" s="41"/>
      <c r="G8785" s="38" t="n">
        <f aca="false">MONTH(A8785)</f>
        <v>12</v>
      </c>
      <c r="H8785" s="38" t="n">
        <f aca="false">YEAR(Tabela1[[#This Row],[FECHA]])</f>
        <v>1900</v>
      </c>
      <c r="I87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86" customFormat="false" ht="15" hidden="false" customHeight="false" outlineLevel="0" collapsed="false">
      <c r="A8786" s="41"/>
      <c r="G8786" s="38" t="n">
        <f aca="false">MONTH(A8786)</f>
        <v>12</v>
      </c>
      <c r="H8786" s="38" t="n">
        <f aca="false">YEAR(Tabela1[[#This Row],[FECHA]])</f>
        <v>1900</v>
      </c>
      <c r="I87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87" customFormat="false" ht="15" hidden="false" customHeight="false" outlineLevel="0" collapsed="false">
      <c r="A8787" s="41"/>
      <c r="G8787" s="38" t="n">
        <f aca="false">MONTH(A8787)</f>
        <v>12</v>
      </c>
      <c r="H8787" s="38" t="n">
        <f aca="false">YEAR(Tabela1[[#This Row],[FECHA]])</f>
        <v>1900</v>
      </c>
      <c r="I87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88" customFormat="false" ht="15" hidden="false" customHeight="false" outlineLevel="0" collapsed="false">
      <c r="A8788" s="41"/>
      <c r="G8788" s="38" t="n">
        <f aca="false">MONTH(A8788)</f>
        <v>12</v>
      </c>
      <c r="H8788" s="38" t="n">
        <f aca="false">YEAR(Tabela1[[#This Row],[FECHA]])</f>
        <v>1900</v>
      </c>
      <c r="I87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89" customFormat="false" ht="15" hidden="false" customHeight="false" outlineLevel="0" collapsed="false">
      <c r="A8789" s="41"/>
      <c r="G8789" s="38" t="n">
        <f aca="false">MONTH(A8789)</f>
        <v>12</v>
      </c>
      <c r="H8789" s="38" t="n">
        <f aca="false">YEAR(Tabela1[[#This Row],[FECHA]])</f>
        <v>1900</v>
      </c>
      <c r="I87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90" customFormat="false" ht="15" hidden="false" customHeight="false" outlineLevel="0" collapsed="false">
      <c r="A8790" s="41"/>
      <c r="G8790" s="38" t="n">
        <f aca="false">MONTH(A8790)</f>
        <v>12</v>
      </c>
      <c r="H8790" s="38" t="n">
        <f aca="false">YEAR(Tabela1[[#This Row],[FECHA]])</f>
        <v>1900</v>
      </c>
      <c r="I87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91" customFormat="false" ht="15" hidden="false" customHeight="false" outlineLevel="0" collapsed="false">
      <c r="A8791" s="41"/>
      <c r="G8791" s="38" t="n">
        <f aca="false">MONTH(A8791)</f>
        <v>12</v>
      </c>
      <c r="H8791" s="38" t="n">
        <f aca="false">YEAR(Tabela1[[#This Row],[FECHA]])</f>
        <v>1900</v>
      </c>
      <c r="I87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92" customFormat="false" ht="15" hidden="false" customHeight="false" outlineLevel="0" collapsed="false">
      <c r="A8792" s="41"/>
      <c r="G8792" s="38" t="n">
        <f aca="false">MONTH(A8792)</f>
        <v>12</v>
      </c>
      <c r="H8792" s="38" t="n">
        <f aca="false">YEAR(Tabela1[[#This Row],[FECHA]])</f>
        <v>1900</v>
      </c>
      <c r="I87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93" customFormat="false" ht="15" hidden="false" customHeight="false" outlineLevel="0" collapsed="false">
      <c r="A8793" s="41"/>
      <c r="G8793" s="38" t="n">
        <f aca="false">MONTH(A8793)</f>
        <v>12</v>
      </c>
      <c r="H8793" s="38" t="n">
        <f aca="false">YEAR(Tabela1[[#This Row],[FECHA]])</f>
        <v>1900</v>
      </c>
      <c r="I87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94" customFormat="false" ht="15" hidden="false" customHeight="false" outlineLevel="0" collapsed="false">
      <c r="A8794" s="41"/>
      <c r="G8794" s="38" t="n">
        <f aca="false">MONTH(A8794)</f>
        <v>12</v>
      </c>
      <c r="H8794" s="38" t="n">
        <f aca="false">YEAR(Tabela1[[#This Row],[FECHA]])</f>
        <v>1900</v>
      </c>
      <c r="I87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95" customFormat="false" ht="15" hidden="false" customHeight="false" outlineLevel="0" collapsed="false">
      <c r="A8795" s="41"/>
      <c r="G8795" s="38" t="n">
        <f aca="false">MONTH(A8795)</f>
        <v>12</v>
      </c>
      <c r="H8795" s="38" t="n">
        <f aca="false">YEAR(Tabela1[[#This Row],[FECHA]])</f>
        <v>1900</v>
      </c>
      <c r="I87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96" customFormat="false" ht="15" hidden="false" customHeight="false" outlineLevel="0" collapsed="false">
      <c r="A8796" s="41"/>
      <c r="G8796" s="38" t="n">
        <f aca="false">MONTH(A8796)</f>
        <v>12</v>
      </c>
      <c r="H8796" s="38" t="n">
        <f aca="false">YEAR(Tabela1[[#This Row],[FECHA]])</f>
        <v>1900</v>
      </c>
      <c r="I87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97" customFormat="false" ht="15" hidden="false" customHeight="false" outlineLevel="0" collapsed="false">
      <c r="A8797" s="41"/>
      <c r="G8797" s="38" t="n">
        <f aca="false">MONTH(A8797)</f>
        <v>12</v>
      </c>
      <c r="H8797" s="38" t="n">
        <f aca="false">YEAR(Tabela1[[#This Row],[FECHA]])</f>
        <v>1900</v>
      </c>
      <c r="I87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98" customFormat="false" ht="15" hidden="false" customHeight="false" outlineLevel="0" collapsed="false">
      <c r="A8798" s="41"/>
      <c r="G8798" s="38" t="n">
        <f aca="false">MONTH(A8798)</f>
        <v>12</v>
      </c>
      <c r="H8798" s="38" t="n">
        <f aca="false">YEAR(Tabela1[[#This Row],[FECHA]])</f>
        <v>1900</v>
      </c>
      <c r="I87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799" customFormat="false" ht="15" hidden="false" customHeight="false" outlineLevel="0" collapsed="false">
      <c r="A8799" s="41"/>
      <c r="G8799" s="38" t="n">
        <f aca="false">MONTH(A8799)</f>
        <v>12</v>
      </c>
      <c r="H8799" s="38" t="n">
        <f aca="false">YEAR(Tabela1[[#This Row],[FECHA]])</f>
        <v>1900</v>
      </c>
      <c r="I87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00" customFormat="false" ht="15" hidden="false" customHeight="false" outlineLevel="0" collapsed="false">
      <c r="A8800" s="41"/>
      <c r="G8800" s="38" t="n">
        <f aca="false">MONTH(A8800)</f>
        <v>12</v>
      </c>
      <c r="H8800" s="38" t="n">
        <f aca="false">YEAR(Tabela1[[#This Row],[FECHA]])</f>
        <v>1900</v>
      </c>
      <c r="I88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01" customFormat="false" ht="15" hidden="false" customHeight="false" outlineLevel="0" collapsed="false">
      <c r="A8801" s="41"/>
      <c r="G8801" s="38" t="n">
        <f aca="false">MONTH(A8801)</f>
        <v>12</v>
      </c>
      <c r="H8801" s="38" t="n">
        <f aca="false">YEAR(Tabela1[[#This Row],[FECHA]])</f>
        <v>1900</v>
      </c>
      <c r="I88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02" customFormat="false" ht="15" hidden="false" customHeight="false" outlineLevel="0" collapsed="false">
      <c r="A8802" s="41"/>
      <c r="G8802" s="38" t="n">
        <f aca="false">MONTH(A8802)</f>
        <v>12</v>
      </c>
      <c r="H8802" s="38" t="n">
        <f aca="false">YEAR(Tabela1[[#This Row],[FECHA]])</f>
        <v>1900</v>
      </c>
      <c r="I88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03" customFormat="false" ht="15" hidden="false" customHeight="false" outlineLevel="0" collapsed="false">
      <c r="A8803" s="41"/>
      <c r="G8803" s="38" t="n">
        <f aca="false">MONTH(A8803)</f>
        <v>12</v>
      </c>
      <c r="H8803" s="38" t="n">
        <f aca="false">YEAR(Tabela1[[#This Row],[FECHA]])</f>
        <v>1900</v>
      </c>
      <c r="I88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04" customFormat="false" ht="15" hidden="false" customHeight="false" outlineLevel="0" collapsed="false">
      <c r="A8804" s="41"/>
      <c r="G8804" s="38" t="n">
        <f aca="false">MONTH(A8804)</f>
        <v>12</v>
      </c>
      <c r="H8804" s="38" t="n">
        <f aca="false">YEAR(Tabela1[[#This Row],[FECHA]])</f>
        <v>1900</v>
      </c>
      <c r="I88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05" customFormat="false" ht="15" hidden="false" customHeight="false" outlineLevel="0" collapsed="false">
      <c r="A8805" s="41"/>
      <c r="G8805" s="38" t="n">
        <f aca="false">MONTH(A8805)</f>
        <v>12</v>
      </c>
      <c r="H8805" s="38" t="n">
        <f aca="false">YEAR(Tabela1[[#This Row],[FECHA]])</f>
        <v>1900</v>
      </c>
      <c r="I88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06" customFormat="false" ht="15" hidden="false" customHeight="false" outlineLevel="0" collapsed="false">
      <c r="A8806" s="41"/>
      <c r="G8806" s="38" t="n">
        <f aca="false">MONTH(A8806)</f>
        <v>12</v>
      </c>
      <c r="H8806" s="38" t="n">
        <f aca="false">YEAR(Tabela1[[#This Row],[FECHA]])</f>
        <v>1900</v>
      </c>
      <c r="I88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07" customFormat="false" ht="15" hidden="false" customHeight="false" outlineLevel="0" collapsed="false">
      <c r="A8807" s="41"/>
      <c r="G8807" s="38" t="n">
        <f aca="false">MONTH(A8807)</f>
        <v>12</v>
      </c>
      <c r="H8807" s="38" t="n">
        <f aca="false">YEAR(Tabela1[[#This Row],[FECHA]])</f>
        <v>1900</v>
      </c>
      <c r="I88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08" customFormat="false" ht="15" hidden="false" customHeight="false" outlineLevel="0" collapsed="false">
      <c r="A8808" s="41"/>
      <c r="G8808" s="38" t="n">
        <f aca="false">MONTH(A8808)</f>
        <v>12</v>
      </c>
      <c r="H8808" s="38" t="n">
        <f aca="false">YEAR(Tabela1[[#This Row],[FECHA]])</f>
        <v>1900</v>
      </c>
      <c r="I88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09" customFormat="false" ht="15" hidden="false" customHeight="false" outlineLevel="0" collapsed="false">
      <c r="A8809" s="41"/>
      <c r="G8809" s="38" t="n">
        <f aca="false">MONTH(A8809)</f>
        <v>12</v>
      </c>
      <c r="H8809" s="38" t="n">
        <f aca="false">YEAR(Tabela1[[#This Row],[FECHA]])</f>
        <v>1900</v>
      </c>
      <c r="I88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10" customFormat="false" ht="15" hidden="false" customHeight="false" outlineLevel="0" collapsed="false">
      <c r="A8810" s="41"/>
      <c r="G8810" s="38" t="n">
        <f aca="false">MONTH(A8810)</f>
        <v>12</v>
      </c>
      <c r="H8810" s="38" t="n">
        <f aca="false">YEAR(Tabela1[[#This Row],[FECHA]])</f>
        <v>1900</v>
      </c>
      <c r="I88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11" customFormat="false" ht="15" hidden="false" customHeight="false" outlineLevel="0" collapsed="false">
      <c r="A8811" s="41"/>
      <c r="G8811" s="38" t="n">
        <f aca="false">MONTH(A8811)</f>
        <v>12</v>
      </c>
      <c r="H8811" s="38" t="n">
        <f aca="false">YEAR(Tabela1[[#This Row],[FECHA]])</f>
        <v>1900</v>
      </c>
      <c r="I88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12" customFormat="false" ht="15" hidden="false" customHeight="false" outlineLevel="0" collapsed="false">
      <c r="A8812" s="41"/>
      <c r="G8812" s="38" t="n">
        <f aca="false">MONTH(A8812)</f>
        <v>12</v>
      </c>
      <c r="H8812" s="38" t="n">
        <f aca="false">YEAR(Tabela1[[#This Row],[FECHA]])</f>
        <v>1900</v>
      </c>
      <c r="I88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13" customFormat="false" ht="15" hidden="false" customHeight="false" outlineLevel="0" collapsed="false">
      <c r="A8813" s="41"/>
      <c r="G8813" s="38" t="n">
        <f aca="false">MONTH(A8813)</f>
        <v>12</v>
      </c>
      <c r="H8813" s="38" t="n">
        <f aca="false">YEAR(Tabela1[[#This Row],[FECHA]])</f>
        <v>1900</v>
      </c>
      <c r="I88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14" customFormat="false" ht="15" hidden="false" customHeight="false" outlineLevel="0" collapsed="false">
      <c r="A8814" s="41"/>
      <c r="G8814" s="38" t="n">
        <f aca="false">MONTH(A8814)</f>
        <v>12</v>
      </c>
      <c r="H8814" s="38" t="n">
        <f aca="false">YEAR(Tabela1[[#This Row],[FECHA]])</f>
        <v>1900</v>
      </c>
      <c r="I88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15" customFormat="false" ht="15" hidden="false" customHeight="false" outlineLevel="0" collapsed="false">
      <c r="A8815" s="41"/>
      <c r="G8815" s="38" t="n">
        <f aca="false">MONTH(A8815)</f>
        <v>12</v>
      </c>
      <c r="H8815" s="38" t="n">
        <f aca="false">YEAR(Tabela1[[#This Row],[FECHA]])</f>
        <v>1900</v>
      </c>
      <c r="I88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16" customFormat="false" ht="15" hidden="false" customHeight="false" outlineLevel="0" collapsed="false">
      <c r="A8816" s="41"/>
      <c r="G8816" s="38" t="n">
        <f aca="false">MONTH(A8816)</f>
        <v>12</v>
      </c>
      <c r="H8816" s="38" t="n">
        <f aca="false">YEAR(Tabela1[[#This Row],[FECHA]])</f>
        <v>1900</v>
      </c>
      <c r="I88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17" customFormat="false" ht="15" hidden="false" customHeight="false" outlineLevel="0" collapsed="false">
      <c r="A8817" s="41"/>
      <c r="G8817" s="38" t="n">
        <f aca="false">MONTH(A8817)</f>
        <v>12</v>
      </c>
      <c r="H8817" s="38" t="n">
        <f aca="false">YEAR(Tabela1[[#This Row],[FECHA]])</f>
        <v>1900</v>
      </c>
      <c r="I88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18" customFormat="false" ht="15" hidden="false" customHeight="false" outlineLevel="0" collapsed="false">
      <c r="A8818" s="41"/>
      <c r="G8818" s="38" t="n">
        <f aca="false">MONTH(A8818)</f>
        <v>12</v>
      </c>
      <c r="H8818" s="38" t="n">
        <f aca="false">YEAR(Tabela1[[#This Row],[FECHA]])</f>
        <v>1900</v>
      </c>
      <c r="I88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19" customFormat="false" ht="15" hidden="false" customHeight="false" outlineLevel="0" collapsed="false">
      <c r="A8819" s="41"/>
      <c r="G8819" s="38" t="n">
        <f aca="false">MONTH(A8819)</f>
        <v>12</v>
      </c>
      <c r="H8819" s="38" t="n">
        <f aca="false">YEAR(Tabela1[[#This Row],[FECHA]])</f>
        <v>1900</v>
      </c>
      <c r="I88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20" customFormat="false" ht="15" hidden="false" customHeight="false" outlineLevel="0" collapsed="false">
      <c r="A8820" s="41"/>
      <c r="G8820" s="38" t="n">
        <f aca="false">MONTH(A8820)</f>
        <v>12</v>
      </c>
      <c r="H8820" s="38" t="n">
        <f aca="false">YEAR(Tabela1[[#This Row],[FECHA]])</f>
        <v>1900</v>
      </c>
      <c r="I88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21" customFormat="false" ht="15" hidden="false" customHeight="false" outlineLevel="0" collapsed="false">
      <c r="A8821" s="41"/>
      <c r="G8821" s="38" t="n">
        <f aca="false">MONTH(A8821)</f>
        <v>12</v>
      </c>
      <c r="H8821" s="38" t="n">
        <f aca="false">YEAR(Tabela1[[#This Row],[FECHA]])</f>
        <v>1900</v>
      </c>
      <c r="I88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22" customFormat="false" ht="15" hidden="false" customHeight="false" outlineLevel="0" collapsed="false">
      <c r="A8822" s="41"/>
      <c r="G8822" s="38" t="n">
        <f aca="false">MONTH(A8822)</f>
        <v>12</v>
      </c>
      <c r="H8822" s="38" t="n">
        <f aca="false">YEAR(Tabela1[[#This Row],[FECHA]])</f>
        <v>1900</v>
      </c>
      <c r="I88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23" customFormat="false" ht="15" hidden="false" customHeight="false" outlineLevel="0" collapsed="false">
      <c r="A8823" s="41"/>
      <c r="G8823" s="38" t="n">
        <f aca="false">MONTH(A8823)</f>
        <v>12</v>
      </c>
      <c r="H8823" s="38" t="n">
        <f aca="false">YEAR(Tabela1[[#This Row],[FECHA]])</f>
        <v>1900</v>
      </c>
      <c r="I88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24" customFormat="false" ht="15" hidden="false" customHeight="false" outlineLevel="0" collapsed="false">
      <c r="A8824" s="41"/>
      <c r="G8824" s="38" t="n">
        <f aca="false">MONTH(A8824)</f>
        <v>12</v>
      </c>
      <c r="H8824" s="38" t="n">
        <f aca="false">YEAR(Tabela1[[#This Row],[FECHA]])</f>
        <v>1900</v>
      </c>
      <c r="I88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25" customFormat="false" ht="15" hidden="false" customHeight="false" outlineLevel="0" collapsed="false">
      <c r="A8825" s="41"/>
      <c r="G8825" s="38" t="n">
        <f aca="false">MONTH(A8825)</f>
        <v>12</v>
      </c>
      <c r="H8825" s="38" t="n">
        <f aca="false">YEAR(Tabela1[[#This Row],[FECHA]])</f>
        <v>1900</v>
      </c>
      <c r="I88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26" customFormat="false" ht="15" hidden="false" customHeight="false" outlineLevel="0" collapsed="false">
      <c r="A8826" s="41"/>
      <c r="G8826" s="38" t="n">
        <f aca="false">MONTH(A8826)</f>
        <v>12</v>
      </c>
      <c r="H8826" s="38" t="n">
        <f aca="false">YEAR(Tabela1[[#This Row],[FECHA]])</f>
        <v>1900</v>
      </c>
      <c r="I88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27" customFormat="false" ht="15" hidden="false" customHeight="false" outlineLevel="0" collapsed="false">
      <c r="A8827" s="41"/>
      <c r="G8827" s="38" t="n">
        <f aca="false">MONTH(A8827)</f>
        <v>12</v>
      </c>
      <c r="H8827" s="38" t="n">
        <f aca="false">YEAR(Tabela1[[#This Row],[FECHA]])</f>
        <v>1900</v>
      </c>
      <c r="I88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28" customFormat="false" ht="15" hidden="false" customHeight="false" outlineLevel="0" collapsed="false">
      <c r="A8828" s="41"/>
      <c r="G8828" s="38" t="n">
        <f aca="false">MONTH(A8828)</f>
        <v>12</v>
      </c>
      <c r="H8828" s="38" t="n">
        <f aca="false">YEAR(Tabela1[[#This Row],[FECHA]])</f>
        <v>1900</v>
      </c>
      <c r="I88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29" customFormat="false" ht="15" hidden="false" customHeight="false" outlineLevel="0" collapsed="false">
      <c r="A8829" s="41"/>
      <c r="G8829" s="38" t="n">
        <f aca="false">MONTH(A8829)</f>
        <v>12</v>
      </c>
      <c r="H8829" s="38" t="n">
        <f aca="false">YEAR(Tabela1[[#This Row],[FECHA]])</f>
        <v>1900</v>
      </c>
      <c r="I88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30" customFormat="false" ht="15" hidden="false" customHeight="false" outlineLevel="0" collapsed="false">
      <c r="A8830" s="41"/>
      <c r="G8830" s="38" t="n">
        <f aca="false">MONTH(A8830)</f>
        <v>12</v>
      </c>
      <c r="H8830" s="38" t="n">
        <f aca="false">YEAR(Tabela1[[#This Row],[FECHA]])</f>
        <v>1900</v>
      </c>
      <c r="I88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31" customFormat="false" ht="15" hidden="false" customHeight="false" outlineLevel="0" collapsed="false">
      <c r="A8831" s="41"/>
      <c r="G8831" s="38" t="n">
        <f aca="false">MONTH(A8831)</f>
        <v>12</v>
      </c>
      <c r="H8831" s="38" t="n">
        <f aca="false">YEAR(Tabela1[[#This Row],[FECHA]])</f>
        <v>1900</v>
      </c>
      <c r="I88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32" customFormat="false" ht="15" hidden="false" customHeight="false" outlineLevel="0" collapsed="false">
      <c r="A8832" s="41"/>
      <c r="G8832" s="38" t="n">
        <f aca="false">MONTH(A8832)</f>
        <v>12</v>
      </c>
      <c r="H8832" s="38" t="n">
        <f aca="false">YEAR(Tabela1[[#This Row],[FECHA]])</f>
        <v>1900</v>
      </c>
      <c r="I88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33" customFormat="false" ht="15" hidden="false" customHeight="false" outlineLevel="0" collapsed="false">
      <c r="A8833" s="41"/>
      <c r="G8833" s="38" t="n">
        <f aca="false">MONTH(A8833)</f>
        <v>12</v>
      </c>
      <c r="H8833" s="38" t="n">
        <f aca="false">YEAR(Tabela1[[#This Row],[FECHA]])</f>
        <v>1900</v>
      </c>
      <c r="I88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34" customFormat="false" ht="15" hidden="false" customHeight="false" outlineLevel="0" collapsed="false">
      <c r="A8834" s="41"/>
      <c r="G8834" s="38" t="n">
        <f aca="false">MONTH(A8834)</f>
        <v>12</v>
      </c>
      <c r="H8834" s="38" t="n">
        <f aca="false">YEAR(Tabela1[[#This Row],[FECHA]])</f>
        <v>1900</v>
      </c>
      <c r="I88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35" customFormat="false" ht="15" hidden="false" customHeight="false" outlineLevel="0" collapsed="false">
      <c r="A8835" s="41"/>
      <c r="G8835" s="38" t="n">
        <f aca="false">MONTH(A8835)</f>
        <v>12</v>
      </c>
      <c r="H8835" s="38" t="n">
        <f aca="false">YEAR(Tabela1[[#This Row],[FECHA]])</f>
        <v>1900</v>
      </c>
      <c r="I88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36" customFormat="false" ht="15" hidden="false" customHeight="false" outlineLevel="0" collapsed="false">
      <c r="A8836" s="41"/>
      <c r="G8836" s="38" t="n">
        <f aca="false">MONTH(A8836)</f>
        <v>12</v>
      </c>
      <c r="H8836" s="38" t="n">
        <f aca="false">YEAR(Tabela1[[#This Row],[FECHA]])</f>
        <v>1900</v>
      </c>
      <c r="I88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37" customFormat="false" ht="15" hidden="false" customHeight="false" outlineLevel="0" collapsed="false">
      <c r="A8837" s="41"/>
      <c r="G8837" s="38" t="n">
        <f aca="false">MONTH(A8837)</f>
        <v>12</v>
      </c>
      <c r="H8837" s="38" t="n">
        <f aca="false">YEAR(Tabela1[[#This Row],[FECHA]])</f>
        <v>1900</v>
      </c>
      <c r="I88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38" customFormat="false" ht="15" hidden="false" customHeight="false" outlineLevel="0" collapsed="false">
      <c r="A8838" s="41"/>
      <c r="G8838" s="38" t="n">
        <f aca="false">MONTH(A8838)</f>
        <v>12</v>
      </c>
      <c r="H8838" s="38" t="n">
        <f aca="false">YEAR(Tabela1[[#This Row],[FECHA]])</f>
        <v>1900</v>
      </c>
      <c r="I88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39" customFormat="false" ht="15" hidden="false" customHeight="false" outlineLevel="0" collapsed="false">
      <c r="A8839" s="41"/>
      <c r="G8839" s="38" t="n">
        <f aca="false">MONTH(A8839)</f>
        <v>12</v>
      </c>
      <c r="H8839" s="38" t="n">
        <f aca="false">YEAR(Tabela1[[#This Row],[FECHA]])</f>
        <v>1900</v>
      </c>
      <c r="I88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40" customFormat="false" ht="15" hidden="false" customHeight="false" outlineLevel="0" collapsed="false">
      <c r="A8840" s="41"/>
      <c r="G8840" s="38" t="n">
        <f aca="false">MONTH(A8840)</f>
        <v>12</v>
      </c>
      <c r="H8840" s="38" t="n">
        <f aca="false">YEAR(Tabela1[[#This Row],[FECHA]])</f>
        <v>1900</v>
      </c>
      <c r="I88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41" customFormat="false" ht="15" hidden="false" customHeight="false" outlineLevel="0" collapsed="false">
      <c r="A8841" s="41"/>
      <c r="G8841" s="38" t="n">
        <f aca="false">MONTH(A8841)</f>
        <v>12</v>
      </c>
      <c r="H8841" s="38" t="n">
        <f aca="false">YEAR(Tabela1[[#This Row],[FECHA]])</f>
        <v>1900</v>
      </c>
      <c r="I88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42" customFormat="false" ht="15" hidden="false" customHeight="false" outlineLevel="0" collapsed="false">
      <c r="A8842" s="41"/>
      <c r="G8842" s="38" t="n">
        <f aca="false">MONTH(A8842)</f>
        <v>12</v>
      </c>
      <c r="H8842" s="38" t="n">
        <f aca="false">YEAR(Tabela1[[#This Row],[FECHA]])</f>
        <v>1900</v>
      </c>
      <c r="I88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43" customFormat="false" ht="15" hidden="false" customHeight="false" outlineLevel="0" collapsed="false">
      <c r="A8843" s="41"/>
      <c r="G8843" s="38" t="n">
        <f aca="false">MONTH(A8843)</f>
        <v>12</v>
      </c>
      <c r="H8843" s="38" t="n">
        <f aca="false">YEAR(Tabela1[[#This Row],[FECHA]])</f>
        <v>1900</v>
      </c>
      <c r="I88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44" customFormat="false" ht="15" hidden="false" customHeight="false" outlineLevel="0" collapsed="false">
      <c r="A8844" s="41"/>
      <c r="G8844" s="38" t="n">
        <f aca="false">MONTH(A8844)</f>
        <v>12</v>
      </c>
      <c r="H8844" s="38" t="n">
        <f aca="false">YEAR(Tabela1[[#This Row],[FECHA]])</f>
        <v>1900</v>
      </c>
      <c r="I88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45" customFormat="false" ht="15" hidden="false" customHeight="false" outlineLevel="0" collapsed="false">
      <c r="A8845" s="41"/>
      <c r="G8845" s="38" t="n">
        <f aca="false">MONTH(A8845)</f>
        <v>12</v>
      </c>
      <c r="H8845" s="38" t="n">
        <f aca="false">YEAR(Tabela1[[#This Row],[FECHA]])</f>
        <v>1900</v>
      </c>
      <c r="I88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46" customFormat="false" ht="15" hidden="false" customHeight="false" outlineLevel="0" collapsed="false">
      <c r="A8846" s="41"/>
      <c r="G8846" s="38" t="n">
        <f aca="false">MONTH(A8846)</f>
        <v>12</v>
      </c>
      <c r="H8846" s="38" t="n">
        <f aca="false">YEAR(Tabela1[[#This Row],[FECHA]])</f>
        <v>1900</v>
      </c>
      <c r="I88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47" customFormat="false" ht="15" hidden="false" customHeight="false" outlineLevel="0" collapsed="false">
      <c r="A8847" s="41"/>
      <c r="G8847" s="38" t="n">
        <f aca="false">MONTH(A8847)</f>
        <v>12</v>
      </c>
      <c r="H8847" s="38" t="n">
        <f aca="false">YEAR(Tabela1[[#This Row],[FECHA]])</f>
        <v>1900</v>
      </c>
      <c r="I88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48" customFormat="false" ht="15" hidden="false" customHeight="false" outlineLevel="0" collapsed="false">
      <c r="A8848" s="41"/>
      <c r="G8848" s="38" t="n">
        <f aca="false">MONTH(A8848)</f>
        <v>12</v>
      </c>
      <c r="H8848" s="38" t="n">
        <f aca="false">YEAR(Tabela1[[#This Row],[FECHA]])</f>
        <v>1900</v>
      </c>
      <c r="I88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49" customFormat="false" ht="15" hidden="false" customHeight="false" outlineLevel="0" collapsed="false">
      <c r="A8849" s="41"/>
      <c r="G8849" s="38" t="n">
        <f aca="false">MONTH(A8849)</f>
        <v>12</v>
      </c>
      <c r="H8849" s="38" t="n">
        <f aca="false">YEAR(Tabela1[[#This Row],[FECHA]])</f>
        <v>1900</v>
      </c>
      <c r="I88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50" customFormat="false" ht="15" hidden="false" customHeight="false" outlineLevel="0" collapsed="false">
      <c r="A8850" s="41"/>
      <c r="G8850" s="38" t="n">
        <f aca="false">MONTH(A8850)</f>
        <v>12</v>
      </c>
      <c r="H8850" s="38" t="n">
        <f aca="false">YEAR(Tabela1[[#This Row],[FECHA]])</f>
        <v>1900</v>
      </c>
      <c r="I88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51" customFormat="false" ht="15" hidden="false" customHeight="false" outlineLevel="0" collapsed="false">
      <c r="A8851" s="41"/>
      <c r="G8851" s="38" t="n">
        <f aca="false">MONTH(A8851)</f>
        <v>12</v>
      </c>
      <c r="H8851" s="38" t="n">
        <f aca="false">YEAR(Tabela1[[#This Row],[FECHA]])</f>
        <v>1900</v>
      </c>
      <c r="I88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52" customFormat="false" ht="15" hidden="false" customHeight="false" outlineLevel="0" collapsed="false">
      <c r="A8852" s="41"/>
      <c r="G8852" s="38" t="n">
        <f aca="false">MONTH(A8852)</f>
        <v>12</v>
      </c>
      <c r="H8852" s="38" t="n">
        <f aca="false">YEAR(Tabela1[[#This Row],[FECHA]])</f>
        <v>1900</v>
      </c>
      <c r="I88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53" customFormat="false" ht="15" hidden="false" customHeight="false" outlineLevel="0" collapsed="false">
      <c r="A8853" s="41"/>
      <c r="G8853" s="38" t="n">
        <f aca="false">MONTH(A8853)</f>
        <v>12</v>
      </c>
      <c r="H8853" s="38" t="n">
        <f aca="false">YEAR(Tabela1[[#This Row],[FECHA]])</f>
        <v>1900</v>
      </c>
      <c r="I88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54" customFormat="false" ht="15" hidden="false" customHeight="false" outlineLevel="0" collapsed="false">
      <c r="A8854" s="41"/>
      <c r="G8854" s="38" t="n">
        <f aca="false">MONTH(A8854)</f>
        <v>12</v>
      </c>
      <c r="H8854" s="38" t="n">
        <f aca="false">YEAR(Tabela1[[#This Row],[FECHA]])</f>
        <v>1900</v>
      </c>
      <c r="I88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55" customFormat="false" ht="15" hidden="false" customHeight="false" outlineLevel="0" collapsed="false">
      <c r="A8855" s="41"/>
      <c r="G8855" s="38" t="n">
        <f aca="false">MONTH(A8855)</f>
        <v>12</v>
      </c>
      <c r="H8855" s="38" t="n">
        <f aca="false">YEAR(Tabela1[[#This Row],[FECHA]])</f>
        <v>1900</v>
      </c>
      <c r="I88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56" customFormat="false" ht="15" hidden="false" customHeight="false" outlineLevel="0" collapsed="false">
      <c r="A8856" s="41"/>
      <c r="G8856" s="38" t="n">
        <f aca="false">MONTH(A8856)</f>
        <v>12</v>
      </c>
      <c r="H8856" s="38" t="n">
        <f aca="false">YEAR(Tabela1[[#This Row],[FECHA]])</f>
        <v>1900</v>
      </c>
      <c r="I88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57" customFormat="false" ht="15" hidden="false" customHeight="false" outlineLevel="0" collapsed="false">
      <c r="A8857" s="41"/>
      <c r="G8857" s="38" t="n">
        <f aca="false">MONTH(A8857)</f>
        <v>12</v>
      </c>
      <c r="H8857" s="38" t="n">
        <f aca="false">YEAR(Tabela1[[#This Row],[FECHA]])</f>
        <v>1900</v>
      </c>
      <c r="I88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58" customFormat="false" ht="15" hidden="false" customHeight="false" outlineLevel="0" collapsed="false">
      <c r="A8858" s="41"/>
      <c r="G8858" s="38" t="n">
        <f aca="false">MONTH(A8858)</f>
        <v>12</v>
      </c>
      <c r="H8858" s="38" t="n">
        <f aca="false">YEAR(Tabela1[[#This Row],[FECHA]])</f>
        <v>1900</v>
      </c>
      <c r="I88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59" customFormat="false" ht="15" hidden="false" customHeight="false" outlineLevel="0" collapsed="false">
      <c r="A8859" s="41"/>
      <c r="G8859" s="38" t="n">
        <f aca="false">MONTH(A8859)</f>
        <v>12</v>
      </c>
      <c r="H8859" s="38" t="n">
        <f aca="false">YEAR(Tabela1[[#This Row],[FECHA]])</f>
        <v>1900</v>
      </c>
      <c r="I88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60" customFormat="false" ht="15" hidden="false" customHeight="false" outlineLevel="0" collapsed="false">
      <c r="A8860" s="41"/>
      <c r="G8860" s="38" t="n">
        <f aca="false">MONTH(A8860)</f>
        <v>12</v>
      </c>
      <c r="H8860" s="38" t="n">
        <f aca="false">YEAR(Tabela1[[#This Row],[FECHA]])</f>
        <v>1900</v>
      </c>
      <c r="I88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61" customFormat="false" ht="15" hidden="false" customHeight="false" outlineLevel="0" collapsed="false">
      <c r="A8861" s="41"/>
      <c r="G8861" s="38" t="n">
        <f aca="false">MONTH(A8861)</f>
        <v>12</v>
      </c>
      <c r="H8861" s="38" t="n">
        <f aca="false">YEAR(Tabela1[[#This Row],[FECHA]])</f>
        <v>1900</v>
      </c>
      <c r="I88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62" customFormat="false" ht="15" hidden="false" customHeight="false" outlineLevel="0" collapsed="false">
      <c r="A8862" s="41"/>
      <c r="G8862" s="38" t="n">
        <f aca="false">MONTH(A8862)</f>
        <v>12</v>
      </c>
      <c r="H8862" s="38" t="n">
        <f aca="false">YEAR(Tabela1[[#This Row],[FECHA]])</f>
        <v>1900</v>
      </c>
      <c r="I88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63" customFormat="false" ht="15" hidden="false" customHeight="false" outlineLevel="0" collapsed="false">
      <c r="A8863" s="41"/>
      <c r="G8863" s="38" t="n">
        <f aca="false">MONTH(A8863)</f>
        <v>12</v>
      </c>
      <c r="H8863" s="38" t="n">
        <f aca="false">YEAR(Tabela1[[#This Row],[FECHA]])</f>
        <v>1900</v>
      </c>
      <c r="I88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64" customFormat="false" ht="15" hidden="false" customHeight="false" outlineLevel="0" collapsed="false">
      <c r="A8864" s="41"/>
      <c r="G8864" s="38" t="n">
        <f aca="false">MONTH(A8864)</f>
        <v>12</v>
      </c>
      <c r="H8864" s="38" t="n">
        <f aca="false">YEAR(Tabela1[[#This Row],[FECHA]])</f>
        <v>1900</v>
      </c>
      <c r="I88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65" customFormat="false" ht="15" hidden="false" customHeight="false" outlineLevel="0" collapsed="false">
      <c r="A8865" s="41"/>
      <c r="G8865" s="38" t="n">
        <f aca="false">MONTH(A8865)</f>
        <v>12</v>
      </c>
      <c r="H8865" s="38" t="n">
        <f aca="false">YEAR(Tabela1[[#This Row],[FECHA]])</f>
        <v>1900</v>
      </c>
      <c r="I88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66" customFormat="false" ht="15" hidden="false" customHeight="false" outlineLevel="0" collapsed="false">
      <c r="A8866" s="41"/>
      <c r="G8866" s="38" t="n">
        <f aca="false">MONTH(A8866)</f>
        <v>12</v>
      </c>
      <c r="H8866" s="38" t="n">
        <f aca="false">YEAR(Tabela1[[#This Row],[FECHA]])</f>
        <v>1900</v>
      </c>
      <c r="I88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67" customFormat="false" ht="15" hidden="false" customHeight="false" outlineLevel="0" collapsed="false">
      <c r="A8867" s="41"/>
      <c r="G8867" s="38" t="n">
        <f aca="false">MONTH(A8867)</f>
        <v>12</v>
      </c>
      <c r="H8867" s="38" t="n">
        <f aca="false">YEAR(Tabela1[[#This Row],[FECHA]])</f>
        <v>1900</v>
      </c>
      <c r="I88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68" customFormat="false" ht="15" hidden="false" customHeight="false" outlineLevel="0" collapsed="false">
      <c r="A8868" s="41"/>
      <c r="G8868" s="38" t="n">
        <f aca="false">MONTH(A8868)</f>
        <v>12</v>
      </c>
      <c r="H8868" s="38" t="n">
        <f aca="false">YEAR(Tabela1[[#This Row],[FECHA]])</f>
        <v>1900</v>
      </c>
      <c r="I88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69" customFormat="false" ht="15" hidden="false" customHeight="false" outlineLevel="0" collapsed="false">
      <c r="A8869" s="41"/>
      <c r="G8869" s="38" t="n">
        <f aca="false">MONTH(A8869)</f>
        <v>12</v>
      </c>
      <c r="H8869" s="38" t="n">
        <f aca="false">YEAR(Tabela1[[#This Row],[FECHA]])</f>
        <v>1900</v>
      </c>
      <c r="I88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70" customFormat="false" ht="15" hidden="false" customHeight="false" outlineLevel="0" collapsed="false">
      <c r="A8870" s="41"/>
      <c r="G8870" s="38" t="n">
        <f aca="false">MONTH(A8870)</f>
        <v>12</v>
      </c>
      <c r="H8870" s="38" t="n">
        <f aca="false">YEAR(Tabela1[[#This Row],[FECHA]])</f>
        <v>1900</v>
      </c>
      <c r="I88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71" customFormat="false" ht="15" hidden="false" customHeight="false" outlineLevel="0" collapsed="false">
      <c r="A8871" s="41"/>
      <c r="G8871" s="38" t="n">
        <f aca="false">MONTH(A8871)</f>
        <v>12</v>
      </c>
      <c r="H8871" s="38" t="n">
        <f aca="false">YEAR(Tabela1[[#This Row],[FECHA]])</f>
        <v>1900</v>
      </c>
      <c r="I88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72" customFormat="false" ht="15" hidden="false" customHeight="false" outlineLevel="0" collapsed="false">
      <c r="A8872" s="41"/>
      <c r="G8872" s="38" t="n">
        <f aca="false">MONTH(A8872)</f>
        <v>12</v>
      </c>
      <c r="H8872" s="38" t="n">
        <f aca="false">YEAR(Tabela1[[#This Row],[FECHA]])</f>
        <v>1900</v>
      </c>
      <c r="I88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73" customFormat="false" ht="15" hidden="false" customHeight="false" outlineLevel="0" collapsed="false">
      <c r="A8873" s="41"/>
      <c r="G8873" s="38" t="n">
        <f aca="false">MONTH(A8873)</f>
        <v>12</v>
      </c>
      <c r="H8873" s="38" t="n">
        <f aca="false">YEAR(Tabela1[[#This Row],[FECHA]])</f>
        <v>1900</v>
      </c>
      <c r="I88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74" customFormat="false" ht="15" hidden="false" customHeight="false" outlineLevel="0" collapsed="false">
      <c r="A8874" s="41"/>
      <c r="G8874" s="38" t="n">
        <f aca="false">MONTH(A8874)</f>
        <v>12</v>
      </c>
      <c r="H8874" s="38" t="n">
        <f aca="false">YEAR(Tabela1[[#This Row],[FECHA]])</f>
        <v>1900</v>
      </c>
      <c r="I88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75" customFormat="false" ht="15" hidden="false" customHeight="false" outlineLevel="0" collapsed="false">
      <c r="A8875" s="41"/>
      <c r="G8875" s="38" t="n">
        <f aca="false">MONTH(A8875)</f>
        <v>12</v>
      </c>
      <c r="H8875" s="38" t="n">
        <f aca="false">YEAR(Tabela1[[#This Row],[FECHA]])</f>
        <v>1900</v>
      </c>
      <c r="I88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76" customFormat="false" ht="15" hidden="false" customHeight="false" outlineLevel="0" collapsed="false">
      <c r="A8876" s="41"/>
      <c r="G8876" s="38" t="n">
        <f aca="false">MONTH(A8876)</f>
        <v>12</v>
      </c>
      <c r="H8876" s="38" t="n">
        <f aca="false">YEAR(Tabela1[[#This Row],[FECHA]])</f>
        <v>1900</v>
      </c>
      <c r="I88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77" customFormat="false" ht="15" hidden="false" customHeight="false" outlineLevel="0" collapsed="false">
      <c r="A8877" s="41"/>
      <c r="G8877" s="38" t="n">
        <f aca="false">MONTH(A8877)</f>
        <v>12</v>
      </c>
      <c r="H8877" s="38" t="n">
        <f aca="false">YEAR(Tabela1[[#This Row],[FECHA]])</f>
        <v>1900</v>
      </c>
      <c r="I88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78" customFormat="false" ht="15" hidden="false" customHeight="false" outlineLevel="0" collapsed="false">
      <c r="A8878" s="41"/>
      <c r="G8878" s="38" t="n">
        <f aca="false">MONTH(A8878)</f>
        <v>12</v>
      </c>
      <c r="H8878" s="38" t="n">
        <f aca="false">YEAR(Tabela1[[#This Row],[FECHA]])</f>
        <v>1900</v>
      </c>
      <c r="I88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79" customFormat="false" ht="15" hidden="false" customHeight="false" outlineLevel="0" collapsed="false">
      <c r="A8879" s="41"/>
      <c r="G8879" s="38" t="n">
        <f aca="false">MONTH(A8879)</f>
        <v>12</v>
      </c>
      <c r="H8879" s="38" t="n">
        <f aca="false">YEAR(Tabela1[[#This Row],[FECHA]])</f>
        <v>1900</v>
      </c>
      <c r="I88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80" customFormat="false" ht="15" hidden="false" customHeight="false" outlineLevel="0" collapsed="false">
      <c r="A8880" s="41"/>
      <c r="G8880" s="38" t="n">
        <f aca="false">MONTH(A8880)</f>
        <v>12</v>
      </c>
      <c r="H8880" s="38" t="n">
        <f aca="false">YEAR(Tabela1[[#This Row],[FECHA]])</f>
        <v>1900</v>
      </c>
      <c r="I88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81" customFormat="false" ht="15" hidden="false" customHeight="false" outlineLevel="0" collapsed="false">
      <c r="A8881" s="41"/>
      <c r="G8881" s="38" t="n">
        <f aca="false">MONTH(A8881)</f>
        <v>12</v>
      </c>
      <c r="H8881" s="38" t="n">
        <f aca="false">YEAR(Tabela1[[#This Row],[FECHA]])</f>
        <v>1900</v>
      </c>
      <c r="I88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82" customFormat="false" ht="15" hidden="false" customHeight="false" outlineLevel="0" collapsed="false">
      <c r="A8882" s="41"/>
      <c r="G8882" s="38" t="n">
        <f aca="false">MONTH(A8882)</f>
        <v>12</v>
      </c>
      <c r="H8882" s="38" t="n">
        <f aca="false">YEAR(Tabela1[[#This Row],[FECHA]])</f>
        <v>1900</v>
      </c>
      <c r="I88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83" customFormat="false" ht="15" hidden="false" customHeight="false" outlineLevel="0" collapsed="false">
      <c r="A8883" s="41"/>
      <c r="G8883" s="38" t="n">
        <f aca="false">MONTH(A8883)</f>
        <v>12</v>
      </c>
      <c r="H8883" s="38" t="n">
        <f aca="false">YEAR(Tabela1[[#This Row],[FECHA]])</f>
        <v>1900</v>
      </c>
      <c r="I88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84" customFormat="false" ht="15" hidden="false" customHeight="false" outlineLevel="0" collapsed="false">
      <c r="A8884" s="41"/>
      <c r="G8884" s="38" t="n">
        <f aca="false">MONTH(A8884)</f>
        <v>12</v>
      </c>
      <c r="H8884" s="38" t="n">
        <f aca="false">YEAR(Tabela1[[#This Row],[FECHA]])</f>
        <v>1900</v>
      </c>
      <c r="I88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85" customFormat="false" ht="15" hidden="false" customHeight="false" outlineLevel="0" collapsed="false">
      <c r="A8885" s="41"/>
      <c r="G8885" s="38" t="n">
        <f aca="false">MONTH(A8885)</f>
        <v>12</v>
      </c>
      <c r="H8885" s="38" t="n">
        <f aca="false">YEAR(Tabela1[[#This Row],[FECHA]])</f>
        <v>1900</v>
      </c>
      <c r="I88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86" customFormat="false" ht="15" hidden="false" customHeight="false" outlineLevel="0" collapsed="false">
      <c r="A8886" s="41"/>
      <c r="G8886" s="38" t="n">
        <f aca="false">MONTH(A8886)</f>
        <v>12</v>
      </c>
      <c r="H8886" s="38" t="n">
        <f aca="false">YEAR(Tabela1[[#This Row],[FECHA]])</f>
        <v>1900</v>
      </c>
      <c r="I88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87" customFormat="false" ht="15" hidden="false" customHeight="false" outlineLevel="0" collapsed="false">
      <c r="A8887" s="41"/>
      <c r="G8887" s="38" t="n">
        <f aca="false">MONTH(A8887)</f>
        <v>12</v>
      </c>
      <c r="H8887" s="38" t="n">
        <f aca="false">YEAR(Tabela1[[#This Row],[FECHA]])</f>
        <v>1900</v>
      </c>
      <c r="I88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88" customFormat="false" ht="15" hidden="false" customHeight="false" outlineLevel="0" collapsed="false">
      <c r="A8888" s="41"/>
      <c r="G8888" s="38" t="n">
        <f aca="false">MONTH(A8888)</f>
        <v>12</v>
      </c>
      <c r="H8888" s="38" t="n">
        <f aca="false">YEAR(Tabela1[[#This Row],[FECHA]])</f>
        <v>1900</v>
      </c>
      <c r="I88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89" customFormat="false" ht="15" hidden="false" customHeight="false" outlineLevel="0" collapsed="false">
      <c r="A8889" s="41"/>
      <c r="G8889" s="38" t="n">
        <f aca="false">MONTH(A8889)</f>
        <v>12</v>
      </c>
      <c r="H8889" s="38" t="n">
        <f aca="false">YEAR(Tabela1[[#This Row],[FECHA]])</f>
        <v>1900</v>
      </c>
      <c r="I88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90" customFormat="false" ht="15" hidden="false" customHeight="false" outlineLevel="0" collapsed="false">
      <c r="A8890" s="41"/>
      <c r="G8890" s="38" t="n">
        <f aca="false">MONTH(A8890)</f>
        <v>12</v>
      </c>
      <c r="H8890" s="38" t="n">
        <f aca="false">YEAR(Tabela1[[#This Row],[FECHA]])</f>
        <v>1900</v>
      </c>
      <c r="I88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91" customFormat="false" ht="15" hidden="false" customHeight="false" outlineLevel="0" collapsed="false">
      <c r="A8891" s="41"/>
      <c r="G8891" s="38" t="n">
        <f aca="false">MONTH(A8891)</f>
        <v>12</v>
      </c>
      <c r="H8891" s="38" t="n">
        <f aca="false">YEAR(Tabela1[[#This Row],[FECHA]])</f>
        <v>1900</v>
      </c>
      <c r="I88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92" customFormat="false" ht="15" hidden="false" customHeight="false" outlineLevel="0" collapsed="false">
      <c r="A8892" s="41"/>
      <c r="G8892" s="38" t="n">
        <f aca="false">MONTH(A8892)</f>
        <v>12</v>
      </c>
      <c r="H8892" s="38" t="n">
        <f aca="false">YEAR(Tabela1[[#This Row],[FECHA]])</f>
        <v>1900</v>
      </c>
      <c r="I88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93" customFormat="false" ht="15" hidden="false" customHeight="false" outlineLevel="0" collapsed="false">
      <c r="A8893" s="41"/>
      <c r="G8893" s="38" t="n">
        <f aca="false">MONTH(A8893)</f>
        <v>12</v>
      </c>
      <c r="H8893" s="38" t="n">
        <f aca="false">YEAR(Tabela1[[#This Row],[FECHA]])</f>
        <v>1900</v>
      </c>
      <c r="I88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94" customFormat="false" ht="15" hidden="false" customHeight="false" outlineLevel="0" collapsed="false">
      <c r="A8894" s="41"/>
      <c r="G8894" s="38" t="n">
        <f aca="false">MONTH(A8894)</f>
        <v>12</v>
      </c>
      <c r="H8894" s="38" t="n">
        <f aca="false">YEAR(Tabela1[[#This Row],[FECHA]])</f>
        <v>1900</v>
      </c>
      <c r="I88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95" customFormat="false" ht="15" hidden="false" customHeight="false" outlineLevel="0" collapsed="false">
      <c r="A8895" s="41"/>
      <c r="G8895" s="38" t="n">
        <f aca="false">MONTH(A8895)</f>
        <v>12</v>
      </c>
      <c r="H8895" s="38" t="n">
        <f aca="false">YEAR(Tabela1[[#This Row],[FECHA]])</f>
        <v>1900</v>
      </c>
      <c r="I88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96" customFormat="false" ht="15" hidden="false" customHeight="false" outlineLevel="0" collapsed="false">
      <c r="A8896" s="41"/>
      <c r="G8896" s="38" t="n">
        <f aca="false">MONTH(A8896)</f>
        <v>12</v>
      </c>
      <c r="H8896" s="38" t="n">
        <f aca="false">YEAR(Tabela1[[#This Row],[FECHA]])</f>
        <v>1900</v>
      </c>
      <c r="I88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97" customFormat="false" ht="15" hidden="false" customHeight="false" outlineLevel="0" collapsed="false">
      <c r="A8897" s="41"/>
      <c r="G8897" s="38" t="n">
        <f aca="false">MONTH(A8897)</f>
        <v>12</v>
      </c>
      <c r="H8897" s="38" t="n">
        <f aca="false">YEAR(Tabela1[[#This Row],[FECHA]])</f>
        <v>1900</v>
      </c>
      <c r="I88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98" customFormat="false" ht="15" hidden="false" customHeight="false" outlineLevel="0" collapsed="false">
      <c r="A8898" s="41"/>
      <c r="G8898" s="38" t="n">
        <f aca="false">MONTH(A8898)</f>
        <v>12</v>
      </c>
      <c r="H8898" s="38" t="n">
        <f aca="false">YEAR(Tabela1[[#This Row],[FECHA]])</f>
        <v>1900</v>
      </c>
      <c r="I88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899" customFormat="false" ht="15" hidden="false" customHeight="false" outlineLevel="0" collapsed="false">
      <c r="A8899" s="41"/>
      <c r="G8899" s="38" t="n">
        <f aca="false">MONTH(A8899)</f>
        <v>12</v>
      </c>
      <c r="H8899" s="38" t="n">
        <f aca="false">YEAR(Tabela1[[#This Row],[FECHA]])</f>
        <v>1900</v>
      </c>
      <c r="I88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00" customFormat="false" ht="15" hidden="false" customHeight="false" outlineLevel="0" collapsed="false">
      <c r="A8900" s="41"/>
      <c r="G8900" s="38" t="n">
        <f aca="false">MONTH(A8900)</f>
        <v>12</v>
      </c>
      <c r="H8900" s="38" t="n">
        <f aca="false">YEAR(Tabela1[[#This Row],[FECHA]])</f>
        <v>1900</v>
      </c>
      <c r="I89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01" customFormat="false" ht="15" hidden="false" customHeight="false" outlineLevel="0" collapsed="false">
      <c r="A8901" s="41"/>
      <c r="G8901" s="38" t="n">
        <f aca="false">MONTH(A8901)</f>
        <v>12</v>
      </c>
      <c r="H8901" s="38" t="n">
        <f aca="false">YEAR(Tabela1[[#This Row],[FECHA]])</f>
        <v>1900</v>
      </c>
      <c r="I89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02" customFormat="false" ht="15" hidden="false" customHeight="false" outlineLevel="0" collapsed="false">
      <c r="A8902" s="41"/>
      <c r="G8902" s="38" t="n">
        <f aca="false">MONTH(A8902)</f>
        <v>12</v>
      </c>
      <c r="H8902" s="38" t="n">
        <f aca="false">YEAR(Tabela1[[#This Row],[FECHA]])</f>
        <v>1900</v>
      </c>
      <c r="I89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03" customFormat="false" ht="15" hidden="false" customHeight="false" outlineLevel="0" collapsed="false">
      <c r="A8903" s="41"/>
      <c r="G8903" s="38" t="n">
        <f aca="false">MONTH(A8903)</f>
        <v>12</v>
      </c>
      <c r="H8903" s="38" t="n">
        <f aca="false">YEAR(Tabela1[[#This Row],[FECHA]])</f>
        <v>1900</v>
      </c>
      <c r="I89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04" customFormat="false" ht="15" hidden="false" customHeight="false" outlineLevel="0" collapsed="false">
      <c r="A8904" s="41"/>
      <c r="G8904" s="38" t="n">
        <f aca="false">MONTH(A8904)</f>
        <v>12</v>
      </c>
      <c r="H8904" s="38" t="n">
        <f aca="false">YEAR(Tabela1[[#This Row],[FECHA]])</f>
        <v>1900</v>
      </c>
      <c r="I89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05" customFormat="false" ht="15" hidden="false" customHeight="false" outlineLevel="0" collapsed="false">
      <c r="A8905" s="41"/>
      <c r="G8905" s="38" t="n">
        <f aca="false">MONTH(A8905)</f>
        <v>12</v>
      </c>
      <c r="H8905" s="38" t="n">
        <f aca="false">YEAR(Tabela1[[#This Row],[FECHA]])</f>
        <v>1900</v>
      </c>
      <c r="I89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06" customFormat="false" ht="15" hidden="false" customHeight="false" outlineLevel="0" collapsed="false">
      <c r="A8906" s="41"/>
      <c r="G8906" s="38" t="n">
        <f aca="false">MONTH(A8906)</f>
        <v>12</v>
      </c>
      <c r="H8906" s="38" t="n">
        <f aca="false">YEAR(Tabela1[[#This Row],[FECHA]])</f>
        <v>1900</v>
      </c>
      <c r="I89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07" customFormat="false" ht="15" hidden="false" customHeight="false" outlineLevel="0" collapsed="false">
      <c r="A8907" s="41"/>
      <c r="G8907" s="38" t="n">
        <f aca="false">MONTH(A8907)</f>
        <v>12</v>
      </c>
      <c r="H8907" s="38" t="n">
        <f aca="false">YEAR(Tabela1[[#This Row],[FECHA]])</f>
        <v>1900</v>
      </c>
      <c r="I89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08" customFormat="false" ht="15" hidden="false" customHeight="false" outlineLevel="0" collapsed="false">
      <c r="A8908" s="41"/>
      <c r="G8908" s="38" t="n">
        <f aca="false">MONTH(A8908)</f>
        <v>12</v>
      </c>
      <c r="H8908" s="38" t="n">
        <f aca="false">YEAR(Tabela1[[#This Row],[FECHA]])</f>
        <v>1900</v>
      </c>
      <c r="I89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09" customFormat="false" ht="15" hidden="false" customHeight="false" outlineLevel="0" collapsed="false">
      <c r="A8909" s="41"/>
      <c r="G8909" s="38" t="n">
        <f aca="false">MONTH(A8909)</f>
        <v>12</v>
      </c>
      <c r="H8909" s="38" t="n">
        <f aca="false">YEAR(Tabela1[[#This Row],[FECHA]])</f>
        <v>1900</v>
      </c>
      <c r="I89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10" customFormat="false" ht="15" hidden="false" customHeight="false" outlineLevel="0" collapsed="false">
      <c r="A8910" s="41"/>
      <c r="G8910" s="38" t="n">
        <f aca="false">MONTH(A8910)</f>
        <v>12</v>
      </c>
      <c r="H8910" s="38" t="n">
        <f aca="false">YEAR(Tabela1[[#This Row],[FECHA]])</f>
        <v>1900</v>
      </c>
      <c r="I89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11" customFormat="false" ht="15" hidden="false" customHeight="false" outlineLevel="0" collapsed="false">
      <c r="A8911" s="41"/>
      <c r="G8911" s="38" t="n">
        <f aca="false">MONTH(A8911)</f>
        <v>12</v>
      </c>
      <c r="H8911" s="38" t="n">
        <f aca="false">YEAR(Tabela1[[#This Row],[FECHA]])</f>
        <v>1900</v>
      </c>
      <c r="I89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12" customFormat="false" ht="15" hidden="false" customHeight="false" outlineLevel="0" collapsed="false">
      <c r="A8912" s="41"/>
      <c r="G8912" s="38" t="n">
        <f aca="false">MONTH(A8912)</f>
        <v>12</v>
      </c>
      <c r="H8912" s="38" t="n">
        <f aca="false">YEAR(Tabela1[[#This Row],[FECHA]])</f>
        <v>1900</v>
      </c>
      <c r="I89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13" customFormat="false" ht="15" hidden="false" customHeight="false" outlineLevel="0" collapsed="false">
      <c r="A8913" s="41"/>
      <c r="G8913" s="38" t="n">
        <f aca="false">MONTH(A8913)</f>
        <v>12</v>
      </c>
      <c r="H8913" s="38" t="n">
        <f aca="false">YEAR(Tabela1[[#This Row],[FECHA]])</f>
        <v>1900</v>
      </c>
      <c r="I89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14" customFormat="false" ht="15" hidden="false" customHeight="false" outlineLevel="0" collapsed="false">
      <c r="A8914" s="41"/>
      <c r="G8914" s="38" t="n">
        <f aca="false">MONTH(A8914)</f>
        <v>12</v>
      </c>
      <c r="H8914" s="38" t="n">
        <f aca="false">YEAR(Tabela1[[#This Row],[FECHA]])</f>
        <v>1900</v>
      </c>
      <c r="I89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15" customFormat="false" ht="15" hidden="false" customHeight="false" outlineLevel="0" collapsed="false">
      <c r="A8915" s="41"/>
      <c r="G8915" s="38" t="n">
        <f aca="false">MONTH(A8915)</f>
        <v>12</v>
      </c>
      <c r="H8915" s="38" t="n">
        <f aca="false">YEAR(Tabela1[[#This Row],[FECHA]])</f>
        <v>1900</v>
      </c>
      <c r="I89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16" customFormat="false" ht="15" hidden="false" customHeight="false" outlineLevel="0" collapsed="false">
      <c r="A8916" s="41"/>
      <c r="G8916" s="38" t="n">
        <f aca="false">MONTH(A8916)</f>
        <v>12</v>
      </c>
      <c r="H8916" s="38" t="n">
        <f aca="false">YEAR(Tabela1[[#This Row],[FECHA]])</f>
        <v>1900</v>
      </c>
      <c r="I89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17" customFormat="false" ht="15" hidden="false" customHeight="false" outlineLevel="0" collapsed="false">
      <c r="A8917" s="41"/>
      <c r="G8917" s="38" t="n">
        <f aca="false">MONTH(A8917)</f>
        <v>12</v>
      </c>
      <c r="H8917" s="38" t="n">
        <f aca="false">YEAR(Tabela1[[#This Row],[FECHA]])</f>
        <v>1900</v>
      </c>
      <c r="I89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18" customFormat="false" ht="15" hidden="false" customHeight="false" outlineLevel="0" collapsed="false">
      <c r="A8918" s="41"/>
      <c r="G8918" s="38" t="n">
        <f aca="false">MONTH(A8918)</f>
        <v>12</v>
      </c>
      <c r="H8918" s="38" t="n">
        <f aca="false">YEAR(Tabela1[[#This Row],[FECHA]])</f>
        <v>1900</v>
      </c>
      <c r="I89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19" customFormat="false" ht="15" hidden="false" customHeight="false" outlineLevel="0" collapsed="false">
      <c r="A8919" s="41"/>
      <c r="G8919" s="38" t="n">
        <f aca="false">MONTH(A8919)</f>
        <v>12</v>
      </c>
      <c r="H8919" s="38" t="n">
        <f aca="false">YEAR(Tabela1[[#This Row],[FECHA]])</f>
        <v>1900</v>
      </c>
      <c r="I89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20" customFormat="false" ht="15" hidden="false" customHeight="false" outlineLevel="0" collapsed="false">
      <c r="A8920" s="41"/>
      <c r="G8920" s="38" t="n">
        <f aca="false">MONTH(A8920)</f>
        <v>12</v>
      </c>
      <c r="H8920" s="38" t="n">
        <f aca="false">YEAR(Tabela1[[#This Row],[FECHA]])</f>
        <v>1900</v>
      </c>
      <c r="I89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21" customFormat="false" ht="15" hidden="false" customHeight="false" outlineLevel="0" collapsed="false">
      <c r="A8921" s="41"/>
      <c r="G8921" s="38" t="n">
        <f aca="false">MONTH(A8921)</f>
        <v>12</v>
      </c>
      <c r="H8921" s="38" t="n">
        <f aca="false">YEAR(Tabela1[[#This Row],[FECHA]])</f>
        <v>1900</v>
      </c>
      <c r="I89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22" customFormat="false" ht="15" hidden="false" customHeight="false" outlineLevel="0" collapsed="false">
      <c r="A8922" s="41"/>
      <c r="G8922" s="38" t="n">
        <f aca="false">MONTH(A8922)</f>
        <v>12</v>
      </c>
      <c r="H8922" s="38" t="n">
        <f aca="false">YEAR(Tabela1[[#This Row],[FECHA]])</f>
        <v>1900</v>
      </c>
      <c r="I89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23" customFormat="false" ht="15" hidden="false" customHeight="false" outlineLevel="0" collapsed="false">
      <c r="A8923" s="41"/>
      <c r="G8923" s="38" t="n">
        <f aca="false">MONTH(A8923)</f>
        <v>12</v>
      </c>
      <c r="H8923" s="38" t="n">
        <f aca="false">YEAR(Tabela1[[#This Row],[FECHA]])</f>
        <v>1900</v>
      </c>
      <c r="I89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24" customFormat="false" ht="15" hidden="false" customHeight="false" outlineLevel="0" collapsed="false">
      <c r="A8924" s="41"/>
      <c r="G8924" s="38" t="n">
        <f aca="false">MONTH(A8924)</f>
        <v>12</v>
      </c>
      <c r="H8924" s="38" t="n">
        <f aca="false">YEAR(Tabela1[[#This Row],[FECHA]])</f>
        <v>1900</v>
      </c>
      <c r="I89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25" customFormat="false" ht="15" hidden="false" customHeight="false" outlineLevel="0" collapsed="false">
      <c r="A8925" s="41"/>
      <c r="G8925" s="38" t="n">
        <f aca="false">MONTH(A8925)</f>
        <v>12</v>
      </c>
      <c r="H8925" s="38" t="n">
        <f aca="false">YEAR(Tabela1[[#This Row],[FECHA]])</f>
        <v>1900</v>
      </c>
      <c r="I89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26" customFormat="false" ht="15" hidden="false" customHeight="false" outlineLevel="0" collapsed="false">
      <c r="A8926" s="41"/>
      <c r="G8926" s="38" t="n">
        <f aca="false">MONTH(A8926)</f>
        <v>12</v>
      </c>
      <c r="H8926" s="38" t="n">
        <f aca="false">YEAR(Tabela1[[#This Row],[FECHA]])</f>
        <v>1900</v>
      </c>
      <c r="I89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27" customFormat="false" ht="15" hidden="false" customHeight="false" outlineLevel="0" collapsed="false">
      <c r="A8927" s="41"/>
      <c r="G8927" s="38" t="n">
        <f aca="false">MONTH(A8927)</f>
        <v>12</v>
      </c>
      <c r="H8927" s="38" t="n">
        <f aca="false">YEAR(Tabela1[[#This Row],[FECHA]])</f>
        <v>1900</v>
      </c>
      <c r="I89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28" customFormat="false" ht="15" hidden="false" customHeight="false" outlineLevel="0" collapsed="false">
      <c r="A8928" s="41"/>
      <c r="G8928" s="38" t="n">
        <f aca="false">MONTH(A8928)</f>
        <v>12</v>
      </c>
      <c r="H8928" s="38" t="n">
        <f aca="false">YEAR(Tabela1[[#This Row],[FECHA]])</f>
        <v>1900</v>
      </c>
      <c r="I89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29" customFormat="false" ht="15" hidden="false" customHeight="false" outlineLevel="0" collapsed="false">
      <c r="A8929" s="41"/>
      <c r="G8929" s="38" t="n">
        <f aca="false">MONTH(A8929)</f>
        <v>12</v>
      </c>
      <c r="H8929" s="38" t="n">
        <f aca="false">YEAR(Tabela1[[#This Row],[FECHA]])</f>
        <v>1900</v>
      </c>
      <c r="I89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30" customFormat="false" ht="15" hidden="false" customHeight="false" outlineLevel="0" collapsed="false">
      <c r="A8930" s="41"/>
      <c r="G8930" s="38" t="n">
        <f aca="false">MONTH(A8930)</f>
        <v>12</v>
      </c>
      <c r="H8930" s="38" t="n">
        <f aca="false">YEAR(Tabela1[[#This Row],[FECHA]])</f>
        <v>1900</v>
      </c>
      <c r="I89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31" customFormat="false" ht="15" hidden="false" customHeight="false" outlineLevel="0" collapsed="false">
      <c r="A8931" s="41"/>
      <c r="G8931" s="38" t="n">
        <f aca="false">MONTH(A8931)</f>
        <v>12</v>
      </c>
      <c r="H8931" s="38" t="n">
        <f aca="false">YEAR(Tabela1[[#This Row],[FECHA]])</f>
        <v>1900</v>
      </c>
      <c r="I89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32" customFormat="false" ht="15" hidden="false" customHeight="false" outlineLevel="0" collapsed="false">
      <c r="A8932" s="41"/>
      <c r="G8932" s="38" t="n">
        <f aca="false">MONTH(A8932)</f>
        <v>12</v>
      </c>
      <c r="H8932" s="38" t="n">
        <f aca="false">YEAR(Tabela1[[#This Row],[FECHA]])</f>
        <v>1900</v>
      </c>
      <c r="I89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33" customFormat="false" ht="15" hidden="false" customHeight="false" outlineLevel="0" collapsed="false">
      <c r="A8933" s="41"/>
      <c r="G8933" s="38" t="n">
        <f aca="false">MONTH(A8933)</f>
        <v>12</v>
      </c>
      <c r="H8933" s="38" t="n">
        <f aca="false">YEAR(Tabela1[[#This Row],[FECHA]])</f>
        <v>1900</v>
      </c>
      <c r="I89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34" customFormat="false" ht="15" hidden="false" customHeight="false" outlineLevel="0" collapsed="false">
      <c r="A8934" s="41"/>
      <c r="G8934" s="38" t="n">
        <f aca="false">MONTH(A8934)</f>
        <v>12</v>
      </c>
      <c r="H8934" s="38" t="n">
        <f aca="false">YEAR(Tabela1[[#This Row],[FECHA]])</f>
        <v>1900</v>
      </c>
      <c r="I89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35" customFormat="false" ht="15" hidden="false" customHeight="false" outlineLevel="0" collapsed="false">
      <c r="A8935" s="41"/>
      <c r="G8935" s="38" t="n">
        <f aca="false">MONTH(A8935)</f>
        <v>12</v>
      </c>
      <c r="H8935" s="38" t="n">
        <f aca="false">YEAR(Tabela1[[#This Row],[FECHA]])</f>
        <v>1900</v>
      </c>
      <c r="I89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36" customFormat="false" ht="15" hidden="false" customHeight="false" outlineLevel="0" collapsed="false">
      <c r="A8936" s="41"/>
      <c r="G8936" s="38" t="n">
        <f aca="false">MONTH(A8936)</f>
        <v>12</v>
      </c>
      <c r="H8936" s="38" t="n">
        <f aca="false">YEAR(Tabela1[[#This Row],[FECHA]])</f>
        <v>1900</v>
      </c>
      <c r="I89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37" customFormat="false" ht="15" hidden="false" customHeight="false" outlineLevel="0" collapsed="false">
      <c r="A8937" s="41"/>
      <c r="G8937" s="38" t="n">
        <f aca="false">MONTH(A8937)</f>
        <v>12</v>
      </c>
      <c r="H8937" s="38" t="n">
        <f aca="false">YEAR(Tabela1[[#This Row],[FECHA]])</f>
        <v>1900</v>
      </c>
      <c r="I89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38" customFormat="false" ht="15" hidden="false" customHeight="false" outlineLevel="0" collapsed="false">
      <c r="A8938" s="41"/>
      <c r="G8938" s="38" t="n">
        <f aca="false">MONTH(A8938)</f>
        <v>12</v>
      </c>
      <c r="H8938" s="38" t="n">
        <f aca="false">YEAR(Tabela1[[#This Row],[FECHA]])</f>
        <v>1900</v>
      </c>
      <c r="I89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39" customFormat="false" ht="15" hidden="false" customHeight="false" outlineLevel="0" collapsed="false">
      <c r="A8939" s="41"/>
      <c r="G8939" s="38" t="n">
        <f aca="false">MONTH(A8939)</f>
        <v>12</v>
      </c>
      <c r="H8939" s="38" t="n">
        <f aca="false">YEAR(Tabela1[[#This Row],[FECHA]])</f>
        <v>1900</v>
      </c>
      <c r="I89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40" customFormat="false" ht="15" hidden="false" customHeight="false" outlineLevel="0" collapsed="false">
      <c r="A8940" s="41"/>
      <c r="G8940" s="38" t="n">
        <f aca="false">MONTH(A8940)</f>
        <v>12</v>
      </c>
      <c r="H8940" s="38" t="n">
        <f aca="false">YEAR(Tabela1[[#This Row],[FECHA]])</f>
        <v>1900</v>
      </c>
      <c r="I89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41" customFormat="false" ht="15" hidden="false" customHeight="false" outlineLevel="0" collapsed="false">
      <c r="A8941" s="41"/>
      <c r="G8941" s="38" t="n">
        <f aca="false">MONTH(A8941)</f>
        <v>12</v>
      </c>
      <c r="H8941" s="38" t="n">
        <f aca="false">YEAR(Tabela1[[#This Row],[FECHA]])</f>
        <v>1900</v>
      </c>
      <c r="I89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42" customFormat="false" ht="15" hidden="false" customHeight="false" outlineLevel="0" collapsed="false">
      <c r="A8942" s="41"/>
      <c r="G8942" s="38" t="n">
        <f aca="false">MONTH(A8942)</f>
        <v>12</v>
      </c>
      <c r="H8942" s="38" t="n">
        <f aca="false">YEAR(Tabela1[[#This Row],[FECHA]])</f>
        <v>1900</v>
      </c>
      <c r="I89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43" customFormat="false" ht="15" hidden="false" customHeight="false" outlineLevel="0" collapsed="false">
      <c r="A8943" s="41"/>
      <c r="G8943" s="38" t="n">
        <f aca="false">MONTH(A8943)</f>
        <v>12</v>
      </c>
      <c r="H8943" s="38" t="n">
        <f aca="false">YEAR(Tabela1[[#This Row],[FECHA]])</f>
        <v>1900</v>
      </c>
      <c r="I89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44" customFormat="false" ht="15" hidden="false" customHeight="false" outlineLevel="0" collapsed="false">
      <c r="A8944" s="41"/>
      <c r="G8944" s="38" t="n">
        <f aca="false">MONTH(A8944)</f>
        <v>12</v>
      </c>
      <c r="H8944" s="38" t="n">
        <f aca="false">YEAR(Tabela1[[#This Row],[FECHA]])</f>
        <v>1900</v>
      </c>
      <c r="I89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45" customFormat="false" ht="15" hidden="false" customHeight="false" outlineLevel="0" collapsed="false">
      <c r="A8945" s="41"/>
      <c r="G8945" s="38" t="n">
        <f aca="false">MONTH(A8945)</f>
        <v>12</v>
      </c>
      <c r="H8945" s="38" t="n">
        <f aca="false">YEAR(Tabela1[[#This Row],[FECHA]])</f>
        <v>1900</v>
      </c>
      <c r="I89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46" customFormat="false" ht="15" hidden="false" customHeight="false" outlineLevel="0" collapsed="false">
      <c r="A8946" s="41"/>
      <c r="G8946" s="38" t="n">
        <f aca="false">MONTH(A8946)</f>
        <v>12</v>
      </c>
      <c r="H8946" s="38" t="n">
        <f aca="false">YEAR(Tabela1[[#This Row],[FECHA]])</f>
        <v>1900</v>
      </c>
      <c r="I89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47" customFormat="false" ht="15" hidden="false" customHeight="false" outlineLevel="0" collapsed="false">
      <c r="A8947" s="41"/>
      <c r="G8947" s="38" t="n">
        <f aca="false">MONTH(A8947)</f>
        <v>12</v>
      </c>
      <c r="H8947" s="38" t="n">
        <f aca="false">YEAR(Tabela1[[#This Row],[FECHA]])</f>
        <v>1900</v>
      </c>
      <c r="I89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48" customFormat="false" ht="15" hidden="false" customHeight="false" outlineLevel="0" collapsed="false">
      <c r="A8948" s="41"/>
      <c r="G8948" s="38" t="n">
        <f aca="false">MONTH(A8948)</f>
        <v>12</v>
      </c>
      <c r="H8948" s="38" t="n">
        <f aca="false">YEAR(Tabela1[[#This Row],[FECHA]])</f>
        <v>1900</v>
      </c>
      <c r="I89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49" customFormat="false" ht="15" hidden="false" customHeight="false" outlineLevel="0" collapsed="false">
      <c r="A8949" s="41"/>
      <c r="G8949" s="38" t="n">
        <f aca="false">MONTH(A8949)</f>
        <v>12</v>
      </c>
      <c r="H8949" s="38" t="n">
        <f aca="false">YEAR(Tabela1[[#This Row],[FECHA]])</f>
        <v>1900</v>
      </c>
      <c r="I89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50" customFormat="false" ht="15" hidden="false" customHeight="false" outlineLevel="0" collapsed="false">
      <c r="A8950" s="41"/>
      <c r="G8950" s="38" t="n">
        <f aca="false">MONTH(A8950)</f>
        <v>12</v>
      </c>
      <c r="H8950" s="38" t="n">
        <f aca="false">YEAR(Tabela1[[#This Row],[FECHA]])</f>
        <v>1900</v>
      </c>
      <c r="I89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51" customFormat="false" ht="15" hidden="false" customHeight="false" outlineLevel="0" collapsed="false">
      <c r="A8951" s="41"/>
      <c r="G8951" s="38" t="n">
        <f aca="false">MONTH(A8951)</f>
        <v>12</v>
      </c>
      <c r="H8951" s="38" t="n">
        <f aca="false">YEAR(Tabela1[[#This Row],[FECHA]])</f>
        <v>1900</v>
      </c>
      <c r="I89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52" customFormat="false" ht="15" hidden="false" customHeight="false" outlineLevel="0" collapsed="false">
      <c r="A8952" s="41"/>
      <c r="G8952" s="38" t="n">
        <f aca="false">MONTH(A8952)</f>
        <v>12</v>
      </c>
      <c r="H8952" s="38" t="n">
        <f aca="false">YEAR(Tabela1[[#This Row],[FECHA]])</f>
        <v>1900</v>
      </c>
      <c r="I89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53" customFormat="false" ht="15" hidden="false" customHeight="false" outlineLevel="0" collapsed="false">
      <c r="A8953" s="41"/>
      <c r="G8953" s="38" t="n">
        <f aca="false">MONTH(A8953)</f>
        <v>12</v>
      </c>
      <c r="H8953" s="38" t="n">
        <f aca="false">YEAR(Tabela1[[#This Row],[FECHA]])</f>
        <v>1900</v>
      </c>
      <c r="I89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54" customFormat="false" ht="15" hidden="false" customHeight="false" outlineLevel="0" collapsed="false">
      <c r="A8954" s="41"/>
      <c r="G8954" s="38" t="n">
        <f aca="false">MONTH(A8954)</f>
        <v>12</v>
      </c>
      <c r="H8954" s="38" t="n">
        <f aca="false">YEAR(Tabela1[[#This Row],[FECHA]])</f>
        <v>1900</v>
      </c>
      <c r="I89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55" customFormat="false" ht="15" hidden="false" customHeight="false" outlineLevel="0" collapsed="false">
      <c r="A8955" s="41"/>
      <c r="G8955" s="38" t="n">
        <f aca="false">MONTH(A8955)</f>
        <v>12</v>
      </c>
      <c r="H8955" s="38" t="n">
        <f aca="false">YEAR(Tabela1[[#This Row],[FECHA]])</f>
        <v>1900</v>
      </c>
      <c r="I89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56" customFormat="false" ht="15" hidden="false" customHeight="false" outlineLevel="0" collapsed="false">
      <c r="A8956" s="41"/>
      <c r="G8956" s="38" t="n">
        <f aca="false">MONTH(A8956)</f>
        <v>12</v>
      </c>
      <c r="H8956" s="38" t="n">
        <f aca="false">YEAR(Tabela1[[#This Row],[FECHA]])</f>
        <v>1900</v>
      </c>
      <c r="I89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57" customFormat="false" ht="15" hidden="false" customHeight="false" outlineLevel="0" collapsed="false">
      <c r="A8957" s="41"/>
      <c r="G8957" s="38" t="n">
        <f aca="false">MONTH(A8957)</f>
        <v>12</v>
      </c>
      <c r="H8957" s="38" t="n">
        <f aca="false">YEAR(Tabela1[[#This Row],[FECHA]])</f>
        <v>1900</v>
      </c>
      <c r="I89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58" customFormat="false" ht="15" hidden="false" customHeight="false" outlineLevel="0" collapsed="false">
      <c r="A8958" s="41"/>
      <c r="G8958" s="38" t="n">
        <f aca="false">MONTH(A8958)</f>
        <v>12</v>
      </c>
      <c r="H8958" s="38" t="n">
        <f aca="false">YEAR(Tabela1[[#This Row],[FECHA]])</f>
        <v>1900</v>
      </c>
      <c r="I89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59" customFormat="false" ht="15" hidden="false" customHeight="false" outlineLevel="0" collapsed="false">
      <c r="A8959" s="41"/>
      <c r="G8959" s="38" t="n">
        <f aca="false">MONTH(A8959)</f>
        <v>12</v>
      </c>
      <c r="H8959" s="38" t="n">
        <f aca="false">YEAR(Tabela1[[#This Row],[FECHA]])</f>
        <v>1900</v>
      </c>
      <c r="I89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60" customFormat="false" ht="15" hidden="false" customHeight="false" outlineLevel="0" collapsed="false">
      <c r="A8960" s="41"/>
      <c r="G8960" s="38" t="n">
        <f aca="false">MONTH(A8960)</f>
        <v>12</v>
      </c>
      <c r="H8960" s="38" t="n">
        <f aca="false">YEAR(Tabela1[[#This Row],[FECHA]])</f>
        <v>1900</v>
      </c>
      <c r="I89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61" customFormat="false" ht="15" hidden="false" customHeight="false" outlineLevel="0" collapsed="false">
      <c r="A8961" s="41"/>
      <c r="G8961" s="38" t="n">
        <f aca="false">MONTH(A8961)</f>
        <v>12</v>
      </c>
      <c r="H8961" s="38" t="n">
        <f aca="false">YEAR(Tabela1[[#This Row],[FECHA]])</f>
        <v>1900</v>
      </c>
      <c r="I89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62" customFormat="false" ht="15" hidden="false" customHeight="false" outlineLevel="0" collapsed="false">
      <c r="A8962" s="41"/>
      <c r="G8962" s="38" t="n">
        <f aca="false">MONTH(A8962)</f>
        <v>12</v>
      </c>
      <c r="H8962" s="38" t="n">
        <f aca="false">YEAR(Tabela1[[#This Row],[FECHA]])</f>
        <v>1900</v>
      </c>
      <c r="I89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63" customFormat="false" ht="15" hidden="false" customHeight="false" outlineLevel="0" collapsed="false">
      <c r="A8963" s="41"/>
      <c r="G8963" s="38" t="n">
        <f aca="false">MONTH(A8963)</f>
        <v>12</v>
      </c>
      <c r="H8963" s="38" t="n">
        <f aca="false">YEAR(Tabela1[[#This Row],[FECHA]])</f>
        <v>1900</v>
      </c>
      <c r="I89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64" customFormat="false" ht="15" hidden="false" customHeight="false" outlineLevel="0" collapsed="false">
      <c r="A8964" s="41"/>
      <c r="G8964" s="38" t="n">
        <f aca="false">MONTH(A8964)</f>
        <v>12</v>
      </c>
      <c r="H8964" s="38" t="n">
        <f aca="false">YEAR(Tabela1[[#This Row],[FECHA]])</f>
        <v>1900</v>
      </c>
      <c r="I89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65" customFormat="false" ht="15" hidden="false" customHeight="false" outlineLevel="0" collapsed="false">
      <c r="A8965" s="41"/>
      <c r="G8965" s="38" t="n">
        <f aca="false">MONTH(A8965)</f>
        <v>12</v>
      </c>
      <c r="H8965" s="38" t="n">
        <f aca="false">YEAR(Tabela1[[#This Row],[FECHA]])</f>
        <v>1900</v>
      </c>
      <c r="I89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66" customFormat="false" ht="15" hidden="false" customHeight="false" outlineLevel="0" collapsed="false">
      <c r="A8966" s="41"/>
      <c r="G8966" s="38" t="n">
        <f aca="false">MONTH(A8966)</f>
        <v>12</v>
      </c>
      <c r="H8966" s="38" t="n">
        <f aca="false">YEAR(Tabela1[[#This Row],[FECHA]])</f>
        <v>1900</v>
      </c>
      <c r="I89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67" customFormat="false" ht="15" hidden="false" customHeight="false" outlineLevel="0" collapsed="false">
      <c r="A8967" s="41"/>
      <c r="G8967" s="38" t="n">
        <f aca="false">MONTH(A8967)</f>
        <v>12</v>
      </c>
      <c r="H8967" s="38" t="n">
        <f aca="false">YEAR(Tabela1[[#This Row],[FECHA]])</f>
        <v>1900</v>
      </c>
      <c r="I89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68" customFormat="false" ht="15" hidden="false" customHeight="false" outlineLevel="0" collapsed="false">
      <c r="A8968" s="41"/>
      <c r="G8968" s="38" t="n">
        <f aca="false">MONTH(A8968)</f>
        <v>12</v>
      </c>
      <c r="H8968" s="38" t="n">
        <f aca="false">YEAR(Tabela1[[#This Row],[FECHA]])</f>
        <v>1900</v>
      </c>
      <c r="I89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69" customFormat="false" ht="15" hidden="false" customHeight="false" outlineLevel="0" collapsed="false">
      <c r="A8969" s="41"/>
      <c r="G8969" s="38" t="n">
        <f aca="false">MONTH(A8969)</f>
        <v>12</v>
      </c>
      <c r="H8969" s="38" t="n">
        <f aca="false">YEAR(Tabela1[[#This Row],[FECHA]])</f>
        <v>1900</v>
      </c>
      <c r="I89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70" customFormat="false" ht="15" hidden="false" customHeight="false" outlineLevel="0" collapsed="false">
      <c r="A8970" s="41"/>
      <c r="G8970" s="38" t="n">
        <f aca="false">MONTH(A8970)</f>
        <v>12</v>
      </c>
      <c r="H8970" s="38" t="n">
        <f aca="false">YEAR(Tabela1[[#This Row],[FECHA]])</f>
        <v>1900</v>
      </c>
      <c r="I89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71" customFormat="false" ht="15" hidden="false" customHeight="false" outlineLevel="0" collapsed="false">
      <c r="A8971" s="41"/>
      <c r="G8971" s="38" t="n">
        <f aca="false">MONTH(A8971)</f>
        <v>12</v>
      </c>
      <c r="H8971" s="38" t="n">
        <f aca="false">YEAR(Tabela1[[#This Row],[FECHA]])</f>
        <v>1900</v>
      </c>
      <c r="I89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72" customFormat="false" ht="15" hidden="false" customHeight="false" outlineLevel="0" collapsed="false">
      <c r="A8972" s="41"/>
      <c r="G8972" s="38" t="n">
        <f aca="false">MONTH(A8972)</f>
        <v>12</v>
      </c>
      <c r="H8972" s="38" t="n">
        <f aca="false">YEAR(Tabela1[[#This Row],[FECHA]])</f>
        <v>1900</v>
      </c>
      <c r="I89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73" customFormat="false" ht="15" hidden="false" customHeight="false" outlineLevel="0" collapsed="false">
      <c r="A8973" s="41"/>
      <c r="G8973" s="38" t="n">
        <f aca="false">MONTH(A8973)</f>
        <v>12</v>
      </c>
      <c r="H8973" s="38" t="n">
        <f aca="false">YEAR(Tabela1[[#This Row],[FECHA]])</f>
        <v>1900</v>
      </c>
      <c r="I89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74" customFormat="false" ht="15" hidden="false" customHeight="false" outlineLevel="0" collapsed="false">
      <c r="A8974" s="41"/>
      <c r="G8974" s="38" t="n">
        <f aca="false">MONTH(A8974)</f>
        <v>12</v>
      </c>
      <c r="H8974" s="38" t="n">
        <f aca="false">YEAR(Tabela1[[#This Row],[FECHA]])</f>
        <v>1900</v>
      </c>
      <c r="I89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75" customFormat="false" ht="15" hidden="false" customHeight="false" outlineLevel="0" collapsed="false">
      <c r="A8975" s="41"/>
      <c r="G8975" s="38" t="n">
        <f aca="false">MONTH(A8975)</f>
        <v>12</v>
      </c>
      <c r="H8975" s="38" t="n">
        <f aca="false">YEAR(Tabela1[[#This Row],[FECHA]])</f>
        <v>1900</v>
      </c>
      <c r="I89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76" customFormat="false" ht="15" hidden="false" customHeight="false" outlineLevel="0" collapsed="false">
      <c r="A8976" s="41"/>
      <c r="G8976" s="38" t="n">
        <f aca="false">MONTH(A8976)</f>
        <v>12</v>
      </c>
      <c r="H8976" s="38" t="n">
        <f aca="false">YEAR(Tabela1[[#This Row],[FECHA]])</f>
        <v>1900</v>
      </c>
      <c r="I89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77" customFormat="false" ht="15" hidden="false" customHeight="false" outlineLevel="0" collapsed="false">
      <c r="A8977" s="41"/>
      <c r="G8977" s="38" t="n">
        <f aca="false">MONTH(A8977)</f>
        <v>12</v>
      </c>
      <c r="H8977" s="38" t="n">
        <f aca="false">YEAR(Tabela1[[#This Row],[FECHA]])</f>
        <v>1900</v>
      </c>
      <c r="I89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78" customFormat="false" ht="15" hidden="false" customHeight="false" outlineLevel="0" collapsed="false">
      <c r="A8978" s="41"/>
      <c r="G8978" s="38" t="n">
        <f aca="false">MONTH(A8978)</f>
        <v>12</v>
      </c>
      <c r="H8978" s="38" t="n">
        <f aca="false">YEAR(Tabela1[[#This Row],[FECHA]])</f>
        <v>1900</v>
      </c>
      <c r="I89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79" customFormat="false" ht="15" hidden="false" customHeight="false" outlineLevel="0" collapsed="false">
      <c r="A8979" s="41"/>
      <c r="G8979" s="38" t="n">
        <f aca="false">MONTH(A8979)</f>
        <v>12</v>
      </c>
      <c r="H8979" s="38" t="n">
        <f aca="false">YEAR(Tabela1[[#This Row],[FECHA]])</f>
        <v>1900</v>
      </c>
      <c r="I89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80" customFormat="false" ht="15" hidden="false" customHeight="false" outlineLevel="0" collapsed="false">
      <c r="A8980" s="41"/>
      <c r="G8980" s="38" t="n">
        <f aca="false">MONTH(A8980)</f>
        <v>12</v>
      </c>
      <c r="H8980" s="38" t="n">
        <f aca="false">YEAR(Tabela1[[#This Row],[FECHA]])</f>
        <v>1900</v>
      </c>
      <c r="I89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81" customFormat="false" ht="15" hidden="false" customHeight="false" outlineLevel="0" collapsed="false">
      <c r="A8981" s="41"/>
      <c r="G8981" s="38" t="n">
        <f aca="false">MONTH(A8981)</f>
        <v>12</v>
      </c>
      <c r="H8981" s="38" t="n">
        <f aca="false">YEAR(Tabela1[[#This Row],[FECHA]])</f>
        <v>1900</v>
      </c>
      <c r="I89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82" customFormat="false" ht="15" hidden="false" customHeight="false" outlineLevel="0" collapsed="false">
      <c r="A8982" s="41"/>
      <c r="G8982" s="38" t="n">
        <f aca="false">MONTH(A8982)</f>
        <v>12</v>
      </c>
      <c r="H8982" s="38" t="n">
        <f aca="false">YEAR(Tabela1[[#This Row],[FECHA]])</f>
        <v>1900</v>
      </c>
      <c r="I89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83" customFormat="false" ht="15" hidden="false" customHeight="false" outlineLevel="0" collapsed="false">
      <c r="A8983" s="41"/>
      <c r="G8983" s="38" t="n">
        <f aca="false">MONTH(A8983)</f>
        <v>12</v>
      </c>
      <c r="H8983" s="38" t="n">
        <f aca="false">YEAR(Tabela1[[#This Row],[FECHA]])</f>
        <v>1900</v>
      </c>
      <c r="I89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84" customFormat="false" ht="15" hidden="false" customHeight="false" outlineLevel="0" collapsed="false">
      <c r="A8984" s="41"/>
      <c r="G8984" s="38" t="n">
        <f aca="false">MONTH(A8984)</f>
        <v>12</v>
      </c>
      <c r="H8984" s="38" t="n">
        <f aca="false">YEAR(Tabela1[[#This Row],[FECHA]])</f>
        <v>1900</v>
      </c>
      <c r="I89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85" customFormat="false" ht="15" hidden="false" customHeight="false" outlineLevel="0" collapsed="false">
      <c r="A8985" s="41"/>
      <c r="G8985" s="38" t="n">
        <f aca="false">MONTH(A8985)</f>
        <v>12</v>
      </c>
      <c r="H8985" s="38" t="n">
        <f aca="false">YEAR(Tabela1[[#This Row],[FECHA]])</f>
        <v>1900</v>
      </c>
      <c r="I89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86" customFormat="false" ht="15" hidden="false" customHeight="false" outlineLevel="0" collapsed="false">
      <c r="A8986" s="41"/>
      <c r="G8986" s="38" t="n">
        <f aca="false">MONTH(A8986)</f>
        <v>12</v>
      </c>
      <c r="H8986" s="38" t="n">
        <f aca="false">YEAR(Tabela1[[#This Row],[FECHA]])</f>
        <v>1900</v>
      </c>
      <c r="I89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87" customFormat="false" ht="15" hidden="false" customHeight="false" outlineLevel="0" collapsed="false">
      <c r="A8987" s="41"/>
      <c r="G8987" s="38" t="n">
        <f aca="false">MONTH(A8987)</f>
        <v>12</v>
      </c>
      <c r="H8987" s="38" t="n">
        <f aca="false">YEAR(Tabela1[[#This Row],[FECHA]])</f>
        <v>1900</v>
      </c>
      <c r="I89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88" customFormat="false" ht="15" hidden="false" customHeight="false" outlineLevel="0" collapsed="false">
      <c r="A8988" s="41"/>
      <c r="G8988" s="38" t="n">
        <f aca="false">MONTH(A8988)</f>
        <v>12</v>
      </c>
      <c r="H8988" s="38" t="n">
        <f aca="false">YEAR(Tabela1[[#This Row],[FECHA]])</f>
        <v>1900</v>
      </c>
      <c r="I89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89" customFormat="false" ht="15" hidden="false" customHeight="false" outlineLevel="0" collapsed="false">
      <c r="A8989" s="41"/>
      <c r="G8989" s="38" t="n">
        <f aca="false">MONTH(A8989)</f>
        <v>12</v>
      </c>
      <c r="H8989" s="38" t="n">
        <f aca="false">YEAR(Tabela1[[#This Row],[FECHA]])</f>
        <v>1900</v>
      </c>
      <c r="I89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90" customFormat="false" ht="15" hidden="false" customHeight="false" outlineLevel="0" collapsed="false">
      <c r="A8990" s="41"/>
      <c r="G8990" s="38" t="n">
        <f aca="false">MONTH(A8990)</f>
        <v>12</v>
      </c>
      <c r="H8990" s="38" t="n">
        <f aca="false">YEAR(Tabela1[[#This Row],[FECHA]])</f>
        <v>1900</v>
      </c>
      <c r="I89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91" customFormat="false" ht="15" hidden="false" customHeight="false" outlineLevel="0" collapsed="false">
      <c r="A8991" s="41"/>
      <c r="G8991" s="38" t="n">
        <f aca="false">MONTH(A8991)</f>
        <v>12</v>
      </c>
      <c r="H8991" s="38" t="n">
        <f aca="false">YEAR(Tabela1[[#This Row],[FECHA]])</f>
        <v>1900</v>
      </c>
      <c r="I89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92" customFormat="false" ht="15" hidden="false" customHeight="false" outlineLevel="0" collapsed="false">
      <c r="A8992" s="41"/>
      <c r="G8992" s="38" t="n">
        <f aca="false">MONTH(A8992)</f>
        <v>12</v>
      </c>
      <c r="H8992" s="38" t="n">
        <f aca="false">YEAR(Tabela1[[#This Row],[FECHA]])</f>
        <v>1900</v>
      </c>
      <c r="I89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93" customFormat="false" ht="15" hidden="false" customHeight="false" outlineLevel="0" collapsed="false">
      <c r="A8993" s="41"/>
      <c r="G8993" s="38" t="n">
        <f aca="false">MONTH(A8993)</f>
        <v>12</v>
      </c>
      <c r="H8993" s="38" t="n">
        <f aca="false">YEAR(Tabela1[[#This Row],[FECHA]])</f>
        <v>1900</v>
      </c>
      <c r="I89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94" customFormat="false" ht="15" hidden="false" customHeight="false" outlineLevel="0" collapsed="false">
      <c r="A8994" s="41"/>
      <c r="G8994" s="38" t="n">
        <f aca="false">MONTH(A8994)</f>
        <v>12</v>
      </c>
      <c r="H8994" s="38" t="n">
        <f aca="false">YEAR(Tabela1[[#This Row],[FECHA]])</f>
        <v>1900</v>
      </c>
      <c r="I89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95" customFormat="false" ht="15" hidden="false" customHeight="false" outlineLevel="0" collapsed="false">
      <c r="A8995" s="41"/>
      <c r="G8995" s="38" t="n">
        <f aca="false">MONTH(A8995)</f>
        <v>12</v>
      </c>
      <c r="H8995" s="38" t="n">
        <f aca="false">YEAR(Tabela1[[#This Row],[FECHA]])</f>
        <v>1900</v>
      </c>
      <c r="I89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96" customFormat="false" ht="15" hidden="false" customHeight="false" outlineLevel="0" collapsed="false">
      <c r="A8996" s="41"/>
      <c r="G8996" s="38" t="n">
        <f aca="false">MONTH(A8996)</f>
        <v>12</v>
      </c>
      <c r="H8996" s="38" t="n">
        <f aca="false">YEAR(Tabela1[[#This Row],[FECHA]])</f>
        <v>1900</v>
      </c>
      <c r="I89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97" customFormat="false" ht="15" hidden="false" customHeight="false" outlineLevel="0" collapsed="false">
      <c r="A8997" s="41"/>
      <c r="G8997" s="38" t="n">
        <f aca="false">MONTH(A8997)</f>
        <v>12</v>
      </c>
      <c r="H8997" s="38" t="n">
        <f aca="false">YEAR(Tabela1[[#This Row],[FECHA]])</f>
        <v>1900</v>
      </c>
      <c r="I89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98" customFormat="false" ht="15" hidden="false" customHeight="false" outlineLevel="0" collapsed="false">
      <c r="A8998" s="41"/>
      <c r="G8998" s="38" t="n">
        <f aca="false">MONTH(A8998)</f>
        <v>12</v>
      </c>
      <c r="H8998" s="38" t="n">
        <f aca="false">YEAR(Tabela1[[#This Row],[FECHA]])</f>
        <v>1900</v>
      </c>
      <c r="I89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8999" customFormat="false" ht="15" hidden="false" customHeight="false" outlineLevel="0" collapsed="false">
      <c r="A8999" s="41"/>
      <c r="G8999" s="38" t="n">
        <f aca="false">MONTH(A8999)</f>
        <v>12</v>
      </c>
      <c r="H8999" s="38" t="n">
        <f aca="false">YEAR(Tabela1[[#This Row],[FECHA]])</f>
        <v>1900</v>
      </c>
      <c r="I89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00" customFormat="false" ht="15" hidden="false" customHeight="false" outlineLevel="0" collapsed="false">
      <c r="A9000" s="41"/>
      <c r="G9000" s="38" t="n">
        <f aca="false">MONTH(A9000)</f>
        <v>12</v>
      </c>
      <c r="H9000" s="38" t="n">
        <f aca="false">YEAR(Tabela1[[#This Row],[FECHA]])</f>
        <v>1900</v>
      </c>
      <c r="I90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01" customFormat="false" ht="15" hidden="false" customHeight="false" outlineLevel="0" collapsed="false">
      <c r="A9001" s="41"/>
      <c r="G9001" s="38" t="n">
        <f aca="false">MONTH(A9001)</f>
        <v>12</v>
      </c>
      <c r="H9001" s="38" t="n">
        <f aca="false">YEAR(Tabela1[[#This Row],[FECHA]])</f>
        <v>1900</v>
      </c>
      <c r="I90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02" customFormat="false" ht="15" hidden="false" customHeight="false" outlineLevel="0" collapsed="false">
      <c r="A9002" s="41"/>
      <c r="G9002" s="38" t="n">
        <f aca="false">MONTH(A9002)</f>
        <v>12</v>
      </c>
      <c r="H9002" s="38" t="n">
        <f aca="false">YEAR(Tabela1[[#This Row],[FECHA]])</f>
        <v>1900</v>
      </c>
      <c r="I90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03" customFormat="false" ht="15" hidden="false" customHeight="false" outlineLevel="0" collapsed="false">
      <c r="A9003" s="41"/>
      <c r="G9003" s="38" t="n">
        <f aca="false">MONTH(A9003)</f>
        <v>12</v>
      </c>
      <c r="H9003" s="38" t="n">
        <f aca="false">YEAR(Tabela1[[#This Row],[FECHA]])</f>
        <v>1900</v>
      </c>
      <c r="I90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04" customFormat="false" ht="15" hidden="false" customHeight="false" outlineLevel="0" collapsed="false">
      <c r="A9004" s="41"/>
      <c r="G9004" s="38" t="n">
        <f aca="false">MONTH(A9004)</f>
        <v>12</v>
      </c>
      <c r="H9004" s="38" t="n">
        <f aca="false">YEAR(Tabela1[[#This Row],[FECHA]])</f>
        <v>1900</v>
      </c>
      <c r="I90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05" customFormat="false" ht="15" hidden="false" customHeight="false" outlineLevel="0" collapsed="false">
      <c r="A9005" s="41"/>
      <c r="G9005" s="38" t="n">
        <f aca="false">MONTH(A9005)</f>
        <v>12</v>
      </c>
      <c r="H9005" s="38" t="n">
        <f aca="false">YEAR(Tabela1[[#This Row],[FECHA]])</f>
        <v>1900</v>
      </c>
      <c r="I90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06" customFormat="false" ht="15" hidden="false" customHeight="false" outlineLevel="0" collapsed="false">
      <c r="A9006" s="41"/>
      <c r="G9006" s="38" t="n">
        <f aca="false">MONTH(A9006)</f>
        <v>12</v>
      </c>
      <c r="H9006" s="38" t="n">
        <f aca="false">YEAR(Tabela1[[#This Row],[FECHA]])</f>
        <v>1900</v>
      </c>
      <c r="I90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07" customFormat="false" ht="15" hidden="false" customHeight="false" outlineLevel="0" collapsed="false">
      <c r="A9007" s="41"/>
      <c r="G9007" s="38" t="n">
        <f aca="false">MONTH(A9007)</f>
        <v>12</v>
      </c>
      <c r="H9007" s="38" t="n">
        <f aca="false">YEAR(Tabela1[[#This Row],[FECHA]])</f>
        <v>1900</v>
      </c>
      <c r="I90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08" customFormat="false" ht="15" hidden="false" customHeight="false" outlineLevel="0" collapsed="false">
      <c r="A9008" s="41"/>
      <c r="G9008" s="38" t="n">
        <f aca="false">MONTH(A9008)</f>
        <v>12</v>
      </c>
      <c r="H9008" s="38" t="n">
        <f aca="false">YEAR(Tabela1[[#This Row],[FECHA]])</f>
        <v>1900</v>
      </c>
      <c r="I90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09" customFormat="false" ht="15" hidden="false" customHeight="false" outlineLevel="0" collapsed="false">
      <c r="A9009" s="41"/>
      <c r="G9009" s="38" t="n">
        <f aca="false">MONTH(A9009)</f>
        <v>12</v>
      </c>
      <c r="H9009" s="38" t="n">
        <f aca="false">YEAR(Tabela1[[#This Row],[FECHA]])</f>
        <v>1900</v>
      </c>
      <c r="I90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10" customFormat="false" ht="15" hidden="false" customHeight="false" outlineLevel="0" collapsed="false">
      <c r="A9010" s="41"/>
      <c r="G9010" s="38" t="n">
        <f aca="false">MONTH(A9010)</f>
        <v>12</v>
      </c>
      <c r="H9010" s="38" t="n">
        <f aca="false">YEAR(Tabela1[[#This Row],[FECHA]])</f>
        <v>1900</v>
      </c>
      <c r="I90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11" customFormat="false" ht="15" hidden="false" customHeight="false" outlineLevel="0" collapsed="false">
      <c r="A9011" s="41"/>
      <c r="G9011" s="38" t="n">
        <f aca="false">MONTH(A9011)</f>
        <v>12</v>
      </c>
      <c r="H9011" s="38" t="n">
        <f aca="false">YEAR(Tabela1[[#This Row],[FECHA]])</f>
        <v>1900</v>
      </c>
      <c r="I90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12" customFormat="false" ht="15" hidden="false" customHeight="false" outlineLevel="0" collapsed="false">
      <c r="A9012" s="41"/>
      <c r="G9012" s="38" t="n">
        <f aca="false">MONTH(A9012)</f>
        <v>12</v>
      </c>
      <c r="H9012" s="38" t="n">
        <f aca="false">YEAR(Tabela1[[#This Row],[FECHA]])</f>
        <v>1900</v>
      </c>
      <c r="I90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13" customFormat="false" ht="15" hidden="false" customHeight="false" outlineLevel="0" collapsed="false">
      <c r="A9013" s="41"/>
      <c r="G9013" s="38" t="n">
        <f aca="false">MONTH(A9013)</f>
        <v>12</v>
      </c>
      <c r="H9013" s="38" t="n">
        <f aca="false">YEAR(Tabela1[[#This Row],[FECHA]])</f>
        <v>1900</v>
      </c>
      <c r="I90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14" customFormat="false" ht="15" hidden="false" customHeight="false" outlineLevel="0" collapsed="false">
      <c r="A9014" s="41"/>
      <c r="G9014" s="38" t="n">
        <f aca="false">MONTH(A9014)</f>
        <v>12</v>
      </c>
      <c r="H9014" s="38" t="n">
        <f aca="false">YEAR(Tabela1[[#This Row],[FECHA]])</f>
        <v>1900</v>
      </c>
      <c r="I90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15" customFormat="false" ht="15" hidden="false" customHeight="false" outlineLevel="0" collapsed="false">
      <c r="A9015" s="41"/>
      <c r="G9015" s="38" t="n">
        <f aca="false">MONTH(A9015)</f>
        <v>12</v>
      </c>
      <c r="H9015" s="38" t="n">
        <f aca="false">YEAR(Tabela1[[#This Row],[FECHA]])</f>
        <v>1900</v>
      </c>
      <c r="I90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16" customFormat="false" ht="15" hidden="false" customHeight="false" outlineLevel="0" collapsed="false">
      <c r="A9016" s="41"/>
      <c r="G9016" s="38" t="n">
        <f aca="false">MONTH(A9016)</f>
        <v>12</v>
      </c>
      <c r="H9016" s="38" t="n">
        <f aca="false">YEAR(Tabela1[[#This Row],[FECHA]])</f>
        <v>1900</v>
      </c>
      <c r="I90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17" customFormat="false" ht="15" hidden="false" customHeight="false" outlineLevel="0" collapsed="false">
      <c r="A9017" s="41"/>
      <c r="G9017" s="38" t="n">
        <f aca="false">MONTH(A9017)</f>
        <v>12</v>
      </c>
      <c r="H9017" s="38" t="n">
        <f aca="false">YEAR(Tabela1[[#This Row],[FECHA]])</f>
        <v>1900</v>
      </c>
      <c r="I90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18" customFormat="false" ht="15" hidden="false" customHeight="false" outlineLevel="0" collapsed="false">
      <c r="A9018" s="41"/>
      <c r="G9018" s="38" t="n">
        <f aca="false">MONTH(A9018)</f>
        <v>12</v>
      </c>
      <c r="H9018" s="38" t="n">
        <f aca="false">YEAR(Tabela1[[#This Row],[FECHA]])</f>
        <v>1900</v>
      </c>
      <c r="I90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19" customFormat="false" ht="15" hidden="false" customHeight="false" outlineLevel="0" collapsed="false">
      <c r="A9019" s="41"/>
      <c r="G9019" s="38" t="n">
        <f aca="false">MONTH(A9019)</f>
        <v>12</v>
      </c>
      <c r="H9019" s="38" t="n">
        <f aca="false">YEAR(Tabela1[[#This Row],[FECHA]])</f>
        <v>1900</v>
      </c>
      <c r="I90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20" customFormat="false" ht="15" hidden="false" customHeight="false" outlineLevel="0" collapsed="false">
      <c r="A9020" s="41"/>
      <c r="G9020" s="38" t="n">
        <f aca="false">MONTH(A9020)</f>
        <v>12</v>
      </c>
      <c r="H9020" s="38" t="n">
        <f aca="false">YEAR(Tabela1[[#This Row],[FECHA]])</f>
        <v>1900</v>
      </c>
      <c r="I90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21" customFormat="false" ht="15" hidden="false" customHeight="false" outlineLevel="0" collapsed="false">
      <c r="A9021" s="41"/>
      <c r="G9021" s="38" t="n">
        <f aca="false">MONTH(A9021)</f>
        <v>12</v>
      </c>
      <c r="H9021" s="38" t="n">
        <f aca="false">YEAR(Tabela1[[#This Row],[FECHA]])</f>
        <v>1900</v>
      </c>
      <c r="I90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22" customFormat="false" ht="15" hidden="false" customHeight="false" outlineLevel="0" collapsed="false">
      <c r="A9022" s="41"/>
      <c r="G9022" s="38" t="n">
        <f aca="false">MONTH(A9022)</f>
        <v>12</v>
      </c>
      <c r="H9022" s="38" t="n">
        <f aca="false">YEAR(Tabela1[[#This Row],[FECHA]])</f>
        <v>1900</v>
      </c>
      <c r="I90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23" customFormat="false" ht="15" hidden="false" customHeight="false" outlineLevel="0" collapsed="false">
      <c r="A9023" s="41"/>
      <c r="G9023" s="38" t="n">
        <f aca="false">MONTH(A9023)</f>
        <v>12</v>
      </c>
      <c r="H9023" s="38" t="n">
        <f aca="false">YEAR(Tabela1[[#This Row],[FECHA]])</f>
        <v>1900</v>
      </c>
      <c r="I90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24" customFormat="false" ht="15" hidden="false" customHeight="false" outlineLevel="0" collapsed="false">
      <c r="A9024" s="41"/>
      <c r="G9024" s="38" t="n">
        <f aca="false">MONTH(A9024)</f>
        <v>12</v>
      </c>
      <c r="H9024" s="38" t="n">
        <f aca="false">YEAR(Tabela1[[#This Row],[FECHA]])</f>
        <v>1900</v>
      </c>
      <c r="I90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25" customFormat="false" ht="15" hidden="false" customHeight="false" outlineLevel="0" collapsed="false">
      <c r="A9025" s="41"/>
      <c r="G9025" s="38" t="n">
        <f aca="false">MONTH(A9025)</f>
        <v>12</v>
      </c>
      <c r="H9025" s="38" t="n">
        <f aca="false">YEAR(Tabela1[[#This Row],[FECHA]])</f>
        <v>1900</v>
      </c>
      <c r="I90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26" customFormat="false" ht="15" hidden="false" customHeight="false" outlineLevel="0" collapsed="false">
      <c r="A9026" s="41"/>
      <c r="G9026" s="38" t="n">
        <f aca="false">MONTH(A9026)</f>
        <v>12</v>
      </c>
      <c r="H9026" s="38" t="n">
        <f aca="false">YEAR(Tabela1[[#This Row],[FECHA]])</f>
        <v>1900</v>
      </c>
      <c r="I90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27" customFormat="false" ht="15" hidden="false" customHeight="false" outlineLevel="0" collapsed="false">
      <c r="A9027" s="41"/>
      <c r="G9027" s="38" t="n">
        <f aca="false">MONTH(A9027)</f>
        <v>12</v>
      </c>
      <c r="H9027" s="38" t="n">
        <f aca="false">YEAR(Tabela1[[#This Row],[FECHA]])</f>
        <v>1900</v>
      </c>
      <c r="I90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28" customFormat="false" ht="15" hidden="false" customHeight="false" outlineLevel="0" collapsed="false">
      <c r="A9028" s="41"/>
      <c r="G9028" s="38" t="n">
        <f aca="false">MONTH(A9028)</f>
        <v>12</v>
      </c>
      <c r="H9028" s="38" t="n">
        <f aca="false">YEAR(Tabela1[[#This Row],[FECHA]])</f>
        <v>1900</v>
      </c>
      <c r="I90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29" customFormat="false" ht="15" hidden="false" customHeight="false" outlineLevel="0" collapsed="false">
      <c r="A9029" s="41"/>
      <c r="G9029" s="38" t="n">
        <f aca="false">MONTH(A9029)</f>
        <v>12</v>
      </c>
      <c r="H9029" s="38" t="n">
        <f aca="false">YEAR(Tabela1[[#This Row],[FECHA]])</f>
        <v>1900</v>
      </c>
      <c r="I90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30" customFormat="false" ht="15" hidden="false" customHeight="false" outlineLevel="0" collapsed="false">
      <c r="A9030" s="41"/>
      <c r="G9030" s="38" t="n">
        <f aca="false">MONTH(A9030)</f>
        <v>12</v>
      </c>
      <c r="H9030" s="38" t="n">
        <f aca="false">YEAR(Tabela1[[#This Row],[FECHA]])</f>
        <v>1900</v>
      </c>
      <c r="I90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31" customFormat="false" ht="15" hidden="false" customHeight="false" outlineLevel="0" collapsed="false">
      <c r="A9031" s="41"/>
      <c r="G9031" s="38" t="n">
        <f aca="false">MONTH(A9031)</f>
        <v>12</v>
      </c>
      <c r="H9031" s="38" t="n">
        <f aca="false">YEAR(Tabela1[[#This Row],[FECHA]])</f>
        <v>1900</v>
      </c>
      <c r="I90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32" customFormat="false" ht="15" hidden="false" customHeight="false" outlineLevel="0" collapsed="false">
      <c r="A9032" s="41"/>
      <c r="G9032" s="38" t="n">
        <f aca="false">MONTH(A9032)</f>
        <v>12</v>
      </c>
      <c r="H9032" s="38" t="n">
        <f aca="false">YEAR(Tabela1[[#This Row],[FECHA]])</f>
        <v>1900</v>
      </c>
      <c r="I90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33" customFormat="false" ht="15" hidden="false" customHeight="false" outlineLevel="0" collapsed="false">
      <c r="A9033" s="41"/>
      <c r="G9033" s="38" t="n">
        <f aca="false">MONTH(A9033)</f>
        <v>12</v>
      </c>
      <c r="H9033" s="38" t="n">
        <f aca="false">YEAR(Tabela1[[#This Row],[FECHA]])</f>
        <v>1900</v>
      </c>
      <c r="I90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34" customFormat="false" ht="15" hidden="false" customHeight="false" outlineLevel="0" collapsed="false">
      <c r="A9034" s="41"/>
      <c r="G9034" s="38" t="n">
        <f aca="false">MONTH(A9034)</f>
        <v>12</v>
      </c>
      <c r="H9034" s="38" t="n">
        <f aca="false">YEAR(Tabela1[[#This Row],[FECHA]])</f>
        <v>1900</v>
      </c>
      <c r="I90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35" customFormat="false" ht="15" hidden="false" customHeight="false" outlineLevel="0" collapsed="false">
      <c r="A9035" s="41"/>
      <c r="G9035" s="38" t="n">
        <f aca="false">MONTH(A9035)</f>
        <v>12</v>
      </c>
      <c r="H9035" s="38" t="n">
        <f aca="false">YEAR(Tabela1[[#This Row],[FECHA]])</f>
        <v>1900</v>
      </c>
      <c r="I90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36" customFormat="false" ht="15" hidden="false" customHeight="false" outlineLevel="0" collapsed="false">
      <c r="A9036" s="41"/>
      <c r="G9036" s="38" t="n">
        <f aca="false">MONTH(A9036)</f>
        <v>12</v>
      </c>
      <c r="H9036" s="38" t="n">
        <f aca="false">YEAR(Tabela1[[#This Row],[FECHA]])</f>
        <v>1900</v>
      </c>
      <c r="I90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37" customFormat="false" ht="15" hidden="false" customHeight="false" outlineLevel="0" collapsed="false">
      <c r="A9037" s="41"/>
      <c r="G9037" s="38" t="n">
        <f aca="false">MONTH(A9037)</f>
        <v>12</v>
      </c>
      <c r="H9037" s="38" t="n">
        <f aca="false">YEAR(Tabela1[[#This Row],[FECHA]])</f>
        <v>1900</v>
      </c>
      <c r="I90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38" customFormat="false" ht="15" hidden="false" customHeight="false" outlineLevel="0" collapsed="false">
      <c r="A9038" s="41"/>
      <c r="G9038" s="38" t="n">
        <f aca="false">MONTH(A9038)</f>
        <v>12</v>
      </c>
      <c r="H9038" s="38" t="n">
        <f aca="false">YEAR(Tabela1[[#This Row],[FECHA]])</f>
        <v>1900</v>
      </c>
      <c r="I90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39" customFormat="false" ht="15" hidden="false" customHeight="false" outlineLevel="0" collapsed="false">
      <c r="A9039" s="41"/>
      <c r="G9039" s="38" t="n">
        <f aca="false">MONTH(A9039)</f>
        <v>12</v>
      </c>
      <c r="H9039" s="38" t="n">
        <f aca="false">YEAR(Tabela1[[#This Row],[FECHA]])</f>
        <v>1900</v>
      </c>
      <c r="I90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40" customFormat="false" ht="15" hidden="false" customHeight="false" outlineLevel="0" collapsed="false">
      <c r="A9040" s="41"/>
      <c r="G9040" s="38" t="n">
        <f aca="false">MONTH(A9040)</f>
        <v>12</v>
      </c>
      <c r="H9040" s="38" t="n">
        <f aca="false">YEAR(Tabela1[[#This Row],[FECHA]])</f>
        <v>1900</v>
      </c>
      <c r="I90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41" customFormat="false" ht="15" hidden="false" customHeight="false" outlineLevel="0" collapsed="false">
      <c r="A9041" s="41"/>
      <c r="G9041" s="38" t="n">
        <f aca="false">MONTH(A9041)</f>
        <v>12</v>
      </c>
      <c r="H9041" s="38" t="n">
        <f aca="false">YEAR(Tabela1[[#This Row],[FECHA]])</f>
        <v>1900</v>
      </c>
      <c r="I90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42" customFormat="false" ht="15" hidden="false" customHeight="false" outlineLevel="0" collapsed="false">
      <c r="A9042" s="41"/>
      <c r="G9042" s="38" t="n">
        <f aca="false">MONTH(A9042)</f>
        <v>12</v>
      </c>
      <c r="H9042" s="38" t="n">
        <f aca="false">YEAR(Tabela1[[#This Row],[FECHA]])</f>
        <v>1900</v>
      </c>
      <c r="I90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43" customFormat="false" ht="15" hidden="false" customHeight="false" outlineLevel="0" collapsed="false">
      <c r="A9043" s="41"/>
      <c r="G9043" s="38" t="n">
        <f aca="false">MONTH(A9043)</f>
        <v>12</v>
      </c>
      <c r="H9043" s="38" t="n">
        <f aca="false">YEAR(Tabela1[[#This Row],[FECHA]])</f>
        <v>1900</v>
      </c>
      <c r="I90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44" customFormat="false" ht="15" hidden="false" customHeight="false" outlineLevel="0" collapsed="false">
      <c r="A9044" s="41"/>
      <c r="G9044" s="38" t="n">
        <f aca="false">MONTH(A9044)</f>
        <v>12</v>
      </c>
      <c r="H9044" s="38" t="n">
        <f aca="false">YEAR(Tabela1[[#This Row],[FECHA]])</f>
        <v>1900</v>
      </c>
      <c r="I90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45" customFormat="false" ht="15" hidden="false" customHeight="false" outlineLevel="0" collapsed="false">
      <c r="A9045" s="41"/>
      <c r="G9045" s="38" t="n">
        <f aca="false">MONTH(A9045)</f>
        <v>12</v>
      </c>
      <c r="H9045" s="38" t="n">
        <f aca="false">YEAR(Tabela1[[#This Row],[FECHA]])</f>
        <v>1900</v>
      </c>
      <c r="I90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46" customFormat="false" ht="15" hidden="false" customHeight="false" outlineLevel="0" collapsed="false">
      <c r="A9046" s="41"/>
      <c r="G9046" s="38" t="n">
        <f aca="false">MONTH(A9046)</f>
        <v>12</v>
      </c>
      <c r="H9046" s="38" t="n">
        <f aca="false">YEAR(Tabela1[[#This Row],[FECHA]])</f>
        <v>1900</v>
      </c>
      <c r="I90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47" customFormat="false" ht="15" hidden="false" customHeight="false" outlineLevel="0" collapsed="false">
      <c r="A9047" s="41"/>
      <c r="G9047" s="38" t="n">
        <f aca="false">MONTH(A9047)</f>
        <v>12</v>
      </c>
      <c r="H9047" s="38" t="n">
        <f aca="false">YEAR(Tabela1[[#This Row],[FECHA]])</f>
        <v>1900</v>
      </c>
      <c r="I90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48" customFormat="false" ht="15" hidden="false" customHeight="false" outlineLevel="0" collapsed="false">
      <c r="A9048" s="41"/>
      <c r="G9048" s="38" t="n">
        <f aca="false">MONTH(A9048)</f>
        <v>12</v>
      </c>
      <c r="H9048" s="38" t="n">
        <f aca="false">YEAR(Tabela1[[#This Row],[FECHA]])</f>
        <v>1900</v>
      </c>
      <c r="I90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49" customFormat="false" ht="15" hidden="false" customHeight="false" outlineLevel="0" collapsed="false">
      <c r="A9049" s="41"/>
      <c r="G9049" s="38" t="n">
        <f aca="false">MONTH(A9049)</f>
        <v>12</v>
      </c>
      <c r="H9049" s="38" t="n">
        <f aca="false">YEAR(Tabela1[[#This Row],[FECHA]])</f>
        <v>1900</v>
      </c>
      <c r="I90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50" customFormat="false" ht="15" hidden="false" customHeight="false" outlineLevel="0" collapsed="false">
      <c r="A9050" s="41"/>
      <c r="G9050" s="38" t="n">
        <f aca="false">MONTH(A9050)</f>
        <v>12</v>
      </c>
      <c r="H9050" s="38" t="n">
        <f aca="false">YEAR(Tabela1[[#This Row],[FECHA]])</f>
        <v>1900</v>
      </c>
      <c r="I90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51" customFormat="false" ht="15" hidden="false" customHeight="false" outlineLevel="0" collapsed="false">
      <c r="A9051" s="41"/>
      <c r="G9051" s="38" t="n">
        <f aca="false">MONTH(A9051)</f>
        <v>12</v>
      </c>
      <c r="H9051" s="38" t="n">
        <f aca="false">YEAR(Tabela1[[#This Row],[FECHA]])</f>
        <v>1900</v>
      </c>
      <c r="I90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52" customFormat="false" ht="15" hidden="false" customHeight="false" outlineLevel="0" collapsed="false">
      <c r="A9052" s="41"/>
      <c r="G9052" s="38" t="n">
        <f aca="false">MONTH(A9052)</f>
        <v>12</v>
      </c>
      <c r="H9052" s="38" t="n">
        <f aca="false">YEAR(Tabela1[[#This Row],[FECHA]])</f>
        <v>1900</v>
      </c>
      <c r="I90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53" customFormat="false" ht="15" hidden="false" customHeight="false" outlineLevel="0" collapsed="false">
      <c r="A9053" s="41"/>
      <c r="G9053" s="38" t="n">
        <f aca="false">MONTH(A9053)</f>
        <v>12</v>
      </c>
      <c r="H9053" s="38" t="n">
        <f aca="false">YEAR(Tabela1[[#This Row],[FECHA]])</f>
        <v>1900</v>
      </c>
      <c r="I90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54" customFormat="false" ht="15" hidden="false" customHeight="false" outlineLevel="0" collapsed="false">
      <c r="A9054" s="41"/>
      <c r="G9054" s="38" t="n">
        <f aca="false">MONTH(A9054)</f>
        <v>12</v>
      </c>
      <c r="H9054" s="38" t="n">
        <f aca="false">YEAR(Tabela1[[#This Row],[FECHA]])</f>
        <v>1900</v>
      </c>
      <c r="I90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55" customFormat="false" ht="15" hidden="false" customHeight="false" outlineLevel="0" collapsed="false">
      <c r="A9055" s="41"/>
      <c r="G9055" s="38" t="n">
        <f aca="false">MONTH(A9055)</f>
        <v>12</v>
      </c>
      <c r="H9055" s="38" t="n">
        <f aca="false">YEAR(Tabela1[[#This Row],[FECHA]])</f>
        <v>1900</v>
      </c>
      <c r="I90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56" customFormat="false" ht="15" hidden="false" customHeight="false" outlineLevel="0" collapsed="false">
      <c r="A9056" s="41"/>
      <c r="G9056" s="38" t="n">
        <f aca="false">MONTH(A9056)</f>
        <v>12</v>
      </c>
      <c r="H9056" s="38" t="n">
        <f aca="false">YEAR(Tabela1[[#This Row],[FECHA]])</f>
        <v>1900</v>
      </c>
      <c r="I90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57" customFormat="false" ht="15" hidden="false" customHeight="false" outlineLevel="0" collapsed="false">
      <c r="A9057" s="41"/>
      <c r="G9057" s="38" t="n">
        <f aca="false">MONTH(A9057)</f>
        <v>12</v>
      </c>
      <c r="H9057" s="38" t="n">
        <f aca="false">YEAR(Tabela1[[#This Row],[FECHA]])</f>
        <v>1900</v>
      </c>
      <c r="I90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58" customFormat="false" ht="15" hidden="false" customHeight="false" outlineLevel="0" collapsed="false">
      <c r="A9058" s="41"/>
      <c r="G9058" s="38" t="n">
        <f aca="false">MONTH(A9058)</f>
        <v>12</v>
      </c>
      <c r="H9058" s="38" t="n">
        <f aca="false">YEAR(Tabela1[[#This Row],[FECHA]])</f>
        <v>1900</v>
      </c>
      <c r="I90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59" customFormat="false" ht="15" hidden="false" customHeight="false" outlineLevel="0" collapsed="false">
      <c r="A9059" s="41"/>
      <c r="G9059" s="38" t="n">
        <f aca="false">MONTH(A9059)</f>
        <v>12</v>
      </c>
      <c r="H9059" s="38" t="n">
        <f aca="false">YEAR(Tabela1[[#This Row],[FECHA]])</f>
        <v>1900</v>
      </c>
      <c r="I90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60" customFormat="false" ht="15" hidden="false" customHeight="false" outlineLevel="0" collapsed="false">
      <c r="A9060" s="41"/>
      <c r="G9060" s="38" t="n">
        <f aca="false">MONTH(A9060)</f>
        <v>12</v>
      </c>
      <c r="H9060" s="38" t="n">
        <f aca="false">YEAR(Tabela1[[#This Row],[FECHA]])</f>
        <v>1900</v>
      </c>
      <c r="I90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61" customFormat="false" ht="15" hidden="false" customHeight="false" outlineLevel="0" collapsed="false">
      <c r="A9061" s="41"/>
      <c r="G9061" s="38" t="n">
        <f aca="false">MONTH(A9061)</f>
        <v>12</v>
      </c>
      <c r="H9061" s="38" t="n">
        <f aca="false">YEAR(Tabela1[[#This Row],[FECHA]])</f>
        <v>1900</v>
      </c>
      <c r="I90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62" customFormat="false" ht="15" hidden="false" customHeight="false" outlineLevel="0" collapsed="false">
      <c r="A9062" s="41"/>
      <c r="G9062" s="38" t="n">
        <f aca="false">MONTH(A9062)</f>
        <v>12</v>
      </c>
      <c r="H9062" s="38" t="n">
        <f aca="false">YEAR(Tabela1[[#This Row],[FECHA]])</f>
        <v>1900</v>
      </c>
      <c r="I90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63" customFormat="false" ht="15" hidden="false" customHeight="false" outlineLevel="0" collapsed="false">
      <c r="A9063" s="41"/>
      <c r="G9063" s="38" t="n">
        <f aca="false">MONTH(A9063)</f>
        <v>12</v>
      </c>
      <c r="H9063" s="38" t="n">
        <f aca="false">YEAR(Tabela1[[#This Row],[FECHA]])</f>
        <v>1900</v>
      </c>
      <c r="I90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64" customFormat="false" ht="15" hidden="false" customHeight="false" outlineLevel="0" collapsed="false">
      <c r="A9064" s="41"/>
      <c r="G9064" s="38" t="n">
        <f aca="false">MONTH(A9064)</f>
        <v>12</v>
      </c>
      <c r="H9064" s="38" t="n">
        <f aca="false">YEAR(Tabela1[[#This Row],[FECHA]])</f>
        <v>1900</v>
      </c>
      <c r="I90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65" customFormat="false" ht="15" hidden="false" customHeight="false" outlineLevel="0" collapsed="false">
      <c r="A9065" s="41"/>
      <c r="G9065" s="38" t="n">
        <f aca="false">MONTH(A9065)</f>
        <v>12</v>
      </c>
      <c r="H9065" s="38" t="n">
        <f aca="false">YEAR(Tabela1[[#This Row],[FECHA]])</f>
        <v>1900</v>
      </c>
      <c r="I90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66" customFormat="false" ht="15" hidden="false" customHeight="false" outlineLevel="0" collapsed="false">
      <c r="A9066" s="41"/>
      <c r="G9066" s="38" t="n">
        <f aca="false">MONTH(A9066)</f>
        <v>12</v>
      </c>
      <c r="H9066" s="38" t="n">
        <f aca="false">YEAR(Tabela1[[#This Row],[FECHA]])</f>
        <v>1900</v>
      </c>
      <c r="I90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67" customFormat="false" ht="15" hidden="false" customHeight="false" outlineLevel="0" collapsed="false">
      <c r="A9067" s="41"/>
      <c r="G9067" s="38" t="n">
        <f aca="false">MONTH(A9067)</f>
        <v>12</v>
      </c>
      <c r="H9067" s="38" t="n">
        <f aca="false">YEAR(Tabela1[[#This Row],[FECHA]])</f>
        <v>1900</v>
      </c>
      <c r="I90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68" customFormat="false" ht="15" hidden="false" customHeight="false" outlineLevel="0" collapsed="false">
      <c r="A9068" s="41"/>
      <c r="G9068" s="38" t="n">
        <f aca="false">MONTH(A9068)</f>
        <v>12</v>
      </c>
      <c r="H9068" s="38" t="n">
        <f aca="false">YEAR(Tabela1[[#This Row],[FECHA]])</f>
        <v>1900</v>
      </c>
      <c r="I90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69" customFormat="false" ht="15" hidden="false" customHeight="false" outlineLevel="0" collapsed="false">
      <c r="A9069" s="41"/>
      <c r="G9069" s="38" t="n">
        <f aca="false">MONTH(A9069)</f>
        <v>12</v>
      </c>
      <c r="H9069" s="38" t="n">
        <f aca="false">YEAR(Tabela1[[#This Row],[FECHA]])</f>
        <v>1900</v>
      </c>
      <c r="I90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70" customFormat="false" ht="15" hidden="false" customHeight="false" outlineLevel="0" collapsed="false">
      <c r="A9070" s="41"/>
      <c r="G9070" s="38" t="n">
        <f aca="false">MONTH(A9070)</f>
        <v>12</v>
      </c>
      <c r="H9070" s="38" t="n">
        <f aca="false">YEAR(Tabela1[[#This Row],[FECHA]])</f>
        <v>1900</v>
      </c>
      <c r="I90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71" customFormat="false" ht="15" hidden="false" customHeight="false" outlineLevel="0" collapsed="false">
      <c r="A9071" s="41"/>
      <c r="G9071" s="38" t="n">
        <f aca="false">MONTH(A9071)</f>
        <v>12</v>
      </c>
      <c r="H9071" s="38" t="n">
        <f aca="false">YEAR(Tabela1[[#This Row],[FECHA]])</f>
        <v>1900</v>
      </c>
      <c r="I90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72" customFormat="false" ht="15" hidden="false" customHeight="false" outlineLevel="0" collapsed="false">
      <c r="A9072" s="41"/>
      <c r="G9072" s="38" t="n">
        <f aca="false">MONTH(A9072)</f>
        <v>12</v>
      </c>
      <c r="H9072" s="38" t="n">
        <f aca="false">YEAR(Tabela1[[#This Row],[FECHA]])</f>
        <v>1900</v>
      </c>
      <c r="I90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73" customFormat="false" ht="15" hidden="false" customHeight="false" outlineLevel="0" collapsed="false">
      <c r="A9073" s="41"/>
      <c r="G9073" s="38" t="n">
        <f aca="false">MONTH(A9073)</f>
        <v>12</v>
      </c>
      <c r="H9073" s="38" t="n">
        <f aca="false">YEAR(Tabela1[[#This Row],[FECHA]])</f>
        <v>1900</v>
      </c>
      <c r="I90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74" customFormat="false" ht="15" hidden="false" customHeight="false" outlineLevel="0" collapsed="false">
      <c r="A9074" s="41"/>
      <c r="G9074" s="38" t="n">
        <f aca="false">MONTH(A9074)</f>
        <v>12</v>
      </c>
      <c r="H9074" s="38" t="n">
        <f aca="false">YEAR(Tabela1[[#This Row],[FECHA]])</f>
        <v>1900</v>
      </c>
      <c r="I90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75" customFormat="false" ht="15" hidden="false" customHeight="false" outlineLevel="0" collapsed="false">
      <c r="A9075" s="41"/>
      <c r="G9075" s="38" t="n">
        <f aca="false">MONTH(A9075)</f>
        <v>12</v>
      </c>
      <c r="H9075" s="38" t="n">
        <f aca="false">YEAR(Tabela1[[#This Row],[FECHA]])</f>
        <v>1900</v>
      </c>
      <c r="I90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76" customFormat="false" ht="15" hidden="false" customHeight="false" outlineLevel="0" collapsed="false">
      <c r="A9076" s="41"/>
      <c r="G9076" s="38" t="n">
        <f aca="false">MONTH(A9076)</f>
        <v>12</v>
      </c>
      <c r="H9076" s="38" t="n">
        <f aca="false">YEAR(Tabela1[[#This Row],[FECHA]])</f>
        <v>1900</v>
      </c>
      <c r="I90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77" customFormat="false" ht="15" hidden="false" customHeight="false" outlineLevel="0" collapsed="false">
      <c r="A9077" s="41"/>
      <c r="G9077" s="38" t="n">
        <f aca="false">MONTH(A9077)</f>
        <v>12</v>
      </c>
      <c r="H9077" s="38" t="n">
        <f aca="false">YEAR(Tabela1[[#This Row],[FECHA]])</f>
        <v>1900</v>
      </c>
      <c r="I90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78" customFormat="false" ht="15" hidden="false" customHeight="false" outlineLevel="0" collapsed="false">
      <c r="A9078" s="41"/>
      <c r="G9078" s="38" t="n">
        <f aca="false">MONTH(A9078)</f>
        <v>12</v>
      </c>
      <c r="H9078" s="38" t="n">
        <f aca="false">YEAR(Tabela1[[#This Row],[FECHA]])</f>
        <v>1900</v>
      </c>
      <c r="I90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79" customFormat="false" ht="15" hidden="false" customHeight="false" outlineLevel="0" collapsed="false">
      <c r="A9079" s="41"/>
      <c r="G9079" s="38" t="n">
        <f aca="false">MONTH(A9079)</f>
        <v>12</v>
      </c>
      <c r="H9079" s="38" t="n">
        <f aca="false">YEAR(Tabela1[[#This Row],[FECHA]])</f>
        <v>1900</v>
      </c>
      <c r="I90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80" customFormat="false" ht="15" hidden="false" customHeight="false" outlineLevel="0" collapsed="false">
      <c r="A9080" s="41"/>
      <c r="G9080" s="38" t="n">
        <f aca="false">MONTH(A9080)</f>
        <v>12</v>
      </c>
      <c r="H9080" s="38" t="n">
        <f aca="false">YEAR(Tabela1[[#This Row],[FECHA]])</f>
        <v>1900</v>
      </c>
      <c r="I90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81" customFormat="false" ht="15" hidden="false" customHeight="false" outlineLevel="0" collapsed="false">
      <c r="A9081" s="41"/>
      <c r="G9081" s="38" t="n">
        <f aca="false">MONTH(A9081)</f>
        <v>12</v>
      </c>
      <c r="H9081" s="38" t="n">
        <f aca="false">YEAR(Tabela1[[#This Row],[FECHA]])</f>
        <v>1900</v>
      </c>
      <c r="I90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82" customFormat="false" ht="15" hidden="false" customHeight="false" outlineLevel="0" collapsed="false">
      <c r="A9082" s="41"/>
      <c r="G9082" s="38" t="n">
        <f aca="false">MONTH(A9082)</f>
        <v>12</v>
      </c>
      <c r="H9082" s="38" t="n">
        <f aca="false">YEAR(Tabela1[[#This Row],[FECHA]])</f>
        <v>1900</v>
      </c>
      <c r="I90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83" customFormat="false" ht="15" hidden="false" customHeight="false" outlineLevel="0" collapsed="false">
      <c r="A9083" s="41"/>
      <c r="G9083" s="38" t="n">
        <f aca="false">MONTH(A9083)</f>
        <v>12</v>
      </c>
      <c r="H9083" s="38" t="n">
        <f aca="false">YEAR(Tabela1[[#This Row],[FECHA]])</f>
        <v>1900</v>
      </c>
      <c r="I90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84" customFormat="false" ht="15" hidden="false" customHeight="false" outlineLevel="0" collapsed="false">
      <c r="A9084" s="41"/>
      <c r="G9084" s="38" t="n">
        <f aca="false">MONTH(A9084)</f>
        <v>12</v>
      </c>
      <c r="H9084" s="38" t="n">
        <f aca="false">YEAR(Tabela1[[#This Row],[FECHA]])</f>
        <v>1900</v>
      </c>
      <c r="I90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85" customFormat="false" ht="15" hidden="false" customHeight="false" outlineLevel="0" collapsed="false">
      <c r="A9085" s="41"/>
      <c r="G9085" s="38" t="n">
        <f aca="false">MONTH(A9085)</f>
        <v>12</v>
      </c>
      <c r="H9085" s="38" t="n">
        <f aca="false">YEAR(Tabela1[[#This Row],[FECHA]])</f>
        <v>1900</v>
      </c>
      <c r="I90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86" customFormat="false" ht="15" hidden="false" customHeight="false" outlineLevel="0" collapsed="false">
      <c r="A9086" s="41"/>
      <c r="G9086" s="38" t="n">
        <f aca="false">MONTH(A9086)</f>
        <v>12</v>
      </c>
      <c r="H9086" s="38" t="n">
        <f aca="false">YEAR(Tabela1[[#This Row],[FECHA]])</f>
        <v>1900</v>
      </c>
      <c r="I90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87" customFormat="false" ht="15" hidden="false" customHeight="false" outlineLevel="0" collapsed="false">
      <c r="A9087" s="41"/>
      <c r="G9087" s="38" t="n">
        <f aca="false">MONTH(A9087)</f>
        <v>12</v>
      </c>
      <c r="H9087" s="38" t="n">
        <f aca="false">YEAR(Tabela1[[#This Row],[FECHA]])</f>
        <v>1900</v>
      </c>
      <c r="I90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88" customFormat="false" ht="15" hidden="false" customHeight="false" outlineLevel="0" collapsed="false">
      <c r="A9088" s="41"/>
      <c r="G9088" s="38" t="n">
        <f aca="false">MONTH(A9088)</f>
        <v>12</v>
      </c>
      <c r="H9088" s="38" t="n">
        <f aca="false">YEAR(Tabela1[[#This Row],[FECHA]])</f>
        <v>1900</v>
      </c>
      <c r="I90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89" customFormat="false" ht="15" hidden="false" customHeight="false" outlineLevel="0" collapsed="false">
      <c r="A9089" s="41"/>
      <c r="G9089" s="38" t="n">
        <f aca="false">MONTH(A9089)</f>
        <v>12</v>
      </c>
      <c r="H9089" s="38" t="n">
        <f aca="false">YEAR(Tabela1[[#This Row],[FECHA]])</f>
        <v>1900</v>
      </c>
      <c r="I90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90" customFormat="false" ht="15" hidden="false" customHeight="false" outlineLevel="0" collapsed="false">
      <c r="A9090" s="41"/>
      <c r="G9090" s="38" t="n">
        <f aca="false">MONTH(A9090)</f>
        <v>12</v>
      </c>
      <c r="H9090" s="38" t="n">
        <f aca="false">YEAR(Tabela1[[#This Row],[FECHA]])</f>
        <v>1900</v>
      </c>
      <c r="I90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91" customFormat="false" ht="15" hidden="false" customHeight="false" outlineLevel="0" collapsed="false">
      <c r="A9091" s="41"/>
      <c r="G9091" s="38" t="n">
        <f aca="false">MONTH(A9091)</f>
        <v>12</v>
      </c>
      <c r="H9091" s="38" t="n">
        <f aca="false">YEAR(Tabela1[[#This Row],[FECHA]])</f>
        <v>1900</v>
      </c>
      <c r="I90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92" customFormat="false" ht="15" hidden="false" customHeight="false" outlineLevel="0" collapsed="false">
      <c r="A9092" s="41"/>
      <c r="G9092" s="38" t="n">
        <f aca="false">MONTH(A9092)</f>
        <v>12</v>
      </c>
      <c r="H9092" s="38" t="n">
        <f aca="false">YEAR(Tabela1[[#This Row],[FECHA]])</f>
        <v>1900</v>
      </c>
      <c r="I90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93" customFormat="false" ht="15" hidden="false" customHeight="false" outlineLevel="0" collapsed="false">
      <c r="A9093" s="41"/>
      <c r="G9093" s="38" t="n">
        <f aca="false">MONTH(A9093)</f>
        <v>12</v>
      </c>
      <c r="H9093" s="38" t="n">
        <f aca="false">YEAR(Tabela1[[#This Row],[FECHA]])</f>
        <v>1900</v>
      </c>
      <c r="I90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94" customFormat="false" ht="15" hidden="false" customHeight="false" outlineLevel="0" collapsed="false">
      <c r="A9094" s="41"/>
      <c r="G9094" s="38" t="n">
        <f aca="false">MONTH(A9094)</f>
        <v>12</v>
      </c>
      <c r="H9094" s="38" t="n">
        <f aca="false">YEAR(Tabela1[[#This Row],[FECHA]])</f>
        <v>1900</v>
      </c>
      <c r="I90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95" customFormat="false" ht="15" hidden="false" customHeight="false" outlineLevel="0" collapsed="false">
      <c r="A9095" s="41"/>
      <c r="G9095" s="38" t="n">
        <f aca="false">MONTH(A9095)</f>
        <v>12</v>
      </c>
      <c r="H9095" s="38" t="n">
        <f aca="false">YEAR(Tabela1[[#This Row],[FECHA]])</f>
        <v>1900</v>
      </c>
      <c r="I90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96" customFormat="false" ht="15" hidden="false" customHeight="false" outlineLevel="0" collapsed="false">
      <c r="A9096" s="41"/>
      <c r="G9096" s="38" t="n">
        <f aca="false">MONTH(A9096)</f>
        <v>12</v>
      </c>
      <c r="H9096" s="38" t="n">
        <f aca="false">YEAR(Tabela1[[#This Row],[FECHA]])</f>
        <v>1900</v>
      </c>
      <c r="I90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97" customFormat="false" ht="15" hidden="false" customHeight="false" outlineLevel="0" collapsed="false">
      <c r="A9097" s="41"/>
      <c r="G9097" s="38" t="n">
        <f aca="false">MONTH(A9097)</f>
        <v>12</v>
      </c>
      <c r="H9097" s="38" t="n">
        <f aca="false">YEAR(Tabela1[[#This Row],[FECHA]])</f>
        <v>1900</v>
      </c>
      <c r="I90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98" customFormat="false" ht="15" hidden="false" customHeight="false" outlineLevel="0" collapsed="false">
      <c r="A9098" s="41"/>
      <c r="G9098" s="38" t="n">
        <f aca="false">MONTH(A9098)</f>
        <v>12</v>
      </c>
      <c r="H9098" s="38" t="n">
        <f aca="false">YEAR(Tabela1[[#This Row],[FECHA]])</f>
        <v>1900</v>
      </c>
      <c r="I90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099" customFormat="false" ht="15" hidden="false" customHeight="false" outlineLevel="0" collapsed="false">
      <c r="A9099" s="41"/>
      <c r="G9099" s="38" t="n">
        <f aca="false">MONTH(A9099)</f>
        <v>12</v>
      </c>
      <c r="H9099" s="38" t="n">
        <f aca="false">YEAR(Tabela1[[#This Row],[FECHA]])</f>
        <v>1900</v>
      </c>
      <c r="I90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00" customFormat="false" ht="15" hidden="false" customHeight="false" outlineLevel="0" collapsed="false">
      <c r="A9100" s="41"/>
      <c r="G9100" s="38" t="n">
        <f aca="false">MONTH(A9100)</f>
        <v>12</v>
      </c>
      <c r="H9100" s="38" t="n">
        <f aca="false">YEAR(Tabela1[[#This Row],[FECHA]])</f>
        <v>1900</v>
      </c>
      <c r="I91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01" customFormat="false" ht="15" hidden="false" customHeight="false" outlineLevel="0" collapsed="false">
      <c r="A9101" s="41"/>
      <c r="G9101" s="38" t="n">
        <f aca="false">MONTH(A9101)</f>
        <v>12</v>
      </c>
      <c r="H9101" s="38" t="n">
        <f aca="false">YEAR(Tabela1[[#This Row],[FECHA]])</f>
        <v>1900</v>
      </c>
      <c r="I91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02" customFormat="false" ht="15" hidden="false" customHeight="false" outlineLevel="0" collapsed="false">
      <c r="A9102" s="41"/>
      <c r="G9102" s="38" t="n">
        <f aca="false">MONTH(A9102)</f>
        <v>12</v>
      </c>
      <c r="H9102" s="38" t="n">
        <f aca="false">YEAR(Tabela1[[#This Row],[FECHA]])</f>
        <v>1900</v>
      </c>
      <c r="I91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03" customFormat="false" ht="15" hidden="false" customHeight="false" outlineLevel="0" collapsed="false">
      <c r="A9103" s="41"/>
      <c r="G9103" s="38" t="n">
        <f aca="false">MONTH(A9103)</f>
        <v>12</v>
      </c>
      <c r="H9103" s="38" t="n">
        <f aca="false">YEAR(Tabela1[[#This Row],[FECHA]])</f>
        <v>1900</v>
      </c>
      <c r="I91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04" customFormat="false" ht="15" hidden="false" customHeight="false" outlineLevel="0" collapsed="false">
      <c r="A9104" s="41"/>
      <c r="G9104" s="38" t="n">
        <f aca="false">MONTH(A9104)</f>
        <v>12</v>
      </c>
      <c r="H9104" s="38" t="n">
        <f aca="false">YEAR(Tabela1[[#This Row],[FECHA]])</f>
        <v>1900</v>
      </c>
      <c r="I91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05" customFormat="false" ht="15" hidden="false" customHeight="false" outlineLevel="0" collapsed="false">
      <c r="A9105" s="41"/>
      <c r="G9105" s="38" t="n">
        <f aca="false">MONTH(A9105)</f>
        <v>12</v>
      </c>
      <c r="H9105" s="38" t="n">
        <f aca="false">YEAR(Tabela1[[#This Row],[FECHA]])</f>
        <v>1900</v>
      </c>
      <c r="I91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06" customFormat="false" ht="15" hidden="false" customHeight="false" outlineLevel="0" collapsed="false">
      <c r="A9106" s="41"/>
      <c r="G9106" s="38" t="n">
        <f aca="false">MONTH(A9106)</f>
        <v>12</v>
      </c>
      <c r="H9106" s="38" t="n">
        <f aca="false">YEAR(Tabela1[[#This Row],[FECHA]])</f>
        <v>1900</v>
      </c>
      <c r="I91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07" customFormat="false" ht="15" hidden="false" customHeight="false" outlineLevel="0" collapsed="false">
      <c r="A9107" s="41"/>
      <c r="G9107" s="38" t="n">
        <f aca="false">MONTH(A9107)</f>
        <v>12</v>
      </c>
      <c r="H9107" s="38" t="n">
        <f aca="false">YEAR(Tabela1[[#This Row],[FECHA]])</f>
        <v>1900</v>
      </c>
      <c r="I91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08" customFormat="false" ht="15" hidden="false" customHeight="false" outlineLevel="0" collapsed="false">
      <c r="A9108" s="41"/>
      <c r="G9108" s="38" t="n">
        <f aca="false">MONTH(A9108)</f>
        <v>12</v>
      </c>
      <c r="H9108" s="38" t="n">
        <f aca="false">YEAR(Tabela1[[#This Row],[FECHA]])</f>
        <v>1900</v>
      </c>
      <c r="I91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09" customFormat="false" ht="15" hidden="false" customHeight="false" outlineLevel="0" collapsed="false">
      <c r="A9109" s="41"/>
      <c r="G9109" s="38" t="n">
        <f aca="false">MONTH(A9109)</f>
        <v>12</v>
      </c>
      <c r="H9109" s="38" t="n">
        <f aca="false">YEAR(Tabela1[[#This Row],[FECHA]])</f>
        <v>1900</v>
      </c>
      <c r="I91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10" customFormat="false" ht="15" hidden="false" customHeight="false" outlineLevel="0" collapsed="false">
      <c r="A9110" s="41"/>
      <c r="G9110" s="38" t="n">
        <f aca="false">MONTH(A9110)</f>
        <v>12</v>
      </c>
      <c r="H9110" s="38" t="n">
        <f aca="false">YEAR(Tabela1[[#This Row],[FECHA]])</f>
        <v>1900</v>
      </c>
      <c r="I91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11" customFormat="false" ht="15" hidden="false" customHeight="false" outlineLevel="0" collapsed="false">
      <c r="A9111" s="41"/>
      <c r="G9111" s="38" t="n">
        <f aca="false">MONTH(A9111)</f>
        <v>12</v>
      </c>
      <c r="H9111" s="38" t="n">
        <f aca="false">YEAR(Tabela1[[#This Row],[FECHA]])</f>
        <v>1900</v>
      </c>
      <c r="I91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12" customFormat="false" ht="15" hidden="false" customHeight="false" outlineLevel="0" collapsed="false">
      <c r="A9112" s="41"/>
      <c r="G9112" s="38" t="n">
        <f aca="false">MONTH(A9112)</f>
        <v>12</v>
      </c>
      <c r="H9112" s="38" t="n">
        <f aca="false">YEAR(Tabela1[[#This Row],[FECHA]])</f>
        <v>1900</v>
      </c>
      <c r="I91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13" customFormat="false" ht="15" hidden="false" customHeight="false" outlineLevel="0" collapsed="false">
      <c r="A9113" s="41"/>
      <c r="G9113" s="38" t="n">
        <f aca="false">MONTH(A9113)</f>
        <v>12</v>
      </c>
      <c r="H9113" s="38" t="n">
        <f aca="false">YEAR(Tabela1[[#This Row],[FECHA]])</f>
        <v>1900</v>
      </c>
      <c r="I91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14" customFormat="false" ht="15" hidden="false" customHeight="false" outlineLevel="0" collapsed="false">
      <c r="A9114" s="41"/>
      <c r="G9114" s="38" t="n">
        <f aca="false">MONTH(A9114)</f>
        <v>12</v>
      </c>
      <c r="H9114" s="38" t="n">
        <f aca="false">YEAR(Tabela1[[#This Row],[FECHA]])</f>
        <v>1900</v>
      </c>
      <c r="I91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15" customFormat="false" ht="15" hidden="false" customHeight="false" outlineLevel="0" collapsed="false">
      <c r="A9115" s="41"/>
      <c r="G9115" s="38" t="n">
        <f aca="false">MONTH(A9115)</f>
        <v>12</v>
      </c>
      <c r="H9115" s="38" t="n">
        <f aca="false">YEAR(Tabela1[[#This Row],[FECHA]])</f>
        <v>1900</v>
      </c>
      <c r="I91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16" customFormat="false" ht="15" hidden="false" customHeight="false" outlineLevel="0" collapsed="false">
      <c r="A9116" s="41"/>
      <c r="G9116" s="38" t="n">
        <f aca="false">MONTH(A9116)</f>
        <v>12</v>
      </c>
      <c r="H9116" s="38" t="n">
        <f aca="false">YEAR(Tabela1[[#This Row],[FECHA]])</f>
        <v>1900</v>
      </c>
      <c r="I91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17" customFormat="false" ht="15" hidden="false" customHeight="false" outlineLevel="0" collapsed="false">
      <c r="A9117" s="41"/>
      <c r="G9117" s="38" t="n">
        <f aca="false">MONTH(A9117)</f>
        <v>12</v>
      </c>
      <c r="H9117" s="38" t="n">
        <f aca="false">YEAR(Tabela1[[#This Row],[FECHA]])</f>
        <v>1900</v>
      </c>
      <c r="I91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18" customFormat="false" ht="15" hidden="false" customHeight="false" outlineLevel="0" collapsed="false">
      <c r="A9118" s="41"/>
      <c r="G9118" s="38" t="n">
        <f aca="false">MONTH(A9118)</f>
        <v>12</v>
      </c>
      <c r="H9118" s="38" t="n">
        <f aca="false">YEAR(Tabela1[[#This Row],[FECHA]])</f>
        <v>1900</v>
      </c>
      <c r="I91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19" customFormat="false" ht="15" hidden="false" customHeight="false" outlineLevel="0" collapsed="false">
      <c r="A9119" s="41"/>
      <c r="G9119" s="38" t="n">
        <f aca="false">MONTH(A9119)</f>
        <v>12</v>
      </c>
      <c r="H9119" s="38" t="n">
        <f aca="false">YEAR(Tabela1[[#This Row],[FECHA]])</f>
        <v>1900</v>
      </c>
      <c r="I91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20" customFormat="false" ht="15" hidden="false" customHeight="false" outlineLevel="0" collapsed="false">
      <c r="A9120" s="41"/>
      <c r="G9120" s="38" t="n">
        <f aca="false">MONTH(A9120)</f>
        <v>12</v>
      </c>
      <c r="H9120" s="38" t="n">
        <f aca="false">YEAR(Tabela1[[#This Row],[FECHA]])</f>
        <v>1900</v>
      </c>
      <c r="I91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21" customFormat="false" ht="15" hidden="false" customHeight="false" outlineLevel="0" collapsed="false">
      <c r="A9121" s="41"/>
      <c r="G9121" s="38" t="n">
        <f aca="false">MONTH(A9121)</f>
        <v>12</v>
      </c>
      <c r="H9121" s="38" t="n">
        <f aca="false">YEAR(Tabela1[[#This Row],[FECHA]])</f>
        <v>1900</v>
      </c>
      <c r="I91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22" customFormat="false" ht="15" hidden="false" customHeight="false" outlineLevel="0" collapsed="false">
      <c r="A9122" s="41"/>
      <c r="G9122" s="38" t="n">
        <f aca="false">MONTH(A9122)</f>
        <v>12</v>
      </c>
      <c r="H9122" s="38" t="n">
        <f aca="false">YEAR(Tabela1[[#This Row],[FECHA]])</f>
        <v>1900</v>
      </c>
      <c r="I91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23" customFormat="false" ht="15" hidden="false" customHeight="false" outlineLevel="0" collapsed="false">
      <c r="A9123" s="41"/>
      <c r="G9123" s="38" t="n">
        <f aca="false">MONTH(A9123)</f>
        <v>12</v>
      </c>
      <c r="H9123" s="38" t="n">
        <f aca="false">YEAR(Tabela1[[#This Row],[FECHA]])</f>
        <v>1900</v>
      </c>
      <c r="I91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24" customFormat="false" ht="15" hidden="false" customHeight="false" outlineLevel="0" collapsed="false">
      <c r="A9124" s="41"/>
      <c r="G9124" s="38" t="n">
        <f aca="false">MONTH(A9124)</f>
        <v>12</v>
      </c>
      <c r="H9124" s="38" t="n">
        <f aca="false">YEAR(Tabela1[[#This Row],[FECHA]])</f>
        <v>1900</v>
      </c>
      <c r="I91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25" customFormat="false" ht="15" hidden="false" customHeight="false" outlineLevel="0" collapsed="false">
      <c r="A9125" s="41"/>
      <c r="G9125" s="38" t="n">
        <f aca="false">MONTH(A9125)</f>
        <v>12</v>
      </c>
      <c r="H9125" s="38" t="n">
        <f aca="false">YEAR(Tabela1[[#This Row],[FECHA]])</f>
        <v>1900</v>
      </c>
      <c r="I91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26" customFormat="false" ht="15" hidden="false" customHeight="false" outlineLevel="0" collapsed="false">
      <c r="A9126" s="41"/>
      <c r="G9126" s="38" t="n">
        <f aca="false">MONTH(A9126)</f>
        <v>12</v>
      </c>
      <c r="H9126" s="38" t="n">
        <f aca="false">YEAR(Tabela1[[#This Row],[FECHA]])</f>
        <v>1900</v>
      </c>
      <c r="I91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27" customFormat="false" ht="15" hidden="false" customHeight="false" outlineLevel="0" collapsed="false">
      <c r="A9127" s="41"/>
      <c r="G9127" s="38" t="n">
        <f aca="false">MONTH(A9127)</f>
        <v>12</v>
      </c>
      <c r="H9127" s="38" t="n">
        <f aca="false">YEAR(Tabela1[[#This Row],[FECHA]])</f>
        <v>1900</v>
      </c>
      <c r="I91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28" customFormat="false" ht="15" hidden="false" customHeight="false" outlineLevel="0" collapsed="false">
      <c r="A9128" s="41"/>
      <c r="G9128" s="38" t="n">
        <f aca="false">MONTH(A9128)</f>
        <v>12</v>
      </c>
      <c r="H9128" s="38" t="n">
        <f aca="false">YEAR(Tabela1[[#This Row],[FECHA]])</f>
        <v>1900</v>
      </c>
      <c r="I91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29" customFormat="false" ht="15" hidden="false" customHeight="false" outlineLevel="0" collapsed="false">
      <c r="A9129" s="41"/>
      <c r="G9129" s="38" t="n">
        <f aca="false">MONTH(A9129)</f>
        <v>12</v>
      </c>
      <c r="H9129" s="38" t="n">
        <f aca="false">YEAR(Tabela1[[#This Row],[FECHA]])</f>
        <v>1900</v>
      </c>
      <c r="I91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30" customFormat="false" ht="15" hidden="false" customHeight="false" outlineLevel="0" collapsed="false">
      <c r="A9130" s="41"/>
      <c r="G9130" s="38" t="n">
        <f aca="false">MONTH(A9130)</f>
        <v>12</v>
      </c>
      <c r="H9130" s="38" t="n">
        <f aca="false">YEAR(Tabela1[[#This Row],[FECHA]])</f>
        <v>1900</v>
      </c>
      <c r="I91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31" customFormat="false" ht="15" hidden="false" customHeight="false" outlineLevel="0" collapsed="false">
      <c r="A9131" s="41"/>
      <c r="G9131" s="38" t="n">
        <f aca="false">MONTH(A9131)</f>
        <v>12</v>
      </c>
      <c r="H9131" s="38" t="n">
        <f aca="false">YEAR(Tabela1[[#This Row],[FECHA]])</f>
        <v>1900</v>
      </c>
      <c r="I91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32" customFormat="false" ht="15" hidden="false" customHeight="false" outlineLevel="0" collapsed="false">
      <c r="A9132" s="41"/>
      <c r="G9132" s="38" t="n">
        <f aca="false">MONTH(A9132)</f>
        <v>12</v>
      </c>
      <c r="H9132" s="38" t="n">
        <f aca="false">YEAR(Tabela1[[#This Row],[FECHA]])</f>
        <v>1900</v>
      </c>
      <c r="I91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33" customFormat="false" ht="15" hidden="false" customHeight="false" outlineLevel="0" collapsed="false">
      <c r="A9133" s="41"/>
      <c r="G9133" s="38" t="n">
        <f aca="false">MONTH(A9133)</f>
        <v>12</v>
      </c>
      <c r="H9133" s="38" t="n">
        <f aca="false">YEAR(Tabela1[[#This Row],[FECHA]])</f>
        <v>1900</v>
      </c>
      <c r="I91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34" customFormat="false" ht="15" hidden="false" customHeight="false" outlineLevel="0" collapsed="false">
      <c r="A9134" s="41"/>
      <c r="G9134" s="38" t="n">
        <f aca="false">MONTH(A9134)</f>
        <v>12</v>
      </c>
      <c r="H9134" s="38" t="n">
        <f aca="false">YEAR(Tabela1[[#This Row],[FECHA]])</f>
        <v>1900</v>
      </c>
      <c r="I91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35" customFormat="false" ht="15" hidden="false" customHeight="false" outlineLevel="0" collapsed="false">
      <c r="A9135" s="41"/>
      <c r="G9135" s="38" t="n">
        <f aca="false">MONTH(A9135)</f>
        <v>12</v>
      </c>
      <c r="H9135" s="38" t="n">
        <f aca="false">YEAR(Tabela1[[#This Row],[FECHA]])</f>
        <v>1900</v>
      </c>
      <c r="I91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36" customFormat="false" ht="15" hidden="false" customHeight="false" outlineLevel="0" collapsed="false">
      <c r="A9136" s="41"/>
      <c r="G9136" s="38" t="n">
        <f aca="false">MONTH(A9136)</f>
        <v>12</v>
      </c>
      <c r="H9136" s="38" t="n">
        <f aca="false">YEAR(Tabela1[[#This Row],[FECHA]])</f>
        <v>1900</v>
      </c>
      <c r="I91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37" customFormat="false" ht="15" hidden="false" customHeight="false" outlineLevel="0" collapsed="false">
      <c r="A9137" s="41"/>
      <c r="G9137" s="38" t="n">
        <f aca="false">MONTH(A9137)</f>
        <v>12</v>
      </c>
      <c r="H9137" s="38" t="n">
        <f aca="false">YEAR(Tabela1[[#This Row],[FECHA]])</f>
        <v>1900</v>
      </c>
      <c r="I91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38" customFormat="false" ht="15" hidden="false" customHeight="false" outlineLevel="0" collapsed="false">
      <c r="A9138" s="41"/>
      <c r="G9138" s="38" t="n">
        <f aca="false">MONTH(A9138)</f>
        <v>12</v>
      </c>
      <c r="H9138" s="38" t="n">
        <f aca="false">YEAR(Tabela1[[#This Row],[FECHA]])</f>
        <v>1900</v>
      </c>
      <c r="I91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39" customFormat="false" ht="15" hidden="false" customHeight="false" outlineLevel="0" collapsed="false">
      <c r="A9139" s="41"/>
      <c r="G9139" s="38" t="n">
        <f aca="false">MONTH(A9139)</f>
        <v>12</v>
      </c>
      <c r="H9139" s="38" t="n">
        <f aca="false">YEAR(Tabela1[[#This Row],[FECHA]])</f>
        <v>1900</v>
      </c>
      <c r="I91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40" customFormat="false" ht="15" hidden="false" customHeight="false" outlineLevel="0" collapsed="false">
      <c r="A9140" s="41"/>
      <c r="G9140" s="38" t="n">
        <f aca="false">MONTH(A9140)</f>
        <v>12</v>
      </c>
      <c r="H9140" s="38" t="n">
        <f aca="false">YEAR(Tabela1[[#This Row],[FECHA]])</f>
        <v>1900</v>
      </c>
      <c r="I91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41" customFormat="false" ht="15" hidden="false" customHeight="false" outlineLevel="0" collapsed="false">
      <c r="A9141" s="41"/>
      <c r="G9141" s="38" t="n">
        <f aca="false">MONTH(A9141)</f>
        <v>12</v>
      </c>
      <c r="H9141" s="38" t="n">
        <f aca="false">YEAR(Tabela1[[#This Row],[FECHA]])</f>
        <v>1900</v>
      </c>
      <c r="I91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42" customFormat="false" ht="15" hidden="false" customHeight="false" outlineLevel="0" collapsed="false">
      <c r="A9142" s="41"/>
      <c r="G9142" s="38" t="n">
        <f aca="false">MONTH(A9142)</f>
        <v>12</v>
      </c>
      <c r="H9142" s="38" t="n">
        <f aca="false">YEAR(Tabela1[[#This Row],[FECHA]])</f>
        <v>1900</v>
      </c>
      <c r="I91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43" customFormat="false" ht="15" hidden="false" customHeight="false" outlineLevel="0" collapsed="false">
      <c r="A9143" s="41"/>
      <c r="G9143" s="38" t="n">
        <f aca="false">MONTH(A9143)</f>
        <v>12</v>
      </c>
      <c r="H9143" s="38" t="n">
        <f aca="false">YEAR(Tabela1[[#This Row],[FECHA]])</f>
        <v>1900</v>
      </c>
      <c r="I91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44" customFormat="false" ht="15" hidden="false" customHeight="false" outlineLevel="0" collapsed="false">
      <c r="A9144" s="41"/>
      <c r="G9144" s="38" t="n">
        <f aca="false">MONTH(A9144)</f>
        <v>12</v>
      </c>
      <c r="H9144" s="38" t="n">
        <f aca="false">YEAR(Tabela1[[#This Row],[FECHA]])</f>
        <v>1900</v>
      </c>
      <c r="I91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45" customFormat="false" ht="15" hidden="false" customHeight="false" outlineLevel="0" collapsed="false">
      <c r="A9145" s="41"/>
      <c r="G9145" s="38" t="n">
        <f aca="false">MONTH(A9145)</f>
        <v>12</v>
      </c>
      <c r="H9145" s="38" t="n">
        <f aca="false">YEAR(Tabela1[[#This Row],[FECHA]])</f>
        <v>1900</v>
      </c>
      <c r="I91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46" customFormat="false" ht="15" hidden="false" customHeight="false" outlineLevel="0" collapsed="false">
      <c r="A9146" s="41"/>
      <c r="G9146" s="38" t="n">
        <f aca="false">MONTH(A9146)</f>
        <v>12</v>
      </c>
      <c r="H9146" s="38" t="n">
        <f aca="false">YEAR(Tabela1[[#This Row],[FECHA]])</f>
        <v>1900</v>
      </c>
      <c r="I91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47" customFormat="false" ht="15" hidden="false" customHeight="false" outlineLevel="0" collapsed="false">
      <c r="A9147" s="41"/>
      <c r="G9147" s="38" t="n">
        <f aca="false">MONTH(A9147)</f>
        <v>12</v>
      </c>
      <c r="H9147" s="38" t="n">
        <f aca="false">YEAR(Tabela1[[#This Row],[FECHA]])</f>
        <v>1900</v>
      </c>
      <c r="I91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48" customFormat="false" ht="15" hidden="false" customHeight="false" outlineLevel="0" collapsed="false">
      <c r="A9148" s="41"/>
      <c r="G9148" s="38" t="n">
        <f aca="false">MONTH(A9148)</f>
        <v>12</v>
      </c>
      <c r="H9148" s="38" t="n">
        <f aca="false">YEAR(Tabela1[[#This Row],[FECHA]])</f>
        <v>1900</v>
      </c>
      <c r="I91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49" customFormat="false" ht="15" hidden="false" customHeight="false" outlineLevel="0" collapsed="false">
      <c r="A9149" s="41"/>
      <c r="G9149" s="38" t="n">
        <f aca="false">MONTH(A9149)</f>
        <v>12</v>
      </c>
      <c r="H9149" s="38" t="n">
        <f aca="false">YEAR(Tabela1[[#This Row],[FECHA]])</f>
        <v>1900</v>
      </c>
      <c r="I91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50" customFormat="false" ht="15" hidden="false" customHeight="false" outlineLevel="0" collapsed="false">
      <c r="A9150" s="41"/>
      <c r="G9150" s="38" t="n">
        <f aca="false">MONTH(A9150)</f>
        <v>12</v>
      </c>
      <c r="H9150" s="38" t="n">
        <f aca="false">YEAR(Tabela1[[#This Row],[FECHA]])</f>
        <v>1900</v>
      </c>
      <c r="I91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51" customFormat="false" ht="15" hidden="false" customHeight="false" outlineLevel="0" collapsed="false">
      <c r="A9151" s="41"/>
      <c r="G9151" s="38" t="n">
        <f aca="false">MONTH(A9151)</f>
        <v>12</v>
      </c>
      <c r="H9151" s="38" t="n">
        <f aca="false">YEAR(Tabela1[[#This Row],[FECHA]])</f>
        <v>1900</v>
      </c>
      <c r="I91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52" customFormat="false" ht="15" hidden="false" customHeight="false" outlineLevel="0" collapsed="false">
      <c r="A9152" s="41"/>
      <c r="G9152" s="38" t="n">
        <f aca="false">MONTH(A9152)</f>
        <v>12</v>
      </c>
      <c r="H9152" s="38" t="n">
        <f aca="false">YEAR(Tabela1[[#This Row],[FECHA]])</f>
        <v>1900</v>
      </c>
      <c r="I91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53" customFormat="false" ht="15" hidden="false" customHeight="false" outlineLevel="0" collapsed="false">
      <c r="A9153" s="41"/>
      <c r="G9153" s="38" t="n">
        <f aca="false">MONTH(A9153)</f>
        <v>12</v>
      </c>
      <c r="H9153" s="38" t="n">
        <f aca="false">YEAR(Tabela1[[#This Row],[FECHA]])</f>
        <v>1900</v>
      </c>
      <c r="I91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54" customFormat="false" ht="15" hidden="false" customHeight="false" outlineLevel="0" collapsed="false">
      <c r="A9154" s="41"/>
      <c r="G9154" s="38" t="n">
        <f aca="false">MONTH(A9154)</f>
        <v>12</v>
      </c>
      <c r="H9154" s="38" t="n">
        <f aca="false">YEAR(Tabela1[[#This Row],[FECHA]])</f>
        <v>1900</v>
      </c>
      <c r="I91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55" customFormat="false" ht="15" hidden="false" customHeight="false" outlineLevel="0" collapsed="false">
      <c r="A9155" s="41"/>
      <c r="G9155" s="38" t="n">
        <f aca="false">MONTH(A9155)</f>
        <v>12</v>
      </c>
      <c r="H9155" s="38" t="n">
        <f aca="false">YEAR(Tabela1[[#This Row],[FECHA]])</f>
        <v>1900</v>
      </c>
      <c r="I91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56" customFormat="false" ht="15" hidden="false" customHeight="false" outlineLevel="0" collapsed="false">
      <c r="A9156" s="41"/>
      <c r="G9156" s="38" t="n">
        <f aca="false">MONTH(A9156)</f>
        <v>12</v>
      </c>
      <c r="H9156" s="38" t="n">
        <f aca="false">YEAR(Tabela1[[#This Row],[FECHA]])</f>
        <v>1900</v>
      </c>
      <c r="I91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57" customFormat="false" ht="15" hidden="false" customHeight="false" outlineLevel="0" collapsed="false">
      <c r="A9157" s="41"/>
      <c r="G9157" s="38" t="n">
        <f aca="false">MONTH(A9157)</f>
        <v>12</v>
      </c>
      <c r="H9157" s="38" t="n">
        <f aca="false">YEAR(Tabela1[[#This Row],[FECHA]])</f>
        <v>1900</v>
      </c>
      <c r="I91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58" customFormat="false" ht="15" hidden="false" customHeight="false" outlineLevel="0" collapsed="false">
      <c r="A9158" s="41"/>
      <c r="G9158" s="38" t="n">
        <f aca="false">MONTH(A9158)</f>
        <v>12</v>
      </c>
      <c r="H9158" s="38" t="n">
        <f aca="false">YEAR(Tabela1[[#This Row],[FECHA]])</f>
        <v>1900</v>
      </c>
      <c r="I91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59" customFormat="false" ht="15" hidden="false" customHeight="false" outlineLevel="0" collapsed="false">
      <c r="A9159" s="41"/>
      <c r="G9159" s="38" t="n">
        <f aca="false">MONTH(A9159)</f>
        <v>12</v>
      </c>
      <c r="H9159" s="38" t="n">
        <f aca="false">YEAR(Tabela1[[#This Row],[FECHA]])</f>
        <v>1900</v>
      </c>
      <c r="I91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60" customFormat="false" ht="15" hidden="false" customHeight="false" outlineLevel="0" collapsed="false">
      <c r="A9160" s="41"/>
      <c r="G9160" s="38" t="n">
        <f aca="false">MONTH(A9160)</f>
        <v>12</v>
      </c>
      <c r="H9160" s="38" t="n">
        <f aca="false">YEAR(Tabela1[[#This Row],[FECHA]])</f>
        <v>1900</v>
      </c>
      <c r="I91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61" customFormat="false" ht="15" hidden="false" customHeight="false" outlineLevel="0" collapsed="false">
      <c r="A9161" s="41"/>
      <c r="G9161" s="38" t="n">
        <f aca="false">MONTH(A9161)</f>
        <v>12</v>
      </c>
      <c r="H9161" s="38" t="n">
        <f aca="false">YEAR(Tabela1[[#This Row],[FECHA]])</f>
        <v>1900</v>
      </c>
      <c r="I91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62" customFormat="false" ht="15" hidden="false" customHeight="false" outlineLevel="0" collapsed="false">
      <c r="A9162" s="41"/>
      <c r="G9162" s="38" t="n">
        <f aca="false">MONTH(A9162)</f>
        <v>12</v>
      </c>
      <c r="H9162" s="38" t="n">
        <f aca="false">YEAR(Tabela1[[#This Row],[FECHA]])</f>
        <v>1900</v>
      </c>
      <c r="I91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63" customFormat="false" ht="15" hidden="false" customHeight="false" outlineLevel="0" collapsed="false">
      <c r="A9163" s="41"/>
      <c r="G9163" s="38" t="n">
        <f aca="false">MONTH(A9163)</f>
        <v>12</v>
      </c>
      <c r="H9163" s="38" t="n">
        <f aca="false">YEAR(Tabela1[[#This Row],[FECHA]])</f>
        <v>1900</v>
      </c>
      <c r="I91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64" customFormat="false" ht="15" hidden="false" customHeight="false" outlineLevel="0" collapsed="false">
      <c r="A9164" s="41"/>
      <c r="G9164" s="38" t="n">
        <f aca="false">MONTH(A9164)</f>
        <v>12</v>
      </c>
      <c r="H9164" s="38" t="n">
        <f aca="false">YEAR(Tabela1[[#This Row],[FECHA]])</f>
        <v>1900</v>
      </c>
      <c r="I91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65" customFormat="false" ht="15" hidden="false" customHeight="false" outlineLevel="0" collapsed="false">
      <c r="A9165" s="41"/>
      <c r="G9165" s="38" t="n">
        <f aca="false">MONTH(A9165)</f>
        <v>12</v>
      </c>
      <c r="H9165" s="38" t="n">
        <f aca="false">YEAR(Tabela1[[#This Row],[FECHA]])</f>
        <v>1900</v>
      </c>
      <c r="I91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66" customFormat="false" ht="15" hidden="false" customHeight="false" outlineLevel="0" collapsed="false">
      <c r="A9166" s="41"/>
      <c r="G9166" s="38" t="n">
        <f aca="false">MONTH(A9166)</f>
        <v>12</v>
      </c>
      <c r="H9166" s="38" t="n">
        <f aca="false">YEAR(Tabela1[[#This Row],[FECHA]])</f>
        <v>1900</v>
      </c>
      <c r="I91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67" customFormat="false" ht="15" hidden="false" customHeight="false" outlineLevel="0" collapsed="false">
      <c r="A9167" s="41"/>
      <c r="G9167" s="38" t="n">
        <f aca="false">MONTH(A9167)</f>
        <v>12</v>
      </c>
      <c r="H9167" s="38" t="n">
        <f aca="false">YEAR(Tabela1[[#This Row],[FECHA]])</f>
        <v>1900</v>
      </c>
      <c r="I91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68" customFormat="false" ht="15" hidden="false" customHeight="false" outlineLevel="0" collapsed="false">
      <c r="A9168" s="41"/>
      <c r="G9168" s="38" t="n">
        <f aca="false">MONTH(A9168)</f>
        <v>12</v>
      </c>
      <c r="H9168" s="38" t="n">
        <f aca="false">YEAR(Tabela1[[#This Row],[FECHA]])</f>
        <v>1900</v>
      </c>
      <c r="I91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69" customFormat="false" ht="15" hidden="false" customHeight="false" outlineLevel="0" collapsed="false">
      <c r="A9169" s="41"/>
      <c r="G9169" s="38" t="n">
        <f aca="false">MONTH(A9169)</f>
        <v>12</v>
      </c>
      <c r="H9169" s="38" t="n">
        <f aca="false">YEAR(Tabela1[[#This Row],[FECHA]])</f>
        <v>1900</v>
      </c>
      <c r="I91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70" customFormat="false" ht="15" hidden="false" customHeight="false" outlineLevel="0" collapsed="false">
      <c r="A9170" s="41"/>
      <c r="G9170" s="38" t="n">
        <f aca="false">MONTH(A9170)</f>
        <v>12</v>
      </c>
      <c r="H9170" s="38" t="n">
        <f aca="false">YEAR(Tabela1[[#This Row],[FECHA]])</f>
        <v>1900</v>
      </c>
      <c r="I91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71" customFormat="false" ht="15" hidden="false" customHeight="false" outlineLevel="0" collapsed="false">
      <c r="A9171" s="41"/>
      <c r="G9171" s="38" t="n">
        <f aca="false">MONTH(A9171)</f>
        <v>12</v>
      </c>
      <c r="H9171" s="38" t="n">
        <f aca="false">YEAR(Tabela1[[#This Row],[FECHA]])</f>
        <v>1900</v>
      </c>
      <c r="I91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72" customFormat="false" ht="15" hidden="false" customHeight="false" outlineLevel="0" collapsed="false">
      <c r="A9172" s="41"/>
      <c r="G9172" s="38" t="n">
        <f aca="false">MONTH(A9172)</f>
        <v>12</v>
      </c>
      <c r="H9172" s="38" t="n">
        <f aca="false">YEAR(Tabela1[[#This Row],[FECHA]])</f>
        <v>1900</v>
      </c>
      <c r="I91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73" customFormat="false" ht="15" hidden="false" customHeight="false" outlineLevel="0" collapsed="false">
      <c r="A9173" s="41"/>
      <c r="G9173" s="38" t="n">
        <f aca="false">MONTH(A9173)</f>
        <v>12</v>
      </c>
      <c r="H9173" s="38" t="n">
        <f aca="false">YEAR(Tabela1[[#This Row],[FECHA]])</f>
        <v>1900</v>
      </c>
      <c r="I91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74" customFormat="false" ht="15" hidden="false" customHeight="false" outlineLevel="0" collapsed="false">
      <c r="A9174" s="41"/>
      <c r="G9174" s="38" t="n">
        <f aca="false">MONTH(A9174)</f>
        <v>12</v>
      </c>
      <c r="H9174" s="38" t="n">
        <f aca="false">YEAR(Tabela1[[#This Row],[FECHA]])</f>
        <v>1900</v>
      </c>
      <c r="I91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75" customFormat="false" ht="15" hidden="false" customHeight="false" outlineLevel="0" collapsed="false">
      <c r="A9175" s="41"/>
      <c r="G9175" s="38" t="n">
        <f aca="false">MONTH(A9175)</f>
        <v>12</v>
      </c>
      <c r="H9175" s="38" t="n">
        <f aca="false">YEAR(Tabela1[[#This Row],[FECHA]])</f>
        <v>1900</v>
      </c>
      <c r="I91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76" customFormat="false" ht="15" hidden="false" customHeight="false" outlineLevel="0" collapsed="false">
      <c r="A9176" s="41"/>
      <c r="G9176" s="38" t="n">
        <f aca="false">MONTH(A9176)</f>
        <v>12</v>
      </c>
      <c r="H9176" s="38" t="n">
        <f aca="false">YEAR(Tabela1[[#This Row],[FECHA]])</f>
        <v>1900</v>
      </c>
      <c r="I91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77" customFormat="false" ht="15" hidden="false" customHeight="false" outlineLevel="0" collapsed="false">
      <c r="A9177" s="41"/>
      <c r="G9177" s="38" t="n">
        <f aca="false">MONTH(A9177)</f>
        <v>12</v>
      </c>
      <c r="H9177" s="38" t="n">
        <f aca="false">YEAR(Tabela1[[#This Row],[FECHA]])</f>
        <v>1900</v>
      </c>
      <c r="I91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78" customFormat="false" ht="15" hidden="false" customHeight="false" outlineLevel="0" collapsed="false">
      <c r="A9178" s="41"/>
      <c r="G9178" s="38" t="n">
        <f aca="false">MONTH(A9178)</f>
        <v>12</v>
      </c>
      <c r="H9178" s="38" t="n">
        <f aca="false">YEAR(Tabela1[[#This Row],[FECHA]])</f>
        <v>1900</v>
      </c>
      <c r="I91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79" customFormat="false" ht="15" hidden="false" customHeight="false" outlineLevel="0" collapsed="false">
      <c r="A9179" s="41"/>
      <c r="G9179" s="38" t="n">
        <f aca="false">MONTH(A9179)</f>
        <v>12</v>
      </c>
      <c r="H9179" s="38" t="n">
        <f aca="false">YEAR(Tabela1[[#This Row],[FECHA]])</f>
        <v>1900</v>
      </c>
      <c r="I91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80" customFormat="false" ht="15" hidden="false" customHeight="false" outlineLevel="0" collapsed="false">
      <c r="A9180" s="41"/>
      <c r="G9180" s="38" t="n">
        <f aca="false">MONTH(A9180)</f>
        <v>12</v>
      </c>
      <c r="H9180" s="38" t="n">
        <f aca="false">YEAR(Tabela1[[#This Row],[FECHA]])</f>
        <v>1900</v>
      </c>
      <c r="I91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81" customFormat="false" ht="15" hidden="false" customHeight="false" outlineLevel="0" collapsed="false">
      <c r="A9181" s="41"/>
      <c r="G9181" s="38" t="n">
        <f aca="false">MONTH(A9181)</f>
        <v>12</v>
      </c>
      <c r="H9181" s="38" t="n">
        <f aca="false">YEAR(Tabela1[[#This Row],[FECHA]])</f>
        <v>1900</v>
      </c>
      <c r="I91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82" customFormat="false" ht="15" hidden="false" customHeight="false" outlineLevel="0" collapsed="false">
      <c r="A9182" s="41"/>
      <c r="G9182" s="38" t="n">
        <f aca="false">MONTH(A9182)</f>
        <v>12</v>
      </c>
      <c r="H9182" s="38" t="n">
        <f aca="false">YEAR(Tabela1[[#This Row],[FECHA]])</f>
        <v>1900</v>
      </c>
      <c r="I91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83" customFormat="false" ht="15" hidden="false" customHeight="false" outlineLevel="0" collapsed="false">
      <c r="A9183" s="41"/>
      <c r="G9183" s="38" t="n">
        <f aca="false">MONTH(A9183)</f>
        <v>12</v>
      </c>
      <c r="H9183" s="38" t="n">
        <f aca="false">YEAR(Tabela1[[#This Row],[FECHA]])</f>
        <v>1900</v>
      </c>
      <c r="I91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84" customFormat="false" ht="15" hidden="false" customHeight="false" outlineLevel="0" collapsed="false">
      <c r="A9184" s="41"/>
      <c r="G9184" s="38" t="n">
        <f aca="false">MONTH(A9184)</f>
        <v>12</v>
      </c>
      <c r="H9184" s="38" t="n">
        <f aca="false">YEAR(Tabela1[[#This Row],[FECHA]])</f>
        <v>1900</v>
      </c>
      <c r="I91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85" customFormat="false" ht="15" hidden="false" customHeight="false" outlineLevel="0" collapsed="false">
      <c r="A9185" s="41"/>
      <c r="G9185" s="38" t="n">
        <f aca="false">MONTH(A9185)</f>
        <v>12</v>
      </c>
      <c r="H9185" s="38" t="n">
        <f aca="false">YEAR(Tabela1[[#This Row],[FECHA]])</f>
        <v>1900</v>
      </c>
      <c r="I91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86" customFormat="false" ht="15" hidden="false" customHeight="false" outlineLevel="0" collapsed="false">
      <c r="A9186" s="41"/>
      <c r="G9186" s="38" t="n">
        <f aca="false">MONTH(A9186)</f>
        <v>12</v>
      </c>
      <c r="H9186" s="38" t="n">
        <f aca="false">YEAR(Tabela1[[#This Row],[FECHA]])</f>
        <v>1900</v>
      </c>
      <c r="I91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87" customFormat="false" ht="15" hidden="false" customHeight="false" outlineLevel="0" collapsed="false">
      <c r="A9187" s="41"/>
      <c r="G9187" s="38" t="n">
        <f aca="false">MONTH(A9187)</f>
        <v>12</v>
      </c>
      <c r="H9187" s="38" t="n">
        <f aca="false">YEAR(Tabela1[[#This Row],[FECHA]])</f>
        <v>1900</v>
      </c>
      <c r="I91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88" customFormat="false" ht="15" hidden="false" customHeight="false" outlineLevel="0" collapsed="false">
      <c r="A9188" s="41"/>
      <c r="G9188" s="38" t="n">
        <f aca="false">MONTH(A9188)</f>
        <v>12</v>
      </c>
      <c r="H9188" s="38" t="n">
        <f aca="false">YEAR(Tabela1[[#This Row],[FECHA]])</f>
        <v>1900</v>
      </c>
      <c r="I91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89" customFormat="false" ht="15" hidden="false" customHeight="false" outlineLevel="0" collapsed="false">
      <c r="A9189" s="41"/>
      <c r="G9189" s="38" t="n">
        <f aca="false">MONTH(A9189)</f>
        <v>12</v>
      </c>
      <c r="H9189" s="38" t="n">
        <f aca="false">YEAR(Tabela1[[#This Row],[FECHA]])</f>
        <v>1900</v>
      </c>
      <c r="I91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90" customFormat="false" ht="15" hidden="false" customHeight="false" outlineLevel="0" collapsed="false">
      <c r="A9190" s="41"/>
      <c r="G9190" s="38" t="n">
        <f aca="false">MONTH(A9190)</f>
        <v>12</v>
      </c>
      <c r="H9190" s="38" t="n">
        <f aca="false">YEAR(Tabela1[[#This Row],[FECHA]])</f>
        <v>1900</v>
      </c>
      <c r="I91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91" customFormat="false" ht="15" hidden="false" customHeight="false" outlineLevel="0" collapsed="false">
      <c r="A9191" s="41"/>
      <c r="G9191" s="38" t="n">
        <f aca="false">MONTH(A9191)</f>
        <v>12</v>
      </c>
      <c r="H9191" s="38" t="n">
        <f aca="false">YEAR(Tabela1[[#This Row],[FECHA]])</f>
        <v>1900</v>
      </c>
      <c r="I91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92" customFormat="false" ht="15" hidden="false" customHeight="false" outlineLevel="0" collapsed="false">
      <c r="A9192" s="41"/>
      <c r="G9192" s="38" t="n">
        <f aca="false">MONTH(A9192)</f>
        <v>12</v>
      </c>
      <c r="H9192" s="38" t="n">
        <f aca="false">YEAR(Tabela1[[#This Row],[FECHA]])</f>
        <v>1900</v>
      </c>
      <c r="I91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93" customFormat="false" ht="15" hidden="false" customHeight="false" outlineLevel="0" collapsed="false">
      <c r="A9193" s="41"/>
      <c r="G9193" s="38" t="n">
        <f aca="false">MONTH(A9193)</f>
        <v>12</v>
      </c>
      <c r="H9193" s="38" t="n">
        <f aca="false">YEAR(Tabela1[[#This Row],[FECHA]])</f>
        <v>1900</v>
      </c>
      <c r="I91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94" customFormat="false" ht="15" hidden="false" customHeight="false" outlineLevel="0" collapsed="false">
      <c r="A9194" s="41"/>
      <c r="G9194" s="38" t="n">
        <f aca="false">MONTH(A9194)</f>
        <v>12</v>
      </c>
      <c r="H9194" s="38" t="n">
        <f aca="false">YEAR(Tabela1[[#This Row],[FECHA]])</f>
        <v>1900</v>
      </c>
      <c r="I91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95" customFormat="false" ht="15" hidden="false" customHeight="false" outlineLevel="0" collapsed="false">
      <c r="A9195" s="41"/>
      <c r="G9195" s="38" t="n">
        <f aca="false">MONTH(A9195)</f>
        <v>12</v>
      </c>
      <c r="H9195" s="38" t="n">
        <f aca="false">YEAR(Tabela1[[#This Row],[FECHA]])</f>
        <v>1900</v>
      </c>
      <c r="I91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96" customFormat="false" ht="15" hidden="false" customHeight="false" outlineLevel="0" collapsed="false">
      <c r="A9196" s="41"/>
      <c r="G9196" s="38" t="n">
        <f aca="false">MONTH(A9196)</f>
        <v>12</v>
      </c>
      <c r="H9196" s="38" t="n">
        <f aca="false">YEAR(Tabela1[[#This Row],[FECHA]])</f>
        <v>1900</v>
      </c>
      <c r="I91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97" customFormat="false" ht="15" hidden="false" customHeight="false" outlineLevel="0" collapsed="false">
      <c r="A9197" s="41"/>
      <c r="G9197" s="38" t="n">
        <f aca="false">MONTH(A9197)</f>
        <v>12</v>
      </c>
      <c r="H9197" s="38" t="n">
        <f aca="false">YEAR(Tabela1[[#This Row],[FECHA]])</f>
        <v>1900</v>
      </c>
      <c r="I91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98" customFormat="false" ht="15" hidden="false" customHeight="false" outlineLevel="0" collapsed="false">
      <c r="A9198" s="41"/>
      <c r="G9198" s="38" t="n">
        <f aca="false">MONTH(A9198)</f>
        <v>12</v>
      </c>
      <c r="H9198" s="38" t="n">
        <f aca="false">YEAR(Tabela1[[#This Row],[FECHA]])</f>
        <v>1900</v>
      </c>
      <c r="I91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199" customFormat="false" ht="15" hidden="false" customHeight="false" outlineLevel="0" collapsed="false">
      <c r="A9199" s="41"/>
      <c r="G9199" s="38" t="n">
        <f aca="false">MONTH(A9199)</f>
        <v>12</v>
      </c>
      <c r="H9199" s="38" t="n">
        <f aca="false">YEAR(Tabela1[[#This Row],[FECHA]])</f>
        <v>1900</v>
      </c>
      <c r="I91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00" customFormat="false" ht="15" hidden="false" customHeight="false" outlineLevel="0" collapsed="false">
      <c r="A9200" s="41"/>
      <c r="G9200" s="38" t="n">
        <f aca="false">MONTH(A9200)</f>
        <v>12</v>
      </c>
      <c r="H9200" s="38" t="n">
        <f aca="false">YEAR(Tabela1[[#This Row],[FECHA]])</f>
        <v>1900</v>
      </c>
      <c r="I92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01" customFormat="false" ht="15" hidden="false" customHeight="false" outlineLevel="0" collapsed="false">
      <c r="A9201" s="41"/>
      <c r="G9201" s="38" t="n">
        <f aca="false">MONTH(A9201)</f>
        <v>12</v>
      </c>
      <c r="H9201" s="38" t="n">
        <f aca="false">YEAR(Tabela1[[#This Row],[FECHA]])</f>
        <v>1900</v>
      </c>
      <c r="I92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02" customFormat="false" ht="15" hidden="false" customHeight="false" outlineLevel="0" collapsed="false">
      <c r="A9202" s="41"/>
      <c r="G9202" s="38" t="n">
        <f aca="false">MONTH(A9202)</f>
        <v>12</v>
      </c>
      <c r="H9202" s="38" t="n">
        <f aca="false">YEAR(Tabela1[[#This Row],[FECHA]])</f>
        <v>1900</v>
      </c>
      <c r="I92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03" customFormat="false" ht="15" hidden="false" customHeight="false" outlineLevel="0" collapsed="false">
      <c r="A9203" s="41"/>
      <c r="G9203" s="38" t="n">
        <f aca="false">MONTH(A9203)</f>
        <v>12</v>
      </c>
      <c r="H9203" s="38" t="n">
        <f aca="false">YEAR(Tabela1[[#This Row],[FECHA]])</f>
        <v>1900</v>
      </c>
      <c r="I92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04" customFormat="false" ht="15" hidden="false" customHeight="false" outlineLevel="0" collapsed="false">
      <c r="A9204" s="41"/>
      <c r="G9204" s="38" t="n">
        <f aca="false">MONTH(A9204)</f>
        <v>12</v>
      </c>
      <c r="H9204" s="38" t="n">
        <f aca="false">YEAR(Tabela1[[#This Row],[FECHA]])</f>
        <v>1900</v>
      </c>
      <c r="I92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05" customFormat="false" ht="15" hidden="false" customHeight="false" outlineLevel="0" collapsed="false">
      <c r="A9205" s="41"/>
      <c r="G9205" s="38" t="n">
        <f aca="false">MONTH(A9205)</f>
        <v>12</v>
      </c>
      <c r="H9205" s="38" t="n">
        <f aca="false">YEAR(Tabela1[[#This Row],[FECHA]])</f>
        <v>1900</v>
      </c>
      <c r="I92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06" customFormat="false" ht="15" hidden="false" customHeight="false" outlineLevel="0" collapsed="false">
      <c r="A9206" s="41"/>
      <c r="G9206" s="38" t="n">
        <f aca="false">MONTH(A9206)</f>
        <v>12</v>
      </c>
      <c r="H9206" s="38" t="n">
        <f aca="false">YEAR(Tabela1[[#This Row],[FECHA]])</f>
        <v>1900</v>
      </c>
      <c r="I92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07" customFormat="false" ht="15" hidden="false" customHeight="false" outlineLevel="0" collapsed="false">
      <c r="A9207" s="41"/>
      <c r="G9207" s="38" t="n">
        <f aca="false">MONTH(A9207)</f>
        <v>12</v>
      </c>
      <c r="H9207" s="38" t="n">
        <f aca="false">YEAR(Tabela1[[#This Row],[FECHA]])</f>
        <v>1900</v>
      </c>
      <c r="I92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08" customFormat="false" ht="15" hidden="false" customHeight="false" outlineLevel="0" collapsed="false">
      <c r="A9208" s="41"/>
      <c r="G9208" s="38" t="n">
        <f aca="false">MONTH(A9208)</f>
        <v>12</v>
      </c>
      <c r="H9208" s="38" t="n">
        <f aca="false">YEAR(Tabela1[[#This Row],[FECHA]])</f>
        <v>1900</v>
      </c>
      <c r="I92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09" customFormat="false" ht="15" hidden="false" customHeight="false" outlineLevel="0" collapsed="false">
      <c r="A9209" s="41"/>
      <c r="G9209" s="38" t="n">
        <f aca="false">MONTH(A9209)</f>
        <v>12</v>
      </c>
      <c r="H9209" s="38" t="n">
        <f aca="false">YEAR(Tabela1[[#This Row],[FECHA]])</f>
        <v>1900</v>
      </c>
      <c r="I92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10" customFormat="false" ht="15" hidden="false" customHeight="false" outlineLevel="0" collapsed="false">
      <c r="A9210" s="41"/>
      <c r="G9210" s="38" t="n">
        <f aca="false">MONTH(A9210)</f>
        <v>12</v>
      </c>
      <c r="H9210" s="38" t="n">
        <f aca="false">YEAR(Tabela1[[#This Row],[FECHA]])</f>
        <v>1900</v>
      </c>
      <c r="I92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11" customFormat="false" ht="15" hidden="false" customHeight="false" outlineLevel="0" collapsed="false">
      <c r="A9211" s="41"/>
      <c r="G9211" s="38" t="n">
        <f aca="false">MONTH(A9211)</f>
        <v>12</v>
      </c>
      <c r="H9211" s="38" t="n">
        <f aca="false">YEAR(Tabela1[[#This Row],[FECHA]])</f>
        <v>1900</v>
      </c>
      <c r="I92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12" customFormat="false" ht="15" hidden="false" customHeight="false" outlineLevel="0" collapsed="false">
      <c r="A9212" s="41"/>
      <c r="G9212" s="38" t="n">
        <f aca="false">MONTH(A9212)</f>
        <v>12</v>
      </c>
      <c r="H9212" s="38" t="n">
        <f aca="false">YEAR(Tabela1[[#This Row],[FECHA]])</f>
        <v>1900</v>
      </c>
      <c r="I92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13" customFormat="false" ht="15" hidden="false" customHeight="false" outlineLevel="0" collapsed="false">
      <c r="A9213" s="41"/>
      <c r="G9213" s="38" t="n">
        <f aca="false">MONTH(A9213)</f>
        <v>12</v>
      </c>
      <c r="H9213" s="38" t="n">
        <f aca="false">YEAR(Tabela1[[#This Row],[FECHA]])</f>
        <v>1900</v>
      </c>
      <c r="I92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14" customFormat="false" ht="15" hidden="false" customHeight="false" outlineLevel="0" collapsed="false">
      <c r="A9214" s="41"/>
      <c r="G9214" s="38" t="n">
        <f aca="false">MONTH(A9214)</f>
        <v>12</v>
      </c>
      <c r="H9214" s="38" t="n">
        <f aca="false">YEAR(Tabela1[[#This Row],[FECHA]])</f>
        <v>1900</v>
      </c>
      <c r="I92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15" customFormat="false" ht="15" hidden="false" customHeight="false" outlineLevel="0" collapsed="false">
      <c r="A9215" s="41"/>
      <c r="G9215" s="38" t="n">
        <f aca="false">MONTH(A9215)</f>
        <v>12</v>
      </c>
      <c r="H9215" s="38" t="n">
        <f aca="false">YEAR(Tabela1[[#This Row],[FECHA]])</f>
        <v>1900</v>
      </c>
      <c r="I92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16" customFormat="false" ht="15" hidden="false" customHeight="false" outlineLevel="0" collapsed="false">
      <c r="A9216" s="41"/>
      <c r="G9216" s="38" t="n">
        <f aca="false">MONTH(A9216)</f>
        <v>12</v>
      </c>
      <c r="H9216" s="38" t="n">
        <f aca="false">YEAR(Tabela1[[#This Row],[FECHA]])</f>
        <v>1900</v>
      </c>
      <c r="I92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17" customFormat="false" ht="15" hidden="false" customHeight="false" outlineLevel="0" collapsed="false">
      <c r="A9217" s="41"/>
      <c r="G9217" s="38" t="n">
        <f aca="false">MONTH(A9217)</f>
        <v>12</v>
      </c>
      <c r="H9217" s="38" t="n">
        <f aca="false">YEAR(Tabela1[[#This Row],[FECHA]])</f>
        <v>1900</v>
      </c>
      <c r="I92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18" customFormat="false" ht="15" hidden="false" customHeight="false" outlineLevel="0" collapsed="false">
      <c r="A9218" s="41"/>
      <c r="G9218" s="38" t="n">
        <f aca="false">MONTH(A9218)</f>
        <v>12</v>
      </c>
      <c r="H9218" s="38" t="n">
        <f aca="false">YEAR(Tabela1[[#This Row],[FECHA]])</f>
        <v>1900</v>
      </c>
      <c r="I92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19" customFormat="false" ht="15" hidden="false" customHeight="false" outlineLevel="0" collapsed="false">
      <c r="A9219" s="41"/>
      <c r="G9219" s="38" t="n">
        <f aca="false">MONTH(A9219)</f>
        <v>12</v>
      </c>
      <c r="H9219" s="38" t="n">
        <f aca="false">YEAR(Tabela1[[#This Row],[FECHA]])</f>
        <v>1900</v>
      </c>
      <c r="I92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20" customFormat="false" ht="15" hidden="false" customHeight="false" outlineLevel="0" collapsed="false">
      <c r="A9220" s="41"/>
      <c r="G9220" s="38" t="n">
        <f aca="false">MONTH(A9220)</f>
        <v>12</v>
      </c>
      <c r="H9220" s="38" t="n">
        <f aca="false">YEAR(Tabela1[[#This Row],[FECHA]])</f>
        <v>1900</v>
      </c>
      <c r="I92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21" customFormat="false" ht="15" hidden="false" customHeight="false" outlineLevel="0" collapsed="false">
      <c r="A9221" s="41"/>
      <c r="G9221" s="38" t="n">
        <f aca="false">MONTH(A9221)</f>
        <v>12</v>
      </c>
      <c r="H9221" s="38" t="n">
        <f aca="false">YEAR(Tabela1[[#This Row],[FECHA]])</f>
        <v>1900</v>
      </c>
      <c r="I92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22" customFormat="false" ht="15" hidden="false" customHeight="false" outlineLevel="0" collapsed="false">
      <c r="A9222" s="41"/>
      <c r="G9222" s="38" t="n">
        <f aca="false">MONTH(A9222)</f>
        <v>12</v>
      </c>
      <c r="H9222" s="38" t="n">
        <f aca="false">YEAR(Tabela1[[#This Row],[FECHA]])</f>
        <v>1900</v>
      </c>
      <c r="I92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23" customFormat="false" ht="15" hidden="false" customHeight="false" outlineLevel="0" collapsed="false">
      <c r="A9223" s="41"/>
      <c r="G9223" s="38" t="n">
        <f aca="false">MONTH(A9223)</f>
        <v>12</v>
      </c>
      <c r="H9223" s="38" t="n">
        <f aca="false">YEAR(Tabela1[[#This Row],[FECHA]])</f>
        <v>1900</v>
      </c>
      <c r="I92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24" customFormat="false" ht="15" hidden="false" customHeight="false" outlineLevel="0" collapsed="false">
      <c r="A9224" s="41"/>
      <c r="G9224" s="38" t="n">
        <f aca="false">MONTH(A9224)</f>
        <v>12</v>
      </c>
      <c r="H9224" s="38" t="n">
        <f aca="false">YEAR(Tabela1[[#This Row],[FECHA]])</f>
        <v>1900</v>
      </c>
      <c r="I92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25" customFormat="false" ht="15" hidden="false" customHeight="false" outlineLevel="0" collapsed="false">
      <c r="A9225" s="41"/>
      <c r="G9225" s="38" t="n">
        <f aca="false">MONTH(A9225)</f>
        <v>12</v>
      </c>
      <c r="H9225" s="38" t="n">
        <f aca="false">YEAR(Tabela1[[#This Row],[FECHA]])</f>
        <v>1900</v>
      </c>
      <c r="I92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26" customFormat="false" ht="15" hidden="false" customHeight="false" outlineLevel="0" collapsed="false">
      <c r="A9226" s="41"/>
      <c r="G9226" s="38" t="n">
        <f aca="false">MONTH(A9226)</f>
        <v>12</v>
      </c>
      <c r="H9226" s="38" t="n">
        <f aca="false">YEAR(Tabela1[[#This Row],[FECHA]])</f>
        <v>1900</v>
      </c>
      <c r="I92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27" customFormat="false" ht="15" hidden="false" customHeight="false" outlineLevel="0" collapsed="false">
      <c r="A9227" s="41"/>
      <c r="G9227" s="38" t="n">
        <f aca="false">MONTH(A9227)</f>
        <v>12</v>
      </c>
      <c r="H9227" s="38" t="n">
        <f aca="false">YEAR(Tabela1[[#This Row],[FECHA]])</f>
        <v>1900</v>
      </c>
      <c r="I92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28" customFormat="false" ht="15" hidden="false" customHeight="false" outlineLevel="0" collapsed="false">
      <c r="A9228" s="41"/>
      <c r="G9228" s="38" t="n">
        <f aca="false">MONTH(A9228)</f>
        <v>12</v>
      </c>
      <c r="H9228" s="38" t="n">
        <f aca="false">YEAR(Tabela1[[#This Row],[FECHA]])</f>
        <v>1900</v>
      </c>
      <c r="I92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29" customFormat="false" ht="15" hidden="false" customHeight="false" outlineLevel="0" collapsed="false">
      <c r="A9229" s="41"/>
      <c r="G9229" s="38" t="n">
        <f aca="false">MONTH(A9229)</f>
        <v>12</v>
      </c>
      <c r="H9229" s="38" t="n">
        <f aca="false">YEAR(Tabela1[[#This Row],[FECHA]])</f>
        <v>1900</v>
      </c>
      <c r="I92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30" customFormat="false" ht="15" hidden="false" customHeight="false" outlineLevel="0" collapsed="false">
      <c r="A9230" s="41"/>
      <c r="G9230" s="38" t="n">
        <f aca="false">MONTH(A9230)</f>
        <v>12</v>
      </c>
      <c r="H9230" s="38" t="n">
        <f aca="false">YEAR(Tabela1[[#This Row],[FECHA]])</f>
        <v>1900</v>
      </c>
      <c r="I92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31" customFormat="false" ht="15" hidden="false" customHeight="false" outlineLevel="0" collapsed="false">
      <c r="A9231" s="41"/>
      <c r="G9231" s="38" t="n">
        <f aca="false">MONTH(A9231)</f>
        <v>12</v>
      </c>
      <c r="H9231" s="38" t="n">
        <f aca="false">YEAR(Tabela1[[#This Row],[FECHA]])</f>
        <v>1900</v>
      </c>
      <c r="I92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32" customFormat="false" ht="15" hidden="false" customHeight="false" outlineLevel="0" collapsed="false">
      <c r="A9232" s="41"/>
      <c r="G9232" s="38" t="n">
        <f aca="false">MONTH(A9232)</f>
        <v>12</v>
      </c>
      <c r="H9232" s="38" t="n">
        <f aca="false">YEAR(Tabela1[[#This Row],[FECHA]])</f>
        <v>1900</v>
      </c>
      <c r="I92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33" customFormat="false" ht="15" hidden="false" customHeight="false" outlineLevel="0" collapsed="false">
      <c r="A9233" s="41"/>
      <c r="G9233" s="38" t="n">
        <f aca="false">MONTH(A9233)</f>
        <v>12</v>
      </c>
      <c r="H9233" s="38" t="n">
        <f aca="false">YEAR(Tabela1[[#This Row],[FECHA]])</f>
        <v>1900</v>
      </c>
      <c r="I92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34" customFormat="false" ht="15" hidden="false" customHeight="false" outlineLevel="0" collapsed="false">
      <c r="A9234" s="41"/>
      <c r="G9234" s="38" t="n">
        <f aca="false">MONTH(A9234)</f>
        <v>12</v>
      </c>
      <c r="H9234" s="38" t="n">
        <f aca="false">YEAR(Tabela1[[#This Row],[FECHA]])</f>
        <v>1900</v>
      </c>
      <c r="I92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35" customFormat="false" ht="15" hidden="false" customHeight="false" outlineLevel="0" collapsed="false">
      <c r="A9235" s="41"/>
      <c r="G9235" s="38" t="n">
        <f aca="false">MONTH(A9235)</f>
        <v>12</v>
      </c>
      <c r="H9235" s="38" t="n">
        <f aca="false">YEAR(Tabela1[[#This Row],[FECHA]])</f>
        <v>1900</v>
      </c>
      <c r="I92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36" customFormat="false" ht="15" hidden="false" customHeight="false" outlineLevel="0" collapsed="false">
      <c r="A9236" s="41"/>
      <c r="G9236" s="38" t="n">
        <f aca="false">MONTH(A9236)</f>
        <v>12</v>
      </c>
      <c r="H9236" s="38" t="n">
        <f aca="false">YEAR(Tabela1[[#This Row],[FECHA]])</f>
        <v>1900</v>
      </c>
      <c r="I92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37" customFormat="false" ht="15" hidden="false" customHeight="false" outlineLevel="0" collapsed="false">
      <c r="A9237" s="41"/>
      <c r="G9237" s="38" t="n">
        <f aca="false">MONTH(A9237)</f>
        <v>12</v>
      </c>
      <c r="H9237" s="38" t="n">
        <f aca="false">YEAR(Tabela1[[#This Row],[FECHA]])</f>
        <v>1900</v>
      </c>
      <c r="I92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38" customFormat="false" ht="15" hidden="false" customHeight="false" outlineLevel="0" collapsed="false">
      <c r="A9238" s="41"/>
      <c r="G9238" s="38" t="n">
        <f aca="false">MONTH(A9238)</f>
        <v>12</v>
      </c>
      <c r="H9238" s="38" t="n">
        <f aca="false">YEAR(Tabela1[[#This Row],[FECHA]])</f>
        <v>1900</v>
      </c>
      <c r="I92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39" customFormat="false" ht="15" hidden="false" customHeight="false" outlineLevel="0" collapsed="false">
      <c r="A9239" s="41"/>
      <c r="G9239" s="38" t="n">
        <f aca="false">MONTH(A9239)</f>
        <v>12</v>
      </c>
      <c r="H9239" s="38" t="n">
        <f aca="false">YEAR(Tabela1[[#This Row],[FECHA]])</f>
        <v>1900</v>
      </c>
      <c r="I92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40" customFormat="false" ht="15" hidden="false" customHeight="false" outlineLevel="0" collapsed="false">
      <c r="A9240" s="41"/>
      <c r="G9240" s="38" t="n">
        <f aca="false">MONTH(A9240)</f>
        <v>12</v>
      </c>
      <c r="H9240" s="38" t="n">
        <f aca="false">YEAR(Tabela1[[#This Row],[FECHA]])</f>
        <v>1900</v>
      </c>
      <c r="I92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41" customFormat="false" ht="15" hidden="false" customHeight="false" outlineLevel="0" collapsed="false">
      <c r="A9241" s="41"/>
      <c r="G9241" s="38" t="n">
        <f aca="false">MONTH(A9241)</f>
        <v>12</v>
      </c>
      <c r="H9241" s="38" t="n">
        <f aca="false">YEAR(Tabela1[[#This Row],[FECHA]])</f>
        <v>1900</v>
      </c>
      <c r="I92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42" customFormat="false" ht="15" hidden="false" customHeight="false" outlineLevel="0" collapsed="false">
      <c r="A9242" s="41"/>
      <c r="G9242" s="38" t="n">
        <f aca="false">MONTH(A9242)</f>
        <v>12</v>
      </c>
      <c r="H9242" s="38" t="n">
        <f aca="false">YEAR(Tabela1[[#This Row],[FECHA]])</f>
        <v>1900</v>
      </c>
      <c r="I92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43" customFormat="false" ht="15" hidden="false" customHeight="false" outlineLevel="0" collapsed="false">
      <c r="A9243" s="41"/>
      <c r="G9243" s="38" t="n">
        <f aca="false">MONTH(A9243)</f>
        <v>12</v>
      </c>
      <c r="H9243" s="38" t="n">
        <f aca="false">YEAR(Tabela1[[#This Row],[FECHA]])</f>
        <v>1900</v>
      </c>
      <c r="I92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44" customFormat="false" ht="15" hidden="false" customHeight="false" outlineLevel="0" collapsed="false">
      <c r="A9244" s="41"/>
      <c r="G9244" s="38" t="n">
        <f aca="false">MONTH(A9244)</f>
        <v>12</v>
      </c>
      <c r="H9244" s="38" t="n">
        <f aca="false">YEAR(Tabela1[[#This Row],[FECHA]])</f>
        <v>1900</v>
      </c>
      <c r="I92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45" customFormat="false" ht="15" hidden="false" customHeight="false" outlineLevel="0" collapsed="false">
      <c r="A9245" s="41"/>
      <c r="G9245" s="38" t="n">
        <f aca="false">MONTH(A9245)</f>
        <v>12</v>
      </c>
      <c r="H9245" s="38" t="n">
        <f aca="false">YEAR(Tabela1[[#This Row],[FECHA]])</f>
        <v>1900</v>
      </c>
      <c r="I92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46" customFormat="false" ht="15" hidden="false" customHeight="false" outlineLevel="0" collapsed="false">
      <c r="A9246" s="41"/>
      <c r="G9246" s="38" t="n">
        <f aca="false">MONTH(A9246)</f>
        <v>12</v>
      </c>
      <c r="H9246" s="38" t="n">
        <f aca="false">YEAR(Tabela1[[#This Row],[FECHA]])</f>
        <v>1900</v>
      </c>
      <c r="I92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47" customFormat="false" ht="15" hidden="false" customHeight="false" outlineLevel="0" collapsed="false">
      <c r="A9247" s="41"/>
      <c r="G9247" s="38" t="n">
        <f aca="false">MONTH(A9247)</f>
        <v>12</v>
      </c>
      <c r="H9247" s="38" t="n">
        <f aca="false">YEAR(Tabela1[[#This Row],[FECHA]])</f>
        <v>1900</v>
      </c>
      <c r="I92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48" customFormat="false" ht="15" hidden="false" customHeight="false" outlineLevel="0" collapsed="false">
      <c r="A9248" s="41"/>
      <c r="G9248" s="38" t="n">
        <f aca="false">MONTH(A9248)</f>
        <v>12</v>
      </c>
      <c r="H9248" s="38" t="n">
        <f aca="false">YEAR(Tabela1[[#This Row],[FECHA]])</f>
        <v>1900</v>
      </c>
      <c r="I92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49" customFormat="false" ht="15" hidden="false" customHeight="false" outlineLevel="0" collapsed="false">
      <c r="A9249" s="41"/>
      <c r="G9249" s="38" t="n">
        <f aca="false">MONTH(A9249)</f>
        <v>12</v>
      </c>
      <c r="H9249" s="38" t="n">
        <f aca="false">YEAR(Tabela1[[#This Row],[FECHA]])</f>
        <v>1900</v>
      </c>
      <c r="I92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50" customFormat="false" ht="15" hidden="false" customHeight="false" outlineLevel="0" collapsed="false">
      <c r="A9250" s="41"/>
      <c r="G9250" s="38" t="n">
        <f aca="false">MONTH(A9250)</f>
        <v>12</v>
      </c>
      <c r="H9250" s="38" t="n">
        <f aca="false">YEAR(Tabela1[[#This Row],[FECHA]])</f>
        <v>1900</v>
      </c>
      <c r="I92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51" customFormat="false" ht="15" hidden="false" customHeight="false" outlineLevel="0" collapsed="false">
      <c r="A9251" s="41"/>
      <c r="G9251" s="38" t="n">
        <f aca="false">MONTH(A9251)</f>
        <v>12</v>
      </c>
      <c r="H9251" s="38" t="n">
        <f aca="false">YEAR(Tabela1[[#This Row],[FECHA]])</f>
        <v>1900</v>
      </c>
      <c r="I92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52" customFormat="false" ht="15" hidden="false" customHeight="false" outlineLevel="0" collapsed="false">
      <c r="A9252" s="41"/>
      <c r="G9252" s="38" t="n">
        <f aca="false">MONTH(A9252)</f>
        <v>12</v>
      </c>
      <c r="H9252" s="38" t="n">
        <f aca="false">YEAR(Tabela1[[#This Row],[FECHA]])</f>
        <v>1900</v>
      </c>
      <c r="I92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53" customFormat="false" ht="15" hidden="false" customHeight="false" outlineLevel="0" collapsed="false">
      <c r="A9253" s="41"/>
      <c r="G9253" s="38" t="n">
        <f aca="false">MONTH(A9253)</f>
        <v>12</v>
      </c>
      <c r="H9253" s="38" t="n">
        <f aca="false">YEAR(Tabela1[[#This Row],[FECHA]])</f>
        <v>1900</v>
      </c>
      <c r="I92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54" customFormat="false" ht="15" hidden="false" customHeight="false" outlineLevel="0" collapsed="false">
      <c r="A9254" s="41"/>
      <c r="G9254" s="38" t="n">
        <f aca="false">MONTH(A9254)</f>
        <v>12</v>
      </c>
      <c r="H9254" s="38" t="n">
        <f aca="false">YEAR(Tabela1[[#This Row],[FECHA]])</f>
        <v>1900</v>
      </c>
      <c r="I92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55" customFormat="false" ht="15" hidden="false" customHeight="false" outlineLevel="0" collapsed="false">
      <c r="A9255" s="41"/>
      <c r="G9255" s="38" t="n">
        <f aca="false">MONTH(A9255)</f>
        <v>12</v>
      </c>
      <c r="H9255" s="38" t="n">
        <f aca="false">YEAR(Tabela1[[#This Row],[FECHA]])</f>
        <v>1900</v>
      </c>
      <c r="I92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56" customFormat="false" ht="15" hidden="false" customHeight="false" outlineLevel="0" collapsed="false">
      <c r="A9256" s="41"/>
      <c r="G9256" s="38" t="n">
        <f aca="false">MONTH(A9256)</f>
        <v>12</v>
      </c>
      <c r="H9256" s="38" t="n">
        <f aca="false">YEAR(Tabela1[[#This Row],[FECHA]])</f>
        <v>1900</v>
      </c>
      <c r="I92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57" customFormat="false" ht="15" hidden="false" customHeight="false" outlineLevel="0" collapsed="false">
      <c r="A9257" s="41"/>
      <c r="G9257" s="38" t="n">
        <f aca="false">MONTH(A9257)</f>
        <v>12</v>
      </c>
      <c r="H9257" s="38" t="n">
        <f aca="false">YEAR(Tabela1[[#This Row],[FECHA]])</f>
        <v>1900</v>
      </c>
      <c r="I92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58" customFormat="false" ht="15" hidden="false" customHeight="false" outlineLevel="0" collapsed="false">
      <c r="A9258" s="41"/>
      <c r="G9258" s="38" t="n">
        <f aca="false">MONTH(A9258)</f>
        <v>12</v>
      </c>
      <c r="H9258" s="38" t="n">
        <f aca="false">YEAR(Tabela1[[#This Row],[FECHA]])</f>
        <v>1900</v>
      </c>
      <c r="I92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59" customFormat="false" ht="15" hidden="false" customHeight="false" outlineLevel="0" collapsed="false">
      <c r="A9259" s="41"/>
      <c r="G9259" s="38" t="n">
        <f aca="false">MONTH(A9259)</f>
        <v>12</v>
      </c>
      <c r="H9259" s="38" t="n">
        <f aca="false">YEAR(Tabela1[[#This Row],[FECHA]])</f>
        <v>1900</v>
      </c>
      <c r="I92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60" customFormat="false" ht="15" hidden="false" customHeight="false" outlineLevel="0" collapsed="false">
      <c r="A9260" s="41"/>
      <c r="G9260" s="38" t="n">
        <f aca="false">MONTH(A9260)</f>
        <v>12</v>
      </c>
      <c r="H9260" s="38" t="n">
        <f aca="false">YEAR(Tabela1[[#This Row],[FECHA]])</f>
        <v>1900</v>
      </c>
      <c r="I92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61" customFormat="false" ht="15" hidden="false" customHeight="false" outlineLevel="0" collapsed="false">
      <c r="A9261" s="41"/>
      <c r="G9261" s="38" t="n">
        <f aca="false">MONTH(A9261)</f>
        <v>12</v>
      </c>
      <c r="H9261" s="38" t="n">
        <f aca="false">YEAR(Tabela1[[#This Row],[FECHA]])</f>
        <v>1900</v>
      </c>
      <c r="I92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62" customFormat="false" ht="15" hidden="false" customHeight="false" outlineLevel="0" collapsed="false">
      <c r="A9262" s="41"/>
      <c r="G9262" s="38" t="n">
        <f aca="false">MONTH(A9262)</f>
        <v>12</v>
      </c>
      <c r="H9262" s="38" t="n">
        <f aca="false">YEAR(Tabela1[[#This Row],[FECHA]])</f>
        <v>1900</v>
      </c>
      <c r="I92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63" customFormat="false" ht="15" hidden="false" customHeight="false" outlineLevel="0" collapsed="false">
      <c r="A9263" s="41"/>
      <c r="G9263" s="38" t="n">
        <f aca="false">MONTH(A9263)</f>
        <v>12</v>
      </c>
      <c r="H9263" s="38" t="n">
        <f aca="false">YEAR(Tabela1[[#This Row],[FECHA]])</f>
        <v>1900</v>
      </c>
      <c r="I92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64" customFormat="false" ht="15" hidden="false" customHeight="false" outlineLevel="0" collapsed="false">
      <c r="A9264" s="41"/>
      <c r="G9264" s="38" t="n">
        <f aca="false">MONTH(A9264)</f>
        <v>12</v>
      </c>
      <c r="H9264" s="38" t="n">
        <f aca="false">YEAR(Tabela1[[#This Row],[FECHA]])</f>
        <v>1900</v>
      </c>
      <c r="I92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65" customFormat="false" ht="15" hidden="false" customHeight="false" outlineLevel="0" collapsed="false">
      <c r="A9265" s="41"/>
      <c r="G9265" s="38" t="n">
        <f aca="false">MONTH(A9265)</f>
        <v>12</v>
      </c>
      <c r="H9265" s="38" t="n">
        <f aca="false">YEAR(Tabela1[[#This Row],[FECHA]])</f>
        <v>1900</v>
      </c>
      <c r="I92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66" customFormat="false" ht="15" hidden="false" customHeight="false" outlineLevel="0" collapsed="false">
      <c r="A9266" s="41"/>
      <c r="G9266" s="38" t="n">
        <f aca="false">MONTH(A9266)</f>
        <v>12</v>
      </c>
      <c r="H9266" s="38" t="n">
        <f aca="false">YEAR(Tabela1[[#This Row],[FECHA]])</f>
        <v>1900</v>
      </c>
      <c r="I92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67" customFormat="false" ht="15" hidden="false" customHeight="false" outlineLevel="0" collapsed="false">
      <c r="A9267" s="41"/>
      <c r="G9267" s="38" t="n">
        <f aca="false">MONTH(A9267)</f>
        <v>12</v>
      </c>
      <c r="H9267" s="38" t="n">
        <f aca="false">YEAR(Tabela1[[#This Row],[FECHA]])</f>
        <v>1900</v>
      </c>
      <c r="I92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68" customFormat="false" ht="15" hidden="false" customHeight="false" outlineLevel="0" collapsed="false">
      <c r="A9268" s="41"/>
      <c r="G9268" s="38" t="n">
        <f aca="false">MONTH(A9268)</f>
        <v>12</v>
      </c>
      <c r="H9268" s="38" t="n">
        <f aca="false">YEAR(Tabela1[[#This Row],[FECHA]])</f>
        <v>1900</v>
      </c>
      <c r="I92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69" customFormat="false" ht="15" hidden="false" customHeight="false" outlineLevel="0" collapsed="false">
      <c r="A9269" s="41"/>
      <c r="G9269" s="38" t="n">
        <f aca="false">MONTH(A9269)</f>
        <v>12</v>
      </c>
      <c r="H9269" s="38" t="n">
        <f aca="false">YEAR(Tabela1[[#This Row],[FECHA]])</f>
        <v>1900</v>
      </c>
      <c r="I92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70" customFormat="false" ht="15" hidden="false" customHeight="false" outlineLevel="0" collapsed="false">
      <c r="A9270" s="41"/>
      <c r="G9270" s="38" t="n">
        <f aca="false">MONTH(A9270)</f>
        <v>12</v>
      </c>
      <c r="H9270" s="38" t="n">
        <f aca="false">YEAR(Tabela1[[#This Row],[FECHA]])</f>
        <v>1900</v>
      </c>
      <c r="I92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71" customFormat="false" ht="15" hidden="false" customHeight="false" outlineLevel="0" collapsed="false">
      <c r="A9271" s="41"/>
      <c r="G9271" s="38" t="n">
        <f aca="false">MONTH(A9271)</f>
        <v>12</v>
      </c>
      <c r="H9271" s="38" t="n">
        <f aca="false">YEAR(Tabela1[[#This Row],[FECHA]])</f>
        <v>1900</v>
      </c>
      <c r="I92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72" customFormat="false" ht="15" hidden="false" customHeight="false" outlineLevel="0" collapsed="false">
      <c r="A9272" s="41"/>
      <c r="G9272" s="38" t="n">
        <f aca="false">MONTH(A9272)</f>
        <v>12</v>
      </c>
      <c r="H9272" s="38" t="n">
        <f aca="false">YEAR(Tabela1[[#This Row],[FECHA]])</f>
        <v>1900</v>
      </c>
      <c r="I92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73" customFormat="false" ht="15" hidden="false" customHeight="false" outlineLevel="0" collapsed="false">
      <c r="A9273" s="41"/>
      <c r="G9273" s="38" t="n">
        <f aca="false">MONTH(A9273)</f>
        <v>12</v>
      </c>
      <c r="H9273" s="38" t="n">
        <f aca="false">YEAR(Tabela1[[#This Row],[FECHA]])</f>
        <v>1900</v>
      </c>
      <c r="I92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74" customFormat="false" ht="15" hidden="false" customHeight="false" outlineLevel="0" collapsed="false">
      <c r="A9274" s="41"/>
      <c r="G9274" s="38" t="n">
        <f aca="false">MONTH(A9274)</f>
        <v>12</v>
      </c>
      <c r="H9274" s="38" t="n">
        <f aca="false">YEAR(Tabela1[[#This Row],[FECHA]])</f>
        <v>1900</v>
      </c>
      <c r="I92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75" customFormat="false" ht="15" hidden="false" customHeight="false" outlineLevel="0" collapsed="false">
      <c r="A9275" s="41"/>
      <c r="G9275" s="38" t="n">
        <f aca="false">MONTH(A9275)</f>
        <v>12</v>
      </c>
      <c r="H9275" s="38" t="n">
        <f aca="false">YEAR(Tabela1[[#This Row],[FECHA]])</f>
        <v>1900</v>
      </c>
      <c r="I92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76" customFormat="false" ht="15" hidden="false" customHeight="false" outlineLevel="0" collapsed="false">
      <c r="A9276" s="41"/>
      <c r="G9276" s="38" t="n">
        <f aca="false">MONTH(A9276)</f>
        <v>12</v>
      </c>
      <c r="H9276" s="38" t="n">
        <f aca="false">YEAR(Tabela1[[#This Row],[FECHA]])</f>
        <v>1900</v>
      </c>
      <c r="I92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77" customFormat="false" ht="15" hidden="false" customHeight="false" outlineLevel="0" collapsed="false">
      <c r="A9277" s="41"/>
      <c r="G9277" s="38" t="n">
        <f aca="false">MONTH(A9277)</f>
        <v>12</v>
      </c>
      <c r="H9277" s="38" t="n">
        <f aca="false">YEAR(Tabela1[[#This Row],[FECHA]])</f>
        <v>1900</v>
      </c>
      <c r="I92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78" customFormat="false" ht="15" hidden="false" customHeight="false" outlineLevel="0" collapsed="false">
      <c r="A9278" s="41"/>
      <c r="G9278" s="38" t="n">
        <f aca="false">MONTH(A9278)</f>
        <v>12</v>
      </c>
      <c r="H9278" s="38" t="n">
        <f aca="false">YEAR(Tabela1[[#This Row],[FECHA]])</f>
        <v>1900</v>
      </c>
      <c r="I92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79" customFormat="false" ht="15" hidden="false" customHeight="false" outlineLevel="0" collapsed="false">
      <c r="A9279" s="41"/>
      <c r="G9279" s="38" t="n">
        <f aca="false">MONTH(A9279)</f>
        <v>12</v>
      </c>
      <c r="H9279" s="38" t="n">
        <f aca="false">YEAR(Tabela1[[#This Row],[FECHA]])</f>
        <v>1900</v>
      </c>
      <c r="I92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80" customFormat="false" ht="15" hidden="false" customHeight="false" outlineLevel="0" collapsed="false">
      <c r="A9280" s="41"/>
      <c r="G9280" s="38" t="n">
        <f aca="false">MONTH(A9280)</f>
        <v>12</v>
      </c>
      <c r="H9280" s="38" t="n">
        <f aca="false">YEAR(Tabela1[[#This Row],[FECHA]])</f>
        <v>1900</v>
      </c>
      <c r="I92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81" customFormat="false" ht="15" hidden="false" customHeight="false" outlineLevel="0" collapsed="false">
      <c r="A9281" s="41"/>
      <c r="G9281" s="38" t="n">
        <f aca="false">MONTH(A9281)</f>
        <v>12</v>
      </c>
      <c r="H9281" s="38" t="n">
        <f aca="false">YEAR(Tabela1[[#This Row],[FECHA]])</f>
        <v>1900</v>
      </c>
      <c r="I92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82" customFormat="false" ht="15" hidden="false" customHeight="false" outlineLevel="0" collapsed="false">
      <c r="A9282" s="41"/>
      <c r="G9282" s="38" t="n">
        <f aca="false">MONTH(A9282)</f>
        <v>12</v>
      </c>
      <c r="H9282" s="38" t="n">
        <f aca="false">YEAR(Tabela1[[#This Row],[FECHA]])</f>
        <v>1900</v>
      </c>
      <c r="I92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83" customFormat="false" ht="15" hidden="false" customHeight="false" outlineLevel="0" collapsed="false">
      <c r="A9283" s="41"/>
      <c r="G9283" s="38" t="n">
        <f aca="false">MONTH(A9283)</f>
        <v>12</v>
      </c>
      <c r="H9283" s="38" t="n">
        <f aca="false">YEAR(Tabela1[[#This Row],[FECHA]])</f>
        <v>1900</v>
      </c>
      <c r="I92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84" customFormat="false" ht="15" hidden="false" customHeight="false" outlineLevel="0" collapsed="false">
      <c r="A9284" s="41"/>
      <c r="G9284" s="38" t="n">
        <f aca="false">MONTH(A9284)</f>
        <v>12</v>
      </c>
      <c r="H9284" s="38" t="n">
        <f aca="false">YEAR(Tabela1[[#This Row],[FECHA]])</f>
        <v>1900</v>
      </c>
      <c r="I92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85" customFormat="false" ht="15" hidden="false" customHeight="false" outlineLevel="0" collapsed="false">
      <c r="A9285" s="41"/>
      <c r="G9285" s="38" t="n">
        <f aca="false">MONTH(A9285)</f>
        <v>12</v>
      </c>
      <c r="H9285" s="38" t="n">
        <f aca="false">YEAR(Tabela1[[#This Row],[FECHA]])</f>
        <v>1900</v>
      </c>
      <c r="I92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86" customFormat="false" ht="15" hidden="false" customHeight="false" outlineLevel="0" collapsed="false">
      <c r="A9286" s="41"/>
      <c r="G9286" s="38" t="n">
        <f aca="false">MONTH(A9286)</f>
        <v>12</v>
      </c>
      <c r="H9286" s="38" t="n">
        <f aca="false">YEAR(Tabela1[[#This Row],[FECHA]])</f>
        <v>1900</v>
      </c>
      <c r="I92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87" customFormat="false" ht="15" hidden="false" customHeight="false" outlineLevel="0" collapsed="false">
      <c r="A9287" s="41"/>
      <c r="G9287" s="38" t="n">
        <f aca="false">MONTH(A9287)</f>
        <v>12</v>
      </c>
      <c r="H9287" s="38" t="n">
        <f aca="false">YEAR(Tabela1[[#This Row],[FECHA]])</f>
        <v>1900</v>
      </c>
      <c r="I92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88" customFormat="false" ht="15" hidden="false" customHeight="false" outlineLevel="0" collapsed="false">
      <c r="A9288" s="41"/>
      <c r="G9288" s="38" t="n">
        <f aca="false">MONTH(A9288)</f>
        <v>12</v>
      </c>
      <c r="H9288" s="38" t="n">
        <f aca="false">YEAR(Tabela1[[#This Row],[FECHA]])</f>
        <v>1900</v>
      </c>
      <c r="I92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89" customFormat="false" ht="15" hidden="false" customHeight="false" outlineLevel="0" collapsed="false">
      <c r="A9289" s="41"/>
      <c r="G9289" s="38" t="n">
        <f aca="false">MONTH(A9289)</f>
        <v>12</v>
      </c>
      <c r="H9289" s="38" t="n">
        <f aca="false">YEAR(Tabela1[[#This Row],[FECHA]])</f>
        <v>1900</v>
      </c>
      <c r="I92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90" customFormat="false" ht="15" hidden="false" customHeight="false" outlineLevel="0" collapsed="false">
      <c r="A9290" s="41"/>
      <c r="G9290" s="38" t="n">
        <f aca="false">MONTH(A9290)</f>
        <v>12</v>
      </c>
      <c r="H9290" s="38" t="n">
        <f aca="false">YEAR(Tabela1[[#This Row],[FECHA]])</f>
        <v>1900</v>
      </c>
      <c r="I92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91" customFormat="false" ht="15" hidden="false" customHeight="false" outlineLevel="0" collapsed="false">
      <c r="A9291" s="41"/>
      <c r="G9291" s="38" t="n">
        <f aca="false">MONTH(A9291)</f>
        <v>12</v>
      </c>
      <c r="H9291" s="38" t="n">
        <f aca="false">YEAR(Tabela1[[#This Row],[FECHA]])</f>
        <v>1900</v>
      </c>
      <c r="I92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92" customFormat="false" ht="15" hidden="false" customHeight="false" outlineLevel="0" collapsed="false">
      <c r="A9292" s="41"/>
      <c r="G9292" s="38" t="n">
        <f aca="false">MONTH(A9292)</f>
        <v>12</v>
      </c>
      <c r="H9292" s="38" t="n">
        <f aca="false">YEAR(Tabela1[[#This Row],[FECHA]])</f>
        <v>1900</v>
      </c>
      <c r="I92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93" customFormat="false" ht="15" hidden="false" customHeight="false" outlineLevel="0" collapsed="false">
      <c r="A9293" s="41"/>
      <c r="G9293" s="38" t="n">
        <f aca="false">MONTH(A9293)</f>
        <v>12</v>
      </c>
      <c r="H9293" s="38" t="n">
        <f aca="false">YEAR(Tabela1[[#This Row],[FECHA]])</f>
        <v>1900</v>
      </c>
      <c r="I92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94" customFormat="false" ht="15" hidden="false" customHeight="false" outlineLevel="0" collapsed="false">
      <c r="A9294" s="41"/>
      <c r="G9294" s="38" t="n">
        <f aca="false">MONTH(A9294)</f>
        <v>12</v>
      </c>
      <c r="H9294" s="38" t="n">
        <f aca="false">YEAR(Tabela1[[#This Row],[FECHA]])</f>
        <v>1900</v>
      </c>
      <c r="I92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95" customFormat="false" ht="15" hidden="false" customHeight="false" outlineLevel="0" collapsed="false">
      <c r="A9295" s="41"/>
      <c r="G9295" s="38" t="n">
        <f aca="false">MONTH(A9295)</f>
        <v>12</v>
      </c>
      <c r="H9295" s="38" t="n">
        <f aca="false">YEAR(Tabela1[[#This Row],[FECHA]])</f>
        <v>1900</v>
      </c>
      <c r="I92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96" customFormat="false" ht="15" hidden="false" customHeight="false" outlineLevel="0" collapsed="false">
      <c r="A9296" s="41"/>
      <c r="G9296" s="38" t="n">
        <f aca="false">MONTH(A9296)</f>
        <v>12</v>
      </c>
      <c r="H9296" s="38" t="n">
        <f aca="false">YEAR(Tabela1[[#This Row],[FECHA]])</f>
        <v>1900</v>
      </c>
      <c r="I92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97" customFormat="false" ht="15" hidden="false" customHeight="false" outlineLevel="0" collapsed="false">
      <c r="A9297" s="41"/>
      <c r="G9297" s="38" t="n">
        <f aca="false">MONTH(A9297)</f>
        <v>12</v>
      </c>
      <c r="H9297" s="38" t="n">
        <f aca="false">YEAR(Tabela1[[#This Row],[FECHA]])</f>
        <v>1900</v>
      </c>
      <c r="I92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98" customFormat="false" ht="15" hidden="false" customHeight="false" outlineLevel="0" collapsed="false">
      <c r="A9298" s="41"/>
      <c r="G9298" s="38" t="n">
        <f aca="false">MONTH(A9298)</f>
        <v>12</v>
      </c>
      <c r="H9298" s="38" t="n">
        <f aca="false">YEAR(Tabela1[[#This Row],[FECHA]])</f>
        <v>1900</v>
      </c>
      <c r="I92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299" customFormat="false" ht="15" hidden="false" customHeight="false" outlineLevel="0" collapsed="false">
      <c r="A9299" s="41"/>
      <c r="G9299" s="38" t="n">
        <f aca="false">MONTH(A9299)</f>
        <v>12</v>
      </c>
      <c r="H9299" s="38" t="n">
        <f aca="false">YEAR(Tabela1[[#This Row],[FECHA]])</f>
        <v>1900</v>
      </c>
      <c r="I92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00" customFormat="false" ht="15" hidden="false" customHeight="false" outlineLevel="0" collapsed="false">
      <c r="A9300" s="41"/>
      <c r="G9300" s="38" t="n">
        <f aca="false">MONTH(A9300)</f>
        <v>12</v>
      </c>
      <c r="H9300" s="38" t="n">
        <f aca="false">YEAR(Tabela1[[#This Row],[FECHA]])</f>
        <v>1900</v>
      </c>
      <c r="I93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01" customFormat="false" ht="15" hidden="false" customHeight="false" outlineLevel="0" collapsed="false">
      <c r="A9301" s="41"/>
      <c r="G9301" s="38" t="n">
        <f aca="false">MONTH(A9301)</f>
        <v>12</v>
      </c>
      <c r="H9301" s="38" t="n">
        <f aca="false">YEAR(Tabela1[[#This Row],[FECHA]])</f>
        <v>1900</v>
      </c>
      <c r="I93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02" customFormat="false" ht="15" hidden="false" customHeight="false" outlineLevel="0" collapsed="false">
      <c r="A9302" s="41"/>
      <c r="G9302" s="38" t="n">
        <f aca="false">MONTH(A9302)</f>
        <v>12</v>
      </c>
      <c r="H9302" s="38" t="n">
        <f aca="false">YEAR(Tabela1[[#This Row],[FECHA]])</f>
        <v>1900</v>
      </c>
      <c r="I93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03" customFormat="false" ht="15" hidden="false" customHeight="false" outlineLevel="0" collapsed="false">
      <c r="A9303" s="41"/>
      <c r="G9303" s="38" t="n">
        <f aca="false">MONTH(A9303)</f>
        <v>12</v>
      </c>
      <c r="H9303" s="38" t="n">
        <f aca="false">YEAR(Tabela1[[#This Row],[FECHA]])</f>
        <v>1900</v>
      </c>
      <c r="I93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04" customFormat="false" ht="15" hidden="false" customHeight="false" outlineLevel="0" collapsed="false">
      <c r="A9304" s="41"/>
      <c r="G9304" s="38" t="n">
        <f aca="false">MONTH(A9304)</f>
        <v>12</v>
      </c>
      <c r="H9304" s="38" t="n">
        <f aca="false">YEAR(Tabela1[[#This Row],[FECHA]])</f>
        <v>1900</v>
      </c>
      <c r="I93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05" customFormat="false" ht="15" hidden="false" customHeight="false" outlineLevel="0" collapsed="false">
      <c r="A9305" s="41"/>
      <c r="G9305" s="38" t="n">
        <f aca="false">MONTH(A9305)</f>
        <v>12</v>
      </c>
      <c r="H9305" s="38" t="n">
        <f aca="false">YEAR(Tabela1[[#This Row],[FECHA]])</f>
        <v>1900</v>
      </c>
      <c r="I93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06" customFormat="false" ht="15" hidden="false" customHeight="false" outlineLevel="0" collapsed="false">
      <c r="A9306" s="41"/>
      <c r="G9306" s="38" t="n">
        <f aca="false">MONTH(A9306)</f>
        <v>12</v>
      </c>
      <c r="H9306" s="38" t="n">
        <f aca="false">YEAR(Tabela1[[#This Row],[FECHA]])</f>
        <v>1900</v>
      </c>
      <c r="I93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07" customFormat="false" ht="15" hidden="false" customHeight="false" outlineLevel="0" collapsed="false">
      <c r="A9307" s="41"/>
      <c r="G9307" s="38" t="n">
        <f aca="false">MONTH(A9307)</f>
        <v>12</v>
      </c>
      <c r="H9307" s="38" t="n">
        <f aca="false">YEAR(Tabela1[[#This Row],[FECHA]])</f>
        <v>1900</v>
      </c>
      <c r="I93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08" customFormat="false" ht="15" hidden="false" customHeight="false" outlineLevel="0" collapsed="false">
      <c r="A9308" s="41"/>
      <c r="G9308" s="38" t="n">
        <f aca="false">MONTH(A9308)</f>
        <v>12</v>
      </c>
      <c r="H9308" s="38" t="n">
        <f aca="false">YEAR(Tabela1[[#This Row],[FECHA]])</f>
        <v>1900</v>
      </c>
      <c r="I93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09" customFormat="false" ht="15" hidden="false" customHeight="false" outlineLevel="0" collapsed="false">
      <c r="A9309" s="41"/>
      <c r="G9309" s="38" t="n">
        <f aca="false">MONTH(A9309)</f>
        <v>12</v>
      </c>
      <c r="H9309" s="38" t="n">
        <f aca="false">YEAR(Tabela1[[#This Row],[FECHA]])</f>
        <v>1900</v>
      </c>
      <c r="I93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10" customFormat="false" ht="15" hidden="false" customHeight="false" outlineLevel="0" collapsed="false">
      <c r="A9310" s="41"/>
      <c r="G9310" s="38" t="n">
        <f aca="false">MONTH(A9310)</f>
        <v>12</v>
      </c>
      <c r="H9310" s="38" t="n">
        <f aca="false">YEAR(Tabela1[[#This Row],[FECHA]])</f>
        <v>1900</v>
      </c>
      <c r="I93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11" customFormat="false" ht="15" hidden="false" customHeight="false" outlineLevel="0" collapsed="false">
      <c r="A9311" s="41"/>
      <c r="G9311" s="38" t="n">
        <f aca="false">MONTH(A9311)</f>
        <v>12</v>
      </c>
      <c r="H9311" s="38" t="n">
        <f aca="false">YEAR(Tabela1[[#This Row],[FECHA]])</f>
        <v>1900</v>
      </c>
      <c r="I93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12" customFormat="false" ht="15" hidden="false" customHeight="false" outlineLevel="0" collapsed="false">
      <c r="A9312" s="41"/>
      <c r="G9312" s="38" t="n">
        <f aca="false">MONTH(A9312)</f>
        <v>12</v>
      </c>
      <c r="H9312" s="38" t="n">
        <f aca="false">YEAR(Tabela1[[#This Row],[FECHA]])</f>
        <v>1900</v>
      </c>
      <c r="I93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13" customFormat="false" ht="15" hidden="false" customHeight="false" outlineLevel="0" collapsed="false">
      <c r="A9313" s="41"/>
      <c r="G9313" s="38" t="n">
        <f aca="false">MONTH(A9313)</f>
        <v>12</v>
      </c>
      <c r="H9313" s="38" t="n">
        <f aca="false">YEAR(Tabela1[[#This Row],[FECHA]])</f>
        <v>1900</v>
      </c>
      <c r="I93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14" customFormat="false" ht="15" hidden="false" customHeight="false" outlineLevel="0" collapsed="false">
      <c r="A9314" s="41"/>
      <c r="G9314" s="38" t="n">
        <f aca="false">MONTH(A9314)</f>
        <v>12</v>
      </c>
      <c r="H9314" s="38" t="n">
        <f aca="false">YEAR(Tabela1[[#This Row],[FECHA]])</f>
        <v>1900</v>
      </c>
      <c r="I93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15" customFormat="false" ht="15" hidden="false" customHeight="false" outlineLevel="0" collapsed="false">
      <c r="A9315" s="41"/>
      <c r="G9315" s="38" t="n">
        <f aca="false">MONTH(A9315)</f>
        <v>12</v>
      </c>
      <c r="H9315" s="38" t="n">
        <f aca="false">YEAR(Tabela1[[#This Row],[FECHA]])</f>
        <v>1900</v>
      </c>
      <c r="I93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16" customFormat="false" ht="15" hidden="false" customHeight="false" outlineLevel="0" collapsed="false">
      <c r="A9316" s="41"/>
      <c r="G9316" s="38" t="n">
        <f aca="false">MONTH(A9316)</f>
        <v>12</v>
      </c>
      <c r="H9316" s="38" t="n">
        <f aca="false">YEAR(Tabela1[[#This Row],[FECHA]])</f>
        <v>1900</v>
      </c>
      <c r="I93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17" customFormat="false" ht="15" hidden="false" customHeight="false" outlineLevel="0" collapsed="false">
      <c r="A9317" s="41"/>
      <c r="G9317" s="38" t="n">
        <f aca="false">MONTH(A9317)</f>
        <v>12</v>
      </c>
      <c r="H9317" s="38" t="n">
        <f aca="false">YEAR(Tabela1[[#This Row],[FECHA]])</f>
        <v>1900</v>
      </c>
      <c r="I93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18" customFormat="false" ht="15" hidden="false" customHeight="false" outlineLevel="0" collapsed="false">
      <c r="A9318" s="41"/>
      <c r="G9318" s="38" t="n">
        <f aca="false">MONTH(A9318)</f>
        <v>12</v>
      </c>
      <c r="H9318" s="38" t="n">
        <f aca="false">YEAR(Tabela1[[#This Row],[FECHA]])</f>
        <v>1900</v>
      </c>
      <c r="I93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19" customFormat="false" ht="15" hidden="false" customHeight="false" outlineLevel="0" collapsed="false">
      <c r="A9319" s="41"/>
      <c r="G9319" s="38" t="n">
        <f aca="false">MONTH(A9319)</f>
        <v>12</v>
      </c>
      <c r="H9319" s="38" t="n">
        <f aca="false">YEAR(Tabela1[[#This Row],[FECHA]])</f>
        <v>1900</v>
      </c>
      <c r="I93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20" customFormat="false" ht="15" hidden="false" customHeight="false" outlineLevel="0" collapsed="false">
      <c r="A9320" s="41"/>
      <c r="G9320" s="38" t="n">
        <f aca="false">MONTH(A9320)</f>
        <v>12</v>
      </c>
      <c r="H9320" s="38" t="n">
        <f aca="false">YEAR(Tabela1[[#This Row],[FECHA]])</f>
        <v>1900</v>
      </c>
      <c r="I93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21" customFormat="false" ht="15" hidden="false" customHeight="false" outlineLevel="0" collapsed="false">
      <c r="A9321" s="41"/>
      <c r="G9321" s="38" t="n">
        <f aca="false">MONTH(A9321)</f>
        <v>12</v>
      </c>
      <c r="H9321" s="38" t="n">
        <f aca="false">YEAR(Tabela1[[#This Row],[FECHA]])</f>
        <v>1900</v>
      </c>
      <c r="I93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22" customFormat="false" ht="15" hidden="false" customHeight="false" outlineLevel="0" collapsed="false">
      <c r="A9322" s="41"/>
      <c r="G9322" s="38" t="n">
        <f aca="false">MONTH(A9322)</f>
        <v>12</v>
      </c>
      <c r="H9322" s="38" t="n">
        <f aca="false">YEAR(Tabela1[[#This Row],[FECHA]])</f>
        <v>1900</v>
      </c>
      <c r="I93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23" customFormat="false" ht="15" hidden="false" customHeight="false" outlineLevel="0" collapsed="false">
      <c r="A9323" s="41"/>
      <c r="G9323" s="38" t="n">
        <f aca="false">MONTH(A9323)</f>
        <v>12</v>
      </c>
      <c r="H9323" s="38" t="n">
        <f aca="false">YEAR(Tabela1[[#This Row],[FECHA]])</f>
        <v>1900</v>
      </c>
      <c r="I93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24" customFormat="false" ht="15" hidden="false" customHeight="false" outlineLevel="0" collapsed="false">
      <c r="A9324" s="41"/>
      <c r="G9324" s="38" t="n">
        <f aca="false">MONTH(A9324)</f>
        <v>12</v>
      </c>
      <c r="H9324" s="38" t="n">
        <f aca="false">YEAR(Tabela1[[#This Row],[FECHA]])</f>
        <v>1900</v>
      </c>
      <c r="I93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25" customFormat="false" ht="15" hidden="false" customHeight="false" outlineLevel="0" collapsed="false">
      <c r="A9325" s="41"/>
      <c r="G9325" s="38" t="n">
        <f aca="false">MONTH(A9325)</f>
        <v>12</v>
      </c>
      <c r="H9325" s="38" t="n">
        <f aca="false">YEAR(Tabela1[[#This Row],[FECHA]])</f>
        <v>1900</v>
      </c>
      <c r="I93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26" customFormat="false" ht="15" hidden="false" customHeight="false" outlineLevel="0" collapsed="false">
      <c r="A9326" s="41"/>
      <c r="G9326" s="38" t="n">
        <f aca="false">MONTH(A9326)</f>
        <v>12</v>
      </c>
      <c r="H9326" s="38" t="n">
        <f aca="false">YEAR(Tabela1[[#This Row],[FECHA]])</f>
        <v>1900</v>
      </c>
      <c r="I93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27" customFormat="false" ht="15" hidden="false" customHeight="false" outlineLevel="0" collapsed="false">
      <c r="A9327" s="41"/>
      <c r="G9327" s="38" t="n">
        <f aca="false">MONTH(A9327)</f>
        <v>12</v>
      </c>
      <c r="H9327" s="38" t="n">
        <f aca="false">YEAR(Tabela1[[#This Row],[FECHA]])</f>
        <v>1900</v>
      </c>
      <c r="I93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28" customFormat="false" ht="15" hidden="false" customHeight="false" outlineLevel="0" collapsed="false">
      <c r="A9328" s="41"/>
      <c r="G9328" s="38" t="n">
        <f aca="false">MONTH(A9328)</f>
        <v>12</v>
      </c>
      <c r="H9328" s="38" t="n">
        <f aca="false">YEAR(Tabela1[[#This Row],[FECHA]])</f>
        <v>1900</v>
      </c>
      <c r="I93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29" customFormat="false" ht="15" hidden="false" customHeight="false" outlineLevel="0" collapsed="false">
      <c r="A9329" s="41"/>
      <c r="G9329" s="38" t="n">
        <f aca="false">MONTH(A9329)</f>
        <v>12</v>
      </c>
      <c r="H9329" s="38" t="n">
        <f aca="false">YEAR(Tabela1[[#This Row],[FECHA]])</f>
        <v>1900</v>
      </c>
      <c r="I93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30" customFormat="false" ht="15" hidden="false" customHeight="false" outlineLevel="0" collapsed="false">
      <c r="A9330" s="41"/>
      <c r="G9330" s="38" t="n">
        <f aca="false">MONTH(A9330)</f>
        <v>12</v>
      </c>
      <c r="H9330" s="38" t="n">
        <f aca="false">YEAR(Tabela1[[#This Row],[FECHA]])</f>
        <v>1900</v>
      </c>
      <c r="I93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31" customFormat="false" ht="15" hidden="false" customHeight="false" outlineLevel="0" collapsed="false">
      <c r="A9331" s="41"/>
      <c r="G9331" s="38" t="n">
        <f aca="false">MONTH(A9331)</f>
        <v>12</v>
      </c>
      <c r="H9331" s="38" t="n">
        <f aca="false">YEAR(Tabela1[[#This Row],[FECHA]])</f>
        <v>1900</v>
      </c>
      <c r="I93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32" customFormat="false" ht="15" hidden="false" customHeight="false" outlineLevel="0" collapsed="false">
      <c r="A9332" s="41"/>
      <c r="G9332" s="38" t="n">
        <f aca="false">MONTH(A9332)</f>
        <v>12</v>
      </c>
      <c r="H9332" s="38" t="n">
        <f aca="false">YEAR(Tabela1[[#This Row],[FECHA]])</f>
        <v>1900</v>
      </c>
      <c r="I93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33" customFormat="false" ht="15" hidden="false" customHeight="false" outlineLevel="0" collapsed="false">
      <c r="A9333" s="41"/>
      <c r="G9333" s="38" t="n">
        <f aca="false">MONTH(A9333)</f>
        <v>12</v>
      </c>
      <c r="H9333" s="38" t="n">
        <f aca="false">YEAR(Tabela1[[#This Row],[FECHA]])</f>
        <v>1900</v>
      </c>
      <c r="I93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34" customFormat="false" ht="15" hidden="false" customHeight="false" outlineLevel="0" collapsed="false">
      <c r="A9334" s="41"/>
      <c r="G9334" s="38" t="n">
        <f aca="false">MONTH(A9334)</f>
        <v>12</v>
      </c>
      <c r="H9334" s="38" t="n">
        <f aca="false">YEAR(Tabela1[[#This Row],[FECHA]])</f>
        <v>1900</v>
      </c>
      <c r="I93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35" customFormat="false" ht="15" hidden="false" customHeight="false" outlineLevel="0" collapsed="false">
      <c r="A9335" s="41"/>
      <c r="G9335" s="38" t="n">
        <f aca="false">MONTH(A9335)</f>
        <v>12</v>
      </c>
      <c r="H9335" s="38" t="n">
        <f aca="false">YEAR(Tabela1[[#This Row],[FECHA]])</f>
        <v>1900</v>
      </c>
      <c r="I93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36" customFormat="false" ht="15" hidden="false" customHeight="false" outlineLevel="0" collapsed="false">
      <c r="A9336" s="41"/>
      <c r="G9336" s="38" t="n">
        <f aca="false">MONTH(A9336)</f>
        <v>12</v>
      </c>
      <c r="H9336" s="38" t="n">
        <f aca="false">YEAR(Tabela1[[#This Row],[FECHA]])</f>
        <v>1900</v>
      </c>
      <c r="I93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37" customFormat="false" ht="15" hidden="false" customHeight="false" outlineLevel="0" collapsed="false">
      <c r="A9337" s="41"/>
      <c r="G9337" s="38" t="n">
        <f aca="false">MONTH(A9337)</f>
        <v>12</v>
      </c>
      <c r="H9337" s="38" t="n">
        <f aca="false">YEAR(Tabela1[[#This Row],[FECHA]])</f>
        <v>1900</v>
      </c>
      <c r="I93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38" customFormat="false" ht="15" hidden="false" customHeight="false" outlineLevel="0" collapsed="false">
      <c r="A9338" s="41"/>
      <c r="G9338" s="38" t="n">
        <f aca="false">MONTH(A9338)</f>
        <v>12</v>
      </c>
      <c r="H9338" s="38" t="n">
        <f aca="false">YEAR(Tabela1[[#This Row],[FECHA]])</f>
        <v>1900</v>
      </c>
      <c r="I93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39" customFormat="false" ht="15" hidden="false" customHeight="false" outlineLevel="0" collapsed="false">
      <c r="A9339" s="41"/>
      <c r="G9339" s="38" t="n">
        <f aca="false">MONTH(A9339)</f>
        <v>12</v>
      </c>
      <c r="H9339" s="38" t="n">
        <f aca="false">YEAR(Tabela1[[#This Row],[FECHA]])</f>
        <v>1900</v>
      </c>
      <c r="I93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40" customFormat="false" ht="15" hidden="false" customHeight="false" outlineLevel="0" collapsed="false">
      <c r="A9340" s="41"/>
      <c r="G9340" s="38" t="n">
        <f aca="false">MONTH(A9340)</f>
        <v>12</v>
      </c>
      <c r="H9340" s="38" t="n">
        <f aca="false">YEAR(Tabela1[[#This Row],[FECHA]])</f>
        <v>1900</v>
      </c>
      <c r="I93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41" customFormat="false" ht="15" hidden="false" customHeight="false" outlineLevel="0" collapsed="false">
      <c r="A9341" s="41"/>
      <c r="G9341" s="38" t="n">
        <f aca="false">MONTH(A9341)</f>
        <v>12</v>
      </c>
      <c r="H9341" s="38" t="n">
        <f aca="false">YEAR(Tabela1[[#This Row],[FECHA]])</f>
        <v>1900</v>
      </c>
      <c r="I93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42" customFormat="false" ht="15" hidden="false" customHeight="false" outlineLevel="0" collapsed="false">
      <c r="A9342" s="41"/>
      <c r="G9342" s="38" t="n">
        <f aca="false">MONTH(A9342)</f>
        <v>12</v>
      </c>
      <c r="H9342" s="38" t="n">
        <f aca="false">YEAR(Tabela1[[#This Row],[FECHA]])</f>
        <v>1900</v>
      </c>
      <c r="I93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43" customFormat="false" ht="15" hidden="false" customHeight="false" outlineLevel="0" collapsed="false">
      <c r="A9343" s="41"/>
      <c r="G9343" s="38" t="n">
        <f aca="false">MONTH(A9343)</f>
        <v>12</v>
      </c>
      <c r="H9343" s="38" t="n">
        <f aca="false">YEAR(Tabela1[[#This Row],[FECHA]])</f>
        <v>1900</v>
      </c>
      <c r="I93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44" customFormat="false" ht="15" hidden="false" customHeight="false" outlineLevel="0" collapsed="false">
      <c r="A9344" s="41"/>
      <c r="G9344" s="38" t="n">
        <f aca="false">MONTH(A9344)</f>
        <v>12</v>
      </c>
      <c r="H9344" s="38" t="n">
        <f aca="false">YEAR(Tabela1[[#This Row],[FECHA]])</f>
        <v>1900</v>
      </c>
      <c r="I93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45" customFormat="false" ht="15" hidden="false" customHeight="false" outlineLevel="0" collapsed="false">
      <c r="A9345" s="41"/>
      <c r="G9345" s="38" t="n">
        <f aca="false">MONTH(A9345)</f>
        <v>12</v>
      </c>
      <c r="H9345" s="38" t="n">
        <f aca="false">YEAR(Tabela1[[#This Row],[FECHA]])</f>
        <v>1900</v>
      </c>
      <c r="I93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46" customFormat="false" ht="15" hidden="false" customHeight="false" outlineLevel="0" collapsed="false">
      <c r="A9346" s="41"/>
      <c r="G9346" s="38" t="n">
        <f aca="false">MONTH(A9346)</f>
        <v>12</v>
      </c>
      <c r="H9346" s="38" t="n">
        <f aca="false">YEAR(Tabela1[[#This Row],[FECHA]])</f>
        <v>1900</v>
      </c>
      <c r="I93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47" customFormat="false" ht="15" hidden="false" customHeight="false" outlineLevel="0" collapsed="false">
      <c r="A9347" s="41"/>
      <c r="G9347" s="38" t="n">
        <f aca="false">MONTH(A9347)</f>
        <v>12</v>
      </c>
      <c r="H9347" s="38" t="n">
        <f aca="false">YEAR(Tabela1[[#This Row],[FECHA]])</f>
        <v>1900</v>
      </c>
      <c r="I93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48" customFormat="false" ht="15" hidden="false" customHeight="false" outlineLevel="0" collapsed="false">
      <c r="A9348" s="41"/>
      <c r="G9348" s="38" t="n">
        <f aca="false">MONTH(A9348)</f>
        <v>12</v>
      </c>
      <c r="H9348" s="38" t="n">
        <f aca="false">YEAR(Tabela1[[#This Row],[FECHA]])</f>
        <v>1900</v>
      </c>
      <c r="I93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49" customFormat="false" ht="15" hidden="false" customHeight="false" outlineLevel="0" collapsed="false">
      <c r="A9349" s="41"/>
      <c r="G9349" s="38" t="n">
        <f aca="false">MONTH(A9349)</f>
        <v>12</v>
      </c>
      <c r="H9349" s="38" t="n">
        <f aca="false">YEAR(Tabela1[[#This Row],[FECHA]])</f>
        <v>1900</v>
      </c>
      <c r="I93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50" customFormat="false" ht="15" hidden="false" customHeight="false" outlineLevel="0" collapsed="false">
      <c r="A9350" s="41"/>
      <c r="G9350" s="38" t="n">
        <f aca="false">MONTH(A9350)</f>
        <v>12</v>
      </c>
      <c r="H9350" s="38" t="n">
        <f aca="false">YEAR(Tabela1[[#This Row],[FECHA]])</f>
        <v>1900</v>
      </c>
      <c r="I93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51" customFormat="false" ht="15" hidden="false" customHeight="false" outlineLevel="0" collapsed="false">
      <c r="A9351" s="41"/>
      <c r="G9351" s="38" t="n">
        <f aca="false">MONTH(A9351)</f>
        <v>12</v>
      </c>
      <c r="H9351" s="38" t="n">
        <f aca="false">YEAR(Tabela1[[#This Row],[FECHA]])</f>
        <v>1900</v>
      </c>
      <c r="I93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52" customFormat="false" ht="15" hidden="false" customHeight="false" outlineLevel="0" collapsed="false">
      <c r="A9352" s="41"/>
      <c r="G9352" s="38" t="n">
        <f aca="false">MONTH(A9352)</f>
        <v>12</v>
      </c>
      <c r="H9352" s="38" t="n">
        <f aca="false">YEAR(Tabela1[[#This Row],[FECHA]])</f>
        <v>1900</v>
      </c>
      <c r="I93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53" customFormat="false" ht="15" hidden="false" customHeight="false" outlineLevel="0" collapsed="false">
      <c r="A9353" s="41"/>
      <c r="G9353" s="38" t="n">
        <f aca="false">MONTH(A9353)</f>
        <v>12</v>
      </c>
      <c r="H9353" s="38" t="n">
        <f aca="false">YEAR(Tabela1[[#This Row],[FECHA]])</f>
        <v>1900</v>
      </c>
      <c r="I93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54" customFormat="false" ht="15" hidden="false" customHeight="false" outlineLevel="0" collapsed="false">
      <c r="A9354" s="41"/>
      <c r="G9354" s="38" t="n">
        <f aca="false">MONTH(A9354)</f>
        <v>12</v>
      </c>
      <c r="H9354" s="38" t="n">
        <f aca="false">YEAR(Tabela1[[#This Row],[FECHA]])</f>
        <v>1900</v>
      </c>
      <c r="I93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55" customFormat="false" ht="15" hidden="false" customHeight="false" outlineLevel="0" collapsed="false">
      <c r="A9355" s="41"/>
      <c r="G9355" s="38" t="n">
        <f aca="false">MONTH(A9355)</f>
        <v>12</v>
      </c>
      <c r="H9355" s="38" t="n">
        <f aca="false">YEAR(Tabela1[[#This Row],[FECHA]])</f>
        <v>1900</v>
      </c>
      <c r="I93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56" customFormat="false" ht="15" hidden="false" customHeight="false" outlineLevel="0" collapsed="false">
      <c r="A9356" s="41"/>
      <c r="G9356" s="38" t="n">
        <f aca="false">MONTH(A9356)</f>
        <v>12</v>
      </c>
      <c r="H9356" s="38" t="n">
        <f aca="false">YEAR(Tabela1[[#This Row],[FECHA]])</f>
        <v>1900</v>
      </c>
      <c r="I93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57" customFormat="false" ht="15" hidden="false" customHeight="false" outlineLevel="0" collapsed="false">
      <c r="A9357" s="41"/>
      <c r="G9357" s="38" t="n">
        <f aca="false">MONTH(A9357)</f>
        <v>12</v>
      </c>
      <c r="H9357" s="38" t="n">
        <f aca="false">YEAR(Tabela1[[#This Row],[FECHA]])</f>
        <v>1900</v>
      </c>
      <c r="I93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58" customFormat="false" ht="15" hidden="false" customHeight="false" outlineLevel="0" collapsed="false">
      <c r="A9358" s="41"/>
      <c r="G9358" s="38" t="n">
        <f aca="false">MONTH(A9358)</f>
        <v>12</v>
      </c>
      <c r="H9358" s="38" t="n">
        <f aca="false">YEAR(Tabela1[[#This Row],[FECHA]])</f>
        <v>1900</v>
      </c>
      <c r="I93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59" customFormat="false" ht="15" hidden="false" customHeight="false" outlineLevel="0" collapsed="false">
      <c r="A9359" s="41"/>
      <c r="G9359" s="38" t="n">
        <f aca="false">MONTH(A9359)</f>
        <v>12</v>
      </c>
      <c r="H9359" s="38" t="n">
        <f aca="false">YEAR(Tabela1[[#This Row],[FECHA]])</f>
        <v>1900</v>
      </c>
      <c r="I93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60" customFormat="false" ht="15" hidden="false" customHeight="false" outlineLevel="0" collapsed="false">
      <c r="A9360" s="41"/>
      <c r="G9360" s="38" t="n">
        <f aca="false">MONTH(A9360)</f>
        <v>12</v>
      </c>
      <c r="H9360" s="38" t="n">
        <f aca="false">YEAR(Tabela1[[#This Row],[FECHA]])</f>
        <v>1900</v>
      </c>
      <c r="I93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61" customFormat="false" ht="15" hidden="false" customHeight="false" outlineLevel="0" collapsed="false">
      <c r="A9361" s="41"/>
      <c r="G9361" s="38" t="n">
        <f aca="false">MONTH(A9361)</f>
        <v>12</v>
      </c>
      <c r="H9361" s="38" t="n">
        <f aca="false">YEAR(Tabela1[[#This Row],[FECHA]])</f>
        <v>1900</v>
      </c>
      <c r="I93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62" customFormat="false" ht="15" hidden="false" customHeight="false" outlineLevel="0" collapsed="false">
      <c r="A9362" s="41"/>
      <c r="G9362" s="38" t="n">
        <f aca="false">MONTH(A9362)</f>
        <v>12</v>
      </c>
      <c r="H9362" s="38" t="n">
        <f aca="false">YEAR(Tabela1[[#This Row],[FECHA]])</f>
        <v>1900</v>
      </c>
      <c r="I93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63" customFormat="false" ht="15" hidden="false" customHeight="false" outlineLevel="0" collapsed="false">
      <c r="A9363" s="41"/>
      <c r="G9363" s="38" t="n">
        <f aca="false">MONTH(A9363)</f>
        <v>12</v>
      </c>
      <c r="H9363" s="38" t="n">
        <f aca="false">YEAR(Tabela1[[#This Row],[FECHA]])</f>
        <v>1900</v>
      </c>
      <c r="I93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64" customFormat="false" ht="15" hidden="false" customHeight="false" outlineLevel="0" collapsed="false">
      <c r="A9364" s="41"/>
      <c r="G9364" s="38" t="n">
        <f aca="false">MONTH(A9364)</f>
        <v>12</v>
      </c>
      <c r="H9364" s="38" t="n">
        <f aca="false">YEAR(Tabela1[[#This Row],[FECHA]])</f>
        <v>1900</v>
      </c>
      <c r="I93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65" customFormat="false" ht="15" hidden="false" customHeight="false" outlineLevel="0" collapsed="false">
      <c r="A9365" s="41"/>
      <c r="G9365" s="38" t="n">
        <f aca="false">MONTH(A9365)</f>
        <v>12</v>
      </c>
      <c r="H9365" s="38" t="n">
        <f aca="false">YEAR(Tabela1[[#This Row],[FECHA]])</f>
        <v>1900</v>
      </c>
      <c r="I93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66" customFormat="false" ht="15" hidden="false" customHeight="false" outlineLevel="0" collapsed="false">
      <c r="A9366" s="41"/>
      <c r="G9366" s="38" t="n">
        <f aca="false">MONTH(A9366)</f>
        <v>12</v>
      </c>
      <c r="H9366" s="38" t="n">
        <f aca="false">YEAR(Tabela1[[#This Row],[FECHA]])</f>
        <v>1900</v>
      </c>
      <c r="I93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67" customFormat="false" ht="15" hidden="false" customHeight="false" outlineLevel="0" collapsed="false">
      <c r="A9367" s="41"/>
      <c r="G9367" s="38" t="n">
        <f aca="false">MONTH(A9367)</f>
        <v>12</v>
      </c>
      <c r="H9367" s="38" t="n">
        <f aca="false">YEAR(Tabela1[[#This Row],[FECHA]])</f>
        <v>1900</v>
      </c>
      <c r="I93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68" customFormat="false" ht="15" hidden="false" customHeight="false" outlineLevel="0" collapsed="false">
      <c r="A9368" s="41"/>
      <c r="G9368" s="38" t="n">
        <f aca="false">MONTH(A9368)</f>
        <v>12</v>
      </c>
      <c r="H9368" s="38" t="n">
        <f aca="false">YEAR(Tabela1[[#This Row],[FECHA]])</f>
        <v>1900</v>
      </c>
      <c r="I93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69" customFormat="false" ht="15" hidden="false" customHeight="false" outlineLevel="0" collapsed="false">
      <c r="A9369" s="41"/>
      <c r="G9369" s="38" t="n">
        <f aca="false">MONTH(A9369)</f>
        <v>12</v>
      </c>
      <c r="H9369" s="38" t="n">
        <f aca="false">YEAR(Tabela1[[#This Row],[FECHA]])</f>
        <v>1900</v>
      </c>
      <c r="I93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70" customFormat="false" ht="15" hidden="false" customHeight="false" outlineLevel="0" collapsed="false">
      <c r="A9370" s="41"/>
      <c r="G9370" s="38" t="n">
        <f aca="false">MONTH(A9370)</f>
        <v>12</v>
      </c>
      <c r="H9370" s="38" t="n">
        <f aca="false">YEAR(Tabela1[[#This Row],[FECHA]])</f>
        <v>1900</v>
      </c>
      <c r="I93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71" customFormat="false" ht="15" hidden="false" customHeight="false" outlineLevel="0" collapsed="false">
      <c r="A9371" s="41"/>
      <c r="G9371" s="38" t="n">
        <f aca="false">MONTH(A9371)</f>
        <v>12</v>
      </c>
      <c r="H9371" s="38" t="n">
        <f aca="false">YEAR(Tabela1[[#This Row],[FECHA]])</f>
        <v>1900</v>
      </c>
      <c r="I93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72" customFormat="false" ht="15" hidden="false" customHeight="false" outlineLevel="0" collapsed="false">
      <c r="A9372" s="41"/>
      <c r="G9372" s="38" t="n">
        <f aca="false">MONTH(A9372)</f>
        <v>12</v>
      </c>
      <c r="H9372" s="38" t="n">
        <f aca="false">YEAR(Tabela1[[#This Row],[FECHA]])</f>
        <v>1900</v>
      </c>
      <c r="I93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73" customFormat="false" ht="15" hidden="false" customHeight="false" outlineLevel="0" collapsed="false">
      <c r="A9373" s="41"/>
      <c r="G9373" s="38" t="n">
        <f aca="false">MONTH(A9373)</f>
        <v>12</v>
      </c>
      <c r="H9373" s="38" t="n">
        <f aca="false">YEAR(Tabela1[[#This Row],[FECHA]])</f>
        <v>1900</v>
      </c>
      <c r="I93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74" customFormat="false" ht="15" hidden="false" customHeight="false" outlineLevel="0" collapsed="false">
      <c r="A9374" s="41"/>
      <c r="G9374" s="38" t="n">
        <f aca="false">MONTH(A9374)</f>
        <v>12</v>
      </c>
      <c r="H9374" s="38" t="n">
        <f aca="false">YEAR(Tabela1[[#This Row],[FECHA]])</f>
        <v>1900</v>
      </c>
      <c r="I93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75" customFormat="false" ht="15" hidden="false" customHeight="false" outlineLevel="0" collapsed="false">
      <c r="A9375" s="41"/>
      <c r="G9375" s="38" t="n">
        <f aca="false">MONTH(A9375)</f>
        <v>12</v>
      </c>
      <c r="H9375" s="38" t="n">
        <f aca="false">YEAR(Tabela1[[#This Row],[FECHA]])</f>
        <v>1900</v>
      </c>
      <c r="I93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76" customFormat="false" ht="15" hidden="false" customHeight="false" outlineLevel="0" collapsed="false">
      <c r="A9376" s="41"/>
      <c r="G9376" s="38" t="n">
        <f aca="false">MONTH(A9376)</f>
        <v>12</v>
      </c>
      <c r="H9376" s="38" t="n">
        <f aca="false">YEAR(Tabela1[[#This Row],[FECHA]])</f>
        <v>1900</v>
      </c>
      <c r="I93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77" customFormat="false" ht="15" hidden="false" customHeight="false" outlineLevel="0" collapsed="false">
      <c r="A9377" s="41"/>
      <c r="G9377" s="38" t="n">
        <f aca="false">MONTH(A9377)</f>
        <v>12</v>
      </c>
      <c r="H9377" s="38" t="n">
        <f aca="false">YEAR(Tabela1[[#This Row],[FECHA]])</f>
        <v>1900</v>
      </c>
      <c r="I93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78" customFormat="false" ht="15" hidden="false" customHeight="false" outlineLevel="0" collapsed="false">
      <c r="A9378" s="41"/>
      <c r="G9378" s="38" t="n">
        <f aca="false">MONTH(A9378)</f>
        <v>12</v>
      </c>
      <c r="H9378" s="38" t="n">
        <f aca="false">YEAR(Tabela1[[#This Row],[FECHA]])</f>
        <v>1900</v>
      </c>
      <c r="I93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79" customFormat="false" ht="15" hidden="false" customHeight="false" outlineLevel="0" collapsed="false">
      <c r="A9379" s="41"/>
      <c r="G9379" s="38" t="n">
        <f aca="false">MONTH(A9379)</f>
        <v>12</v>
      </c>
      <c r="H9379" s="38" t="n">
        <f aca="false">YEAR(Tabela1[[#This Row],[FECHA]])</f>
        <v>1900</v>
      </c>
      <c r="I93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80" customFormat="false" ht="15" hidden="false" customHeight="false" outlineLevel="0" collapsed="false">
      <c r="A9380" s="41"/>
      <c r="G9380" s="38" t="n">
        <f aca="false">MONTH(A9380)</f>
        <v>12</v>
      </c>
      <c r="H9380" s="38" t="n">
        <f aca="false">YEAR(Tabela1[[#This Row],[FECHA]])</f>
        <v>1900</v>
      </c>
      <c r="I93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81" customFormat="false" ht="15" hidden="false" customHeight="false" outlineLevel="0" collapsed="false">
      <c r="A9381" s="41"/>
      <c r="G9381" s="38" t="n">
        <f aca="false">MONTH(A9381)</f>
        <v>12</v>
      </c>
      <c r="H9381" s="38" t="n">
        <f aca="false">YEAR(Tabela1[[#This Row],[FECHA]])</f>
        <v>1900</v>
      </c>
      <c r="I93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82" customFormat="false" ht="15" hidden="false" customHeight="false" outlineLevel="0" collapsed="false">
      <c r="A9382" s="41"/>
      <c r="G9382" s="38" t="n">
        <f aca="false">MONTH(A9382)</f>
        <v>12</v>
      </c>
      <c r="H9382" s="38" t="n">
        <f aca="false">YEAR(Tabela1[[#This Row],[FECHA]])</f>
        <v>1900</v>
      </c>
      <c r="I93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83" customFormat="false" ht="15" hidden="false" customHeight="false" outlineLevel="0" collapsed="false">
      <c r="A9383" s="41"/>
      <c r="G9383" s="38" t="n">
        <f aca="false">MONTH(A9383)</f>
        <v>12</v>
      </c>
      <c r="H9383" s="38" t="n">
        <f aca="false">YEAR(Tabela1[[#This Row],[FECHA]])</f>
        <v>1900</v>
      </c>
      <c r="I93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84" customFormat="false" ht="15" hidden="false" customHeight="false" outlineLevel="0" collapsed="false">
      <c r="A9384" s="41"/>
      <c r="G9384" s="38" t="n">
        <f aca="false">MONTH(A9384)</f>
        <v>12</v>
      </c>
      <c r="H9384" s="38" t="n">
        <f aca="false">YEAR(Tabela1[[#This Row],[FECHA]])</f>
        <v>1900</v>
      </c>
      <c r="I93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85" customFormat="false" ht="15" hidden="false" customHeight="false" outlineLevel="0" collapsed="false">
      <c r="A9385" s="41"/>
      <c r="G9385" s="38" t="n">
        <f aca="false">MONTH(A9385)</f>
        <v>12</v>
      </c>
      <c r="H9385" s="38" t="n">
        <f aca="false">YEAR(Tabela1[[#This Row],[FECHA]])</f>
        <v>1900</v>
      </c>
      <c r="I93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86" customFormat="false" ht="15" hidden="false" customHeight="false" outlineLevel="0" collapsed="false">
      <c r="A9386" s="41"/>
      <c r="G9386" s="38" t="n">
        <f aca="false">MONTH(A9386)</f>
        <v>12</v>
      </c>
      <c r="H9386" s="38" t="n">
        <f aca="false">YEAR(Tabela1[[#This Row],[FECHA]])</f>
        <v>1900</v>
      </c>
      <c r="I93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87" customFormat="false" ht="15" hidden="false" customHeight="false" outlineLevel="0" collapsed="false">
      <c r="A9387" s="41"/>
      <c r="G9387" s="38" t="n">
        <f aca="false">MONTH(A9387)</f>
        <v>12</v>
      </c>
      <c r="H9387" s="38" t="n">
        <f aca="false">YEAR(Tabela1[[#This Row],[FECHA]])</f>
        <v>1900</v>
      </c>
      <c r="I93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88" customFormat="false" ht="15" hidden="false" customHeight="false" outlineLevel="0" collapsed="false">
      <c r="A9388" s="41"/>
      <c r="G9388" s="38" t="n">
        <f aca="false">MONTH(A9388)</f>
        <v>12</v>
      </c>
      <c r="H9388" s="38" t="n">
        <f aca="false">YEAR(Tabela1[[#This Row],[FECHA]])</f>
        <v>1900</v>
      </c>
      <c r="I93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89" customFormat="false" ht="15" hidden="false" customHeight="false" outlineLevel="0" collapsed="false">
      <c r="A9389" s="41"/>
      <c r="G9389" s="38" t="n">
        <f aca="false">MONTH(A9389)</f>
        <v>12</v>
      </c>
      <c r="H9389" s="38" t="n">
        <f aca="false">YEAR(Tabela1[[#This Row],[FECHA]])</f>
        <v>1900</v>
      </c>
      <c r="I93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90" customFormat="false" ht="15" hidden="false" customHeight="false" outlineLevel="0" collapsed="false">
      <c r="A9390" s="41"/>
      <c r="G9390" s="38" t="n">
        <f aca="false">MONTH(A9390)</f>
        <v>12</v>
      </c>
      <c r="H9390" s="38" t="n">
        <f aca="false">YEAR(Tabela1[[#This Row],[FECHA]])</f>
        <v>1900</v>
      </c>
      <c r="I93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91" customFormat="false" ht="15" hidden="false" customHeight="false" outlineLevel="0" collapsed="false">
      <c r="A9391" s="41"/>
      <c r="G9391" s="38" t="n">
        <f aca="false">MONTH(A9391)</f>
        <v>12</v>
      </c>
      <c r="H9391" s="38" t="n">
        <f aca="false">YEAR(Tabela1[[#This Row],[FECHA]])</f>
        <v>1900</v>
      </c>
      <c r="I93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92" customFormat="false" ht="15" hidden="false" customHeight="false" outlineLevel="0" collapsed="false">
      <c r="A9392" s="41"/>
      <c r="G9392" s="38" t="n">
        <f aca="false">MONTH(A9392)</f>
        <v>12</v>
      </c>
      <c r="H9392" s="38" t="n">
        <f aca="false">YEAR(Tabela1[[#This Row],[FECHA]])</f>
        <v>1900</v>
      </c>
      <c r="I93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93" customFormat="false" ht="15" hidden="false" customHeight="false" outlineLevel="0" collapsed="false">
      <c r="A9393" s="41"/>
      <c r="G9393" s="38" t="n">
        <f aca="false">MONTH(A9393)</f>
        <v>12</v>
      </c>
      <c r="H9393" s="38" t="n">
        <f aca="false">YEAR(Tabela1[[#This Row],[FECHA]])</f>
        <v>1900</v>
      </c>
      <c r="I93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94" customFormat="false" ht="15" hidden="false" customHeight="false" outlineLevel="0" collapsed="false">
      <c r="A9394" s="41"/>
      <c r="G9394" s="38" t="n">
        <f aca="false">MONTH(A9394)</f>
        <v>12</v>
      </c>
      <c r="H9394" s="38" t="n">
        <f aca="false">YEAR(Tabela1[[#This Row],[FECHA]])</f>
        <v>1900</v>
      </c>
      <c r="I93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95" customFormat="false" ht="15" hidden="false" customHeight="false" outlineLevel="0" collapsed="false">
      <c r="A9395" s="41"/>
      <c r="G9395" s="38" t="n">
        <f aca="false">MONTH(A9395)</f>
        <v>12</v>
      </c>
      <c r="H9395" s="38" t="n">
        <f aca="false">YEAR(Tabela1[[#This Row],[FECHA]])</f>
        <v>1900</v>
      </c>
      <c r="I93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96" customFormat="false" ht="15" hidden="false" customHeight="false" outlineLevel="0" collapsed="false">
      <c r="A9396" s="41"/>
      <c r="G9396" s="38" t="n">
        <f aca="false">MONTH(A9396)</f>
        <v>12</v>
      </c>
      <c r="H9396" s="38" t="n">
        <f aca="false">YEAR(Tabela1[[#This Row],[FECHA]])</f>
        <v>1900</v>
      </c>
      <c r="I93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97" customFormat="false" ht="15" hidden="false" customHeight="false" outlineLevel="0" collapsed="false">
      <c r="A9397" s="41"/>
      <c r="G9397" s="38" t="n">
        <f aca="false">MONTH(A9397)</f>
        <v>12</v>
      </c>
      <c r="H9397" s="38" t="n">
        <f aca="false">YEAR(Tabela1[[#This Row],[FECHA]])</f>
        <v>1900</v>
      </c>
      <c r="I93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98" customFormat="false" ht="15" hidden="false" customHeight="false" outlineLevel="0" collapsed="false">
      <c r="A9398" s="41"/>
      <c r="G9398" s="38" t="n">
        <f aca="false">MONTH(A9398)</f>
        <v>12</v>
      </c>
      <c r="H9398" s="38" t="n">
        <f aca="false">YEAR(Tabela1[[#This Row],[FECHA]])</f>
        <v>1900</v>
      </c>
      <c r="I93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399" customFormat="false" ht="15" hidden="false" customHeight="false" outlineLevel="0" collapsed="false">
      <c r="A9399" s="41"/>
      <c r="G9399" s="38" t="n">
        <f aca="false">MONTH(A9399)</f>
        <v>12</v>
      </c>
      <c r="H9399" s="38" t="n">
        <f aca="false">YEAR(Tabela1[[#This Row],[FECHA]])</f>
        <v>1900</v>
      </c>
      <c r="I93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00" customFormat="false" ht="15" hidden="false" customHeight="false" outlineLevel="0" collapsed="false">
      <c r="A9400" s="41"/>
      <c r="G9400" s="38" t="n">
        <f aca="false">MONTH(A9400)</f>
        <v>12</v>
      </c>
      <c r="H9400" s="38" t="n">
        <f aca="false">YEAR(Tabela1[[#This Row],[FECHA]])</f>
        <v>1900</v>
      </c>
      <c r="I94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01" customFormat="false" ht="15" hidden="false" customHeight="false" outlineLevel="0" collapsed="false">
      <c r="A9401" s="41"/>
      <c r="G9401" s="38" t="n">
        <f aca="false">MONTH(A9401)</f>
        <v>12</v>
      </c>
      <c r="H9401" s="38" t="n">
        <f aca="false">YEAR(Tabela1[[#This Row],[FECHA]])</f>
        <v>1900</v>
      </c>
      <c r="I94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02" customFormat="false" ht="15" hidden="false" customHeight="false" outlineLevel="0" collapsed="false">
      <c r="A9402" s="41"/>
      <c r="G9402" s="38" t="n">
        <f aca="false">MONTH(A9402)</f>
        <v>12</v>
      </c>
      <c r="H9402" s="38" t="n">
        <f aca="false">YEAR(Tabela1[[#This Row],[FECHA]])</f>
        <v>1900</v>
      </c>
      <c r="I94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03" customFormat="false" ht="15" hidden="false" customHeight="false" outlineLevel="0" collapsed="false">
      <c r="A9403" s="41"/>
      <c r="G9403" s="38" t="n">
        <f aca="false">MONTH(A9403)</f>
        <v>12</v>
      </c>
      <c r="H9403" s="38" t="n">
        <f aca="false">YEAR(Tabela1[[#This Row],[FECHA]])</f>
        <v>1900</v>
      </c>
      <c r="I94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04" customFormat="false" ht="15" hidden="false" customHeight="false" outlineLevel="0" collapsed="false">
      <c r="A9404" s="41"/>
      <c r="G9404" s="38" t="n">
        <f aca="false">MONTH(A9404)</f>
        <v>12</v>
      </c>
      <c r="H9404" s="38" t="n">
        <f aca="false">YEAR(Tabela1[[#This Row],[FECHA]])</f>
        <v>1900</v>
      </c>
      <c r="I94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05" customFormat="false" ht="15" hidden="false" customHeight="false" outlineLevel="0" collapsed="false">
      <c r="A9405" s="41"/>
      <c r="G9405" s="38" t="n">
        <f aca="false">MONTH(A9405)</f>
        <v>12</v>
      </c>
      <c r="H9405" s="38" t="n">
        <f aca="false">YEAR(Tabela1[[#This Row],[FECHA]])</f>
        <v>1900</v>
      </c>
      <c r="I94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06" customFormat="false" ht="15" hidden="false" customHeight="false" outlineLevel="0" collapsed="false">
      <c r="A9406" s="41"/>
      <c r="G9406" s="38" t="n">
        <f aca="false">MONTH(A9406)</f>
        <v>12</v>
      </c>
      <c r="H9406" s="38" t="n">
        <f aca="false">YEAR(Tabela1[[#This Row],[FECHA]])</f>
        <v>1900</v>
      </c>
      <c r="I94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07" customFormat="false" ht="15" hidden="false" customHeight="false" outlineLevel="0" collapsed="false">
      <c r="A9407" s="41"/>
      <c r="G9407" s="38" t="n">
        <f aca="false">MONTH(A9407)</f>
        <v>12</v>
      </c>
      <c r="H9407" s="38" t="n">
        <f aca="false">YEAR(Tabela1[[#This Row],[FECHA]])</f>
        <v>1900</v>
      </c>
      <c r="I94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08" customFormat="false" ht="15" hidden="false" customHeight="false" outlineLevel="0" collapsed="false">
      <c r="A9408" s="41"/>
      <c r="G9408" s="38" t="n">
        <f aca="false">MONTH(A9408)</f>
        <v>12</v>
      </c>
      <c r="H9408" s="38" t="n">
        <f aca="false">YEAR(Tabela1[[#This Row],[FECHA]])</f>
        <v>1900</v>
      </c>
      <c r="I94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09" customFormat="false" ht="15" hidden="false" customHeight="false" outlineLevel="0" collapsed="false">
      <c r="A9409" s="41"/>
      <c r="G9409" s="38" t="n">
        <f aca="false">MONTH(A9409)</f>
        <v>12</v>
      </c>
      <c r="H9409" s="38" t="n">
        <f aca="false">YEAR(Tabela1[[#This Row],[FECHA]])</f>
        <v>1900</v>
      </c>
      <c r="I94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10" customFormat="false" ht="15" hidden="false" customHeight="false" outlineLevel="0" collapsed="false">
      <c r="A9410" s="41"/>
      <c r="G9410" s="38" t="n">
        <f aca="false">MONTH(A9410)</f>
        <v>12</v>
      </c>
      <c r="H9410" s="38" t="n">
        <f aca="false">YEAR(Tabela1[[#This Row],[FECHA]])</f>
        <v>1900</v>
      </c>
      <c r="I94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11" customFormat="false" ht="15" hidden="false" customHeight="false" outlineLevel="0" collapsed="false">
      <c r="A9411" s="41"/>
      <c r="G9411" s="38" t="n">
        <f aca="false">MONTH(A9411)</f>
        <v>12</v>
      </c>
      <c r="H9411" s="38" t="n">
        <f aca="false">YEAR(Tabela1[[#This Row],[FECHA]])</f>
        <v>1900</v>
      </c>
      <c r="I94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12" customFormat="false" ht="15" hidden="false" customHeight="false" outlineLevel="0" collapsed="false">
      <c r="A9412" s="41"/>
      <c r="G9412" s="38" t="n">
        <f aca="false">MONTH(A9412)</f>
        <v>12</v>
      </c>
      <c r="H9412" s="38" t="n">
        <f aca="false">YEAR(Tabela1[[#This Row],[FECHA]])</f>
        <v>1900</v>
      </c>
      <c r="I94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13" customFormat="false" ht="15" hidden="false" customHeight="false" outlineLevel="0" collapsed="false">
      <c r="A9413" s="41"/>
      <c r="G9413" s="38" t="n">
        <f aca="false">MONTH(A9413)</f>
        <v>12</v>
      </c>
      <c r="H9413" s="38" t="n">
        <f aca="false">YEAR(Tabela1[[#This Row],[FECHA]])</f>
        <v>1900</v>
      </c>
      <c r="I94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14" customFormat="false" ht="15" hidden="false" customHeight="false" outlineLevel="0" collapsed="false">
      <c r="A9414" s="41"/>
      <c r="G9414" s="38" t="n">
        <f aca="false">MONTH(A9414)</f>
        <v>12</v>
      </c>
      <c r="H9414" s="38" t="n">
        <f aca="false">YEAR(Tabela1[[#This Row],[FECHA]])</f>
        <v>1900</v>
      </c>
      <c r="I94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15" customFormat="false" ht="15" hidden="false" customHeight="false" outlineLevel="0" collapsed="false">
      <c r="A9415" s="41"/>
      <c r="G9415" s="38" t="n">
        <f aca="false">MONTH(A9415)</f>
        <v>12</v>
      </c>
      <c r="H9415" s="38" t="n">
        <f aca="false">YEAR(Tabela1[[#This Row],[FECHA]])</f>
        <v>1900</v>
      </c>
      <c r="I94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16" customFormat="false" ht="15" hidden="false" customHeight="false" outlineLevel="0" collapsed="false">
      <c r="A9416" s="41"/>
      <c r="G9416" s="38" t="n">
        <f aca="false">MONTH(A9416)</f>
        <v>12</v>
      </c>
      <c r="H9416" s="38" t="n">
        <f aca="false">YEAR(Tabela1[[#This Row],[FECHA]])</f>
        <v>1900</v>
      </c>
      <c r="I94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17" customFormat="false" ht="15" hidden="false" customHeight="false" outlineLevel="0" collapsed="false">
      <c r="A9417" s="41"/>
      <c r="G9417" s="38" t="n">
        <f aca="false">MONTH(A9417)</f>
        <v>12</v>
      </c>
      <c r="H9417" s="38" t="n">
        <f aca="false">YEAR(Tabela1[[#This Row],[FECHA]])</f>
        <v>1900</v>
      </c>
      <c r="I94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18" customFormat="false" ht="15" hidden="false" customHeight="false" outlineLevel="0" collapsed="false">
      <c r="A9418" s="41"/>
      <c r="G9418" s="38" t="n">
        <f aca="false">MONTH(A9418)</f>
        <v>12</v>
      </c>
      <c r="H9418" s="38" t="n">
        <f aca="false">YEAR(Tabela1[[#This Row],[FECHA]])</f>
        <v>1900</v>
      </c>
      <c r="I94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19" customFormat="false" ht="15" hidden="false" customHeight="false" outlineLevel="0" collapsed="false">
      <c r="A9419" s="41"/>
      <c r="G9419" s="38" t="n">
        <f aca="false">MONTH(A9419)</f>
        <v>12</v>
      </c>
      <c r="H9419" s="38" t="n">
        <f aca="false">YEAR(Tabela1[[#This Row],[FECHA]])</f>
        <v>1900</v>
      </c>
      <c r="I94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20" customFormat="false" ht="15" hidden="false" customHeight="false" outlineLevel="0" collapsed="false">
      <c r="A9420" s="41"/>
      <c r="G9420" s="38" t="n">
        <f aca="false">MONTH(A9420)</f>
        <v>12</v>
      </c>
      <c r="H9420" s="38" t="n">
        <f aca="false">YEAR(Tabela1[[#This Row],[FECHA]])</f>
        <v>1900</v>
      </c>
      <c r="I94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21" customFormat="false" ht="15" hidden="false" customHeight="false" outlineLevel="0" collapsed="false">
      <c r="A9421" s="41"/>
      <c r="G9421" s="38" t="n">
        <f aca="false">MONTH(A9421)</f>
        <v>12</v>
      </c>
      <c r="H9421" s="38" t="n">
        <f aca="false">YEAR(Tabela1[[#This Row],[FECHA]])</f>
        <v>1900</v>
      </c>
      <c r="I94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22" customFormat="false" ht="15" hidden="false" customHeight="false" outlineLevel="0" collapsed="false">
      <c r="A9422" s="41"/>
      <c r="G9422" s="38" t="n">
        <f aca="false">MONTH(A9422)</f>
        <v>12</v>
      </c>
      <c r="H9422" s="38" t="n">
        <f aca="false">YEAR(Tabela1[[#This Row],[FECHA]])</f>
        <v>1900</v>
      </c>
      <c r="I94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23" customFormat="false" ht="15" hidden="false" customHeight="false" outlineLevel="0" collapsed="false">
      <c r="A9423" s="41"/>
      <c r="G9423" s="38" t="n">
        <f aca="false">MONTH(A9423)</f>
        <v>12</v>
      </c>
      <c r="H9423" s="38" t="n">
        <f aca="false">YEAR(Tabela1[[#This Row],[FECHA]])</f>
        <v>1900</v>
      </c>
      <c r="I94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24" customFormat="false" ht="15" hidden="false" customHeight="false" outlineLevel="0" collapsed="false">
      <c r="A9424" s="41"/>
      <c r="G9424" s="38" t="n">
        <f aca="false">MONTH(A9424)</f>
        <v>12</v>
      </c>
      <c r="H9424" s="38" t="n">
        <f aca="false">YEAR(Tabela1[[#This Row],[FECHA]])</f>
        <v>1900</v>
      </c>
      <c r="I94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25" customFormat="false" ht="15" hidden="false" customHeight="false" outlineLevel="0" collapsed="false">
      <c r="A9425" s="41"/>
      <c r="G9425" s="38" t="n">
        <f aca="false">MONTH(A9425)</f>
        <v>12</v>
      </c>
      <c r="H9425" s="38" t="n">
        <f aca="false">YEAR(Tabela1[[#This Row],[FECHA]])</f>
        <v>1900</v>
      </c>
      <c r="I94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26" customFormat="false" ht="15" hidden="false" customHeight="false" outlineLevel="0" collapsed="false">
      <c r="A9426" s="41"/>
      <c r="G9426" s="38" t="n">
        <f aca="false">MONTH(A9426)</f>
        <v>12</v>
      </c>
      <c r="H9426" s="38" t="n">
        <f aca="false">YEAR(Tabela1[[#This Row],[FECHA]])</f>
        <v>1900</v>
      </c>
      <c r="I94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27" customFormat="false" ht="15" hidden="false" customHeight="false" outlineLevel="0" collapsed="false">
      <c r="A9427" s="41"/>
      <c r="G9427" s="38" t="n">
        <f aca="false">MONTH(A9427)</f>
        <v>12</v>
      </c>
      <c r="H9427" s="38" t="n">
        <f aca="false">YEAR(Tabela1[[#This Row],[FECHA]])</f>
        <v>1900</v>
      </c>
      <c r="I94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28" customFormat="false" ht="15" hidden="false" customHeight="false" outlineLevel="0" collapsed="false">
      <c r="A9428" s="41"/>
      <c r="G9428" s="38" t="n">
        <f aca="false">MONTH(A9428)</f>
        <v>12</v>
      </c>
      <c r="H9428" s="38" t="n">
        <f aca="false">YEAR(Tabela1[[#This Row],[FECHA]])</f>
        <v>1900</v>
      </c>
      <c r="I94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29" customFormat="false" ht="15" hidden="false" customHeight="false" outlineLevel="0" collapsed="false">
      <c r="A9429" s="41"/>
      <c r="G9429" s="38" t="n">
        <f aca="false">MONTH(A9429)</f>
        <v>12</v>
      </c>
      <c r="H9429" s="38" t="n">
        <f aca="false">YEAR(Tabela1[[#This Row],[FECHA]])</f>
        <v>1900</v>
      </c>
      <c r="I94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30" customFormat="false" ht="15" hidden="false" customHeight="false" outlineLevel="0" collapsed="false">
      <c r="A9430" s="41"/>
      <c r="G9430" s="38" t="n">
        <f aca="false">MONTH(A9430)</f>
        <v>12</v>
      </c>
      <c r="H9430" s="38" t="n">
        <f aca="false">YEAR(Tabela1[[#This Row],[FECHA]])</f>
        <v>1900</v>
      </c>
      <c r="I94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31" customFormat="false" ht="15" hidden="false" customHeight="false" outlineLevel="0" collapsed="false">
      <c r="A9431" s="41"/>
      <c r="G9431" s="38" t="n">
        <f aca="false">MONTH(A9431)</f>
        <v>12</v>
      </c>
      <c r="H9431" s="38" t="n">
        <f aca="false">YEAR(Tabela1[[#This Row],[FECHA]])</f>
        <v>1900</v>
      </c>
      <c r="I94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32" customFormat="false" ht="15" hidden="false" customHeight="false" outlineLevel="0" collapsed="false">
      <c r="A9432" s="41"/>
      <c r="G9432" s="38" t="n">
        <f aca="false">MONTH(A9432)</f>
        <v>12</v>
      </c>
      <c r="H9432" s="38" t="n">
        <f aca="false">YEAR(Tabela1[[#This Row],[FECHA]])</f>
        <v>1900</v>
      </c>
      <c r="I94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33" customFormat="false" ht="15" hidden="false" customHeight="false" outlineLevel="0" collapsed="false">
      <c r="A9433" s="41"/>
      <c r="G9433" s="38" t="n">
        <f aca="false">MONTH(A9433)</f>
        <v>12</v>
      </c>
      <c r="H9433" s="38" t="n">
        <f aca="false">YEAR(Tabela1[[#This Row],[FECHA]])</f>
        <v>1900</v>
      </c>
      <c r="I94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34" customFormat="false" ht="15" hidden="false" customHeight="false" outlineLevel="0" collapsed="false">
      <c r="A9434" s="41"/>
      <c r="G9434" s="38" t="n">
        <f aca="false">MONTH(A9434)</f>
        <v>12</v>
      </c>
      <c r="H9434" s="38" t="n">
        <f aca="false">YEAR(Tabela1[[#This Row],[FECHA]])</f>
        <v>1900</v>
      </c>
      <c r="I94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35" customFormat="false" ht="15" hidden="false" customHeight="false" outlineLevel="0" collapsed="false">
      <c r="A9435" s="41"/>
      <c r="G9435" s="38" t="n">
        <f aca="false">MONTH(A9435)</f>
        <v>12</v>
      </c>
      <c r="H9435" s="38" t="n">
        <f aca="false">YEAR(Tabela1[[#This Row],[FECHA]])</f>
        <v>1900</v>
      </c>
      <c r="I94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36" customFormat="false" ht="15" hidden="false" customHeight="false" outlineLevel="0" collapsed="false">
      <c r="A9436" s="41"/>
      <c r="G9436" s="38" t="n">
        <f aca="false">MONTH(A9436)</f>
        <v>12</v>
      </c>
      <c r="H9436" s="38" t="n">
        <f aca="false">YEAR(Tabela1[[#This Row],[FECHA]])</f>
        <v>1900</v>
      </c>
      <c r="I94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37" customFormat="false" ht="15" hidden="false" customHeight="false" outlineLevel="0" collapsed="false">
      <c r="A9437" s="41"/>
      <c r="G9437" s="38" t="n">
        <f aca="false">MONTH(A9437)</f>
        <v>12</v>
      </c>
      <c r="H9437" s="38" t="n">
        <f aca="false">YEAR(Tabela1[[#This Row],[FECHA]])</f>
        <v>1900</v>
      </c>
      <c r="I94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38" customFormat="false" ht="15" hidden="false" customHeight="false" outlineLevel="0" collapsed="false">
      <c r="A9438" s="41"/>
      <c r="G9438" s="38" t="n">
        <f aca="false">MONTH(A9438)</f>
        <v>12</v>
      </c>
      <c r="H9438" s="38" t="n">
        <f aca="false">YEAR(Tabela1[[#This Row],[FECHA]])</f>
        <v>1900</v>
      </c>
      <c r="I94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39" customFormat="false" ht="15" hidden="false" customHeight="false" outlineLevel="0" collapsed="false">
      <c r="A9439" s="41"/>
      <c r="G9439" s="38" t="n">
        <f aca="false">MONTH(A9439)</f>
        <v>12</v>
      </c>
      <c r="H9439" s="38" t="n">
        <f aca="false">YEAR(Tabela1[[#This Row],[FECHA]])</f>
        <v>1900</v>
      </c>
      <c r="I94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40" customFormat="false" ht="15" hidden="false" customHeight="false" outlineLevel="0" collapsed="false">
      <c r="A9440" s="41"/>
      <c r="G9440" s="38" t="n">
        <f aca="false">MONTH(A9440)</f>
        <v>12</v>
      </c>
      <c r="H9440" s="38" t="n">
        <f aca="false">YEAR(Tabela1[[#This Row],[FECHA]])</f>
        <v>1900</v>
      </c>
      <c r="I94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41" customFormat="false" ht="15" hidden="false" customHeight="false" outlineLevel="0" collapsed="false">
      <c r="A9441" s="41"/>
      <c r="G9441" s="38" t="n">
        <f aca="false">MONTH(A9441)</f>
        <v>12</v>
      </c>
      <c r="H9441" s="38" t="n">
        <f aca="false">YEAR(Tabela1[[#This Row],[FECHA]])</f>
        <v>1900</v>
      </c>
      <c r="I94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42" customFormat="false" ht="15" hidden="false" customHeight="false" outlineLevel="0" collapsed="false">
      <c r="A9442" s="41"/>
      <c r="G9442" s="38" t="n">
        <f aca="false">MONTH(A9442)</f>
        <v>12</v>
      </c>
      <c r="H9442" s="38" t="n">
        <f aca="false">YEAR(Tabela1[[#This Row],[FECHA]])</f>
        <v>1900</v>
      </c>
      <c r="I94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43" customFormat="false" ht="15" hidden="false" customHeight="false" outlineLevel="0" collapsed="false">
      <c r="A9443" s="41"/>
      <c r="G9443" s="38" t="n">
        <f aca="false">MONTH(A9443)</f>
        <v>12</v>
      </c>
      <c r="H9443" s="38" t="n">
        <f aca="false">YEAR(Tabela1[[#This Row],[FECHA]])</f>
        <v>1900</v>
      </c>
      <c r="I94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44" customFormat="false" ht="15" hidden="false" customHeight="false" outlineLevel="0" collapsed="false">
      <c r="A9444" s="41"/>
      <c r="G9444" s="38" t="n">
        <f aca="false">MONTH(A9444)</f>
        <v>12</v>
      </c>
      <c r="H9444" s="38" t="n">
        <f aca="false">YEAR(Tabela1[[#This Row],[FECHA]])</f>
        <v>1900</v>
      </c>
      <c r="I94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45" customFormat="false" ht="15" hidden="false" customHeight="false" outlineLevel="0" collapsed="false">
      <c r="A9445" s="41"/>
      <c r="G9445" s="38" t="n">
        <f aca="false">MONTH(A9445)</f>
        <v>12</v>
      </c>
      <c r="H9445" s="38" t="n">
        <f aca="false">YEAR(Tabela1[[#This Row],[FECHA]])</f>
        <v>1900</v>
      </c>
      <c r="I94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46" customFormat="false" ht="15" hidden="false" customHeight="false" outlineLevel="0" collapsed="false">
      <c r="A9446" s="41"/>
      <c r="G9446" s="38" t="n">
        <f aca="false">MONTH(A9446)</f>
        <v>12</v>
      </c>
      <c r="H9446" s="38" t="n">
        <f aca="false">YEAR(Tabela1[[#This Row],[FECHA]])</f>
        <v>1900</v>
      </c>
      <c r="I94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47" customFormat="false" ht="15" hidden="false" customHeight="false" outlineLevel="0" collapsed="false">
      <c r="A9447" s="41"/>
      <c r="G9447" s="38" t="n">
        <f aca="false">MONTH(A9447)</f>
        <v>12</v>
      </c>
      <c r="H9447" s="38" t="n">
        <f aca="false">YEAR(Tabela1[[#This Row],[FECHA]])</f>
        <v>1900</v>
      </c>
      <c r="I94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48" customFormat="false" ht="15" hidden="false" customHeight="false" outlineLevel="0" collapsed="false">
      <c r="A9448" s="41"/>
      <c r="G9448" s="38" t="n">
        <f aca="false">MONTH(A9448)</f>
        <v>12</v>
      </c>
      <c r="H9448" s="38" t="n">
        <f aca="false">YEAR(Tabela1[[#This Row],[FECHA]])</f>
        <v>1900</v>
      </c>
      <c r="I94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49" customFormat="false" ht="15" hidden="false" customHeight="false" outlineLevel="0" collapsed="false">
      <c r="A9449" s="41"/>
      <c r="G9449" s="38" t="n">
        <f aca="false">MONTH(A9449)</f>
        <v>12</v>
      </c>
      <c r="H9449" s="38" t="n">
        <f aca="false">YEAR(Tabela1[[#This Row],[FECHA]])</f>
        <v>1900</v>
      </c>
      <c r="I94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50" customFormat="false" ht="15" hidden="false" customHeight="false" outlineLevel="0" collapsed="false">
      <c r="A9450" s="41"/>
      <c r="G9450" s="38" t="n">
        <f aca="false">MONTH(A9450)</f>
        <v>12</v>
      </c>
      <c r="H9450" s="38" t="n">
        <f aca="false">YEAR(Tabela1[[#This Row],[FECHA]])</f>
        <v>1900</v>
      </c>
      <c r="I94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51" customFormat="false" ht="15" hidden="false" customHeight="false" outlineLevel="0" collapsed="false">
      <c r="A9451" s="41"/>
      <c r="G9451" s="38" t="n">
        <f aca="false">MONTH(A9451)</f>
        <v>12</v>
      </c>
      <c r="H9451" s="38" t="n">
        <f aca="false">YEAR(Tabela1[[#This Row],[FECHA]])</f>
        <v>1900</v>
      </c>
      <c r="I94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52" customFormat="false" ht="15" hidden="false" customHeight="false" outlineLevel="0" collapsed="false">
      <c r="A9452" s="41"/>
      <c r="G9452" s="38" t="n">
        <f aca="false">MONTH(A9452)</f>
        <v>12</v>
      </c>
      <c r="H9452" s="38" t="n">
        <f aca="false">YEAR(Tabela1[[#This Row],[FECHA]])</f>
        <v>1900</v>
      </c>
      <c r="I94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53" customFormat="false" ht="15" hidden="false" customHeight="false" outlineLevel="0" collapsed="false">
      <c r="A9453" s="41"/>
      <c r="G9453" s="38" t="n">
        <f aca="false">MONTH(A9453)</f>
        <v>12</v>
      </c>
      <c r="H9453" s="38" t="n">
        <f aca="false">YEAR(Tabela1[[#This Row],[FECHA]])</f>
        <v>1900</v>
      </c>
      <c r="I94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54" customFormat="false" ht="15" hidden="false" customHeight="false" outlineLevel="0" collapsed="false">
      <c r="A9454" s="41"/>
      <c r="G9454" s="38" t="n">
        <f aca="false">MONTH(A9454)</f>
        <v>12</v>
      </c>
      <c r="H9454" s="38" t="n">
        <f aca="false">YEAR(Tabela1[[#This Row],[FECHA]])</f>
        <v>1900</v>
      </c>
      <c r="I94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55" customFormat="false" ht="15" hidden="false" customHeight="false" outlineLevel="0" collapsed="false">
      <c r="A9455" s="41"/>
      <c r="G9455" s="38" t="n">
        <f aca="false">MONTH(A9455)</f>
        <v>12</v>
      </c>
      <c r="H9455" s="38" t="n">
        <f aca="false">YEAR(Tabela1[[#This Row],[FECHA]])</f>
        <v>1900</v>
      </c>
      <c r="I94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56" customFormat="false" ht="15" hidden="false" customHeight="false" outlineLevel="0" collapsed="false">
      <c r="A9456" s="41"/>
      <c r="G9456" s="38" t="n">
        <f aca="false">MONTH(A9456)</f>
        <v>12</v>
      </c>
      <c r="H9456" s="38" t="n">
        <f aca="false">YEAR(Tabela1[[#This Row],[FECHA]])</f>
        <v>1900</v>
      </c>
      <c r="I94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57" customFormat="false" ht="15" hidden="false" customHeight="false" outlineLevel="0" collapsed="false">
      <c r="A9457" s="41"/>
      <c r="G9457" s="38" t="n">
        <f aca="false">MONTH(A9457)</f>
        <v>12</v>
      </c>
      <c r="H9457" s="38" t="n">
        <f aca="false">YEAR(Tabela1[[#This Row],[FECHA]])</f>
        <v>1900</v>
      </c>
      <c r="I94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58" customFormat="false" ht="15" hidden="false" customHeight="false" outlineLevel="0" collapsed="false">
      <c r="A9458" s="41"/>
      <c r="G9458" s="38" t="n">
        <f aca="false">MONTH(A9458)</f>
        <v>12</v>
      </c>
      <c r="H9458" s="38" t="n">
        <f aca="false">YEAR(Tabela1[[#This Row],[FECHA]])</f>
        <v>1900</v>
      </c>
      <c r="I94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59" customFormat="false" ht="15" hidden="false" customHeight="false" outlineLevel="0" collapsed="false">
      <c r="A9459" s="41"/>
      <c r="G9459" s="38" t="n">
        <f aca="false">MONTH(A9459)</f>
        <v>12</v>
      </c>
      <c r="H9459" s="38" t="n">
        <f aca="false">YEAR(Tabela1[[#This Row],[FECHA]])</f>
        <v>1900</v>
      </c>
      <c r="I94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60" customFormat="false" ht="15" hidden="false" customHeight="false" outlineLevel="0" collapsed="false">
      <c r="A9460" s="41"/>
      <c r="G9460" s="38" t="n">
        <f aca="false">MONTH(A9460)</f>
        <v>12</v>
      </c>
      <c r="H9460" s="38" t="n">
        <f aca="false">YEAR(Tabela1[[#This Row],[FECHA]])</f>
        <v>1900</v>
      </c>
      <c r="I94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61" customFormat="false" ht="15" hidden="false" customHeight="false" outlineLevel="0" collapsed="false">
      <c r="A9461" s="41"/>
      <c r="G9461" s="38" t="n">
        <f aca="false">MONTH(A9461)</f>
        <v>12</v>
      </c>
      <c r="H9461" s="38" t="n">
        <f aca="false">YEAR(Tabela1[[#This Row],[FECHA]])</f>
        <v>1900</v>
      </c>
      <c r="I94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62" customFormat="false" ht="15" hidden="false" customHeight="false" outlineLevel="0" collapsed="false">
      <c r="A9462" s="41"/>
      <c r="G9462" s="38" t="n">
        <f aca="false">MONTH(A9462)</f>
        <v>12</v>
      </c>
      <c r="H9462" s="38" t="n">
        <f aca="false">YEAR(Tabela1[[#This Row],[FECHA]])</f>
        <v>1900</v>
      </c>
      <c r="I94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63" customFormat="false" ht="15" hidden="false" customHeight="false" outlineLevel="0" collapsed="false">
      <c r="A9463" s="41"/>
      <c r="G9463" s="38" t="n">
        <f aca="false">MONTH(A9463)</f>
        <v>12</v>
      </c>
      <c r="H9463" s="38" t="n">
        <f aca="false">YEAR(Tabela1[[#This Row],[FECHA]])</f>
        <v>1900</v>
      </c>
      <c r="I94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64" customFormat="false" ht="15" hidden="false" customHeight="false" outlineLevel="0" collapsed="false">
      <c r="A9464" s="41"/>
      <c r="G9464" s="38" t="n">
        <f aca="false">MONTH(A9464)</f>
        <v>12</v>
      </c>
      <c r="H9464" s="38" t="n">
        <f aca="false">YEAR(Tabela1[[#This Row],[FECHA]])</f>
        <v>1900</v>
      </c>
      <c r="I94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65" customFormat="false" ht="15" hidden="false" customHeight="false" outlineLevel="0" collapsed="false">
      <c r="A9465" s="41"/>
      <c r="G9465" s="38" t="n">
        <f aca="false">MONTH(A9465)</f>
        <v>12</v>
      </c>
      <c r="H9465" s="38" t="n">
        <f aca="false">YEAR(Tabela1[[#This Row],[FECHA]])</f>
        <v>1900</v>
      </c>
      <c r="I94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66" customFormat="false" ht="15" hidden="false" customHeight="false" outlineLevel="0" collapsed="false">
      <c r="A9466" s="41"/>
      <c r="G9466" s="38" t="n">
        <f aca="false">MONTH(A9466)</f>
        <v>12</v>
      </c>
      <c r="H9466" s="38" t="n">
        <f aca="false">YEAR(Tabela1[[#This Row],[FECHA]])</f>
        <v>1900</v>
      </c>
      <c r="I94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67" customFormat="false" ht="15" hidden="false" customHeight="false" outlineLevel="0" collapsed="false">
      <c r="A9467" s="41"/>
      <c r="G9467" s="38" t="n">
        <f aca="false">MONTH(A9467)</f>
        <v>12</v>
      </c>
      <c r="H9467" s="38" t="n">
        <f aca="false">YEAR(Tabela1[[#This Row],[FECHA]])</f>
        <v>1900</v>
      </c>
      <c r="I94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68" customFormat="false" ht="15" hidden="false" customHeight="false" outlineLevel="0" collapsed="false">
      <c r="A9468" s="41"/>
      <c r="G9468" s="38" t="n">
        <f aca="false">MONTH(A9468)</f>
        <v>12</v>
      </c>
      <c r="H9468" s="38" t="n">
        <f aca="false">YEAR(Tabela1[[#This Row],[FECHA]])</f>
        <v>1900</v>
      </c>
      <c r="I94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69" customFormat="false" ht="15" hidden="false" customHeight="false" outlineLevel="0" collapsed="false">
      <c r="A9469" s="41"/>
      <c r="G9469" s="38" t="n">
        <f aca="false">MONTH(A9469)</f>
        <v>12</v>
      </c>
      <c r="H9469" s="38" t="n">
        <f aca="false">YEAR(Tabela1[[#This Row],[FECHA]])</f>
        <v>1900</v>
      </c>
      <c r="I94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70" customFormat="false" ht="15" hidden="false" customHeight="false" outlineLevel="0" collapsed="false">
      <c r="A9470" s="41"/>
      <c r="G9470" s="38" t="n">
        <f aca="false">MONTH(A9470)</f>
        <v>12</v>
      </c>
      <c r="H9470" s="38" t="n">
        <f aca="false">YEAR(Tabela1[[#This Row],[FECHA]])</f>
        <v>1900</v>
      </c>
      <c r="I94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71" customFormat="false" ht="15" hidden="false" customHeight="false" outlineLevel="0" collapsed="false">
      <c r="A9471" s="41"/>
      <c r="G9471" s="38" t="n">
        <f aca="false">MONTH(A9471)</f>
        <v>12</v>
      </c>
      <c r="H9471" s="38" t="n">
        <f aca="false">YEAR(Tabela1[[#This Row],[FECHA]])</f>
        <v>1900</v>
      </c>
      <c r="I94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72" customFormat="false" ht="15" hidden="false" customHeight="false" outlineLevel="0" collapsed="false">
      <c r="A9472" s="41"/>
      <c r="G9472" s="38" t="n">
        <f aca="false">MONTH(A9472)</f>
        <v>12</v>
      </c>
      <c r="H9472" s="38" t="n">
        <f aca="false">YEAR(Tabela1[[#This Row],[FECHA]])</f>
        <v>1900</v>
      </c>
      <c r="I94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73" customFormat="false" ht="15" hidden="false" customHeight="false" outlineLevel="0" collapsed="false">
      <c r="A9473" s="41"/>
      <c r="G9473" s="38" t="n">
        <f aca="false">MONTH(A9473)</f>
        <v>12</v>
      </c>
      <c r="H9473" s="38" t="n">
        <f aca="false">YEAR(Tabela1[[#This Row],[FECHA]])</f>
        <v>1900</v>
      </c>
      <c r="I94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74" customFormat="false" ht="15" hidden="false" customHeight="false" outlineLevel="0" collapsed="false">
      <c r="A9474" s="41"/>
      <c r="G9474" s="38" t="n">
        <f aca="false">MONTH(A9474)</f>
        <v>12</v>
      </c>
      <c r="H9474" s="38" t="n">
        <f aca="false">YEAR(Tabela1[[#This Row],[FECHA]])</f>
        <v>1900</v>
      </c>
      <c r="I94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75" customFormat="false" ht="15" hidden="false" customHeight="false" outlineLevel="0" collapsed="false">
      <c r="A9475" s="41"/>
      <c r="G9475" s="38" t="n">
        <f aca="false">MONTH(A9475)</f>
        <v>12</v>
      </c>
      <c r="H9475" s="38" t="n">
        <f aca="false">YEAR(Tabela1[[#This Row],[FECHA]])</f>
        <v>1900</v>
      </c>
      <c r="I94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76" customFormat="false" ht="15" hidden="false" customHeight="false" outlineLevel="0" collapsed="false">
      <c r="A9476" s="41"/>
      <c r="G9476" s="38" t="n">
        <f aca="false">MONTH(A9476)</f>
        <v>12</v>
      </c>
      <c r="H9476" s="38" t="n">
        <f aca="false">YEAR(Tabela1[[#This Row],[FECHA]])</f>
        <v>1900</v>
      </c>
      <c r="I94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77" customFormat="false" ht="15" hidden="false" customHeight="false" outlineLevel="0" collapsed="false">
      <c r="A9477" s="41"/>
      <c r="G9477" s="38" t="n">
        <f aca="false">MONTH(A9477)</f>
        <v>12</v>
      </c>
      <c r="H9477" s="38" t="n">
        <f aca="false">YEAR(Tabela1[[#This Row],[FECHA]])</f>
        <v>1900</v>
      </c>
      <c r="I94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78" customFormat="false" ht="15" hidden="false" customHeight="false" outlineLevel="0" collapsed="false">
      <c r="A9478" s="41"/>
      <c r="G9478" s="38" t="n">
        <f aca="false">MONTH(A9478)</f>
        <v>12</v>
      </c>
      <c r="H9478" s="38" t="n">
        <f aca="false">YEAR(Tabela1[[#This Row],[FECHA]])</f>
        <v>1900</v>
      </c>
      <c r="I94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79" customFormat="false" ht="15" hidden="false" customHeight="false" outlineLevel="0" collapsed="false">
      <c r="A9479" s="41"/>
      <c r="G9479" s="38" t="n">
        <f aca="false">MONTH(A9479)</f>
        <v>12</v>
      </c>
      <c r="H9479" s="38" t="n">
        <f aca="false">YEAR(Tabela1[[#This Row],[FECHA]])</f>
        <v>1900</v>
      </c>
      <c r="I94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80" customFormat="false" ht="15" hidden="false" customHeight="false" outlineLevel="0" collapsed="false">
      <c r="A9480" s="41"/>
      <c r="G9480" s="38" t="n">
        <f aca="false">MONTH(A9480)</f>
        <v>12</v>
      </c>
      <c r="H9480" s="38" t="n">
        <f aca="false">YEAR(Tabela1[[#This Row],[FECHA]])</f>
        <v>1900</v>
      </c>
      <c r="I94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81" customFormat="false" ht="15" hidden="false" customHeight="false" outlineLevel="0" collapsed="false">
      <c r="A9481" s="41"/>
      <c r="G9481" s="38" t="n">
        <f aca="false">MONTH(A9481)</f>
        <v>12</v>
      </c>
      <c r="H9481" s="38" t="n">
        <f aca="false">YEAR(Tabela1[[#This Row],[FECHA]])</f>
        <v>1900</v>
      </c>
      <c r="I94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82" customFormat="false" ht="15" hidden="false" customHeight="false" outlineLevel="0" collapsed="false">
      <c r="A9482" s="41"/>
      <c r="G9482" s="38" t="n">
        <f aca="false">MONTH(A9482)</f>
        <v>12</v>
      </c>
      <c r="H9482" s="38" t="n">
        <f aca="false">YEAR(Tabela1[[#This Row],[FECHA]])</f>
        <v>1900</v>
      </c>
      <c r="I94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83" customFormat="false" ht="15" hidden="false" customHeight="false" outlineLevel="0" collapsed="false">
      <c r="A9483" s="41"/>
      <c r="G9483" s="38" t="n">
        <f aca="false">MONTH(A9483)</f>
        <v>12</v>
      </c>
      <c r="H9483" s="38" t="n">
        <f aca="false">YEAR(Tabela1[[#This Row],[FECHA]])</f>
        <v>1900</v>
      </c>
      <c r="I94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84" customFormat="false" ht="15" hidden="false" customHeight="false" outlineLevel="0" collapsed="false">
      <c r="A9484" s="41"/>
      <c r="G9484" s="38" t="n">
        <f aca="false">MONTH(A9484)</f>
        <v>12</v>
      </c>
      <c r="H9484" s="38" t="n">
        <f aca="false">YEAR(Tabela1[[#This Row],[FECHA]])</f>
        <v>1900</v>
      </c>
      <c r="I94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85" customFormat="false" ht="15" hidden="false" customHeight="false" outlineLevel="0" collapsed="false">
      <c r="A9485" s="41"/>
      <c r="G9485" s="38" t="n">
        <f aca="false">MONTH(A9485)</f>
        <v>12</v>
      </c>
      <c r="H9485" s="38" t="n">
        <f aca="false">YEAR(Tabela1[[#This Row],[FECHA]])</f>
        <v>1900</v>
      </c>
      <c r="I94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86" customFormat="false" ht="15" hidden="false" customHeight="false" outlineLevel="0" collapsed="false">
      <c r="A9486" s="41"/>
      <c r="G9486" s="38" t="n">
        <f aca="false">MONTH(A9486)</f>
        <v>12</v>
      </c>
      <c r="H9486" s="38" t="n">
        <f aca="false">YEAR(Tabela1[[#This Row],[FECHA]])</f>
        <v>1900</v>
      </c>
      <c r="I94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87" customFormat="false" ht="15" hidden="false" customHeight="false" outlineLevel="0" collapsed="false">
      <c r="A9487" s="41"/>
      <c r="G9487" s="38" t="n">
        <f aca="false">MONTH(A9487)</f>
        <v>12</v>
      </c>
      <c r="H9487" s="38" t="n">
        <f aca="false">YEAR(Tabela1[[#This Row],[FECHA]])</f>
        <v>1900</v>
      </c>
      <c r="I94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88" customFormat="false" ht="15" hidden="false" customHeight="false" outlineLevel="0" collapsed="false">
      <c r="A9488" s="41"/>
      <c r="G9488" s="38" t="n">
        <f aca="false">MONTH(A9488)</f>
        <v>12</v>
      </c>
      <c r="H9488" s="38" t="n">
        <f aca="false">YEAR(Tabela1[[#This Row],[FECHA]])</f>
        <v>1900</v>
      </c>
      <c r="I94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89" customFormat="false" ht="15" hidden="false" customHeight="false" outlineLevel="0" collapsed="false">
      <c r="A9489" s="41"/>
      <c r="G9489" s="38" t="n">
        <f aca="false">MONTH(A9489)</f>
        <v>12</v>
      </c>
      <c r="H9489" s="38" t="n">
        <f aca="false">YEAR(Tabela1[[#This Row],[FECHA]])</f>
        <v>1900</v>
      </c>
      <c r="I94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90" customFormat="false" ht="15" hidden="false" customHeight="false" outlineLevel="0" collapsed="false">
      <c r="A9490" s="41"/>
      <c r="G9490" s="38" t="n">
        <f aca="false">MONTH(A9490)</f>
        <v>12</v>
      </c>
      <c r="H9490" s="38" t="n">
        <f aca="false">YEAR(Tabela1[[#This Row],[FECHA]])</f>
        <v>1900</v>
      </c>
      <c r="I94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91" customFormat="false" ht="15" hidden="false" customHeight="false" outlineLevel="0" collapsed="false">
      <c r="A9491" s="41"/>
      <c r="G9491" s="38" t="n">
        <f aca="false">MONTH(A9491)</f>
        <v>12</v>
      </c>
      <c r="H9491" s="38" t="n">
        <f aca="false">YEAR(Tabela1[[#This Row],[FECHA]])</f>
        <v>1900</v>
      </c>
      <c r="I94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92" customFormat="false" ht="15" hidden="false" customHeight="false" outlineLevel="0" collapsed="false">
      <c r="A9492" s="41"/>
      <c r="G9492" s="38" t="n">
        <f aca="false">MONTH(A9492)</f>
        <v>12</v>
      </c>
      <c r="H9492" s="38" t="n">
        <f aca="false">YEAR(Tabela1[[#This Row],[FECHA]])</f>
        <v>1900</v>
      </c>
      <c r="I94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93" customFormat="false" ht="15" hidden="false" customHeight="false" outlineLevel="0" collapsed="false">
      <c r="A9493" s="41"/>
      <c r="G9493" s="38" t="n">
        <f aca="false">MONTH(A9493)</f>
        <v>12</v>
      </c>
      <c r="H9493" s="38" t="n">
        <f aca="false">YEAR(Tabela1[[#This Row],[FECHA]])</f>
        <v>1900</v>
      </c>
      <c r="I94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94" customFormat="false" ht="15" hidden="false" customHeight="false" outlineLevel="0" collapsed="false">
      <c r="A9494" s="41"/>
      <c r="G9494" s="38" t="n">
        <f aca="false">MONTH(A9494)</f>
        <v>12</v>
      </c>
      <c r="H9494" s="38" t="n">
        <f aca="false">YEAR(Tabela1[[#This Row],[FECHA]])</f>
        <v>1900</v>
      </c>
      <c r="I94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95" customFormat="false" ht="15" hidden="false" customHeight="false" outlineLevel="0" collapsed="false">
      <c r="A9495" s="41"/>
      <c r="G9495" s="38" t="n">
        <f aca="false">MONTH(A9495)</f>
        <v>12</v>
      </c>
      <c r="H9495" s="38" t="n">
        <f aca="false">YEAR(Tabela1[[#This Row],[FECHA]])</f>
        <v>1900</v>
      </c>
      <c r="I94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96" customFormat="false" ht="15" hidden="false" customHeight="false" outlineLevel="0" collapsed="false">
      <c r="A9496" s="41"/>
      <c r="G9496" s="38" t="n">
        <f aca="false">MONTH(A9496)</f>
        <v>12</v>
      </c>
      <c r="H9496" s="38" t="n">
        <f aca="false">YEAR(Tabela1[[#This Row],[FECHA]])</f>
        <v>1900</v>
      </c>
      <c r="I94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97" customFormat="false" ht="15" hidden="false" customHeight="false" outlineLevel="0" collapsed="false">
      <c r="A9497" s="41"/>
      <c r="G9497" s="38" t="n">
        <f aca="false">MONTH(A9497)</f>
        <v>12</v>
      </c>
      <c r="H9497" s="38" t="n">
        <f aca="false">YEAR(Tabela1[[#This Row],[FECHA]])</f>
        <v>1900</v>
      </c>
      <c r="I94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98" customFormat="false" ht="15" hidden="false" customHeight="false" outlineLevel="0" collapsed="false">
      <c r="A9498" s="41"/>
      <c r="G9498" s="38" t="n">
        <f aca="false">MONTH(A9498)</f>
        <v>12</v>
      </c>
      <c r="H9498" s="38" t="n">
        <f aca="false">YEAR(Tabela1[[#This Row],[FECHA]])</f>
        <v>1900</v>
      </c>
      <c r="I94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499" customFormat="false" ht="15" hidden="false" customHeight="false" outlineLevel="0" collapsed="false">
      <c r="A9499" s="41"/>
      <c r="G9499" s="38" t="n">
        <f aca="false">MONTH(A9499)</f>
        <v>12</v>
      </c>
      <c r="H9499" s="38" t="n">
        <f aca="false">YEAR(Tabela1[[#This Row],[FECHA]])</f>
        <v>1900</v>
      </c>
      <c r="I94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00" customFormat="false" ht="15" hidden="false" customHeight="false" outlineLevel="0" collapsed="false">
      <c r="A9500" s="41"/>
      <c r="G9500" s="38" t="n">
        <f aca="false">MONTH(A9500)</f>
        <v>12</v>
      </c>
      <c r="H9500" s="38" t="n">
        <f aca="false">YEAR(Tabela1[[#This Row],[FECHA]])</f>
        <v>1900</v>
      </c>
      <c r="I95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01" customFormat="false" ht="15" hidden="false" customHeight="false" outlineLevel="0" collapsed="false">
      <c r="A9501" s="41"/>
      <c r="G9501" s="38" t="n">
        <f aca="false">MONTH(A9501)</f>
        <v>12</v>
      </c>
      <c r="H9501" s="38" t="n">
        <f aca="false">YEAR(Tabela1[[#This Row],[FECHA]])</f>
        <v>1900</v>
      </c>
      <c r="I95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02" customFormat="false" ht="15" hidden="false" customHeight="false" outlineLevel="0" collapsed="false">
      <c r="A9502" s="41"/>
      <c r="G9502" s="38" t="n">
        <f aca="false">MONTH(A9502)</f>
        <v>12</v>
      </c>
      <c r="H9502" s="38" t="n">
        <f aca="false">YEAR(Tabela1[[#This Row],[FECHA]])</f>
        <v>1900</v>
      </c>
      <c r="I95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03" customFormat="false" ht="15" hidden="false" customHeight="false" outlineLevel="0" collapsed="false">
      <c r="A9503" s="41"/>
      <c r="G9503" s="38" t="n">
        <f aca="false">MONTH(A9503)</f>
        <v>12</v>
      </c>
      <c r="H9503" s="38" t="n">
        <f aca="false">YEAR(Tabela1[[#This Row],[FECHA]])</f>
        <v>1900</v>
      </c>
      <c r="I95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04" customFormat="false" ht="15" hidden="false" customHeight="false" outlineLevel="0" collapsed="false">
      <c r="A9504" s="41"/>
      <c r="G9504" s="38" t="n">
        <f aca="false">MONTH(A9504)</f>
        <v>12</v>
      </c>
      <c r="H9504" s="38" t="n">
        <f aca="false">YEAR(Tabela1[[#This Row],[FECHA]])</f>
        <v>1900</v>
      </c>
      <c r="I95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05" customFormat="false" ht="15" hidden="false" customHeight="false" outlineLevel="0" collapsed="false">
      <c r="A9505" s="41"/>
      <c r="G9505" s="38" t="n">
        <f aca="false">MONTH(A9505)</f>
        <v>12</v>
      </c>
      <c r="H9505" s="38" t="n">
        <f aca="false">YEAR(Tabela1[[#This Row],[FECHA]])</f>
        <v>1900</v>
      </c>
      <c r="I95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06" customFormat="false" ht="15" hidden="false" customHeight="false" outlineLevel="0" collapsed="false">
      <c r="A9506" s="41"/>
      <c r="G9506" s="38" t="n">
        <f aca="false">MONTH(A9506)</f>
        <v>12</v>
      </c>
      <c r="H9506" s="38" t="n">
        <f aca="false">YEAR(Tabela1[[#This Row],[FECHA]])</f>
        <v>1900</v>
      </c>
      <c r="I95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07" customFormat="false" ht="15" hidden="false" customHeight="false" outlineLevel="0" collapsed="false">
      <c r="A9507" s="41"/>
      <c r="G9507" s="38" t="n">
        <f aca="false">MONTH(A9507)</f>
        <v>12</v>
      </c>
      <c r="H9507" s="38" t="n">
        <f aca="false">YEAR(Tabela1[[#This Row],[FECHA]])</f>
        <v>1900</v>
      </c>
      <c r="I95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08" customFormat="false" ht="15" hidden="false" customHeight="false" outlineLevel="0" collapsed="false">
      <c r="A9508" s="41"/>
      <c r="G9508" s="38" t="n">
        <f aca="false">MONTH(A9508)</f>
        <v>12</v>
      </c>
      <c r="H9508" s="38" t="n">
        <f aca="false">YEAR(Tabela1[[#This Row],[FECHA]])</f>
        <v>1900</v>
      </c>
      <c r="I95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09" customFormat="false" ht="15" hidden="false" customHeight="false" outlineLevel="0" collapsed="false">
      <c r="A9509" s="41"/>
      <c r="G9509" s="38" t="n">
        <f aca="false">MONTH(A9509)</f>
        <v>12</v>
      </c>
      <c r="H9509" s="38" t="n">
        <f aca="false">YEAR(Tabela1[[#This Row],[FECHA]])</f>
        <v>1900</v>
      </c>
      <c r="I95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10" customFormat="false" ht="15" hidden="false" customHeight="false" outlineLevel="0" collapsed="false">
      <c r="A9510" s="41"/>
      <c r="G9510" s="38" t="n">
        <f aca="false">MONTH(A9510)</f>
        <v>12</v>
      </c>
      <c r="H9510" s="38" t="n">
        <f aca="false">YEAR(Tabela1[[#This Row],[FECHA]])</f>
        <v>1900</v>
      </c>
      <c r="I95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11" customFormat="false" ht="15" hidden="false" customHeight="false" outlineLevel="0" collapsed="false">
      <c r="A9511" s="41"/>
      <c r="G9511" s="38" t="n">
        <f aca="false">MONTH(A9511)</f>
        <v>12</v>
      </c>
      <c r="H9511" s="38" t="n">
        <f aca="false">YEAR(Tabela1[[#This Row],[FECHA]])</f>
        <v>1900</v>
      </c>
      <c r="I95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12" customFormat="false" ht="15" hidden="false" customHeight="false" outlineLevel="0" collapsed="false">
      <c r="A9512" s="41"/>
      <c r="G9512" s="38" t="n">
        <f aca="false">MONTH(A9512)</f>
        <v>12</v>
      </c>
      <c r="H9512" s="38" t="n">
        <f aca="false">YEAR(Tabela1[[#This Row],[FECHA]])</f>
        <v>1900</v>
      </c>
      <c r="I95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13" customFormat="false" ht="15" hidden="false" customHeight="false" outlineLevel="0" collapsed="false">
      <c r="A9513" s="41"/>
      <c r="G9513" s="38" t="n">
        <f aca="false">MONTH(A9513)</f>
        <v>12</v>
      </c>
      <c r="H9513" s="38" t="n">
        <f aca="false">YEAR(Tabela1[[#This Row],[FECHA]])</f>
        <v>1900</v>
      </c>
      <c r="I95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14" customFormat="false" ht="15" hidden="false" customHeight="false" outlineLevel="0" collapsed="false">
      <c r="A9514" s="41"/>
      <c r="G9514" s="38" t="n">
        <f aca="false">MONTH(A9514)</f>
        <v>12</v>
      </c>
      <c r="H9514" s="38" t="n">
        <f aca="false">YEAR(Tabela1[[#This Row],[FECHA]])</f>
        <v>1900</v>
      </c>
      <c r="I95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15" customFormat="false" ht="15" hidden="false" customHeight="false" outlineLevel="0" collapsed="false">
      <c r="A9515" s="41"/>
      <c r="G9515" s="38" t="n">
        <f aca="false">MONTH(A9515)</f>
        <v>12</v>
      </c>
      <c r="H9515" s="38" t="n">
        <f aca="false">YEAR(Tabela1[[#This Row],[FECHA]])</f>
        <v>1900</v>
      </c>
      <c r="I95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16" customFormat="false" ht="15" hidden="false" customHeight="false" outlineLevel="0" collapsed="false">
      <c r="A9516" s="41"/>
      <c r="G9516" s="38" t="n">
        <f aca="false">MONTH(A9516)</f>
        <v>12</v>
      </c>
      <c r="H9516" s="38" t="n">
        <f aca="false">YEAR(Tabela1[[#This Row],[FECHA]])</f>
        <v>1900</v>
      </c>
      <c r="I95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17" customFormat="false" ht="15" hidden="false" customHeight="false" outlineLevel="0" collapsed="false">
      <c r="A9517" s="41"/>
      <c r="G9517" s="38" t="n">
        <f aca="false">MONTH(A9517)</f>
        <v>12</v>
      </c>
      <c r="H9517" s="38" t="n">
        <f aca="false">YEAR(Tabela1[[#This Row],[FECHA]])</f>
        <v>1900</v>
      </c>
      <c r="I95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18" customFormat="false" ht="15" hidden="false" customHeight="false" outlineLevel="0" collapsed="false">
      <c r="A9518" s="41"/>
      <c r="G9518" s="38" t="n">
        <f aca="false">MONTH(A9518)</f>
        <v>12</v>
      </c>
      <c r="H9518" s="38" t="n">
        <f aca="false">YEAR(Tabela1[[#This Row],[FECHA]])</f>
        <v>1900</v>
      </c>
      <c r="I95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19" customFormat="false" ht="15" hidden="false" customHeight="false" outlineLevel="0" collapsed="false">
      <c r="A9519" s="41"/>
      <c r="G9519" s="38" t="n">
        <f aca="false">MONTH(A9519)</f>
        <v>12</v>
      </c>
      <c r="H9519" s="38" t="n">
        <f aca="false">YEAR(Tabela1[[#This Row],[FECHA]])</f>
        <v>1900</v>
      </c>
      <c r="I95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20" customFormat="false" ht="15" hidden="false" customHeight="false" outlineLevel="0" collapsed="false">
      <c r="A9520" s="41"/>
      <c r="G9520" s="38" t="n">
        <f aca="false">MONTH(A9520)</f>
        <v>12</v>
      </c>
      <c r="H9520" s="38" t="n">
        <f aca="false">YEAR(Tabela1[[#This Row],[FECHA]])</f>
        <v>1900</v>
      </c>
      <c r="I95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21" customFormat="false" ht="15" hidden="false" customHeight="false" outlineLevel="0" collapsed="false">
      <c r="A9521" s="41"/>
      <c r="G9521" s="38" t="n">
        <f aca="false">MONTH(A9521)</f>
        <v>12</v>
      </c>
      <c r="H9521" s="38" t="n">
        <f aca="false">YEAR(Tabela1[[#This Row],[FECHA]])</f>
        <v>1900</v>
      </c>
      <c r="I95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22" customFormat="false" ht="15" hidden="false" customHeight="false" outlineLevel="0" collapsed="false">
      <c r="A9522" s="41"/>
      <c r="G9522" s="38" t="n">
        <f aca="false">MONTH(A9522)</f>
        <v>12</v>
      </c>
      <c r="H9522" s="38" t="n">
        <f aca="false">YEAR(Tabela1[[#This Row],[FECHA]])</f>
        <v>1900</v>
      </c>
      <c r="I95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23" customFormat="false" ht="15" hidden="false" customHeight="false" outlineLevel="0" collapsed="false">
      <c r="A9523" s="41"/>
      <c r="G9523" s="38" t="n">
        <f aca="false">MONTH(A9523)</f>
        <v>12</v>
      </c>
      <c r="H9523" s="38" t="n">
        <f aca="false">YEAR(Tabela1[[#This Row],[FECHA]])</f>
        <v>1900</v>
      </c>
      <c r="I95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24" customFormat="false" ht="15" hidden="false" customHeight="false" outlineLevel="0" collapsed="false">
      <c r="A9524" s="41"/>
      <c r="G9524" s="38" t="n">
        <f aca="false">MONTH(A9524)</f>
        <v>12</v>
      </c>
      <c r="H9524" s="38" t="n">
        <f aca="false">YEAR(Tabela1[[#This Row],[FECHA]])</f>
        <v>1900</v>
      </c>
      <c r="I95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25" customFormat="false" ht="15" hidden="false" customHeight="false" outlineLevel="0" collapsed="false">
      <c r="A9525" s="41"/>
      <c r="G9525" s="38" t="n">
        <f aca="false">MONTH(A9525)</f>
        <v>12</v>
      </c>
      <c r="H9525" s="38" t="n">
        <f aca="false">YEAR(Tabela1[[#This Row],[FECHA]])</f>
        <v>1900</v>
      </c>
      <c r="I95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26" customFormat="false" ht="15" hidden="false" customHeight="false" outlineLevel="0" collapsed="false">
      <c r="A9526" s="41"/>
      <c r="G9526" s="38" t="n">
        <f aca="false">MONTH(A9526)</f>
        <v>12</v>
      </c>
      <c r="H9526" s="38" t="n">
        <f aca="false">YEAR(Tabela1[[#This Row],[FECHA]])</f>
        <v>1900</v>
      </c>
      <c r="I95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27" customFormat="false" ht="15" hidden="false" customHeight="false" outlineLevel="0" collapsed="false">
      <c r="A9527" s="41"/>
      <c r="G9527" s="38" t="n">
        <f aca="false">MONTH(A9527)</f>
        <v>12</v>
      </c>
      <c r="H9527" s="38" t="n">
        <f aca="false">YEAR(Tabela1[[#This Row],[FECHA]])</f>
        <v>1900</v>
      </c>
      <c r="I95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28" customFormat="false" ht="15" hidden="false" customHeight="false" outlineLevel="0" collapsed="false">
      <c r="A9528" s="41"/>
      <c r="G9528" s="38" t="n">
        <f aca="false">MONTH(A9528)</f>
        <v>12</v>
      </c>
      <c r="H9528" s="38" t="n">
        <f aca="false">YEAR(Tabela1[[#This Row],[FECHA]])</f>
        <v>1900</v>
      </c>
      <c r="I95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29" customFormat="false" ht="15" hidden="false" customHeight="false" outlineLevel="0" collapsed="false">
      <c r="A9529" s="41"/>
      <c r="G9529" s="38" t="n">
        <f aca="false">MONTH(A9529)</f>
        <v>12</v>
      </c>
      <c r="H9529" s="38" t="n">
        <f aca="false">YEAR(Tabela1[[#This Row],[FECHA]])</f>
        <v>1900</v>
      </c>
      <c r="I95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30" customFormat="false" ht="15" hidden="false" customHeight="false" outlineLevel="0" collapsed="false">
      <c r="A9530" s="41"/>
      <c r="G9530" s="38" t="n">
        <f aca="false">MONTH(A9530)</f>
        <v>12</v>
      </c>
      <c r="H9530" s="38" t="n">
        <f aca="false">YEAR(Tabela1[[#This Row],[FECHA]])</f>
        <v>1900</v>
      </c>
      <c r="I95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31" customFormat="false" ht="15" hidden="false" customHeight="false" outlineLevel="0" collapsed="false">
      <c r="A9531" s="41"/>
      <c r="G9531" s="38" t="n">
        <f aca="false">MONTH(A9531)</f>
        <v>12</v>
      </c>
      <c r="H9531" s="38" t="n">
        <f aca="false">YEAR(Tabela1[[#This Row],[FECHA]])</f>
        <v>1900</v>
      </c>
      <c r="I95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32" customFormat="false" ht="15" hidden="false" customHeight="false" outlineLevel="0" collapsed="false">
      <c r="A9532" s="41"/>
      <c r="G9532" s="38" t="n">
        <f aca="false">MONTH(A9532)</f>
        <v>12</v>
      </c>
      <c r="H9532" s="38" t="n">
        <f aca="false">YEAR(Tabela1[[#This Row],[FECHA]])</f>
        <v>1900</v>
      </c>
      <c r="I95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33" customFormat="false" ht="15" hidden="false" customHeight="false" outlineLevel="0" collapsed="false">
      <c r="A9533" s="41"/>
      <c r="G9533" s="38" t="n">
        <f aca="false">MONTH(A9533)</f>
        <v>12</v>
      </c>
      <c r="H9533" s="38" t="n">
        <f aca="false">YEAR(Tabela1[[#This Row],[FECHA]])</f>
        <v>1900</v>
      </c>
      <c r="I95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34" customFormat="false" ht="15" hidden="false" customHeight="false" outlineLevel="0" collapsed="false">
      <c r="A9534" s="41"/>
      <c r="G9534" s="38" t="n">
        <f aca="false">MONTH(A9534)</f>
        <v>12</v>
      </c>
      <c r="H9534" s="38" t="n">
        <f aca="false">YEAR(Tabela1[[#This Row],[FECHA]])</f>
        <v>1900</v>
      </c>
      <c r="I95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35" customFormat="false" ht="15" hidden="false" customHeight="false" outlineLevel="0" collapsed="false">
      <c r="A9535" s="41"/>
      <c r="G9535" s="38" t="n">
        <f aca="false">MONTH(A9535)</f>
        <v>12</v>
      </c>
      <c r="H9535" s="38" t="n">
        <f aca="false">YEAR(Tabela1[[#This Row],[FECHA]])</f>
        <v>1900</v>
      </c>
      <c r="I95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36" customFormat="false" ht="15" hidden="false" customHeight="false" outlineLevel="0" collapsed="false">
      <c r="A9536" s="41"/>
      <c r="G9536" s="38" t="n">
        <f aca="false">MONTH(A9536)</f>
        <v>12</v>
      </c>
      <c r="H9536" s="38" t="n">
        <f aca="false">YEAR(Tabela1[[#This Row],[FECHA]])</f>
        <v>1900</v>
      </c>
      <c r="I95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37" customFormat="false" ht="15" hidden="false" customHeight="false" outlineLevel="0" collapsed="false">
      <c r="A9537" s="41"/>
      <c r="G9537" s="38" t="n">
        <f aca="false">MONTH(A9537)</f>
        <v>12</v>
      </c>
      <c r="H9537" s="38" t="n">
        <f aca="false">YEAR(Tabela1[[#This Row],[FECHA]])</f>
        <v>1900</v>
      </c>
      <c r="I95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38" customFormat="false" ht="15" hidden="false" customHeight="false" outlineLevel="0" collapsed="false">
      <c r="A9538" s="41"/>
      <c r="G9538" s="38" t="n">
        <f aca="false">MONTH(A9538)</f>
        <v>12</v>
      </c>
      <c r="H9538" s="38" t="n">
        <f aca="false">YEAR(Tabela1[[#This Row],[FECHA]])</f>
        <v>1900</v>
      </c>
      <c r="I95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39" customFormat="false" ht="15" hidden="false" customHeight="false" outlineLevel="0" collapsed="false">
      <c r="A9539" s="41"/>
      <c r="G9539" s="38" t="n">
        <f aca="false">MONTH(A9539)</f>
        <v>12</v>
      </c>
      <c r="H9539" s="38" t="n">
        <f aca="false">YEAR(Tabela1[[#This Row],[FECHA]])</f>
        <v>1900</v>
      </c>
      <c r="I95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40" customFormat="false" ht="15" hidden="false" customHeight="false" outlineLevel="0" collapsed="false">
      <c r="A9540" s="41"/>
      <c r="G9540" s="38" t="n">
        <f aca="false">MONTH(A9540)</f>
        <v>12</v>
      </c>
      <c r="H9540" s="38" t="n">
        <f aca="false">YEAR(Tabela1[[#This Row],[FECHA]])</f>
        <v>1900</v>
      </c>
      <c r="I95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41" customFormat="false" ht="15" hidden="false" customHeight="false" outlineLevel="0" collapsed="false">
      <c r="A9541" s="41"/>
      <c r="G9541" s="38" t="n">
        <f aca="false">MONTH(A9541)</f>
        <v>12</v>
      </c>
      <c r="H9541" s="38" t="n">
        <f aca="false">YEAR(Tabela1[[#This Row],[FECHA]])</f>
        <v>1900</v>
      </c>
      <c r="I95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42" customFormat="false" ht="15" hidden="false" customHeight="false" outlineLevel="0" collapsed="false">
      <c r="A9542" s="41"/>
      <c r="G9542" s="38" t="n">
        <f aca="false">MONTH(A9542)</f>
        <v>12</v>
      </c>
      <c r="H9542" s="38" t="n">
        <f aca="false">YEAR(Tabela1[[#This Row],[FECHA]])</f>
        <v>1900</v>
      </c>
      <c r="I95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43" customFormat="false" ht="15" hidden="false" customHeight="false" outlineLevel="0" collapsed="false">
      <c r="A9543" s="41"/>
      <c r="G9543" s="38" t="n">
        <f aca="false">MONTH(A9543)</f>
        <v>12</v>
      </c>
      <c r="H9543" s="38" t="n">
        <f aca="false">YEAR(Tabela1[[#This Row],[FECHA]])</f>
        <v>1900</v>
      </c>
      <c r="I95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44" customFormat="false" ht="15" hidden="false" customHeight="false" outlineLevel="0" collapsed="false">
      <c r="A9544" s="41"/>
      <c r="G9544" s="38" t="n">
        <f aca="false">MONTH(A9544)</f>
        <v>12</v>
      </c>
      <c r="H9544" s="38" t="n">
        <f aca="false">YEAR(Tabela1[[#This Row],[FECHA]])</f>
        <v>1900</v>
      </c>
      <c r="I95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45" customFormat="false" ht="15" hidden="false" customHeight="false" outlineLevel="0" collapsed="false">
      <c r="A9545" s="41"/>
      <c r="G9545" s="38" t="n">
        <f aca="false">MONTH(A9545)</f>
        <v>12</v>
      </c>
      <c r="H9545" s="38" t="n">
        <f aca="false">YEAR(Tabela1[[#This Row],[FECHA]])</f>
        <v>1900</v>
      </c>
      <c r="I95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46" customFormat="false" ht="15" hidden="false" customHeight="false" outlineLevel="0" collapsed="false">
      <c r="A9546" s="41"/>
      <c r="G9546" s="38" t="n">
        <f aca="false">MONTH(A9546)</f>
        <v>12</v>
      </c>
      <c r="H9546" s="38" t="n">
        <f aca="false">YEAR(Tabela1[[#This Row],[FECHA]])</f>
        <v>1900</v>
      </c>
      <c r="I95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47" customFormat="false" ht="15" hidden="false" customHeight="false" outlineLevel="0" collapsed="false">
      <c r="A9547" s="41"/>
      <c r="G9547" s="38" t="n">
        <f aca="false">MONTH(A9547)</f>
        <v>12</v>
      </c>
      <c r="H9547" s="38" t="n">
        <f aca="false">YEAR(Tabela1[[#This Row],[FECHA]])</f>
        <v>1900</v>
      </c>
      <c r="I95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48" customFormat="false" ht="15" hidden="false" customHeight="false" outlineLevel="0" collapsed="false">
      <c r="A9548" s="41"/>
      <c r="G9548" s="38" t="n">
        <f aca="false">MONTH(A9548)</f>
        <v>12</v>
      </c>
      <c r="H9548" s="38" t="n">
        <f aca="false">YEAR(Tabela1[[#This Row],[FECHA]])</f>
        <v>1900</v>
      </c>
      <c r="I95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49" customFormat="false" ht="15" hidden="false" customHeight="false" outlineLevel="0" collapsed="false">
      <c r="A9549" s="41"/>
      <c r="G9549" s="38" t="n">
        <f aca="false">MONTH(A9549)</f>
        <v>12</v>
      </c>
      <c r="H9549" s="38" t="n">
        <f aca="false">YEAR(Tabela1[[#This Row],[FECHA]])</f>
        <v>1900</v>
      </c>
      <c r="I95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50" customFormat="false" ht="15" hidden="false" customHeight="false" outlineLevel="0" collapsed="false">
      <c r="A9550" s="41"/>
      <c r="G9550" s="38" t="n">
        <f aca="false">MONTH(A9550)</f>
        <v>12</v>
      </c>
      <c r="H9550" s="38" t="n">
        <f aca="false">YEAR(Tabela1[[#This Row],[FECHA]])</f>
        <v>1900</v>
      </c>
      <c r="I95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51" customFormat="false" ht="15" hidden="false" customHeight="false" outlineLevel="0" collapsed="false">
      <c r="A9551" s="41"/>
      <c r="G9551" s="38" t="n">
        <f aca="false">MONTH(A9551)</f>
        <v>12</v>
      </c>
      <c r="H9551" s="38" t="n">
        <f aca="false">YEAR(Tabela1[[#This Row],[FECHA]])</f>
        <v>1900</v>
      </c>
      <c r="I95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52" customFormat="false" ht="15" hidden="false" customHeight="false" outlineLevel="0" collapsed="false">
      <c r="A9552" s="41"/>
      <c r="G9552" s="38" t="n">
        <f aca="false">MONTH(A9552)</f>
        <v>12</v>
      </c>
      <c r="H9552" s="38" t="n">
        <f aca="false">YEAR(Tabela1[[#This Row],[FECHA]])</f>
        <v>1900</v>
      </c>
      <c r="I95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53" customFormat="false" ht="15" hidden="false" customHeight="false" outlineLevel="0" collapsed="false">
      <c r="A9553" s="41"/>
      <c r="G9553" s="38" t="n">
        <f aca="false">MONTH(A9553)</f>
        <v>12</v>
      </c>
      <c r="H9553" s="38" t="n">
        <f aca="false">YEAR(Tabela1[[#This Row],[FECHA]])</f>
        <v>1900</v>
      </c>
      <c r="I95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54" customFormat="false" ht="15" hidden="false" customHeight="false" outlineLevel="0" collapsed="false">
      <c r="A9554" s="41"/>
      <c r="G9554" s="38" t="n">
        <f aca="false">MONTH(A9554)</f>
        <v>12</v>
      </c>
      <c r="H9554" s="38" t="n">
        <f aca="false">YEAR(Tabela1[[#This Row],[FECHA]])</f>
        <v>1900</v>
      </c>
      <c r="I95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55" customFormat="false" ht="15" hidden="false" customHeight="false" outlineLevel="0" collapsed="false">
      <c r="A9555" s="41"/>
      <c r="G9555" s="38" t="n">
        <f aca="false">MONTH(A9555)</f>
        <v>12</v>
      </c>
      <c r="H9555" s="38" t="n">
        <f aca="false">YEAR(Tabela1[[#This Row],[FECHA]])</f>
        <v>1900</v>
      </c>
      <c r="I95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56" customFormat="false" ht="15" hidden="false" customHeight="false" outlineLevel="0" collapsed="false">
      <c r="A9556" s="41"/>
      <c r="G9556" s="38" t="n">
        <f aca="false">MONTH(A9556)</f>
        <v>12</v>
      </c>
      <c r="H9556" s="38" t="n">
        <f aca="false">YEAR(Tabela1[[#This Row],[FECHA]])</f>
        <v>1900</v>
      </c>
      <c r="I95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57" customFormat="false" ht="15" hidden="false" customHeight="false" outlineLevel="0" collapsed="false">
      <c r="A9557" s="41"/>
      <c r="G9557" s="38" t="n">
        <f aca="false">MONTH(A9557)</f>
        <v>12</v>
      </c>
      <c r="H9557" s="38" t="n">
        <f aca="false">YEAR(Tabela1[[#This Row],[FECHA]])</f>
        <v>1900</v>
      </c>
      <c r="I95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58" customFormat="false" ht="15" hidden="false" customHeight="false" outlineLevel="0" collapsed="false">
      <c r="A9558" s="41"/>
      <c r="G9558" s="38" t="n">
        <f aca="false">MONTH(A9558)</f>
        <v>12</v>
      </c>
      <c r="H9558" s="38" t="n">
        <f aca="false">YEAR(Tabela1[[#This Row],[FECHA]])</f>
        <v>1900</v>
      </c>
      <c r="I95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59" customFormat="false" ht="15" hidden="false" customHeight="false" outlineLevel="0" collapsed="false">
      <c r="A9559" s="41"/>
      <c r="G9559" s="38" t="n">
        <f aca="false">MONTH(A9559)</f>
        <v>12</v>
      </c>
      <c r="H9559" s="38" t="n">
        <f aca="false">YEAR(Tabela1[[#This Row],[FECHA]])</f>
        <v>1900</v>
      </c>
      <c r="I95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60" customFormat="false" ht="15" hidden="false" customHeight="false" outlineLevel="0" collapsed="false">
      <c r="A9560" s="41"/>
      <c r="G9560" s="38" t="n">
        <f aca="false">MONTH(A9560)</f>
        <v>12</v>
      </c>
      <c r="H9560" s="38" t="n">
        <f aca="false">YEAR(Tabela1[[#This Row],[FECHA]])</f>
        <v>1900</v>
      </c>
      <c r="I95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61" customFormat="false" ht="15" hidden="false" customHeight="false" outlineLevel="0" collapsed="false">
      <c r="A9561" s="41"/>
      <c r="G9561" s="38" t="n">
        <f aca="false">MONTH(A9561)</f>
        <v>12</v>
      </c>
      <c r="H9561" s="38" t="n">
        <f aca="false">YEAR(Tabela1[[#This Row],[FECHA]])</f>
        <v>1900</v>
      </c>
      <c r="I95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62" customFormat="false" ht="15" hidden="false" customHeight="false" outlineLevel="0" collapsed="false">
      <c r="A9562" s="41"/>
      <c r="G9562" s="38" t="n">
        <f aca="false">MONTH(A9562)</f>
        <v>12</v>
      </c>
      <c r="H9562" s="38" t="n">
        <f aca="false">YEAR(Tabela1[[#This Row],[FECHA]])</f>
        <v>1900</v>
      </c>
      <c r="I95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63" customFormat="false" ht="15" hidden="false" customHeight="false" outlineLevel="0" collapsed="false">
      <c r="A9563" s="41"/>
      <c r="G9563" s="38" t="n">
        <f aca="false">MONTH(A9563)</f>
        <v>12</v>
      </c>
      <c r="H9563" s="38" t="n">
        <f aca="false">YEAR(Tabela1[[#This Row],[FECHA]])</f>
        <v>1900</v>
      </c>
      <c r="I95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64" customFormat="false" ht="15" hidden="false" customHeight="false" outlineLevel="0" collapsed="false">
      <c r="A9564" s="41"/>
      <c r="G9564" s="38" t="n">
        <f aca="false">MONTH(A9564)</f>
        <v>12</v>
      </c>
      <c r="H9564" s="38" t="n">
        <f aca="false">YEAR(Tabela1[[#This Row],[FECHA]])</f>
        <v>1900</v>
      </c>
      <c r="I95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65" customFormat="false" ht="15" hidden="false" customHeight="false" outlineLevel="0" collapsed="false">
      <c r="A9565" s="41"/>
      <c r="G9565" s="38" t="n">
        <f aca="false">MONTH(A9565)</f>
        <v>12</v>
      </c>
      <c r="H9565" s="38" t="n">
        <f aca="false">YEAR(Tabela1[[#This Row],[FECHA]])</f>
        <v>1900</v>
      </c>
      <c r="I95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66" customFormat="false" ht="15" hidden="false" customHeight="false" outlineLevel="0" collapsed="false">
      <c r="A9566" s="41"/>
      <c r="G9566" s="38" t="n">
        <f aca="false">MONTH(A9566)</f>
        <v>12</v>
      </c>
      <c r="H9566" s="38" t="n">
        <f aca="false">YEAR(Tabela1[[#This Row],[FECHA]])</f>
        <v>1900</v>
      </c>
      <c r="I95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67" customFormat="false" ht="15" hidden="false" customHeight="false" outlineLevel="0" collapsed="false">
      <c r="A9567" s="41"/>
      <c r="G9567" s="38" t="n">
        <f aca="false">MONTH(A9567)</f>
        <v>12</v>
      </c>
      <c r="H9567" s="38" t="n">
        <f aca="false">YEAR(Tabela1[[#This Row],[FECHA]])</f>
        <v>1900</v>
      </c>
      <c r="I95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68" customFormat="false" ht="15" hidden="false" customHeight="false" outlineLevel="0" collapsed="false">
      <c r="A9568" s="41"/>
      <c r="G9568" s="38" t="n">
        <f aca="false">MONTH(A9568)</f>
        <v>12</v>
      </c>
      <c r="H9568" s="38" t="n">
        <f aca="false">YEAR(Tabela1[[#This Row],[FECHA]])</f>
        <v>1900</v>
      </c>
      <c r="I95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69" customFormat="false" ht="15" hidden="false" customHeight="false" outlineLevel="0" collapsed="false">
      <c r="A9569" s="41"/>
      <c r="G9569" s="38" t="n">
        <f aca="false">MONTH(A9569)</f>
        <v>12</v>
      </c>
      <c r="H9569" s="38" t="n">
        <f aca="false">YEAR(Tabela1[[#This Row],[FECHA]])</f>
        <v>1900</v>
      </c>
      <c r="I95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70" customFormat="false" ht="15" hidden="false" customHeight="false" outlineLevel="0" collapsed="false">
      <c r="A9570" s="41"/>
      <c r="G9570" s="38" t="n">
        <f aca="false">MONTH(A9570)</f>
        <v>12</v>
      </c>
      <c r="H9570" s="38" t="n">
        <f aca="false">YEAR(Tabela1[[#This Row],[FECHA]])</f>
        <v>1900</v>
      </c>
      <c r="I95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71" customFormat="false" ht="15" hidden="false" customHeight="false" outlineLevel="0" collapsed="false">
      <c r="A9571" s="41"/>
      <c r="G9571" s="38" t="n">
        <f aca="false">MONTH(A9571)</f>
        <v>12</v>
      </c>
      <c r="H9571" s="38" t="n">
        <f aca="false">YEAR(Tabela1[[#This Row],[FECHA]])</f>
        <v>1900</v>
      </c>
      <c r="I95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72" customFormat="false" ht="15" hidden="false" customHeight="false" outlineLevel="0" collapsed="false">
      <c r="A9572" s="41"/>
      <c r="G9572" s="38" t="n">
        <f aca="false">MONTH(A9572)</f>
        <v>12</v>
      </c>
      <c r="H9572" s="38" t="n">
        <f aca="false">YEAR(Tabela1[[#This Row],[FECHA]])</f>
        <v>1900</v>
      </c>
      <c r="I95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73" customFormat="false" ht="15" hidden="false" customHeight="false" outlineLevel="0" collapsed="false">
      <c r="A9573" s="41"/>
      <c r="G9573" s="38" t="n">
        <f aca="false">MONTH(A9573)</f>
        <v>12</v>
      </c>
      <c r="H9573" s="38" t="n">
        <f aca="false">YEAR(Tabela1[[#This Row],[FECHA]])</f>
        <v>1900</v>
      </c>
      <c r="I95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74" customFormat="false" ht="15" hidden="false" customHeight="false" outlineLevel="0" collapsed="false">
      <c r="A9574" s="41"/>
      <c r="G9574" s="38" t="n">
        <f aca="false">MONTH(A9574)</f>
        <v>12</v>
      </c>
      <c r="H9574" s="38" t="n">
        <f aca="false">YEAR(Tabela1[[#This Row],[FECHA]])</f>
        <v>1900</v>
      </c>
      <c r="I95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75" customFormat="false" ht="15" hidden="false" customHeight="false" outlineLevel="0" collapsed="false">
      <c r="A9575" s="41"/>
      <c r="G9575" s="38" t="n">
        <f aca="false">MONTH(A9575)</f>
        <v>12</v>
      </c>
      <c r="H9575" s="38" t="n">
        <f aca="false">YEAR(Tabela1[[#This Row],[FECHA]])</f>
        <v>1900</v>
      </c>
      <c r="I95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76" customFormat="false" ht="15" hidden="false" customHeight="false" outlineLevel="0" collapsed="false">
      <c r="A9576" s="41"/>
      <c r="G9576" s="38" t="n">
        <f aca="false">MONTH(A9576)</f>
        <v>12</v>
      </c>
      <c r="H9576" s="38" t="n">
        <f aca="false">YEAR(Tabela1[[#This Row],[FECHA]])</f>
        <v>1900</v>
      </c>
      <c r="I95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77" customFormat="false" ht="15" hidden="false" customHeight="false" outlineLevel="0" collapsed="false">
      <c r="A9577" s="41"/>
      <c r="G9577" s="38" t="n">
        <f aca="false">MONTH(A9577)</f>
        <v>12</v>
      </c>
      <c r="H9577" s="38" t="n">
        <f aca="false">YEAR(Tabela1[[#This Row],[FECHA]])</f>
        <v>1900</v>
      </c>
      <c r="I95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78" customFormat="false" ht="15" hidden="false" customHeight="false" outlineLevel="0" collapsed="false">
      <c r="A9578" s="41"/>
      <c r="G9578" s="38" t="n">
        <f aca="false">MONTH(A9578)</f>
        <v>12</v>
      </c>
      <c r="H9578" s="38" t="n">
        <f aca="false">YEAR(Tabela1[[#This Row],[FECHA]])</f>
        <v>1900</v>
      </c>
      <c r="I95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79" customFormat="false" ht="15" hidden="false" customHeight="false" outlineLevel="0" collapsed="false">
      <c r="A9579" s="41"/>
      <c r="G9579" s="38" t="n">
        <f aca="false">MONTH(A9579)</f>
        <v>12</v>
      </c>
      <c r="H9579" s="38" t="n">
        <f aca="false">YEAR(Tabela1[[#This Row],[FECHA]])</f>
        <v>1900</v>
      </c>
      <c r="I95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80" customFormat="false" ht="15" hidden="false" customHeight="false" outlineLevel="0" collapsed="false">
      <c r="A9580" s="41"/>
      <c r="G9580" s="38" t="n">
        <f aca="false">MONTH(A9580)</f>
        <v>12</v>
      </c>
      <c r="H9580" s="38" t="n">
        <f aca="false">YEAR(Tabela1[[#This Row],[FECHA]])</f>
        <v>1900</v>
      </c>
      <c r="I95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81" customFormat="false" ht="15" hidden="false" customHeight="false" outlineLevel="0" collapsed="false">
      <c r="A9581" s="41"/>
      <c r="G9581" s="38" t="n">
        <f aca="false">MONTH(A9581)</f>
        <v>12</v>
      </c>
      <c r="H9581" s="38" t="n">
        <f aca="false">YEAR(Tabela1[[#This Row],[FECHA]])</f>
        <v>1900</v>
      </c>
      <c r="I95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82" customFormat="false" ht="15" hidden="false" customHeight="false" outlineLevel="0" collapsed="false">
      <c r="A9582" s="41"/>
      <c r="G9582" s="38" t="n">
        <f aca="false">MONTH(A9582)</f>
        <v>12</v>
      </c>
      <c r="H9582" s="38" t="n">
        <f aca="false">YEAR(Tabela1[[#This Row],[FECHA]])</f>
        <v>1900</v>
      </c>
      <c r="I95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83" customFormat="false" ht="15" hidden="false" customHeight="false" outlineLevel="0" collapsed="false">
      <c r="A9583" s="41"/>
      <c r="G9583" s="38" t="n">
        <f aca="false">MONTH(A9583)</f>
        <v>12</v>
      </c>
      <c r="H9583" s="38" t="n">
        <f aca="false">YEAR(Tabela1[[#This Row],[FECHA]])</f>
        <v>1900</v>
      </c>
      <c r="I95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84" customFormat="false" ht="15" hidden="false" customHeight="false" outlineLevel="0" collapsed="false">
      <c r="A9584" s="41"/>
      <c r="G9584" s="38" t="n">
        <f aca="false">MONTH(A9584)</f>
        <v>12</v>
      </c>
      <c r="H9584" s="38" t="n">
        <f aca="false">YEAR(Tabela1[[#This Row],[FECHA]])</f>
        <v>1900</v>
      </c>
      <c r="I95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85" customFormat="false" ht="15" hidden="false" customHeight="false" outlineLevel="0" collapsed="false">
      <c r="A9585" s="41"/>
      <c r="G9585" s="38" t="n">
        <f aca="false">MONTH(A9585)</f>
        <v>12</v>
      </c>
      <c r="H9585" s="38" t="n">
        <f aca="false">YEAR(Tabela1[[#This Row],[FECHA]])</f>
        <v>1900</v>
      </c>
      <c r="I95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86" customFormat="false" ht="15" hidden="false" customHeight="false" outlineLevel="0" collapsed="false">
      <c r="A9586" s="41"/>
      <c r="G9586" s="38" t="n">
        <f aca="false">MONTH(A9586)</f>
        <v>12</v>
      </c>
      <c r="H9586" s="38" t="n">
        <f aca="false">YEAR(Tabela1[[#This Row],[FECHA]])</f>
        <v>1900</v>
      </c>
      <c r="I95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87" customFormat="false" ht="15" hidden="false" customHeight="false" outlineLevel="0" collapsed="false">
      <c r="A9587" s="41"/>
      <c r="G9587" s="38" t="n">
        <f aca="false">MONTH(A9587)</f>
        <v>12</v>
      </c>
      <c r="H9587" s="38" t="n">
        <f aca="false">YEAR(Tabela1[[#This Row],[FECHA]])</f>
        <v>1900</v>
      </c>
      <c r="I95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88" customFormat="false" ht="15" hidden="false" customHeight="false" outlineLevel="0" collapsed="false">
      <c r="A9588" s="41"/>
      <c r="G9588" s="38" t="n">
        <f aca="false">MONTH(A9588)</f>
        <v>12</v>
      </c>
      <c r="H9588" s="38" t="n">
        <f aca="false">YEAR(Tabela1[[#This Row],[FECHA]])</f>
        <v>1900</v>
      </c>
      <c r="I95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89" customFormat="false" ht="15" hidden="false" customHeight="false" outlineLevel="0" collapsed="false">
      <c r="A9589" s="41"/>
      <c r="G9589" s="38" t="n">
        <f aca="false">MONTH(A9589)</f>
        <v>12</v>
      </c>
      <c r="H9589" s="38" t="n">
        <f aca="false">YEAR(Tabela1[[#This Row],[FECHA]])</f>
        <v>1900</v>
      </c>
      <c r="I95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90" customFormat="false" ht="15" hidden="false" customHeight="false" outlineLevel="0" collapsed="false">
      <c r="A9590" s="41"/>
      <c r="G9590" s="38" t="n">
        <f aca="false">MONTH(A9590)</f>
        <v>12</v>
      </c>
      <c r="H9590" s="38" t="n">
        <f aca="false">YEAR(Tabela1[[#This Row],[FECHA]])</f>
        <v>1900</v>
      </c>
      <c r="I95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91" customFormat="false" ht="15" hidden="false" customHeight="false" outlineLevel="0" collapsed="false">
      <c r="A9591" s="41"/>
      <c r="G9591" s="38" t="n">
        <f aca="false">MONTH(A9591)</f>
        <v>12</v>
      </c>
      <c r="H9591" s="38" t="n">
        <f aca="false">YEAR(Tabela1[[#This Row],[FECHA]])</f>
        <v>1900</v>
      </c>
      <c r="I95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92" customFormat="false" ht="15" hidden="false" customHeight="false" outlineLevel="0" collapsed="false">
      <c r="A9592" s="41"/>
      <c r="G9592" s="38" t="n">
        <f aca="false">MONTH(A9592)</f>
        <v>12</v>
      </c>
      <c r="H9592" s="38" t="n">
        <f aca="false">YEAR(Tabela1[[#This Row],[FECHA]])</f>
        <v>1900</v>
      </c>
      <c r="I95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93" customFormat="false" ht="15" hidden="false" customHeight="false" outlineLevel="0" collapsed="false">
      <c r="A9593" s="41"/>
      <c r="G9593" s="38" t="n">
        <f aca="false">MONTH(A9593)</f>
        <v>12</v>
      </c>
      <c r="H9593" s="38" t="n">
        <f aca="false">YEAR(Tabela1[[#This Row],[FECHA]])</f>
        <v>1900</v>
      </c>
      <c r="I95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94" customFormat="false" ht="15" hidden="false" customHeight="false" outlineLevel="0" collapsed="false">
      <c r="A9594" s="41"/>
      <c r="G9594" s="38" t="n">
        <f aca="false">MONTH(A9594)</f>
        <v>12</v>
      </c>
      <c r="H9594" s="38" t="n">
        <f aca="false">YEAR(Tabela1[[#This Row],[FECHA]])</f>
        <v>1900</v>
      </c>
      <c r="I95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95" customFormat="false" ht="15" hidden="false" customHeight="false" outlineLevel="0" collapsed="false">
      <c r="A9595" s="41"/>
      <c r="G9595" s="38" t="n">
        <f aca="false">MONTH(A9595)</f>
        <v>12</v>
      </c>
      <c r="H9595" s="38" t="n">
        <f aca="false">YEAR(Tabela1[[#This Row],[FECHA]])</f>
        <v>1900</v>
      </c>
      <c r="I95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96" customFormat="false" ht="15" hidden="false" customHeight="false" outlineLevel="0" collapsed="false">
      <c r="A9596" s="41"/>
      <c r="G9596" s="38" t="n">
        <f aca="false">MONTH(A9596)</f>
        <v>12</v>
      </c>
      <c r="H9596" s="38" t="n">
        <f aca="false">YEAR(Tabela1[[#This Row],[FECHA]])</f>
        <v>1900</v>
      </c>
      <c r="I95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97" customFormat="false" ht="15" hidden="false" customHeight="false" outlineLevel="0" collapsed="false">
      <c r="A9597" s="41"/>
      <c r="G9597" s="38" t="n">
        <f aca="false">MONTH(A9597)</f>
        <v>12</v>
      </c>
      <c r="H9597" s="38" t="n">
        <f aca="false">YEAR(Tabela1[[#This Row],[FECHA]])</f>
        <v>1900</v>
      </c>
      <c r="I95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98" customFormat="false" ht="15" hidden="false" customHeight="false" outlineLevel="0" collapsed="false">
      <c r="A9598" s="41"/>
      <c r="G9598" s="38" t="n">
        <f aca="false">MONTH(A9598)</f>
        <v>12</v>
      </c>
      <c r="H9598" s="38" t="n">
        <f aca="false">YEAR(Tabela1[[#This Row],[FECHA]])</f>
        <v>1900</v>
      </c>
      <c r="I95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599" customFormat="false" ht="15" hidden="false" customHeight="false" outlineLevel="0" collapsed="false">
      <c r="A9599" s="41"/>
      <c r="G9599" s="38" t="n">
        <f aca="false">MONTH(A9599)</f>
        <v>12</v>
      </c>
      <c r="H9599" s="38" t="n">
        <f aca="false">YEAR(Tabela1[[#This Row],[FECHA]])</f>
        <v>1900</v>
      </c>
      <c r="I95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00" customFormat="false" ht="15" hidden="false" customHeight="false" outlineLevel="0" collapsed="false">
      <c r="A9600" s="41"/>
      <c r="G9600" s="38" t="n">
        <f aca="false">MONTH(A9600)</f>
        <v>12</v>
      </c>
      <c r="H9600" s="38" t="n">
        <f aca="false">YEAR(Tabela1[[#This Row],[FECHA]])</f>
        <v>1900</v>
      </c>
      <c r="I96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01" customFormat="false" ht="15" hidden="false" customHeight="false" outlineLevel="0" collapsed="false">
      <c r="A9601" s="41"/>
      <c r="G9601" s="38" t="n">
        <f aca="false">MONTH(A9601)</f>
        <v>12</v>
      </c>
      <c r="H9601" s="38" t="n">
        <f aca="false">YEAR(Tabela1[[#This Row],[FECHA]])</f>
        <v>1900</v>
      </c>
      <c r="I96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02" customFormat="false" ht="15" hidden="false" customHeight="false" outlineLevel="0" collapsed="false">
      <c r="A9602" s="41"/>
      <c r="G9602" s="38" t="n">
        <f aca="false">MONTH(A9602)</f>
        <v>12</v>
      </c>
      <c r="H9602" s="38" t="n">
        <f aca="false">YEAR(Tabela1[[#This Row],[FECHA]])</f>
        <v>1900</v>
      </c>
      <c r="I96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03" customFormat="false" ht="15" hidden="false" customHeight="false" outlineLevel="0" collapsed="false">
      <c r="A9603" s="41"/>
      <c r="G9603" s="38" t="n">
        <f aca="false">MONTH(A9603)</f>
        <v>12</v>
      </c>
      <c r="H9603" s="38" t="n">
        <f aca="false">YEAR(Tabela1[[#This Row],[FECHA]])</f>
        <v>1900</v>
      </c>
      <c r="I96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04" customFormat="false" ht="15" hidden="false" customHeight="false" outlineLevel="0" collapsed="false">
      <c r="A9604" s="41"/>
      <c r="G9604" s="38" t="n">
        <f aca="false">MONTH(A9604)</f>
        <v>12</v>
      </c>
      <c r="H9604" s="38" t="n">
        <f aca="false">YEAR(Tabela1[[#This Row],[FECHA]])</f>
        <v>1900</v>
      </c>
      <c r="I96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05" customFormat="false" ht="15" hidden="false" customHeight="false" outlineLevel="0" collapsed="false">
      <c r="A9605" s="41"/>
      <c r="G9605" s="38" t="n">
        <f aca="false">MONTH(A9605)</f>
        <v>12</v>
      </c>
      <c r="H9605" s="38" t="n">
        <f aca="false">YEAR(Tabela1[[#This Row],[FECHA]])</f>
        <v>1900</v>
      </c>
      <c r="I96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06" customFormat="false" ht="15" hidden="false" customHeight="false" outlineLevel="0" collapsed="false">
      <c r="A9606" s="41"/>
      <c r="G9606" s="38" t="n">
        <f aca="false">MONTH(A9606)</f>
        <v>12</v>
      </c>
      <c r="H9606" s="38" t="n">
        <f aca="false">YEAR(Tabela1[[#This Row],[FECHA]])</f>
        <v>1900</v>
      </c>
      <c r="I96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07" customFormat="false" ht="15" hidden="false" customHeight="false" outlineLevel="0" collapsed="false">
      <c r="A9607" s="41"/>
      <c r="G9607" s="38" t="n">
        <f aca="false">MONTH(A9607)</f>
        <v>12</v>
      </c>
      <c r="H9607" s="38" t="n">
        <f aca="false">YEAR(Tabela1[[#This Row],[FECHA]])</f>
        <v>1900</v>
      </c>
      <c r="I96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08" customFormat="false" ht="15" hidden="false" customHeight="false" outlineLevel="0" collapsed="false">
      <c r="A9608" s="41"/>
      <c r="G9608" s="38" t="n">
        <f aca="false">MONTH(A9608)</f>
        <v>12</v>
      </c>
      <c r="H9608" s="38" t="n">
        <f aca="false">YEAR(Tabela1[[#This Row],[FECHA]])</f>
        <v>1900</v>
      </c>
      <c r="I96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09" customFormat="false" ht="15" hidden="false" customHeight="false" outlineLevel="0" collapsed="false">
      <c r="A9609" s="41"/>
      <c r="G9609" s="38" t="n">
        <f aca="false">MONTH(A9609)</f>
        <v>12</v>
      </c>
      <c r="H9609" s="38" t="n">
        <f aca="false">YEAR(Tabela1[[#This Row],[FECHA]])</f>
        <v>1900</v>
      </c>
      <c r="I96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10" customFormat="false" ht="15" hidden="false" customHeight="false" outlineLevel="0" collapsed="false">
      <c r="A9610" s="41"/>
      <c r="G9610" s="38" t="n">
        <f aca="false">MONTH(A9610)</f>
        <v>12</v>
      </c>
      <c r="H9610" s="38" t="n">
        <f aca="false">YEAR(Tabela1[[#This Row],[FECHA]])</f>
        <v>1900</v>
      </c>
      <c r="I96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11" customFormat="false" ht="15" hidden="false" customHeight="false" outlineLevel="0" collapsed="false">
      <c r="A9611" s="41"/>
      <c r="G9611" s="38" t="n">
        <f aca="false">MONTH(A9611)</f>
        <v>12</v>
      </c>
      <c r="H9611" s="38" t="n">
        <f aca="false">YEAR(Tabela1[[#This Row],[FECHA]])</f>
        <v>1900</v>
      </c>
      <c r="I96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12" customFormat="false" ht="15" hidden="false" customHeight="false" outlineLevel="0" collapsed="false">
      <c r="A9612" s="41"/>
      <c r="G9612" s="38" t="n">
        <f aca="false">MONTH(A9612)</f>
        <v>12</v>
      </c>
      <c r="H9612" s="38" t="n">
        <f aca="false">YEAR(Tabela1[[#This Row],[FECHA]])</f>
        <v>1900</v>
      </c>
      <c r="I96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13" customFormat="false" ht="15" hidden="false" customHeight="false" outlineLevel="0" collapsed="false">
      <c r="A9613" s="41"/>
      <c r="G9613" s="38" t="n">
        <f aca="false">MONTH(A9613)</f>
        <v>12</v>
      </c>
      <c r="H9613" s="38" t="n">
        <f aca="false">YEAR(Tabela1[[#This Row],[FECHA]])</f>
        <v>1900</v>
      </c>
      <c r="I96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14" customFormat="false" ht="15" hidden="false" customHeight="false" outlineLevel="0" collapsed="false">
      <c r="A9614" s="41"/>
      <c r="G9614" s="38" t="n">
        <f aca="false">MONTH(A9614)</f>
        <v>12</v>
      </c>
      <c r="H9614" s="38" t="n">
        <f aca="false">YEAR(Tabela1[[#This Row],[FECHA]])</f>
        <v>1900</v>
      </c>
      <c r="I96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15" customFormat="false" ht="15" hidden="false" customHeight="false" outlineLevel="0" collapsed="false">
      <c r="A9615" s="41"/>
      <c r="G9615" s="38" t="n">
        <f aca="false">MONTH(A9615)</f>
        <v>12</v>
      </c>
      <c r="H9615" s="38" t="n">
        <f aca="false">YEAR(Tabela1[[#This Row],[FECHA]])</f>
        <v>1900</v>
      </c>
      <c r="I96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16" customFormat="false" ht="15" hidden="false" customHeight="false" outlineLevel="0" collapsed="false">
      <c r="A9616" s="41"/>
      <c r="G9616" s="38" t="n">
        <f aca="false">MONTH(A9616)</f>
        <v>12</v>
      </c>
      <c r="H9616" s="38" t="n">
        <f aca="false">YEAR(Tabela1[[#This Row],[FECHA]])</f>
        <v>1900</v>
      </c>
      <c r="I96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17" customFormat="false" ht="15" hidden="false" customHeight="false" outlineLevel="0" collapsed="false">
      <c r="A9617" s="41"/>
      <c r="G9617" s="38" t="n">
        <f aca="false">MONTH(A9617)</f>
        <v>12</v>
      </c>
      <c r="H9617" s="38" t="n">
        <f aca="false">YEAR(Tabela1[[#This Row],[FECHA]])</f>
        <v>1900</v>
      </c>
      <c r="I96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18" customFormat="false" ht="15" hidden="false" customHeight="false" outlineLevel="0" collapsed="false">
      <c r="A9618" s="41"/>
      <c r="G9618" s="38" t="n">
        <f aca="false">MONTH(A9618)</f>
        <v>12</v>
      </c>
      <c r="H9618" s="38" t="n">
        <f aca="false">YEAR(Tabela1[[#This Row],[FECHA]])</f>
        <v>1900</v>
      </c>
      <c r="I96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19" customFormat="false" ht="15" hidden="false" customHeight="false" outlineLevel="0" collapsed="false">
      <c r="A9619" s="41"/>
      <c r="G9619" s="38" t="n">
        <f aca="false">MONTH(A9619)</f>
        <v>12</v>
      </c>
      <c r="H9619" s="38" t="n">
        <f aca="false">YEAR(Tabela1[[#This Row],[FECHA]])</f>
        <v>1900</v>
      </c>
      <c r="I96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20" customFormat="false" ht="15" hidden="false" customHeight="false" outlineLevel="0" collapsed="false">
      <c r="A9620" s="41"/>
      <c r="G9620" s="38" t="n">
        <f aca="false">MONTH(A9620)</f>
        <v>12</v>
      </c>
      <c r="H9620" s="38" t="n">
        <f aca="false">YEAR(Tabela1[[#This Row],[FECHA]])</f>
        <v>1900</v>
      </c>
      <c r="I96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21" customFormat="false" ht="15" hidden="false" customHeight="false" outlineLevel="0" collapsed="false">
      <c r="A9621" s="41"/>
      <c r="G9621" s="38" t="n">
        <f aca="false">MONTH(A9621)</f>
        <v>12</v>
      </c>
      <c r="H9621" s="38" t="n">
        <f aca="false">YEAR(Tabela1[[#This Row],[FECHA]])</f>
        <v>1900</v>
      </c>
      <c r="I96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22" customFormat="false" ht="15" hidden="false" customHeight="false" outlineLevel="0" collapsed="false">
      <c r="A9622" s="41"/>
      <c r="G9622" s="38" t="n">
        <f aca="false">MONTH(A9622)</f>
        <v>12</v>
      </c>
      <c r="H9622" s="38" t="n">
        <f aca="false">YEAR(Tabela1[[#This Row],[FECHA]])</f>
        <v>1900</v>
      </c>
      <c r="I96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23" customFormat="false" ht="15" hidden="false" customHeight="false" outlineLevel="0" collapsed="false">
      <c r="A9623" s="41"/>
      <c r="G9623" s="38" t="n">
        <f aca="false">MONTH(A9623)</f>
        <v>12</v>
      </c>
      <c r="H9623" s="38" t="n">
        <f aca="false">YEAR(Tabela1[[#This Row],[FECHA]])</f>
        <v>1900</v>
      </c>
      <c r="I96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24" customFormat="false" ht="15" hidden="false" customHeight="false" outlineLevel="0" collapsed="false">
      <c r="A9624" s="41"/>
      <c r="G9624" s="38" t="n">
        <f aca="false">MONTH(A9624)</f>
        <v>12</v>
      </c>
      <c r="H9624" s="38" t="n">
        <f aca="false">YEAR(Tabela1[[#This Row],[FECHA]])</f>
        <v>1900</v>
      </c>
      <c r="I96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25" customFormat="false" ht="15" hidden="false" customHeight="false" outlineLevel="0" collapsed="false">
      <c r="A9625" s="41"/>
      <c r="G9625" s="38" t="n">
        <f aca="false">MONTH(A9625)</f>
        <v>12</v>
      </c>
      <c r="H9625" s="38" t="n">
        <f aca="false">YEAR(Tabela1[[#This Row],[FECHA]])</f>
        <v>1900</v>
      </c>
      <c r="I96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26" customFormat="false" ht="15" hidden="false" customHeight="false" outlineLevel="0" collapsed="false">
      <c r="A9626" s="41"/>
      <c r="G9626" s="38" t="n">
        <f aca="false">MONTH(A9626)</f>
        <v>12</v>
      </c>
      <c r="H9626" s="38" t="n">
        <f aca="false">YEAR(Tabela1[[#This Row],[FECHA]])</f>
        <v>1900</v>
      </c>
      <c r="I96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27" customFormat="false" ht="15" hidden="false" customHeight="false" outlineLevel="0" collapsed="false">
      <c r="A9627" s="41"/>
      <c r="G9627" s="38" t="n">
        <f aca="false">MONTH(A9627)</f>
        <v>12</v>
      </c>
      <c r="H9627" s="38" t="n">
        <f aca="false">YEAR(Tabela1[[#This Row],[FECHA]])</f>
        <v>1900</v>
      </c>
      <c r="I96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28" customFormat="false" ht="15" hidden="false" customHeight="false" outlineLevel="0" collapsed="false">
      <c r="A9628" s="41"/>
      <c r="G9628" s="38" t="n">
        <f aca="false">MONTH(A9628)</f>
        <v>12</v>
      </c>
      <c r="H9628" s="38" t="n">
        <f aca="false">YEAR(Tabela1[[#This Row],[FECHA]])</f>
        <v>1900</v>
      </c>
      <c r="I96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29" customFormat="false" ht="15" hidden="false" customHeight="false" outlineLevel="0" collapsed="false">
      <c r="A9629" s="41"/>
      <c r="G9629" s="38" t="n">
        <f aca="false">MONTH(A9629)</f>
        <v>12</v>
      </c>
      <c r="H9629" s="38" t="n">
        <f aca="false">YEAR(Tabela1[[#This Row],[FECHA]])</f>
        <v>1900</v>
      </c>
      <c r="I96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30" customFormat="false" ht="15" hidden="false" customHeight="false" outlineLevel="0" collapsed="false">
      <c r="A9630" s="41"/>
      <c r="G9630" s="38" t="n">
        <f aca="false">MONTH(A9630)</f>
        <v>12</v>
      </c>
      <c r="H9630" s="38" t="n">
        <f aca="false">YEAR(Tabela1[[#This Row],[FECHA]])</f>
        <v>1900</v>
      </c>
      <c r="I96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31" customFormat="false" ht="15" hidden="false" customHeight="false" outlineLevel="0" collapsed="false">
      <c r="A9631" s="41"/>
      <c r="G9631" s="38" t="n">
        <f aca="false">MONTH(A9631)</f>
        <v>12</v>
      </c>
      <c r="H9631" s="38" t="n">
        <f aca="false">YEAR(Tabela1[[#This Row],[FECHA]])</f>
        <v>1900</v>
      </c>
      <c r="I96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32" customFormat="false" ht="15" hidden="false" customHeight="false" outlineLevel="0" collapsed="false">
      <c r="A9632" s="41"/>
      <c r="G9632" s="38" t="n">
        <f aca="false">MONTH(A9632)</f>
        <v>12</v>
      </c>
      <c r="H9632" s="38" t="n">
        <f aca="false">YEAR(Tabela1[[#This Row],[FECHA]])</f>
        <v>1900</v>
      </c>
      <c r="I96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33" customFormat="false" ht="15" hidden="false" customHeight="false" outlineLevel="0" collapsed="false">
      <c r="A9633" s="41"/>
      <c r="G9633" s="38" t="n">
        <f aca="false">MONTH(A9633)</f>
        <v>12</v>
      </c>
      <c r="H9633" s="38" t="n">
        <f aca="false">YEAR(Tabela1[[#This Row],[FECHA]])</f>
        <v>1900</v>
      </c>
      <c r="I96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34" customFormat="false" ht="15" hidden="false" customHeight="false" outlineLevel="0" collapsed="false">
      <c r="A9634" s="41"/>
      <c r="G9634" s="38" t="n">
        <f aca="false">MONTH(A9634)</f>
        <v>12</v>
      </c>
      <c r="H9634" s="38" t="n">
        <f aca="false">YEAR(Tabela1[[#This Row],[FECHA]])</f>
        <v>1900</v>
      </c>
      <c r="I96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35" customFormat="false" ht="15" hidden="false" customHeight="false" outlineLevel="0" collapsed="false">
      <c r="A9635" s="41"/>
      <c r="G9635" s="38" t="n">
        <f aca="false">MONTH(A9635)</f>
        <v>12</v>
      </c>
      <c r="H9635" s="38" t="n">
        <f aca="false">YEAR(Tabela1[[#This Row],[FECHA]])</f>
        <v>1900</v>
      </c>
      <c r="I96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36" customFormat="false" ht="15" hidden="false" customHeight="false" outlineLevel="0" collapsed="false">
      <c r="A9636" s="41"/>
      <c r="G9636" s="38" t="n">
        <f aca="false">MONTH(A9636)</f>
        <v>12</v>
      </c>
      <c r="H9636" s="38" t="n">
        <f aca="false">YEAR(Tabela1[[#This Row],[FECHA]])</f>
        <v>1900</v>
      </c>
      <c r="I96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37" customFormat="false" ht="15" hidden="false" customHeight="false" outlineLevel="0" collapsed="false">
      <c r="A9637" s="41"/>
      <c r="G9637" s="38" t="n">
        <f aca="false">MONTH(A9637)</f>
        <v>12</v>
      </c>
      <c r="H9637" s="38" t="n">
        <f aca="false">YEAR(Tabela1[[#This Row],[FECHA]])</f>
        <v>1900</v>
      </c>
      <c r="I96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38" customFormat="false" ht="15" hidden="false" customHeight="false" outlineLevel="0" collapsed="false">
      <c r="A9638" s="41"/>
      <c r="G9638" s="38" t="n">
        <f aca="false">MONTH(A9638)</f>
        <v>12</v>
      </c>
      <c r="H9638" s="38" t="n">
        <f aca="false">YEAR(Tabela1[[#This Row],[FECHA]])</f>
        <v>1900</v>
      </c>
      <c r="I96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39" customFormat="false" ht="15" hidden="false" customHeight="false" outlineLevel="0" collapsed="false">
      <c r="A9639" s="41"/>
      <c r="G9639" s="38" t="n">
        <f aca="false">MONTH(A9639)</f>
        <v>12</v>
      </c>
      <c r="H9639" s="38" t="n">
        <f aca="false">YEAR(Tabela1[[#This Row],[FECHA]])</f>
        <v>1900</v>
      </c>
      <c r="I96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40" customFormat="false" ht="15" hidden="false" customHeight="false" outlineLevel="0" collapsed="false">
      <c r="A9640" s="41"/>
      <c r="G9640" s="38" t="n">
        <f aca="false">MONTH(A9640)</f>
        <v>12</v>
      </c>
      <c r="H9640" s="38" t="n">
        <f aca="false">YEAR(Tabela1[[#This Row],[FECHA]])</f>
        <v>1900</v>
      </c>
      <c r="I96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41" customFormat="false" ht="15" hidden="false" customHeight="false" outlineLevel="0" collapsed="false">
      <c r="A9641" s="41"/>
      <c r="G9641" s="38" t="n">
        <f aca="false">MONTH(A9641)</f>
        <v>12</v>
      </c>
      <c r="H9641" s="38" t="n">
        <f aca="false">YEAR(Tabela1[[#This Row],[FECHA]])</f>
        <v>1900</v>
      </c>
      <c r="I96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42" customFormat="false" ht="15" hidden="false" customHeight="false" outlineLevel="0" collapsed="false">
      <c r="A9642" s="41"/>
      <c r="G9642" s="38" t="n">
        <f aca="false">MONTH(A9642)</f>
        <v>12</v>
      </c>
      <c r="H9642" s="38" t="n">
        <f aca="false">YEAR(Tabela1[[#This Row],[FECHA]])</f>
        <v>1900</v>
      </c>
      <c r="I96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43" customFormat="false" ht="15" hidden="false" customHeight="false" outlineLevel="0" collapsed="false">
      <c r="A9643" s="41"/>
      <c r="G9643" s="38" t="n">
        <f aca="false">MONTH(A9643)</f>
        <v>12</v>
      </c>
      <c r="H9643" s="38" t="n">
        <f aca="false">YEAR(Tabela1[[#This Row],[FECHA]])</f>
        <v>1900</v>
      </c>
      <c r="I96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44" customFormat="false" ht="15" hidden="false" customHeight="false" outlineLevel="0" collapsed="false">
      <c r="A9644" s="41"/>
      <c r="G9644" s="38" t="n">
        <f aca="false">MONTH(A9644)</f>
        <v>12</v>
      </c>
      <c r="H9644" s="38" t="n">
        <f aca="false">YEAR(Tabela1[[#This Row],[FECHA]])</f>
        <v>1900</v>
      </c>
      <c r="I96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45" customFormat="false" ht="15" hidden="false" customHeight="false" outlineLevel="0" collapsed="false">
      <c r="A9645" s="41"/>
      <c r="G9645" s="38" t="n">
        <f aca="false">MONTH(A9645)</f>
        <v>12</v>
      </c>
      <c r="H9645" s="38" t="n">
        <f aca="false">YEAR(Tabela1[[#This Row],[FECHA]])</f>
        <v>1900</v>
      </c>
      <c r="I96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46" customFormat="false" ht="15" hidden="false" customHeight="false" outlineLevel="0" collapsed="false">
      <c r="A9646" s="41"/>
      <c r="G9646" s="38" t="n">
        <f aca="false">MONTH(A9646)</f>
        <v>12</v>
      </c>
      <c r="H9646" s="38" t="n">
        <f aca="false">YEAR(Tabela1[[#This Row],[FECHA]])</f>
        <v>1900</v>
      </c>
      <c r="I96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47" customFormat="false" ht="15" hidden="false" customHeight="false" outlineLevel="0" collapsed="false">
      <c r="A9647" s="41"/>
      <c r="G9647" s="38" t="n">
        <f aca="false">MONTH(A9647)</f>
        <v>12</v>
      </c>
      <c r="H9647" s="38" t="n">
        <f aca="false">YEAR(Tabela1[[#This Row],[FECHA]])</f>
        <v>1900</v>
      </c>
      <c r="I96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48" customFormat="false" ht="15" hidden="false" customHeight="false" outlineLevel="0" collapsed="false">
      <c r="A9648" s="41"/>
      <c r="G9648" s="38" t="n">
        <f aca="false">MONTH(A9648)</f>
        <v>12</v>
      </c>
      <c r="H9648" s="38" t="n">
        <f aca="false">YEAR(Tabela1[[#This Row],[FECHA]])</f>
        <v>1900</v>
      </c>
      <c r="I96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49" customFormat="false" ht="15" hidden="false" customHeight="false" outlineLevel="0" collapsed="false">
      <c r="A9649" s="41"/>
      <c r="G9649" s="38" t="n">
        <f aca="false">MONTH(A9649)</f>
        <v>12</v>
      </c>
      <c r="H9649" s="38" t="n">
        <f aca="false">YEAR(Tabela1[[#This Row],[FECHA]])</f>
        <v>1900</v>
      </c>
      <c r="I96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50" customFormat="false" ht="15" hidden="false" customHeight="false" outlineLevel="0" collapsed="false">
      <c r="A9650" s="41"/>
      <c r="G9650" s="38" t="n">
        <f aca="false">MONTH(A9650)</f>
        <v>12</v>
      </c>
      <c r="H9650" s="38" t="n">
        <f aca="false">YEAR(Tabela1[[#This Row],[FECHA]])</f>
        <v>1900</v>
      </c>
      <c r="I96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51" customFormat="false" ht="15" hidden="false" customHeight="false" outlineLevel="0" collapsed="false">
      <c r="A9651" s="41"/>
      <c r="G9651" s="38" t="n">
        <f aca="false">MONTH(A9651)</f>
        <v>12</v>
      </c>
      <c r="H9651" s="38" t="n">
        <f aca="false">YEAR(Tabela1[[#This Row],[FECHA]])</f>
        <v>1900</v>
      </c>
      <c r="I96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52" customFormat="false" ht="15" hidden="false" customHeight="false" outlineLevel="0" collapsed="false">
      <c r="A9652" s="41"/>
      <c r="G9652" s="38" t="n">
        <f aca="false">MONTH(A9652)</f>
        <v>12</v>
      </c>
      <c r="H9652" s="38" t="n">
        <f aca="false">YEAR(Tabela1[[#This Row],[FECHA]])</f>
        <v>1900</v>
      </c>
      <c r="I96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53" customFormat="false" ht="15" hidden="false" customHeight="false" outlineLevel="0" collapsed="false">
      <c r="A9653" s="41"/>
      <c r="G9653" s="38" t="n">
        <f aca="false">MONTH(A9653)</f>
        <v>12</v>
      </c>
      <c r="H9653" s="38" t="n">
        <f aca="false">YEAR(Tabela1[[#This Row],[FECHA]])</f>
        <v>1900</v>
      </c>
      <c r="I96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54" customFormat="false" ht="15" hidden="false" customHeight="false" outlineLevel="0" collapsed="false">
      <c r="A9654" s="41"/>
      <c r="G9654" s="38" t="n">
        <f aca="false">MONTH(A9654)</f>
        <v>12</v>
      </c>
      <c r="H9654" s="38" t="n">
        <f aca="false">YEAR(Tabela1[[#This Row],[FECHA]])</f>
        <v>1900</v>
      </c>
      <c r="I96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55" customFormat="false" ht="15" hidden="false" customHeight="false" outlineLevel="0" collapsed="false">
      <c r="A9655" s="41"/>
      <c r="G9655" s="38" t="n">
        <f aca="false">MONTH(A9655)</f>
        <v>12</v>
      </c>
      <c r="H9655" s="38" t="n">
        <f aca="false">YEAR(Tabela1[[#This Row],[FECHA]])</f>
        <v>1900</v>
      </c>
      <c r="I96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56" customFormat="false" ht="15" hidden="false" customHeight="false" outlineLevel="0" collapsed="false">
      <c r="A9656" s="41"/>
      <c r="G9656" s="38" t="n">
        <f aca="false">MONTH(A9656)</f>
        <v>12</v>
      </c>
      <c r="H9656" s="38" t="n">
        <f aca="false">YEAR(Tabela1[[#This Row],[FECHA]])</f>
        <v>1900</v>
      </c>
      <c r="I96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57" customFormat="false" ht="15" hidden="false" customHeight="false" outlineLevel="0" collapsed="false">
      <c r="A9657" s="41"/>
      <c r="G9657" s="38" t="n">
        <f aca="false">MONTH(A9657)</f>
        <v>12</v>
      </c>
      <c r="H9657" s="38" t="n">
        <f aca="false">YEAR(Tabela1[[#This Row],[FECHA]])</f>
        <v>1900</v>
      </c>
      <c r="I96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58" customFormat="false" ht="15" hidden="false" customHeight="false" outlineLevel="0" collapsed="false">
      <c r="A9658" s="41"/>
      <c r="G9658" s="38" t="n">
        <f aca="false">MONTH(A9658)</f>
        <v>12</v>
      </c>
      <c r="H9658" s="38" t="n">
        <f aca="false">YEAR(Tabela1[[#This Row],[FECHA]])</f>
        <v>1900</v>
      </c>
      <c r="I96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59" customFormat="false" ht="15" hidden="false" customHeight="false" outlineLevel="0" collapsed="false">
      <c r="A9659" s="41"/>
      <c r="G9659" s="38" t="n">
        <f aca="false">MONTH(A9659)</f>
        <v>12</v>
      </c>
      <c r="H9659" s="38" t="n">
        <f aca="false">YEAR(Tabela1[[#This Row],[FECHA]])</f>
        <v>1900</v>
      </c>
      <c r="I96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60" customFormat="false" ht="15" hidden="false" customHeight="false" outlineLevel="0" collapsed="false">
      <c r="A9660" s="41"/>
      <c r="G9660" s="38" t="n">
        <f aca="false">MONTH(A9660)</f>
        <v>12</v>
      </c>
      <c r="H9660" s="38" t="n">
        <f aca="false">YEAR(Tabela1[[#This Row],[FECHA]])</f>
        <v>1900</v>
      </c>
      <c r="I96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61" customFormat="false" ht="15" hidden="false" customHeight="false" outlineLevel="0" collapsed="false">
      <c r="A9661" s="41"/>
      <c r="G9661" s="38" t="n">
        <f aca="false">MONTH(A9661)</f>
        <v>12</v>
      </c>
      <c r="H9661" s="38" t="n">
        <f aca="false">YEAR(Tabela1[[#This Row],[FECHA]])</f>
        <v>1900</v>
      </c>
      <c r="I96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62" customFormat="false" ht="15" hidden="false" customHeight="false" outlineLevel="0" collapsed="false">
      <c r="A9662" s="41"/>
      <c r="G9662" s="38" t="n">
        <f aca="false">MONTH(A9662)</f>
        <v>12</v>
      </c>
      <c r="H9662" s="38" t="n">
        <f aca="false">YEAR(Tabela1[[#This Row],[FECHA]])</f>
        <v>1900</v>
      </c>
      <c r="I96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63" customFormat="false" ht="15" hidden="false" customHeight="false" outlineLevel="0" collapsed="false">
      <c r="A9663" s="41"/>
      <c r="G9663" s="38" t="n">
        <f aca="false">MONTH(A9663)</f>
        <v>12</v>
      </c>
      <c r="H9663" s="38" t="n">
        <f aca="false">YEAR(Tabela1[[#This Row],[FECHA]])</f>
        <v>1900</v>
      </c>
      <c r="I96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64" customFormat="false" ht="15" hidden="false" customHeight="false" outlineLevel="0" collapsed="false">
      <c r="A9664" s="41"/>
      <c r="G9664" s="38" t="n">
        <f aca="false">MONTH(A9664)</f>
        <v>12</v>
      </c>
      <c r="H9664" s="38" t="n">
        <f aca="false">YEAR(Tabela1[[#This Row],[FECHA]])</f>
        <v>1900</v>
      </c>
      <c r="I96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65" customFormat="false" ht="15" hidden="false" customHeight="false" outlineLevel="0" collapsed="false">
      <c r="A9665" s="41"/>
      <c r="G9665" s="38" t="n">
        <f aca="false">MONTH(A9665)</f>
        <v>12</v>
      </c>
      <c r="H9665" s="38" t="n">
        <f aca="false">YEAR(Tabela1[[#This Row],[FECHA]])</f>
        <v>1900</v>
      </c>
      <c r="I96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66" customFormat="false" ht="15" hidden="false" customHeight="false" outlineLevel="0" collapsed="false">
      <c r="A9666" s="41"/>
      <c r="G9666" s="38" t="n">
        <f aca="false">MONTH(A9666)</f>
        <v>12</v>
      </c>
      <c r="H9666" s="38" t="n">
        <f aca="false">YEAR(Tabela1[[#This Row],[FECHA]])</f>
        <v>1900</v>
      </c>
      <c r="I96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67" customFormat="false" ht="15" hidden="false" customHeight="false" outlineLevel="0" collapsed="false">
      <c r="A9667" s="41"/>
      <c r="G9667" s="38" t="n">
        <f aca="false">MONTH(A9667)</f>
        <v>12</v>
      </c>
      <c r="H9667" s="38" t="n">
        <f aca="false">YEAR(Tabela1[[#This Row],[FECHA]])</f>
        <v>1900</v>
      </c>
      <c r="I96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68" customFormat="false" ht="15" hidden="false" customHeight="false" outlineLevel="0" collapsed="false">
      <c r="A9668" s="41"/>
      <c r="G9668" s="38" t="n">
        <f aca="false">MONTH(A9668)</f>
        <v>12</v>
      </c>
      <c r="H9668" s="38" t="n">
        <f aca="false">YEAR(Tabela1[[#This Row],[FECHA]])</f>
        <v>1900</v>
      </c>
      <c r="I96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69" customFormat="false" ht="15" hidden="false" customHeight="false" outlineLevel="0" collapsed="false">
      <c r="A9669" s="41"/>
      <c r="G9669" s="38" t="n">
        <f aca="false">MONTH(A9669)</f>
        <v>12</v>
      </c>
      <c r="H9669" s="38" t="n">
        <f aca="false">YEAR(Tabela1[[#This Row],[FECHA]])</f>
        <v>1900</v>
      </c>
      <c r="I96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70" customFormat="false" ht="15" hidden="false" customHeight="false" outlineLevel="0" collapsed="false">
      <c r="A9670" s="41"/>
      <c r="G9670" s="38" t="n">
        <f aca="false">MONTH(A9670)</f>
        <v>12</v>
      </c>
      <c r="H9670" s="38" t="n">
        <f aca="false">YEAR(Tabela1[[#This Row],[FECHA]])</f>
        <v>1900</v>
      </c>
      <c r="I96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71" customFormat="false" ht="15" hidden="false" customHeight="false" outlineLevel="0" collapsed="false">
      <c r="A9671" s="41"/>
      <c r="G9671" s="38" t="n">
        <f aca="false">MONTH(A9671)</f>
        <v>12</v>
      </c>
      <c r="H9671" s="38" t="n">
        <f aca="false">YEAR(Tabela1[[#This Row],[FECHA]])</f>
        <v>1900</v>
      </c>
      <c r="I96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72" customFormat="false" ht="15" hidden="false" customHeight="false" outlineLevel="0" collapsed="false">
      <c r="A9672" s="41"/>
      <c r="G9672" s="38" t="n">
        <f aca="false">MONTH(A9672)</f>
        <v>12</v>
      </c>
      <c r="H9672" s="38" t="n">
        <f aca="false">YEAR(Tabela1[[#This Row],[FECHA]])</f>
        <v>1900</v>
      </c>
      <c r="I96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73" customFormat="false" ht="15" hidden="false" customHeight="false" outlineLevel="0" collapsed="false">
      <c r="A9673" s="41"/>
      <c r="G9673" s="38" t="n">
        <f aca="false">MONTH(A9673)</f>
        <v>12</v>
      </c>
      <c r="H9673" s="38" t="n">
        <f aca="false">YEAR(Tabela1[[#This Row],[FECHA]])</f>
        <v>1900</v>
      </c>
      <c r="I96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74" customFormat="false" ht="15" hidden="false" customHeight="false" outlineLevel="0" collapsed="false">
      <c r="A9674" s="41"/>
      <c r="G9674" s="38" t="n">
        <f aca="false">MONTH(A9674)</f>
        <v>12</v>
      </c>
      <c r="H9674" s="38" t="n">
        <f aca="false">YEAR(Tabela1[[#This Row],[FECHA]])</f>
        <v>1900</v>
      </c>
      <c r="I96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75" customFormat="false" ht="15" hidden="false" customHeight="false" outlineLevel="0" collapsed="false">
      <c r="A9675" s="41"/>
      <c r="G9675" s="38" t="n">
        <f aca="false">MONTH(A9675)</f>
        <v>12</v>
      </c>
      <c r="H9675" s="38" t="n">
        <f aca="false">YEAR(Tabela1[[#This Row],[FECHA]])</f>
        <v>1900</v>
      </c>
      <c r="I96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76" customFormat="false" ht="15" hidden="false" customHeight="false" outlineLevel="0" collapsed="false">
      <c r="A9676" s="41"/>
      <c r="G9676" s="38" t="n">
        <f aca="false">MONTH(A9676)</f>
        <v>12</v>
      </c>
      <c r="H9676" s="38" t="n">
        <f aca="false">YEAR(Tabela1[[#This Row],[FECHA]])</f>
        <v>1900</v>
      </c>
      <c r="I96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77" customFormat="false" ht="15" hidden="false" customHeight="false" outlineLevel="0" collapsed="false">
      <c r="A9677" s="41"/>
      <c r="G9677" s="38" t="n">
        <f aca="false">MONTH(A9677)</f>
        <v>12</v>
      </c>
      <c r="H9677" s="38" t="n">
        <f aca="false">YEAR(Tabela1[[#This Row],[FECHA]])</f>
        <v>1900</v>
      </c>
      <c r="I96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78" customFormat="false" ht="15" hidden="false" customHeight="false" outlineLevel="0" collapsed="false">
      <c r="A9678" s="41"/>
      <c r="G9678" s="38" t="n">
        <f aca="false">MONTH(A9678)</f>
        <v>12</v>
      </c>
      <c r="H9678" s="38" t="n">
        <f aca="false">YEAR(Tabela1[[#This Row],[FECHA]])</f>
        <v>1900</v>
      </c>
      <c r="I96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79" customFormat="false" ht="15" hidden="false" customHeight="false" outlineLevel="0" collapsed="false">
      <c r="A9679" s="41"/>
      <c r="G9679" s="38" t="n">
        <f aca="false">MONTH(A9679)</f>
        <v>12</v>
      </c>
      <c r="H9679" s="38" t="n">
        <f aca="false">YEAR(Tabela1[[#This Row],[FECHA]])</f>
        <v>1900</v>
      </c>
      <c r="I96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80" customFormat="false" ht="15" hidden="false" customHeight="false" outlineLevel="0" collapsed="false">
      <c r="A9680" s="41"/>
      <c r="G9680" s="38" t="n">
        <f aca="false">MONTH(A9680)</f>
        <v>12</v>
      </c>
      <c r="H9680" s="38" t="n">
        <f aca="false">YEAR(Tabela1[[#This Row],[FECHA]])</f>
        <v>1900</v>
      </c>
      <c r="I96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81" customFormat="false" ht="15" hidden="false" customHeight="false" outlineLevel="0" collapsed="false">
      <c r="A9681" s="41"/>
      <c r="G9681" s="38" t="n">
        <f aca="false">MONTH(A9681)</f>
        <v>12</v>
      </c>
      <c r="H9681" s="38" t="n">
        <f aca="false">YEAR(Tabela1[[#This Row],[FECHA]])</f>
        <v>1900</v>
      </c>
      <c r="I96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82" customFormat="false" ht="15" hidden="false" customHeight="false" outlineLevel="0" collapsed="false">
      <c r="A9682" s="41"/>
      <c r="G9682" s="38" t="n">
        <f aca="false">MONTH(A9682)</f>
        <v>12</v>
      </c>
      <c r="H9682" s="38" t="n">
        <f aca="false">YEAR(Tabela1[[#This Row],[FECHA]])</f>
        <v>1900</v>
      </c>
      <c r="I96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83" customFormat="false" ht="15" hidden="false" customHeight="false" outlineLevel="0" collapsed="false">
      <c r="A9683" s="41"/>
      <c r="G9683" s="38" t="n">
        <f aca="false">MONTH(A9683)</f>
        <v>12</v>
      </c>
      <c r="H9683" s="38" t="n">
        <f aca="false">YEAR(Tabela1[[#This Row],[FECHA]])</f>
        <v>1900</v>
      </c>
      <c r="I96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84" customFormat="false" ht="15" hidden="false" customHeight="false" outlineLevel="0" collapsed="false">
      <c r="A9684" s="41"/>
      <c r="G9684" s="38" t="n">
        <f aca="false">MONTH(A9684)</f>
        <v>12</v>
      </c>
      <c r="H9684" s="38" t="n">
        <f aca="false">YEAR(Tabela1[[#This Row],[FECHA]])</f>
        <v>1900</v>
      </c>
      <c r="I96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85" customFormat="false" ht="15" hidden="false" customHeight="false" outlineLevel="0" collapsed="false">
      <c r="A9685" s="41"/>
      <c r="G9685" s="38" t="n">
        <f aca="false">MONTH(A9685)</f>
        <v>12</v>
      </c>
      <c r="H9685" s="38" t="n">
        <f aca="false">YEAR(Tabela1[[#This Row],[FECHA]])</f>
        <v>1900</v>
      </c>
      <c r="I96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86" customFormat="false" ht="15" hidden="false" customHeight="false" outlineLevel="0" collapsed="false">
      <c r="A9686" s="41"/>
      <c r="G9686" s="38" t="n">
        <f aca="false">MONTH(A9686)</f>
        <v>12</v>
      </c>
      <c r="H9686" s="38" t="n">
        <f aca="false">YEAR(Tabela1[[#This Row],[FECHA]])</f>
        <v>1900</v>
      </c>
      <c r="I96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87" customFormat="false" ht="15" hidden="false" customHeight="false" outlineLevel="0" collapsed="false">
      <c r="A9687" s="41"/>
      <c r="G9687" s="38" t="n">
        <f aca="false">MONTH(A9687)</f>
        <v>12</v>
      </c>
      <c r="H9687" s="38" t="n">
        <f aca="false">YEAR(Tabela1[[#This Row],[FECHA]])</f>
        <v>1900</v>
      </c>
      <c r="I96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88" customFormat="false" ht="15" hidden="false" customHeight="false" outlineLevel="0" collapsed="false">
      <c r="A9688" s="41"/>
      <c r="G9688" s="38" t="n">
        <f aca="false">MONTH(A9688)</f>
        <v>12</v>
      </c>
      <c r="H9688" s="38" t="n">
        <f aca="false">YEAR(Tabela1[[#This Row],[FECHA]])</f>
        <v>1900</v>
      </c>
      <c r="I96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89" customFormat="false" ht="15" hidden="false" customHeight="false" outlineLevel="0" collapsed="false">
      <c r="A9689" s="41"/>
      <c r="G9689" s="38" t="n">
        <f aca="false">MONTH(A9689)</f>
        <v>12</v>
      </c>
      <c r="H9689" s="38" t="n">
        <f aca="false">YEAR(Tabela1[[#This Row],[FECHA]])</f>
        <v>1900</v>
      </c>
      <c r="I96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90" customFormat="false" ht="15" hidden="false" customHeight="false" outlineLevel="0" collapsed="false">
      <c r="A9690" s="41"/>
      <c r="G9690" s="38" t="n">
        <f aca="false">MONTH(A9690)</f>
        <v>12</v>
      </c>
      <c r="H9690" s="38" t="n">
        <f aca="false">YEAR(Tabela1[[#This Row],[FECHA]])</f>
        <v>1900</v>
      </c>
      <c r="I96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91" customFormat="false" ht="15" hidden="false" customHeight="false" outlineLevel="0" collapsed="false">
      <c r="A9691" s="41"/>
      <c r="G9691" s="38" t="n">
        <f aca="false">MONTH(A9691)</f>
        <v>12</v>
      </c>
      <c r="H9691" s="38" t="n">
        <f aca="false">YEAR(Tabela1[[#This Row],[FECHA]])</f>
        <v>1900</v>
      </c>
      <c r="I96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92" customFormat="false" ht="15" hidden="false" customHeight="false" outlineLevel="0" collapsed="false">
      <c r="A9692" s="41"/>
      <c r="G9692" s="38" t="n">
        <f aca="false">MONTH(A9692)</f>
        <v>12</v>
      </c>
      <c r="H9692" s="38" t="n">
        <f aca="false">YEAR(Tabela1[[#This Row],[FECHA]])</f>
        <v>1900</v>
      </c>
      <c r="I96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93" customFormat="false" ht="15" hidden="false" customHeight="false" outlineLevel="0" collapsed="false">
      <c r="A9693" s="41"/>
      <c r="G9693" s="38" t="n">
        <f aca="false">MONTH(A9693)</f>
        <v>12</v>
      </c>
      <c r="H9693" s="38" t="n">
        <f aca="false">YEAR(Tabela1[[#This Row],[FECHA]])</f>
        <v>1900</v>
      </c>
      <c r="I96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94" customFormat="false" ht="15" hidden="false" customHeight="false" outlineLevel="0" collapsed="false">
      <c r="A9694" s="41"/>
      <c r="G9694" s="38" t="n">
        <f aca="false">MONTH(A9694)</f>
        <v>12</v>
      </c>
      <c r="H9694" s="38" t="n">
        <f aca="false">YEAR(Tabela1[[#This Row],[FECHA]])</f>
        <v>1900</v>
      </c>
      <c r="I96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95" customFormat="false" ht="15" hidden="false" customHeight="false" outlineLevel="0" collapsed="false">
      <c r="A9695" s="41"/>
      <c r="G9695" s="38" t="n">
        <f aca="false">MONTH(A9695)</f>
        <v>12</v>
      </c>
      <c r="H9695" s="38" t="n">
        <f aca="false">YEAR(Tabela1[[#This Row],[FECHA]])</f>
        <v>1900</v>
      </c>
      <c r="I96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96" customFormat="false" ht="15" hidden="false" customHeight="false" outlineLevel="0" collapsed="false">
      <c r="A9696" s="41"/>
      <c r="G9696" s="38" t="n">
        <f aca="false">MONTH(A9696)</f>
        <v>12</v>
      </c>
      <c r="H9696" s="38" t="n">
        <f aca="false">YEAR(Tabela1[[#This Row],[FECHA]])</f>
        <v>1900</v>
      </c>
      <c r="I96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97" customFormat="false" ht="15" hidden="false" customHeight="false" outlineLevel="0" collapsed="false">
      <c r="A9697" s="41"/>
      <c r="G9697" s="38" t="n">
        <f aca="false">MONTH(A9697)</f>
        <v>12</v>
      </c>
      <c r="H9697" s="38" t="n">
        <f aca="false">YEAR(Tabela1[[#This Row],[FECHA]])</f>
        <v>1900</v>
      </c>
      <c r="I96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98" customFormat="false" ht="15" hidden="false" customHeight="false" outlineLevel="0" collapsed="false">
      <c r="A9698" s="41"/>
      <c r="G9698" s="38" t="n">
        <f aca="false">MONTH(A9698)</f>
        <v>12</v>
      </c>
      <c r="H9698" s="38" t="n">
        <f aca="false">YEAR(Tabela1[[#This Row],[FECHA]])</f>
        <v>1900</v>
      </c>
      <c r="I96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699" customFormat="false" ht="15" hidden="false" customHeight="false" outlineLevel="0" collapsed="false">
      <c r="A9699" s="41"/>
      <c r="G9699" s="38" t="n">
        <f aca="false">MONTH(A9699)</f>
        <v>12</v>
      </c>
      <c r="H9699" s="38" t="n">
        <f aca="false">YEAR(Tabela1[[#This Row],[FECHA]])</f>
        <v>1900</v>
      </c>
      <c r="I96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00" customFormat="false" ht="15" hidden="false" customHeight="false" outlineLevel="0" collapsed="false">
      <c r="A9700" s="41"/>
      <c r="G9700" s="38" t="n">
        <f aca="false">MONTH(A9700)</f>
        <v>12</v>
      </c>
      <c r="H9700" s="38" t="n">
        <f aca="false">YEAR(Tabela1[[#This Row],[FECHA]])</f>
        <v>1900</v>
      </c>
      <c r="I97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01" customFormat="false" ht="15" hidden="false" customHeight="false" outlineLevel="0" collapsed="false">
      <c r="A9701" s="41"/>
      <c r="G9701" s="38" t="n">
        <f aca="false">MONTH(A9701)</f>
        <v>12</v>
      </c>
      <c r="H9701" s="38" t="n">
        <f aca="false">YEAR(Tabela1[[#This Row],[FECHA]])</f>
        <v>1900</v>
      </c>
      <c r="I97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02" customFormat="false" ht="15" hidden="false" customHeight="false" outlineLevel="0" collapsed="false">
      <c r="A9702" s="41"/>
      <c r="G9702" s="38" t="n">
        <f aca="false">MONTH(A9702)</f>
        <v>12</v>
      </c>
      <c r="H9702" s="38" t="n">
        <f aca="false">YEAR(Tabela1[[#This Row],[FECHA]])</f>
        <v>1900</v>
      </c>
      <c r="I97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03" customFormat="false" ht="15" hidden="false" customHeight="false" outlineLevel="0" collapsed="false">
      <c r="A9703" s="41"/>
      <c r="G9703" s="38" t="n">
        <f aca="false">MONTH(A9703)</f>
        <v>12</v>
      </c>
      <c r="H9703" s="38" t="n">
        <f aca="false">YEAR(Tabela1[[#This Row],[FECHA]])</f>
        <v>1900</v>
      </c>
      <c r="I97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04" customFormat="false" ht="15" hidden="false" customHeight="false" outlineLevel="0" collapsed="false">
      <c r="A9704" s="41"/>
      <c r="G9704" s="38" t="n">
        <f aca="false">MONTH(A9704)</f>
        <v>12</v>
      </c>
      <c r="H9704" s="38" t="n">
        <f aca="false">YEAR(Tabela1[[#This Row],[FECHA]])</f>
        <v>1900</v>
      </c>
      <c r="I97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05" customFormat="false" ht="15" hidden="false" customHeight="false" outlineLevel="0" collapsed="false">
      <c r="A9705" s="41"/>
      <c r="G9705" s="38" t="n">
        <f aca="false">MONTH(A9705)</f>
        <v>12</v>
      </c>
      <c r="H9705" s="38" t="n">
        <f aca="false">YEAR(Tabela1[[#This Row],[FECHA]])</f>
        <v>1900</v>
      </c>
      <c r="I97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06" customFormat="false" ht="15" hidden="false" customHeight="false" outlineLevel="0" collapsed="false">
      <c r="A9706" s="41"/>
      <c r="G9706" s="38" t="n">
        <f aca="false">MONTH(A9706)</f>
        <v>12</v>
      </c>
      <c r="H9706" s="38" t="n">
        <f aca="false">YEAR(Tabela1[[#This Row],[FECHA]])</f>
        <v>1900</v>
      </c>
      <c r="I97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07" customFormat="false" ht="15" hidden="false" customHeight="false" outlineLevel="0" collapsed="false">
      <c r="A9707" s="41"/>
      <c r="G9707" s="38" t="n">
        <f aca="false">MONTH(A9707)</f>
        <v>12</v>
      </c>
      <c r="H9707" s="38" t="n">
        <f aca="false">YEAR(Tabela1[[#This Row],[FECHA]])</f>
        <v>1900</v>
      </c>
      <c r="I97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08" customFormat="false" ht="15" hidden="false" customHeight="false" outlineLevel="0" collapsed="false">
      <c r="A9708" s="41"/>
      <c r="G9708" s="38" t="n">
        <f aca="false">MONTH(A9708)</f>
        <v>12</v>
      </c>
      <c r="H9708" s="38" t="n">
        <f aca="false">YEAR(Tabela1[[#This Row],[FECHA]])</f>
        <v>1900</v>
      </c>
      <c r="I97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09" customFormat="false" ht="15" hidden="false" customHeight="false" outlineLevel="0" collapsed="false">
      <c r="A9709" s="41"/>
      <c r="G9709" s="38" t="n">
        <f aca="false">MONTH(A9709)</f>
        <v>12</v>
      </c>
      <c r="H9709" s="38" t="n">
        <f aca="false">YEAR(Tabela1[[#This Row],[FECHA]])</f>
        <v>1900</v>
      </c>
      <c r="I97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10" customFormat="false" ht="15" hidden="false" customHeight="false" outlineLevel="0" collapsed="false">
      <c r="A9710" s="41"/>
      <c r="G9710" s="38" t="n">
        <f aca="false">MONTH(A9710)</f>
        <v>12</v>
      </c>
      <c r="H9710" s="38" t="n">
        <f aca="false">YEAR(Tabela1[[#This Row],[FECHA]])</f>
        <v>1900</v>
      </c>
      <c r="I97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11" customFormat="false" ht="15" hidden="false" customHeight="false" outlineLevel="0" collapsed="false">
      <c r="A9711" s="41"/>
      <c r="G9711" s="38" t="n">
        <f aca="false">MONTH(A9711)</f>
        <v>12</v>
      </c>
      <c r="H9711" s="38" t="n">
        <f aca="false">YEAR(Tabela1[[#This Row],[FECHA]])</f>
        <v>1900</v>
      </c>
      <c r="I97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12" customFormat="false" ht="15" hidden="false" customHeight="false" outlineLevel="0" collapsed="false">
      <c r="A9712" s="41"/>
      <c r="G9712" s="38" t="n">
        <f aca="false">MONTH(A9712)</f>
        <v>12</v>
      </c>
      <c r="H9712" s="38" t="n">
        <f aca="false">YEAR(Tabela1[[#This Row],[FECHA]])</f>
        <v>1900</v>
      </c>
      <c r="I97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13" customFormat="false" ht="15" hidden="false" customHeight="false" outlineLevel="0" collapsed="false">
      <c r="A9713" s="41"/>
      <c r="G9713" s="38" t="n">
        <f aca="false">MONTH(A9713)</f>
        <v>12</v>
      </c>
      <c r="H9713" s="38" t="n">
        <f aca="false">YEAR(Tabela1[[#This Row],[FECHA]])</f>
        <v>1900</v>
      </c>
      <c r="I97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14" customFormat="false" ht="15" hidden="false" customHeight="false" outlineLevel="0" collapsed="false">
      <c r="A9714" s="41"/>
      <c r="G9714" s="38" t="n">
        <f aca="false">MONTH(A9714)</f>
        <v>12</v>
      </c>
      <c r="H9714" s="38" t="n">
        <f aca="false">YEAR(Tabela1[[#This Row],[FECHA]])</f>
        <v>1900</v>
      </c>
      <c r="I97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15" customFormat="false" ht="15" hidden="false" customHeight="false" outlineLevel="0" collapsed="false">
      <c r="A9715" s="41"/>
      <c r="G9715" s="38" t="n">
        <f aca="false">MONTH(A9715)</f>
        <v>12</v>
      </c>
      <c r="H9715" s="38" t="n">
        <f aca="false">YEAR(Tabela1[[#This Row],[FECHA]])</f>
        <v>1900</v>
      </c>
      <c r="I97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16" customFormat="false" ht="15" hidden="false" customHeight="false" outlineLevel="0" collapsed="false">
      <c r="A9716" s="41"/>
      <c r="G9716" s="38" t="n">
        <f aca="false">MONTH(A9716)</f>
        <v>12</v>
      </c>
      <c r="H9716" s="38" t="n">
        <f aca="false">YEAR(Tabela1[[#This Row],[FECHA]])</f>
        <v>1900</v>
      </c>
      <c r="I97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17" customFormat="false" ht="15" hidden="false" customHeight="false" outlineLevel="0" collapsed="false">
      <c r="A9717" s="41"/>
      <c r="G9717" s="38" t="n">
        <f aca="false">MONTH(A9717)</f>
        <v>12</v>
      </c>
      <c r="H9717" s="38" t="n">
        <f aca="false">YEAR(Tabela1[[#This Row],[FECHA]])</f>
        <v>1900</v>
      </c>
      <c r="I97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18" customFormat="false" ht="15" hidden="false" customHeight="false" outlineLevel="0" collapsed="false">
      <c r="A9718" s="41"/>
      <c r="G9718" s="38" t="n">
        <f aca="false">MONTH(A9718)</f>
        <v>12</v>
      </c>
      <c r="H9718" s="38" t="n">
        <f aca="false">YEAR(Tabela1[[#This Row],[FECHA]])</f>
        <v>1900</v>
      </c>
      <c r="I97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19" customFormat="false" ht="15" hidden="false" customHeight="false" outlineLevel="0" collapsed="false">
      <c r="A9719" s="41"/>
      <c r="G9719" s="38" t="n">
        <f aca="false">MONTH(A9719)</f>
        <v>12</v>
      </c>
      <c r="H9719" s="38" t="n">
        <f aca="false">YEAR(Tabela1[[#This Row],[FECHA]])</f>
        <v>1900</v>
      </c>
      <c r="I97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20" customFormat="false" ht="15" hidden="false" customHeight="false" outlineLevel="0" collapsed="false">
      <c r="A9720" s="41"/>
      <c r="G9720" s="38" t="n">
        <f aca="false">MONTH(A9720)</f>
        <v>12</v>
      </c>
      <c r="H9720" s="38" t="n">
        <f aca="false">YEAR(Tabela1[[#This Row],[FECHA]])</f>
        <v>1900</v>
      </c>
      <c r="I97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21" customFormat="false" ht="15" hidden="false" customHeight="false" outlineLevel="0" collapsed="false">
      <c r="A9721" s="41"/>
      <c r="G9721" s="38" t="n">
        <f aca="false">MONTH(A9721)</f>
        <v>12</v>
      </c>
      <c r="H9721" s="38" t="n">
        <f aca="false">YEAR(Tabela1[[#This Row],[FECHA]])</f>
        <v>1900</v>
      </c>
      <c r="I97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22" customFormat="false" ht="15" hidden="false" customHeight="false" outlineLevel="0" collapsed="false">
      <c r="A9722" s="41"/>
      <c r="G9722" s="38" t="n">
        <f aca="false">MONTH(A9722)</f>
        <v>12</v>
      </c>
      <c r="H9722" s="38" t="n">
        <f aca="false">YEAR(Tabela1[[#This Row],[FECHA]])</f>
        <v>1900</v>
      </c>
      <c r="I97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23" customFormat="false" ht="15" hidden="false" customHeight="false" outlineLevel="0" collapsed="false">
      <c r="A9723" s="41"/>
      <c r="G9723" s="38" t="n">
        <f aca="false">MONTH(A9723)</f>
        <v>12</v>
      </c>
      <c r="H9723" s="38" t="n">
        <f aca="false">YEAR(Tabela1[[#This Row],[FECHA]])</f>
        <v>1900</v>
      </c>
      <c r="I97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24" customFormat="false" ht="15" hidden="false" customHeight="false" outlineLevel="0" collapsed="false">
      <c r="A9724" s="41"/>
      <c r="G9724" s="38" t="n">
        <f aca="false">MONTH(A9724)</f>
        <v>12</v>
      </c>
      <c r="H9724" s="38" t="n">
        <f aca="false">YEAR(Tabela1[[#This Row],[FECHA]])</f>
        <v>1900</v>
      </c>
      <c r="I97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25" customFormat="false" ht="15" hidden="false" customHeight="false" outlineLevel="0" collapsed="false">
      <c r="A9725" s="41"/>
      <c r="G9725" s="38" t="n">
        <f aca="false">MONTH(A9725)</f>
        <v>12</v>
      </c>
      <c r="H9725" s="38" t="n">
        <f aca="false">YEAR(Tabela1[[#This Row],[FECHA]])</f>
        <v>1900</v>
      </c>
      <c r="I97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26" customFormat="false" ht="15" hidden="false" customHeight="false" outlineLevel="0" collapsed="false">
      <c r="A9726" s="41"/>
      <c r="G9726" s="38" t="n">
        <f aca="false">MONTH(A9726)</f>
        <v>12</v>
      </c>
      <c r="H9726" s="38" t="n">
        <f aca="false">YEAR(Tabela1[[#This Row],[FECHA]])</f>
        <v>1900</v>
      </c>
      <c r="I97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27" customFormat="false" ht="15" hidden="false" customHeight="false" outlineLevel="0" collapsed="false">
      <c r="A9727" s="41"/>
      <c r="G9727" s="38" t="n">
        <f aca="false">MONTH(A9727)</f>
        <v>12</v>
      </c>
      <c r="H9727" s="38" t="n">
        <f aca="false">YEAR(Tabela1[[#This Row],[FECHA]])</f>
        <v>1900</v>
      </c>
      <c r="I97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28" customFormat="false" ht="15" hidden="false" customHeight="false" outlineLevel="0" collapsed="false">
      <c r="A9728" s="41"/>
      <c r="G9728" s="38" t="n">
        <f aca="false">MONTH(A9728)</f>
        <v>12</v>
      </c>
      <c r="H9728" s="38" t="n">
        <f aca="false">YEAR(Tabela1[[#This Row],[FECHA]])</f>
        <v>1900</v>
      </c>
      <c r="I97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29" customFormat="false" ht="15" hidden="false" customHeight="false" outlineLevel="0" collapsed="false">
      <c r="A9729" s="41"/>
      <c r="G9729" s="38" t="n">
        <f aca="false">MONTH(A9729)</f>
        <v>12</v>
      </c>
      <c r="H9729" s="38" t="n">
        <f aca="false">YEAR(Tabela1[[#This Row],[FECHA]])</f>
        <v>1900</v>
      </c>
      <c r="I97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30" customFormat="false" ht="15" hidden="false" customHeight="false" outlineLevel="0" collapsed="false">
      <c r="A9730" s="41"/>
      <c r="G9730" s="38" t="n">
        <f aca="false">MONTH(A9730)</f>
        <v>12</v>
      </c>
      <c r="H9730" s="38" t="n">
        <f aca="false">YEAR(Tabela1[[#This Row],[FECHA]])</f>
        <v>1900</v>
      </c>
      <c r="I97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31" customFormat="false" ht="15" hidden="false" customHeight="false" outlineLevel="0" collapsed="false">
      <c r="A9731" s="41"/>
      <c r="G9731" s="38" t="n">
        <f aca="false">MONTH(A9731)</f>
        <v>12</v>
      </c>
      <c r="H9731" s="38" t="n">
        <f aca="false">YEAR(Tabela1[[#This Row],[FECHA]])</f>
        <v>1900</v>
      </c>
      <c r="I97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32" customFormat="false" ht="15" hidden="false" customHeight="false" outlineLevel="0" collapsed="false">
      <c r="A9732" s="41"/>
      <c r="G9732" s="38" t="n">
        <f aca="false">MONTH(A9732)</f>
        <v>12</v>
      </c>
      <c r="H9732" s="38" t="n">
        <f aca="false">YEAR(Tabela1[[#This Row],[FECHA]])</f>
        <v>1900</v>
      </c>
      <c r="I97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33" customFormat="false" ht="15" hidden="false" customHeight="false" outlineLevel="0" collapsed="false">
      <c r="A9733" s="41"/>
      <c r="G9733" s="38" t="n">
        <f aca="false">MONTH(A9733)</f>
        <v>12</v>
      </c>
      <c r="H9733" s="38" t="n">
        <f aca="false">YEAR(Tabela1[[#This Row],[FECHA]])</f>
        <v>1900</v>
      </c>
      <c r="I97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34" customFormat="false" ht="15" hidden="false" customHeight="false" outlineLevel="0" collapsed="false">
      <c r="A9734" s="41"/>
      <c r="G9734" s="38" t="n">
        <f aca="false">MONTH(A9734)</f>
        <v>12</v>
      </c>
      <c r="H9734" s="38" t="n">
        <f aca="false">YEAR(Tabela1[[#This Row],[FECHA]])</f>
        <v>1900</v>
      </c>
      <c r="I97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35" customFormat="false" ht="15" hidden="false" customHeight="false" outlineLevel="0" collapsed="false">
      <c r="A9735" s="41"/>
      <c r="G9735" s="38" t="n">
        <f aca="false">MONTH(A9735)</f>
        <v>12</v>
      </c>
      <c r="H9735" s="38" t="n">
        <f aca="false">YEAR(Tabela1[[#This Row],[FECHA]])</f>
        <v>1900</v>
      </c>
      <c r="I97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36" customFormat="false" ht="15" hidden="false" customHeight="false" outlineLevel="0" collapsed="false">
      <c r="A9736" s="41"/>
      <c r="G9736" s="38" t="n">
        <f aca="false">MONTH(A9736)</f>
        <v>12</v>
      </c>
      <c r="H9736" s="38" t="n">
        <f aca="false">YEAR(Tabela1[[#This Row],[FECHA]])</f>
        <v>1900</v>
      </c>
      <c r="I97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37" customFormat="false" ht="15" hidden="false" customHeight="false" outlineLevel="0" collapsed="false">
      <c r="A9737" s="41"/>
      <c r="G9737" s="38" t="n">
        <f aca="false">MONTH(A9737)</f>
        <v>12</v>
      </c>
      <c r="H9737" s="38" t="n">
        <f aca="false">YEAR(Tabela1[[#This Row],[FECHA]])</f>
        <v>1900</v>
      </c>
      <c r="I97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38" customFormat="false" ht="15" hidden="false" customHeight="false" outlineLevel="0" collapsed="false">
      <c r="A9738" s="41"/>
      <c r="G9738" s="38" t="n">
        <f aca="false">MONTH(A9738)</f>
        <v>12</v>
      </c>
      <c r="H9738" s="38" t="n">
        <f aca="false">YEAR(Tabela1[[#This Row],[FECHA]])</f>
        <v>1900</v>
      </c>
      <c r="I97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39" customFormat="false" ht="15" hidden="false" customHeight="false" outlineLevel="0" collapsed="false">
      <c r="A9739" s="41"/>
      <c r="G9739" s="38" t="n">
        <f aca="false">MONTH(A9739)</f>
        <v>12</v>
      </c>
      <c r="H9739" s="38" t="n">
        <f aca="false">YEAR(Tabela1[[#This Row],[FECHA]])</f>
        <v>1900</v>
      </c>
      <c r="I97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40" customFormat="false" ht="15" hidden="false" customHeight="false" outlineLevel="0" collapsed="false">
      <c r="A9740" s="41"/>
      <c r="G9740" s="38" t="n">
        <f aca="false">MONTH(A9740)</f>
        <v>12</v>
      </c>
      <c r="H9740" s="38" t="n">
        <f aca="false">YEAR(Tabela1[[#This Row],[FECHA]])</f>
        <v>1900</v>
      </c>
      <c r="I97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41" customFormat="false" ht="15" hidden="false" customHeight="false" outlineLevel="0" collapsed="false">
      <c r="A9741" s="41"/>
      <c r="G9741" s="38" t="n">
        <f aca="false">MONTH(A9741)</f>
        <v>12</v>
      </c>
      <c r="H9741" s="38" t="n">
        <f aca="false">YEAR(Tabela1[[#This Row],[FECHA]])</f>
        <v>1900</v>
      </c>
      <c r="I97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42" customFormat="false" ht="15" hidden="false" customHeight="false" outlineLevel="0" collapsed="false">
      <c r="A9742" s="41"/>
      <c r="G9742" s="38" t="n">
        <f aca="false">MONTH(A9742)</f>
        <v>12</v>
      </c>
      <c r="H9742" s="38" t="n">
        <f aca="false">YEAR(Tabela1[[#This Row],[FECHA]])</f>
        <v>1900</v>
      </c>
      <c r="I97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43" customFormat="false" ht="15" hidden="false" customHeight="false" outlineLevel="0" collapsed="false">
      <c r="A9743" s="41"/>
      <c r="G9743" s="38" t="n">
        <f aca="false">MONTH(A9743)</f>
        <v>12</v>
      </c>
      <c r="H9743" s="38" t="n">
        <f aca="false">YEAR(Tabela1[[#This Row],[FECHA]])</f>
        <v>1900</v>
      </c>
      <c r="I97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44" customFormat="false" ht="15" hidden="false" customHeight="false" outlineLevel="0" collapsed="false">
      <c r="A9744" s="41"/>
      <c r="G9744" s="38" t="n">
        <f aca="false">MONTH(A9744)</f>
        <v>12</v>
      </c>
      <c r="H9744" s="38" t="n">
        <f aca="false">YEAR(Tabela1[[#This Row],[FECHA]])</f>
        <v>1900</v>
      </c>
      <c r="I97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45" customFormat="false" ht="15" hidden="false" customHeight="false" outlineLevel="0" collapsed="false">
      <c r="A9745" s="41"/>
      <c r="G9745" s="38" t="n">
        <f aca="false">MONTH(A9745)</f>
        <v>12</v>
      </c>
      <c r="H9745" s="38" t="n">
        <f aca="false">YEAR(Tabela1[[#This Row],[FECHA]])</f>
        <v>1900</v>
      </c>
      <c r="I97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46" customFormat="false" ht="15" hidden="false" customHeight="false" outlineLevel="0" collapsed="false">
      <c r="A9746" s="41"/>
      <c r="G9746" s="38" t="n">
        <f aca="false">MONTH(A9746)</f>
        <v>12</v>
      </c>
      <c r="H9746" s="38" t="n">
        <f aca="false">YEAR(Tabela1[[#This Row],[FECHA]])</f>
        <v>1900</v>
      </c>
      <c r="I97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47" customFormat="false" ht="15" hidden="false" customHeight="false" outlineLevel="0" collapsed="false">
      <c r="A9747" s="41"/>
      <c r="G9747" s="38" t="n">
        <f aca="false">MONTH(A9747)</f>
        <v>12</v>
      </c>
      <c r="H9747" s="38" t="n">
        <f aca="false">YEAR(Tabela1[[#This Row],[FECHA]])</f>
        <v>1900</v>
      </c>
      <c r="I97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48" customFormat="false" ht="15" hidden="false" customHeight="false" outlineLevel="0" collapsed="false">
      <c r="A9748" s="41"/>
      <c r="G9748" s="38" t="n">
        <f aca="false">MONTH(A9748)</f>
        <v>12</v>
      </c>
      <c r="H9748" s="38" t="n">
        <f aca="false">YEAR(Tabela1[[#This Row],[FECHA]])</f>
        <v>1900</v>
      </c>
      <c r="I97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49" customFormat="false" ht="15" hidden="false" customHeight="false" outlineLevel="0" collapsed="false">
      <c r="A9749" s="41"/>
      <c r="G9749" s="38" t="n">
        <f aca="false">MONTH(A9749)</f>
        <v>12</v>
      </c>
      <c r="H9749" s="38" t="n">
        <f aca="false">YEAR(Tabela1[[#This Row],[FECHA]])</f>
        <v>1900</v>
      </c>
      <c r="I97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50" customFormat="false" ht="15" hidden="false" customHeight="false" outlineLevel="0" collapsed="false">
      <c r="A9750" s="41"/>
      <c r="G9750" s="38" t="n">
        <f aca="false">MONTH(A9750)</f>
        <v>12</v>
      </c>
      <c r="H9750" s="38" t="n">
        <f aca="false">YEAR(Tabela1[[#This Row],[FECHA]])</f>
        <v>1900</v>
      </c>
      <c r="I97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51" customFormat="false" ht="15" hidden="false" customHeight="false" outlineLevel="0" collapsed="false">
      <c r="A9751" s="41"/>
      <c r="G9751" s="38" t="n">
        <f aca="false">MONTH(A9751)</f>
        <v>12</v>
      </c>
      <c r="H9751" s="38" t="n">
        <f aca="false">YEAR(Tabela1[[#This Row],[FECHA]])</f>
        <v>1900</v>
      </c>
      <c r="I97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52" customFormat="false" ht="15" hidden="false" customHeight="false" outlineLevel="0" collapsed="false">
      <c r="A9752" s="41"/>
      <c r="G9752" s="38" t="n">
        <f aca="false">MONTH(A9752)</f>
        <v>12</v>
      </c>
      <c r="H9752" s="38" t="n">
        <f aca="false">YEAR(Tabela1[[#This Row],[FECHA]])</f>
        <v>1900</v>
      </c>
      <c r="I97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53" customFormat="false" ht="15" hidden="false" customHeight="false" outlineLevel="0" collapsed="false">
      <c r="A9753" s="41"/>
      <c r="G9753" s="38" t="n">
        <f aca="false">MONTH(A9753)</f>
        <v>12</v>
      </c>
      <c r="H9753" s="38" t="n">
        <f aca="false">YEAR(Tabela1[[#This Row],[FECHA]])</f>
        <v>1900</v>
      </c>
      <c r="I97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54" customFormat="false" ht="15" hidden="false" customHeight="false" outlineLevel="0" collapsed="false">
      <c r="A9754" s="41"/>
      <c r="G9754" s="38" t="n">
        <f aca="false">MONTH(A9754)</f>
        <v>12</v>
      </c>
      <c r="H9754" s="38" t="n">
        <f aca="false">YEAR(Tabela1[[#This Row],[FECHA]])</f>
        <v>1900</v>
      </c>
      <c r="I97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55" customFormat="false" ht="15" hidden="false" customHeight="false" outlineLevel="0" collapsed="false">
      <c r="A9755" s="41"/>
      <c r="G9755" s="38" t="n">
        <f aca="false">MONTH(A9755)</f>
        <v>12</v>
      </c>
      <c r="H9755" s="38" t="n">
        <f aca="false">YEAR(Tabela1[[#This Row],[FECHA]])</f>
        <v>1900</v>
      </c>
      <c r="I97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56" customFormat="false" ht="15" hidden="false" customHeight="false" outlineLevel="0" collapsed="false">
      <c r="A9756" s="41"/>
      <c r="G9756" s="38" t="n">
        <f aca="false">MONTH(A9756)</f>
        <v>12</v>
      </c>
      <c r="H9756" s="38" t="n">
        <f aca="false">YEAR(Tabela1[[#This Row],[FECHA]])</f>
        <v>1900</v>
      </c>
      <c r="I97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57" customFormat="false" ht="15" hidden="false" customHeight="false" outlineLevel="0" collapsed="false">
      <c r="A9757" s="41"/>
      <c r="G9757" s="38" t="n">
        <f aca="false">MONTH(A9757)</f>
        <v>12</v>
      </c>
      <c r="H9757" s="38" t="n">
        <f aca="false">YEAR(Tabela1[[#This Row],[FECHA]])</f>
        <v>1900</v>
      </c>
      <c r="I97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58" customFormat="false" ht="15" hidden="false" customHeight="false" outlineLevel="0" collapsed="false">
      <c r="A9758" s="41"/>
      <c r="G9758" s="38" t="n">
        <f aca="false">MONTH(A9758)</f>
        <v>12</v>
      </c>
      <c r="H9758" s="38" t="n">
        <f aca="false">YEAR(Tabela1[[#This Row],[FECHA]])</f>
        <v>1900</v>
      </c>
      <c r="I97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59" customFormat="false" ht="15" hidden="false" customHeight="false" outlineLevel="0" collapsed="false">
      <c r="A9759" s="41"/>
      <c r="G9759" s="38" t="n">
        <f aca="false">MONTH(A9759)</f>
        <v>12</v>
      </c>
      <c r="H9759" s="38" t="n">
        <f aca="false">YEAR(Tabela1[[#This Row],[FECHA]])</f>
        <v>1900</v>
      </c>
      <c r="I97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60" customFormat="false" ht="15" hidden="false" customHeight="false" outlineLevel="0" collapsed="false">
      <c r="A9760" s="41"/>
      <c r="G9760" s="38" t="n">
        <f aca="false">MONTH(A9760)</f>
        <v>12</v>
      </c>
      <c r="H9760" s="38" t="n">
        <f aca="false">YEAR(Tabela1[[#This Row],[FECHA]])</f>
        <v>1900</v>
      </c>
      <c r="I97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61" customFormat="false" ht="15" hidden="false" customHeight="false" outlineLevel="0" collapsed="false">
      <c r="A9761" s="41"/>
      <c r="G9761" s="38" t="n">
        <f aca="false">MONTH(A9761)</f>
        <v>12</v>
      </c>
      <c r="H9761" s="38" t="n">
        <f aca="false">YEAR(Tabela1[[#This Row],[FECHA]])</f>
        <v>1900</v>
      </c>
      <c r="I97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62" customFormat="false" ht="15" hidden="false" customHeight="false" outlineLevel="0" collapsed="false">
      <c r="A9762" s="41"/>
      <c r="G9762" s="38" t="n">
        <f aca="false">MONTH(A9762)</f>
        <v>12</v>
      </c>
      <c r="H9762" s="38" t="n">
        <f aca="false">YEAR(Tabela1[[#This Row],[FECHA]])</f>
        <v>1900</v>
      </c>
      <c r="I97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63" customFormat="false" ht="15" hidden="false" customHeight="false" outlineLevel="0" collapsed="false">
      <c r="A9763" s="41"/>
      <c r="G9763" s="38" t="n">
        <f aca="false">MONTH(A9763)</f>
        <v>12</v>
      </c>
      <c r="H9763" s="38" t="n">
        <f aca="false">YEAR(Tabela1[[#This Row],[FECHA]])</f>
        <v>1900</v>
      </c>
      <c r="I97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64" customFormat="false" ht="15" hidden="false" customHeight="false" outlineLevel="0" collapsed="false">
      <c r="A9764" s="41"/>
      <c r="G9764" s="38" t="n">
        <f aca="false">MONTH(A9764)</f>
        <v>12</v>
      </c>
      <c r="H9764" s="38" t="n">
        <f aca="false">YEAR(Tabela1[[#This Row],[FECHA]])</f>
        <v>1900</v>
      </c>
      <c r="I97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65" customFormat="false" ht="15" hidden="false" customHeight="false" outlineLevel="0" collapsed="false">
      <c r="A9765" s="41"/>
      <c r="G9765" s="38" t="n">
        <f aca="false">MONTH(A9765)</f>
        <v>12</v>
      </c>
      <c r="H9765" s="38" t="n">
        <f aca="false">YEAR(Tabela1[[#This Row],[FECHA]])</f>
        <v>1900</v>
      </c>
      <c r="I97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66" customFormat="false" ht="15" hidden="false" customHeight="false" outlineLevel="0" collapsed="false">
      <c r="A9766" s="41"/>
      <c r="G9766" s="38" t="n">
        <f aca="false">MONTH(A9766)</f>
        <v>12</v>
      </c>
      <c r="H9766" s="38" t="n">
        <f aca="false">YEAR(Tabela1[[#This Row],[FECHA]])</f>
        <v>1900</v>
      </c>
      <c r="I97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67" customFormat="false" ht="15" hidden="false" customHeight="false" outlineLevel="0" collapsed="false">
      <c r="A9767" s="41"/>
      <c r="G9767" s="38" t="n">
        <f aca="false">MONTH(A9767)</f>
        <v>12</v>
      </c>
      <c r="H9767" s="38" t="n">
        <f aca="false">YEAR(Tabela1[[#This Row],[FECHA]])</f>
        <v>1900</v>
      </c>
      <c r="I97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68" customFormat="false" ht="15" hidden="false" customHeight="false" outlineLevel="0" collapsed="false">
      <c r="A9768" s="41"/>
      <c r="G9768" s="38" t="n">
        <f aca="false">MONTH(A9768)</f>
        <v>12</v>
      </c>
      <c r="H9768" s="38" t="n">
        <f aca="false">YEAR(Tabela1[[#This Row],[FECHA]])</f>
        <v>1900</v>
      </c>
      <c r="I97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69" customFormat="false" ht="15" hidden="false" customHeight="false" outlineLevel="0" collapsed="false">
      <c r="A9769" s="41"/>
      <c r="G9769" s="38" t="n">
        <f aca="false">MONTH(A9769)</f>
        <v>12</v>
      </c>
      <c r="H9769" s="38" t="n">
        <f aca="false">YEAR(Tabela1[[#This Row],[FECHA]])</f>
        <v>1900</v>
      </c>
      <c r="I97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70" customFormat="false" ht="15" hidden="false" customHeight="false" outlineLevel="0" collapsed="false">
      <c r="A9770" s="41"/>
      <c r="G9770" s="38" t="n">
        <f aca="false">MONTH(A9770)</f>
        <v>12</v>
      </c>
      <c r="H9770" s="38" t="n">
        <f aca="false">YEAR(Tabela1[[#This Row],[FECHA]])</f>
        <v>1900</v>
      </c>
      <c r="I97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71" customFormat="false" ht="15" hidden="false" customHeight="false" outlineLevel="0" collapsed="false">
      <c r="A9771" s="41"/>
      <c r="G9771" s="38" t="n">
        <f aca="false">MONTH(A9771)</f>
        <v>12</v>
      </c>
      <c r="H9771" s="38" t="n">
        <f aca="false">YEAR(Tabela1[[#This Row],[FECHA]])</f>
        <v>1900</v>
      </c>
      <c r="I97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72" customFormat="false" ht="15" hidden="false" customHeight="false" outlineLevel="0" collapsed="false">
      <c r="A9772" s="41"/>
      <c r="G9772" s="38" t="n">
        <f aca="false">MONTH(A9772)</f>
        <v>12</v>
      </c>
      <c r="H9772" s="38" t="n">
        <f aca="false">YEAR(Tabela1[[#This Row],[FECHA]])</f>
        <v>1900</v>
      </c>
      <c r="I97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73" customFormat="false" ht="15" hidden="false" customHeight="false" outlineLevel="0" collapsed="false">
      <c r="A9773" s="41"/>
      <c r="G9773" s="38" t="n">
        <f aca="false">MONTH(A9773)</f>
        <v>12</v>
      </c>
      <c r="H9773" s="38" t="n">
        <f aca="false">YEAR(Tabela1[[#This Row],[FECHA]])</f>
        <v>1900</v>
      </c>
      <c r="I97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74" customFormat="false" ht="15" hidden="false" customHeight="false" outlineLevel="0" collapsed="false">
      <c r="A9774" s="41"/>
      <c r="G9774" s="38" t="n">
        <f aca="false">MONTH(A9774)</f>
        <v>12</v>
      </c>
      <c r="H9774" s="38" t="n">
        <f aca="false">YEAR(Tabela1[[#This Row],[FECHA]])</f>
        <v>1900</v>
      </c>
      <c r="I97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75" customFormat="false" ht="15" hidden="false" customHeight="false" outlineLevel="0" collapsed="false">
      <c r="A9775" s="41"/>
      <c r="G9775" s="38" t="n">
        <f aca="false">MONTH(A9775)</f>
        <v>12</v>
      </c>
      <c r="H9775" s="38" t="n">
        <f aca="false">YEAR(Tabela1[[#This Row],[FECHA]])</f>
        <v>1900</v>
      </c>
      <c r="I97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76" customFormat="false" ht="15" hidden="false" customHeight="false" outlineLevel="0" collapsed="false">
      <c r="A9776" s="41"/>
      <c r="G9776" s="38" t="n">
        <f aca="false">MONTH(A9776)</f>
        <v>12</v>
      </c>
      <c r="H9776" s="38" t="n">
        <f aca="false">YEAR(Tabela1[[#This Row],[FECHA]])</f>
        <v>1900</v>
      </c>
      <c r="I97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77" customFormat="false" ht="15" hidden="false" customHeight="false" outlineLevel="0" collapsed="false">
      <c r="A9777" s="41"/>
      <c r="G9777" s="38" t="n">
        <f aca="false">MONTH(A9777)</f>
        <v>12</v>
      </c>
      <c r="H9777" s="38" t="n">
        <f aca="false">YEAR(Tabela1[[#This Row],[FECHA]])</f>
        <v>1900</v>
      </c>
      <c r="I97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78" customFormat="false" ht="15" hidden="false" customHeight="false" outlineLevel="0" collapsed="false">
      <c r="A9778" s="41"/>
      <c r="G9778" s="38" t="n">
        <f aca="false">MONTH(A9778)</f>
        <v>12</v>
      </c>
      <c r="H9778" s="38" t="n">
        <f aca="false">YEAR(Tabela1[[#This Row],[FECHA]])</f>
        <v>1900</v>
      </c>
      <c r="I97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79" customFormat="false" ht="15" hidden="false" customHeight="false" outlineLevel="0" collapsed="false">
      <c r="A9779" s="41"/>
      <c r="G9779" s="38" t="n">
        <f aca="false">MONTH(A9779)</f>
        <v>12</v>
      </c>
      <c r="H9779" s="38" t="n">
        <f aca="false">YEAR(Tabela1[[#This Row],[FECHA]])</f>
        <v>1900</v>
      </c>
      <c r="I97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80" customFormat="false" ht="15" hidden="false" customHeight="false" outlineLevel="0" collapsed="false">
      <c r="A9780" s="41"/>
      <c r="G9780" s="38" t="n">
        <f aca="false">MONTH(A9780)</f>
        <v>12</v>
      </c>
      <c r="H9780" s="38" t="n">
        <f aca="false">YEAR(Tabela1[[#This Row],[FECHA]])</f>
        <v>1900</v>
      </c>
      <c r="I97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81" customFormat="false" ht="15" hidden="false" customHeight="false" outlineLevel="0" collapsed="false">
      <c r="A9781" s="41"/>
      <c r="G9781" s="38" t="n">
        <f aca="false">MONTH(A9781)</f>
        <v>12</v>
      </c>
      <c r="H9781" s="38" t="n">
        <f aca="false">YEAR(Tabela1[[#This Row],[FECHA]])</f>
        <v>1900</v>
      </c>
      <c r="I97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82" customFormat="false" ht="15" hidden="false" customHeight="false" outlineLevel="0" collapsed="false">
      <c r="A9782" s="41"/>
      <c r="G9782" s="38" t="n">
        <f aca="false">MONTH(A9782)</f>
        <v>12</v>
      </c>
      <c r="H9782" s="38" t="n">
        <f aca="false">YEAR(Tabela1[[#This Row],[FECHA]])</f>
        <v>1900</v>
      </c>
      <c r="I97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83" customFormat="false" ht="15" hidden="false" customHeight="false" outlineLevel="0" collapsed="false">
      <c r="A9783" s="41"/>
      <c r="G9783" s="38" t="n">
        <f aca="false">MONTH(A9783)</f>
        <v>12</v>
      </c>
      <c r="H9783" s="38" t="n">
        <f aca="false">YEAR(Tabela1[[#This Row],[FECHA]])</f>
        <v>1900</v>
      </c>
      <c r="I97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84" customFormat="false" ht="15" hidden="false" customHeight="false" outlineLevel="0" collapsed="false">
      <c r="A9784" s="41"/>
      <c r="G9784" s="38" t="n">
        <f aca="false">MONTH(A9784)</f>
        <v>12</v>
      </c>
      <c r="H9784" s="38" t="n">
        <f aca="false">YEAR(Tabela1[[#This Row],[FECHA]])</f>
        <v>1900</v>
      </c>
      <c r="I97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85" customFormat="false" ht="15" hidden="false" customHeight="false" outlineLevel="0" collapsed="false">
      <c r="A9785" s="41"/>
      <c r="G9785" s="38" t="n">
        <f aca="false">MONTH(A9785)</f>
        <v>12</v>
      </c>
      <c r="H9785" s="38" t="n">
        <f aca="false">YEAR(Tabela1[[#This Row],[FECHA]])</f>
        <v>1900</v>
      </c>
      <c r="I97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86" customFormat="false" ht="15" hidden="false" customHeight="false" outlineLevel="0" collapsed="false">
      <c r="A9786" s="41"/>
      <c r="G9786" s="38" t="n">
        <f aca="false">MONTH(A9786)</f>
        <v>12</v>
      </c>
      <c r="H9786" s="38" t="n">
        <f aca="false">YEAR(Tabela1[[#This Row],[FECHA]])</f>
        <v>1900</v>
      </c>
      <c r="I97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87" customFormat="false" ht="15" hidden="false" customHeight="false" outlineLevel="0" collapsed="false">
      <c r="A9787" s="41"/>
      <c r="G9787" s="38" t="n">
        <f aca="false">MONTH(A9787)</f>
        <v>12</v>
      </c>
      <c r="H9787" s="38" t="n">
        <f aca="false">YEAR(Tabela1[[#This Row],[FECHA]])</f>
        <v>1900</v>
      </c>
      <c r="I97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88" customFormat="false" ht="15" hidden="false" customHeight="false" outlineLevel="0" collapsed="false">
      <c r="A9788" s="41"/>
      <c r="G9788" s="38" t="n">
        <f aca="false">MONTH(A9788)</f>
        <v>12</v>
      </c>
      <c r="H9788" s="38" t="n">
        <f aca="false">YEAR(Tabela1[[#This Row],[FECHA]])</f>
        <v>1900</v>
      </c>
      <c r="I97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89" customFormat="false" ht="15" hidden="false" customHeight="false" outlineLevel="0" collapsed="false">
      <c r="A9789" s="41"/>
      <c r="G9789" s="38" t="n">
        <f aca="false">MONTH(A9789)</f>
        <v>12</v>
      </c>
      <c r="H9789" s="38" t="n">
        <f aca="false">YEAR(Tabela1[[#This Row],[FECHA]])</f>
        <v>1900</v>
      </c>
      <c r="I97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90" customFormat="false" ht="15" hidden="false" customHeight="false" outlineLevel="0" collapsed="false">
      <c r="A9790" s="41"/>
      <c r="G9790" s="38" t="n">
        <f aca="false">MONTH(A9790)</f>
        <v>12</v>
      </c>
      <c r="H9790" s="38" t="n">
        <f aca="false">YEAR(Tabela1[[#This Row],[FECHA]])</f>
        <v>1900</v>
      </c>
      <c r="I97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91" customFormat="false" ht="15" hidden="false" customHeight="false" outlineLevel="0" collapsed="false">
      <c r="A9791" s="41"/>
      <c r="G9791" s="38" t="n">
        <f aca="false">MONTH(A9791)</f>
        <v>12</v>
      </c>
      <c r="H9791" s="38" t="n">
        <f aca="false">YEAR(Tabela1[[#This Row],[FECHA]])</f>
        <v>1900</v>
      </c>
      <c r="I97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92" customFormat="false" ht="15" hidden="false" customHeight="false" outlineLevel="0" collapsed="false">
      <c r="A9792" s="41"/>
      <c r="G9792" s="38" t="n">
        <f aca="false">MONTH(A9792)</f>
        <v>12</v>
      </c>
      <c r="H9792" s="38" t="n">
        <f aca="false">YEAR(Tabela1[[#This Row],[FECHA]])</f>
        <v>1900</v>
      </c>
      <c r="I97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93" customFormat="false" ht="15" hidden="false" customHeight="false" outlineLevel="0" collapsed="false">
      <c r="A9793" s="41"/>
      <c r="G9793" s="38" t="n">
        <f aca="false">MONTH(A9793)</f>
        <v>12</v>
      </c>
      <c r="H9793" s="38" t="n">
        <f aca="false">YEAR(Tabela1[[#This Row],[FECHA]])</f>
        <v>1900</v>
      </c>
      <c r="I97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94" customFormat="false" ht="15" hidden="false" customHeight="false" outlineLevel="0" collapsed="false">
      <c r="A9794" s="41"/>
      <c r="G9794" s="38" t="n">
        <f aca="false">MONTH(A9794)</f>
        <v>12</v>
      </c>
      <c r="H9794" s="38" t="n">
        <f aca="false">YEAR(Tabela1[[#This Row],[FECHA]])</f>
        <v>1900</v>
      </c>
      <c r="I97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95" customFormat="false" ht="15" hidden="false" customHeight="false" outlineLevel="0" collapsed="false">
      <c r="A9795" s="41"/>
      <c r="G9795" s="38" t="n">
        <f aca="false">MONTH(A9795)</f>
        <v>12</v>
      </c>
      <c r="H9795" s="38" t="n">
        <f aca="false">YEAR(Tabela1[[#This Row],[FECHA]])</f>
        <v>1900</v>
      </c>
      <c r="I97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96" customFormat="false" ht="15" hidden="false" customHeight="false" outlineLevel="0" collapsed="false">
      <c r="A9796" s="41"/>
      <c r="G9796" s="38" t="n">
        <f aca="false">MONTH(A9796)</f>
        <v>12</v>
      </c>
      <c r="H9796" s="38" t="n">
        <f aca="false">YEAR(Tabela1[[#This Row],[FECHA]])</f>
        <v>1900</v>
      </c>
      <c r="I97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97" customFormat="false" ht="15" hidden="false" customHeight="false" outlineLevel="0" collapsed="false">
      <c r="A9797" s="41"/>
      <c r="G9797" s="38" t="n">
        <f aca="false">MONTH(A9797)</f>
        <v>12</v>
      </c>
      <c r="H9797" s="38" t="n">
        <f aca="false">YEAR(Tabela1[[#This Row],[FECHA]])</f>
        <v>1900</v>
      </c>
      <c r="I97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98" customFormat="false" ht="15" hidden="false" customHeight="false" outlineLevel="0" collapsed="false">
      <c r="A9798" s="41"/>
      <c r="G9798" s="38" t="n">
        <f aca="false">MONTH(A9798)</f>
        <v>12</v>
      </c>
      <c r="H9798" s="38" t="n">
        <f aca="false">YEAR(Tabela1[[#This Row],[FECHA]])</f>
        <v>1900</v>
      </c>
      <c r="I97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799" customFormat="false" ht="15" hidden="false" customHeight="false" outlineLevel="0" collapsed="false">
      <c r="A9799" s="41"/>
      <c r="G9799" s="38" t="n">
        <f aca="false">MONTH(A9799)</f>
        <v>12</v>
      </c>
      <c r="H9799" s="38" t="n">
        <f aca="false">YEAR(Tabela1[[#This Row],[FECHA]])</f>
        <v>1900</v>
      </c>
      <c r="I97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00" customFormat="false" ht="15" hidden="false" customHeight="false" outlineLevel="0" collapsed="false">
      <c r="A9800" s="41"/>
      <c r="G9800" s="38" t="n">
        <f aca="false">MONTH(A9800)</f>
        <v>12</v>
      </c>
      <c r="H9800" s="38" t="n">
        <f aca="false">YEAR(Tabela1[[#This Row],[FECHA]])</f>
        <v>1900</v>
      </c>
      <c r="I98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01" customFormat="false" ht="15" hidden="false" customHeight="false" outlineLevel="0" collapsed="false">
      <c r="A9801" s="41"/>
      <c r="G9801" s="38" t="n">
        <f aca="false">MONTH(A9801)</f>
        <v>12</v>
      </c>
      <c r="H9801" s="38" t="n">
        <f aca="false">YEAR(Tabela1[[#This Row],[FECHA]])</f>
        <v>1900</v>
      </c>
      <c r="I98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02" customFormat="false" ht="15" hidden="false" customHeight="false" outlineLevel="0" collapsed="false">
      <c r="A9802" s="41"/>
      <c r="G9802" s="38" t="n">
        <f aca="false">MONTH(A9802)</f>
        <v>12</v>
      </c>
      <c r="H9802" s="38" t="n">
        <f aca="false">YEAR(Tabela1[[#This Row],[FECHA]])</f>
        <v>1900</v>
      </c>
      <c r="I98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03" customFormat="false" ht="15" hidden="false" customHeight="false" outlineLevel="0" collapsed="false">
      <c r="A9803" s="41"/>
      <c r="G9803" s="38" t="n">
        <f aca="false">MONTH(A9803)</f>
        <v>12</v>
      </c>
      <c r="H9803" s="38" t="n">
        <f aca="false">YEAR(Tabela1[[#This Row],[FECHA]])</f>
        <v>1900</v>
      </c>
      <c r="I98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04" customFormat="false" ht="15" hidden="false" customHeight="false" outlineLevel="0" collapsed="false">
      <c r="A9804" s="41"/>
      <c r="G9804" s="38" t="n">
        <f aca="false">MONTH(A9804)</f>
        <v>12</v>
      </c>
      <c r="H9804" s="38" t="n">
        <f aca="false">YEAR(Tabela1[[#This Row],[FECHA]])</f>
        <v>1900</v>
      </c>
      <c r="I98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05" customFormat="false" ht="15" hidden="false" customHeight="false" outlineLevel="0" collapsed="false">
      <c r="A9805" s="41"/>
      <c r="G9805" s="38" t="n">
        <f aca="false">MONTH(A9805)</f>
        <v>12</v>
      </c>
      <c r="H9805" s="38" t="n">
        <f aca="false">YEAR(Tabela1[[#This Row],[FECHA]])</f>
        <v>1900</v>
      </c>
      <c r="I98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06" customFormat="false" ht="15" hidden="false" customHeight="false" outlineLevel="0" collapsed="false">
      <c r="A9806" s="41"/>
      <c r="G9806" s="38" t="n">
        <f aca="false">MONTH(A9806)</f>
        <v>12</v>
      </c>
      <c r="H9806" s="38" t="n">
        <f aca="false">YEAR(Tabela1[[#This Row],[FECHA]])</f>
        <v>1900</v>
      </c>
      <c r="I98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07" customFormat="false" ht="15" hidden="false" customHeight="false" outlineLevel="0" collapsed="false">
      <c r="A9807" s="41"/>
      <c r="G9807" s="38" t="n">
        <f aca="false">MONTH(A9807)</f>
        <v>12</v>
      </c>
      <c r="H9807" s="38" t="n">
        <f aca="false">YEAR(Tabela1[[#This Row],[FECHA]])</f>
        <v>1900</v>
      </c>
      <c r="I98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08" customFormat="false" ht="15" hidden="false" customHeight="false" outlineLevel="0" collapsed="false">
      <c r="A9808" s="41"/>
      <c r="G9808" s="38" t="n">
        <f aca="false">MONTH(A9808)</f>
        <v>12</v>
      </c>
      <c r="H9808" s="38" t="n">
        <f aca="false">YEAR(Tabela1[[#This Row],[FECHA]])</f>
        <v>1900</v>
      </c>
      <c r="I98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09" customFormat="false" ht="15" hidden="false" customHeight="false" outlineLevel="0" collapsed="false">
      <c r="A9809" s="41"/>
      <c r="G9809" s="38" t="n">
        <f aca="false">MONTH(A9809)</f>
        <v>12</v>
      </c>
      <c r="H9809" s="38" t="n">
        <f aca="false">YEAR(Tabela1[[#This Row],[FECHA]])</f>
        <v>1900</v>
      </c>
      <c r="I98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10" customFormat="false" ht="15" hidden="false" customHeight="false" outlineLevel="0" collapsed="false">
      <c r="A9810" s="41"/>
      <c r="G9810" s="38" t="n">
        <f aca="false">MONTH(A9810)</f>
        <v>12</v>
      </c>
      <c r="H9810" s="38" t="n">
        <f aca="false">YEAR(Tabela1[[#This Row],[FECHA]])</f>
        <v>1900</v>
      </c>
      <c r="I98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11" customFormat="false" ht="15" hidden="false" customHeight="false" outlineLevel="0" collapsed="false">
      <c r="A9811" s="41"/>
      <c r="G9811" s="38" t="n">
        <f aca="false">MONTH(A9811)</f>
        <v>12</v>
      </c>
      <c r="H9811" s="38" t="n">
        <f aca="false">YEAR(Tabela1[[#This Row],[FECHA]])</f>
        <v>1900</v>
      </c>
      <c r="I98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12" customFormat="false" ht="15" hidden="false" customHeight="false" outlineLevel="0" collapsed="false">
      <c r="A9812" s="41"/>
      <c r="G9812" s="38" t="n">
        <f aca="false">MONTH(A9812)</f>
        <v>12</v>
      </c>
      <c r="H9812" s="38" t="n">
        <f aca="false">YEAR(Tabela1[[#This Row],[FECHA]])</f>
        <v>1900</v>
      </c>
      <c r="I98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13" customFormat="false" ht="15" hidden="false" customHeight="false" outlineLevel="0" collapsed="false">
      <c r="A9813" s="41"/>
      <c r="G9813" s="38" t="n">
        <f aca="false">MONTH(A9813)</f>
        <v>12</v>
      </c>
      <c r="H9813" s="38" t="n">
        <f aca="false">YEAR(Tabela1[[#This Row],[FECHA]])</f>
        <v>1900</v>
      </c>
      <c r="I98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14" customFormat="false" ht="15" hidden="false" customHeight="false" outlineLevel="0" collapsed="false">
      <c r="A9814" s="41"/>
      <c r="G9814" s="38" t="n">
        <f aca="false">MONTH(A9814)</f>
        <v>12</v>
      </c>
      <c r="H9814" s="38" t="n">
        <f aca="false">YEAR(Tabela1[[#This Row],[FECHA]])</f>
        <v>1900</v>
      </c>
      <c r="I98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15" customFormat="false" ht="15" hidden="false" customHeight="false" outlineLevel="0" collapsed="false">
      <c r="A9815" s="41"/>
      <c r="G9815" s="38" t="n">
        <f aca="false">MONTH(A9815)</f>
        <v>12</v>
      </c>
      <c r="H9815" s="38" t="n">
        <f aca="false">YEAR(Tabela1[[#This Row],[FECHA]])</f>
        <v>1900</v>
      </c>
      <c r="I98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16" customFormat="false" ht="15" hidden="false" customHeight="false" outlineLevel="0" collapsed="false">
      <c r="A9816" s="41"/>
      <c r="G9816" s="38" t="n">
        <f aca="false">MONTH(A9816)</f>
        <v>12</v>
      </c>
      <c r="H9816" s="38" t="n">
        <f aca="false">YEAR(Tabela1[[#This Row],[FECHA]])</f>
        <v>1900</v>
      </c>
      <c r="I98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17" customFormat="false" ht="15" hidden="false" customHeight="false" outlineLevel="0" collapsed="false">
      <c r="A9817" s="41"/>
      <c r="G9817" s="38" t="n">
        <f aca="false">MONTH(A9817)</f>
        <v>12</v>
      </c>
      <c r="H9817" s="38" t="n">
        <f aca="false">YEAR(Tabela1[[#This Row],[FECHA]])</f>
        <v>1900</v>
      </c>
      <c r="I98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18" customFormat="false" ht="15" hidden="false" customHeight="false" outlineLevel="0" collapsed="false">
      <c r="A9818" s="41"/>
      <c r="G9818" s="38" t="n">
        <f aca="false">MONTH(A9818)</f>
        <v>12</v>
      </c>
      <c r="H9818" s="38" t="n">
        <f aca="false">YEAR(Tabela1[[#This Row],[FECHA]])</f>
        <v>1900</v>
      </c>
      <c r="I98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19" customFormat="false" ht="15" hidden="false" customHeight="false" outlineLevel="0" collapsed="false">
      <c r="A9819" s="41"/>
      <c r="G9819" s="38" t="n">
        <f aca="false">MONTH(A9819)</f>
        <v>12</v>
      </c>
      <c r="H9819" s="38" t="n">
        <f aca="false">YEAR(Tabela1[[#This Row],[FECHA]])</f>
        <v>1900</v>
      </c>
      <c r="I98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20" customFormat="false" ht="15" hidden="false" customHeight="false" outlineLevel="0" collapsed="false">
      <c r="A9820" s="41"/>
      <c r="G9820" s="38" t="n">
        <f aca="false">MONTH(A9820)</f>
        <v>12</v>
      </c>
      <c r="H9820" s="38" t="n">
        <f aca="false">YEAR(Tabela1[[#This Row],[FECHA]])</f>
        <v>1900</v>
      </c>
      <c r="I98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21" customFormat="false" ht="15" hidden="false" customHeight="false" outlineLevel="0" collapsed="false">
      <c r="A9821" s="41"/>
      <c r="G9821" s="38" t="n">
        <f aca="false">MONTH(A9821)</f>
        <v>12</v>
      </c>
      <c r="H9821" s="38" t="n">
        <f aca="false">YEAR(Tabela1[[#This Row],[FECHA]])</f>
        <v>1900</v>
      </c>
      <c r="I98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22" customFormat="false" ht="15" hidden="false" customHeight="false" outlineLevel="0" collapsed="false">
      <c r="A9822" s="41"/>
      <c r="G9822" s="38" t="n">
        <f aca="false">MONTH(A9822)</f>
        <v>12</v>
      </c>
      <c r="H9822" s="38" t="n">
        <f aca="false">YEAR(Tabela1[[#This Row],[FECHA]])</f>
        <v>1900</v>
      </c>
      <c r="I98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23" customFormat="false" ht="15" hidden="false" customHeight="false" outlineLevel="0" collapsed="false">
      <c r="A9823" s="41"/>
      <c r="G9823" s="38" t="n">
        <f aca="false">MONTH(A9823)</f>
        <v>12</v>
      </c>
      <c r="H9823" s="38" t="n">
        <f aca="false">YEAR(Tabela1[[#This Row],[FECHA]])</f>
        <v>1900</v>
      </c>
      <c r="I98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24" customFormat="false" ht="15" hidden="false" customHeight="false" outlineLevel="0" collapsed="false">
      <c r="A9824" s="41"/>
      <c r="G9824" s="38" t="n">
        <f aca="false">MONTH(A9824)</f>
        <v>12</v>
      </c>
      <c r="H9824" s="38" t="n">
        <f aca="false">YEAR(Tabela1[[#This Row],[FECHA]])</f>
        <v>1900</v>
      </c>
      <c r="I98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25" customFormat="false" ht="15" hidden="false" customHeight="false" outlineLevel="0" collapsed="false">
      <c r="A9825" s="41"/>
      <c r="G9825" s="38" t="n">
        <f aca="false">MONTH(A9825)</f>
        <v>12</v>
      </c>
      <c r="H9825" s="38" t="n">
        <f aca="false">YEAR(Tabela1[[#This Row],[FECHA]])</f>
        <v>1900</v>
      </c>
      <c r="I98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26" customFormat="false" ht="15" hidden="false" customHeight="false" outlineLevel="0" collapsed="false">
      <c r="A9826" s="41"/>
      <c r="G9826" s="38" t="n">
        <f aca="false">MONTH(A9826)</f>
        <v>12</v>
      </c>
      <c r="H9826" s="38" t="n">
        <f aca="false">YEAR(Tabela1[[#This Row],[FECHA]])</f>
        <v>1900</v>
      </c>
      <c r="I98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27" customFormat="false" ht="15" hidden="false" customHeight="false" outlineLevel="0" collapsed="false">
      <c r="A9827" s="41"/>
      <c r="G9827" s="38" t="n">
        <f aca="false">MONTH(A9827)</f>
        <v>12</v>
      </c>
      <c r="H9827" s="38" t="n">
        <f aca="false">YEAR(Tabela1[[#This Row],[FECHA]])</f>
        <v>1900</v>
      </c>
      <c r="I98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28" customFormat="false" ht="15" hidden="false" customHeight="false" outlineLevel="0" collapsed="false">
      <c r="A9828" s="41"/>
      <c r="G9828" s="38" t="n">
        <f aca="false">MONTH(A9828)</f>
        <v>12</v>
      </c>
      <c r="H9828" s="38" t="n">
        <f aca="false">YEAR(Tabela1[[#This Row],[FECHA]])</f>
        <v>1900</v>
      </c>
      <c r="I98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29" customFormat="false" ht="15" hidden="false" customHeight="false" outlineLevel="0" collapsed="false">
      <c r="A9829" s="41"/>
      <c r="G9829" s="38" t="n">
        <f aca="false">MONTH(A9829)</f>
        <v>12</v>
      </c>
      <c r="H9829" s="38" t="n">
        <f aca="false">YEAR(Tabela1[[#This Row],[FECHA]])</f>
        <v>1900</v>
      </c>
      <c r="I98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30" customFormat="false" ht="15" hidden="false" customHeight="false" outlineLevel="0" collapsed="false">
      <c r="A9830" s="41"/>
      <c r="G9830" s="38" t="n">
        <f aca="false">MONTH(A9830)</f>
        <v>12</v>
      </c>
      <c r="H9830" s="38" t="n">
        <f aca="false">YEAR(Tabela1[[#This Row],[FECHA]])</f>
        <v>1900</v>
      </c>
      <c r="I98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31" customFormat="false" ht="15" hidden="false" customHeight="false" outlineLevel="0" collapsed="false">
      <c r="A9831" s="41"/>
      <c r="G9831" s="38" t="n">
        <f aca="false">MONTH(A9831)</f>
        <v>12</v>
      </c>
      <c r="H9831" s="38" t="n">
        <f aca="false">YEAR(Tabela1[[#This Row],[FECHA]])</f>
        <v>1900</v>
      </c>
      <c r="I98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32" customFormat="false" ht="15" hidden="false" customHeight="false" outlineLevel="0" collapsed="false">
      <c r="A9832" s="41"/>
      <c r="G9832" s="38" t="n">
        <f aca="false">MONTH(A9832)</f>
        <v>12</v>
      </c>
      <c r="H9832" s="38" t="n">
        <f aca="false">YEAR(Tabela1[[#This Row],[FECHA]])</f>
        <v>1900</v>
      </c>
      <c r="I98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33" customFormat="false" ht="15" hidden="false" customHeight="false" outlineLevel="0" collapsed="false">
      <c r="A9833" s="41"/>
      <c r="G9833" s="38" t="n">
        <f aca="false">MONTH(A9833)</f>
        <v>12</v>
      </c>
      <c r="H9833" s="38" t="n">
        <f aca="false">YEAR(Tabela1[[#This Row],[FECHA]])</f>
        <v>1900</v>
      </c>
      <c r="I98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34" customFormat="false" ht="15" hidden="false" customHeight="false" outlineLevel="0" collapsed="false">
      <c r="A9834" s="41"/>
      <c r="G9834" s="38" t="n">
        <f aca="false">MONTH(A9834)</f>
        <v>12</v>
      </c>
      <c r="H9834" s="38" t="n">
        <f aca="false">YEAR(Tabela1[[#This Row],[FECHA]])</f>
        <v>1900</v>
      </c>
      <c r="I98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35" customFormat="false" ht="15" hidden="false" customHeight="false" outlineLevel="0" collapsed="false">
      <c r="A9835" s="41"/>
      <c r="G9835" s="38" t="n">
        <f aca="false">MONTH(A9835)</f>
        <v>12</v>
      </c>
      <c r="H9835" s="38" t="n">
        <f aca="false">YEAR(Tabela1[[#This Row],[FECHA]])</f>
        <v>1900</v>
      </c>
      <c r="I98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36" customFormat="false" ht="15" hidden="false" customHeight="false" outlineLevel="0" collapsed="false">
      <c r="A9836" s="41"/>
      <c r="G9836" s="38" t="n">
        <f aca="false">MONTH(A9836)</f>
        <v>12</v>
      </c>
      <c r="H9836" s="38" t="n">
        <f aca="false">YEAR(Tabela1[[#This Row],[FECHA]])</f>
        <v>1900</v>
      </c>
      <c r="I98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37" customFormat="false" ht="15" hidden="false" customHeight="false" outlineLevel="0" collapsed="false">
      <c r="A9837" s="41"/>
      <c r="G9837" s="38" t="n">
        <f aca="false">MONTH(A9837)</f>
        <v>12</v>
      </c>
      <c r="H9837" s="38" t="n">
        <f aca="false">YEAR(Tabela1[[#This Row],[FECHA]])</f>
        <v>1900</v>
      </c>
      <c r="I98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38" customFormat="false" ht="15" hidden="false" customHeight="false" outlineLevel="0" collapsed="false">
      <c r="A9838" s="41"/>
      <c r="G9838" s="38" t="n">
        <f aca="false">MONTH(A9838)</f>
        <v>12</v>
      </c>
      <c r="H9838" s="38" t="n">
        <f aca="false">YEAR(Tabela1[[#This Row],[FECHA]])</f>
        <v>1900</v>
      </c>
      <c r="I98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39" customFormat="false" ht="15" hidden="false" customHeight="false" outlineLevel="0" collapsed="false">
      <c r="A9839" s="41"/>
      <c r="G9839" s="38" t="n">
        <f aca="false">MONTH(A9839)</f>
        <v>12</v>
      </c>
      <c r="H9839" s="38" t="n">
        <f aca="false">YEAR(Tabela1[[#This Row],[FECHA]])</f>
        <v>1900</v>
      </c>
      <c r="I98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40" customFormat="false" ht="15" hidden="false" customHeight="false" outlineLevel="0" collapsed="false">
      <c r="A9840" s="41"/>
      <c r="G9840" s="38" t="n">
        <f aca="false">MONTH(A9840)</f>
        <v>12</v>
      </c>
      <c r="H9840" s="38" t="n">
        <f aca="false">YEAR(Tabela1[[#This Row],[FECHA]])</f>
        <v>1900</v>
      </c>
      <c r="I98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41" customFormat="false" ht="15" hidden="false" customHeight="false" outlineLevel="0" collapsed="false">
      <c r="A9841" s="41"/>
      <c r="G9841" s="38" t="n">
        <f aca="false">MONTH(A9841)</f>
        <v>12</v>
      </c>
      <c r="H9841" s="38" t="n">
        <f aca="false">YEAR(Tabela1[[#This Row],[FECHA]])</f>
        <v>1900</v>
      </c>
      <c r="I98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42" customFormat="false" ht="15" hidden="false" customHeight="false" outlineLevel="0" collapsed="false">
      <c r="A9842" s="41"/>
      <c r="G9842" s="38" t="n">
        <f aca="false">MONTH(A9842)</f>
        <v>12</v>
      </c>
      <c r="H9842" s="38" t="n">
        <f aca="false">YEAR(Tabela1[[#This Row],[FECHA]])</f>
        <v>1900</v>
      </c>
      <c r="I98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43" customFormat="false" ht="15" hidden="false" customHeight="false" outlineLevel="0" collapsed="false">
      <c r="A9843" s="41"/>
      <c r="G9843" s="38" t="n">
        <f aca="false">MONTH(A9843)</f>
        <v>12</v>
      </c>
      <c r="H9843" s="38" t="n">
        <f aca="false">YEAR(Tabela1[[#This Row],[FECHA]])</f>
        <v>1900</v>
      </c>
      <c r="I98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44" customFormat="false" ht="15" hidden="false" customHeight="false" outlineLevel="0" collapsed="false">
      <c r="A9844" s="41"/>
      <c r="G9844" s="38" t="n">
        <f aca="false">MONTH(A9844)</f>
        <v>12</v>
      </c>
      <c r="H9844" s="38" t="n">
        <f aca="false">YEAR(Tabela1[[#This Row],[FECHA]])</f>
        <v>1900</v>
      </c>
      <c r="I98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45" customFormat="false" ht="15" hidden="false" customHeight="false" outlineLevel="0" collapsed="false">
      <c r="A9845" s="41"/>
      <c r="G9845" s="38" t="n">
        <f aca="false">MONTH(A9845)</f>
        <v>12</v>
      </c>
      <c r="H9845" s="38" t="n">
        <f aca="false">YEAR(Tabela1[[#This Row],[FECHA]])</f>
        <v>1900</v>
      </c>
      <c r="I98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46" customFormat="false" ht="15" hidden="false" customHeight="false" outlineLevel="0" collapsed="false">
      <c r="A9846" s="41"/>
      <c r="G9846" s="38" t="n">
        <f aca="false">MONTH(A9846)</f>
        <v>12</v>
      </c>
      <c r="H9846" s="38" t="n">
        <f aca="false">YEAR(Tabela1[[#This Row],[FECHA]])</f>
        <v>1900</v>
      </c>
      <c r="I98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47" customFormat="false" ht="15" hidden="false" customHeight="false" outlineLevel="0" collapsed="false">
      <c r="A9847" s="41"/>
      <c r="G9847" s="38" t="n">
        <f aca="false">MONTH(A9847)</f>
        <v>12</v>
      </c>
      <c r="H9847" s="38" t="n">
        <f aca="false">YEAR(Tabela1[[#This Row],[FECHA]])</f>
        <v>1900</v>
      </c>
      <c r="I98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48" customFormat="false" ht="15" hidden="false" customHeight="false" outlineLevel="0" collapsed="false">
      <c r="A9848" s="41"/>
      <c r="G9848" s="38" t="n">
        <f aca="false">MONTH(A9848)</f>
        <v>12</v>
      </c>
      <c r="H9848" s="38" t="n">
        <f aca="false">YEAR(Tabela1[[#This Row],[FECHA]])</f>
        <v>1900</v>
      </c>
      <c r="I98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49" customFormat="false" ht="15" hidden="false" customHeight="false" outlineLevel="0" collapsed="false">
      <c r="A9849" s="41"/>
      <c r="G9849" s="38" t="n">
        <f aca="false">MONTH(A9849)</f>
        <v>12</v>
      </c>
      <c r="H9849" s="38" t="n">
        <f aca="false">YEAR(Tabela1[[#This Row],[FECHA]])</f>
        <v>1900</v>
      </c>
      <c r="I98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50" customFormat="false" ht="15" hidden="false" customHeight="false" outlineLevel="0" collapsed="false">
      <c r="A9850" s="41"/>
      <c r="G9850" s="38" t="n">
        <f aca="false">MONTH(A9850)</f>
        <v>12</v>
      </c>
      <c r="H9850" s="38" t="n">
        <f aca="false">YEAR(Tabela1[[#This Row],[FECHA]])</f>
        <v>1900</v>
      </c>
      <c r="I98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51" customFormat="false" ht="15" hidden="false" customHeight="false" outlineLevel="0" collapsed="false">
      <c r="A9851" s="41"/>
      <c r="G9851" s="38" t="n">
        <f aca="false">MONTH(A9851)</f>
        <v>12</v>
      </c>
      <c r="H9851" s="38" t="n">
        <f aca="false">YEAR(Tabela1[[#This Row],[FECHA]])</f>
        <v>1900</v>
      </c>
      <c r="I98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52" customFormat="false" ht="15" hidden="false" customHeight="false" outlineLevel="0" collapsed="false">
      <c r="A9852" s="41"/>
      <c r="G9852" s="38" t="n">
        <f aca="false">MONTH(A9852)</f>
        <v>12</v>
      </c>
      <c r="H9852" s="38" t="n">
        <f aca="false">YEAR(Tabela1[[#This Row],[FECHA]])</f>
        <v>1900</v>
      </c>
      <c r="I98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53" customFormat="false" ht="15" hidden="false" customHeight="false" outlineLevel="0" collapsed="false">
      <c r="A9853" s="41"/>
      <c r="G9853" s="38" t="n">
        <f aca="false">MONTH(A9853)</f>
        <v>12</v>
      </c>
      <c r="H9853" s="38" t="n">
        <f aca="false">YEAR(Tabela1[[#This Row],[FECHA]])</f>
        <v>1900</v>
      </c>
      <c r="I98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54" customFormat="false" ht="15" hidden="false" customHeight="false" outlineLevel="0" collapsed="false">
      <c r="A9854" s="41"/>
      <c r="G9854" s="38" t="n">
        <f aca="false">MONTH(A9854)</f>
        <v>12</v>
      </c>
      <c r="H9854" s="38" t="n">
        <f aca="false">YEAR(Tabela1[[#This Row],[FECHA]])</f>
        <v>1900</v>
      </c>
      <c r="I98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55" customFormat="false" ht="15" hidden="false" customHeight="false" outlineLevel="0" collapsed="false">
      <c r="A9855" s="41"/>
      <c r="G9855" s="38" t="n">
        <f aca="false">MONTH(A9855)</f>
        <v>12</v>
      </c>
      <c r="H9855" s="38" t="n">
        <f aca="false">YEAR(Tabela1[[#This Row],[FECHA]])</f>
        <v>1900</v>
      </c>
      <c r="I98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56" customFormat="false" ht="15" hidden="false" customHeight="false" outlineLevel="0" collapsed="false">
      <c r="A9856" s="41"/>
      <c r="G9856" s="38" t="n">
        <f aca="false">MONTH(A9856)</f>
        <v>12</v>
      </c>
      <c r="H9856" s="38" t="n">
        <f aca="false">YEAR(Tabela1[[#This Row],[FECHA]])</f>
        <v>1900</v>
      </c>
      <c r="I98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57" customFormat="false" ht="15" hidden="false" customHeight="false" outlineLevel="0" collapsed="false">
      <c r="A9857" s="41"/>
      <c r="G9857" s="38" t="n">
        <f aca="false">MONTH(A9857)</f>
        <v>12</v>
      </c>
      <c r="H9857" s="38" t="n">
        <f aca="false">YEAR(Tabela1[[#This Row],[FECHA]])</f>
        <v>1900</v>
      </c>
      <c r="I98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58" customFormat="false" ht="15" hidden="false" customHeight="false" outlineLevel="0" collapsed="false">
      <c r="A9858" s="41"/>
      <c r="G9858" s="38" t="n">
        <f aca="false">MONTH(A9858)</f>
        <v>12</v>
      </c>
      <c r="H9858" s="38" t="n">
        <f aca="false">YEAR(Tabela1[[#This Row],[FECHA]])</f>
        <v>1900</v>
      </c>
      <c r="I98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59" customFormat="false" ht="15" hidden="false" customHeight="false" outlineLevel="0" collapsed="false">
      <c r="A9859" s="41"/>
      <c r="G9859" s="38" t="n">
        <f aca="false">MONTH(A9859)</f>
        <v>12</v>
      </c>
      <c r="H9859" s="38" t="n">
        <f aca="false">YEAR(Tabela1[[#This Row],[FECHA]])</f>
        <v>1900</v>
      </c>
      <c r="I98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60" customFormat="false" ht="15" hidden="false" customHeight="false" outlineLevel="0" collapsed="false">
      <c r="A9860" s="41"/>
      <c r="G9860" s="38" t="n">
        <f aca="false">MONTH(A9860)</f>
        <v>12</v>
      </c>
      <c r="H9860" s="38" t="n">
        <f aca="false">YEAR(Tabela1[[#This Row],[FECHA]])</f>
        <v>1900</v>
      </c>
      <c r="I98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61" customFormat="false" ht="15" hidden="false" customHeight="false" outlineLevel="0" collapsed="false">
      <c r="A9861" s="41"/>
      <c r="G9861" s="38" t="n">
        <f aca="false">MONTH(A9861)</f>
        <v>12</v>
      </c>
      <c r="H9861" s="38" t="n">
        <f aca="false">YEAR(Tabela1[[#This Row],[FECHA]])</f>
        <v>1900</v>
      </c>
      <c r="I98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62" customFormat="false" ht="15" hidden="false" customHeight="false" outlineLevel="0" collapsed="false">
      <c r="A9862" s="41"/>
      <c r="G9862" s="38" t="n">
        <f aca="false">MONTH(A9862)</f>
        <v>12</v>
      </c>
      <c r="H9862" s="38" t="n">
        <f aca="false">YEAR(Tabela1[[#This Row],[FECHA]])</f>
        <v>1900</v>
      </c>
      <c r="I98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63" customFormat="false" ht="15" hidden="false" customHeight="false" outlineLevel="0" collapsed="false">
      <c r="A9863" s="41"/>
      <c r="G9863" s="38" t="n">
        <f aca="false">MONTH(A9863)</f>
        <v>12</v>
      </c>
      <c r="H9863" s="38" t="n">
        <f aca="false">YEAR(Tabela1[[#This Row],[FECHA]])</f>
        <v>1900</v>
      </c>
      <c r="I98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64" customFormat="false" ht="15" hidden="false" customHeight="false" outlineLevel="0" collapsed="false">
      <c r="A9864" s="41"/>
      <c r="G9864" s="38" t="n">
        <f aca="false">MONTH(A9864)</f>
        <v>12</v>
      </c>
      <c r="H9864" s="38" t="n">
        <f aca="false">YEAR(Tabela1[[#This Row],[FECHA]])</f>
        <v>1900</v>
      </c>
      <c r="I98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65" customFormat="false" ht="15" hidden="false" customHeight="false" outlineLevel="0" collapsed="false">
      <c r="A9865" s="41"/>
      <c r="G9865" s="38" t="n">
        <f aca="false">MONTH(A9865)</f>
        <v>12</v>
      </c>
      <c r="H9865" s="38" t="n">
        <f aca="false">YEAR(Tabela1[[#This Row],[FECHA]])</f>
        <v>1900</v>
      </c>
      <c r="I98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66" customFormat="false" ht="15" hidden="false" customHeight="false" outlineLevel="0" collapsed="false">
      <c r="A9866" s="41"/>
      <c r="G9866" s="38" t="n">
        <f aca="false">MONTH(A9866)</f>
        <v>12</v>
      </c>
      <c r="H9866" s="38" t="n">
        <f aca="false">YEAR(Tabela1[[#This Row],[FECHA]])</f>
        <v>1900</v>
      </c>
      <c r="I98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67" customFormat="false" ht="15" hidden="false" customHeight="false" outlineLevel="0" collapsed="false">
      <c r="A9867" s="41"/>
      <c r="G9867" s="38" t="n">
        <f aca="false">MONTH(A9867)</f>
        <v>12</v>
      </c>
      <c r="H9867" s="38" t="n">
        <f aca="false">YEAR(Tabela1[[#This Row],[FECHA]])</f>
        <v>1900</v>
      </c>
      <c r="I98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68" customFormat="false" ht="15" hidden="false" customHeight="false" outlineLevel="0" collapsed="false">
      <c r="A9868" s="41"/>
      <c r="G9868" s="38" t="n">
        <f aca="false">MONTH(A9868)</f>
        <v>12</v>
      </c>
      <c r="H9868" s="38" t="n">
        <f aca="false">YEAR(Tabela1[[#This Row],[FECHA]])</f>
        <v>1900</v>
      </c>
      <c r="I98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69" customFormat="false" ht="15" hidden="false" customHeight="false" outlineLevel="0" collapsed="false">
      <c r="A9869" s="41"/>
      <c r="G9869" s="38" t="n">
        <f aca="false">MONTH(A9869)</f>
        <v>12</v>
      </c>
      <c r="H9869" s="38" t="n">
        <f aca="false">YEAR(Tabela1[[#This Row],[FECHA]])</f>
        <v>1900</v>
      </c>
      <c r="I98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70" customFormat="false" ht="15" hidden="false" customHeight="false" outlineLevel="0" collapsed="false">
      <c r="A9870" s="41"/>
      <c r="G9870" s="38" t="n">
        <f aca="false">MONTH(A9870)</f>
        <v>12</v>
      </c>
      <c r="H9870" s="38" t="n">
        <f aca="false">YEAR(Tabela1[[#This Row],[FECHA]])</f>
        <v>1900</v>
      </c>
      <c r="I98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71" customFormat="false" ht="15" hidden="false" customHeight="false" outlineLevel="0" collapsed="false">
      <c r="A9871" s="41"/>
      <c r="G9871" s="38" t="n">
        <f aca="false">MONTH(A9871)</f>
        <v>12</v>
      </c>
      <c r="H9871" s="38" t="n">
        <f aca="false">YEAR(Tabela1[[#This Row],[FECHA]])</f>
        <v>1900</v>
      </c>
      <c r="I98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72" customFormat="false" ht="15" hidden="false" customHeight="false" outlineLevel="0" collapsed="false">
      <c r="A9872" s="41"/>
      <c r="G9872" s="38" t="n">
        <f aca="false">MONTH(A9872)</f>
        <v>12</v>
      </c>
      <c r="H9872" s="38" t="n">
        <f aca="false">YEAR(Tabela1[[#This Row],[FECHA]])</f>
        <v>1900</v>
      </c>
      <c r="I98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73" customFormat="false" ht="15" hidden="false" customHeight="false" outlineLevel="0" collapsed="false">
      <c r="A9873" s="41"/>
      <c r="G9873" s="38" t="n">
        <f aca="false">MONTH(A9873)</f>
        <v>12</v>
      </c>
      <c r="H9873" s="38" t="n">
        <f aca="false">YEAR(Tabela1[[#This Row],[FECHA]])</f>
        <v>1900</v>
      </c>
      <c r="I98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74" customFormat="false" ht="15" hidden="false" customHeight="false" outlineLevel="0" collapsed="false">
      <c r="A9874" s="41"/>
      <c r="G9874" s="38" t="n">
        <f aca="false">MONTH(A9874)</f>
        <v>12</v>
      </c>
      <c r="H9874" s="38" t="n">
        <f aca="false">YEAR(Tabela1[[#This Row],[FECHA]])</f>
        <v>1900</v>
      </c>
      <c r="I98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75" customFormat="false" ht="15" hidden="false" customHeight="false" outlineLevel="0" collapsed="false">
      <c r="A9875" s="41"/>
      <c r="G9875" s="38" t="n">
        <f aca="false">MONTH(A9875)</f>
        <v>12</v>
      </c>
      <c r="H9875" s="38" t="n">
        <f aca="false">YEAR(Tabela1[[#This Row],[FECHA]])</f>
        <v>1900</v>
      </c>
      <c r="I98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76" customFormat="false" ht="15" hidden="false" customHeight="false" outlineLevel="0" collapsed="false">
      <c r="A9876" s="41"/>
      <c r="G9876" s="38" t="n">
        <f aca="false">MONTH(A9876)</f>
        <v>12</v>
      </c>
      <c r="H9876" s="38" t="n">
        <f aca="false">YEAR(Tabela1[[#This Row],[FECHA]])</f>
        <v>1900</v>
      </c>
      <c r="I98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77" customFormat="false" ht="15" hidden="false" customHeight="false" outlineLevel="0" collapsed="false">
      <c r="A9877" s="41"/>
      <c r="G9877" s="38" t="n">
        <f aca="false">MONTH(A9877)</f>
        <v>12</v>
      </c>
      <c r="H9877" s="38" t="n">
        <f aca="false">YEAR(Tabela1[[#This Row],[FECHA]])</f>
        <v>1900</v>
      </c>
      <c r="I98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78" customFormat="false" ht="15" hidden="false" customHeight="false" outlineLevel="0" collapsed="false">
      <c r="A9878" s="41"/>
      <c r="G9878" s="38" t="n">
        <f aca="false">MONTH(A9878)</f>
        <v>12</v>
      </c>
      <c r="H9878" s="38" t="n">
        <f aca="false">YEAR(Tabela1[[#This Row],[FECHA]])</f>
        <v>1900</v>
      </c>
      <c r="I98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79" customFormat="false" ht="15" hidden="false" customHeight="false" outlineLevel="0" collapsed="false">
      <c r="A9879" s="41"/>
      <c r="G9879" s="38" t="n">
        <f aca="false">MONTH(A9879)</f>
        <v>12</v>
      </c>
      <c r="H9879" s="38" t="n">
        <f aca="false">YEAR(Tabela1[[#This Row],[FECHA]])</f>
        <v>1900</v>
      </c>
      <c r="I98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80" customFormat="false" ht="15" hidden="false" customHeight="false" outlineLevel="0" collapsed="false">
      <c r="A9880" s="41"/>
      <c r="G9880" s="38" t="n">
        <f aca="false">MONTH(A9880)</f>
        <v>12</v>
      </c>
      <c r="H9880" s="38" t="n">
        <f aca="false">YEAR(Tabela1[[#This Row],[FECHA]])</f>
        <v>1900</v>
      </c>
      <c r="I98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81" customFormat="false" ht="15" hidden="false" customHeight="false" outlineLevel="0" collapsed="false">
      <c r="A9881" s="41"/>
      <c r="G9881" s="38" t="n">
        <f aca="false">MONTH(A9881)</f>
        <v>12</v>
      </c>
      <c r="H9881" s="38" t="n">
        <f aca="false">YEAR(Tabela1[[#This Row],[FECHA]])</f>
        <v>1900</v>
      </c>
      <c r="I98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82" customFormat="false" ht="15" hidden="false" customHeight="false" outlineLevel="0" collapsed="false">
      <c r="A9882" s="41"/>
      <c r="G9882" s="38" t="n">
        <f aca="false">MONTH(A9882)</f>
        <v>12</v>
      </c>
      <c r="H9882" s="38" t="n">
        <f aca="false">YEAR(Tabela1[[#This Row],[FECHA]])</f>
        <v>1900</v>
      </c>
      <c r="I98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83" customFormat="false" ht="15" hidden="false" customHeight="false" outlineLevel="0" collapsed="false">
      <c r="A9883" s="41"/>
      <c r="G9883" s="38" t="n">
        <f aca="false">MONTH(A9883)</f>
        <v>12</v>
      </c>
      <c r="H9883" s="38" t="n">
        <f aca="false">YEAR(Tabela1[[#This Row],[FECHA]])</f>
        <v>1900</v>
      </c>
      <c r="I98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84" customFormat="false" ht="15" hidden="false" customHeight="false" outlineLevel="0" collapsed="false">
      <c r="A9884" s="41"/>
      <c r="G9884" s="38" t="n">
        <f aca="false">MONTH(A9884)</f>
        <v>12</v>
      </c>
      <c r="H9884" s="38" t="n">
        <f aca="false">YEAR(Tabela1[[#This Row],[FECHA]])</f>
        <v>1900</v>
      </c>
      <c r="I98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85" customFormat="false" ht="15" hidden="false" customHeight="false" outlineLevel="0" collapsed="false">
      <c r="A9885" s="41"/>
      <c r="G9885" s="38" t="n">
        <f aca="false">MONTH(A9885)</f>
        <v>12</v>
      </c>
      <c r="H9885" s="38" t="n">
        <f aca="false">YEAR(Tabela1[[#This Row],[FECHA]])</f>
        <v>1900</v>
      </c>
      <c r="I98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86" customFormat="false" ht="15" hidden="false" customHeight="false" outlineLevel="0" collapsed="false">
      <c r="A9886" s="41"/>
      <c r="G9886" s="38" t="n">
        <f aca="false">MONTH(A9886)</f>
        <v>12</v>
      </c>
      <c r="H9886" s="38" t="n">
        <f aca="false">YEAR(Tabela1[[#This Row],[FECHA]])</f>
        <v>1900</v>
      </c>
      <c r="I98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87" customFormat="false" ht="15" hidden="false" customHeight="false" outlineLevel="0" collapsed="false">
      <c r="A9887" s="41"/>
      <c r="G9887" s="38" t="n">
        <f aca="false">MONTH(A9887)</f>
        <v>12</v>
      </c>
      <c r="H9887" s="38" t="n">
        <f aca="false">YEAR(Tabela1[[#This Row],[FECHA]])</f>
        <v>1900</v>
      </c>
      <c r="I98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88" customFormat="false" ht="15" hidden="false" customHeight="false" outlineLevel="0" collapsed="false">
      <c r="A9888" s="41"/>
      <c r="G9888" s="38" t="n">
        <f aca="false">MONTH(A9888)</f>
        <v>12</v>
      </c>
      <c r="H9888" s="38" t="n">
        <f aca="false">YEAR(Tabela1[[#This Row],[FECHA]])</f>
        <v>1900</v>
      </c>
      <c r="I98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89" customFormat="false" ht="15" hidden="false" customHeight="false" outlineLevel="0" collapsed="false">
      <c r="A9889" s="41"/>
      <c r="G9889" s="38" t="n">
        <f aca="false">MONTH(A9889)</f>
        <v>12</v>
      </c>
      <c r="H9889" s="38" t="n">
        <f aca="false">YEAR(Tabela1[[#This Row],[FECHA]])</f>
        <v>1900</v>
      </c>
      <c r="I98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90" customFormat="false" ht="15" hidden="false" customHeight="false" outlineLevel="0" collapsed="false">
      <c r="A9890" s="41"/>
      <c r="G9890" s="38" t="n">
        <f aca="false">MONTH(A9890)</f>
        <v>12</v>
      </c>
      <c r="H9890" s="38" t="n">
        <f aca="false">YEAR(Tabela1[[#This Row],[FECHA]])</f>
        <v>1900</v>
      </c>
      <c r="I98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91" customFormat="false" ht="15" hidden="false" customHeight="false" outlineLevel="0" collapsed="false">
      <c r="A9891" s="41"/>
      <c r="G9891" s="38" t="n">
        <f aca="false">MONTH(A9891)</f>
        <v>12</v>
      </c>
      <c r="H9891" s="38" t="n">
        <f aca="false">YEAR(Tabela1[[#This Row],[FECHA]])</f>
        <v>1900</v>
      </c>
      <c r="I98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92" customFormat="false" ht="15" hidden="false" customHeight="false" outlineLevel="0" collapsed="false">
      <c r="A9892" s="41"/>
      <c r="G9892" s="38" t="n">
        <f aca="false">MONTH(A9892)</f>
        <v>12</v>
      </c>
      <c r="H9892" s="38" t="n">
        <f aca="false">YEAR(Tabela1[[#This Row],[FECHA]])</f>
        <v>1900</v>
      </c>
      <c r="I98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93" customFormat="false" ht="15" hidden="false" customHeight="false" outlineLevel="0" collapsed="false">
      <c r="A9893" s="41"/>
      <c r="G9893" s="38" t="n">
        <f aca="false">MONTH(A9893)</f>
        <v>12</v>
      </c>
      <c r="H9893" s="38" t="n">
        <f aca="false">YEAR(Tabela1[[#This Row],[FECHA]])</f>
        <v>1900</v>
      </c>
      <c r="I98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94" customFormat="false" ht="15" hidden="false" customHeight="false" outlineLevel="0" collapsed="false">
      <c r="A9894" s="41"/>
      <c r="G9894" s="38" t="n">
        <f aca="false">MONTH(A9894)</f>
        <v>12</v>
      </c>
      <c r="H9894" s="38" t="n">
        <f aca="false">YEAR(Tabela1[[#This Row],[FECHA]])</f>
        <v>1900</v>
      </c>
      <c r="I98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95" customFormat="false" ht="15" hidden="false" customHeight="false" outlineLevel="0" collapsed="false">
      <c r="A9895" s="41"/>
      <c r="G9895" s="38" t="n">
        <f aca="false">MONTH(A9895)</f>
        <v>12</v>
      </c>
      <c r="H9895" s="38" t="n">
        <f aca="false">YEAR(Tabela1[[#This Row],[FECHA]])</f>
        <v>1900</v>
      </c>
      <c r="I98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96" customFormat="false" ht="15" hidden="false" customHeight="false" outlineLevel="0" collapsed="false">
      <c r="A9896" s="41"/>
      <c r="G9896" s="38" t="n">
        <f aca="false">MONTH(A9896)</f>
        <v>12</v>
      </c>
      <c r="H9896" s="38" t="n">
        <f aca="false">YEAR(Tabela1[[#This Row],[FECHA]])</f>
        <v>1900</v>
      </c>
      <c r="I98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97" customFormat="false" ht="15" hidden="false" customHeight="false" outlineLevel="0" collapsed="false">
      <c r="A9897" s="41"/>
      <c r="G9897" s="38" t="n">
        <f aca="false">MONTH(A9897)</f>
        <v>12</v>
      </c>
      <c r="H9897" s="38" t="n">
        <f aca="false">YEAR(Tabela1[[#This Row],[FECHA]])</f>
        <v>1900</v>
      </c>
      <c r="I98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98" customFormat="false" ht="15" hidden="false" customHeight="false" outlineLevel="0" collapsed="false">
      <c r="A9898" s="41"/>
      <c r="G9898" s="38" t="n">
        <f aca="false">MONTH(A9898)</f>
        <v>12</v>
      </c>
      <c r="H9898" s="38" t="n">
        <f aca="false">YEAR(Tabela1[[#This Row],[FECHA]])</f>
        <v>1900</v>
      </c>
      <c r="I98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899" customFormat="false" ht="15" hidden="false" customHeight="false" outlineLevel="0" collapsed="false">
      <c r="A9899" s="41"/>
      <c r="G9899" s="38" t="n">
        <f aca="false">MONTH(A9899)</f>
        <v>12</v>
      </c>
      <c r="H9899" s="38" t="n">
        <f aca="false">YEAR(Tabela1[[#This Row],[FECHA]])</f>
        <v>1900</v>
      </c>
      <c r="I98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00" customFormat="false" ht="15" hidden="false" customHeight="false" outlineLevel="0" collapsed="false">
      <c r="A9900" s="41"/>
      <c r="G9900" s="38" t="n">
        <f aca="false">MONTH(A9900)</f>
        <v>12</v>
      </c>
      <c r="H9900" s="38" t="n">
        <f aca="false">YEAR(Tabela1[[#This Row],[FECHA]])</f>
        <v>1900</v>
      </c>
      <c r="I990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01" customFormat="false" ht="15" hidden="false" customHeight="false" outlineLevel="0" collapsed="false">
      <c r="A9901" s="41"/>
      <c r="G9901" s="38" t="n">
        <f aca="false">MONTH(A9901)</f>
        <v>12</v>
      </c>
      <c r="H9901" s="38" t="n">
        <f aca="false">YEAR(Tabela1[[#This Row],[FECHA]])</f>
        <v>1900</v>
      </c>
      <c r="I990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02" customFormat="false" ht="15" hidden="false" customHeight="false" outlineLevel="0" collapsed="false">
      <c r="A9902" s="41"/>
      <c r="G9902" s="38" t="n">
        <f aca="false">MONTH(A9902)</f>
        <v>12</v>
      </c>
      <c r="H9902" s="38" t="n">
        <f aca="false">YEAR(Tabela1[[#This Row],[FECHA]])</f>
        <v>1900</v>
      </c>
      <c r="I990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03" customFormat="false" ht="15" hidden="false" customHeight="false" outlineLevel="0" collapsed="false">
      <c r="A9903" s="41"/>
      <c r="G9903" s="38" t="n">
        <f aca="false">MONTH(A9903)</f>
        <v>12</v>
      </c>
      <c r="H9903" s="38" t="n">
        <f aca="false">YEAR(Tabela1[[#This Row],[FECHA]])</f>
        <v>1900</v>
      </c>
      <c r="I990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04" customFormat="false" ht="15" hidden="false" customHeight="false" outlineLevel="0" collapsed="false">
      <c r="A9904" s="41"/>
      <c r="G9904" s="38" t="n">
        <f aca="false">MONTH(A9904)</f>
        <v>12</v>
      </c>
      <c r="H9904" s="38" t="n">
        <f aca="false">YEAR(Tabela1[[#This Row],[FECHA]])</f>
        <v>1900</v>
      </c>
      <c r="I990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05" customFormat="false" ht="15" hidden="false" customHeight="false" outlineLevel="0" collapsed="false">
      <c r="A9905" s="41"/>
      <c r="G9905" s="38" t="n">
        <f aca="false">MONTH(A9905)</f>
        <v>12</v>
      </c>
      <c r="H9905" s="38" t="n">
        <f aca="false">YEAR(Tabela1[[#This Row],[FECHA]])</f>
        <v>1900</v>
      </c>
      <c r="I990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06" customFormat="false" ht="15" hidden="false" customHeight="false" outlineLevel="0" collapsed="false">
      <c r="A9906" s="41"/>
      <c r="G9906" s="38" t="n">
        <f aca="false">MONTH(A9906)</f>
        <v>12</v>
      </c>
      <c r="H9906" s="38" t="n">
        <f aca="false">YEAR(Tabela1[[#This Row],[FECHA]])</f>
        <v>1900</v>
      </c>
      <c r="I990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07" customFormat="false" ht="15" hidden="false" customHeight="false" outlineLevel="0" collapsed="false">
      <c r="A9907" s="41"/>
      <c r="G9907" s="38" t="n">
        <f aca="false">MONTH(A9907)</f>
        <v>12</v>
      </c>
      <c r="H9907" s="38" t="n">
        <f aca="false">YEAR(Tabela1[[#This Row],[FECHA]])</f>
        <v>1900</v>
      </c>
      <c r="I990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08" customFormat="false" ht="15" hidden="false" customHeight="false" outlineLevel="0" collapsed="false">
      <c r="A9908" s="41"/>
      <c r="G9908" s="38" t="n">
        <f aca="false">MONTH(A9908)</f>
        <v>12</v>
      </c>
      <c r="H9908" s="38" t="n">
        <f aca="false">YEAR(Tabela1[[#This Row],[FECHA]])</f>
        <v>1900</v>
      </c>
      <c r="I990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09" customFormat="false" ht="15" hidden="false" customHeight="false" outlineLevel="0" collapsed="false">
      <c r="A9909" s="41"/>
      <c r="G9909" s="38" t="n">
        <f aca="false">MONTH(A9909)</f>
        <v>12</v>
      </c>
      <c r="H9909" s="38" t="n">
        <f aca="false">YEAR(Tabela1[[#This Row],[FECHA]])</f>
        <v>1900</v>
      </c>
      <c r="I990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10" customFormat="false" ht="15" hidden="false" customHeight="false" outlineLevel="0" collapsed="false">
      <c r="A9910" s="41"/>
      <c r="G9910" s="38" t="n">
        <f aca="false">MONTH(A9910)</f>
        <v>12</v>
      </c>
      <c r="H9910" s="38" t="n">
        <f aca="false">YEAR(Tabela1[[#This Row],[FECHA]])</f>
        <v>1900</v>
      </c>
      <c r="I991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11" customFormat="false" ht="15" hidden="false" customHeight="false" outlineLevel="0" collapsed="false">
      <c r="A9911" s="41"/>
      <c r="G9911" s="38" t="n">
        <f aca="false">MONTH(A9911)</f>
        <v>12</v>
      </c>
      <c r="H9911" s="38" t="n">
        <f aca="false">YEAR(Tabela1[[#This Row],[FECHA]])</f>
        <v>1900</v>
      </c>
      <c r="I991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12" customFormat="false" ht="15" hidden="false" customHeight="false" outlineLevel="0" collapsed="false">
      <c r="A9912" s="41"/>
      <c r="G9912" s="38" t="n">
        <f aca="false">MONTH(A9912)</f>
        <v>12</v>
      </c>
      <c r="H9912" s="38" t="n">
        <f aca="false">YEAR(Tabela1[[#This Row],[FECHA]])</f>
        <v>1900</v>
      </c>
      <c r="I991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13" customFormat="false" ht="15" hidden="false" customHeight="false" outlineLevel="0" collapsed="false">
      <c r="A9913" s="41"/>
      <c r="G9913" s="38" t="n">
        <f aca="false">MONTH(A9913)</f>
        <v>12</v>
      </c>
      <c r="H9913" s="38" t="n">
        <f aca="false">YEAR(Tabela1[[#This Row],[FECHA]])</f>
        <v>1900</v>
      </c>
      <c r="I991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14" customFormat="false" ht="15" hidden="false" customHeight="false" outlineLevel="0" collapsed="false">
      <c r="A9914" s="41"/>
      <c r="G9914" s="38" t="n">
        <f aca="false">MONTH(A9914)</f>
        <v>12</v>
      </c>
      <c r="H9914" s="38" t="n">
        <f aca="false">YEAR(Tabela1[[#This Row],[FECHA]])</f>
        <v>1900</v>
      </c>
      <c r="I991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15" customFormat="false" ht="15" hidden="false" customHeight="false" outlineLevel="0" collapsed="false">
      <c r="A9915" s="41"/>
      <c r="G9915" s="38" t="n">
        <f aca="false">MONTH(A9915)</f>
        <v>12</v>
      </c>
      <c r="H9915" s="38" t="n">
        <f aca="false">YEAR(Tabela1[[#This Row],[FECHA]])</f>
        <v>1900</v>
      </c>
      <c r="I991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16" customFormat="false" ht="15" hidden="false" customHeight="false" outlineLevel="0" collapsed="false">
      <c r="A9916" s="41"/>
      <c r="G9916" s="38" t="n">
        <f aca="false">MONTH(A9916)</f>
        <v>12</v>
      </c>
      <c r="H9916" s="38" t="n">
        <f aca="false">YEAR(Tabela1[[#This Row],[FECHA]])</f>
        <v>1900</v>
      </c>
      <c r="I991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17" customFormat="false" ht="15" hidden="false" customHeight="false" outlineLevel="0" collapsed="false">
      <c r="A9917" s="41"/>
      <c r="G9917" s="38" t="n">
        <f aca="false">MONTH(A9917)</f>
        <v>12</v>
      </c>
      <c r="H9917" s="38" t="n">
        <f aca="false">YEAR(Tabela1[[#This Row],[FECHA]])</f>
        <v>1900</v>
      </c>
      <c r="I991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18" customFormat="false" ht="15" hidden="false" customHeight="false" outlineLevel="0" collapsed="false">
      <c r="A9918" s="41"/>
      <c r="G9918" s="38" t="n">
        <f aca="false">MONTH(A9918)</f>
        <v>12</v>
      </c>
      <c r="H9918" s="38" t="n">
        <f aca="false">YEAR(Tabela1[[#This Row],[FECHA]])</f>
        <v>1900</v>
      </c>
      <c r="I991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19" customFormat="false" ht="15" hidden="false" customHeight="false" outlineLevel="0" collapsed="false">
      <c r="A9919" s="41"/>
      <c r="G9919" s="38" t="n">
        <f aca="false">MONTH(A9919)</f>
        <v>12</v>
      </c>
      <c r="H9919" s="38" t="n">
        <f aca="false">YEAR(Tabela1[[#This Row],[FECHA]])</f>
        <v>1900</v>
      </c>
      <c r="I991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20" customFormat="false" ht="15" hidden="false" customHeight="false" outlineLevel="0" collapsed="false">
      <c r="A9920" s="41"/>
      <c r="G9920" s="38" t="n">
        <f aca="false">MONTH(A9920)</f>
        <v>12</v>
      </c>
      <c r="H9920" s="38" t="n">
        <f aca="false">YEAR(Tabela1[[#This Row],[FECHA]])</f>
        <v>1900</v>
      </c>
      <c r="I992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21" customFormat="false" ht="15" hidden="false" customHeight="false" outlineLevel="0" collapsed="false">
      <c r="A9921" s="41"/>
      <c r="G9921" s="38" t="n">
        <f aca="false">MONTH(A9921)</f>
        <v>12</v>
      </c>
      <c r="H9921" s="38" t="n">
        <f aca="false">YEAR(Tabela1[[#This Row],[FECHA]])</f>
        <v>1900</v>
      </c>
      <c r="I992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22" customFormat="false" ht="15" hidden="false" customHeight="false" outlineLevel="0" collapsed="false">
      <c r="A9922" s="41"/>
      <c r="G9922" s="38" t="n">
        <f aca="false">MONTH(A9922)</f>
        <v>12</v>
      </c>
      <c r="H9922" s="38" t="n">
        <f aca="false">YEAR(Tabela1[[#This Row],[FECHA]])</f>
        <v>1900</v>
      </c>
      <c r="I992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23" customFormat="false" ht="15" hidden="false" customHeight="false" outlineLevel="0" collapsed="false">
      <c r="A9923" s="41"/>
      <c r="G9923" s="38" t="n">
        <f aca="false">MONTH(A9923)</f>
        <v>12</v>
      </c>
      <c r="H9923" s="38" t="n">
        <f aca="false">YEAR(Tabela1[[#This Row],[FECHA]])</f>
        <v>1900</v>
      </c>
      <c r="I992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24" customFormat="false" ht="15" hidden="false" customHeight="false" outlineLevel="0" collapsed="false">
      <c r="A9924" s="41"/>
      <c r="G9924" s="38" t="n">
        <f aca="false">MONTH(A9924)</f>
        <v>12</v>
      </c>
      <c r="H9924" s="38" t="n">
        <f aca="false">YEAR(Tabela1[[#This Row],[FECHA]])</f>
        <v>1900</v>
      </c>
      <c r="I992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25" customFormat="false" ht="15" hidden="false" customHeight="false" outlineLevel="0" collapsed="false">
      <c r="A9925" s="41"/>
      <c r="G9925" s="38" t="n">
        <f aca="false">MONTH(A9925)</f>
        <v>12</v>
      </c>
      <c r="H9925" s="38" t="n">
        <f aca="false">YEAR(Tabela1[[#This Row],[FECHA]])</f>
        <v>1900</v>
      </c>
      <c r="I992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26" customFormat="false" ht="15" hidden="false" customHeight="false" outlineLevel="0" collapsed="false">
      <c r="A9926" s="41"/>
      <c r="G9926" s="38" t="n">
        <f aca="false">MONTH(A9926)</f>
        <v>12</v>
      </c>
      <c r="H9926" s="38" t="n">
        <f aca="false">YEAR(Tabela1[[#This Row],[FECHA]])</f>
        <v>1900</v>
      </c>
      <c r="I992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27" customFormat="false" ht="15" hidden="false" customHeight="false" outlineLevel="0" collapsed="false">
      <c r="A9927" s="41"/>
      <c r="G9927" s="38" t="n">
        <f aca="false">MONTH(A9927)</f>
        <v>12</v>
      </c>
      <c r="H9927" s="38" t="n">
        <f aca="false">YEAR(Tabela1[[#This Row],[FECHA]])</f>
        <v>1900</v>
      </c>
      <c r="I992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28" customFormat="false" ht="15" hidden="false" customHeight="false" outlineLevel="0" collapsed="false">
      <c r="A9928" s="41"/>
      <c r="G9928" s="38" t="n">
        <f aca="false">MONTH(A9928)</f>
        <v>12</v>
      </c>
      <c r="H9928" s="38" t="n">
        <f aca="false">YEAR(Tabela1[[#This Row],[FECHA]])</f>
        <v>1900</v>
      </c>
      <c r="I992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29" customFormat="false" ht="15" hidden="false" customHeight="false" outlineLevel="0" collapsed="false">
      <c r="A9929" s="41"/>
      <c r="G9929" s="38" t="n">
        <f aca="false">MONTH(A9929)</f>
        <v>12</v>
      </c>
      <c r="H9929" s="38" t="n">
        <f aca="false">YEAR(Tabela1[[#This Row],[FECHA]])</f>
        <v>1900</v>
      </c>
      <c r="I992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30" customFormat="false" ht="15" hidden="false" customHeight="false" outlineLevel="0" collapsed="false">
      <c r="A9930" s="41"/>
      <c r="G9930" s="38" t="n">
        <f aca="false">MONTH(A9930)</f>
        <v>12</v>
      </c>
      <c r="H9930" s="38" t="n">
        <f aca="false">YEAR(Tabela1[[#This Row],[FECHA]])</f>
        <v>1900</v>
      </c>
      <c r="I993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31" customFormat="false" ht="15" hidden="false" customHeight="false" outlineLevel="0" collapsed="false">
      <c r="A9931" s="41"/>
      <c r="G9931" s="38" t="n">
        <f aca="false">MONTH(A9931)</f>
        <v>12</v>
      </c>
      <c r="H9931" s="38" t="n">
        <f aca="false">YEAR(Tabela1[[#This Row],[FECHA]])</f>
        <v>1900</v>
      </c>
      <c r="I993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32" customFormat="false" ht="15" hidden="false" customHeight="false" outlineLevel="0" collapsed="false">
      <c r="A9932" s="41"/>
      <c r="G9932" s="38" t="n">
        <f aca="false">MONTH(A9932)</f>
        <v>12</v>
      </c>
      <c r="H9932" s="38" t="n">
        <f aca="false">YEAR(Tabela1[[#This Row],[FECHA]])</f>
        <v>1900</v>
      </c>
      <c r="I993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33" customFormat="false" ht="15" hidden="false" customHeight="false" outlineLevel="0" collapsed="false">
      <c r="A9933" s="41"/>
      <c r="G9933" s="38" t="n">
        <f aca="false">MONTH(A9933)</f>
        <v>12</v>
      </c>
      <c r="H9933" s="38" t="n">
        <f aca="false">YEAR(Tabela1[[#This Row],[FECHA]])</f>
        <v>1900</v>
      </c>
      <c r="I993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34" customFormat="false" ht="15" hidden="false" customHeight="false" outlineLevel="0" collapsed="false">
      <c r="A9934" s="41"/>
      <c r="G9934" s="38" t="n">
        <f aca="false">MONTH(A9934)</f>
        <v>12</v>
      </c>
      <c r="H9934" s="38" t="n">
        <f aca="false">YEAR(Tabela1[[#This Row],[FECHA]])</f>
        <v>1900</v>
      </c>
      <c r="I993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35" customFormat="false" ht="15" hidden="false" customHeight="false" outlineLevel="0" collapsed="false">
      <c r="A9935" s="41"/>
      <c r="G9935" s="38" t="n">
        <f aca="false">MONTH(A9935)</f>
        <v>12</v>
      </c>
      <c r="H9935" s="38" t="n">
        <f aca="false">YEAR(Tabela1[[#This Row],[FECHA]])</f>
        <v>1900</v>
      </c>
      <c r="I993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36" customFormat="false" ht="15" hidden="false" customHeight="false" outlineLevel="0" collapsed="false">
      <c r="A9936" s="41"/>
      <c r="G9936" s="38" t="n">
        <f aca="false">MONTH(A9936)</f>
        <v>12</v>
      </c>
      <c r="H9936" s="38" t="n">
        <f aca="false">YEAR(Tabela1[[#This Row],[FECHA]])</f>
        <v>1900</v>
      </c>
      <c r="I993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37" customFormat="false" ht="15" hidden="false" customHeight="false" outlineLevel="0" collapsed="false">
      <c r="A9937" s="41"/>
      <c r="G9937" s="38" t="n">
        <f aca="false">MONTH(A9937)</f>
        <v>12</v>
      </c>
      <c r="H9937" s="38" t="n">
        <f aca="false">YEAR(Tabela1[[#This Row],[FECHA]])</f>
        <v>1900</v>
      </c>
      <c r="I993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38" customFormat="false" ht="15" hidden="false" customHeight="false" outlineLevel="0" collapsed="false">
      <c r="A9938" s="41"/>
      <c r="G9938" s="38" t="n">
        <f aca="false">MONTH(A9938)</f>
        <v>12</v>
      </c>
      <c r="H9938" s="38" t="n">
        <f aca="false">YEAR(Tabela1[[#This Row],[FECHA]])</f>
        <v>1900</v>
      </c>
      <c r="I993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39" customFormat="false" ht="15" hidden="false" customHeight="false" outlineLevel="0" collapsed="false">
      <c r="A9939" s="41"/>
      <c r="G9939" s="38" t="n">
        <f aca="false">MONTH(A9939)</f>
        <v>12</v>
      </c>
      <c r="H9939" s="38" t="n">
        <f aca="false">YEAR(Tabela1[[#This Row],[FECHA]])</f>
        <v>1900</v>
      </c>
      <c r="I993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40" customFormat="false" ht="15" hidden="false" customHeight="false" outlineLevel="0" collapsed="false">
      <c r="A9940" s="41"/>
      <c r="G9940" s="38" t="n">
        <f aca="false">MONTH(A9940)</f>
        <v>12</v>
      </c>
      <c r="H9940" s="38" t="n">
        <f aca="false">YEAR(Tabela1[[#This Row],[FECHA]])</f>
        <v>1900</v>
      </c>
      <c r="I994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41" customFormat="false" ht="15" hidden="false" customHeight="false" outlineLevel="0" collapsed="false">
      <c r="A9941" s="41"/>
      <c r="G9941" s="38" t="n">
        <f aca="false">MONTH(A9941)</f>
        <v>12</v>
      </c>
      <c r="H9941" s="38" t="n">
        <f aca="false">YEAR(Tabela1[[#This Row],[FECHA]])</f>
        <v>1900</v>
      </c>
      <c r="I994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42" customFormat="false" ht="15" hidden="false" customHeight="false" outlineLevel="0" collapsed="false">
      <c r="A9942" s="41"/>
      <c r="G9942" s="38" t="n">
        <f aca="false">MONTH(A9942)</f>
        <v>12</v>
      </c>
      <c r="H9942" s="38" t="n">
        <f aca="false">YEAR(Tabela1[[#This Row],[FECHA]])</f>
        <v>1900</v>
      </c>
      <c r="I994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43" customFormat="false" ht="15" hidden="false" customHeight="false" outlineLevel="0" collapsed="false">
      <c r="A9943" s="41"/>
      <c r="G9943" s="38" t="n">
        <f aca="false">MONTH(A9943)</f>
        <v>12</v>
      </c>
      <c r="H9943" s="38" t="n">
        <f aca="false">YEAR(Tabela1[[#This Row],[FECHA]])</f>
        <v>1900</v>
      </c>
      <c r="I994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44" customFormat="false" ht="15" hidden="false" customHeight="false" outlineLevel="0" collapsed="false">
      <c r="A9944" s="41"/>
      <c r="G9944" s="38" t="n">
        <f aca="false">MONTH(A9944)</f>
        <v>12</v>
      </c>
      <c r="H9944" s="38" t="n">
        <f aca="false">YEAR(Tabela1[[#This Row],[FECHA]])</f>
        <v>1900</v>
      </c>
      <c r="I994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45" customFormat="false" ht="15" hidden="false" customHeight="false" outlineLevel="0" collapsed="false">
      <c r="A9945" s="41"/>
      <c r="G9945" s="38" t="n">
        <f aca="false">MONTH(A9945)</f>
        <v>12</v>
      </c>
      <c r="H9945" s="38" t="n">
        <f aca="false">YEAR(Tabela1[[#This Row],[FECHA]])</f>
        <v>1900</v>
      </c>
      <c r="I994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46" customFormat="false" ht="15" hidden="false" customHeight="false" outlineLevel="0" collapsed="false">
      <c r="A9946" s="41"/>
      <c r="G9946" s="38" t="n">
        <f aca="false">MONTH(A9946)</f>
        <v>12</v>
      </c>
      <c r="H9946" s="38" t="n">
        <f aca="false">YEAR(Tabela1[[#This Row],[FECHA]])</f>
        <v>1900</v>
      </c>
      <c r="I994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47" customFormat="false" ht="15" hidden="false" customHeight="false" outlineLevel="0" collapsed="false">
      <c r="A9947" s="41"/>
      <c r="G9947" s="38" t="n">
        <f aca="false">MONTH(A9947)</f>
        <v>12</v>
      </c>
      <c r="H9947" s="38" t="n">
        <f aca="false">YEAR(Tabela1[[#This Row],[FECHA]])</f>
        <v>1900</v>
      </c>
      <c r="I994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48" customFormat="false" ht="15" hidden="false" customHeight="false" outlineLevel="0" collapsed="false">
      <c r="A9948" s="41"/>
      <c r="G9948" s="38" t="n">
        <f aca="false">MONTH(A9948)</f>
        <v>12</v>
      </c>
      <c r="H9948" s="38" t="n">
        <f aca="false">YEAR(Tabela1[[#This Row],[FECHA]])</f>
        <v>1900</v>
      </c>
      <c r="I994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49" customFormat="false" ht="15" hidden="false" customHeight="false" outlineLevel="0" collapsed="false">
      <c r="A9949" s="41"/>
      <c r="G9949" s="38" t="n">
        <f aca="false">MONTH(A9949)</f>
        <v>12</v>
      </c>
      <c r="H9949" s="38" t="n">
        <f aca="false">YEAR(Tabela1[[#This Row],[FECHA]])</f>
        <v>1900</v>
      </c>
      <c r="I994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50" customFormat="false" ht="15" hidden="false" customHeight="false" outlineLevel="0" collapsed="false">
      <c r="A9950" s="41"/>
      <c r="G9950" s="38" t="n">
        <f aca="false">MONTH(A9950)</f>
        <v>12</v>
      </c>
      <c r="H9950" s="38" t="n">
        <f aca="false">YEAR(Tabela1[[#This Row],[FECHA]])</f>
        <v>1900</v>
      </c>
      <c r="I995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51" customFormat="false" ht="15" hidden="false" customHeight="false" outlineLevel="0" collapsed="false">
      <c r="A9951" s="41"/>
      <c r="G9951" s="38" t="n">
        <f aca="false">MONTH(A9951)</f>
        <v>12</v>
      </c>
      <c r="H9951" s="38" t="n">
        <f aca="false">YEAR(Tabela1[[#This Row],[FECHA]])</f>
        <v>1900</v>
      </c>
      <c r="I995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52" customFormat="false" ht="15" hidden="false" customHeight="false" outlineLevel="0" collapsed="false">
      <c r="A9952" s="41"/>
      <c r="G9952" s="38" t="n">
        <f aca="false">MONTH(A9952)</f>
        <v>12</v>
      </c>
      <c r="H9952" s="38" t="n">
        <f aca="false">YEAR(Tabela1[[#This Row],[FECHA]])</f>
        <v>1900</v>
      </c>
      <c r="I995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53" customFormat="false" ht="15" hidden="false" customHeight="false" outlineLevel="0" collapsed="false">
      <c r="A9953" s="41"/>
      <c r="G9953" s="38" t="n">
        <f aca="false">MONTH(A9953)</f>
        <v>12</v>
      </c>
      <c r="H9953" s="38" t="n">
        <f aca="false">YEAR(Tabela1[[#This Row],[FECHA]])</f>
        <v>1900</v>
      </c>
      <c r="I995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54" customFormat="false" ht="15" hidden="false" customHeight="false" outlineLevel="0" collapsed="false">
      <c r="A9954" s="41"/>
      <c r="G9954" s="38" t="n">
        <f aca="false">MONTH(A9954)</f>
        <v>12</v>
      </c>
      <c r="H9954" s="38" t="n">
        <f aca="false">YEAR(Tabela1[[#This Row],[FECHA]])</f>
        <v>1900</v>
      </c>
      <c r="I995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55" customFormat="false" ht="15" hidden="false" customHeight="false" outlineLevel="0" collapsed="false">
      <c r="A9955" s="41"/>
      <c r="G9955" s="38" t="n">
        <f aca="false">MONTH(A9955)</f>
        <v>12</v>
      </c>
      <c r="H9955" s="38" t="n">
        <f aca="false">YEAR(Tabela1[[#This Row],[FECHA]])</f>
        <v>1900</v>
      </c>
      <c r="I995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56" customFormat="false" ht="15" hidden="false" customHeight="false" outlineLevel="0" collapsed="false">
      <c r="A9956" s="41"/>
      <c r="G9956" s="38" t="n">
        <f aca="false">MONTH(A9956)</f>
        <v>12</v>
      </c>
      <c r="H9956" s="38" t="n">
        <f aca="false">YEAR(Tabela1[[#This Row],[FECHA]])</f>
        <v>1900</v>
      </c>
      <c r="I995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57" customFormat="false" ht="15" hidden="false" customHeight="false" outlineLevel="0" collapsed="false">
      <c r="A9957" s="41"/>
      <c r="G9957" s="38" t="n">
        <f aca="false">MONTH(A9957)</f>
        <v>12</v>
      </c>
      <c r="H9957" s="38" t="n">
        <f aca="false">YEAR(Tabela1[[#This Row],[FECHA]])</f>
        <v>1900</v>
      </c>
      <c r="I995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58" customFormat="false" ht="15" hidden="false" customHeight="false" outlineLevel="0" collapsed="false">
      <c r="A9958" s="41"/>
      <c r="G9958" s="38" t="n">
        <f aca="false">MONTH(A9958)</f>
        <v>12</v>
      </c>
      <c r="H9958" s="38" t="n">
        <f aca="false">YEAR(Tabela1[[#This Row],[FECHA]])</f>
        <v>1900</v>
      </c>
      <c r="I995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59" customFormat="false" ht="15" hidden="false" customHeight="false" outlineLevel="0" collapsed="false">
      <c r="A9959" s="41"/>
      <c r="G9959" s="38" t="n">
        <f aca="false">MONTH(A9959)</f>
        <v>12</v>
      </c>
      <c r="H9959" s="38" t="n">
        <f aca="false">YEAR(Tabela1[[#This Row],[FECHA]])</f>
        <v>1900</v>
      </c>
      <c r="I995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60" customFormat="false" ht="15" hidden="false" customHeight="false" outlineLevel="0" collapsed="false">
      <c r="A9960" s="41"/>
      <c r="G9960" s="38" t="n">
        <f aca="false">MONTH(A9960)</f>
        <v>12</v>
      </c>
      <c r="H9960" s="38" t="n">
        <f aca="false">YEAR(Tabela1[[#This Row],[FECHA]])</f>
        <v>1900</v>
      </c>
      <c r="I996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61" customFormat="false" ht="15" hidden="false" customHeight="false" outlineLevel="0" collapsed="false">
      <c r="A9961" s="41"/>
      <c r="G9961" s="38" t="n">
        <f aca="false">MONTH(A9961)</f>
        <v>12</v>
      </c>
      <c r="H9961" s="38" t="n">
        <f aca="false">YEAR(Tabela1[[#This Row],[FECHA]])</f>
        <v>1900</v>
      </c>
      <c r="I996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62" customFormat="false" ht="15" hidden="false" customHeight="false" outlineLevel="0" collapsed="false">
      <c r="A9962" s="41"/>
      <c r="G9962" s="38" t="n">
        <f aca="false">MONTH(A9962)</f>
        <v>12</v>
      </c>
      <c r="H9962" s="38" t="n">
        <f aca="false">YEAR(Tabela1[[#This Row],[FECHA]])</f>
        <v>1900</v>
      </c>
      <c r="I996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63" customFormat="false" ht="15" hidden="false" customHeight="false" outlineLevel="0" collapsed="false">
      <c r="A9963" s="41"/>
      <c r="G9963" s="38" t="n">
        <f aca="false">MONTH(A9963)</f>
        <v>12</v>
      </c>
      <c r="H9963" s="38" t="n">
        <f aca="false">YEAR(Tabela1[[#This Row],[FECHA]])</f>
        <v>1900</v>
      </c>
      <c r="I996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64" customFormat="false" ht="15" hidden="false" customHeight="false" outlineLevel="0" collapsed="false">
      <c r="A9964" s="41"/>
      <c r="G9964" s="38" t="n">
        <f aca="false">MONTH(A9964)</f>
        <v>12</v>
      </c>
      <c r="H9964" s="38" t="n">
        <f aca="false">YEAR(Tabela1[[#This Row],[FECHA]])</f>
        <v>1900</v>
      </c>
      <c r="I996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65" customFormat="false" ht="15" hidden="false" customHeight="false" outlineLevel="0" collapsed="false">
      <c r="A9965" s="41"/>
      <c r="G9965" s="38" t="n">
        <f aca="false">MONTH(A9965)</f>
        <v>12</v>
      </c>
      <c r="H9965" s="38" t="n">
        <f aca="false">YEAR(Tabela1[[#This Row],[FECHA]])</f>
        <v>1900</v>
      </c>
      <c r="I996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66" customFormat="false" ht="15" hidden="false" customHeight="false" outlineLevel="0" collapsed="false">
      <c r="A9966" s="41"/>
      <c r="G9966" s="38" t="n">
        <f aca="false">MONTH(A9966)</f>
        <v>12</v>
      </c>
      <c r="H9966" s="38" t="n">
        <f aca="false">YEAR(Tabela1[[#This Row],[FECHA]])</f>
        <v>1900</v>
      </c>
      <c r="I996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67" customFormat="false" ht="15" hidden="false" customHeight="false" outlineLevel="0" collapsed="false">
      <c r="A9967" s="41"/>
      <c r="G9967" s="38" t="n">
        <f aca="false">MONTH(A9967)</f>
        <v>12</v>
      </c>
      <c r="H9967" s="38" t="n">
        <f aca="false">YEAR(Tabela1[[#This Row],[FECHA]])</f>
        <v>1900</v>
      </c>
      <c r="I996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68" customFormat="false" ht="15" hidden="false" customHeight="false" outlineLevel="0" collapsed="false">
      <c r="A9968" s="41"/>
      <c r="G9968" s="38" t="n">
        <f aca="false">MONTH(A9968)</f>
        <v>12</v>
      </c>
      <c r="H9968" s="38" t="n">
        <f aca="false">YEAR(Tabela1[[#This Row],[FECHA]])</f>
        <v>1900</v>
      </c>
      <c r="I996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69" customFormat="false" ht="15" hidden="false" customHeight="false" outlineLevel="0" collapsed="false">
      <c r="A9969" s="41"/>
      <c r="G9969" s="38" t="n">
        <f aca="false">MONTH(A9969)</f>
        <v>12</v>
      </c>
      <c r="H9969" s="38" t="n">
        <f aca="false">YEAR(Tabela1[[#This Row],[FECHA]])</f>
        <v>1900</v>
      </c>
      <c r="I996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70" customFormat="false" ht="15" hidden="false" customHeight="false" outlineLevel="0" collapsed="false">
      <c r="A9970" s="41"/>
      <c r="G9970" s="38" t="n">
        <f aca="false">MONTH(A9970)</f>
        <v>12</v>
      </c>
      <c r="H9970" s="38" t="n">
        <f aca="false">YEAR(Tabela1[[#This Row],[FECHA]])</f>
        <v>1900</v>
      </c>
      <c r="I997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71" customFormat="false" ht="15" hidden="false" customHeight="false" outlineLevel="0" collapsed="false">
      <c r="A9971" s="41"/>
      <c r="G9971" s="38" t="n">
        <f aca="false">MONTH(A9971)</f>
        <v>12</v>
      </c>
      <c r="H9971" s="38" t="n">
        <f aca="false">YEAR(Tabela1[[#This Row],[FECHA]])</f>
        <v>1900</v>
      </c>
      <c r="I997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72" customFormat="false" ht="15" hidden="false" customHeight="false" outlineLevel="0" collapsed="false">
      <c r="A9972" s="41"/>
      <c r="G9972" s="38" t="n">
        <f aca="false">MONTH(A9972)</f>
        <v>12</v>
      </c>
      <c r="H9972" s="38" t="n">
        <f aca="false">YEAR(Tabela1[[#This Row],[FECHA]])</f>
        <v>1900</v>
      </c>
      <c r="I997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73" customFormat="false" ht="15" hidden="false" customHeight="false" outlineLevel="0" collapsed="false">
      <c r="A9973" s="41"/>
      <c r="G9973" s="38" t="n">
        <f aca="false">MONTH(A9973)</f>
        <v>12</v>
      </c>
      <c r="H9973" s="38" t="n">
        <f aca="false">YEAR(Tabela1[[#This Row],[FECHA]])</f>
        <v>1900</v>
      </c>
      <c r="I997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74" customFormat="false" ht="15" hidden="false" customHeight="false" outlineLevel="0" collapsed="false">
      <c r="A9974" s="41"/>
      <c r="G9974" s="38" t="n">
        <f aca="false">MONTH(A9974)</f>
        <v>12</v>
      </c>
      <c r="H9974" s="38" t="n">
        <f aca="false">YEAR(Tabela1[[#This Row],[FECHA]])</f>
        <v>1900</v>
      </c>
      <c r="I997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75" customFormat="false" ht="15" hidden="false" customHeight="false" outlineLevel="0" collapsed="false">
      <c r="A9975" s="41"/>
      <c r="G9975" s="38" t="n">
        <f aca="false">MONTH(A9975)</f>
        <v>12</v>
      </c>
      <c r="H9975" s="38" t="n">
        <f aca="false">YEAR(Tabela1[[#This Row],[FECHA]])</f>
        <v>1900</v>
      </c>
      <c r="I997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76" customFormat="false" ht="15" hidden="false" customHeight="false" outlineLevel="0" collapsed="false">
      <c r="A9976" s="41"/>
      <c r="G9976" s="38" t="n">
        <f aca="false">MONTH(A9976)</f>
        <v>12</v>
      </c>
      <c r="H9976" s="38" t="n">
        <f aca="false">YEAR(Tabela1[[#This Row],[FECHA]])</f>
        <v>1900</v>
      </c>
      <c r="I997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77" customFormat="false" ht="15" hidden="false" customHeight="false" outlineLevel="0" collapsed="false">
      <c r="A9977" s="41"/>
      <c r="G9977" s="38" t="n">
        <f aca="false">MONTH(A9977)</f>
        <v>12</v>
      </c>
      <c r="H9977" s="38" t="n">
        <f aca="false">YEAR(Tabela1[[#This Row],[FECHA]])</f>
        <v>1900</v>
      </c>
      <c r="I997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78" customFormat="false" ht="15" hidden="false" customHeight="false" outlineLevel="0" collapsed="false">
      <c r="A9978" s="41"/>
      <c r="G9978" s="38" t="n">
        <f aca="false">MONTH(A9978)</f>
        <v>12</v>
      </c>
      <c r="H9978" s="38" t="n">
        <f aca="false">YEAR(Tabela1[[#This Row],[FECHA]])</f>
        <v>1900</v>
      </c>
      <c r="I997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79" customFormat="false" ht="15" hidden="false" customHeight="false" outlineLevel="0" collapsed="false">
      <c r="A9979" s="41"/>
      <c r="G9979" s="38" t="n">
        <f aca="false">MONTH(A9979)</f>
        <v>12</v>
      </c>
      <c r="H9979" s="38" t="n">
        <f aca="false">YEAR(Tabela1[[#This Row],[FECHA]])</f>
        <v>1900</v>
      </c>
      <c r="I997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80" customFormat="false" ht="15" hidden="false" customHeight="false" outlineLevel="0" collapsed="false">
      <c r="A9980" s="41"/>
      <c r="G9980" s="38" t="n">
        <f aca="false">MONTH(A9980)</f>
        <v>12</v>
      </c>
      <c r="H9980" s="38" t="n">
        <f aca="false">YEAR(Tabela1[[#This Row],[FECHA]])</f>
        <v>1900</v>
      </c>
      <c r="I998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81" customFormat="false" ht="15" hidden="false" customHeight="false" outlineLevel="0" collapsed="false">
      <c r="A9981" s="41"/>
      <c r="G9981" s="38" t="n">
        <f aca="false">MONTH(A9981)</f>
        <v>12</v>
      </c>
      <c r="H9981" s="38" t="n">
        <f aca="false">YEAR(Tabela1[[#This Row],[FECHA]])</f>
        <v>1900</v>
      </c>
      <c r="I998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82" customFormat="false" ht="15" hidden="false" customHeight="false" outlineLevel="0" collapsed="false">
      <c r="A9982" s="41"/>
      <c r="G9982" s="38" t="n">
        <f aca="false">MONTH(A9982)</f>
        <v>12</v>
      </c>
      <c r="H9982" s="38" t="n">
        <f aca="false">YEAR(Tabela1[[#This Row],[FECHA]])</f>
        <v>1900</v>
      </c>
      <c r="I998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83" customFormat="false" ht="15" hidden="false" customHeight="false" outlineLevel="0" collapsed="false">
      <c r="A9983" s="41"/>
      <c r="G9983" s="38" t="n">
        <f aca="false">MONTH(A9983)</f>
        <v>12</v>
      </c>
      <c r="H9983" s="38" t="n">
        <f aca="false">YEAR(Tabela1[[#This Row],[FECHA]])</f>
        <v>1900</v>
      </c>
      <c r="I998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84" customFormat="false" ht="15" hidden="false" customHeight="false" outlineLevel="0" collapsed="false">
      <c r="A9984" s="41"/>
      <c r="G9984" s="38" t="n">
        <f aca="false">MONTH(A9984)</f>
        <v>12</v>
      </c>
      <c r="H9984" s="38" t="n">
        <f aca="false">YEAR(Tabela1[[#This Row],[FECHA]])</f>
        <v>1900</v>
      </c>
      <c r="I998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85" customFormat="false" ht="15" hidden="false" customHeight="false" outlineLevel="0" collapsed="false">
      <c r="A9985" s="41"/>
      <c r="G9985" s="38" t="n">
        <f aca="false">MONTH(A9985)</f>
        <v>12</v>
      </c>
      <c r="H9985" s="38" t="n">
        <f aca="false">YEAR(Tabela1[[#This Row],[FECHA]])</f>
        <v>1900</v>
      </c>
      <c r="I998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86" customFormat="false" ht="15" hidden="false" customHeight="false" outlineLevel="0" collapsed="false">
      <c r="A9986" s="41"/>
      <c r="G9986" s="38" t="n">
        <f aca="false">MONTH(A9986)</f>
        <v>12</v>
      </c>
      <c r="H9986" s="38" t="n">
        <f aca="false">YEAR(Tabela1[[#This Row],[FECHA]])</f>
        <v>1900</v>
      </c>
      <c r="I998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87" customFormat="false" ht="15" hidden="false" customHeight="false" outlineLevel="0" collapsed="false">
      <c r="A9987" s="41"/>
      <c r="G9987" s="38" t="n">
        <f aca="false">MONTH(A9987)</f>
        <v>12</v>
      </c>
      <c r="H9987" s="38" t="n">
        <f aca="false">YEAR(Tabela1[[#This Row],[FECHA]])</f>
        <v>1900</v>
      </c>
      <c r="I998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88" customFormat="false" ht="15" hidden="false" customHeight="false" outlineLevel="0" collapsed="false">
      <c r="A9988" s="41"/>
      <c r="G9988" s="38" t="n">
        <f aca="false">MONTH(A9988)</f>
        <v>12</v>
      </c>
      <c r="H9988" s="38" t="n">
        <f aca="false">YEAR(Tabela1[[#This Row],[FECHA]])</f>
        <v>1900</v>
      </c>
      <c r="I998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89" customFormat="false" ht="15" hidden="false" customHeight="false" outlineLevel="0" collapsed="false">
      <c r="A9989" s="41"/>
      <c r="G9989" s="38" t="n">
        <f aca="false">MONTH(A9989)</f>
        <v>12</v>
      </c>
      <c r="H9989" s="38" t="n">
        <f aca="false">YEAR(Tabela1[[#This Row],[FECHA]])</f>
        <v>1900</v>
      </c>
      <c r="I998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90" customFormat="false" ht="15" hidden="false" customHeight="false" outlineLevel="0" collapsed="false">
      <c r="A9990" s="41"/>
      <c r="G9990" s="38" t="n">
        <f aca="false">MONTH(A9990)</f>
        <v>12</v>
      </c>
      <c r="H9990" s="38" t="n">
        <f aca="false">YEAR(Tabela1[[#This Row],[FECHA]])</f>
        <v>1900</v>
      </c>
      <c r="I9990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91" customFormat="false" ht="15" hidden="false" customHeight="false" outlineLevel="0" collapsed="false">
      <c r="A9991" s="41"/>
      <c r="G9991" s="38" t="n">
        <f aca="false">MONTH(A9991)</f>
        <v>12</v>
      </c>
      <c r="H9991" s="38" t="n">
        <f aca="false">YEAR(Tabela1[[#This Row],[FECHA]])</f>
        <v>1900</v>
      </c>
      <c r="I9991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92" customFormat="false" ht="15" hidden="false" customHeight="false" outlineLevel="0" collapsed="false">
      <c r="A9992" s="41"/>
      <c r="G9992" s="38" t="n">
        <f aca="false">MONTH(A9992)</f>
        <v>12</v>
      </c>
      <c r="H9992" s="38" t="n">
        <f aca="false">YEAR(Tabela1[[#This Row],[FECHA]])</f>
        <v>1900</v>
      </c>
      <c r="I9992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93" customFormat="false" ht="15" hidden="false" customHeight="false" outlineLevel="0" collapsed="false">
      <c r="A9993" s="41"/>
      <c r="G9993" s="38" t="n">
        <f aca="false">MONTH(A9993)</f>
        <v>12</v>
      </c>
      <c r="H9993" s="38" t="n">
        <f aca="false">YEAR(Tabela1[[#This Row],[FECHA]])</f>
        <v>1900</v>
      </c>
      <c r="I9993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94" customFormat="false" ht="15" hidden="false" customHeight="false" outlineLevel="0" collapsed="false">
      <c r="A9994" s="41"/>
      <c r="G9994" s="38" t="n">
        <f aca="false">MONTH(A9994)</f>
        <v>12</v>
      </c>
      <c r="H9994" s="38" t="n">
        <f aca="false">YEAR(Tabela1[[#This Row],[FECHA]])</f>
        <v>1900</v>
      </c>
      <c r="I9994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95" customFormat="false" ht="15" hidden="false" customHeight="false" outlineLevel="0" collapsed="false">
      <c r="A9995" s="41"/>
      <c r="G9995" s="38" t="n">
        <f aca="false">MONTH(A9995)</f>
        <v>12</v>
      </c>
      <c r="H9995" s="38" t="n">
        <f aca="false">YEAR(Tabela1[[#This Row],[FECHA]])</f>
        <v>1900</v>
      </c>
      <c r="I9995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96" customFormat="false" ht="15" hidden="false" customHeight="false" outlineLevel="0" collapsed="false">
      <c r="A9996" s="41"/>
      <c r="G9996" s="38" t="n">
        <f aca="false">MONTH(A9996)</f>
        <v>12</v>
      </c>
      <c r="H9996" s="38" t="n">
        <f aca="false">YEAR(Tabela1[[#This Row],[FECHA]])</f>
        <v>1900</v>
      </c>
      <c r="I9996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97" customFormat="false" ht="15" hidden="false" customHeight="false" outlineLevel="0" collapsed="false">
      <c r="A9997" s="41"/>
      <c r="G9997" s="38" t="n">
        <f aca="false">MONTH(A9997)</f>
        <v>12</v>
      </c>
      <c r="H9997" s="38" t="n">
        <f aca="false">YEAR(Tabela1[[#This Row],[FECHA]])</f>
        <v>1900</v>
      </c>
      <c r="I9997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98" customFormat="false" ht="15" hidden="false" customHeight="false" outlineLevel="0" collapsed="false">
      <c r="A9998" s="41"/>
      <c r="G9998" s="38" t="n">
        <f aca="false">MONTH(A9998)</f>
        <v>12</v>
      </c>
      <c r="H9998" s="38" t="n">
        <f aca="false">YEAR(Tabela1[[#This Row],[FECHA]])</f>
        <v>1900</v>
      </c>
      <c r="I9998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  <row r="9999" customFormat="false" ht="15" hidden="false" customHeight="false" outlineLevel="0" collapsed="false">
      <c r="A9999" s="41"/>
      <c r="G9999" s="38" t="n">
        <f aca="false">MONTH(A9999)</f>
        <v>12</v>
      </c>
      <c r="H9999" s="38" t="n">
        <f aca="false">YEAR(Tabela1[[#This Row],[FECHA]])</f>
        <v>1900</v>
      </c>
      <c r="I9999" s="38" t="str">
        <f aca="false">IF(OR(Tabela1[[#This Row],[CATEGORIA]]="Estrutura",Tabela1[[#This Row],[CATEGORIA]]="ProLabore",Tabela1[[#This Row],[SUBCATEGORIA]]="Salário",Tabela1[[#This Row],[CATEGORIA]]="Softwares"),"F","V")</f>
        <v>V</v>
      </c>
    </row>
  </sheetData>
  <dataValidations count="2">
    <dataValidation allowBlank="true" errorStyle="stop" operator="between" showDropDown="false" showErrorMessage="true" showInputMessage="true" sqref="E2:E1764" type="list">
      <formula1>INDIRECT($D2)</formula1>
      <formula2>0</formula2>
    </dataValidation>
    <dataValidation allowBlank="true" errorStyle="stop" operator="between" showDropDown="false" showErrorMessage="true" showInputMessage="true" sqref="D2:D10999" type="list">
      <formula1>CATEGORIAS</formula1>
      <formula2>0</formula2>
    </dataValidation>
  </dataValidation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Y15" activeCellId="0" sqref="Y15"/>
    </sheetView>
  </sheetViews>
  <sheetFormatPr defaultColWidth="8.59765625" defaultRowHeight="14.25" zeroHeight="false" outlineLevelRow="0" outlineLevelCol="0"/>
  <cols>
    <col collapsed="false" customWidth="true" hidden="false" outlineLevel="0" max="1" min="1" style="0" width="19"/>
    <col collapsed="false" customWidth="true" hidden="false" outlineLevel="0" max="2" min="2" style="0" width="15.28"/>
    <col collapsed="false" customWidth="true" hidden="false" outlineLevel="0" max="4" min="3" style="0" width="12.29"/>
    <col collapsed="false" customWidth="true" hidden="false" outlineLevel="0" max="5" min="5" style="0" width="21.14"/>
    <col collapsed="false" customWidth="true" hidden="false" outlineLevel="0" max="6" min="6" style="0" width="15.28"/>
    <col collapsed="false" customWidth="true" hidden="false" outlineLevel="0" max="9" min="9" style="0" width="16.72"/>
    <col collapsed="false" customWidth="true" hidden="false" outlineLevel="0" max="10" min="10" style="0" width="14.29"/>
    <col collapsed="false" customWidth="true" hidden="false" outlineLevel="0" max="11" min="11" style="0" width="8.72"/>
    <col collapsed="false" customWidth="true" hidden="false" outlineLevel="0" max="13" min="13" style="0" width="9.14"/>
    <col collapsed="false" customWidth="true" hidden="false" outlineLevel="0" max="14" min="14" style="0" width="6.71"/>
    <col collapsed="false" customWidth="true" hidden="false" outlineLevel="0" max="15" min="15" style="0" width="10"/>
  </cols>
  <sheetData>
    <row r="1" customFormat="false" ht="14.25" hidden="false" customHeight="false" outlineLevel="0" collapsed="false">
      <c r="E1" s="50" t="s">
        <v>3492</v>
      </c>
      <c r="F1" s="51" t="s">
        <v>3637</v>
      </c>
    </row>
    <row r="2" customFormat="false" ht="14.25" hidden="false" customHeight="false" outlineLevel="0" collapsed="false">
      <c r="E2" s="50" t="s">
        <v>3491</v>
      </c>
      <c r="F2" s="51" t="s">
        <v>3638</v>
      </c>
    </row>
    <row r="4" customFormat="false" ht="14.25" hidden="false" customHeight="false" outlineLevel="0" collapsed="false">
      <c r="E4" s="52" t="s">
        <v>3</v>
      </c>
      <c r="F4" s="53" t="s">
        <v>3639</v>
      </c>
    </row>
    <row r="5" customFormat="false" ht="14.25" hidden="false" customHeight="false" outlineLevel="0" collapsed="false">
      <c r="E5" s="54" t="s">
        <v>20</v>
      </c>
      <c r="F5" s="55" t="n">
        <v>7115</v>
      </c>
    </row>
    <row r="6" customFormat="false" ht="14.25" hidden="false" customHeight="false" outlineLevel="0" collapsed="false">
      <c r="E6" s="56" t="s">
        <v>2333</v>
      </c>
      <c r="F6" s="57" t="n">
        <v>245</v>
      </c>
    </row>
    <row r="7" customFormat="false" ht="14.25" hidden="false" customHeight="false" outlineLevel="0" collapsed="false">
      <c r="E7" s="56" t="s">
        <v>16</v>
      </c>
      <c r="F7" s="57" t="n">
        <v>1343</v>
      </c>
    </row>
    <row r="8" customFormat="false" ht="14.25" hidden="false" customHeight="false" outlineLevel="0" collapsed="false">
      <c r="E8" s="56" t="s">
        <v>18</v>
      </c>
      <c r="F8" s="57" t="n">
        <v>4503</v>
      </c>
    </row>
    <row r="9" customFormat="false" ht="14.25" hidden="false" customHeight="false" outlineLevel="0" collapsed="false">
      <c r="E9" s="56" t="s">
        <v>21</v>
      </c>
      <c r="F9" s="57" t="n">
        <v>9299</v>
      </c>
    </row>
    <row r="10" customFormat="false" ht="14.25" hidden="false" customHeight="false" outlineLevel="0" collapsed="false">
      <c r="E10" s="56" t="s">
        <v>22</v>
      </c>
      <c r="F10" s="57" t="n">
        <v>4958</v>
      </c>
    </row>
    <row r="11" customFormat="false" ht="14.25" hidden="false" customHeight="false" outlineLevel="0" collapsed="false">
      <c r="E11" s="56" t="s">
        <v>25</v>
      </c>
      <c r="F11" s="57" t="n">
        <v>60</v>
      </c>
    </row>
    <row r="12" customFormat="false" ht="14.25" hidden="false" customHeight="false" outlineLevel="0" collapsed="false">
      <c r="E12" s="56" t="s">
        <v>26</v>
      </c>
      <c r="F12" s="57" t="n">
        <v>180</v>
      </c>
    </row>
    <row r="13" customFormat="false" ht="14.25" hidden="false" customHeight="false" outlineLevel="0" collapsed="false">
      <c r="E13" s="56" t="s">
        <v>29</v>
      </c>
      <c r="F13" s="57" t="n">
        <v>1900</v>
      </c>
    </row>
    <row r="14" customFormat="false" ht="14.25" hidden="false" customHeight="false" outlineLevel="0" collapsed="false">
      <c r="E14" s="56" t="s">
        <v>390</v>
      </c>
      <c r="F14" s="57" t="n">
        <v>9097</v>
      </c>
    </row>
    <row r="15" customFormat="false" ht="14.25" hidden="false" customHeight="false" outlineLevel="0" collapsed="false">
      <c r="A15" s="52" t="s">
        <v>3640</v>
      </c>
      <c r="B15" s="53" t="s">
        <v>3639</v>
      </c>
      <c r="E15" s="56" t="s">
        <v>24</v>
      </c>
      <c r="F15" s="57" t="n">
        <v>7630</v>
      </c>
    </row>
    <row r="16" customFormat="false" ht="14.25" hidden="false" customHeight="false" outlineLevel="0" collapsed="false">
      <c r="A16" s="58" t="n">
        <v>2026</v>
      </c>
      <c r="B16" s="55" t="n">
        <v>310266.01</v>
      </c>
      <c r="E16" s="56" t="s">
        <v>23</v>
      </c>
      <c r="F16" s="57" t="n">
        <v>2220</v>
      </c>
    </row>
    <row r="17" customFormat="false" ht="14.25" hidden="false" customHeight="false" outlineLevel="0" collapsed="false">
      <c r="A17" s="59" t="n">
        <v>1</v>
      </c>
      <c r="B17" s="57" t="n">
        <v>60086.51</v>
      </c>
      <c r="E17" s="56" t="s">
        <v>27</v>
      </c>
      <c r="F17" s="57" t="n">
        <v>12295</v>
      </c>
    </row>
    <row r="18" customFormat="false" ht="14.25" hidden="false" customHeight="false" outlineLevel="0" collapsed="false">
      <c r="A18" s="59" t="n">
        <v>2</v>
      </c>
      <c r="B18" s="57" t="n">
        <v>61156</v>
      </c>
      <c r="E18" s="56" t="s">
        <v>106</v>
      </c>
      <c r="F18" s="57" t="n">
        <v>9800</v>
      </c>
    </row>
    <row r="19" customFormat="false" ht="14.25" hidden="false" customHeight="false" outlineLevel="0" collapsed="false">
      <c r="A19" s="59" t="n">
        <v>3</v>
      </c>
      <c r="B19" s="57" t="n">
        <v>87179.5</v>
      </c>
      <c r="E19" s="56" t="s">
        <v>474</v>
      </c>
      <c r="F19" s="57" t="n">
        <v>60</v>
      </c>
    </row>
    <row r="20" customFormat="false" ht="14.25" hidden="false" customHeight="false" outlineLevel="0" collapsed="false">
      <c r="A20" s="59" t="n">
        <v>4</v>
      </c>
      <c r="B20" s="57" t="n">
        <v>100309</v>
      </c>
      <c r="E20" s="56" t="s">
        <v>30</v>
      </c>
      <c r="F20" s="57" t="n">
        <v>16233</v>
      </c>
    </row>
    <row r="21" customFormat="false" ht="14.25" hidden="false" customHeight="false" outlineLevel="0" collapsed="false">
      <c r="A21" s="60" t="n">
        <v>5</v>
      </c>
      <c r="B21" s="61" t="n">
        <v>1535</v>
      </c>
      <c r="E21" s="56" t="s">
        <v>28</v>
      </c>
      <c r="F21" s="57" t="n">
        <v>197</v>
      </c>
    </row>
    <row r="22" customFormat="false" ht="14.25" hidden="false" customHeight="false" outlineLevel="0" collapsed="false">
      <c r="A22" s="62" t="s">
        <v>3641</v>
      </c>
      <c r="B22" s="63" t="n">
        <v>310266.01</v>
      </c>
      <c r="E22" s="56" t="s">
        <v>862</v>
      </c>
      <c r="F22" s="57" t="n">
        <v>443</v>
      </c>
    </row>
    <row r="23" customFormat="false" ht="14.25" hidden="false" customHeight="false" outlineLevel="0" collapsed="false">
      <c r="E23" s="56" t="s">
        <v>32</v>
      </c>
      <c r="F23" s="57" t="n">
        <v>9501</v>
      </c>
    </row>
    <row r="24" customFormat="false" ht="14.25" hidden="false" customHeight="false" outlineLevel="0" collapsed="false">
      <c r="E24" s="56" t="s">
        <v>2214</v>
      </c>
      <c r="F24" s="57" t="n">
        <v>480</v>
      </c>
    </row>
    <row r="25" customFormat="false" ht="14.25" hidden="false" customHeight="false" outlineLevel="0" collapsed="false">
      <c r="E25" s="56" t="s">
        <v>1021</v>
      </c>
      <c r="F25" s="57" t="n">
        <v>150</v>
      </c>
    </row>
    <row r="26" customFormat="false" ht="14.25" hidden="false" customHeight="false" outlineLevel="0" collapsed="false">
      <c r="E26" s="56" t="s">
        <v>1471</v>
      </c>
      <c r="F26" s="57" t="n">
        <v>1300</v>
      </c>
    </row>
    <row r="27" customFormat="false" ht="14.25" hidden="false" customHeight="false" outlineLevel="0" collapsed="false">
      <c r="E27" s="56" t="s">
        <v>1699</v>
      </c>
      <c r="F27" s="57" t="n">
        <v>400</v>
      </c>
    </row>
    <row r="28" customFormat="false" ht="14.25" hidden="false" customHeight="false" outlineLevel="0" collapsed="false">
      <c r="E28" s="56" t="s">
        <v>2889</v>
      </c>
      <c r="F28" s="61" t="n">
        <v>900</v>
      </c>
    </row>
    <row r="29" customFormat="false" ht="14.25" hidden="false" customHeight="false" outlineLevel="0" collapsed="false">
      <c r="E29" s="62" t="s">
        <v>3641</v>
      </c>
      <c r="F29" s="63" t="n">
        <v>100309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L44"/>
  <sheetViews>
    <sheetView showFormulas="false" showGridLines="true" showRowColHeaders="true" showZeros="true" rightToLeft="false" tabSelected="false" showOutlineSymbols="true" defaultGridColor="true" view="normal" topLeftCell="A25" colorId="64" zoomScale="100" zoomScaleNormal="100" zoomScalePageLayoutView="100" workbookViewId="0">
      <selection pane="topLeft" activeCell="E46" activeCellId="0" sqref="E46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7" width="10.86"/>
    <col collapsed="false" customWidth="true" hidden="false" outlineLevel="0" max="2" min="2" style="64" width="19"/>
    <col collapsed="false" customWidth="true" hidden="false" outlineLevel="0" max="3" min="3" style="0" width="15.28"/>
    <col collapsed="false" customWidth="true" hidden="false" outlineLevel="0" max="4" min="4" style="0" width="12.14"/>
    <col collapsed="false" customWidth="true" hidden="false" outlineLevel="0" max="5" min="5" style="0" width="10.86"/>
    <col collapsed="false" customWidth="true" hidden="false" outlineLevel="0" max="6" min="6" style="0" width="19"/>
    <col collapsed="false" customWidth="true" hidden="false" outlineLevel="0" max="7" min="7" style="0" width="15.28"/>
    <col collapsed="false" customWidth="true" hidden="false" outlineLevel="0" max="8" min="8" style="0" width="11.72"/>
    <col collapsed="false" customWidth="true" hidden="false" outlineLevel="0" max="9" min="9" style="0" width="12.86"/>
    <col collapsed="false" customWidth="true" hidden="false" outlineLevel="0" max="10" min="10" style="0" width="10.29"/>
    <col collapsed="false" customWidth="true" hidden="false" outlineLevel="0" max="11" min="11" style="0" width="16.72"/>
    <col collapsed="false" customWidth="true" hidden="false" outlineLevel="0" max="12" min="12" style="0" width="14.29"/>
    <col collapsed="false" customWidth="true" hidden="false" outlineLevel="0" max="13" min="13" style="0" width="6.71"/>
    <col collapsed="false" customWidth="true" hidden="false" outlineLevel="0" max="15" min="14" style="0" width="10"/>
    <col collapsed="false" customWidth="true" hidden="false" outlineLevel="0" max="16" min="16" style="0" width="8.86"/>
    <col collapsed="false" customWidth="true" hidden="false" outlineLevel="0" max="17" min="17" style="0" width="11.86"/>
    <col collapsed="false" customWidth="true" hidden="false" outlineLevel="0" max="37" min="37" style="0" width="14.29"/>
    <col collapsed="false" customWidth="true" hidden="false" outlineLevel="0" max="38" min="38" style="0" width="12.29"/>
    <col collapsed="false" customWidth="true" hidden="false" outlineLevel="0" max="39" min="39" style="0" width="11.86"/>
    <col collapsed="false" customWidth="true" hidden="false" outlineLevel="0" max="40" min="40" style="0" width="12.14"/>
  </cols>
  <sheetData>
    <row r="1" customFormat="false" ht="14.25" hidden="false" customHeight="false" outlineLevel="0" collapsed="false">
      <c r="A1" s="0"/>
      <c r="B1" s="0"/>
      <c r="AK1" s="0" t="s">
        <v>3492</v>
      </c>
      <c r="AL1" s="1" t="n">
        <v>2026</v>
      </c>
    </row>
    <row r="2" customFormat="false" ht="14.25" hidden="false" customHeight="false" outlineLevel="0" collapsed="false">
      <c r="A2" s="0"/>
      <c r="B2" s="0"/>
      <c r="AK2" s="0" t="s">
        <v>3497</v>
      </c>
      <c r="AL2" s="1" t="n">
        <v>3</v>
      </c>
    </row>
    <row r="3" customFormat="false" ht="14.25" hidden="false" customHeight="false" outlineLevel="0" collapsed="false">
      <c r="A3" s="0"/>
    </row>
    <row r="4" customFormat="false" ht="14.25" hidden="false" customHeight="false" outlineLevel="0" collapsed="false">
      <c r="A4" s="0"/>
      <c r="AK4" s="0" t="s">
        <v>3642</v>
      </c>
      <c r="AL4" s="0" t="s">
        <v>3643</v>
      </c>
    </row>
    <row r="5" customFormat="false" ht="14.25" hidden="false" customHeight="false" outlineLevel="0" collapsed="false">
      <c r="A5" s="0"/>
      <c r="AK5" s="1" t="s">
        <v>3515</v>
      </c>
      <c r="AL5" s="65" t="n">
        <v>1554</v>
      </c>
    </row>
    <row r="6" customFormat="false" ht="14.25" hidden="false" customHeight="false" outlineLevel="0" collapsed="false">
      <c r="A6" s="0"/>
      <c r="AK6" s="1" t="s">
        <v>3539</v>
      </c>
      <c r="AL6" s="65" t="n">
        <v>407</v>
      </c>
    </row>
    <row r="7" customFormat="false" ht="14.25" hidden="false" customHeight="false" outlineLevel="0" collapsed="false">
      <c r="A7" s="0"/>
      <c r="AK7" s="1" t="s">
        <v>3519</v>
      </c>
      <c r="AL7" s="65" t="n">
        <v>1950</v>
      </c>
    </row>
    <row r="8" customFormat="false" ht="14.25" hidden="false" customHeight="false" outlineLevel="0" collapsed="false">
      <c r="A8" s="0"/>
      <c r="AK8" s="1" t="s">
        <v>3524</v>
      </c>
      <c r="AL8" s="65" t="n">
        <v>288</v>
      </c>
    </row>
    <row r="9" customFormat="false" ht="14.25" hidden="false" customHeight="false" outlineLevel="0" collapsed="false">
      <c r="A9" s="0"/>
      <c r="AK9" s="1" t="s">
        <v>3534</v>
      </c>
      <c r="AL9" s="65" t="n">
        <v>120</v>
      </c>
    </row>
    <row r="10" customFormat="false" ht="14.25" hidden="false" customHeight="false" outlineLevel="0" collapsed="false">
      <c r="A10" s="0"/>
      <c r="AK10" s="1" t="s">
        <v>3525</v>
      </c>
      <c r="AL10" s="65" t="n">
        <v>3572</v>
      </c>
    </row>
    <row r="11" customFormat="false" ht="14.25" hidden="false" customHeight="false" outlineLevel="0" collapsed="false">
      <c r="A11" s="0"/>
      <c r="AK11" s="1" t="s">
        <v>3513</v>
      </c>
      <c r="AL11" s="65" t="n">
        <v>1615</v>
      </c>
    </row>
    <row r="12" customFormat="false" ht="14.25" hidden="false" customHeight="false" outlineLevel="0" collapsed="false">
      <c r="A12" s="0"/>
      <c r="P12" s="0" t="str">
        <f aca="false">INDEX(AK3:AK102,MATCH(MAX(AL3:AL102),AL3:AL102,0))</f>
        <v>DAS</v>
      </c>
      <c r="Q12" s="64" t="n">
        <f aca="false">_xlfn.xlookup(P12,AK:AK,AL:AL)</f>
        <v>3572</v>
      </c>
      <c r="AK12" s="1" t="s">
        <v>3530</v>
      </c>
      <c r="AL12" s="65" t="n">
        <v>300</v>
      </c>
    </row>
    <row r="13" customFormat="false" ht="14.25" hidden="false" customHeight="false" outlineLevel="0" collapsed="false">
      <c r="A13" s="0"/>
      <c r="AK13" s="1" t="s">
        <v>3529</v>
      </c>
      <c r="AL13" s="65" t="n">
        <v>1443</v>
      </c>
    </row>
    <row r="14" customFormat="false" ht="14.25" hidden="false" customHeight="false" outlineLevel="0" collapsed="false">
      <c r="A14" s="0"/>
      <c r="AK14" s="1" t="s">
        <v>3516</v>
      </c>
      <c r="AL14" s="65" t="n">
        <v>670</v>
      </c>
    </row>
    <row r="15" customFormat="false" ht="14.25" hidden="false" customHeight="false" outlineLevel="0" collapsed="false">
      <c r="A15" s="0"/>
      <c r="AK15" s="1" t="s">
        <v>3545</v>
      </c>
      <c r="AL15" s="65" t="n">
        <v>201</v>
      </c>
    </row>
    <row r="16" customFormat="false" ht="14.25" hidden="false" customHeight="false" outlineLevel="0" collapsed="false">
      <c r="A16" s="0"/>
      <c r="B16" s="0"/>
      <c r="AK16" s="1" t="s">
        <v>16</v>
      </c>
      <c r="AL16" s="65" t="n">
        <v>60</v>
      </c>
    </row>
    <row r="17" customFormat="false" ht="14.25" hidden="false" customHeight="false" outlineLevel="0" collapsed="false">
      <c r="A17" s="0"/>
      <c r="B17" s="0"/>
      <c r="AK17" s="1" t="s">
        <v>3531</v>
      </c>
      <c r="AL17" s="65" t="n">
        <v>41</v>
      </c>
    </row>
    <row r="18" customFormat="false" ht="14.25" hidden="false" customHeight="false" outlineLevel="0" collapsed="false">
      <c r="A18" s="0"/>
      <c r="B18" s="0"/>
      <c r="AK18" s="1" t="s">
        <v>3511</v>
      </c>
      <c r="AL18" s="65" t="n">
        <v>244</v>
      </c>
    </row>
    <row r="19" customFormat="false" ht="14.25" hidden="false" customHeight="false" outlineLevel="0" collapsed="false">
      <c r="A19" s="0"/>
      <c r="B19" s="0"/>
      <c r="AK19" s="1" t="s">
        <v>3537</v>
      </c>
      <c r="AL19" s="65" t="n">
        <v>58</v>
      </c>
    </row>
    <row r="20" customFormat="false" ht="14.25" hidden="false" customHeight="false" outlineLevel="0" collapsed="false">
      <c r="A20" s="0"/>
      <c r="B20" s="0"/>
      <c r="AK20" s="1" t="s">
        <v>3550</v>
      </c>
      <c r="AL20" s="65" t="n">
        <v>10</v>
      </c>
    </row>
    <row r="21" customFormat="false" ht="14.25" hidden="false" customHeight="false" outlineLevel="0" collapsed="false">
      <c r="A21" s="0"/>
      <c r="B21" s="0"/>
      <c r="AK21" s="1" t="s">
        <v>3549</v>
      </c>
      <c r="AL21" s="65" t="n">
        <v>20</v>
      </c>
    </row>
    <row r="22" customFormat="false" ht="14.25" hidden="false" customHeight="false" outlineLevel="0" collapsed="false">
      <c r="A22" s="0"/>
      <c r="B22" s="0"/>
      <c r="AK22" s="1" t="s">
        <v>3540</v>
      </c>
      <c r="AL22" s="65" t="n">
        <v>187</v>
      </c>
    </row>
    <row r="23" customFormat="false" ht="14.25" hidden="false" customHeight="false" outlineLevel="0" collapsed="false">
      <c r="A23" s="0"/>
      <c r="B23" s="0"/>
      <c r="AK23" s="1" t="s">
        <v>3551</v>
      </c>
      <c r="AL23" s="65" t="n">
        <v>1</v>
      </c>
    </row>
    <row r="24" customFormat="false" ht="14.25" hidden="false" customHeight="false" outlineLevel="0" collapsed="false">
      <c r="A24" s="0"/>
      <c r="B24" s="0"/>
      <c r="AK24" s="1" t="s">
        <v>3532</v>
      </c>
      <c r="AL24" s="65" t="n">
        <v>135</v>
      </c>
    </row>
    <row r="25" customFormat="false" ht="14.25" hidden="false" customHeight="false" outlineLevel="0" collapsed="false">
      <c r="A25" s="0"/>
      <c r="B25" s="0"/>
      <c r="AK25" s="1" t="s">
        <v>3557</v>
      </c>
      <c r="AL25" s="65" t="n">
        <v>35</v>
      </c>
    </row>
    <row r="26" customFormat="false" ht="14.25" hidden="false" customHeight="false" outlineLevel="0" collapsed="false">
      <c r="A26" s="0"/>
      <c r="B26" s="0"/>
      <c r="AK26" s="1" t="s">
        <v>3547</v>
      </c>
      <c r="AL26" s="65" t="n">
        <v>54</v>
      </c>
    </row>
    <row r="27" customFormat="false" ht="14.25" hidden="false" customHeight="false" outlineLevel="0" collapsed="false">
      <c r="A27" s="0"/>
      <c r="B27" s="0"/>
      <c r="AK27" s="1" t="s">
        <v>3558</v>
      </c>
      <c r="AL27" s="65" t="n">
        <v>66</v>
      </c>
    </row>
    <row r="28" customFormat="false" ht="14.25" hidden="false" customHeight="false" outlineLevel="0" collapsed="false">
      <c r="A28" s="0"/>
      <c r="B28" s="0"/>
      <c r="AK28" s="1" t="s">
        <v>3541</v>
      </c>
      <c r="AL28" s="65" t="n">
        <v>1000</v>
      </c>
    </row>
    <row r="29" customFormat="false" ht="14.25" hidden="false" customHeight="false" outlineLevel="0" collapsed="false">
      <c r="A29" s="0"/>
      <c r="B29" s="0"/>
      <c r="AK29" s="1" t="s">
        <v>3517</v>
      </c>
      <c r="AL29" s="65" t="n">
        <v>1500</v>
      </c>
    </row>
    <row r="30" customFormat="false" ht="14.25" hidden="false" customHeight="false" outlineLevel="0" collapsed="false">
      <c r="A30" s="0"/>
      <c r="B30" s="0"/>
      <c r="AK30" s="1" t="s">
        <v>3512</v>
      </c>
      <c r="AL30" s="65" t="n">
        <v>1061</v>
      </c>
    </row>
    <row r="31" customFormat="false" ht="14.25" hidden="false" customHeight="false" outlineLevel="0" collapsed="false">
      <c r="A31" s="0"/>
      <c r="B31" s="0"/>
      <c r="AK31" s="1" t="s">
        <v>3523</v>
      </c>
      <c r="AL31" s="65" t="n">
        <v>1003</v>
      </c>
    </row>
    <row r="32" customFormat="false" ht="14.25" hidden="false" customHeight="false" outlineLevel="0" collapsed="false">
      <c r="A32" s="0"/>
      <c r="B32" s="0"/>
      <c r="AK32" s="1" t="s">
        <v>3644</v>
      </c>
      <c r="AL32" s="65" t="n">
        <v>3572</v>
      </c>
    </row>
    <row r="33" customFormat="false" ht="14.25" hidden="false" customHeight="false" outlineLevel="0" collapsed="false">
      <c r="B33" s="0" t="s">
        <v>3645</v>
      </c>
      <c r="C33" s="21" t="s">
        <v>3639</v>
      </c>
      <c r="F33" s="0" t="s">
        <v>3645</v>
      </c>
      <c r="G33" s="21" t="s">
        <v>3639</v>
      </c>
    </row>
    <row r="34" customFormat="false" ht="14.25" hidden="false" customHeight="false" outlineLevel="0" collapsed="false">
      <c r="B34" s="1" t="s">
        <v>3499</v>
      </c>
      <c r="C34" s="31" t="n">
        <v>4228</v>
      </c>
      <c r="F34" s="1" t="n">
        <v>2026</v>
      </c>
      <c r="G34" s="31" t="n">
        <v>181186</v>
      </c>
    </row>
    <row r="35" customFormat="false" ht="14.25" hidden="false" customHeight="false" outlineLevel="0" collapsed="false">
      <c r="B35" s="1" t="s">
        <v>3500</v>
      </c>
      <c r="C35" s="31" t="n">
        <v>830</v>
      </c>
      <c r="F35" s="66" t="n">
        <v>1</v>
      </c>
      <c r="G35" s="31" t="n">
        <v>35612</v>
      </c>
    </row>
    <row r="36" customFormat="false" ht="14.25" hidden="false" customHeight="false" outlineLevel="0" collapsed="false">
      <c r="B36" s="1" t="s">
        <v>3501</v>
      </c>
      <c r="C36" s="31" t="n">
        <v>2591</v>
      </c>
      <c r="F36" s="66" t="n">
        <v>2</v>
      </c>
      <c r="G36" s="31" t="n">
        <v>39596</v>
      </c>
    </row>
    <row r="37" customFormat="false" ht="14.25" hidden="false" customHeight="false" outlineLevel="0" collapsed="false">
      <c r="B37" s="1" t="s">
        <v>3502</v>
      </c>
      <c r="C37" s="31" t="n">
        <v>3572</v>
      </c>
      <c r="F37" s="66" t="n">
        <v>3</v>
      </c>
      <c r="G37" s="31" t="n">
        <v>47229</v>
      </c>
    </row>
    <row r="38" customFormat="false" ht="14.25" hidden="false" customHeight="false" outlineLevel="0" collapsed="false">
      <c r="B38" s="1" t="s">
        <v>3503</v>
      </c>
      <c r="C38" s="31" t="n">
        <v>14455</v>
      </c>
      <c r="F38" s="66" t="n">
        <v>4</v>
      </c>
      <c r="G38" s="31" t="n">
        <v>58749</v>
      </c>
    </row>
    <row r="39" customFormat="false" ht="14.25" hidden="false" customHeight="false" outlineLevel="0" collapsed="false">
      <c r="B39" s="1" t="s">
        <v>3504</v>
      </c>
      <c r="C39" s="31" t="n">
        <v>1420</v>
      </c>
      <c r="F39" s="1" t="s">
        <v>3644</v>
      </c>
      <c r="G39" s="31" t="n">
        <v>181186</v>
      </c>
    </row>
    <row r="40" customFormat="false" ht="14.25" hidden="false" customHeight="false" outlineLevel="0" collapsed="false">
      <c r="B40" s="1" t="s">
        <v>3505</v>
      </c>
      <c r="C40" s="31" t="n">
        <v>10100</v>
      </c>
    </row>
    <row r="41" customFormat="false" ht="14.25" hidden="false" customHeight="false" outlineLevel="0" collapsed="false">
      <c r="B41" s="1" t="s">
        <v>3506</v>
      </c>
      <c r="C41" s="31" t="n">
        <v>1443</v>
      </c>
    </row>
    <row r="42" customFormat="false" ht="14.25" hidden="false" customHeight="false" outlineLevel="0" collapsed="false">
      <c r="B42" s="1" t="s">
        <v>3507</v>
      </c>
      <c r="C42" s="31" t="n">
        <v>8325</v>
      </c>
    </row>
    <row r="43" customFormat="false" ht="14.25" hidden="false" customHeight="false" outlineLevel="0" collapsed="false">
      <c r="B43" s="1" t="s">
        <v>3508</v>
      </c>
      <c r="C43" s="31" t="n">
        <v>265</v>
      </c>
    </row>
    <row r="44" customFormat="false" ht="14.25" hidden="false" customHeight="false" outlineLevel="0" collapsed="false">
      <c r="B44" s="1" t="s">
        <v>3644</v>
      </c>
      <c r="C44" s="31" t="n">
        <v>47229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3:Q52"/>
  <sheetViews>
    <sheetView showFormulas="false" showGridLines="false" showRowColHeaders="true" showZeros="true" rightToLeft="false" tabSelected="false" showOutlineSymbols="true" defaultGridColor="true" view="normal" topLeftCell="A16" colorId="64" zoomScale="100" zoomScaleNormal="100" zoomScalePageLayoutView="100" workbookViewId="0">
      <selection pane="topLeft" activeCell="F45" activeCellId="0" sqref="F45"/>
    </sheetView>
  </sheetViews>
  <sheetFormatPr defaultColWidth="8.59765625" defaultRowHeight="14.25" zeroHeight="false" outlineLevelRow="0" outlineLevelCol="0"/>
  <cols>
    <col collapsed="false" customWidth="true" hidden="false" outlineLevel="0" max="1" min="1" style="0" width="5.43"/>
    <col collapsed="false" customWidth="true" hidden="false" outlineLevel="0" max="2" min="2" style="0" width="26.57"/>
    <col collapsed="false" customWidth="true" hidden="false" outlineLevel="0" max="14" min="3" style="0" width="13.43"/>
    <col collapsed="false" customWidth="true" hidden="false" outlineLevel="0" max="15" min="15" style="0" width="14.43"/>
    <col collapsed="false" customWidth="true" hidden="false" outlineLevel="0" max="16" min="16" style="0" width="2.29"/>
    <col collapsed="false" customWidth="true" hidden="false" outlineLevel="0" max="17" min="17" style="0" width="13.43"/>
  </cols>
  <sheetData>
    <row r="3" customFormat="false" ht="14.25" hidden="false" customHeight="true" outlineLevel="0" collapsed="false">
      <c r="E3" s="67" t="s">
        <v>3646</v>
      </c>
      <c r="F3" s="67"/>
      <c r="G3" s="67"/>
      <c r="H3" s="67"/>
      <c r="I3" s="67"/>
      <c r="J3" s="67"/>
      <c r="K3" s="67"/>
      <c r="L3" s="67"/>
    </row>
    <row r="4" customFormat="false" ht="14.25" hidden="false" customHeight="true" outlineLevel="0" collapsed="false">
      <c r="E4" s="67"/>
      <c r="F4" s="67"/>
      <c r="G4" s="67"/>
      <c r="H4" s="67"/>
      <c r="I4" s="67"/>
      <c r="J4" s="67"/>
      <c r="K4" s="67"/>
      <c r="L4" s="67"/>
    </row>
    <row r="5" customFormat="false" ht="14.25" hidden="false" customHeight="false" outlineLevel="0" collapsed="false"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</row>
    <row r="7" customFormat="false" ht="14.25" hidden="false" customHeight="false" outlineLevel="0" collapsed="false">
      <c r="B7" s="69" t="s">
        <v>3647</v>
      </c>
      <c r="C7" s="70" t="n">
        <v>46023</v>
      </c>
      <c r="D7" s="70" t="n">
        <v>46054</v>
      </c>
      <c r="E7" s="70" t="n">
        <v>46082</v>
      </c>
      <c r="F7" s="70" t="n">
        <v>46113</v>
      </c>
      <c r="G7" s="70" t="n">
        <v>46143</v>
      </c>
      <c r="H7" s="70" t="n">
        <v>46174</v>
      </c>
      <c r="I7" s="70" t="n">
        <v>46204</v>
      </c>
      <c r="J7" s="70" t="n">
        <v>46235</v>
      </c>
      <c r="K7" s="70" t="n">
        <v>46266</v>
      </c>
      <c r="L7" s="70" t="n">
        <v>46296</v>
      </c>
      <c r="M7" s="70" t="n">
        <v>46327</v>
      </c>
      <c r="N7" s="70" t="n">
        <v>46357</v>
      </c>
      <c r="O7" s="69" t="s">
        <v>3648</v>
      </c>
      <c r="Q7" s="69" t="s">
        <v>3649</v>
      </c>
    </row>
    <row r="8" customFormat="false" ht="14.25" hidden="false" customHeight="false" outlineLevel="0" collapsed="false">
      <c r="B8" s="71" t="s">
        <v>3650</v>
      </c>
      <c r="C8" s="72" t="n">
        <f aca="false">SUM(C9:C31)</f>
        <v>60086.51</v>
      </c>
      <c r="D8" s="72" t="n">
        <f aca="false">SUM(D9:D31)</f>
        <v>61156</v>
      </c>
      <c r="E8" s="72" t="n">
        <f aca="false">SUM(E9:E31)</f>
        <v>87059.5</v>
      </c>
      <c r="F8" s="72" t="n">
        <f aca="false">SUM(F9:F31)</f>
        <v>98684</v>
      </c>
      <c r="G8" s="72" t="n">
        <f aca="false">SUM(G9:G31)</f>
        <v>1535</v>
      </c>
      <c r="H8" s="72" t="n">
        <f aca="false">SUM(H9:H31)</f>
        <v>0</v>
      </c>
      <c r="I8" s="72" t="n">
        <f aca="false">SUM(I9:I31)</f>
        <v>0</v>
      </c>
      <c r="J8" s="72" t="n">
        <f aca="false">SUM(J9:J31)</f>
        <v>0</v>
      </c>
      <c r="K8" s="72" t="n">
        <f aca="false">SUM(K9:K31)</f>
        <v>0</v>
      </c>
      <c r="L8" s="72" t="n">
        <f aca="false">SUM(L9:L31)</f>
        <v>0</v>
      </c>
      <c r="M8" s="72" t="n">
        <f aca="false">SUM(M9:M31)</f>
        <v>0</v>
      </c>
      <c r="N8" s="72" t="n">
        <f aca="false">SUM(N9:N31)</f>
        <v>0</v>
      </c>
      <c r="O8" s="72" t="n">
        <f aca="false">SUM(C8:N8)</f>
        <v>308521.01</v>
      </c>
      <c r="P8" s="73"/>
      <c r="Q8" s="72" t="n">
        <f aca="false">AVERAGE(C8:N8)</f>
        <v>25710.0841666667</v>
      </c>
    </row>
    <row r="9" customFormat="false" ht="14.25" hidden="false" customHeight="false" outlineLevel="0" collapsed="false">
      <c r="B9" s="66" t="s">
        <v>474</v>
      </c>
      <c r="C9" s="74" t="n">
        <f aca="false">SUMIFS(CRM[VALOR],CRM[MES],"1",CRM[SERVICIO],$B9)</f>
        <v>0</v>
      </c>
      <c r="D9" s="74" t="n">
        <f aca="false">SUMIFS(CRM[VALOR],CRM[MES],"2",CRM[SERVICIO],$B9)</f>
        <v>150</v>
      </c>
      <c r="E9" s="74" t="n">
        <f aca="false">SUMIFS(CRM[VALOR],CRM[MES],"3",CRM[SERVICIO],$B9)</f>
        <v>0</v>
      </c>
      <c r="F9" s="74" t="n">
        <f aca="false">SUMIFS(CRM[VALOR],CRM[MES],"4",CRM[SERVICIO],$B9)</f>
        <v>60</v>
      </c>
      <c r="G9" s="74" t="n">
        <f aca="false">SUMIFS(CRM[VALOR],CRM[MES],"5",CRM[SERVICIO],$B9)</f>
        <v>0</v>
      </c>
      <c r="H9" s="74" t="n">
        <f aca="false">SUMIFS(CRM[VALOR],CRM[MES],"6",CRM[SERVICIO],$B9)</f>
        <v>0</v>
      </c>
      <c r="I9" s="74" t="n">
        <f aca="false">SUMIFS(CRM[VALOR],CRM[MES],"7",CRM[SERVICIO],$B9)</f>
        <v>0</v>
      </c>
      <c r="J9" s="74" t="n">
        <f aca="false">SUMIFS(CRM[VALOR],CRM[MES],"8",CRM[SERVICIO],$B9)</f>
        <v>0</v>
      </c>
      <c r="K9" s="74" t="n">
        <f aca="false">SUMIFS(CRM[VALOR],CRM[MES],"9",CRM[SERVICIO],$B9)</f>
        <v>0</v>
      </c>
      <c r="L9" s="74" t="n">
        <f aca="false">SUMIFS(CRM[VALOR],CRM[MES],"10",CRM[SERVICIO],$B9)</f>
        <v>0</v>
      </c>
      <c r="M9" s="74" t="n">
        <f aca="false">SUMIFS(CRM[VALOR],CRM[MES],"11",CRM[SERVICIO],$B9)</f>
        <v>0</v>
      </c>
      <c r="N9" s="74" t="n">
        <f aca="false">SUMIFS(CRM[VALOR],CRM[MES],"12",CRM[SERVICIO],$B9)</f>
        <v>0</v>
      </c>
      <c r="O9" s="74" t="n">
        <f aca="false">SUM(C9:N9)</f>
        <v>210</v>
      </c>
      <c r="P9" s="74"/>
      <c r="Q9" s="74" t="n">
        <f aca="false">AVERAGE(C9:N9)</f>
        <v>17.5</v>
      </c>
    </row>
    <row r="10" customFormat="false" ht="14.25" hidden="false" customHeight="false" outlineLevel="0" collapsed="false">
      <c r="B10" s="66" t="s">
        <v>30</v>
      </c>
      <c r="C10" s="74" t="n">
        <f aca="false">SUMIFS(CRM[VALOR],CRM[MES],"1",CRM[SERVICIO],B10)</f>
        <v>5703</v>
      </c>
      <c r="D10" s="74" t="n">
        <f aca="false">SUMIFS(CRM[VALOR],CRM[MES],"2",CRM[SERVICIO],$B10)</f>
        <v>8104</v>
      </c>
      <c r="E10" s="74" t="n">
        <f aca="false">SUMIFS(CRM[VALOR],CRM[MES],"3",CRM[SERVICIO],$B10)</f>
        <v>13836</v>
      </c>
      <c r="F10" s="74" t="n">
        <f aca="false">SUMIFS(CRM[VALOR],CRM[MES],"4",CRM[SERVICIO],$B10)</f>
        <v>16233</v>
      </c>
      <c r="G10" s="74" t="n">
        <f aca="false">SUMIFS(CRM[VALOR],CRM[MES],"5",CRM[SERVICIO],$B10)</f>
        <v>294</v>
      </c>
      <c r="H10" s="74" t="n">
        <f aca="false">SUMIFS(CRM[VALOR],CRM[MES],"6",CRM[SERVICIO],$B10)</f>
        <v>0</v>
      </c>
      <c r="I10" s="74" t="n">
        <f aca="false">SUMIFS(CRM[VALOR],CRM[MES],"7",CRM[SERVICIO],$B10)</f>
        <v>0</v>
      </c>
      <c r="J10" s="74" t="n">
        <f aca="false">SUMIFS(CRM[VALOR],CRM[MES],"8",CRM[SERVICIO],$B10)</f>
        <v>0</v>
      </c>
      <c r="K10" s="74" t="n">
        <f aca="false">SUMIFS(CRM[VALOR],CRM[MES],"9",CRM[SERVICIO],$B10)</f>
        <v>0</v>
      </c>
      <c r="L10" s="74" t="n">
        <f aca="false">SUMIFS(CRM[VALOR],CRM[MES],"10",CRM[SERVICIO],$B10)</f>
        <v>0</v>
      </c>
      <c r="M10" s="74" t="n">
        <f aca="false">SUMIFS(CRM[VALOR],CRM[MES],"11",CRM[SERVICIO],$B10)</f>
        <v>0</v>
      </c>
      <c r="N10" s="74" t="n">
        <f aca="false">SUMIFS(CRM[VALOR],CRM[MES],"12",CRM[SERVICIO],$B10)</f>
        <v>0</v>
      </c>
      <c r="O10" s="74" t="n">
        <f aca="false">SUM(C10:N10)</f>
        <v>44170</v>
      </c>
      <c r="P10" s="74"/>
      <c r="Q10" s="74" t="n">
        <f aca="false">AVERAGE(C10:N10)</f>
        <v>3680.83333333333</v>
      </c>
    </row>
    <row r="11" customFormat="false" ht="14.25" hidden="false" customHeight="false" outlineLevel="0" collapsed="false">
      <c r="B11" s="66" t="s">
        <v>706</v>
      </c>
      <c r="C11" s="74" t="n">
        <f aca="false">SUMIFS(CRM[VALOR],CRM[MES],"1",CRM[SERVICIO],B11)</f>
        <v>0</v>
      </c>
      <c r="D11" s="74" t="n">
        <f aca="false">SUMIFS(CRM[VALOR],CRM[MES],"2",CRM[SERVICIO],$B11)</f>
        <v>60</v>
      </c>
      <c r="E11" s="74" t="n">
        <f aca="false">SUMIFS(CRM[VALOR],CRM[MES],"3",CRM[SERVICIO],$B11)</f>
        <v>0</v>
      </c>
      <c r="F11" s="74" t="n">
        <f aca="false">SUMIFS(CRM[VALOR],CRM[MES],"4",CRM[SERVICIO],$B11)</f>
        <v>0</v>
      </c>
      <c r="G11" s="74" t="n">
        <f aca="false">SUMIFS(CRM[VALOR],CRM[MES],"5",CRM[SERVICIO],$B11)</f>
        <v>0</v>
      </c>
      <c r="H11" s="74" t="n">
        <f aca="false">SUMIFS(CRM[VALOR],CRM[MES],"6",CRM[SERVICIO],$B11)</f>
        <v>0</v>
      </c>
      <c r="I11" s="74" t="n">
        <f aca="false">SUMIFS(CRM[VALOR],CRM[MES],"7",CRM[SERVICIO],$B11)</f>
        <v>0</v>
      </c>
      <c r="J11" s="74" t="n">
        <f aca="false">SUMIFS(CRM[VALOR],CRM[MES],"8",CRM[SERVICIO],$B11)</f>
        <v>0</v>
      </c>
      <c r="K11" s="74" t="n">
        <f aca="false">SUMIFS(CRM[VALOR],CRM[MES],"9",CRM[SERVICIO],$B11)</f>
        <v>0</v>
      </c>
      <c r="L11" s="74" t="n">
        <f aca="false">SUMIFS(CRM[VALOR],CRM[MES],"10",CRM[SERVICIO],$B11)</f>
        <v>0</v>
      </c>
      <c r="M11" s="74" t="n">
        <f aca="false">SUMIFS(CRM[VALOR],CRM[MES],"11",CRM[SERVICIO],$B11)</f>
        <v>0</v>
      </c>
      <c r="N11" s="74" t="n">
        <f aca="false">SUMIFS(CRM[VALOR],CRM[MES],"12",CRM[SERVICIO],$B11)</f>
        <v>0</v>
      </c>
      <c r="O11" s="74" t="n">
        <f aca="false">SUM(C11:N11)</f>
        <v>60</v>
      </c>
      <c r="P11" s="74"/>
      <c r="Q11" s="74" t="n">
        <f aca="false">AVERAGE(C11:N11)</f>
        <v>5</v>
      </c>
    </row>
    <row r="12" customFormat="false" ht="14.25" hidden="false" customHeight="false" outlineLevel="0" collapsed="false">
      <c r="B12" s="66" t="s">
        <v>20</v>
      </c>
      <c r="C12" s="74" t="n">
        <f aca="false">SUMIFS(CRM[VALOR],CRM[MES],"1",CRM[SERVICIO],B12)</f>
        <v>6969.51</v>
      </c>
      <c r="D12" s="74" t="n">
        <f aca="false">SUMIFS(CRM[VALOR],CRM[MES],"2",CRM[SERVICIO],$B12)</f>
        <v>4679</v>
      </c>
      <c r="E12" s="74" t="n">
        <f aca="false">SUMIFS(CRM[VALOR],CRM[MES],"3",CRM[SERVICIO],$B12)</f>
        <v>9858</v>
      </c>
      <c r="F12" s="74" t="n">
        <f aca="false">SUMIFS(CRM[VALOR],CRM[MES],"4",CRM[SERVICIO],$B12)</f>
        <v>7115</v>
      </c>
      <c r="G12" s="74" t="n">
        <f aca="false">SUMIFS(CRM[VALOR],CRM[MES],"5",CRM[SERVICIO],$B12)</f>
        <v>360</v>
      </c>
      <c r="H12" s="74" t="n">
        <f aca="false">SUMIFS(CRM[VALOR],CRM[MES],"6",CRM[SERVICIO],$B12)</f>
        <v>0</v>
      </c>
      <c r="I12" s="74" t="n">
        <f aca="false">SUMIFS(CRM[VALOR],CRM[MES],"7",CRM[SERVICIO],$B12)</f>
        <v>0</v>
      </c>
      <c r="J12" s="74" t="n">
        <f aca="false">SUMIFS(CRM[VALOR],CRM[MES],"8",CRM[SERVICIO],$B12)</f>
        <v>0</v>
      </c>
      <c r="K12" s="74" t="n">
        <f aca="false">SUMIFS(CRM[VALOR],CRM[MES],"9",CRM[SERVICIO],$B12)</f>
        <v>0</v>
      </c>
      <c r="L12" s="74" t="n">
        <f aca="false">SUMIFS(CRM[VALOR],CRM[MES],"10",CRM[SERVICIO],$B12)</f>
        <v>0</v>
      </c>
      <c r="M12" s="74" t="n">
        <f aca="false">SUMIFS(CRM[VALOR],CRM[MES],"11",CRM[SERVICIO],$B12)</f>
        <v>0</v>
      </c>
      <c r="N12" s="74" t="n">
        <f aca="false">SUMIFS(CRM[VALOR],CRM[MES],"12",CRM[SERVICIO],$B12)</f>
        <v>0</v>
      </c>
      <c r="O12" s="74" t="n">
        <f aca="false">SUM(C12:N12)</f>
        <v>28981.51</v>
      </c>
      <c r="P12" s="74"/>
      <c r="Q12" s="74" t="n">
        <f aca="false">AVERAGE(C12:N12)</f>
        <v>2415.12583333333</v>
      </c>
    </row>
    <row r="13" customFormat="false" ht="14.25" hidden="false" customHeight="false" outlineLevel="0" collapsed="false">
      <c r="B13" s="66" t="s">
        <v>29</v>
      </c>
      <c r="C13" s="74" t="n">
        <f aca="false">SUMIFS(CRM[VALOR],CRM[MES],"1",CRM[SERVICIO],B13)</f>
        <v>1200</v>
      </c>
      <c r="D13" s="74" t="n">
        <f aca="false">SUMIFS(CRM[VALOR],CRM[MES],"2",CRM[SERVICIO],$B13)</f>
        <v>600</v>
      </c>
      <c r="E13" s="74" t="n">
        <f aca="false">SUMIFS(CRM[VALOR],CRM[MES],"3",CRM[SERVICIO],$B13)</f>
        <v>750</v>
      </c>
      <c r="F13" s="74" t="n">
        <f aca="false">SUMIFS(CRM[VALOR],CRM[MES],"4",CRM[SERVICIO],$B13)</f>
        <v>1900</v>
      </c>
      <c r="G13" s="74" t="n">
        <f aca="false">SUMIFS(CRM[VALOR],CRM[MES],"5",CRM[SERVICIO],$B13)</f>
        <v>0</v>
      </c>
      <c r="H13" s="74" t="n">
        <f aca="false">SUMIFS(CRM[VALOR],CRM[MES],"6",CRM[SERVICIO],$B13)</f>
        <v>0</v>
      </c>
      <c r="I13" s="74" t="n">
        <f aca="false">SUMIFS(CRM[VALOR],CRM[MES],"7",CRM[SERVICIO],$B13)</f>
        <v>0</v>
      </c>
      <c r="J13" s="74" t="n">
        <f aca="false">SUMIFS(CRM[VALOR],CRM[MES],"8",CRM[SERVICIO],$B13)</f>
        <v>0</v>
      </c>
      <c r="K13" s="74" t="n">
        <f aca="false">SUMIFS(CRM[VALOR],CRM[MES],"9",CRM[SERVICIO],$B13)</f>
        <v>0</v>
      </c>
      <c r="L13" s="74" t="n">
        <f aca="false">SUMIFS(CRM[VALOR],CRM[MES],"10",CRM[SERVICIO],$B13)</f>
        <v>0</v>
      </c>
      <c r="M13" s="74" t="n">
        <f aca="false">SUMIFS(CRM[VALOR],CRM[MES],"11",CRM[SERVICIO],$B13)</f>
        <v>0</v>
      </c>
      <c r="N13" s="74" t="n">
        <f aca="false">SUMIFS(CRM[VALOR],CRM[MES],"12",CRM[SERVICIO],$B13)</f>
        <v>0</v>
      </c>
      <c r="O13" s="74" t="n">
        <f aca="false">SUM(C13:N13)</f>
        <v>4450</v>
      </c>
      <c r="P13" s="74"/>
      <c r="Q13" s="74" t="n">
        <f aca="false">AVERAGE(C13:N13)</f>
        <v>370.833333333333</v>
      </c>
    </row>
    <row r="14" customFormat="false" ht="14.25" hidden="false" customHeight="false" outlineLevel="0" collapsed="false">
      <c r="B14" s="66" t="s">
        <v>23</v>
      </c>
      <c r="C14" s="74" t="n">
        <f aca="false">SUMIFS(CRM[VALOR],CRM[MES],"1",CRM[SERVICIO],B14)</f>
        <v>1740</v>
      </c>
      <c r="D14" s="74" t="n">
        <f aca="false">SUMIFS(CRM[VALOR],CRM[MES],"2",CRM[SERVICIO],$B14)</f>
        <v>1330</v>
      </c>
      <c r="E14" s="74" t="n">
        <f aca="false">SUMIFS(CRM[VALOR],CRM[MES],"3",CRM[SERVICIO],$B14)</f>
        <v>1420</v>
      </c>
      <c r="F14" s="74" t="n">
        <f aca="false">SUMIFS(CRM[VALOR],CRM[MES],"4",CRM[SERVICIO],$B14)</f>
        <v>2220</v>
      </c>
      <c r="G14" s="74" t="n">
        <f aca="false">SUMIFS(CRM[VALOR],CRM[MES],"5",CRM[SERVICIO],$B14)</f>
        <v>0</v>
      </c>
      <c r="H14" s="74" t="n">
        <f aca="false">SUMIFS(CRM[VALOR],CRM[MES],"6",CRM[SERVICIO],$B14)</f>
        <v>0</v>
      </c>
      <c r="I14" s="74" t="n">
        <f aca="false">SUMIFS(CRM[VALOR],CRM[MES],"7",CRM[SERVICIO],$B14)</f>
        <v>0</v>
      </c>
      <c r="J14" s="74" t="n">
        <f aca="false">SUMIFS(CRM[VALOR],CRM[MES],"8",CRM[SERVICIO],$B14)</f>
        <v>0</v>
      </c>
      <c r="K14" s="74" t="n">
        <f aca="false">SUMIFS(CRM[VALOR],CRM[MES],"9",CRM[SERVICIO],$B14)</f>
        <v>0</v>
      </c>
      <c r="L14" s="74" t="n">
        <f aca="false">SUMIFS(CRM[VALOR],CRM[MES],"10",CRM[SERVICIO],$B14)</f>
        <v>0</v>
      </c>
      <c r="M14" s="74" t="n">
        <f aca="false">SUMIFS(CRM[VALOR],CRM[MES],"11",CRM[SERVICIO],$B14)</f>
        <v>0</v>
      </c>
      <c r="N14" s="74" t="n">
        <f aca="false">SUMIFS(CRM[VALOR],CRM[MES],"12",CRM[SERVICIO],$B14)</f>
        <v>0</v>
      </c>
      <c r="O14" s="74" t="n">
        <f aca="false">SUM(C14:N14)</f>
        <v>6710</v>
      </c>
      <c r="P14" s="74"/>
      <c r="Q14" s="74" t="n">
        <f aca="false">AVERAGE(C14:N14)</f>
        <v>559.166666666667</v>
      </c>
    </row>
    <row r="15" customFormat="false" ht="14.25" hidden="false" customHeight="false" outlineLevel="0" collapsed="false">
      <c r="B15" s="66" t="s">
        <v>1699</v>
      </c>
      <c r="C15" s="74" t="n">
        <f aca="false">SUMIFS(CRM[VALOR],CRM[MES],"1",CRM[SERVICIO],B15)</f>
        <v>0</v>
      </c>
      <c r="D15" s="74" t="n">
        <f aca="false">SUMIFS(CRM[VALOR],CRM[MES],"2",CRM[SERVICIO],$B15)</f>
        <v>0</v>
      </c>
      <c r="E15" s="74" t="n">
        <f aca="false">SUMIFS(CRM[VALOR],CRM[MES],"3",CRM[SERVICIO],$B15)</f>
        <v>400</v>
      </c>
      <c r="F15" s="74" t="n">
        <f aca="false">SUMIFS(CRM[VALOR],CRM[MES],"4",CRM[SERVICIO],$B15)</f>
        <v>400</v>
      </c>
      <c r="G15" s="74" t="n">
        <f aca="false">SUMIFS(CRM[VALOR],CRM[MES],"5",CRM[SERVICIO],$B15)</f>
        <v>0</v>
      </c>
      <c r="H15" s="74" t="n">
        <f aca="false">SUMIFS(CRM[VALOR],CRM[MES],"6",CRM[SERVICIO],$B15)</f>
        <v>0</v>
      </c>
      <c r="I15" s="74" t="n">
        <f aca="false">SUMIFS(CRM[VALOR],CRM[MES],"7",CRM[SERVICIO],$B15)</f>
        <v>0</v>
      </c>
      <c r="J15" s="74" t="n">
        <f aca="false">SUMIFS(CRM[VALOR],CRM[MES],"8",CRM[SERVICIO],$B15)</f>
        <v>0</v>
      </c>
      <c r="K15" s="74" t="n">
        <f aca="false">SUMIFS(CRM[VALOR],CRM[MES],"9",CRM[SERVICIO],$B15)</f>
        <v>0</v>
      </c>
      <c r="L15" s="74" t="n">
        <f aca="false">SUMIFS(CRM[VALOR],CRM[MES],"10",CRM[SERVICIO],$B15)</f>
        <v>0</v>
      </c>
      <c r="M15" s="74" t="n">
        <f aca="false">SUMIFS(CRM[VALOR],CRM[MES],"11",CRM[SERVICIO],$B15)</f>
        <v>0</v>
      </c>
      <c r="N15" s="74" t="n">
        <f aca="false">SUMIFS(CRM[VALOR],CRM[MES],"12",CRM[SERVICIO],$B15)</f>
        <v>0</v>
      </c>
      <c r="O15" s="74" t="n">
        <f aca="false">SUM(C15:N15)</f>
        <v>800</v>
      </c>
      <c r="P15" s="74"/>
      <c r="Q15" s="74" t="n">
        <f aca="false">AVERAGE(C15:N15)</f>
        <v>66.6666666666667</v>
      </c>
    </row>
    <row r="16" customFormat="false" ht="14.25" hidden="false" customHeight="false" outlineLevel="0" collapsed="false">
      <c r="B16" s="66" t="s">
        <v>28</v>
      </c>
      <c r="C16" s="74" t="n">
        <f aca="false">SUMIFS(CRM[VALOR],CRM[MES],"1",CRM[SERVICIO],B16)</f>
        <v>297</v>
      </c>
      <c r="D16" s="74" t="n">
        <f aca="false">SUMIFS(CRM[VALOR],CRM[MES],"2",CRM[SERVICIO],$B16)</f>
        <v>497</v>
      </c>
      <c r="E16" s="74" t="n">
        <f aca="false">SUMIFS(CRM[VALOR],CRM[MES],"3",CRM[SERVICIO],$B16)</f>
        <v>394</v>
      </c>
      <c r="F16" s="74" t="n">
        <f aca="false">SUMIFS(CRM[VALOR],CRM[MES],"4",CRM[SERVICIO],$B16)</f>
        <v>197</v>
      </c>
      <c r="G16" s="74" t="n">
        <f aca="false">SUMIFS(CRM[VALOR],CRM[MES],"5",CRM[SERVICIO],$B16)</f>
        <v>0</v>
      </c>
      <c r="H16" s="74" t="n">
        <f aca="false">SUMIFS(CRM[VALOR],CRM[MES],"6",CRM[SERVICIO],$B16)</f>
        <v>0</v>
      </c>
      <c r="I16" s="74" t="n">
        <f aca="false">SUMIFS(CRM[VALOR],CRM[MES],"7",CRM[SERVICIO],$B16)</f>
        <v>0</v>
      </c>
      <c r="J16" s="74" t="n">
        <f aca="false">SUMIFS(CRM[VALOR],CRM[MES],"8",CRM[SERVICIO],$B16)</f>
        <v>0</v>
      </c>
      <c r="K16" s="74" t="n">
        <f aca="false">SUMIFS(CRM[VALOR],CRM[MES],"9",CRM[SERVICIO],$B16)</f>
        <v>0</v>
      </c>
      <c r="L16" s="74" t="n">
        <f aca="false">SUMIFS(CRM[VALOR],CRM[MES],"10",CRM[SERVICIO],$B16)</f>
        <v>0</v>
      </c>
      <c r="M16" s="74" t="n">
        <f aca="false">SUMIFS(CRM[VALOR],CRM[MES],"11",CRM[SERVICIO],$B16)</f>
        <v>0</v>
      </c>
      <c r="N16" s="74" t="n">
        <f aca="false">SUMIFS(CRM[VALOR],CRM[MES],"12",CRM[SERVICIO],$B16)</f>
        <v>0</v>
      </c>
      <c r="O16" s="74" t="n">
        <f aca="false">SUM(C16:N16)</f>
        <v>1385</v>
      </c>
      <c r="P16" s="74"/>
      <c r="Q16" s="74" t="n">
        <f aca="false">AVERAGE(C16:N16)</f>
        <v>115.416666666667</v>
      </c>
    </row>
    <row r="17" customFormat="false" ht="14.25" hidden="false" customHeight="false" outlineLevel="0" collapsed="false">
      <c r="B17" s="66" t="s">
        <v>16</v>
      </c>
      <c r="C17" s="74" t="n">
        <f aca="false">SUMIFS(CRM[VALOR],CRM[MES],"1",CRM[SERVICIO],B17)</f>
        <v>5370</v>
      </c>
      <c r="D17" s="74" t="n">
        <f aca="false">SUMIFS(CRM[VALOR],CRM[MES],"2",CRM[SERVICIO],$B17)</f>
        <v>80</v>
      </c>
      <c r="E17" s="74" t="n">
        <f aca="false">SUMIFS(CRM[VALOR],CRM[MES],"3",CRM[SERVICIO],$B17)</f>
        <v>270</v>
      </c>
      <c r="F17" s="74" t="n">
        <f aca="false">SUMIFS(CRM[VALOR],CRM[MES],"4",CRM[SERVICIO],$B17)</f>
        <v>1343</v>
      </c>
      <c r="G17" s="74" t="n">
        <f aca="false">SUMIFS(CRM[VALOR],CRM[MES],"5",CRM[SERVICIO],$B17)</f>
        <v>0</v>
      </c>
      <c r="H17" s="74" t="n">
        <f aca="false">SUMIFS(CRM[VALOR],CRM[MES],"6",CRM[SERVICIO],$B17)</f>
        <v>0</v>
      </c>
      <c r="I17" s="74" t="n">
        <f aca="false">SUMIFS(CRM[VALOR],CRM[MES],"7",CRM[SERVICIO],$B17)</f>
        <v>0</v>
      </c>
      <c r="J17" s="74" t="n">
        <f aca="false">SUMIFS(CRM[VALOR],CRM[MES],"8",CRM[SERVICIO],$B17)</f>
        <v>0</v>
      </c>
      <c r="K17" s="74" t="n">
        <f aca="false">SUMIFS(CRM[VALOR],CRM[MES],"9",CRM[SERVICIO],$B17)</f>
        <v>0</v>
      </c>
      <c r="L17" s="74" t="n">
        <f aca="false">SUMIFS(CRM[VALOR],CRM[MES],"10",CRM[SERVICIO],$B17)</f>
        <v>0</v>
      </c>
      <c r="M17" s="74" t="n">
        <f aca="false">SUMIFS(CRM[VALOR],CRM[MES],"11",CRM[SERVICIO],$B17)</f>
        <v>0</v>
      </c>
      <c r="N17" s="74" t="n">
        <f aca="false">SUMIFS(CRM[VALOR],CRM[MES],"12",CRM[SERVICIO],$B17)</f>
        <v>0</v>
      </c>
      <c r="O17" s="74" t="n">
        <f aca="false">SUM(C17:N17)</f>
        <v>7063</v>
      </c>
      <c r="P17" s="74"/>
      <c r="Q17" s="74" t="n">
        <f aca="false">AVERAGE(C17:N17)</f>
        <v>588.583333333333</v>
      </c>
    </row>
    <row r="18" customFormat="false" ht="14.25" hidden="false" customHeight="false" outlineLevel="0" collapsed="false">
      <c r="B18" s="66" t="s">
        <v>25</v>
      </c>
      <c r="C18" s="74" t="n">
        <f aca="false">SUMIFS(CRM[VALOR],CRM[MES],"1",CRM[SERVICIO],B18)</f>
        <v>660</v>
      </c>
      <c r="D18" s="74" t="n">
        <f aca="false">SUMIFS(CRM[VALOR],CRM[MES],"2",CRM[SERVICIO],$B18)</f>
        <v>830</v>
      </c>
      <c r="E18" s="74" t="n">
        <f aca="false">SUMIFS(CRM[VALOR],CRM[MES],"3",CRM[SERVICIO],$B18)</f>
        <v>705</v>
      </c>
      <c r="F18" s="74" t="n">
        <f aca="false">SUMIFS(CRM[VALOR],CRM[MES],"4",CRM[SERVICIO],$B18)</f>
        <v>60</v>
      </c>
      <c r="G18" s="74" t="n">
        <f aca="false">SUMIFS(CRM[VALOR],CRM[MES],"5",CRM[SERVICIO],$B18)</f>
        <v>0</v>
      </c>
      <c r="H18" s="74" t="n">
        <f aca="false">SUMIFS(CRM[VALOR],CRM[MES],"6",CRM[SERVICIO],$B18)</f>
        <v>0</v>
      </c>
      <c r="I18" s="74" t="n">
        <f aca="false">SUMIFS(CRM[VALOR],CRM[MES],"7",CRM[SERVICIO],$B18)</f>
        <v>0</v>
      </c>
      <c r="J18" s="74" t="n">
        <f aca="false">SUMIFS(CRM[VALOR],CRM[MES],"8",CRM[SERVICIO],$B18)</f>
        <v>0</v>
      </c>
      <c r="K18" s="74" t="n">
        <f aca="false">SUMIFS(CRM[VALOR],CRM[MES],"9",CRM[SERVICIO],$B18)</f>
        <v>0</v>
      </c>
      <c r="L18" s="74" t="n">
        <f aca="false">SUMIFS(CRM[VALOR],CRM[MES],"10",CRM[SERVICIO],$B18)</f>
        <v>0</v>
      </c>
      <c r="M18" s="74" t="n">
        <f aca="false">SUMIFS(CRM[VALOR],CRM[MES],"11",CRM[SERVICIO],$B18)</f>
        <v>0</v>
      </c>
      <c r="N18" s="74" t="n">
        <f aca="false">SUMIFS(CRM[VALOR],CRM[MES],"12",CRM[SERVICIO],$B18)</f>
        <v>0</v>
      </c>
      <c r="O18" s="74" t="n">
        <f aca="false">SUM(C18:N18)</f>
        <v>2255</v>
      </c>
      <c r="P18" s="74"/>
      <c r="Q18" s="74" t="n">
        <f aca="false">AVERAGE(C18:N18)</f>
        <v>187.916666666667</v>
      </c>
    </row>
    <row r="19" customFormat="false" ht="14.25" hidden="false" customHeight="false" outlineLevel="0" collapsed="false">
      <c r="B19" s="66" t="s">
        <v>3651</v>
      </c>
      <c r="C19" s="74" t="n">
        <f aca="false">SUMIFS(CRM[VALOR],CRM[MES],"1",CRM[SERVICIO],B19)</f>
        <v>0</v>
      </c>
      <c r="D19" s="74" t="n">
        <f aca="false">SUMIFS(CRM[VALOR],CRM[MES],"2",CRM[SERVICIO],$B19)</f>
        <v>0</v>
      </c>
      <c r="E19" s="74" t="n">
        <f aca="false">SUMIFS(CRM[VALOR],CRM[MES],"3",CRM[SERVICIO],$B19)</f>
        <v>0</v>
      </c>
      <c r="F19" s="74" t="n">
        <f aca="false">SUMIFS(CRM[VALOR],CRM[MES],"4",CRM[SERVICIO],$B19)</f>
        <v>0</v>
      </c>
      <c r="G19" s="74" t="n">
        <f aca="false">SUMIFS(CRM[VALOR],CRM[MES],"5",CRM[SERVICIO],$B19)</f>
        <v>0</v>
      </c>
      <c r="H19" s="74" t="n">
        <f aca="false">SUMIFS(CRM[VALOR],CRM[MES],"6",CRM[SERVICIO],$B19)</f>
        <v>0</v>
      </c>
      <c r="I19" s="74" t="n">
        <f aca="false">SUMIFS(CRM[VALOR],CRM[MES],"7",CRM[SERVICIO],$B19)</f>
        <v>0</v>
      </c>
      <c r="J19" s="74" t="n">
        <f aca="false">SUMIFS(CRM[VALOR],CRM[MES],"8",CRM[SERVICIO],$B19)</f>
        <v>0</v>
      </c>
      <c r="K19" s="74" t="n">
        <f aca="false">SUMIFS(CRM[VALOR],CRM[MES],"9",CRM[SERVICIO],$B19)</f>
        <v>0</v>
      </c>
      <c r="L19" s="74" t="n">
        <f aca="false">SUMIFS(CRM[VALOR],CRM[MES],"10",CRM[SERVICIO],$B19)</f>
        <v>0</v>
      </c>
      <c r="M19" s="74" t="n">
        <f aca="false">SUMIFS(CRM[VALOR],CRM[MES],"11",CRM[SERVICIO],$B19)</f>
        <v>0</v>
      </c>
      <c r="N19" s="74" t="n">
        <f aca="false">SUMIFS(CRM[VALOR],CRM[MES],"12",CRM[SERVICIO],$B19)</f>
        <v>0</v>
      </c>
      <c r="O19" s="74" t="n">
        <f aca="false">SUM(C19:N19)</f>
        <v>0</v>
      </c>
      <c r="P19" s="74"/>
      <c r="Q19" s="74" t="n">
        <f aca="false">AVERAGE(C19:N19)</f>
        <v>0</v>
      </c>
    </row>
    <row r="20" customFormat="false" ht="14.25" hidden="false" customHeight="false" outlineLevel="0" collapsed="false">
      <c r="B20" s="66" t="s">
        <v>18</v>
      </c>
      <c r="C20" s="74" t="n">
        <f aca="false">SUMIFS(CRM[VALOR],CRM[MES],"1",CRM[SERVICIO],B20)</f>
        <v>5819</v>
      </c>
      <c r="D20" s="74" t="n">
        <f aca="false">SUMIFS(CRM[VALOR],CRM[MES],"2",CRM[SERVICIO],$B20)</f>
        <v>4702</v>
      </c>
      <c r="E20" s="74" t="n">
        <f aca="false">SUMIFS(CRM[VALOR],CRM[MES],"3",CRM[SERVICIO],$B20)</f>
        <v>5124</v>
      </c>
      <c r="F20" s="74" t="n">
        <f aca="false">SUMIFS(CRM[VALOR],CRM[MES],"4",CRM[SERVICIO],$B20)</f>
        <v>4503</v>
      </c>
      <c r="G20" s="74" t="n">
        <f aca="false">SUMIFS(CRM[VALOR],CRM[MES],"5",CRM[SERVICIO],$B20)</f>
        <v>147</v>
      </c>
      <c r="H20" s="74" t="n">
        <f aca="false">SUMIFS(CRM[VALOR],CRM[MES],"6",CRM[SERVICIO],$B20)</f>
        <v>0</v>
      </c>
      <c r="I20" s="74" t="n">
        <f aca="false">SUMIFS(CRM[VALOR],CRM[MES],"7",CRM[SERVICIO],$B20)</f>
        <v>0</v>
      </c>
      <c r="J20" s="74" t="n">
        <f aca="false">SUMIFS(CRM[VALOR],CRM[MES],"8",CRM[SERVICIO],$B20)</f>
        <v>0</v>
      </c>
      <c r="K20" s="74" t="n">
        <f aca="false">SUMIFS(CRM[VALOR],CRM[MES],"9",CRM[SERVICIO],$B20)</f>
        <v>0</v>
      </c>
      <c r="L20" s="74" t="n">
        <f aca="false">SUMIFS(CRM[VALOR],CRM[MES],"10",CRM[SERVICIO],$B20)</f>
        <v>0</v>
      </c>
      <c r="M20" s="74" t="n">
        <f aca="false">SUMIFS(CRM[VALOR],CRM[MES],"11",CRM[SERVICIO],$B20)</f>
        <v>0</v>
      </c>
      <c r="N20" s="74" t="n">
        <f aca="false">SUMIFS(CRM[VALOR],CRM[MES],"12",CRM[SERVICIO],$B20)</f>
        <v>0</v>
      </c>
      <c r="O20" s="74" t="n">
        <f aca="false">SUM(C20:N20)</f>
        <v>20295</v>
      </c>
      <c r="P20" s="74"/>
      <c r="Q20" s="74" t="n">
        <f aca="false">AVERAGE(C20:N20)</f>
        <v>1691.25</v>
      </c>
    </row>
    <row r="21" customFormat="false" ht="14.25" hidden="false" customHeight="false" outlineLevel="0" collapsed="false">
      <c r="B21" s="66" t="s">
        <v>862</v>
      </c>
      <c r="C21" s="74" t="n">
        <f aca="false">SUMIFS(CRM[VALOR],CRM[MES],"1",CRM[SERVICIO],B21)</f>
        <v>0</v>
      </c>
      <c r="D21" s="74" t="n">
        <f aca="false">SUMIFS(CRM[VALOR],CRM[MES],"2",CRM[SERVICIO],$B21)</f>
        <v>260</v>
      </c>
      <c r="E21" s="74" t="n">
        <f aca="false">SUMIFS(CRM[VALOR],CRM[MES],"3",CRM[SERVICIO],$B21)</f>
        <v>490</v>
      </c>
      <c r="F21" s="74" t="n">
        <f aca="false">SUMIFS(CRM[VALOR],CRM[MES],"4",CRM[SERVICIO],$B21)</f>
        <v>443</v>
      </c>
      <c r="G21" s="74" t="n">
        <f aca="false">SUMIFS(CRM[VALOR],CRM[MES],"5",CRM[SERVICIO],$B21)</f>
        <v>0</v>
      </c>
      <c r="H21" s="74" t="n">
        <f aca="false">SUMIFS(CRM[VALOR],CRM[MES],"6",CRM[SERVICIO],$B21)</f>
        <v>0</v>
      </c>
      <c r="I21" s="74" t="n">
        <f aca="false">SUMIFS(CRM[VALOR],CRM[MES],"7",CRM[SERVICIO],$B21)</f>
        <v>0</v>
      </c>
      <c r="J21" s="74" t="n">
        <f aca="false">SUMIFS(CRM[VALOR],CRM[MES],"8",CRM[SERVICIO],$B21)</f>
        <v>0</v>
      </c>
      <c r="K21" s="74" t="n">
        <f aca="false">SUMIFS(CRM[VALOR],CRM[MES],"9",CRM[SERVICIO],$B21)</f>
        <v>0</v>
      </c>
      <c r="L21" s="74" t="n">
        <f aca="false">SUMIFS(CRM[VALOR],CRM[MES],"10",CRM[SERVICIO],$B21)</f>
        <v>0</v>
      </c>
      <c r="M21" s="74" t="n">
        <f aca="false">SUMIFS(CRM[VALOR],CRM[MES],"11",CRM[SERVICIO],$B21)</f>
        <v>0</v>
      </c>
      <c r="N21" s="74" t="n">
        <f aca="false">SUMIFS(CRM[VALOR],CRM[MES],"12",CRM[SERVICIO],$B21)</f>
        <v>0</v>
      </c>
      <c r="O21" s="74" t="n">
        <f aca="false">SUM(C21:N21)</f>
        <v>1193</v>
      </c>
      <c r="P21" s="74"/>
      <c r="Q21" s="74" t="n">
        <f aca="false">AVERAGE(C21:N21)</f>
        <v>99.4166666666667</v>
      </c>
    </row>
    <row r="22" customFormat="false" ht="14.25" hidden="false" customHeight="false" outlineLevel="0" collapsed="false">
      <c r="B22" s="66" t="s">
        <v>26</v>
      </c>
      <c r="C22" s="74" t="n">
        <f aca="false">SUMIFS(CRM[VALOR],CRM[MES],"1",CRM[SERVICIO],B22)</f>
        <v>765</v>
      </c>
      <c r="D22" s="74" t="n">
        <f aca="false">SUMIFS(CRM[VALOR],CRM[MES],"2",CRM[SERVICIO],$B22)</f>
        <v>180</v>
      </c>
      <c r="E22" s="74" t="n">
        <f aca="false">SUMIFS(CRM[VALOR],CRM[MES],"3",CRM[SERVICIO],$B22)</f>
        <v>0</v>
      </c>
      <c r="F22" s="74" t="n">
        <f aca="false">SUMIFS(CRM[VALOR],CRM[MES],"4",CRM[SERVICIO],$B22)</f>
        <v>180</v>
      </c>
      <c r="G22" s="74" t="n">
        <f aca="false">SUMIFS(CRM[VALOR],CRM[MES],"5",CRM[SERVICIO],$B22)</f>
        <v>0</v>
      </c>
      <c r="H22" s="74" t="n">
        <f aca="false">SUMIFS(CRM[VALOR],CRM[MES],"6",CRM[SERVICIO],$B22)</f>
        <v>0</v>
      </c>
      <c r="I22" s="74" t="n">
        <f aca="false">SUMIFS(CRM[VALOR],CRM[MES],"7",CRM[SERVICIO],$B22)</f>
        <v>0</v>
      </c>
      <c r="J22" s="74" t="n">
        <f aca="false">SUMIFS(CRM[VALOR],CRM[MES],"8",CRM[SERVICIO],$B22)</f>
        <v>0</v>
      </c>
      <c r="K22" s="74" t="n">
        <f aca="false">SUMIFS(CRM[VALOR],CRM[MES],"9",CRM[SERVICIO],$B22)</f>
        <v>0</v>
      </c>
      <c r="L22" s="74" t="n">
        <f aca="false">SUMIFS(CRM[VALOR],CRM[MES],"10",CRM[SERVICIO],$B22)</f>
        <v>0</v>
      </c>
      <c r="M22" s="74" t="n">
        <f aca="false">SUMIFS(CRM[VALOR],CRM[MES],"11",CRM[SERVICIO],$B22)</f>
        <v>0</v>
      </c>
      <c r="N22" s="74" t="n">
        <f aca="false">SUMIFS(CRM[VALOR],CRM[MES],"12",CRM[SERVICIO],$B22)</f>
        <v>0</v>
      </c>
      <c r="O22" s="74" t="n">
        <f aca="false">SUM(C22:N22)</f>
        <v>1125</v>
      </c>
      <c r="P22" s="74"/>
      <c r="Q22" s="74" t="n">
        <f aca="false">AVERAGE(C22:N22)</f>
        <v>93.75</v>
      </c>
    </row>
    <row r="23" customFormat="false" ht="14.25" hidden="false" customHeight="false" outlineLevel="0" collapsed="false">
      <c r="B23" s="66" t="s">
        <v>1021</v>
      </c>
      <c r="C23" s="74" t="n">
        <f aca="false">SUMIFS(CRM[VALOR],CRM[MES],"1",CRM[SERVICIO],B23)</f>
        <v>0</v>
      </c>
      <c r="D23" s="74" t="n">
        <f aca="false">SUMIFS(CRM[VALOR],CRM[MES],"2",CRM[SERVICIO],$B23)</f>
        <v>0</v>
      </c>
      <c r="E23" s="74" t="n">
        <f aca="false">SUMIFS(CRM[VALOR],CRM[MES],"3",CRM[SERVICIO],$B23)</f>
        <v>938</v>
      </c>
      <c r="F23" s="74" t="n">
        <f aca="false">SUMIFS(CRM[VALOR],CRM[MES],"4",CRM[SERVICIO],$B23)</f>
        <v>150</v>
      </c>
      <c r="G23" s="74" t="n">
        <f aca="false">SUMIFS(CRM[VALOR],CRM[MES],"5",CRM[SERVICIO],$B23)</f>
        <v>0</v>
      </c>
      <c r="H23" s="74" t="n">
        <f aca="false">SUMIFS(CRM[VALOR],CRM[MES],"6",CRM[SERVICIO],$B23)</f>
        <v>0</v>
      </c>
      <c r="I23" s="74" t="n">
        <f aca="false">SUMIFS(CRM[VALOR],CRM[MES],"7",CRM[SERVICIO],$B23)</f>
        <v>0</v>
      </c>
      <c r="J23" s="74" t="n">
        <f aca="false">SUMIFS(CRM[VALOR],CRM[MES],"8",CRM[SERVICIO],$B23)</f>
        <v>0</v>
      </c>
      <c r="K23" s="74" t="n">
        <f aca="false">SUMIFS(CRM[VALOR],CRM[MES],"9",CRM[SERVICIO],$B23)</f>
        <v>0</v>
      </c>
      <c r="L23" s="74" t="n">
        <f aca="false">SUMIFS(CRM[VALOR],CRM[MES],"10",CRM[SERVICIO],$B23)</f>
        <v>0</v>
      </c>
      <c r="M23" s="74" t="n">
        <f aca="false">SUMIFS(CRM[VALOR],CRM[MES],"11",CRM[SERVICIO],$B23)</f>
        <v>0</v>
      </c>
      <c r="N23" s="74" t="n">
        <f aca="false">SUMIFS(CRM[VALOR],CRM[MES],"12",CRM[SERVICIO],$B23)</f>
        <v>0</v>
      </c>
      <c r="O23" s="74" t="n">
        <f aca="false">SUM(C23:N23)</f>
        <v>1088</v>
      </c>
      <c r="P23" s="74"/>
      <c r="Q23" s="74" t="n">
        <f aca="false">AVERAGE(C23:N23)</f>
        <v>90.6666666666667</v>
      </c>
    </row>
    <row r="24" customFormat="false" ht="14.25" hidden="false" customHeight="false" outlineLevel="0" collapsed="false">
      <c r="B24" s="66" t="s">
        <v>21</v>
      </c>
      <c r="C24" s="74" t="n">
        <f aca="false">SUMIFS(CRM[VALOR],CRM[MES],"1",CRM[SERVICIO],B24)</f>
        <v>3075</v>
      </c>
      <c r="D24" s="74" t="n">
        <f aca="false">SUMIFS(CRM[VALOR],CRM[MES],"2",CRM[SERVICIO],$B24)</f>
        <v>7716</v>
      </c>
      <c r="E24" s="74" t="n">
        <f aca="false">SUMIFS(CRM[VALOR],CRM[MES],"3",CRM[SERVICIO],$B24)</f>
        <v>5491</v>
      </c>
      <c r="F24" s="74" t="n">
        <f aca="false">SUMIFS(CRM[VALOR],CRM[MES],"4",CRM[SERVICIO],$B24)</f>
        <v>9299</v>
      </c>
      <c r="G24" s="74" t="n">
        <f aca="false">SUMIFS(CRM[VALOR],CRM[MES],"5",CRM[SERVICIO],$B24)</f>
        <v>0</v>
      </c>
      <c r="H24" s="74" t="n">
        <f aca="false">SUMIFS(CRM[VALOR],CRM[MES],"6",CRM[SERVICIO],$B24)</f>
        <v>0</v>
      </c>
      <c r="I24" s="74" t="n">
        <f aca="false">SUMIFS(CRM[VALOR],CRM[MES],"7",CRM[SERVICIO],$B24)</f>
        <v>0</v>
      </c>
      <c r="J24" s="74" t="n">
        <f aca="false">SUMIFS(CRM[VALOR],CRM[MES],"8",CRM[SERVICIO],$B24)</f>
        <v>0</v>
      </c>
      <c r="K24" s="74" t="n">
        <f aca="false">SUMIFS(CRM[VALOR],CRM[MES],"9",CRM[SERVICIO],$B24)</f>
        <v>0</v>
      </c>
      <c r="L24" s="74" t="n">
        <f aca="false">SUMIFS(CRM[VALOR],CRM[MES],"10",CRM[SERVICIO],$B24)</f>
        <v>0</v>
      </c>
      <c r="M24" s="74" t="n">
        <f aca="false">SUMIFS(CRM[VALOR],CRM[MES],"11",CRM[SERVICIO],$B24)</f>
        <v>0</v>
      </c>
      <c r="N24" s="74" t="n">
        <f aca="false">SUMIFS(CRM[VALOR],CRM[MES],"12",CRM[SERVICIO],$B24)</f>
        <v>0</v>
      </c>
      <c r="O24" s="74" t="n">
        <f aca="false">SUM(C24:N24)</f>
        <v>25581</v>
      </c>
      <c r="P24" s="74"/>
      <c r="Q24" s="74" t="n">
        <f aca="false">AVERAGE(C24:N24)</f>
        <v>2131.75</v>
      </c>
    </row>
    <row r="25" customFormat="false" ht="14.25" hidden="false" customHeight="false" outlineLevel="0" collapsed="false">
      <c r="B25" s="66" t="s">
        <v>1471</v>
      </c>
      <c r="C25" s="74" t="n">
        <f aca="false">SUMIFS(CRM[VALOR],CRM[MES],"1",CRM[SERVICIO],B25)</f>
        <v>0</v>
      </c>
      <c r="D25" s="74" t="n">
        <f aca="false">SUMIFS(CRM[VALOR],CRM[MES],"2",CRM[SERVICIO],$B25)</f>
        <v>0</v>
      </c>
      <c r="E25" s="74" t="n">
        <f aca="false">SUMIFS(CRM[VALOR],CRM[MES],"3",CRM[SERVICIO],$B25)</f>
        <v>720</v>
      </c>
      <c r="F25" s="74" t="n">
        <f aca="false">SUMIFS(CRM[VALOR],CRM[MES],"4",CRM[SERVICIO],$B25)</f>
        <v>1300</v>
      </c>
      <c r="G25" s="74" t="n">
        <f aca="false">SUMIFS(CRM[VALOR],CRM[MES],"5",CRM[SERVICIO],$B25)</f>
        <v>0</v>
      </c>
      <c r="H25" s="74" t="n">
        <f aca="false">SUMIFS(CRM[VALOR],CRM[MES],"6",CRM[SERVICIO],$B25)</f>
        <v>0</v>
      </c>
      <c r="I25" s="74" t="n">
        <f aca="false">SUMIFS(CRM[VALOR],CRM[MES],"7",CRM[SERVICIO],$B25)</f>
        <v>0</v>
      </c>
      <c r="J25" s="74" t="n">
        <f aca="false">SUMIFS(CRM[VALOR],CRM[MES],"8",CRM[SERVICIO],$B25)</f>
        <v>0</v>
      </c>
      <c r="K25" s="74" t="n">
        <f aca="false">SUMIFS(CRM[VALOR],CRM[MES],"9",CRM[SERVICIO],$B25)</f>
        <v>0</v>
      </c>
      <c r="L25" s="74" t="n">
        <f aca="false">SUMIFS(CRM[VALOR],CRM[MES],"10",CRM[SERVICIO],$B25)</f>
        <v>0</v>
      </c>
      <c r="M25" s="74" t="n">
        <f aca="false">SUMIFS(CRM[VALOR],CRM[MES],"11",CRM[SERVICIO],$B25)</f>
        <v>0</v>
      </c>
      <c r="N25" s="74" t="n">
        <f aca="false">SUMIFS(CRM[VALOR],CRM[MES],"12",CRM[SERVICIO],$B25)</f>
        <v>0</v>
      </c>
      <c r="O25" s="74" t="n">
        <f aca="false">SUM(C25:N25)</f>
        <v>2020</v>
      </c>
      <c r="P25" s="74"/>
      <c r="Q25" s="74" t="n">
        <f aca="false">AVERAGE(C25:N25)</f>
        <v>168.333333333333</v>
      </c>
    </row>
    <row r="26" customFormat="false" ht="14.25" hidden="false" customHeight="false" outlineLevel="0" collapsed="false">
      <c r="B26" s="66" t="s">
        <v>390</v>
      </c>
      <c r="C26" s="74" t="n">
        <f aca="false">SUMIFS(CRM[VALOR],CRM[MES],"1",CRM[SERVICIO],B26)</f>
        <v>0</v>
      </c>
      <c r="D26" s="74" t="n">
        <f aca="false">SUMIFS(CRM[VALOR],CRM[MES],"2",CRM[SERVICIO],$B26)</f>
        <v>2388</v>
      </c>
      <c r="E26" s="74" t="n">
        <f aca="false">SUMIFS(CRM[VALOR],CRM[MES],"3",CRM[SERVICIO],$B26)</f>
        <v>9328.5</v>
      </c>
      <c r="F26" s="74" t="n">
        <f aca="false">SUMIFS(CRM[VALOR],CRM[MES],"4",CRM[SERVICIO],$B26)</f>
        <v>9097</v>
      </c>
      <c r="G26" s="74" t="n">
        <f aca="false">SUMIFS(CRM[VALOR],CRM[MES],"5",CRM[SERVICIO],$B26)</f>
        <v>440</v>
      </c>
      <c r="H26" s="74" t="n">
        <f aca="false">SUMIFS(CRM[VALOR],CRM[MES],"6",CRM[SERVICIO],$B26)</f>
        <v>0</v>
      </c>
      <c r="I26" s="74" t="n">
        <f aca="false">SUMIFS(CRM[VALOR],CRM[MES],"7",CRM[SERVICIO],$B26)</f>
        <v>0</v>
      </c>
      <c r="J26" s="74" t="n">
        <f aca="false">SUMIFS(CRM[VALOR],CRM[MES],"8",CRM[SERVICIO],$B26)</f>
        <v>0</v>
      </c>
      <c r="K26" s="74" t="n">
        <f aca="false">SUMIFS(CRM[VALOR],CRM[MES],"9",CRM[SERVICIO],$B26)</f>
        <v>0</v>
      </c>
      <c r="L26" s="74" t="n">
        <f aca="false">SUMIFS(CRM[VALOR],CRM[MES],"10",CRM[SERVICIO],$B26)</f>
        <v>0</v>
      </c>
      <c r="M26" s="74" t="n">
        <f aca="false">SUMIFS(CRM[VALOR],CRM[MES],"11",CRM[SERVICIO],$B26)</f>
        <v>0</v>
      </c>
      <c r="N26" s="74" t="n">
        <f aca="false">SUMIFS(CRM[VALOR],CRM[MES],"12",CRM[SERVICIO],$B26)</f>
        <v>0</v>
      </c>
      <c r="O26" s="74" t="n">
        <f aca="false">SUM(C26:N26)</f>
        <v>21253.5</v>
      </c>
      <c r="P26" s="74"/>
      <c r="Q26" s="74" t="n">
        <f aca="false">AVERAGE(C26:N26)</f>
        <v>1771.125</v>
      </c>
    </row>
    <row r="27" customFormat="false" ht="14.25" hidden="false" customHeight="false" outlineLevel="0" collapsed="false">
      <c r="B27" s="66" t="s">
        <v>27</v>
      </c>
      <c r="C27" s="74" t="n">
        <f aca="false">SUMIFS(CRM[VALOR],CRM[MES],"1",CRM[SERVICIO],B27)</f>
        <v>7550</v>
      </c>
      <c r="D27" s="74" t="n">
        <f aca="false">SUMIFS(CRM[VALOR],CRM[MES],"2",CRM[SERVICIO],$B27)</f>
        <v>9300</v>
      </c>
      <c r="E27" s="74" t="n">
        <f aca="false">SUMIFS(CRM[VALOR],CRM[MES],"3",CRM[SERVICIO],$B27)</f>
        <v>10779</v>
      </c>
      <c r="F27" s="74" t="n">
        <f aca="false">SUMIFS(CRM[VALOR],CRM[MES],"4",CRM[SERVICIO],$B27)</f>
        <v>12295</v>
      </c>
      <c r="G27" s="74" t="n">
        <f aca="false">SUMIFS(CRM[VALOR],CRM[MES],"5",CRM[SERVICIO],$B27)</f>
        <v>0</v>
      </c>
      <c r="H27" s="74" t="n">
        <f aca="false">SUMIFS(CRM[VALOR],CRM[MES],"6",CRM[SERVICIO],$B27)</f>
        <v>0</v>
      </c>
      <c r="I27" s="74" t="n">
        <f aca="false">SUMIFS(CRM[VALOR],CRM[MES],"7",CRM[SERVICIO],$B27)</f>
        <v>0</v>
      </c>
      <c r="J27" s="74" t="n">
        <f aca="false">SUMIFS(CRM[VALOR],CRM[MES],"8",CRM[SERVICIO],$B27)</f>
        <v>0</v>
      </c>
      <c r="K27" s="74" t="n">
        <f aca="false">SUMIFS(CRM[VALOR],CRM[MES],"9",CRM[SERVICIO],$B27)</f>
        <v>0</v>
      </c>
      <c r="L27" s="74" t="n">
        <f aca="false">SUMIFS(CRM[VALOR],CRM[MES],"10",CRM[SERVICIO],$B27)</f>
        <v>0</v>
      </c>
      <c r="M27" s="74" t="n">
        <f aca="false">SUMIFS(CRM[VALOR],CRM[MES],"11",CRM[SERVICIO],$B27)</f>
        <v>0</v>
      </c>
      <c r="N27" s="74" t="n">
        <f aca="false">SUMIFS(CRM[VALOR],CRM[MES],"12",CRM[SERVICIO],$B27)</f>
        <v>0</v>
      </c>
      <c r="O27" s="74" t="n">
        <f aca="false">SUM(C27:N27)</f>
        <v>39924</v>
      </c>
      <c r="P27" s="74"/>
      <c r="Q27" s="74" t="n">
        <f aca="false">AVERAGE(C27:N27)</f>
        <v>3327</v>
      </c>
    </row>
    <row r="28" customFormat="false" ht="14.25" hidden="false" customHeight="false" outlineLevel="0" collapsed="false">
      <c r="B28" s="66" t="s">
        <v>22</v>
      </c>
      <c r="C28" s="74" t="n">
        <f aca="false">SUMIFS(CRM[VALOR],CRM[MES],"1",CRM[SERVICIO],B28)</f>
        <v>4468</v>
      </c>
      <c r="D28" s="74" t="n">
        <f aca="false">SUMIFS(CRM[VALOR],CRM[MES],"2",CRM[SERVICIO],$B28)</f>
        <v>2080</v>
      </c>
      <c r="E28" s="74" t="n">
        <f aca="false">SUMIFS(CRM[VALOR],CRM[MES],"3",CRM[SERVICIO],$B28)</f>
        <v>6010</v>
      </c>
      <c r="F28" s="74" t="n">
        <f aca="false">SUMIFS(CRM[VALOR],CRM[MES],"4",CRM[SERVICIO],$B28)</f>
        <v>4958</v>
      </c>
      <c r="G28" s="74" t="n">
        <f aca="false">SUMIFS(CRM[VALOR],CRM[MES],"5",CRM[SERVICIO],$B28)</f>
        <v>294</v>
      </c>
      <c r="H28" s="74" t="n">
        <f aca="false">SUMIFS(CRM[VALOR],CRM[MES],"6",CRM[SERVICIO],$B28)</f>
        <v>0</v>
      </c>
      <c r="I28" s="74" t="n">
        <f aca="false">SUMIFS(CRM[VALOR],CRM[MES],"7",CRM[SERVICIO],$B28)</f>
        <v>0</v>
      </c>
      <c r="J28" s="74" t="n">
        <f aca="false">SUMIFS(CRM[VALOR],CRM[MES],"8",CRM[SERVICIO],$B28)</f>
        <v>0</v>
      </c>
      <c r="K28" s="74" t="n">
        <f aca="false">SUMIFS(CRM[VALOR],CRM[MES],"9",CRM[SERVICIO],$B28)</f>
        <v>0</v>
      </c>
      <c r="L28" s="74" t="n">
        <f aca="false">SUMIFS(CRM[VALOR],CRM[MES],"10",CRM[SERVICIO],$B28)</f>
        <v>0</v>
      </c>
      <c r="M28" s="74" t="n">
        <f aca="false">SUMIFS(CRM[VALOR],CRM[MES],"11",CRM[SERVICIO],$B28)</f>
        <v>0</v>
      </c>
      <c r="N28" s="74" t="n">
        <f aca="false">SUMIFS(CRM[VALOR],CRM[MES],"12",CRM[SERVICIO],$B28)</f>
        <v>0</v>
      </c>
      <c r="O28" s="74" t="n">
        <f aca="false">SUM(C28:N28)</f>
        <v>17810</v>
      </c>
      <c r="P28" s="74"/>
      <c r="Q28" s="74" t="n">
        <f aca="false">AVERAGE(C28:N28)</f>
        <v>1484.16666666667</v>
      </c>
    </row>
    <row r="29" customFormat="false" ht="14.25" hidden="false" customHeight="false" outlineLevel="0" collapsed="false">
      <c r="B29" s="66" t="s">
        <v>32</v>
      </c>
      <c r="C29" s="74" t="n">
        <f aca="false">SUMIFS(CRM[VALOR],CRM[MES],"1",CRM[SERVICIO],B29)</f>
        <v>5040</v>
      </c>
      <c r="D29" s="74" t="n">
        <f aca="false">SUMIFS(CRM[VALOR],CRM[MES],"2",CRM[SERVICIO],$B29)</f>
        <v>10120</v>
      </c>
      <c r="E29" s="74" t="n">
        <f aca="false">SUMIFS(CRM[VALOR],CRM[MES],"3",CRM[SERVICIO],$B29)</f>
        <v>10980</v>
      </c>
      <c r="F29" s="74" t="n">
        <f aca="false">SUMIFS(CRM[VALOR],CRM[MES],"4",CRM[SERVICIO],$B29)</f>
        <v>9501</v>
      </c>
      <c r="G29" s="74" t="n">
        <f aca="false">SUMIFS(CRM[VALOR],CRM[MES],"5",CRM[SERVICIO],$B29)</f>
        <v>0</v>
      </c>
      <c r="H29" s="74" t="n">
        <f aca="false">SUMIFS(CRM[VALOR],CRM[MES],"6",CRM[SERVICIO],$B29)</f>
        <v>0</v>
      </c>
      <c r="I29" s="74" t="n">
        <f aca="false">SUMIFS(CRM[VALOR],CRM[MES],"7",CRM[SERVICIO],$B29)</f>
        <v>0</v>
      </c>
      <c r="J29" s="74" t="n">
        <f aca="false">SUMIFS(CRM[VALOR],CRM[MES],"8",CRM[SERVICIO],$B29)</f>
        <v>0</v>
      </c>
      <c r="K29" s="74" t="n">
        <f aca="false">SUMIFS(CRM[VALOR],CRM[MES],"9",CRM[SERVICIO],$B29)</f>
        <v>0</v>
      </c>
      <c r="L29" s="74" t="n">
        <f aca="false">SUMIFS(CRM[VALOR],CRM[MES],"10",CRM[SERVICIO],$B29)</f>
        <v>0</v>
      </c>
      <c r="M29" s="74" t="n">
        <f aca="false">SUMIFS(CRM[VALOR],CRM[MES],"11",CRM[SERVICIO],$B29)</f>
        <v>0</v>
      </c>
      <c r="N29" s="74" t="n">
        <f aca="false">SUMIFS(CRM[VALOR],CRM[MES],"12",CRM[SERVICIO],$B29)</f>
        <v>0</v>
      </c>
      <c r="O29" s="74" t="n">
        <f aca="false">SUM(C29:N29)</f>
        <v>35641</v>
      </c>
      <c r="P29" s="74"/>
      <c r="Q29" s="74" t="n">
        <f aca="false">AVERAGE(C29:N29)</f>
        <v>2970.08333333333</v>
      </c>
    </row>
    <row r="30" customFormat="false" ht="14.25" hidden="false" customHeight="false" outlineLevel="0" collapsed="false">
      <c r="B30" s="66" t="s">
        <v>24</v>
      </c>
      <c r="C30" s="74" t="n">
        <f aca="false">SUMIFS(CRM[VALOR],CRM[MES],"1",CRM[SERVICIO],B30)</f>
        <v>8930</v>
      </c>
      <c r="D30" s="74" t="n">
        <f aca="false">SUMIFS(CRM[VALOR],CRM[MES],"2",CRM[SERVICIO],$B30)</f>
        <v>4430</v>
      </c>
      <c r="E30" s="74" t="n">
        <f aca="false">SUMIFS(CRM[VALOR],CRM[MES],"3",CRM[SERVICIO],$B30)</f>
        <v>4416</v>
      </c>
      <c r="F30" s="74" t="n">
        <f aca="false">SUMIFS(CRM[VALOR],CRM[MES],"4",CRM[SERVICIO],$B30)</f>
        <v>7630</v>
      </c>
      <c r="G30" s="74" t="n">
        <f aca="false">SUMIFS(CRM[VALOR],CRM[MES],"5",CRM[SERVICIO],$B30)</f>
        <v>0</v>
      </c>
      <c r="H30" s="74" t="n">
        <f aca="false">SUMIFS(CRM[VALOR],CRM[MES],"6",CRM[SERVICIO],$B30)</f>
        <v>0</v>
      </c>
      <c r="I30" s="74" t="n">
        <f aca="false">SUMIFS(CRM[VALOR],CRM[MES],"7",CRM[SERVICIO],$B30)</f>
        <v>0</v>
      </c>
      <c r="J30" s="74" t="n">
        <f aca="false">SUMIFS(CRM[VALOR],CRM[MES],"8",CRM[SERVICIO],$B30)</f>
        <v>0</v>
      </c>
      <c r="K30" s="74" t="n">
        <f aca="false">SUMIFS(CRM[VALOR],CRM[MES],"9",CRM[SERVICIO],$B30)</f>
        <v>0</v>
      </c>
      <c r="L30" s="74" t="n">
        <f aca="false">SUMIFS(CRM[VALOR],CRM[MES],"10",CRM[SERVICIO],$B30)</f>
        <v>0</v>
      </c>
      <c r="M30" s="74" t="n">
        <f aca="false">SUMIFS(CRM[VALOR],CRM[MES],"11",CRM[SERVICIO],$B30)</f>
        <v>0</v>
      </c>
      <c r="N30" s="74" t="n">
        <f aca="false">SUMIFS(CRM[VALOR],CRM[MES],"12",CRM[SERVICIO],$B30)</f>
        <v>0</v>
      </c>
      <c r="O30" s="74" t="n">
        <f aca="false">SUM(C30:N30)</f>
        <v>25406</v>
      </c>
      <c r="P30" s="74"/>
      <c r="Q30" s="74" t="n">
        <f aca="false">AVERAGE(C30:N30)</f>
        <v>2117.16666666667</v>
      </c>
    </row>
    <row r="31" customFormat="false" ht="14.25" hidden="false" customHeight="false" outlineLevel="0" collapsed="false">
      <c r="B31" s="66" t="s">
        <v>106</v>
      </c>
      <c r="C31" s="74" t="n">
        <f aca="false">SUMIFS(CRM[VALOR],CRM[MES],"1",CRM[SERVICIO],B31)</f>
        <v>2500</v>
      </c>
      <c r="D31" s="74" t="n">
        <f aca="false">SUMIFS(CRM[VALOR],CRM[MES],"2",CRM[SERVICIO],$B31)</f>
        <v>3650</v>
      </c>
      <c r="E31" s="74" t="n">
        <f aca="false">SUMIFS(CRM[VALOR],CRM[MES],"3",CRM[SERVICIO],$B31)</f>
        <v>5150</v>
      </c>
      <c r="F31" s="74" t="n">
        <f aca="false">SUMIFS(CRM[VALOR],CRM[MES],"4",CRM[SERVICIO],$B31)</f>
        <v>9800</v>
      </c>
      <c r="G31" s="74" t="n">
        <f aca="false">SUMIFS(CRM[VALOR],CRM[MES],"5",CRM[SERVICIO],$B31)</f>
        <v>0</v>
      </c>
      <c r="H31" s="74" t="n">
        <f aca="false">SUMIFS(CRM[VALOR],CRM[MES],"6",CRM[SERVICIO],$B31)</f>
        <v>0</v>
      </c>
      <c r="I31" s="74" t="n">
        <f aca="false">SUMIFS(CRM[VALOR],CRM[MES],"7",CRM[SERVICIO],$B31)</f>
        <v>0</v>
      </c>
      <c r="J31" s="74" t="n">
        <f aca="false">SUMIFS(CRM[VALOR],CRM[MES],"8",CRM[SERVICIO],$B31)</f>
        <v>0</v>
      </c>
      <c r="K31" s="74" t="n">
        <f aca="false">SUMIFS(CRM[VALOR],CRM[MES],"9",CRM[SERVICIO],$B31)</f>
        <v>0</v>
      </c>
      <c r="L31" s="74" t="n">
        <f aca="false">SUMIFS(CRM[VALOR],CRM[MES],"10",CRM[SERVICIO],$B31)</f>
        <v>0</v>
      </c>
      <c r="M31" s="74" t="n">
        <f aca="false">SUMIFS(CRM[VALOR],CRM[MES],"11",CRM[SERVICIO],$B31)</f>
        <v>0</v>
      </c>
      <c r="N31" s="74" t="n">
        <f aca="false">SUMIFS(CRM[VALOR],CRM[MES],"12",CRM[SERVICIO],$B31)</f>
        <v>0</v>
      </c>
      <c r="O31" s="74" t="n">
        <f aca="false">SUM(C31:N31)</f>
        <v>21100</v>
      </c>
      <c r="P31" s="74"/>
      <c r="Q31" s="74" t="n">
        <f aca="false">AVERAGE(C31:N31)</f>
        <v>1758.33333333333</v>
      </c>
    </row>
    <row r="32" customFormat="false" ht="14.25" hidden="false" customHeight="false" outlineLevel="0" collapsed="false">
      <c r="B32" s="71" t="s">
        <v>3652</v>
      </c>
      <c r="C32" s="72" t="n">
        <f aca="false">SUM(C35:C45)</f>
        <v>35611.45</v>
      </c>
      <c r="D32" s="72" t="n">
        <f aca="false">SUM(D35:D45)</f>
        <v>39596.04</v>
      </c>
      <c r="E32" s="72" t="n">
        <f aca="false">SUM(E35:E45)</f>
        <v>47225.96</v>
      </c>
      <c r="F32" s="72" t="n">
        <f aca="false">SUM(F35:F45)</f>
        <v>58748.18</v>
      </c>
      <c r="G32" s="72" t="n">
        <f aca="false">SUM(G35:G45)</f>
        <v>0</v>
      </c>
      <c r="H32" s="72" t="n">
        <f aca="false">SUM(H35:H45)</f>
        <v>0</v>
      </c>
      <c r="I32" s="72" t="n">
        <f aca="false">SUM(I35:I45)</f>
        <v>0</v>
      </c>
      <c r="J32" s="72" t="n">
        <f aca="false">SUM(J35:J45)</f>
        <v>0</v>
      </c>
      <c r="K32" s="72" t="n">
        <f aca="false">SUM(K35:K45)</f>
        <v>0</v>
      </c>
      <c r="L32" s="72" t="n">
        <f aca="false">SUM(L35:L45)</f>
        <v>0</v>
      </c>
      <c r="M32" s="72" t="n">
        <f aca="false">SUM(M35:M45)</f>
        <v>0</v>
      </c>
      <c r="N32" s="72" t="n">
        <f aca="false">SUM(N35:N45)</f>
        <v>0</v>
      </c>
      <c r="O32" s="72" t="n">
        <f aca="false">SUM(C32:N32)</f>
        <v>181181.63</v>
      </c>
      <c r="P32" s="73"/>
      <c r="Q32" s="72" t="n">
        <f aca="false">AVERAGE(C32:N32)</f>
        <v>15098.4691666667</v>
      </c>
    </row>
    <row r="33" customFormat="false" ht="14.25" hidden="false" customHeight="false" outlineLevel="0" collapsed="false">
      <c r="B33" s="75" t="s">
        <v>3653</v>
      </c>
      <c r="C33" s="76" t="n">
        <f aca="false">SUMIFS(Tabela1[VALOR],Tabela1[MÊS],"1",Tabela1[V o F],"F")</f>
        <v>3925.98</v>
      </c>
      <c r="D33" s="76" t="n">
        <f aca="false">SUMIFS(Tabela1[VALOR],Tabela1[MÊS],"2",Tabela1[V o F],"F")</f>
        <v>4587.16</v>
      </c>
      <c r="E33" s="76" t="n">
        <f aca="false">SUMIFS(Tabela1[VALOR],Tabela1[MÊS],"3",Tabela1[V o F],"F")</f>
        <v>4298.07</v>
      </c>
      <c r="F33" s="76" t="n">
        <f aca="false">SUMIFS(Tabela1[VALOR],Tabela1[MÊS],"4",Tabela1[V o F],"F")</f>
        <v>5481.86</v>
      </c>
      <c r="G33" s="76" t="n">
        <f aca="false">SUMIFS(Tabela1[VALOR],Tabela1[MÊS],"5",Tabela1[V o F],"F")</f>
        <v>0</v>
      </c>
      <c r="H33" s="76" t="n">
        <f aca="false">SUMIFS(Tabela1[VALOR],Tabela1[MÊS],"6",Tabela1[V o F],"F")</f>
        <v>0</v>
      </c>
      <c r="I33" s="76" t="n">
        <f aca="false">SUMIFS(Tabela1[VALOR],Tabela1[MÊS],"7",Tabela1[V o F],"F")</f>
        <v>0</v>
      </c>
      <c r="J33" s="76" t="n">
        <f aca="false">SUMIFS(Tabela1[VALOR],Tabela1[MÊS],"8",Tabela1[V o F],"F")</f>
        <v>0</v>
      </c>
      <c r="K33" s="76" t="n">
        <f aca="false">SUMIFS(Tabela1[VALOR],Tabela1[MÊS],"9",Tabela1[V o F],"F")</f>
        <v>0</v>
      </c>
      <c r="L33" s="76" t="n">
        <f aca="false">SUMIFS(Tabela1[VALOR],Tabela1[MÊS],"10",Tabela1[V o F],"F")</f>
        <v>0</v>
      </c>
      <c r="M33" s="76" t="n">
        <f aca="false">SUMIFS(Tabela1[VALOR],Tabela1[MÊS],"11",Tabela1[V o F],"F")</f>
        <v>0</v>
      </c>
      <c r="N33" s="76" t="n">
        <f aca="false">SUMIFS(Tabela1[VALOR],Tabela1[MÊS],"12",Tabela1[V o F],"F")</f>
        <v>0</v>
      </c>
      <c r="O33" s="76" t="n">
        <f aca="false">SUM(C33:N33)</f>
        <v>18293.07</v>
      </c>
      <c r="P33" s="73"/>
      <c r="Q33" s="76" t="n">
        <f aca="false">AVERAGE(C33:N33)</f>
        <v>1524.4225</v>
      </c>
    </row>
    <row r="34" customFormat="false" ht="14.25" hidden="false" customHeight="false" outlineLevel="0" collapsed="false">
      <c r="B34" s="75" t="s">
        <v>3654</v>
      </c>
      <c r="C34" s="76" t="n">
        <f aca="false">SUMIFS(Tabela1[VALOR],Tabela1[MÊS],"1",Tabela1[V o F],"V")</f>
        <v>31685.47</v>
      </c>
      <c r="D34" s="76" t="n">
        <f aca="false">SUMIFS(Tabela1[VALOR],Tabela1[MÊS],"2",Tabela1[V o F],"V")</f>
        <v>35008.88</v>
      </c>
      <c r="E34" s="76" t="n">
        <f aca="false">SUMIFS(Tabela1[VALOR],Tabela1[MÊS],"3",Tabela1[V o F],"V")</f>
        <v>42927.89</v>
      </c>
      <c r="F34" s="76" t="n">
        <f aca="false">SUMIFS(Tabela1[VALOR],Tabela1[MÊS],"4",Tabela1[V o F],"V")</f>
        <v>53266.32</v>
      </c>
      <c r="G34" s="76" t="n">
        <f aca="false">SUMIFS(Tabela1[VALOR],Tabela1[MÊS],"5",Tabela1[V o F],"V")</f>
        <v>0</v>
      </c>
      <c r="H34" s="76" t="n">
        <f aca="false">SUMIFS(Tabela1[VALOR],Tabela1[MÊS],"6",Tabela1[V o F],"V")</f>
        <v>0</v>
      </c>
      <c r="I34" s="76" t="n">
        <f aca="false">SUMIFS(Tabela1[VALOR],Tabela1[MÊS],"7",Tabela1[V o F],"V")</f>
        <v>0</v>
      </c>
      <c r="J34" s="76" t="n">
        <f aca="false">SUMIFS(Tabela1[VALOR],Tabela1[MÊS],"8",Tabela1[V o F],"V")</f>
        <v>0</v>
      </c>
      <c r="K34" s="76" t="n">
        <f aca="false">SUMIFS(Tabela1[VALOR],Tabela1[MÊS],"9",Tabela1[V o F],"V")</f>
        <v>0</v>
      </c>
      <c r="L34" s="76" t="n">
        <f aca="false">SUMIFS(Tabela1[VALOR],Tabela1[MÊS],"10",Tabela1[V o F],"V")</f>
        <v>0</v>
      </c>
      <c r="M34" s="76" t="n">
        <f aca="false">SUMIFS(Tabela1[VALOR],Tabela1[MÊS],"11",Tabela1[V o F],"V")</f>
        <v>0</v>
      </c>
      <c r="N34" s="76" t="n">
        <f aca="false">SUMIFS(Tabela1[VALOR],Tabela1[MÊS],"12",Tabela1[V o F],"V")</f>
        <v>0</v>
      </c>
      <c r="O34" s="76" t="n">
        <f aca="false">SUM(C34:N34)</f>
        <v>162888.56</v>
      </c>
      <c r="P34" s="73"/>
      <c r="Q34" s="76" t="n">
        <f aca="false">AVERAGE(C34:N34)</f>
        <v>13574.0466666667</v>
      </c>
    </row>
    <row r="35" customFormat="false" ht="14.25" hidden="false" customHeight="false" outlineLevel="0" collapsed="false">
      <c r="B35" s="66" t="s">
        <v>3499</v>
      </c>
      <c r="C35" s="74" t="n">
        <f aca="false">SUMIFS(Tabela1[VALOR],Tabela1[MÊS],"1",Tabela1[CATEGORIA],"COMISSÃO")</f>
        <v>4447</v>
      </c>
      <c r="D35" s="74" t="n">
        <f aca="false">SUMIFS(Tabela1[VALOR],Tabela1[MÊS],"2",Tabela1[CATEGORIA],"COMISSÃO")</f>
        <v>3709.5</v>
      </c>
      <c r="E35" s="74" t="n">
        <f aca="false">SUMIFS(Tabela1[VALOR],Tabela1[MÊS],"3",Tabela1[CATEGORIA],"COMISSÃO")</f>
        <v>4228</v>
      </c>
      <c r="F35" s="74" t="n">
        <f aca="false">SUMIFS(Tabela1[VALOR],Tabela1[MÊS],"4",Tabela1[CATEGORIA],"COMISSÃO")</f>
        <v>4911.65</v>
      </c>
      <c r="G35" s="74" t="n">
        <f aca="false">SUMIFS(Tabela1[VALOR],Tabela1[MÊS],"5",Tabela1[CATEGORIA],"COMISSÃO")</f>
        <v>0</v>
      </c>
      <c r="H35" s="74" t="n">
        <f aca="false">SUMIFS(Tabela1[VALOR],Tabela1[MÊS],"6",Tabela1[CATEGORIA],"COMISSÃO")</f>
        <v>0</v>
      </c>
      <c r="I35" s="74" t="n">
        <f aca="false">SUMIFS(Tabela1[VALOR],Tabela1[MÊS],"7",Tabela1[CATEGORIA],"COMISSÃO")</f>
        <v>0</v>
      </c>
      <c r="J35" s="74" t="n">
        <f aca="false">SUMIFS(Tabela1[VALOR],Tabela1[MÊS],"8",Tabela1[CATEGORIA],"COMISSÃO")</f>
        <v>0</v>
      </c>
      <c r="K35" s="74" t="n">
        <f aca="false">SUMIFS(Tabela1[VALOR],Tabela1[MÊS],"9",Tabela1[CATEGORIA],"COMISSÃO")</f>
        <v>0</v>
      </c>
      <c r="L35" s="74" t="n">
        <f aca="false">SUMIFS(Tabela1[VALOR],Tabela1[MÊS],"10",Tabela1[CATEGORIA],"COMISSÃO")</f>
        <v>0</v>
      </c>
      <c r="M35" s="74" t="n">
        <f aca="false">SUMIFS(Tabela1[VALOR],Tabela1[MÊS],"11",Tabela1[CATEGORIA],"COMISSÃO")</f>
        <v>0</v>
      </c>
      <c r="N35" s="74" t="n">
        <f aca="false">SUMIFS(Tabela1[VALOR],Tabela1[MÊS],"12",Tabela1[CATEGORIA],"COMISSÃO")</f>
        <v>0</v>
      </c>
      <c r="O35" s="74" t="n">
        <f aca="false">SUM(C35:N35)</f>
        <v>17296.15</v>
      </c>
      <c r="P35" s="74"/>
      <c r="Q35" s="74" t="n">
        <f aca="false">AVERAGE(C35:N35)</f>
        <v>1441.34583333333</v>
      </c>
    </row>
    <row r="36" customFormat="false" ht="14.25" hidden="false" customHeight="false" outlineLevel="0" collapsed="false">
      <c r="B36" s="66" t="s">
        <v>3500</v>
      </c>
      <c r="C36" s="74" t="n">
        <f aca="false">SUMIFS(Tabela1[VALOR],Tabela1[MÊS],"1",Tabela1[CATEGORIA],"ESTORNO")</f>
        <v>5039</v>
      </c>
      <c r="D36" s="74" t="n">
        <f aca="false">SUMIFS(Tabela1[VALOR],Tabela1[MÊS],"2",Tabela1[CATEGORIA],"ESTORNO")</f>
        <v>560</v>
      </c>
      <c r="E36" s="74" t="n">
        <f aca="false">SUMIFS(Tabela1[VALOR],Tabela1[MÊS],"3",Tabela1[CATEGORIA],"ESTORNO")</f>
        <v>830</v>
      </c>
      <c r="F36" s="74" t="n">
        <f aca="false">SUMIFS(Tabela1[VALOR],Tabela1[MÊS],"4",Tabela1[CATEGORIA],"ESTORNO")</f>
        <v>4524</v>
      </c>
      <c r="G36" s="74" t="n">
        <f aca="false">SUMIFS(Tabela1[VALOR],Tabela1[MÊS],"5",Tabela1[CATEGORIA],"ESTORNO")</f>
        <v>0</v>
      </c>
      <c r="H36" s="74" t="n">
        <f aca="false">SUMIFS(Tabela1[VALOR],Tabela1[MÊS],"6",Tabela1[CATEGORIA],"ESTORNO")</f>
        <v>0</v>
      </c>
      <c r="I36" s="74" t="n">
        <f aca="false">SUMIFS(Tabela1[VALOR],Tabela1[MÊS],"7",Tabela1[CATEGORIA],"ESTORNO")</f>
        <v>0</v>
      </c>
      <c r="J36" s="74" t="n">
        <f aca="false">SUMIFS(Tabela1[VALOR],Tabela1[MÊS],"8",Tabela1[CATEGORIA],"ESTORNO")</f>
        <v>0</v>
      </c>
      <c r="K36" s="74" t="n">
        <f aca="false">SUMIFS(Tabela1[VALOR],Tabela1[MÊS],"9",Tabela1[CATEGORIA],"ESTORNO")</f>
        <v>0</v>
      </c>
      <c r="L36" s="74" t="n">
        <f aca="false">SUMIFS(Tabela1[VALOR],Tabela1[MÊS],"10",Tabela1[CATEGORIA],"ESTORNO")</f>
        <v>0</v>
      </c>
      <c r="M36" s="74" t="n">
        <f aca="false">SUMIFS(Tabela1[VALOR],Tabela1[MÊS],"11",Tabela1[CATEGORIA],"ESTORNO")</f>
        <v>0</v>
      </c>
      <c r="N36" s="74" t="n">
        <f aca="false">SUMIFS(Tabela1[VALOR],Tabela1[MÊS],"12",Tabela1[CATEGORIA],"ESTORNO")</f>
        <v>0</v>
      </c>
      <c r="O36" s="74" t="n">
        <f aca="false">SUM(C36:N36)</f>
        <v>10953</v>
      </c>
      <c r="P36" s="74"/>
      <c r="Q36" s="74" t="n">
        <f aca="false">AVERAGE(C36:N36)</f>
        <v>912.75</v>
      </c>
    </row>
    <row r="37" customFormat="false" ht="14.25" hidden="false" customHeight="false" outlineLevel="0" collapsed="false">
      <c r="B37" s="66" t="s">
        <v>3501</v>
      </c>
      <c r="C37" s="74" t="n">
        <f aca="false">SUMIFS(Tabela1[VALOR],Tabela1[MÊS],"1",Tabela1[CATEGORIA],"ESTRUTURA")</f>
        <v>2431.4</v>
      </c>
      <c r="D37" s="74" t="n">
        <f aca="false">SUMIFS(Tabela1[VALOR],Tabela1[MÊS],"2",Tabela1[CATEGORIA],"ESTRUTURA")</f>
        <v>2609.42</v>
      </c>
      <c r="E37" s="74" t="n">
        <f aca="false">SUMIFS(Tabela1[VALOR],Tabela1[MÊS],"3",Tabela1[CATEGORIA],"ESTRUTURA")</f>
        <v>2590.99</v>
      </c>
      <c r="F37" s="74" t="n">
        <f aca="false">SUMIFS(Tabela1[VALOR],Tabela1[MÊS],"4",Tabela1[CATEGORIA],"ESTRUTURA")</f>
        <v>2776.9</v>
      </c>
      <c r="G37" s="74" t="n">
        <f aca="false">SUMIFS(Tabela1[VALOR],Tabela1[MÊS],"5",Tabela1[CATEGORIA],"ESTRUTURA")</f>
        <v>0</v>
      </c>
      <c r="H37" s="74" t="n">
        <f aca="false">SUMIFS(Tabela1[VALOR],Tabela1[MÊS],"6",Tabela1[CATEGORIA],"ESTRUTURA")</f>
        <v>0</v>
      </c>
      <c r="I37" s="74" t="n">
        <f aca="false">SUMIFS(Tabela1[VALOR],Tabela1[MÊS],"7",Tabela1[CATEGORIA],"ESTRUTURA")</f>
        <v>0</v>
      </c>
      <c r="J37" s="74" t="n">
        <f aca="false">SUMIFS(Tabela1[VALOR],Tabela1[MÊS],"8",Tabela1[CATEGORIA],"ESTRUTURA")</f>
        <v>0</v>
      </c>
      <c r="K37" s="74" t="n">
        <f aca="false">SUMIFS(Tabela1[VALOR],Tabela1[MÊS],"9",Tabela1[CATEGORIA],"ESTRUTURA")</f>
        <v>0</v>
      </c>
      <c r="L37" s="74" t="n">
        <f aca="false">SUMIFS(Tabela1[VALOR],Tabela1[MÊS],"10",Tabela1[CATEGORIA],"ESTRUTURA")</f>
        <v>0</v>
      </c>
      <c r="M37" s="74" t="n">
        <f aca="false">SUMIFS(Tabela1[VALOR],Tabela1[MÊS],"11",Tabela1[CATEGORIA],"ESTRUTURA")</f>
        <v>0</v>
      </c>
      <c r="N37" s="74" t="n">
        <f aca="false">SUMIFS(Tabela1[VALOR],Tabela1[MÊS],"12",Tabela1[CATEGORIA],"ESTRUTURA")</f>
        <v>0</v>
      </c>
      <c r="O37" s="74" t="n">
        <f aca="false">SUM(C37:N37)</f>
        <v>10408.71</v>
      </c>
      <c r="P37" s="74"/>
      <c r="Q37" s="74" t="n">
        <f aca="false">AVERAGE(C37:N37)</f>
        <v>867.3925</v>
      </c>
    </row>
    <row r="38" customFormat="false" ht="14.25" hidden="false" customHeight="false" outlineLevel="0" collapsed="false">
      <c r="B38" s="66" t="s">
        <v>3502</v>
      </c>
      <c r="C38" s="74" t="n">
        <f aca="false">SUMIFS(Tabela1[VALOR],Tabela1[MÊS],"1",Tabela1[CATEGORIA],"IMPOSTOS")</f>
        <v>600</v>
      </c>
      <c r="D38" s="74" t="n">
        <f aca="false">SUMIFS(Tabela1[VALOR],Tabela1[MÊS],"2",Tabela1[CATEGORIA],"IMPOSTOS")</f>
        <v>3610.8</v>
      </c>
      <c r="E38" s="74" t="n">
        <f aca="false">SUMIFS(Tabela1[VALOR],Tabela1[MÊS],"3",Tabela1[CATEGORIA],"IMPOSTOS")</f>
        <v>3571.66</v>
      </c>
      <c r="F38" s="74" t="n">
        <f aca="false">SUMIFS(Tabela1[VALOR],Tabela1[MÊS],"4",Tabela1[CATEGORIA],"IMPOSTOS")</f>
        <v>5917.93</v>
      </c>
      <c r="G38" s="74" t="n">
        <f aca="false">SUMIFS(Tabela1[VALOR],Tabela1[MÊS],"5",Tabela1[CATEGORIA],"IMPOSTOS")</f>
        <v>0</v>
      </c>
      <c r="H38" s="74" t="n">
        <f aca="false">SUMIFS(Tabela1[VALOR],Tabela1[MÊS],"6",Tabela1[CATEGORIA],"IMPOSTOS")</f>
        <v>0</v>
      </c>
      <c r="I38" s="74" t="n">
        <f aca="false">SUMIFS(Tabela1[VALOR],Tabela1[MÊS],"7",Tabela1[CATEGORIA],"IMPOSTOS")</f>
        <v>0</v>
      </c>
      <c r="J38" s="74" t="n">
        <f aca="false">SUMIFS(Tabela1[VALOR],Tabela1[MÊS],"8",Tabela1[CATEGORIA],"IMPOSTOS")</f>
        <v>0</v>
      </c>
      <c r="K38" s="74" t="n">
        <f aca="false">SUMIFS(Tabela1[VALOR],Tabela1[MÊS],"9",Tabela1[CATEGORIA],"IMPOSTOS")</f>
        <v>0</v>
      </c>
      <c r="L38" s="74" t="n">
        <f aca="false">SUMIFS(Tabela1[VALOR],Tabela1[MÊS],"10",Tabela1[CATEGORIA],"IMPOSTOS")</f>
        <v>0</v>
      </c>
      <c r="M38" s="74" t="n">
        <f aca="false">SUMIFS(Tabela1[VALOR],Tabela1[MÊS],"11",Tabela1[CATEGORIA],"IMPOSTOS")</f>
        <v>0</v>
      </c>
      <c r="N38" s="74" t="n">
        <f aca="false">SUMIFS(Tabela1[VALOR],Tabela1[MÊS],"12",Tabela1[CATEGORIA],"IMPOSTOS")</f>
        <v>0</v>
      </c>
      <c r="O38" s="74" t="n">
        <f aca="false">SUM(C38:N38)</f>
        <v>13700.39</v>
      </c>
      <c r="P38" s="74"/>
      <c r="Q38" s="74" t="n">
        <f aca="false">AVERAGE(C38:N38)</f>
        <v>1141.69916666667</v>
      </c>
    </row>
    <row r="39" customFormat="false" ht="14.25" hidden="false" customHeight="false" outlineLevel="0" collapsed="false">
      <c r="B39" s="66" t="s">
        <v>3503</v>
      </c>
      <c r="C39" s="74" t="n">
        <f aca="false">SUMIFS(Tabela1[VALOR],Tabela1[MÊS],"1",Tabela1[CATEGORIA],"MARKETING")</f>
        <v>7792.97</v>
      </c>
      <c r="D39" s="74" t="n">
        <f aca="false">SUMIFS(Tabela1[VALOR],Tabela1[MÊS],"2",Tabela1[CATEGORIA],"MARKETING")</f>
        <v>9224.78</v>
      </c>
      <c r="E39" s="74" t="n">
        <f aca="false">SUMIFS(Tabela1[VALOR],Tabela1[MÊS],"3",Tabela1[CATEGORIA],"MARKETING")</f>
        <v>14453.82</v>
      </c>
      <c r="F39" s="74" t="n">
        <f aca="false">SUMIFS(Tabela1[VALOR],Tabela1[MÊS],"4",Tabela1[CATEGORIA],"MARKETING")</f>
        <v>16742.04</v>
      </c>
      <c r="G39" s="74" t="n">
        <f aca="false">SUMIFS(Tabela1[VALOR],Tabela1[MÊS],"5",Tabela1[CATEGORIA],"MARKETING")</f>
        <v>0</v>
      </c>
      <c r="H39" s="74" t="n">
        <f aca="false">SUMIFS(Tabela1[VALOR],Tabela1[MÊS],"6",Tabela1[CATEGORIA],"MARKETING")</f>
        <v>0</v>
      </c>
      <c r="I39" s="74" t="n">
        <f aca="false">SUMIFS(Tabela1[VALOR],Tabela1[MÊS],"7",Tabela1[CATEGORIA],"MARKETING")</f>
        <v>0</v>
      </c>
      <c r="J39" s="74" t="n">
        <f aca="false">SUMIFS(Tabela1[VALOR],Tabela1[MÊS],"8",Tabela1[CATEGORIA],"MARKETING")</f>
        <v>0</v>
      </c>
      <c r="K39" s="74" t="n">
        <f aca="false">SUMIFS(Tabela1[VALOR],Tabela1[MÊS],"9",Tabela1[CATEGORIA],"MARKETING")</f>
        <v>0</v>
      </c>
      <c r="L39" s="74" t="n">
        <f aca="false">SUMIFS(Tabela1[VALOR],Tabela1[MÊS],"10",Tabela1[CATEGORIA],"MARKETING")</f>
        <v>0</v>
      </c>
      <c r="M39" s="74" t="n">
        <f aca="false">SUMIFS(Tabela1[VALOR],Tabela1[MÊS],"11",Tabela1[CATEGORIA],"MARKETING")</f>
        <v>0</v>
      </c>
      <c r="N39" s="74" t="n">
        <f aca="false">SUMIFS(Tabela1[VALOR],Tabela1[MÊS],"12",Tabela1[CATEGORIA],"MARKETING")</f>
        <v>0</v>
      </c>
      <c r="O39" s="74" t="n">
        <f aca="false">SUM(C39:N39)</f>
        <v>48213.61</v>
      </c>
      <c r="P39" s="74"/>
      <c r="Q39" s="74" t="n">
        <f aca="false">AVERAGE(C39:N39)</f>
        <v>4017.80083333333</v>
      </c>
    </row>
    <row r="40" customFormat="false" ht="14.25" hidden="false" customHeight="false" outlineLevel="0" collapsed="false">
      <c r="B40" s="66" t="s">
        <v>3504</v>
      </c>
      <c r="C40" s="74" t="n">
        <f aca="false">SUMIFS(Tabela1[VALOR],Tabela1[MÊS],"1",Tabela1[CATEGORIA],"MATERIAIS")</f>
        <v>807.5</v>
      </c>
      <c r="D40" s="74" t="n">
        <f aca="false">SUMIFS(Tabela1[VALOR],Tabela1[MÊS],"2",Tabela1[CATEGORIA],"MATERIAIS")</f>
        <v>317.8</v>
      </c>
      <c r="E40" s="74" t="n">
        <f aca="false">SUMIFS(Tabela1[VALOR],Tabela1[MÊS],"3",Tabela1[CATEGORIA],"MATERIAIS")</f>
        <v>1419.41</v>
      </c>
      <c r="F40" s="74" t="n">
        <f aca="false">SUMIFS(Tabela1[VALOR],Tabela1[MÊS],"4",Tabela1[CATEGORIA],"MATERIAIS")</f>
        <v>2210.7</v>
      </c>
      <c r="G40" s="74" t="n">
        <f aca="false">SUMIFS(Tabela1[VALOR],Tabela1[MÊS],"5",Tabela1[CATEGORIA],"MATERIAIS")</f>
        <v>0</v>
      </c>
      <c r="H40" s="74" t="n">
        <f aca="false">SUMIFS(Tabela1[VALOR],Tabela1[MÊS],"6",Tabela1[CATEGORIA],"MATERIAIS")</f>
        <v>0</v>
      </c>
      <c r="I40" s="74" t="n">
        <f aca="false">SUMIFS(Tabela1[VALOR],Tabela1[MÊS],"7",Tabela1[CATEGORIA],"MATERIAIS")</f>
        <v>0</v>
      </c>
      <c r="J40" s="74" t="n">
        <f aca="false">SUMIFS(Tabela1[VALOR],Tabela1[MÊS],"8",Tabela1[CATEGORIA],"MATERIAIS")</f>
        <v>0</v>
      </c>
      <c r="K40" s="74" t="n">
        <f aca="false">SUMIFS(Tabela1[VALOR],Tabela1[MÊS],"9",Tabela1[CATEGORIA],"MATERIAIS")</f>
        <v>0</v>
      </c>
      <c r="L40" s="74" t="n">
        <f aca="false">SUMIFS(Tabela1[VALOR],Tabela1[MÊS],"10",Tabela1[CATEGORIA],"MATERIAIS")</f>
        <v>0</v>
      </c>
      <c r="M40" s="74" t="n">
        <f aca="false">SUMIFS(Tabela1[VALOR],Tabela1[MÊS],"11",Tabela1[CATEGORIA],"MATERIAIS")</f>
        <v>0</v>
      </c>
      <c r="N40" s="74" t="n">
        <f aca="false">SUMIFS(Tabela1[VALOR],Tabela1[MÊS],"12",Tabela1[CATEGORIA],"MATERIAIS")</f>
        <v>0</v>
      </c>
      <c r="O40" s="74" t="n">
        <f aca="false">SUM(C40:N40)</f>
        <v>4755.41</v>
      </c>
      <c r="P40" s="74"/>
      <c r="Q40" s="74" t="n">
        <f aca="false">AVERAGE(C40:N40)</f>
        <v>396.284166666667</v>
      </c>
    </row>
    <row r="41" customFormat="false" ht="14.25" hidden="false" customHeight="false" outlineLevel="0" collapsed="false">
      <c r="B41" s="66" t="s">
        <v>3505</v>
      </c>
      <c r="C41" s="74" t="n">
        <f aca="false">SUMIFS(Tabela1[VALOR],Tabela1[MÊS],"1",Tabela1[CATEGORIA],"PESSOAL")</f>
        <v>6150</v>
      </c>
      <c r="D41" s="74" t="n">
        <f aca="false">SUMIFS(Tabela1[VALOR],Tabela1[MÊS],"2",Tabela1[CATEGORIA],"PESSOAL")</f>
        <v>10771</v>
      </c>
      <c r="E41" s="74" t="n">
        <f aca="false">SUMIFS(Tabela1[VALOR],Tabela1[MÊS],"3",Tabela1[CATEGORIA],"PESSOAL")</f>
        <v>10100</v>
      </c>
      <c r="F41" s="74" t="n">
        <f aca="false">SUMIFS(Tabela1[VALOR],Tabela1[MÊS],"4",Tabela1[CATEGORIA],"PESSOAL")</f>
        <v>10100</v>
      </c>
      <c r="G41" s="74" t="n">
        <f aca="false">SUMIFS(Tabela1[VALOR],Tabela1[MÊS],"5",Tabela1[CATEGORIA],"PESSOAL")</f>
        <v>0</v>
      </c>
      <c r="H41" s="74" t="n">
        <f aca="false">SUMIFS(Tabela1[VALOR],Tabela1[MÊS],"6",Tabela1[CATEGORIA],"PESSOAL")</f>
        <v>0</v>
      </c>
      <c r="I41" s="74" t="n">
        <f aca="false">SUMIFS(Tabela1[VALOR],Tabela1[MÊS],"7",Tabela1[CATEGORIA],"PESSOAL")</f>
        <v>0</v>
      </c>
      <c r="J41" s="74" t="n">
        <f aca="false">SUMIFS(Tabela1[VALOR],Tabela1[MÊS],"8",Tabela1[CATEGORIA],"PESSOAL")</f>
        <v>0</v>
      </c>
      <c r="K41" s="74" t="n">
        <f aca="false">SUMIFS(Tabela1[VALOR],Tabela1[MÊS],"9",Tabela1[CATEGORIA],"PESSOAL")</f>
        <v>0</v>
      </c>
      <c r="L41" s="74" t="n">
        <f aca="false">SUMIFS(Tabela1[VALOR],Tabela1[MÊS],"10",Tabela1[CATEGORIA],"PESSOAL")</f>
        <v>0</v>
      </c>
      <c r="M41" s="74" t="n">
        <f aca="false">SUMIFS(Tabela1[VALOR],Tabela1[MÊS],"11",Tabela1[CATEGORIA],"PESSOAL")</f>
        <v>0</v>
      </c>
      <c r="N41" s="74" t="n">
        <f aca="false">SUMIFS(Tabela1[VALOR],Tabela1[MÊS],"12",Tabela1[CATEGORIA],"PESSOAL")</f>
        <v>0</v>
      </c>
      <c r="O41" s="74" t="n">
        <f aca="false">SUM(C41:N41)</f>
        <v>37121</v>
      </c>
      <c r="P41" s="74"/>
      <c r="Q41" s="74" t="n">
        <f aca="false">AVERAGE(C41:N41)</f>
        <v>3093.41666666667</v>
      </c>
    </row>
    <row r="42" customFormat="false" ht="14.25" hidden="false" customHeight="false" outlineLevel="0" collapsed="false">
      <c r="B42" s="66" t="s">
        <v>3506</v>
      </c>
      <c r="C42" s="74" t="n">
        <f aca="false">SUMIFS(Tabela1[VALOR],Tabela1[MÊS],"1",Tabela1[CATEGORIA],"PROLABORE")</f>
        <v>1334</v>
      </c>
      <c r="D42" s="74" t="n">
        <f aca="false">SUMIFS(Tabela1[VALOR],Tabela1[MÊS],"2",Tabela1[CATEGORIA],"PROLABORE")</f>
        <v>1442.69</v>
      </c>
      <c r="E42" s="74" t="n">
        <f aca="false">SUMIFS(Tabela1[VALOR],Tabela1[MÊS],"3",Tabela1[CATEGORIA],"PROLABORE")</f>
        <v>1442.69</v>
      </c>
      <c r="F42" s="74" t="n">
        <f aca="false">SUMIFS(Tabela1[VALOR],Tabela1[MÊS],"4",Tabela1[CATEGORIA],"PROLABORE")</f>
        <v>1442.69</v>
      </c>
      <c r="G42" s="74" t="n">
        <f aca="false">SUMIFS(Tabela1[VALOR],Tabela1[MÊS],"5",Tabela1[CATEGORIA],"PROLABORE")</f>
        <v>0</v>
      </c>
      <c r="H42" s="74" t="n">
        <f aca="false">SUMIFS(Tabela1[VALOR],Tabela1[MÊS],"6",Tabela1[CATEGORIA],"PROLABORE")</f>
        <v>0</v>
      </c>
      <c r="I42" s="74" t="n">
        <f aca="false">SUMIFS(Tabela1[VALOR],Tabela1[MÊS],"7",Tabela1[CATEGORIA],"PROLABORE")</f>
        <v>0</v>
      </c>
      <c r="J42" s="74" t="n">
        <f aca="false">SUMIFS(Tabela1[VALOR],Tabela1[MÊS],"8",Tabela1[CATEGORIA],"PROLABORE")</f>
        <v>0</v>
      </c>
      <c r="K42" s="74" t="n">
        <f aca="false">SUMIFS(Tabela1[VALOR],Tabela1[MÊS],"9",Tabela1[CATEGORIA],"PROLABORE")</f>
        <v>0</v>
      </c>
      <c r="L42" s="74" t="n">
        <f aca="false">SUMIFS(Tabela1[VALOR],Tabela1[MÊS],"10",Tabela1[CATEGORIA],"PROLABORE")</f>
        <v>0</v>
      </c>
      <c r="M42" s="74" t="n">
        <f aca="false">SUMIFS(Tabela1[VALOR],Tabela1[MÊS],"11",Tabela1[CATEGORIA],"PROLABORE")</f>
        <v>0</v>
      </c>
      <c r="N42" s="74" t="n">
        <f aca="false">SUMIFS(Tabela1[VALOR],Tabela1[MÊS],"12",Tabela1[CATEGORIA],"PROLABORE")</f>
        <v>0</v>
      </c>
      <c r="O42" s="74" t="n">
        <f aca="false">SUM(C42:N42)</f>
        <v>5662.07</v>
      </c>
      <c r="P42" s="74"/>
      <c r="Q42" s="74" t="n">
        <f aca="false">AVERAGE(C42:N42)</f>
        <v>471.839166666667</v>
      </c>
    </row>
    <row r="43" customFormat="false" ht="14.25" hidden="false" customHeight="false" outlineLevel="0" collapsed="false">
      <c r="B43" s="66" t="s">
        <v>3507</v>
      </c>
      <c r="C43" s="74" t="n">
        <f aca="false">SUMIFS(Tabela1[VALOR],Tabela1[MÊS],"1",Tabela1[CATEGORIA],"TERCEIROS")</f>
        <v>6660</v>
      </c>
      <c r="D43" s="74" t="n">
        <f aca="false">SUMIFS(Tabela1[VALOR],Tabela1[MÊS],"2",Tabela1[CATEGORIA],"TERCEIROS")</f>
        <v>6800</v>
      </c>
      <c r="E43" s="74" t="n">
        <f aca="false">SUMIFS(Tabela1[VALOR],Tabela1[MÊS],"3",Tabela1[CATEGORIA],"TERCEIROS")</f>
        <v>8325</v>
      </c>
      <c r="F43" s="74" t="n">
        <f aca="false">SUMIFS(Tabela1[VALOR],Tabela1[MÊS],"4",Tabela1[CATEGORIA],"TERCEIROS")</f>
        <v>8860</v>
      </c>
      <c r="G43" s="74" t="n">
        <f aca="false">SUMIFS(Tabela1[VALOR],Tabela1[MÊS],"5",Tabela1[CATEGORIA],"TERCEIROS")</f>
        <v>0</v>
      </c>
      <c r="H43" s="74" t="n">
        <f aca="false">SUMIFS(Tabela1[VALOR],Tabela1[MÊS],"6",Tabela1[CATEGORIA],"TERCEIROS")</f>
        <v>0</v>
      </c>
      <c r="I43" s="74" t="n">
        <f aca="false">SUMIFS(Tabela1[VALOR],Tabela1[MÊS],"7",Tabela1[CATEGORIA],"TERCEIROS")</f>
        <v>0</v>
      </c>
      <c r="J43" s="74" t="n">
        <f aca="false">SUMIFS(Tabela1[VALOR],Tabela1[MÊS],"8",Tabela1[CATEGORIA],"TERCEIROS")</f>
        <v>0</v>
      </c>
      <c r="K43" s="74" t="n">
        <f aca="false">SUMIFS(Tabela1[VALOR],Tabela1[MÊS],"9",Tabela1[CATEGORIA],"TERCEIROS")</f>
        <v>0</v>
      </c>
      <c r="L43" s="74" t="n">
        <f aca="false">SUMIFS(Tabela1[VALOR],Tabela1[MÊS],"10",Tabela1[CATEGORIA],"TERCEIROS")</f>
        <v>0</v>
      </c>
      <c r="M43" s="74" t="n">
        <f aca="false">SUMIFS(Tabela1[VALOR],Tabela1[MÊS],"11",Tabela1[CATEGORIA],"TERCEIROS")</f>
        <v>0</v>
      </c>
      <c r="N43" s="74" t="n">
        <f aca="false">SUMIFS(Tabela1[VALOR],Tabela1[MÊS],"12",Tabela1[CATEGORIA],"TERCEIROS")</f>
        <v>0</v>
      </c>
      <c r="O43" s="74" t="n">
        <f aca="false">SUM(C43:N43)</f>
        <v>30645</v>
      </c>
      <c r="P43" s="74"/>
      <c r="Q43" s="74" t="n">
        <f aca="false">AVERAGE(C43:N43)</f>
        <v>2553.75</v>
      </c>
    </row>
    <row r="44" customFormat="false" ht="14.25" hidden="false" customHeight="false" outlineLevel="0" collapsed="false">
      <c r="B44" s="66" t="s">
        <v>3508</v>
      </c>
      <c r="C44" s="74" t="n">
        <f aca="false">SUMIFS(Tabela1[VALOR],Tabela1[MÊS],"1",Tabela1[CATEGORIA],"SOFTWARES")</f>
        <v>160.58</v>
      </c>
      <c r="D44" s="74" t="n">
        <f aca="false">SUMIFS(Tabela1[VALOR],Tabela1[MÊS],"2",Tabela1[CATEGORIA],"SOFTWARES")</f>
        <v>535.05</v>
      </c>
      <c r="E44" s="74" t="n">
        <f aca="false">SUMIFS(Tabela1[VALOR],Tabela1[MÊS],"3",Tabela1[CATEGORIA],"SOFTWARES")</f>
        <v>264.39</v>
      </c>
      <c r="F44" s="74" t="n">
        <f aca="false">SUMIFS(Tabela1[VALOR],Tabela1[MÊS],"4",Tabela1[CATEGORIA],"SOFTWARES")</f>
        <v>1262.27</v>
      </c>
      <c r="G44" s="74" t="n">
        <f aca="false">SUMIFS(Tabela1[VALOR],Tabela1[MÊS],"5",Tabela1[CATEGORIA],"SOFTWARES")</f>
        <v>0</v>
      </c>
      <c r="H44" s="74" t="n">
        <f aca="false">SUMIFS(Tabela1[VALOR],Tabela1[MÊS],"6",Tabela1[CATEGORIA],"SOFTWARES")</f>
        <v>0</v>
      </c>
      <c r="I44" s="74" t="n">
        <f aca="false">SUMIFS(Tabela1[VALOR],Tabela1[MÊS],"7",Tabela1[CATEGORIA],"SOFTWARES")</f>
        <v>0</v>
      </c>
      <c r="J44" s="74" t="n">
        <f aca="false">SUMIFS(Tabela1[VALOR],Tabela1[MÊS],"8",Tabela1[CATEGORIA],"SOFTWARES")</f>
        <v>0</v>
      </c>
      <c r="K44" s="74" t="n">
        <f aca="false">SUMIFS(Tabela1[VALOR],Tabela1[MÊS],"9",Tabela1[CATEGORIA],"SOFTWARES")</f>
        <v>0</v>
      </c>
      <c r="L44" s="74" t="n">
        <f aca="false">SUMIFS(Tabela1[VALOR],Tabela1[MÊS],"10",Tabela1[CATEGORIA],"SOFTWARES")</f>
        <v>0</v>
      </c>
      <c r="M44" s="74" t="n">
        <f aca="false">SUMIFS(Tabela1[VALOR],Tabela1[MÊS],"11",Tabela1[CATEGORIA],"SOFTWARES")</f>
        <v>0</v>
      </c>
      <c r="N44" s="74" t="n">
        <f aca="false">SUMIFS(Tabela1[VALOR],Tabela1[MÊS],"12",Tabela1[CATEGORIA],"SOFTWARES")</f>
        <v>0</v>
      </c>
      <c r="O44" s="74" t="n">
        <f aca="false">SUM(C44:N44)</f>
        <v>2222.29</v>
      </c>
      <c r="P44" s="74"/>
      <c r="Q44" s="74" t="n">
        <f aca="false">AVERAGE(C44:N44)</f>
        <v>185.190833333333</v>
      </c>
    </row>
    <row r="45" customFormat="false" ht="14.25" hidden="false" customHeight="false" outlineLevel="0" collapsed="false">
      <c r="B45" s="66" t="s">
        <v>3509</v>
      </c>
      <c r="C45" s="74" t="n">
        <f aca="false">SUMIFS(Tabela1[VALOR],Tabela1[MÊS],"1",Tabela1[CATEGORIA],"OUTROS")</f>
        <v>189</v>
      </c>
      <c r="D45" s="74" t="n">
        <f aca="false">SUMIFS(Tabela1[VALOR],Tabela1[MÊS],"2",Tabela1[CATEGORIA],"OUTROS")</f>
        <v>15</v>
      </c>
      <c r="E45" s="74" t="n">
        <f aca="false">SUMIFS(Tabela1[VALOR],Tabela1[MÊS],"3",Tabela1[CATEGORIA],"OUTROS")</f>
        <v>0</v>
      </c>
      <c r="F45" s="74" t="n">
        <f aca="false">SUMIFS(Tabela1[VALOR],Tabela1[MÊS],"4",Tabela1[CATEGORIA],"OUTROS")</f>
        <v>0</v>
      </c>
      <c r="G45" s="74" t="n">
        <f aca="false">SUMIFS(Tabela1[VALOR],Tabela1[MÊS],"5",Tabela1[CATEGORIA],"OUTROS")</f>
        <v>0</v>
      </c>
      <c r="H45" s="74" t="n">
        <f aca="false">SUMIFS(Tabela1[VALOR],Tabela1[MÊS],"6",Tabela1[CATEGORIA],"OUTROS")</f>
        <v>0</v>
      </c>
      <c r="I45" s="74" t="n">
        <f aca="false">SUMIFS(Tabela1[VALOR],Tabela1[MÊS],"7",Tabela1[CATEGORIA],"OUTROS")</f>
        <v>0</v>
      </c>
      <c r="J45" s="74" t="n">
        <f aca="false">SUMIFS(Tabela1[VALOR],Tabela1[MÊS],"8",Tabela1[CATEGORIA],"OUTROS")</f>
        <v>0</v>
      </c>
      <c r="K45" s="74" t="n">
        <f aca="false">SUMIFS(Tabela1[VALOR],Tabela1[MÊS],"9",Tabela1[CATEGORIA],"OUTROS")</f>
        <v>0</v>
      </c>
      <c r="L45" s="74" t="n">
        <f aca="false">SUMIFS(Tabela1[VALOR],Tabela1[MÊS],"10",Tabela1[CATEGORIA],"OUTROS")</f>
        <v>0</v>
      </c>
      <c r="M45" s="74" t="n">
        <f aca="false">SUMIFS(Tabela1[VALOR],Tabela1[MÊS],"11",Tabela1[CATEGORIA],"OUTROS")</f>
        <v>0</v>
      </c>
      <c r="N45" s="74" t="n">
        <f aca="false">SUMIFS(Tabela1[VALOR],Tabela1[MÊS],"12",Tabela1[CATEGORIA],"OUTROS")</f>
        <v>0</v>
      </c>
      <c r="O45" s="74" t="n">
        <f aca="false">SUM(C45:N45)</f>
        <v>204</v>
      </c>
      <c r="P45" s="74"/>
      <c r="Q45" s="74" t="n">
        <f aca="false">AVERAGE(C45:N45)</f>
        <v>17</v>
      </c>
    </row>
    <row r="46" customFormat="false" ht="14.25" hidden="false" customHeight="false" outlineLevel="0" collapsed="false">
      <c r="B46" s="71" t="s">
        <v>3655</v>
      </c>
      <c r="C46" s="72" t="n">
        <f aca="false">C8-C32</f>
        <v>24475.06</v>
      </c>
      <c r="D46" s="72" t="n">
        <f aca="false">D8-D32</f>
        <v>21559.96</v>
      </c>
      <c r="E46" s="72" t="n">
        <f aca="false">E8-E32</f>
        <v>39833.54</v>
      </c>
      <c r="F46" s="72" t="n">
        <f aca="false">F8-F32</f>
        <v>39935.82</v>
      </c>
      <c r="G46" s="72" t="n">
        <f aca="false">G8-G32</f>
        <v>1535</v>
      </c>
      <c r="H46" s="72" t="n">
        <f aca="false">H8-H32</f>
        <v>0</v>
      </c>
      <c r="I46" s="72" t="n">
        <f aca="false">I8-I32</f>
        <v>0</v>
      </c>
      <c r="J46" s="72" t="n">
        <f aca="false">J8-J32</f>
        <v>0</v>
      </c>
      <c r="K46" s="72" t="n">
        <f aca="false">K8-K32</f>
        <v>0</v>
      </c>
      <c r="L46" s="72" t="n">
        <f aca="false">L8-L32</f>
        <v>0</v>
      </c>
      <c r="M46" s="72" t="n">
        <f aca="false">M8-M32</f>
        <v>0</v>
      </c>
      <c r="N46" s="72" t="n">
        <f aca="false">N8-N32</f>
        <v>0</v>
      </c>
      <c r="O46" s="72" t="n">
        <f aca="false">SUM(C46:N46)</f>
        <v>127339.38</v>
      </c>
      <c r="P46" s="73"/>
      <c r="Q46" s="72" t="n">
        <f aca="false">AVERAGE(C46:N46)</f>
        <v>10611.615</v>
      </c>
    </row>
    <row r="47" customFormat="false" ht="14.25" hidden="false" customHeight="false" outlineLevel="0" collapsed="false">
      <c r="B47" s="66" t="s">
        <v>3656</v>
      </c>
      <c r="C47" s="74" t="n">
        <v>14000</v>
      </c>
      <c r="D47" s="74" t="n">
        <v>18000</v>
      </c>
      <c r="E47" s="74" t="n">
        <v>24000</v>
      </c>
      <c r="F47" s="74" t="n">
        <v>30000</v>
      </c>
      <c r="G47" s="74"/>
      <c r="H47" s="74"/>
      <c r="I47" s="74"/>
      <c r="J47" s="74"/>
      <c r="K47" s="74"/>
      <c r="L47" s="74"/>
      <c r="M47" s="74"/>
      <c r="N47" s="74"/>
      <c r="O47" s="74" t="n">
        <f aca="false">SUM(C47:N47)</f>
        <v>86000</v>
      </c>
      <c r="P47" s="74"/>
      <c r="Q47" s="74" t="n">
        <f aca="false">IFERROR(AVERAGE(C47:N47),"")</f>
        <v>21500</v>
      </c>
    </row>
    <row r="48" customFormat="false" ht="14.25" hidden="false" customHeight="false" outlineLevel="0" collapsed="false">
      <c r="B48" s="66" t="s">
        <v>3657</v>
      </c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 t="n">
        <f aca="false">SUM(C48:N48)</f>
        <v>0</v>
      </c>
      <c r="P48" s="74"/>
      <c r="Q48" s="74" t="str">
        <f aca="false">IFERROR(AVERAGE(C48:N48),"")</f>
        <v/>
      </c>
    </row>
    <row r="49" customFormat="false" ht="14.25" hidden="false" customHeight="false" outlineLevel="0" collapsed="false">
      <c r="B49" s="71" t="s">
        <v>3658</v>
      </c>
      <c r="C49" s="72" t="n">
        <f aca="false">C46-SUM(C47:C48)</f>
        <v>10475.06</v>
      </c>
      <c r="D49" s="72" t="n">
        <f aca="false">D46-SUM(D47:D48)</f>
        <v>3559.96</v>
      </c>
      <c r="E49" s="72" t="n">
        <f aca="false">E46-SUM(E47:E48)</f>
        <v>15833.54</v>
      </c>
      <c r="F49" s="72" t="n">
        <f aca="false">F46-SUM(F47:F48)</f>
        <v>9935.82</v>
      </c>
      <c r="G49" s="72" t="n">
        <f aca="false">G46-SUM(G47:G48)</f>
        <v>1535</v>
      </c>
      <c r="H49" s="72" t="n">
        <f aca="false">H46-SUM(H47:H48)</f>
        <v>0</v>
      </c>
      <c r="I49" s="72" t="n">
        <f aca="false">I46-SUM(I47:I48)</f>
        <v>0</v>
      </c>
      <c r="J49" s="72" t="n">
        <f aca="false">J46-SUM(J47:J48)</f>
        <v>0</v>
      </c>
      <c r="K49" s="72" t="n">
        <f aca="false">K46-SUM(K47:K48)</f>
        <v>0</v>
      </c>
      <c r="L49" s="72" t="n">
        <f aca="false">L46-SUM(L47:L48)</f>
        <v>0</v>
      </c>
      <c r="M49" s="72" t="n">
        <f aca="false">M46-SUM(M47:M48)</f>
        <v>0</v>
      </c>
      <c r="N49" s="72" t="n">
        <f aca="false">N46-SUM(N47:N48)</f>
        <v>0</v>
      </c>
      <c r="O49" s="72" t="n">
        <f aca="false">SUM(C49:N49)</f>
        <v>41339.38</v>
      </c>
      <c r="P49" s="73"/>
      <c r="Q49" s="72" t="n">
        <f aca="false">AVERAGE(C49:N49)</f>
        <v>3444.94833333333</v>
      </c>
    </row>
    <row r="50" customFormat="false" ht="14.25" hidden="false" customHeight="false" outlineLevel="0" collapsed="false">
      <c r="B50" s="71" t="s">
        <v>3659</v>
      </c>
      <c r="C50" s="72" t="n">
        <f aca="false">C49</f>
        <v>10475.06</v>
      </c>
      <c r="D50" s="72" t="n">
        <f aca="false">SUM($C$49:D49)</f>
        <v>14035.02</v>
      </c>
      <c r="E50" s="72" t="n">
        <f aca="false">SUM($C$49:E49)</f>
        <v>29868.56</v>
      </c>
      <c r="F50" s="72" t="n">
        <f aca="false">SUM($C$49:F49)</f>
        <v>39804.38</v>
      </c>
      <c r="G50" s="72" t="n">
        <f aca="false">SUM($C$49:G49)</f>
        <v>41339.38</v>
      </c>
      <c r="H50" s="72" t="n">
        <f aca="false">SUM($C$49:H49)</f>
        <v>41339.38</v>
      </c>
      <c r="I50" s="72" t="n">
        <f aca="false">SUM($C$49:I49)</f>
        <v>41339.38</v>
      </c>
      <c r="J50" s="72" t="n">
        <f aca="false">SUM($C$49:J49)</f>
        <v>41339.38</v>
      </c>
      <c r="K50" s="72" t="n">
        <f aca="false">SUM($C$49:K49)</f>
        <v>41339.38</v>
      </c>
      <c r="L50" s="72" t="n">
        <f aca="false">SUM($C$49:L49)</f>
        <v>41339.38</v>
      </c>
      <c r="M50" s="72" t="n">
        <f aca="false">SUM($C$49:M49)</f>
        <v>41339.38</v>
      </c>
      <c r="N50" s="72" t="n">
        <f aca="false">SUM($C$49:N49)</f>
        <v>41339.38</v>
      </c>
      <c r="O50" s="72" t="n">
        <f aca="false">SUM(C50:N50)</f>
        <v>424898.06</v>
      </c>
      <c r="P50" s="73"/>
      <c r="Q50" s="72" t="n">
        <f aca="false">AVERAGE(C50:N50)</f>
        <v>35408.1716666667</v>
      </c>
    </row>
    <row r="52" customFormat="false" ht="14.25" hidden="false" customHeight="false" outlineLevel="0" collapsed="false">
      <c r="B52" s="77" t="s">
        <v>3660</v>
      </c>
      <c r="C52" s="78" t="n">
        <f aca="false">IFERROR(C46/C8,"")</f>
        <v>0.407330364169928</v>
      </c>
      <c r="D52" s="78" t="n">
        <f aca="false">IFERROR(D46/D8,"")</f>
        <v>0.352540388514618</v>
      </c>
      <c r="E52" s="78" t="n">
        <f aca="false">IFERROR(E46/E8,"")</f>
        <v>0.457543863679438</v>
      </c>
      <c r="F52" s="78" t="n">
        <f aca="false">IFERROR(F46/F8,"")</f>
        <v>0.404683839325524</v>
      </c>
      <c r="G52" s="78" t="n">
        <f aca="false">IFERROR(G46/G8,"")</f>
        <v>1</v>
      </c>
      <c r="H52" s="78" t="str">
        <f aca="false">IFERROR(H46/H8,"")</f>
        <v/>
      </c>
      <c r="I52" s="78" t="str">
        <f aca="false">IFERROR(I46/I8,"")</f>
        <v/>
      </c>
      <c r="J52" s="78" t="str">
        <f aca="false">IFERROR(J46/J8,"")</f>
        <v/>
      </c>
      <c r="K52" s="78" t="str">
        <f aca="false">IFERROR(K46/K8,"")</f>
        <v/>
      </c>
      <c r="L52" s="78" t="str">
        <f aca="false">IFERROR(L46/L8,"")</f>
        <v/>
      </c>
      <c r="M52" s="78" t="str">
        <f aca="false">IFERROR(M46/M8,"")</f>
        <v/>
      </c>
      <c r="N52" s="78" t="str">
        <f aca="false">IFERROR(N46/N8,"")</f>
        <v/>
      </c>
      <c r="O52" s="78" t="n">
        <f aca="false">SUM(C52:N52)</f>
        <v>2.62209845568951</v>
      </c>
      <c r="P52" s="79"/>
      <c r="Q52" s="78" t="n">
        <f aca="false">IFERROR(AVERAGE(C52:N52),"")</f>
        <v>0.524419691137902</v>
      </c>
    </row>
  </sheetData>
  <mergeCells count="1">
    <mergeCell ref="E3:L4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E91"/>
  <sheetViews>
    <sheetView showFormulas="false" showGridLines="true" showRowColHeaders="true" showZeros="true" rightToLeft="false" tabSelected="false" showOutlineSymbols="true" defaultGridColor="true" view="normal" topLeftCell="A54" colorId="64" zoomScale="100" zoomScaleNormal="100" zoomScalePageLayoutView="100" workbookViewId="0">
      <selection pane="topLeft" activeCell="E64" activeCellId="0" sqref="E64"/>
    </sheetView>
  </sheetViews>
  <sheetFormatPr defaultColWidth="9.14453125" defaultRowHeight="15" zeroHeight="false" outlineLevelRow="0" outlineLevelCol="0"/>
  <cols>
    <col collapsed="false" customWidth="true" hidden="false" outlineLevel="0" max="1" min="1" style="80" width="27.28"/>
    <col collapsed="false" customWidth="true" hidden="false" outlineLevel="0" max="2" min="2" style="80" width="71"/>
    <col collapsed="false" customWidth="true" hidden="false" outlineLevel="0" max="4" min="3" style="80" width="16.43"/>
    <col collapsed="false" customWidth="true" hidden="false" outlineLevel="0" max="5" min="5" style="81" width="16.43"/>
    <col collapsed="false" customWidth="true" hidden="false" outlineLevel="0" max="6" min="6" style="80" width="15.15"/>
    <col collapsed="false" customWidth="true" hidden="false" outlineLevel="0" max="9" min="7" style="80" width="10.29"/>
    <col collapsed="false" customWidth="true" hidden="false" outlineLevel="0" max="10" min="10" style="80" width="11.28"/>
    <col collapsed="false" customWidth="true" hidden="false" outlineLevel="0" max="11" min="11" style="80" width="16.29"/>
    <col collapsed="false" customWidth="true" hidden="false" outlineLevel="0" max="12" min="12" style="80" width="12.72"/>
    <col collapsed="false" customWidth="true" hidden="false" outlineLevel="0" max="13" min="13" style="80" width="15.28"/>
    <col collapsed="false" customWidth="true" hidden="false" outlineLevel="0" max="14" min="14" style="80" width="14.29"/>
    <col collapsed="false" customWidth="true" hidden="false" outlineLevel="0" max="15" min="15" style="80" width="10.29"/>
    <col collapsed="false" customWidth="false" hidden="false" outlineLevel="0" max="16384" min="16" style="80" width="9.14"/>
  </cols>
  <sheetData>
    <row r="1" customFormat="false" ht="15.75" hidden="false" customHeight="true" outlineLevel="0" collapsed="false">
      <c r="A1" s="82" t="s">
        <v>3661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</row>
    <row r="2" customFormat="false" ht="17.25" hidden="false" customHeight="false" outlineLevel="0" collapsed="false">
      <c r="A2" s="83" t="s">
        <v>3662</v>
      </c>
      <c r="B2" s="84" t="s">
        <v>3663</v>
      </c>
      <c r="C2" s="85" t="n">
        <v>2026</v>
      </c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</row>
    <row r="3" customFormat="false" ht="15.75" hidden="false" customHeight="true" outlineLevel="0" collapsed="false">
      <c r="A3" s="86" t="s">
        <v>3664</v>
      </c>
      <c r="B3" s="87" t="s">
        <v>3491</v>
      </c>
      <c r="C3" s="88" t="s">
        <v>3665</v>
      </c>
      <c r="D3" s="89" t="s">
        <v>3666</v>
      </c>
      <c r="E3" s="89" t="s">
        <v>3667</v>
      </c>
      <c r="F3" s="89" t="s">
        <v>3668</v>
      </c>
      <c r="G3" s="89" t="s">
        <v>3669</v>
      </c>
      <c r="H3" s="89" t="s">
        <v>3670</v>
      </c>
      <c r="I3" s="89" t="s">
        <v>3671</v>
      </c>
      <c r="J3" s="89" t="s">
        <v>3672</v>
      </c>
      <c r="K3" s="89" t="s">
        <v>3673</v>
      </c>
      <c r="L3" s="89" t="s">
        <v>3674</v>
      </c>
      <c r="M3" s="89" t="s">
        <v>3675</v>
      </c>
      <c r="N3" s="89" t="s">
        <v>3676</v>
      </c>
      <c r="O3" s="90" t="s">
        <v>3677</v>
      </c>
      <c r="P3" s="91"/>
      <c r="Q3" s="91"/>
      <c r="R3" s="91"/>
      <c r="S3" s="91"/>
      <c r="T3" s="91"/>
      <c r="U3" s="91"/>
      <c r="V3" s="91"/>
      <c r="W3" s="91"/>
    </row>
    <row r="4" customFormat="false" ht="15.75" hidden="false" customHeight="true" outlineLevel="0" collapsed="false">
      <c r="A4" s="86"/>
      <c r="B4" s="92" t="s">
        <v>3678</v>
      </c>
      <c r="C4" s="93" t="n">
        <f aca="false">DRE!$C$39</f>
        <v>7792.97</v>
      </c>
      <c r="D4" s="94" t="n">
        <f aca="false">DRE!$D$39</f>
        <v>9224.78</v>
      </c>
      <c r="E4" s="94" t="n">
        <f aca="false">DRE!$E$39</f>
        <v>14453.82</v>
      </c>
      <c r="F4" s="94" t="n">
        <f aca="false">DRE!$F$39</f>
        <v>16742.04</v>
      </c>
      <c r="G4" s="94"/>
      <c r="H4" s="94"/>
      <c r="I4" s="94"/>
      <c r="J4" s="94"/>
      <c r="K4" s="94"/>
      <c r="L4" s="94"/>
      <c r="M4" s="94"/>
      <c r="N4" s="94"/>
      <c r="O4" s="95"/>
      <c r="P4" s="96"/>
      <c r="Q4" s="96"/>
      <c r="R4" s="96"/>
      <c r="S4" s="96"/>
      <c r="T4" s="96"/>
      <c r="U4" s="96"/>
      <c r="V4" s="96"/>
      <c r="W4" s="96"/>
      <c r="X4" s="96"/>
      <c r="Y4" s="96"/>
      <c r="Z4" s="96"/>
      <c r="AA4" s="96"/>
      <c r="AB4" s="96"/>
      <c r="AC4" s="96"/>
      <c r="AD4" s="96"/>
      <c r="AE4" s="96"/>
    </row>
    <row r="5" customFormat="false" ht="15.75" hidden="false" customHeight="true" outlineLevel="0" collapsed="false">
      <c r="A5" s="86"/>
      <c r="B5" s="97" t="s">
        <v>3679</v>
      </c>
      <c r="C5" s="98" t="n">
        <v>7793.97</v>
      </c>
      <c r="D5" s="99" t="n">
        <v>8517.07</v>
      </c>
      <c r="E5" s="99" t="n">
        <v>12069.48</v>
      </c>
      <c r="F5" s="99" t="n">
        <v>0</v>
      </c>
      <c r="G5" s="99" t="n">
        <v>0</v>
      </c>
      <c r="H5" s="99" t="n">
        <v>0</v>
      </c>
      <c r="I5" s="99" t="n">
        <v>0</v>
      </c>
      <c r="J5" s="99" t="n">
        <v>0</v>
      </c>
      <c r="K5" s="99" t="n">
        <v>0</v>
      </c>
      <c r="L5" s="99" t="n">
        <v>0</v>
      </c>
      <c r="M5" s="99" t="n">
        <v>0</v>
      </c>
      <c r="N5" s="99" t="n">
        <v>0</v>
      </c>
      <c r="O5" s="100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</row>
    <row r="6" customFormat="false" ht="15.75" hidden="false" customHeight="true" outlineLevel="0" collapsed="false">
      <c r="A6" s="86"/>
      <c r="B6" s="102" t="s">
        <v>3680</v>
      </c>
      <c r="C6" s="103" t="n">
        <v>743914</v>
      </c>
      <c r="D6" s="104" t="n">
        <v>757009</v>
      </c>
      <c r="E6" s="104" t="n">
        <v>1022767</v>
      </c>
      <c r="F6" s="104" t="n">
        <v>0</v>
      </c>
      <c r="G6" s="104" t="n">
        <v>0</v>
      </c>
      <c r="H6" s="104" t="n">
        <v>0</v>
      </c>
      <c r="I6" s="104" t="n">
        <v>0</v>
      </c>
      <c r="J6" s="104" t="n">
        <v>0</v>
      </c>
      <c r="K6" s="104" t="n">
        <v>0</v>
      </c>
      <c r="L6" s="104" t="n">
        <v>0</v>
      </c>
      <c r="M6" s="104" t="n">
        <v>0</v>
      </c>
      <c r="N6" s="104" t="n">
        <v>0</v>
      </c>
      <c r="O6" s="105"/>
      <c r="P6" s="101"/>
      <c r="Q6" s="101"/>
      <c r="R6" s="101"/>
      <c r="S6" s="101"/>
      <c r="T6" s="101"/>
      <c r="U6" s="101"/>
      <c r="V6" s="101"/>
      <c r="W6" s="101"/>
      <c r="X6" s="101"/>
      <c r="Y6" s="101"/>
      <c r="Z6" s="101"/>
      <c r="AA6" s="101"/>
      <c r="AB6" s="101"/>
      <c r="AC6" s="101"/>
      <c r="AD6" s="101"/>
      <c r="AE6" s="101"/>
    </row>
    <row r="7" customFormat="false" ht="15.75" hidden="false" customHeight="true" outlineLevel="0" collapsed="false">
      <c r="A7" s="86"/>
      <c r="B7" s="102" t="s">
        <v>3681</v>
      </c>
      <c r="C7" s="103" t="n">
        <v>6292</v>
      </c>
      <c r="D7" s="104" t="n">
        <v>0</v>
      </c>
      <c r="E7" s="104" t="n">
        <v>7751</v>
      </c>
      <c r="F7" s="104" t="n">
        <v>0</v>
      </c>
      <c r="G7" s="104" t="n">
        <v>0</v>
      </c>
      <c r="H7" s="104" t="n">
        <v>0</v>
      </c>
      <c r="I7" s="104" t="n">
        <v>0</v>
      </c>
      <c r="J7" s="104" t="n">
        <v>0</v>
      </c>
      <c r="K7" s="104" t="n">
        <v>0</v>
      </c>
      <c r="L7" s="104" t="n">
        <v>0</v>
      </c>
      <c r="M7" s="104" t="n">
        <v>0</v>
      </c>
      <c r="N7" s="104" t="n">
        <v>0</v>
      </c>
      <c r="O7" s="105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</row>
    <row r="8" customFormat="false" ht="15.75" hidden="false" customHeight="true" outlineLevel="0" collapsed="false">
      <c r="A8" s="86"/>
      <c r="B8" s="106" t="s">
        <v>3682</v>
      </c>
      <c r="C8" s="107" t="n">
        <f aca="false">C5/C6*1000</f>
        <v>10.4769771774694</v>
      </c>
      <c r="D8" s="107" t="n">
        <f aca="false">D5/D6*1000</f>
        <v>11.2509494603102</v>
      </c>
      <c r="E8" s="107" t="n">
        <f aca="false">E5/E6*1000</f>
        <v>11.8008109373885</v>
      </c>
      <c r="F8" s="107" t="e">
        <f aca="false">F5/F6*1000</f>
        <v>#DIV/0!</v>
      </c>
      <c r="G8" s="107" t="e">
        <f aca="false">G5/G6*1000</f>
        <v>#DIV/0!</v>
      </c>
      <c r="H8" s="107" t="e">
        <f aca="false">H5/H6*1000</f>
        <v>#DIV/0!</v>
      </c>
      <c r="I8" s="107" t="e">
        <f aca="false">I5/I6*1000</f>
        <v>#DIV/0!</v>
      </c>
      <c r="J8" s="107" t="e">
        <f aca="false">J5/J6*1000</f>
        <v>#DIV/0!</v>
      </c>
      <c r="K8" s="107" t="e">
        <f aca="false">K5/K6*1000</f>
        <v>#DIV/0!</v>
      </c>
      <c r="L8" s="107" t="e">
        <f aca="false">L5/L6*1000</f>
        <v>#DIV/0!</v>
      </c>
      <c r="M8" s="107" t="e">
        <f aca="false">M5/M6*1000</f>
        <v>#DIV/0!</v>
      </c>
      <c r="N8" s="107" t="e">
        <f aca="false">N5/N6*1000</f>
        <v>#DIV/0!</v>
      </c>
      <c r="O8" s="107" t="e">
        <f aca="false">O5/O6*1000</f>
        <v>#DIV/0!</v>
      </c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8"/>
      <c r="AA8" s="108"/>
      <c r="AB8" s="108"/>
      <c r="AC8" s="108"/>
      <c r="AD8" s="108"/>
      <c r="AE8" s="108"/>
    </row>
    <row r="9" customFormat="false" ht="15.75" hidden="false" customHeight="true" outlineLevel="0" collapsed="false">
      <c r="A9" s="86"/>
      <c r="B9" s="106" t="s">
        <v>3683</v>
      </c>
      <c r="C9" s="109" t="n">
        <f aca="false">C7/C6</f>
        <v>0.00845796691553056</v>
      </c>
      <c r="D9" s="109" t="n">
        <f aca="false">D7/D6</f>
        <v>0</v>
      </c>
      <c r="E9" s="109" t="n">
        <f aca="false">E7/E6</f>
        <v>0.00757846117444149</v>
      </c>
      <c r="F9" s="109" t="e">
        <f aca="false">F7/F6</f>
        <v>#DIV/0!</v>
      </c>
      <c r="G9" s="109" t="e">
        <f aca="false">G7/G6</f>
        <v>#DIV/0!</v>
      </c>
      <c r="H9" s="109" t="e">
        <f aca="false">H7/H6</f>
        <v>#DIV/0!</v>
      </c>
      <c r="I9" s="109" t="e">
        <f aca="false">I7/I6</f>
        <v>#DIV/0!</v>
      </c>
      <c r="J9" s="109" t="e">
        <f aca="false">J7/J6</f>
        <v>#DIV/0!</v>
      </c>
      <c r="K9" s="109" t="e">
        <f aca="false">K7/K6</f>
        <v>#DIV/0!</v>
      </c>
      <c r="L9" s="109" t="e">
        <f aca="false">L7/L6</f>
        <v>#DIV/0!</v>
      </c>
      <c r="M9" s="109" t="e">
        <f aca="false">M7/M6</f>
        <v>#DIV/0!</v>
      </c>
      <c r="N9" s="109" t="e">
        <f aca="false">N7/N6</f>
        <v>#DIV/0!</v>
      </c>
      <c r="O9" s="110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11"/>
      <c r="AD9" s="111"/>
      <c r="AE9" s="111"/>
    </row>
    <row r="10" customFormat="false" ht="15.75" hidden="false" customHeight="true" outlineLevel="0" collapsed="false">
      <c r="A10" s="86"/>
      <c r="B10" s="112" t="s">
        <v>3684</v>
      </c>
      <c r="C10" s="113" t="n">
        <f aca="false">C4/C7</f>
        <v>1.23855212968849</v>
      </c>
      <c r="D10" s="113" t="e">
        <f aca="false">D4/D7</f>
        <v>#DIV/0!</v>
      </c>
      <c r="E10" s="113" t="n">
        <f aca="false">E4/E7</f>
        <v>1.86476841697845</v>
      </c>
      <c r="F10" s="113" t="e">
        <f aca="false">F4/F7</f>
        <v>#DIV/0!</v>
      </c>
      <c r="G10" s="113" t="e">
        <f aca="false">G4/G7</f>
        <v>#DIV/0!</v>
      </c>
      <c r="H10" s="113" t="e">
        <f aca="false">H4/H7</f>
        <v>#DIV/0!</v>
      </c>
      <c r="I10" s="113" t="e">
        <f aca="false">I4/I7</f>
        <v>#DIV/0!</v>
      </c>
      <c r="J10" s="113" t="e">
        <f aca="false">J4/J7</f>
        <v>#DIV/0!</v>
      </c>
      <c r="K10" s="113" t="e">
        <f aca="false">K4/K7</f>
        <v>#DIV/0!</v>
      </c>
      <c r="L10" s="113" t="e">
        <f aca="false">L4/L7</f>
        <v>#DIV/0!</v>
      </c>
      <c r="M10" s="113" t="e">
        <f aca="false">M4/M7</f>
        <v>#DIV/0!</v>
      </c>
      <c r="N10" s="113" t="e">
        <f aca="false">N4/N7</f>
        <v>#DIV/0!</v>
      </c>
      <c r="O10" s="114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  <c r="AE10" s="101"/>
    </row>
    <row r="11" customFormat="false" ht="15.75" hidden="false" customHeight="true" outlineLevel="0" collapsed="false">
      <c r="A11" s="86"/>
      <c r="B11" s="102" t="s">
        <v>3685</v>
      </c>
      <c r="C11" s="103" t="n">
        <v>2350</v>
      </c>
      <c r="D11" s="104"/>
      <c r="E11" s="104" t="n">
        <v>3128</v>
      </c>
      <c r="F11" s="104"/>
      <c r="G11" s="104"/>
      <c r="H11" s="104"/>
      <c r="I11" s="104"/>
      <c r="J11" s="104"/>
      <c r="K11" s="104"/>
      <c r="L11" s="104"/>
      <c r="M11" s="104"/>
      <c r="N11" s="104"/>
      <c r="O11" s="105"/>
      <c r="P11" s="111"/>
      <c r="Q11" s="111"/>
      <c r="R11" s="111"/>
      <c r="S11" s="111"/>
      <c r="T11" s="111"/>
      <c r="U11" s="111"/>
      <c r="V11" s="111"/>
      <c r="W11" s="111"/>
      <c r="X11" s="111"/>
      <c r="Y11" s="111"/>
      <c r="Z11" s="111"/>
      <c r="AA11" s="111"/>
      <c r="AB11" s="111"/>
      <c r="AC11" s="111"/>
      <c r="AD11" s="111"/>
      <c r="AE11" s="111"/>
    </row>
    <row r="12" customFormat="false" ht="15.75" hidden="false" customHeight="true" outlineLevel="0" collapsed="false">
      <c r="A12" s="86"/>
      <c r="B12" s="112" t="s">
        <v>3686</v>
      </c>
      <c r="C12" s="113" t="n">
        <f aca="false">C4/C11</f>
        <v>3.31615744680851</v>
      </c>
      <c r="D12" s="113" t="e">
        <f aca="false">D4/D11</f>
        <v>#DIV/0!</v>
      </c>
      <c r="E12" s="113" t="n">
        <f aca="false">E4/E11</f>
        <v>4.62078644501279</v>
      </c>
      <c r="F12" s="113" t="e">
        <f aca="false">F4/F11</f>
        <v>#DIV/0!</v>
      </c>
      <c r="G12" s="113" t="e">
        <f aca="false">G4/G11</f>
        <v>#DIV/0!</v>
      </c>
      <c r="H12" s="113" t="e">
        <f aca="false">H4/H11</f>
        <v>#DIV/0!</v>
      </c>
      <c r="I12" s="113" t="e">
        <f aca="false">I4/I11</f>
        <v>#DIV/0!</v>
      </c>
      <c r="J12" s="113" t="e">
        <f aca="false">J4/J11</f>
        <v>#DIV/0!</v>
      </c>
      <c r="K12" s="113" t="e">
        <f aca="false">K4/K11</f>
        <v>#DIV/0!</v>
      </c>
      <c r="L12" s="113" t="e">
        <f aca="false">L4/L11</f>
        <v>#DIV/0!</v>
      </c>
      <c r="M12" s="113" t="e">
        <f aca="false">M4/M11</f>
        <v>#DIV/0!</v>
      </c>
      <c r="N12" s="113" t="e">
        <f aca="false">N4/N11</f>
        <v>#DIV/0!</v>
      </c>
      <c r="O12" s="115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</row>
    <row r="13" customFormat="false" ht="15.75" hidden="false" customHeight="true" outlineLevel="0" collapsed="false">
      <c r="A13" s="86"/>
      <c r="B13" s="117" t="s">
        <v>3687</v>
      </c>
      <c r="C13" s="103" t="n">
        <v>911</v>
      </c>
      <c r="D13" s="104"/>
      <c r="E13" s="104" t="n">
        <v>1470</v>
      </c>
      <c r="F13" s="104"/>
      <c r="G13" s="104"/>
      <c r="H13" s="104"/>
      <c r="I13" s="104"/>
      <c r="J13" s="104"/>
      <c r="K13" s="104"/>
      <c r="L13" s="104"/>
      <c r="M13" s="104"/>
      <c r="N13" s="104"/>
      <c r="O13" s="118"/>
      <c r="P13" s="111"/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111"/>
      <c r="AB13" s="111"/>
      <c r="AC13" s="111"/>
      <c r="AD13" s="111"/>
      <c r="AE13" s="111"/>
    </row>
    <row r="14" customFormat="false" ht="15.75" hidden="false" customHeight="true" outlineLevel="0" collapsed="false">
      <c r="A14" s="86"/>
      <c r="B14" s="112" t="s">
        <v>3688</v>
      </c>
      <c r="C14" s="113" t="n">
        <f aca="false">C4/C13</f>
        <v>8.55430296377607</v>
      </c>
      <c r="D14" s="113" t="e">
        <f aca="false">D4/D13</f>
        <v>#DIV/0!</v>
      </c>
      <c r="E14" s="113" t="n">
        <f aca="false">E4/E13</f>
        <v>9.8325306122449</v>
      </c>
      <c r="F14" s="113" t="e">
        <f aca="false">F4/F13</f>
        <v>#DIV/0!</v>
      </c>
      <c r="G14" s="113" t="e">
        <f aca="false">G4/G13</f>
        <v>#DIV/0!</v>
      </c>
      <c r="H14" s="113" t="e">
        <f aca="false">H4/H13</f>
        <v>#DIV/0!</v>
      </c>
      <c r="I14" s="113" t="e">
        <f aca="false">I4/I13</f>
        <v>#DIV/0!</v>
      </c>
      <c r="J14" s="113" t="e">
        <f aca="false">J4/J13</f>
        <v>#DIV/0!</v>
      </c>
      <c r="K14" s="113" t="e">
        <f aca="false">K4/K13</f>
        <v>#DIV/0!</v>
      </c>
      <c r="L14" s="113" t="e">
        <f aca="false">L4/L13</f>
        <v>#DIV/0!</v>
      </c>
      <c r="M14" s="113" t="e">
        <f aca="false">M4/M13</f>
        <v>#DIV/0!</v>
      </c>
      <c r="N14" s="113" t="e">
        <f aca="false">N4/N13</f>
        <v>#DIV/0!</v>
      </c>
      <c r="O14" s="114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</row>
    <row r="15" customFormat="false" ht="15.75" hidden="false" customHeight="true" outlineLevel="0" collapsed="false">
      <c r="A15" s="86"/>
      <c r="B15" s="106" t="s">
        <v>3689</v>
      </c>
      <c r="C15" s="109" t="n">
        <f aca="false">C13/C11</f>
        <v>0.387659574468085</v>
      </c>
      <c r="D15" s="109" t="e">
        <f aca="false">D13/D11</f>
        <v>#DIV/0!</v>
      </c>
      <c r="E15" s="109" t="n">
        <f aca="false">E13/E11</f>
        <v>0.469948849104859</v>
      </c>
      <c r="F15" s="109" t="e">
        <f aca="false">F13/F11</f>
        <v>#DIV/0!</v>
      </c>
      <c r="G15" s="109" t="e">
        <f aca="false">G13/G11</f>
        <v>#DIV/0!</v>
      </c>
      <c r="H15" s="109" t="e">
        <f aca="false">H13/H11</f>
        <v>#DIV/0!</v>
      </c>
      <c r="I15" s="109" t="e">
        <f aca="false">I13/I11</f>
        <v>#DIV/0!</v>
      </c>
      <c r="J15" s="109" t="e">
        <f aca="false">J13/J11</f>
        <v>#DIV/0!</v>
      </c>
      <c r="K15" s="109" t="e">
        <f aca="false">K13/K11</f>
        <v>#DIV/0!</v>
      </c>
      <c r="L15" s="109" t="e">
        <f aca="false">L13/L11</f>
        <v>#DIV/0!</v>
      </c>
      <c r="M15" s="109" t="e">
        <f aca="false">M13/M11</f>
        <v>#DIV/0!</v>
      </c>
      <c r="N15" s="109" t="e">
        <f aca="false">N13/N11</f>
        <v>#DIV/0!</v>
      </c>
      <c r="O15" s="110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</row>
    <row r="16" customFormat="false" ht="15.75" hidden="false" customHeight="true" outlineLevel="0" collapsed="false">
      <c r="A16" s="86"/>
      <c r="B16" s="117" t="s">
        <v>3690</v>
      </c>
      <c r="C16" s="103"/>
      <c r="D16" s="104"/>
      <c r="E16" s="104" t="n">
        <v>430</v>
      </c>
      <c r="F16" s="104"/>
      <c r="G16" s="104"/>
      <c r="H16" s="104"/>
      <c r="I16" s="104"/>
      <c r="J16" s="104"/>
      <c r="K16" s="104"/>
      <c r="L16" s="104"/>
      <c r="M16" s="104"/>
      <c r="N16" s="104"/>
      <c r="O16" s="118"/>
      <c r="P16" s="111"/>
      <c r="Q16" s="111"/>
      <c r="R16" s="111"/>
      <c r="S16" s="111"/>
      <c r="T16" s="111"/>
      <c r="U16" s="111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</row>
    <row r="17" customFormat="false" ht="15.75" hidden="false" customHeight="true" outlineLevel="0" collapsed="false">
      <c r="A17" s="86"/>
      <c r="B17" s="106" t="s">
        <v>3691</v>
      </c>
      <c r="C17" s="113" t="e">
        <f aca="false">C4/C16</f>
        <v>#DIV/0!</v>
      </c>
      <c r="D17" s="113" t="e">
        <f aca="false">D4/D16</f>
        <v>#DIV/0!</v>
      </c>
      <c r="E17" s="113" t="n">
        <f aca="false">E4/E16</f>
        <v>33.6135348837209</v>
      </c>
      <c r="F17" s="113" t="e">
        <f aca="false">F4/F16</f>
        <v>#DIV/0!</v>
      </c>
      <c r="G17" s="113" t="e">
        <f aca="false">G4/G16</f>
        <v>#DIV/0!</v>
      </c>
      <c r="H17" s="113" t="e">
        <f aca="false">H4/H16</f>
        <v>#DIV/0!</v>
      </c>
      <c r="I17" s="113" t="e">
        <f aca="false">I4/I16</f>
        <v>#DIV/0!</v>
      </c>
      <c r="J17" s="113" t="e">
        <f aca="false">J4/J16</f>
        <v>#DIV/0!</v>
      </c>
      <c r="K17" s="113" t="e">
        <f aca="false">K4/K16</f>
        <v>#DIV/0!</v>
      </c>
      <c r="L17" s="113" t="e">
        <f aca="false">L4/L16</f>
        <v>#DIV/0!</v>
      </c>
      <c r="M17" s="113" t="e">
        <f aca="false">M4/M16</f>
        <v>#DIV/0!</v>
      </c>
      <c r="N17" s="113" t="e">
        <f aca="false">N4/N16</f>
        <v>#DIV/0!</v>
      </c>
      <c r="O17" s="114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  <c r="AD17" s="108"/>
      <c r="AE17" s="108"/>
    </row>
    <row r="18" customFormat="false" ht="15.75" hidden="false" customHeight="true" outlineLevel="0" collapsed="false">
      <c r="A18" s="86"/>
      <c r="B18" s="106" t="s">
        <v>3692</v>
      </c>
      <c r="C18" s="109" t="n">
        <f aca="false">C16/C13</f>
        <v>0</v>
      </c>
      <c r="D18" s="109" t="e">
        <f aca="false">D16/D13</f>
        <v>#DIV/0!</v>
      </c>
      <c r="E18" s="109" t="n">
        <f aca="false">E16/E13</f>
        <v>0.292517006802721</v>
      </c>
      <c r="F18" s="109" t="e">
        <f aca="false">F16/F13</f>
        <v>#DIV/0!</v>
      </c>
      <c r="G18" s="109" t="e">
        <f aca="false">G16/G13</f>
        <v>#DIV/0!</v>
      </c>
      <c r="H18" s="109" t="e">
        <f aca="false">H16/H13</f>
        <v>#DIV/0!</v>
      </c>
      <c r="I18" s="109" t="e">
        <f aca="false">I16/I13</f>
        <v>#DIV/0!</v>
      </c>
      <c r="J18" s="109" t="e">
        <f aca="false">J16/J13</f>
        <v>#DIV/0!</v>
      </c>
      <c r="K18" s="109" t="e">
        <f aca="false">K16/K13</f>
        <v>#DIV/0!</v>
      </c>
      <c r="L18" s="109" t="e">
        <f aca="false">L16/L13</f>
        <v>#DIV/0!</v>
      </c>
      <c r="M18" s="109" t="e">
        <f aca="false">M16/M13</f>
        <v>#DIV/0!</v>
      </c>
      <c r="N18" s="109" t="e">
        <f aca="false">N16/N13</f>
        <v>#DIV/0!</v>
      </c>
      <c r="O18" s="110"/>
    </row>
    <row r="19" customFormat="false" ht="15.75" hidden="false" customHeight="true" outlineLevel="0" collapsed="false">
      <c r="A19" s="86"/>
      <c r="B19" s="119" t="s">
        <v>3693</v>
      </c>
      <c r="C19" s="98" t="n">
        <v>53000</v>
      </c>
      <c r="D19" s="98" t="n">
        <v>60842</v>
      </c>
      <c r="E19" s="99" t="n">
        <f aca="false">DRE!$E$8</f>
        <v>87059.5</v>
      </c>
      <c r="F19" s="99"/>
      <c r="G19" s="99"/>
      <c r="H19" s="99"/>
      <c r="I19" s="99"/>
      <c r="J19" s="99"/>
      <c r="K19" s="99"/>
      <c r="L19" s="99"/>
      <c r="M19" s="99"/>
      <c r="N19" s="99"/>
      <c r="O19" s="120"/>
    </row>
    <row r="20" customFormat="false" ht="15.75" hidden="false" customHeight="true" outlineLevel="0" collapsed="false">
      <c r="A20" s="86"/>
      <c r="B20" s="106" t="s">
        <v>3694</v>
      </c>
      <c r="C20" s="107" t="e">
        <f aca="false">C19/C16</f>
        <v>#DIV/0!</v>
      </c>
      <c r="D20" s="107" t="e">
        <f aca="false">D19/D16</f>
        <v>#DIV/0!</v>
      </c>
      <c r="E20" s="107" t="n">
        <f aca="false">E19/E16</f>
        <v>202.463953488372</v>
      </c>
      <c r="F20" s="107" t="e">
        <f aca="false">F19/F16</f>
        <v>#DIV/0!</v>
      </c>
      <c r="G20" s="107" t="e">
        <f aca="false">G19/G16</f>
        <v>#DIV/0!</v>
      </c>
      <c r="H20" s="107" t="e">
        <f aca="false">H19/H16</f>
        <v>#DIV/0!</v>
      </c>
      <c r="I20" s="107" t="e">
        <f aca="false">I19/I16</f>
        <v>#DIV/0!</v>
      </c>
      <c r="J20" s="107" t="e">
        <f aca="false">J19/J16</f>
        <v>#DIV/0!</v>
      </c>
      <c r="K20" s="107" t="e">
        <f aca="false">K19/K16</f>
        <v>#DIV/0!</v>
      </c>
      <c r="L20" s="107" t="e">
        <f aca="false">L19/L16</f>
        <v>#DIV/0!</v>
      </c>
      <c r="M20" s="107" t="e">
        <f aca="false">M19/M16</f>
        <v>#DIV/0!</v>
      </c>
      <c r="N20" s="107" t="e">
        <f aca="false">N19/N16</f>
        <v>#DIV/0!</v>
      </c>
      <c r="O20" s="121"/>
    </row>
    <row r="21" customFormat="false" ht="15.75" hidden="false" customHeight="true" outlineLevel="0" collapsed="false">
      <c r="A21" s="86"/>
      <c r="B21" s="106" t="s">
        <v>3695</v>
      </c>
      <c r="C21" s="122" t="n">
        <f aca="false">C19/C5</f>
        <v>6.80012881753458</v>
      </c>
      <c r="D21" s="122" t="n">
        <f aca="false">D19/D5</f>
        <v>7.14353645091563</v>
      </c>
      <c r="E21" s="122" t="n">
        <f aca="false">E19/E5</f>
        <v>7.21319394041831</v>
      </c>
      <c r="F21" s="122" t="e">
        <f aca="false">F19/F5</f>
        <v>#DIV/0!</v>
      </c>
      <c r="G21" s="122" t="e">
        <f aca="false">G19/G5</f>
        <v>#DIV/0!</v>
      </c>
      <c r="H21" s="122" t="e">
        <f aca="false">H19/H5</f>
        <v>#DIV/0!</v>
      </c>
      <c r="I21" s="122" t="e">
        <f aca="false">I19/I5</f>
        <v>#DIV/0!</v>
      </c>
      <c r="J21" s="122" t="e">
        <f aca="false">J19/J5</f>
        <v>#DIV/0!</v>
      </c>
      <c r="K21" s="122" t="e">
        <f aca="false">K19/K5</f>
        <v>#DIV/0!</v>
      </c>
      <c r="L21" s="122" t="e">
        <f aca="false">L19/L5</f>
        <v>#DIV/0!</v>
      </c>
      <c r="M21" s="122" t="e">
        <f aca="false">M19/M5</f>
        <v>#DIV/0!</v>
      </c>
      <c r="N21" s="122" t="e">
        <f aca="false">N19/N5</f>
        <v>#DIV/0!</v>
      </c>
      <c r="O21" s="121"/>
    </row>
    <row r="22" customFormat="false" ht="15.75" hidden="false" customHeight="true" outlineLevel="0" collapsed="false">
      <c r="A22" s="86"/>
      <c r="B22" s="119" t="s">
        <v>3696</v>
      </c>
      <c r="C22" s="123" t="n">
        <f aca="false">(C19-C33)/C19</f>
        <v>0.402160943396227</v>
      </c>
      <c r="D22" s="123" t="n">
        <f aca="false">(D19-D33)/D19</f>
        <v>0.424593537359061</v>
      </c>
      <c r="E22" s="123" t="n">
        <f aca="false">(E19-E33)/E19</f>
        <v>0.506913203039301</v>
      </c>
      <c r="F22" s="123" t="e">
        <f aca="false">(F19-F33)/F19</f>
        <v>#DIV/0!</v>
      </c>
      <c r="G22" s="123" t="e">
        <f aca="false">(G19-G33)/G19</f>
        <v>#DIV/0!</v>
      </c>
      <c r="H22" s="123" t="e">
        <f aca="false">(H19-H33)/H19</f>
        <v>#DIV/0!</v>
      </c>
      <c r="I22" s="123" t="e">
        <f aca="false">(I19-I33)/I19</f>
        <v>#DIV/0!</v>
      </c>
      <c r="J22" s="123" t="e">
        <f aca="false">(J19-J33)/J19</f>
        <v>#DIV/0!</v>
      </c>
      <c r="K22" s="123" t="e">
        <f aca="false">(K19-K33)/K19</f>
        <v>#DIV/0!</v>
      </c>
      <c r="L22" s="123" t="e">
        <f aca="false">(L19-L33)/L19</f>
        <v>#DIV/0!</v>
      </c>
      <c r="M22" s="123" t="e">
        <f aca="false">(M19-M33)/M19</f>
        <v>#DIV/0!</v>
      </c>
      <c r="N22" s="123" t="e">
        <f aca="false">(N19-N33)/N19</f>
        <v>#DIV/0!</v>
      </c>
      <c r="O22" s="120"/>
    </row>
    <row r="23" customFormat="false" ht="15.75" hidden="false" customHeight="true" outlineLevel="0" collapsed="false">
      <c r="A23" s="86"/>
      <c r="B23" s="106" t="s">
        <v>3697</v>
      </c>
      <c r="C23" s="107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1"/>
    </row>
    <row r="24" customFormat="false" ht="15.75" hidden="false" customHeight="true" outlineLevel="0" collapsed="false">
      <c r="A24" s="86"/>
      <c r="B24" s="119" t="s">
        <v>3698</v>
      </c>
      <c r="C24" s="125"/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0"/>
    </row>
    <row r="25" customFormat="false" ht="15.75" hidden="false" customHeight="true" outlineLevel="0" collapsed="false">
      <c r="A25" s="86"/>
      <c r="B25" s="127" t="s">
        <v>3699</v>
      </c>
      <c r="C25" s="128"/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30"/>
    </row>
    <row r="26" customFormat="false" ht="15" hidden="false" customHeight="false" outlineLevel="0" collapsed="false">
      <c r="A26" s="131" t="s">
        <v>3700</v>
      </c>
      <c r="B26" s="132" t="s">
        <v>3701</v>
      </c>
      <c r="C26" s="133"/>
      <c r="D26" s="133"/>
      <c r="E26" s="134" t="n">
        <f aca="false">E19-E28</f>
        <v>65507.5</v>
      </c>
      <c r="F26" s="135"/>
      <c r="G26" s="135"/>
      <c r="H26" s="135"/>
      <c r="I26" s="135"/>
      <c r="J26" s="135"/>
      <c r="K26" s="135"/>
      <c r="L26" s="135"/>
      <c r="M26" s="135"/>
      <c r="N26" s="135"/>
      <c r="O26" s="136"/>
    </row>
    <row r="27" customFormat="false" ht="15" hidden="false" customHeight="false" outlineLevel="0" collapsed="false">
      <c r="A27" s="131"/>
      <c r="B27" s="137" t="s">
        <v>3702</v>
      </c>
      <c r="C27" s="138" t="n">
        <f aca="false">C26/C19</f>
        <v>0</v>
      </c>
      <c r="D27" s="138" t="n">
        <f aca="false">D26/D19</f>
        <v>0</v>
      </c>
      <c r="E27" s="138" t="n">
        <f aca="false">E26/E19</f>
        <v>0.752445166811204</v>
      </c>
      <c r="F27" s="138" t="e">
        <f aca="false">F26/F19</f>
        <v>#DIV/0!</v>
      </c>
      <c r="G27" s="138" t="e">
        <f aca="false">G26/G19</f>
        <v>#DIV/0!</v>
      </c>
      <c r="H27" s="138" t="e">
        <f aca="false">H26/H19</f>
        <v>#DIV/0!</v>
      </c>
      <c r="I27" s="138" t="e">
        <f aca="false">I26/I19</f>
        <v>#DIV/0!</v>
      </c>
      <c r="J27" s="138" t="e">
        <f aca="false">J26/J19</f>
        <v>#DIV/0!</v>
      </c>
      <c r="K27" s="138" t="e">
        <f aca="false">K26/K19</f>
        <v>#DIV/0!</v>
      </c>
      <c r="L27" s="138" t="e">
        <f aca="false">L26/L19</f>
        <v>#DIV/0!</v>
      </c>
      <c r="M27" s="138" t="e">
        <f aca="false">M26/M19</f>
        <v>#DIV/0!</v>
      </c>
      <c r="N27" s="138" t="e">
        <f aca="false">N26/N19</f>
        <v>#DIV/0!</v>
      </c>
      <c r="O27" s="139"/>
    </row>
    <row r="28" customFormat="false" ht="15" hidden="false" customHeight="false" outlineLevel="0" collapsed="false">
      <c r="A28" s="131"/>
      <c r="B28" s="140" t="s">
        <v>3703</v>
      </c>
      <c r="C28" s="141"/>
      <c r="D28" s="141"/>
      <c r="E28" s="99" t="n">
        <v>21552</v>
      </c>
      <c r="F28" s="142"/>
      <c r="G28" s="142"/>
      <c r="H28" s="142"/>
      <c r="I28" s="142"/>
      <c r="J28" s="142"/>
      <c r="K28" s="142"/>
      <c r="L28" s="142"/>
      <c r="M28" s="142"/>
      <c r="N28" s="142"/>
      <c r="O28" s="143"/>
    </row>
    <row r="29" customFormat="false" ht="15" hidden="false" customHeight="false" outlineLevel="0" collapsed="false">
      <c r="A29" s="131"/>
      <c r="B29" s="137" t="s">
        <v>3704</v>
      </c>
      <c r="C29" s="138" t="n">
        <f aca="false">C28/C19</f>
        <v>0</v>
      </c>
      <c r="D29" s="138" t="n">
        <f aca="false">D28/D19</f>
        <v>0</v>
      </c>
      <c r="E29" s="138" t="n">
        <f aca="false">E28/E19</f>
        <v>0.247554833188796</v>
      </c>
      <c r="F29" s="138" t="e">
        <f aca="false">F28/F19</f>
        <v>#DIV/0!</v>
      </c>
      <c r="G29" s="138" t="e">
        <f aca="false">G28/G19</f>
        <v>#DIV/0!</v>
      </c>
      <c r="H29" s="138" t="e">
        <f aca="false">H28/H19</f>
        <v>#DIV/0!</v>
      </c>
      <c r="I29" s="138" t="e">
        <f aca="false">I28/I19</f>
        <v>#DIV/0!</v>
      </c>
      <c r="J29" s="138" t="e">
        <f aca="false">J28/J19</f>
        <v>#DIV/0!</v>
      </c>
      <c r="K29" s="138" t="e">
        <f aca="false">K28/K19</f>
        <v>#DIV/0!</v>
      </c>
      <c r="L29" s="138" t="e">
        <f aca="false">L28/L19</f>
        <v>#DIV/0!</v>
      </c>
      <c r="M29" s="138" t="e">
        <f aca="false">M28/M19</f>
        <v>#DIV/0!</v>
      </c>
      <c r="N29" s="138" t="e">
        <f aca="false">N28/N19</f>
        <v>#DIV/0!</v>
      </c>
      <c r="O29" s="139"/>
    </row>
    <row r="30" customFormat="false" ht="15" hidden="false" customHeight="false" outlineLevel="0" collapsed="false">
      <c r="A30" s="131"/>
      <c r="B30" s="144" t="s">
        <v>3705</v>
      </c>
      <c r="C30" s="145" t="n">
        <f aca="false">C31+C33</f>
        <v>35611.45</v>
      </c>
      <c r="D30" s="145" t="n">
        <f aca="false">D31+D33</f>
        <v>39596.04</v>
      </c>
      <c r="E30" s="94" t="n">
        <f aca="false">E31+E33</f>
        <v>47225.96</v>
      </c>
      <c r="F30" s="145" t="n">
        <f aca="false">F31+F33</f>
        <v>58748.18</v>
      </c>
      <c r="G30" s="145" t="n">
        <f aca="false">G31+G33</f>
        <v>0</v>
      </c>
      <c r="H30" s="145" t="n">
        <f aca="false">H31+H33</f>
        <v>0</v>
      </c>
      <c r="I30" s="145" t="n">
        <f aca="false">I31+I33</f>
        <v>0</v>
      </c>
      <c r="J30" s="145" t="n">
        <f aca="false">J31+J33</f>
        <v>0</v>
      </c>
      <c r="K30" s="145" t="n">
        <f aca="false">K31+K33</f>
        <v>0</v>
      </c>
      <c r="L30" s="145" t="n">
        <f aca="false">L31+L33</f>
        <v>0</v>
      </c>
      <c r="M30" s="145" t="n">
        <f aca="false">M31+M33</f>
        <v>0</v>
      </c>
      <c r="N30" s="145" t="n">
        <f aca="false">N31+N33</f>
        <v>0</v>
      </c>
      <c r="O30" s="139"/>
    </row>
    <row r="31" customFormat="false" ht="15" hidden="false" customHeight="false" outlineLevel="0" collapsed="false">
      <c r="A31" s="131"/>
      <c r="B31" s="140" t="s">
        <v>3706</v>
      </c>
      <c r="C31" s="141" t="n">
        <f aca="false">DRE!$C$33</f>
        <v>3925.98</v>
      </c>
      <c r="D31" s="141" t="n">
        <f aca="false">DRE!$D$33</f>
        <v>4587.16</v>
      </c>
      <c r="E31" s="99" t="n">
        <f aca="false">DRE!$E$33</f>
        <v>4298.07</v>
      </c>
      <c r="F31" s="146" t="n">
        <f aca="false">DRE!$F$33</f>
        <v>5481.86</v>
      </c>
      <c r="G31" s="146"/>
      <c r="H31" s="146"/>
      <c r="I31" s="146"/>
      <c r="J31" s="146"/>
      <c r="K31" s="146"/>
      <c r="L31" s="146"/>
      <c r="M31" s="146"/>
      <c r="N31" s="146"/>
      <c r="O31" s="143"/>
    </row>
    <row r="32" customFormat="false" ht="15" hidden="false" customHeight="false" outlineLevel="0" collapsed="false">
      <c r="A32" s="131"/>
      <c r="B32" s="137" t="s">
        <v>3707</v>
      </c>
      <c r="C32" s="147" t="n">
        <f aca="false">C31/C30</f>
        <v>0.110244879104895</v>
      </c>
      <c r="D32" s="147" t="n">
        <f aca="false">D31/D30</f>
        <v>0.115848958633237</v>
      </c>
      <c r="E32" s="148" t="n">
        <f aca="false">E31/E30</f>
        <v>0.0910107491727008</v>
      </c>
      <c r="F32" s="149"/>
      <c r="G32" s="149"/>
      <c r="H32" s="149"/>
      <c r="I32" s="149"/>
      <c r="J32" s="149"/>
      <c r="K32" s="149"/>
      <c r="L32" s="149"/>
      <c r="M32" s="149"/>
      <c r="N32" s="149"/>
      <c r="O32" s="139"/>
    </row>
    <row r="33" customFormat="false" ht="15" hidden="false" customHeight="false" outlineLevel="0" collapsed="false">
      <c r="A33" s="131"/>
      <c r="B33" s="140" t="s">
        <v>3708</v>
      </c>
      <c r="C33" s="99" t="n">
        <f aca="false">DRE!$C$34</f>
        <v>31685.47</v>
      </c>
      <c r="D33" s="99" t="n">
        <f aca="false">DRE!$D$34</f>
        <v>35008.88</v>
      </c>
      <c r="E33" s="99" t="n">
        <f aca="false">DRE!$E$34</f>
        <v>42927.89</v>
      </c>
      <c r="F33" s="99" t="n">
        <f aca="false">DRE!$F$34</f>
        <v>53266.32</v>
      </c>
      <c r="G33" s="99"/>
      <c r="H33" s="99"/>
      <c r="I33" s="99"/>
      <c r="J33" s="99"/>
      <c r="K33" s="99"/>
      <c r="L33" s="99"/>
      <c r="M33" s="99"/>
      <c r="N33" s="99"/>
      <c r="O33" s="143"/>
    </row>
    <row r="34" customFormat="false" ht="15" hidden="false" customHeight="false" outlineLevel="0" collapsed="false">
      <c r="A34" s="131"/>
      <c r="B34" s="137" t="s">
        <v>3709</v>
      </c>
      <c r="C34" s="150" t="n">
        <f aca="false">C33/C30</f>
        <v>0.889755120895105</v>
      </c>
      <c r="D34" s="150" t="n">
        <f aca="false">D33/D30</f>
        <v>0.884151041366763</v>
      </c>
      <c r="E34" s="138" t="n">
        <f aca="false">E33/E30</f>
        <v>0.908989250827299</v>
      </c>
      <c r="F34" s="150" t="n">
        <f aca="false">F33/F30</f>
        <v>0.906688854020669</v>
      </c>
      <c r="G34" s="150" t="e">
        <f aca="false">G33/G30</f>
        <v>#DIV/0!</v>
      </c>
      <c r="H34" s="150" t="e">
        <f aca="false">H33/H30</f>
        <v>#DIV/0!</v>
      </c>
      <c r="I34" s="150" t="e">
        <f aca="false">I33/I30</f>
        <v>#DIV/0!</v>
      </c>
      <c r="J34" s="150" t="e">
        <f aca="false">J33/J30</f>
        <v>#DIV/0!</v>
      </c>
      <c r="K34" s="150" t="e">
        <f aca="false">K33/K30</f>
        <v>#DIV/0!</v>
      </c>
      <c r="L34" s="150" t="e">
        <f aca="false">L33/L30</f>
        <v>#DIV/0!</v>
      </c>
      <c r="M34" s="150" t="e">
        <f aca="false">M33/M30</f>
        <v>#DIV/0!</v>
      </c>
      <c r="N34" s="150" t="e">
        <f aca="false">N33/N30</f>
        <v>#DIV/0!</v>
      </c>
      <c r="O34" s="139"/>
    </row>
    <row r="35" customFormat="false" ht="15" hidden="false" customHeight="false" outlineLevel="0" collapsed="false">
      <c r="A35" s="131"/>
      <c r="B35" s="137" t="s">
        <v>3710</v>
      </c>
      <c r="C35" s="151" t="n">
        <f aca="false">DRE!$C$46</f>
        <v>24475.06</v>
      </c>
      <c r="D35" s="151" t="n">
        <f aca="false">DRE!$D$46</f>
        <v>21559.96</v>
      </c>
      <c r="E35" s="151" t="n">
        <f aca="false">DRE!$E$46</f>
        <v>39833.54</v>
      </c>
      <c r="F35" s="151" t="n">
        <f aca="false">DRE!$F$46</f>
        <v>39935.82</v>
      </c>
      <c r="G35" s="151"/>
      <c r="H35" s="151"/>
      <c r="I35" s="151"/>
      <c r="J35" s="151"/>
      <c r="K35" s="151"/>
      <c r="L35" s="151"/>
      <c r="M35" s="151"/>
      <c r="N35" s="151"/>
      <c r="O35" s="139"/>
    </row>
    <row r="36" customFormat="false" ht="15" hidden="false" customHeight="false" outlineLevel="0" collapsed="false">
      <c r="A36" s="131"/>
      <c r="B36" s="137" t="s">
        <v>3711</v>
      </c>
      <c r="C36" s="147" t="n">
        <f aca="false">C35/C19</f>
        <v>0.46179358490566</v>
      </c>
      <c r="D36" s="147" t="n">
        <f aca="false">D35/D19</f>
        <v>0.354359817231518</v>
      </c>
      <c r="E36" s="148" t="n">
        <f aca="false">E35/E19</f>
        <v>0.457543863679438</v>
      </c>
      <c r="F36" s="147" t="e">
        <f aca="false">F35/F19</f>
        <v>#DIV/0!</v>
      </c>
      <c r="G36" s="147" t="e">
        <f aca="false">G35/G19</f>
        <v>#DIV/0!</v>
      </c>
      <c r="H36" s="147" t="e">
        <f aca="false">H35/H19</f>
        <v>#DIV/0!</v>
      </c>
      <c r="I36" s="147" t="e">
        <f aca="false">I35/I19</f>
        <v>#DIV/0!</v>
      </c>
      <c r="J36" s="147" t="e">
        <f aca="false">J35/J19</f>
        <v>#DIV/0!</v>
      </c>
      <c r="K36" s="147" t="e">
        <f aca="false">K35/K19</f>
        <v>#DIV/0!</v>
      </c>
      <c r="L36" s="147" t="e">
        <f aca="false">L35/L19</f>
        <v>#DIV/0!</v>
      </c>
      <c r="M36" s="147" t="e">
        <f aca="false">M35/M19</f>
        <v>#DIV/0!</v>
      </c>
      <c r="N36" s="147" t="e">
        <f aca="false">N35/N19</f>
        <v>#DIV/0!</v>
      </c>
      <c r="O36" s="139"/>
    </row>
    <row r="37" customFormat="false" ht="15" hidden="false" customHeight="false" outlineLevel="0" collapsed="false">
      <c r="A37" s="131"/>
      <c r="B37" s="137" t="s">
        <v>3712</v>
      </c>
      <c r="C37" s="152" t="n">
        <f aca="false">C39+C41</f>
        <v>14798.97</v>
      </c>
      <c r="D37" s="152" t="n">
        <f aca="false">D39+D41</f>
        <v>18805.28</v>
      </c>
      <c r="E37" s="151" t="n">
        <f aca="false">E39+E41</f>
        <v>23665.82</v>
      </c>
      <c r="F37" s="152" t="n">
        <f aca="false">F39+F41</f>
        <v>26678.59</v>
      </c>
      <c r="G37" s="152" t="n">
        <f aca="false">G39+G41</f>
        <v>0</v>
      </c>
      <c r="H37" s="152" t="n">
        <f aca="false">H39+H41</f>
        <v>0</v>
      </c>
      <c r="I37" s="152" t="n">
        <f aca="false">I39+I41</f>
        <v>0</v>
      </c>
      <c r="J37" s="152" t="n">
        <f aca="false">J39+J41</f>
        <v>0</v>
      </c>
      <c r="K37" s="152" t="n">
        <f aca="false">K39+K41</f>
        <v>0</v>
      </c>
      <c r="L37" s="152" t="n">
        <f aca="false">L39+L41</f>
        <v>0</v>
      </c>
      <c r="M37" s="152" t="n">
        <f aca="false">M39+M41</f>
        <v>0</v>
      </c>
      <c r="N37" s="152" t="n">
        <f aca="false">N39+N41</f>
        <v>0</v>
      </c>
      <c r="O37" s="139"/>
    </row>
    <row r="38" customFormat="false" ht="15" hidden="false" customHeight="false" outlineLevel="0" collapsed="false">
      <c r="A38" s="131"/>
      <c r="B38" s="137" t="s">
        <v>3713</v>
      </c>
      <c r="C38" s="147" t="n">
        <f aca="false">C37/C30</f>
        <v>0.415567745767162</v>
      </c>
      <c r="D38" s="147" t="n">
        <f aca="false">D37/D30</f>
        <v>0.474928300910899</v>
      </c>
      <c r="E38" s="147" t="n">
        <f aca="false">E37/E30</f>
        <v>0.501118876143545</v>
      </c>
      <c r="F38" s="147" t="n">
        <f aca="false">F37/F30</f>
        <v>0.454117727561943</v>
      </c>
      <c r="G38" s="147" t="e">
        <f aca="false">G37/G30</f>
        <v>#DIV/0!</v>
      </c>
      <c r="H38" s="147" t="e">
        <f aca="false">H37/H30</f>
        <v>#DIV/0!</v>
      </c>
      <c r="I38" s="147" t="e">
        <f aca="false">I37/I30</f>
        <v>#DIV/0!</v>
      </c>
      <c r="J38" s="147" t="e">
        <f aca="false">J37/J30</f>
        <v>#DIV/0!</v>
      </c>
      <c r="K38" s="147" t="e">
        <f aca="false">K37/K30</f>
        <v>#DIV/0!</v>
      </c>
      <c r="L38" s="147" t="e">
        <f aca="false">L37/L30</f>
        <v>#DIV/0!</v>
      </c>
      <c r="M38" s="147" t="e">
        <f aca="false">M37/M30</f>
        <v>#DIV/0!</v>
      </c>
      <c r="N38" s="147" t="e">
        <f aca="false">N37/N30</f>
        <v>#DIV/0!</v>
      </c>
      <c r="O38" s="139"/>
    </row>
    <row r="39" customFormat="false" ht="15" hidden="false" customHeight="false" outlineLevel="0" collapsed="false">
      <c r="A39" s="131"/>
      <c r="B39" s="144" t="s">
        <v>3714</v>
      </c>
      <c r="C39" s="145" t="n">
        <f aca="false">C4</f>
        <v>7792.97</v>
      </c>
      <c r="D39" s="145" t="n">
        <f aca="false">D4</f>
        <v>9224.78</v>
      </c>
      <c r="E39" s="94" t="n">
        <f aca="false">E4</f>
        <v>14453.82</v>
      </c>
      <c r="F39" s="94" t="n">
        <f aca="false">F4</f>
        <v>16742.04</v>
      </c>
      <c r="G39" s="94" t="n">
        <f aca="false">G4</f>
        <v>0</v>
      </c>
      <c r="H39" s="94" t="n">
        <f aca="false">H4</f>
        <v>0</v>
      </c>
      <c r="I39" s="94" t="n">
        <f aca="false">I4</f>
        <v>0</v>
      </c>
      <c r="J39" s="94" t="n">
        <f aca="false">J4</f>
        <v>0</v>
      </c>
      <c r="K39" s="94" t="n">
        <f aca="false">K4</f>
        <v>0</v>
      </c>
      <c r="L39" s="94" t="n">
        <f aca="false">L4</f>
        <v>0</v>
      </c>
      <c r="M39" s="94" t="n">
        <f aca="false">M4</f>
        <v>0</v>
      </c>
      <c r="N39" s="94" t="n">
        <f aca="false">N4</f>
        <v>0</v>
      </c>
      <c r="O39" s="153"/>
    </row>
    <row r="40" customFormat="false" ht="15" hidden="false" customHeight="false" outlineLevel="0" collapsed="false">
      <c r="A40" s="131"/>
      <c r="B40" s="137" t="s">
        <v>3715</v>
      </c>
      <c r="C40" s="147" t="n">
        <f aca="false">C39/C37</f>
        <v>0.526588674752365</v>
      </c>
      <c r="D40" s="147" t="n">
        <f aca="false">D39/D37</f>
        <v>0.490542017986438</v>
      </c>
      <c r="E40" s="147" t="n">
        <f aca="false">E39/E37</f>
        <v>0.610746637978316</v>
      </c>
      <c r="F40" s="147" t="n">
        <f aca="false">F39/F37</f>
        <v>0.627545908535646</v>
      </c>
      <c r="G40" s="147" t="e">
        <f aca="false">G39/G37</f>
        <v>#DIV/0!</v>
      </c>
      <c r="H40" s="147" t="e">
        <f aca="false">H39/H37</f>
        <v>#DIV/0!</v>
      </c>
      <c r="I40" s="147" t="e">
        <f aca="false">I39/I37</f>
        <v>#DIV/0!</v>
      </c>
      <c r="J40" s="147" t="e">
        <f aca="false">J39/J37</f>
        <v>#DIV/0!</v>
      </c>
      <c r="K40" s="147" t="e">
        <f aca="false">K39/K37</f>
        <v>#DIV/0!</v>
      </c>
      <c r="L40" s="147" t="e">
        <f aca="false">L39/L37</f>
        <v>#DIV/0!</v>
      </c>
      <c r="M40" s="147" t="e">
        <f aca="false">M39/M37</f>
        <v>#DIV/0!</v>
      </c>
      <c r="N40" s="147" t="e">
        <f aca="false">N39/N37</f>
        <v>#DIV/0!</v>
      </c>
      <c r="O40" s="139"/>
    </row>
    <row r="41" customFormat="false" ht="15" hidden="false" customHeight="false" outlineLevel="0" collapsed="false">
      <c r="A41" s="131"/>
      <c r="B41" s="144" t="s">
        <v>3716</v>
      </c>
      <c r="C41" s="145" t="n">
        <f aca="false">(SUMIFS(Tabela1[VALOR],Tabela1[MÊS],"1",Tabela1[SUBCATEGORIA],"Salário AT"))+(SUMIFS(Tabela1[VALOR],Tabela1[MÊS],"1",Tabela1[SUBCATEGORIA],"Comisión AT"))</f>
        <v>7006</v>
      </c>
      <c r="D41" s="145" t="n">
        <f aca="false">(SUMIFS(Tabela1[VALOR],Tabela1[MÊS],"2",Tabela1[SUBCATEGORIA],"Salário AT"))+(SUMIFS(Tabela1[VALOR],Tabela1[MÊS],"2",Tabela1[SUBCATEGORIA],"Comisión AT"))</f>
        <v>9580.5</v>
      </c>
      <c r="E41" s="94" t="n">
        <f aca="false">(SUMIFS(Tabela1[VALOR],Tabela1[MÊS],"3",Tabela1[SUBCATEGORIA],"Salário AT"))+(SUMIFS(Tabela1[VALOR],Tabela1[MÊS],"3",Tabela1[SUBCATEGORIA],"Comisión AT"))</f>
        <v>9212</v>
      </c>
      <c r="F41" s="154" t="n">
        <f aca="false">(SUMIFS(Tabela1[VALOR],Tabela1[MÊS],"4",Tabela1[SUBCATEGORIA],"Salário AT"))+(SUMIFS(Tabela1[VALOR],Tabela1[MÊS],"4",Tabela1[SUBCATEGORIA],"Comisión AT"))</f>
        <v>9936.55</v>
      </c>
      <c r="G41" s="154" t="n">
        <f aca="false">(SUMIFS(Tabela1[VALOR],Tabela1[MÊS],"5",Tabela1[SUBCATEGORIA],"Salário AT"))+(SUMIFS(Tabela1[VALOR],Tabela1[MÊS],"5",Tabela1[SUBCATEGORIA],"Comisión AT"))</f>
        <v>0</v>
      </c>
      <c r="H41" s="155"/>
      <c r="I41" s="155"/>
      <c r="J41" s="155"/>
      <c r="K41" s="155"/>
      <c r="L41" s="155"/>
      <c r="M41" s="155"/>
      <c r="N41" s="155"/>
      <c r="O41" s="153"/>
    </row>
    <row r="42" customFormat="false" ht="15" hidden="false" customHeight="false" outlineLevel="0" collapsed="false">
      <c r="A42" s="131"/>
      <c r="B42" s="137" t="s">
        <v>3717</v>
      </c>
      <c r="C42" s="156" t="n">
        <f aca="false">C41/C37</f>
        <v>0.473411325247636</v>
      </c>
      <c r="D42" s="156" t="n">
        <f aca="false">D41/D37</f>
        <v>0.509457982013562</v>
      </c>
      <c r="E42" s="156" t="n">
        <f aca="false">E41/E37</f>
        <v>0.389253362021684</v>
      </c>
      <c r="F42" s="156" t="n">
        <f aca="false">F41/F37</f>
        <v>0.372454091464354</v>
      </c>
      <c r="G42" s="156" t="e">
        <f aca="false">G41/G37</f>
        <v>#DIV/0!</v>
      </c>
      <c r="H42" s="156" t="e">
        <f aca="false">H41/H37</f>
        <v>#DIV/0!</v>
      </c>
      <c r="I42" s="156" t="e">
        <f aca="false">I41/I37</f>
        <v>#DIV/0!</v>
      </c>
      <c r="J42" s="156" t="e">
        <f aca="false">J41/J37</f>
        <v>#DIV/0!</v>
      </c>
      <c r="K42" s="156" t="e">
        <f aca="false">K41/K37</f>
        <v>#DIV/0!</v>
      </c>
      <c r="L42" s="156" t="e">
        <f aca="false">L41/L37</f>
        <v>#DIV/0!</v>
      </c>
      <c r="M42" s="156" t="e">
        <f aca="false">M41/M37</f>
        <v>#DIV/0!</v>
      </c>
      <c r="N42" s="156" t="e">
        <f aca="false">N41/N37</f>
        <v>#DIV/0!</v>
      </c>
    </row>
    <row r="43" customFormat="false" ht="15" hidden="false" customHeight="false" outlineLevel="0" collapsed="false">
      <c r="A43" s="131"/>
      <c r="B43" s="140" t="s">
        <v>3718</v>
      </c>
      <c r="C43" s="157" t="n">
        <f aca="false">C16</f>
        <v>0</v>
      </c>
      <c r="D43" s="157" t="n">
        <f aca="false">D16</f>
        <v>0</v>
      </c>
      <c r="E43" s="157" t="n">
        <f aca="false">E16</f>
        <v>430</v>
      </c>
      <c r="F43" s="142"/>
      <c r="G43" s="142"/>
      <c r="H43" s="142"/>
      <c r="I43" s="142"/>
      <c r="J43" s="142"/>
      <c r="K43" s="142"/>
      <c r="L43" s="142"/>
      <c r="M43" s="142"/>
      <c r="N43" s="142"/>
      <c r="O43" s="143"/>
    </row>
    <row r="44" customFormat="false" ht="15" hidden="false" customHeight="false" outlineLevel="0" collapsed="false">
      <c r="A44" s="131"/>
      <c r="B44" s="140" t="s">
        <v>3690</v>
      </c>
      <c r="C44" s="158"/>
      <c r="D44" s="159"/>
      <c r="E44" s="126"/>
      <c r="F44" s="142"/>
      <c r="G44" s="142"/>
      <c r="H44" s="142"/>
      <c r="I44" s="142"/>
      <c r="J44" s="142"/>
      <c r="K44" s="142"/>
      <c r="L44" s="142"/>
      <c r="M44" s="142"/>
      <c r="N44" s="142"/>
      <c r="O44" s="143"/>
    </row>
    <row r="45" customFormat="false" ht="15" hidden="false" customHeight="false" outlineLevel="0" collapsed="false">
      <c r="A45" s="131"/>
      <c r="B45" s="140" t="s">
        <v>3719</v>
      </c>
      <c r="C45" s="158"/>
      <c r="D45" s="159"/>
      <c r="E45" s="126"/>
      <c r="F45" s="142"/>
      <c r="G45" s="142"/>
      <c r="H45" s="142"/>
      <c r="I45" s="142"/>
      <c r="J45" s="142"/>
      <c r="K45" s="142"/>
      <c r="L45" s="142"/>
      <c r="M45" s="142"/>
      <c r="N45" s="142"/>
      <c r="O45" s="143"/>
    </row>
    <row r="46" customFormat="false" ht="15" hidden="false" customHeight="false" outlineLevel="0" collapsed="false">
      <c r="A46" s="131"/>
      <c r="B46" s="137" t="s">
        <v>3720</v>
      </c>
      <c r="C46" s="160"/>
      <c r="D46" s="152"/>
      <c r="E46" s="124"/>
      <c r="F46" s="149"/>
      <c r="G46" s="149"/>
      <c r="H46" s="149"/>
      <c r="I46" s="149"/>
      <c r="J46" s="149"/>
      <c r="K46" s="149"/>
      <c r="L46" s="149"/>
      <c r="M46" s="149"/>
      <c r="N46" s="149"/>
      <c r="O46" s="139"/>
    </row>
    <row r="47" customFormat="false" ht="15" hidden="false" customHeight="false" outlineLevel="0" collapsed="false">
      <c r="A47" s="131"/>
      <c r="B47" s="137" t="s">
        <v>3721</v>
      </c>
      <c r="C47" s="160"/>
      <c r="D47" s="161"/>
      <c r="E47" s="124"/>
      <c r="F47" s="149"/>
      <c r="G47" s="149"/>
      <c r="H47" s="149"/>
      <c r="I47" s="149"/>
      <c r="J47" s="149"/>
      <c r="K47" s="149"/>
      <c r="L47" s="149"/>
      <c r="M47" s="149"/>
      <c r="N47" s="149"/>
      <c r="O47" s="139"/>
    </row>
    <row r="48" customFormat="false" ht="15" hidden="false" customHeight="false" outlineLevel="0" collapsed="false">
      <c r="A48" s="131"/>
      <c r="B48" s="137" t="s">
        <v>3722</v>
      </c>
      <c r="C48" s="160"/>
      <c r="D48" s="152"/>
      <c r="E48" s="124"/>
      <c r="F48" s="149"/>
      <c r="G48" s="149"/>
      <c r="H48" s="149"/>
      <c r="I48" s="149"/>
      <c r="J48" s="149"/>
      <c r="K48" s="149"/>
      <c r="L48" s="149"/>
      <c r="M48" s="149"/>
      <c r="N48" s="149"/>
      <c r="O48" s="139"/>
    </row>
    <row r="49" customFormat="false" ht="15" hidden="false" customHeight="false" outlineLevel="0" collapsed="false">
      <c r="B49" s="162" t="s">
        <v>3723</v>
      </c>
      <c r="C49" s="163"/>
      <c r="D49" s="163"/>
      <c r="E49" s="164"/>
      <c r="F49" s="165"/>
      <c r="G49" s="165"/>
      <c r="H49" s="165"/>
      <c r="I49" s="165"/>
      <c r="J49" s="165"/>
      <c r="K49" s="165"/>
      <c r="L49" s="165"/>
      <c r="M49" s="165"/>
      <c r="N49" s="165"/>
      <c r="O49" s="166"/>
    </row>
    <row r="56" customFormat="false" ht="15" hidden="false" customHeight="false" outlineLevel="0" collapsed="false">
      <c r="C56" s="167" t="s">
        <v>3724</v>
      </c>
      <c r="D56" s="168" t="n">
        <v>100000</v>
      </c>
    </row>
    <row r="58" customFormat="false" ht="15" hidden="false" customHeight="false" outlineLevel="0" collapsed="false">
      <c r="B58" s="169" t="s">
        <v>3725</v>
      </c>
      <c r="C58" s="170" t="s">
        <v>3726</v>
      </c>
      <c r="D58" s="170" t="s">
        <v>3727</v>
      </c>
      <c r="E58" s="171" t="s">
        <v>3677</v>
      </c>
    </row>
    <row r="59" customFormat="false" ht="15" hidden="false" customHeight="false" outlineLevel="0" collapsed="false">
      <c r="B59" s="172" t="s">
        <v>355</v>
      </c>
      <c r="C59" s="173" t="n">
        <v>1900</v>
      </c>
      <c r="D59" s="173" t="n">
        <f aca="false">5%*D56/3</f>
        <v>1666.66666666667</v>
      </c>
      <c r="E59" s="173" t="n">
        <f aca="false">C59+D59</f>
        <v>3566.66666666667</v>
      </c>
    </row>
    <row r="60" customFormat="false" ht="15" hidden="false" customHeight="false" outlineLevel="0" collapsed="false">
      <c r="B60" s="174" t="s">
        <v>50</v>
      </c>
      <c r="C60" s="175" t="n">
        <v>1900</v>
      </c>
      <c r="D60" s="175" t="n">
        <f aca="false">5%*D56/3</f>
        <v>1666.66666666667</v>
      </c>
      <c r="E60" s="175" t="n">
        <f aca="false">C60+D60</f>
        <v>3566.66666666667</v>
      </c>
    </row>
    <row r="61" customFormat="false" ht="15" hidden="false" customHeight="false" outlineLevel="0" collapsed="false">
      <c r="B61" s="174" t="s">
        <v>34</v>
      </c>
      <c r="C61" s="175" t="n">
        <v>1900</v>
      </c>
      <c r="D61" s="175" t="n">
        <f aca="false">5%*D56/3</f>
        <v>1666.66666666667</v>
      </c>
      <c r="E61" s="175" t="n">
        <f aca="false">C61+D61</f>
        <v>3566.66666666667</v>
      </c>
    </row>
    <row r="62" customFormat="false" ht="15" hidden="false" customHeight="false" outlineLevel="0" collapsed="false">
      <c r="B62" s="176" t="s">
        <v>3728</v>
      </c>
      <c r="C62" s="177" t="n">
        <v>1900</v>
      </c>
      <c r="D62" s="177" t="n">
        <f aca="false">2%*D56/2</f>
        <v>1000</v>
      </c>
      <c r="E62" s="177" t="n">
        <f aca="false">C62+D62</f>
        <v>2900</v>
      </c>
    </row>
    <row r="63" customFormat="false" ht="15" hidden="false" customHeight="false" outlineLevel="0" collapsed="false">
      <c r="B63" s="174" t="s">
        <v>3729</v>
      </c>
      <c r="C63" s="175" t="n">
        <v>1900</v>
      </c>
      <c r="D63" s="175" t="n">
        <f aca="false">1%*D56/2</f>
        <v>500</v>
      </c>
      <c r="E63" s="175" t="n">
        <f aca="false">C63+D63</f>
        <v>2400</v>
      </c>
    </row>
    <row r="64" customFormat="false" ht="15" hidden="false" customHeight="false" outlineLevel="0" collapsed="false">
      <c r="B64" s="174" t="s">
        <v>3730</v>
      </c>
      <c r="C64" s="175" t="n">
        <v>1900</v>
      </c>
      <c r="D64" s="175" t="n">
        <f aca="false">D56*2%</f>
        <v>2000</v>
      </c>
      <c r="E64" s="175" t="n">
        <f aca="false">C64+D64</f>
        <v>3900</v>
      </c>
    </row>
    <row r="65" customFormat="false" ht="15" hidden="false" customHeight="false" outlineLevel="0" collapsed="false">
      <c r="B65" s="178" t="s">
        <v>3677</v>
      </c>
      <c r="C65" s="179" t="n">
        <f aca="false">C59+C60+C61+C62+C63+C64</f>
        <v>11400</v>
      </c>
      <c r="D65" s="179" t="n">
        <f aca="false">D59+D60+D61+D62+D63+D64</f>
        <v>8500</v>
      </c>
      <c r="E65" s="180" t="n">
        <f aca="false">E59+E60+E61+E62+E63+E64</f>
        <v>19900</v>
      </c>
    </row>
    <row r="68" customFormat="false" ht="26.85" hidden="false" customHeight="false" outlineLevel="0" collapsed="false">
      <c r="B68" s="181" t="s">
        <v>3731</v>
      </c>
      <c r="C68" s="181" t="s">
        <v>2</v>
      </c>
      <c r="D68" s="181" t="s">
        <v>3732</v>
      </c>
      <c r="E68" s="181" t="s">
        <v>3733</v>
      </c>
      <c r="F68" s="181" t="s">
        <v>3734</v>
      </c>
      <c r="G68" s="181" t="s">
        <v>3735</v>
      </c>
      <c r="H68" s="181" t="s">
        <v>3736</v>
      </c>
      <c r="I68" s="182" t="s">
        <v>3737</v>
      </c>
      <c r="J68" s="182" t="s">
        <v>3738</v>
      </c>
      <c r="K68" s="182" t="s">
        <v>3739</v>
      </c>
      <c r="L68" s="182" t="s">
        <v>3710</v>
      </c>
      <c r="M68" s="182" t="s">
        <v>3740</v>
      </c>
      <c r="N68" s="182" t="s">
        <v>3741</v>
      </c>
      <c r="O68" s="182" t="s">
        <v>3697</v>
      </c>
    </row>
    <row r="69" customFormat="false" ht="15" hidden="false" customHeight="false" outlineLevel="0" collapsed="false">
      <c r="B69" s="183" t="s">
        <v>32</v>
      </c>
      <c r="C69" s="184" t="n">
        <v>120</v>
      </c>
      <c r="D69" s="184" t="n">
        <f aca="false">C69*10%</f>
        <v>12</v>
      </c>
      <c r="E69" s="184" t="n">
        <f aca="false">(C69-50)*5%</f>
        <v>3.5</v>
      </c>
      <c r="F69" s="184" t="n">
        <f aca="false">(C69-50)*2%</f>
        <v>1.4</v>
      </c>
      <c r="G69" s="184" t="n">
        <v>50</v>
      </c>
      <c r="H69" s="184" t="n">
        <f aca="false">6%*C69</f>
        <v>7.2</v>
      </c>
      <c r="I69" s="184" t="n">
        <f aca="false">D69+E69+F69+G69+H69</f>
        <v>74.1</v>
      </c>
      <c r="J69" s="184" t="n">
        <f aca="false">30%*C69</f>
        <v>36</v>
      </c>
      <c r="K69" s="184" t="n">
        <f aca="false">I69+J69</f>
        <v>110.1</v>
      </c>
      <c r="L69" s="184" t="n">
        <f aca="false">C69-K69</f>
        <v>9.89999999999999</v>
      </c>
      <c r="M69" s="185" t="n">
        <f aca="false">I69/C69</f>
        <v>0.6175</v>
      </c>
      <c r="N69" s="185" t="n">
        <f aca="false">L69/C69</f>
        <v>0.0824999999999999</v>
      </c>
      <c r="O69" s="186" t="n">
        <f aca="false">L69/K69</f>
        <v>0.0899182561307901</v>
      </c>
    </row>
    <row r="70" customFormat="false" ht="15" hidden="false" customHeight="false" outlineLevel="0" collapsed="false">
      <c r="B70" s="183" t="s">
        <v>474</v>
      </c>
      <c r="C70" s="187" t="n">
        <v>50</v>
      </c>
      <c r="D70" s="187"/>
      <c r="E70" s="187"/>
      <c r="F70" s="187"/>
      <c r="G70" s="187"/>
      <c r="H70" s="187"/>
      <c r="I70" s="187"/>
      <c r="J70" s="187"/>
      <c r="K70" s="187"/>
      <c r="L70" s="187"/>
      <c r="M70" s="187"/>
      <c r="N70" s="187"/>
      <c r="O70" s="186" t="e">
        <f aca="false">L70/K70</f>
        <v>#DIV/0!</v>
      </c>
    </row>
    <row r="71" customFormat="false" ht="15" hidden="false" customHeight="false" outlineLevel="0" collapsed="false">
      <c r="B71" s="183" t="s">
        <v>30</v>
      </c>
      <c r="C71" s="187" t="n">
        <v>120</v>
      </c>
      <c r="D71" s="184" t="n">
        <f aca="false">C71*10%</f>
        <v>12</v>
      </c>
      <c r="E71" s="184" t="n">
        <f aca="false">(C71-30)*5%</f>
        <v>4.5</v>
      </c>
      <c r="F71" s="184" t="n">
        <f aca="false">(C71-30)*2%</f>
        <v>1.8</v>
      </c>
      <c r="G71" s="184" t="n">
        <v>30</v>
      </c>
      <c r="H71" s="184" t="n">
        <f aca="false">6%*C71</f>
        <v>7.2</v>
      </c>
      <c r="I71" s="184" t="n">
        <f aca="false">D71+E71+F71+G71+H71</f>
        <v>55.5</v>
      </c>
      <c r="J71" s="184" t="n">
        <f aca="false">30%*C71</f>
        <v>36</v>
      </c>
      <c r="K71" s="184" t="n">
        <f aca="false">I71+J71</f>
        <v>91.5</v>
      </c>
      <c r="L71" s="184" t="n">
        <f aca="false">C71-K71</f>
        <v>28.5</v>
      </c>
      <c r="M71" s="185" t="n">
        <f aca="false">I71/C71</f>
        <v>0.4625</v>
      </c>
      <c r="N71" s="185" t="n">
        <f aca="false">L71/C71</f>
        <v>0.2375</v>
      </c>
      <c r="O71" s="186" t="n">
        <f aca="false">L71/K71</f>
        <v>0.311475409836066</v>
      </c>
    </row>
    <row r="72" customFormat="false" ht="15" hidden="false" customHeight="false" outlineLevel="0" collapsed="false">
      <c r="B72" s="183" t="s">
        <v>706</v>
      </c>
      <c r="C72" s="187" t="n">
        <v>147</v>
      </c>
      <c r="D72" s="184" t="n">
        <f aca="false">C72*10%</f>
        <v>14.7</v>
      </c>
      <c r="E72" s="184" t="n">
        <f aca="false">C72*5%</f>
        <v>7.35</v>
      </c>
      <c r="F72" s="184" t="n">
        <f aca="false">C72*2%</f>
        <v>2.94</v>
      </c>
      <c r="G72" s="184" t="n">
        <v>31</v>
      </c>
      <c r="H72" s="184" t="n">
        <f aca="false">6%*C72</f>
        <v>8.82</v>
      </c>
      <c r="I72" s="184" t="n">
        <f aca="false">D72+E72+F72+G72+H72</f>
        <v>64.81</v>
      </c>
      <c r="J72" s="184" t="n">
        <f aca="false">30%*C72</f>
        <v>44.1</v>
      </c>
      <c r="K72" s="184" t="n">
        <f aca="false">I72+J72</f>
        <v>108.91</v>
      </c>
      <c r="L72" s="184" t="n">
        <f aca="false">C72-K72</f>
        <v>38.09</v>
      </c>
      <c r="M72" s="185" t="n">
        <f aca="false">I72/C72</f>
        <v>0.440884353741497</v>
      </c>
      <c r="N72" s="185" t="n">
        <f aca="false">L72/C72</f>
        <v>0.259115646258503</v>
      </c>
      <c r="O72" s="186" t="n">
        <f aca="false">L72/K72</f>
        <v>0.349738316040768</v>
      </c>
    </row>
    <row r="73" customFormat="false" ht="15" hidden="false" customHeight="false" outlineLevel="0" collapsed="false">
      <c r="B73" s="183" t="s">
        <v>20</v>
      </c>
      <c r="C73" s="187" t="n">
        <v>97</v>
      </c>
      <c r="D73" s="184" t="n">
        <f aca="false">C73*10%</f>
        <v>9.7</v>
      </c>
      <c r="E73" s="184" t="n">
        <f aca="false">C73*5%</f>
        <v>4.85</v>
      </c>
      <c r="F73" s="184" t="n">
        <f aca="false">C73*2%</f>
        <v>1.94</v>
      </c>
      <c r="G73" s="184" t="n">
        <v>0</v>
      </c>
      <c r="H73" s="184" t="n">
        <f aca="false">6%*C73</f>
        <v>5.82</v>
      </c>
      <c r="I73" s="184" t="n">
        <f aca="false">D73+E73+F73+G73+H73</f>
        <v>22.31</v>
      </c>
      <c r="J73" s="184" t="n">
        <f aca="false">30%*C73</f>
        <v>29.1</v>
      </c>
      <c r="K73" s="184" t="n">
        <f aca="false">I73+J73</f>
        <v>51.41</v>
      </c>
      <c r="L73" s="184" t="n">
        <f aca="false">C73-K73</f>
        <v>45.59</v>
      </c>
      <c r="M73" s="185" t="n">
        <f aca="false">I73/C73</f>
        <v>0.23</v>
      </c>
      <c r="N73" s="185" t="n">
        <f aca="false">L73/C73</f>
        <v>0.47</v>
      </c>
      <c r="O73" s="186" t="n">
        <f aca="false">L73/K73</f>
        <v>0.886792452830189</v>
      </c>
    </row>
    <row r="74" customFormat="false" ht="15" hidden="false" customHeight="false" outlineLevel="0" collapsed="false">
      <c r="B74" s="183" t="s">
        <v>29</v>
      </c>
      <c r="C74" s="187" t="n">
        <v>150</v>
      </c>
      <c r="D74" s="184" t="n">
        <f aca="false">C74*10%</f>
        <v>15</v>
      </c>
      <c r="E74" s="184" t="n">
        <f aca="false">C74*5%</f>
        <v>7.5</v>
      </c>
      <c r="F74" s="184" t="n">
        <f aca="false">C74*2%</f>
        <v>3</v>
      </c>
      <c r="G74" s="184" t="n">
        <v>0</v>
      </c>
      <c r="H74" s="184" t="n">
        <f aca="false">6%*C74</f>
        <v>9</v>
      </c>
      <c r="I74" s="184" t="n">
        <f aca="false">D74+E74+F74+G74+H74</f>
        <v>34.5</v>
      </c>
      <c r="J74" s="184" t="n">
        <f aca="false">30%*C74</f>
        <v>45</v>
      </c>
      <c r="K74" s="184" t="n">
        <f aca="false">I74+J74</f>
        <v>79.5</v>
      </c>
      <c r="L74" s="184" t="n">
        <f aca="false">C74-K74</f>
        <v>70.5</v>
      </c>
      <c r="M74" s="185" t="n">
        <f aca="false">I74/C74</f>
        <v>0.23</v>
      </c>
      <c r="N74" s="185" t="n">
        <f aca="false">L74/C74</f>
        <v>0.47</v>
      </c>
      <c r="O74" s="186" t="n">
        <f aca="false">L74/K74</f>
        <v>0.886792452830189</v>
      </c>
    </row>
    <row r="75" customFormat="false" ht="15" hidden="false" customHeight="false" outlineLevel="0" collapsed="false">
      <c r="B75" s="183" t="s">
        <v>23</v>
      </c>
      <c r="C75" s="187" t="n">
        <v>120</v>
      </c>
      <c r="D75" s="184" t="n">
        <f aca="false">C75*10%</f>
        <v>12</v>
      </c>
      <c r="E75" s="184" t="n">
        <f aca="false">C75*5%</f>
        <v>6</v>
      </c>
      <c r="F75" s="184" t="n">
        <f aca="false">C75*2%</f>
        <v>2.4</v>
      </c>
      <c r="G75" s="184" t="n">
        <v>0</v>
      </c>
      <c r="H75" s="184" t="n">
        <f aca="false">6%*C75</f>
        <v>7.2</v>
      </c>
      <c r="I75" s="184" t="n">
        <f aca="false">D75+E75+F75+G75+H75</f>
        <v>27.6</v>
      </c>
      <c r="J75" s="184" t="n">
        <f aca="false">30%*C75</f>
        <v>36</v>
      </c>
      <c r="K75" s="184" t="n">
        <f aca="false">I75+J75</f>
        <v>63.6</v>
      </c>
      <c r="L75" s="184" t="n">
        <f aca="false">C75-K75</f>
        <v>56.4</v>
      </c>
      <c r="M75" s="185" t="n">
        <f aca="false">I75/C75</f>
        <v>0.23</v>
      </c>
      <c r="N75" s="185" t="n">
        <f aca="false">L75/C75</f>
        <v>0.47</v>
      </c>
      <c r="O75" s="186" t="n">
        <f aca="false">L75/K75</f>
        <v>0.886792452830189</v>
      </c>
    </row>
    <row r="76" customFormat="false" ht="15" hidden="false" customHeight="false" outlineLevel="0" collapsed="false">
      <c r="B76" s="183" t="s">
        <v>1699</v>
      </c>
      <c r="C76" s="187" t="n">
        <v>0</v>
      </c>
      <c r="D76" s="184" t="n">
        <f aca="false">C76*10%</f>
        <v>0</v>
      </c>
      <c r="E76" s="184" t="n">
        <f aca="false">C76*5%</f>
        <v>0</v>
      </c>
      <c r="F76" s="184" t="n">
        <f aca="false">C76*2%</f>
        <v>0</v>
      </c>
      <c r="G76" s="184" t="n">
        <v>0</v>
      </c>
      <c r="H76" s="184" t="n">
        <f aca="false">6%*C76</f>
        <v>0</v>
      </c>
      <c r="I76" s="184" t="n">
        <f aca="false">D76+E76+F76+G76+H76</f>
        <v>0</v>
      </c>
      <c r="J76" s="184" t="n">
        <f aca="false">30%*C76</f>
        <v>0</v>
      </c>
      <c r="K76" s="184" t="n">
        <f aca="false">I76+J76</f>
        <v>0</v>
      </c>
      <c r="L76" s="184" t="n">
        <f aca="false">C76-K76</f>
        <v>0</v>
      </c>
      <c r="M76" s="188" t="e">
        <f aca="false">I76/C76</f>
        <v>#DIV/0!</v>
      </c>
      <c r="N76" s="185" t="e">
        <f aca="false">L76/C76</f>
        <v>#DIV/0!</v>
      </c>
      <c r="O76" s="186" t="e">
        <f aca="false">L76/K76</f>
        <v>#DIV/0!</v>
      </c>
    </row>
    <row r="77" customFormat="false" ht="15" hidden="false" customHeight="false" outlineLevel="0" collapsed="false">
      <c r="B77" s="183" t="s">
        <v>28</v>
      </c>
      <c r="C77" s="187" t="n">
        <v>197</v>
      </c>
      <c r="D77" s="184" t="n">
        <f aca="false">C77*10%</f>
        <v>19.7</v>
      </c>
      <c r="E77" s="184" t="n">
        <f aca="false">C77*5%</f>
        <v>9.85</v>
      </c>
      <c r="F77" s="184" t="n">
        <f aca="false">C77*2%</f>
        <v>3.94</v>
      </c>
      <c r="G77" s="184" t="n">
        <v>0</v>
      </c>
      <c r="H77" s="184" t="n">
        <f aca="false">6%*C77</f>
        <v>11.82</v>
      </c>
      <c r="I77" s="184" t="n">
        <f aca="false">D77+E77+F77+G77+H77</f>
        <v>45.31</v>
      </c>
      <c r="J77" s="184" t="n">
        <f aca="false">30%*C77</f>
        <v>59.1</v>
      </c>
      <c r="K77" s="184" t="n">
        <f aca="false">I77+J77</f>
        <v>104.41</v>
      </c>
      <c r="L77" s="184" t="n">
        <f aca="false">C77-K77</f>
        <v>92.59</v>
      </c>
      <c r="M77" s="185" t="n">
        <f aca="false">I77/C77</f>
        <v>0.23</v>
      </c>
      <c r="N77" s="185" t="n">
        <f aca="false">L77/C77</f>
        <v>0.47</v>
      </c>
      <c r="O77" s="186" t="n">
        <f aca="false">L77/K77</f>
        <v>0.886792452830189</v>
      </c>
    </row>
    <row r="78" customFormat="false" ht="15" hidden="false" customHeight="false" outlineLevel="0" collapsed="false">
      <c r="B78" s="183" t="s">
        <v>16</v>
      </c>
      <c r="C78" s="187" t="n">
        <v>0</v>
      </c>
      <c r="D78" s="184" t="n">
        <f aca="false">C78*10%</f>
        <v>0</v>
      </c>
      <c r="E78" s="184" t="n">
        <f aca="false">C78*5%</f>
        <v>0</v>
      </c>
      <c r="F78" s="184" t="n">
        <f aca="false">C78*2%</f>
        <v>0</v>
      </c>
      <c r="G78" s="184" t="n">
        <v>0</v>
      </c>
      <c r="H78" s="184" t="n">
        <f aca="false">6%*C78</f>
        <v>0</v>
      </c>
      <c r="I78" s="184" t="n">
        <f aca="false">D78+E78+F78+G78+H78</f>
        <v>0</v>
      </c>
      <c r="J78" s="184" t="n">
        <f aca="false">30%*C78</f>
        <v>0</v>
      </c>
      <c r="K78" s="184" t="n">
        <f aca="false">I78+J78</f>
        <v>0</v>
      </c>
      <c r="L78" s="184" t="n">
        <f aca="false">C78-K78</f>
        <v>0</v>
      </c>
      <c r="M78" s="185" t="e">
        <f aca="false">I78/C78</f>
        <v>#DIV/0!</v>
      </c>
      <c r="N78" s="185" t="e">
        <f aca="false">L78/C78</f>
        <v>#DIV/0!</v>
      </c>
      <c r="O78" s="186" t="e">
        <f aca="false">L78/K78</f>
        <v>#DIV/0!</v>
      </c>
    </row>
    <row r="79" customFormat="false" ht="15" hidden="false" customHeight="false" outlineLevel="0" collapsed="false">
      <c r="B79" s="183" t="s">
        <v>25</v>
      </c>
      <c r="C79" s="187" t="n">
        <v>60</v>
      </c>
      <c r="D79" s="184" t="n">
        <f aca="false">C79*10%</f>
        <v>6</v>
      </c>
      <c r="E79" s="184" t="n">
        <f aca="false">C79*5%</f>
        <v>3</v>
      </c>
      <c r="F79" s="184" t="n">
        <f aca="false">C79*2%</f>
        <v>1.2</v>
      </c>
      <c r="G79" s="184" t="n">
        <v>0</v>
      </c>
      <c r="H79" s="184" t="n">
        <f aca="false">6%*C79</f>
        <v>3.6</v>
      </c>
      <c r="I79" s="184" t="n">
        <f aca="false">D79+E79+F79+G79+H79</f>
        <v>13.8</v>
      </c>
      <c r="J79" s="184" t="n">
        <f aca="false">30%*C79</f>
        <v>18</v>
      </c>
      <c r="K79" s="184" t="n">
        <f aca="false">I79+J79</f>
        <v>31.8</v>
      </c>
      <c r="L79" s="184" t="n">
        <f aca="false">C79-K79</f>
        <v>28.2</v>
      </c>
      <c r="M79" s="185" t="n">
        <f aca="false">I79/C79</f>
        <v>0.23</v>
      </c>
      <c r="N79" s="185" t="n">
        <f aca="false">L79/C79</f>
        <v>0.47</v>
      </c>
      <c r="O79" s="186" t="n">
        <f aca="false">L79/K79</f>
        <v>0.886792452830189</v>
      </c>
    </row>
    <row r="80" customFormat="false" ht="15" hidden="false" customHeight="false" outlineLevel="0" collapsed="false">
      <c r="B80" s="183" t="s">
        <v>3651</v>
      </c>
      <c r="C80" s="187" t="n">
        <v>0</v>
      </c>
      <c r="D80" s="184" t="n">
        <f aca="false">C80*10%</f>
        <v>0</v>
      </c>
      <c r="E80" s="184" t="n">
        <f aca="false">C80*5%</f>
        <v>0</v>
      </c>
      <c r="F80" s="184" t="n">
        <f aca="false">C80*2%</f>
        <v>0</v>
      </c>
      <c r="G80" s="184" t="n">
        <v>0</v>
      </c>
      <c r="H80" s="184" t="n">
        <f aca="false">6%*C80</f>
        <v>0</v>
      </c>
      <c r="I80" s="184" t="n">
        <f aca="false">D80+E80+F80+G80+H80</f>
        <v>0</v>
      </c>
      <c r="J80" s="184" t="n">
        <f aca="false">30%*C80</f>
        <v>0</v>
      </c>
      <c r="K80" s="184" t="n">
        <f aca="false">I80+J80</f>
        <v>0</v>
      </c>
      <c r="L80" s="184" t="n">
        <f aca="false">C80-K80</f>
        <v>0</v>
      </c>
      <c r="M80" s="185" t="e">
        <f aca="false">I80/C80</f>
        <v>#DIV/0!</v>
      </c>
      <c r="N80" s="185" t="e">
        <f aca="false">L80/C80</f>
        <v>#DIV/0!</v>
      </c>
      <c r="O80" s="186" t="e">
        <f aca="false">L80/K80</f>
        <v>#DIV/0!</v>
      </c>
    </row>
    <row r="81" customFormat="false" ht="15" hidden="false" customHeight="false" outlineLevel="0" collapsed="false">
      <c r="B81" s="183" t="s">
        <v>18</v>
      </c>
      <c r="C81" s="187" t="n">
        <v>147</v>
      </c>
      <c r="D81" s="184" t="n">
        <f aca="false">C81*10%</f>
        <v>14.7</v>
      </c>
      <c r="E81" s="184" t="n">
        <f aca="false">C81*5%</f>
        <v>7.35</v>
      </c>
      <c r="F81" s="184" t="n">
        <f aca="false">C81*2%</f>
        <v>2.94</v>
      </c>
      <c r="G81" s="184" t="n">
        <v>0</v>
      </c>
      <c r="H81" s="184" t="n">
        <f aca="false">6%*C81</f>
        <v>8.82</v>
      </c>
      <c r="I81" s="184" t="n">
        <f aca="false">D81+E81+F81+G81+H81</f>
        <v>33.81</v>
      </c>
      <c r="J81" s="184" t="n">
        <f aca="false">30%*C81</f>
        <v>44.1</v>
      </c>
      <c r="K81" s="184" t="n">
        <f aca="false">I81+J81</f>
        <v>77.91</v>
      </c>
      <c r="L81" s="184" t="n">
        <f aca="false">C81-K81</f>
        <v>69.09</v>
      </c>
      <c r="M81" s="185" t="n">
        <f aca="false">I81/C81</f>
        <v>0.23</v>
      </c>
      <c r="N81" s="185" t="n">
        <f aca="false">L81/C81</f>
        <v>0.47</v>
      </c>
      <c r="O81" s="186" t="n">
        <f aca="false">L81/K81</f>
        <v>0.886792452830189</v>
      </c>
    </row>
    <row r="82" customFormat="false" ht="15" hidden="false" customHeight="false" outlineLevel="0" collapsed="false">
      <c r="B82" s="183" t="s">
        <v>26</v>
      </c>
      <c r="C82" s="187" t="n">
        <v>0</v>
      </c>
      <c r="D82" s="184" t="n">
        <f aca="false">C82*10%</f>
        <v>0</v>
      </c>
      <c r="E82" s="184" t="n">
        <f aca="false">C82*5%</f>
        <v>0</v>
      </c>
      <c r="F82" s="184" t="n">
        <f aca="false">C82*2%</f>
        <v>0</v>
      </c>
      <c r="G82" s="184" t="n">
        <v>0</v>
      </c>
      <c r="H82" s="184" t="n">
        <f aca="false">6%*C82</f>
        <v>0</v>
      </c>
      <c r="I82" s="184" t="n">
        <f aca="false">D82+E82+F82+G82+H82</f>
        <v>0</v>
      </c>
      <c r="J82" s="184" t="n">
        <f aca="false">30%*C82</f>
        <v>0</v>
      </c>
      <c r="K82" s="184" t="n">
        <f aca="false">I82+J82</f>
        <v>0</v>
      </c>
      <c r="L82" s="184" t="n">
        <f aca="false">C82-K82</f>
        <v>0</v>
      </c>
      <c r="M82" s="185" t="e">
        <f aca="false">I82/C82</f>
        <v>#DIV/0!</v>
      </c>
      <c r="N82" s="185" t="e">
        <f aca="false">L82/C82</f>
        <v>#DIV/0!</v>
      </c>
      <c r="O82" s="186" t="e">
        <f aca="false">L82/K82</f>
        <v>#DIV/0!</v>
      </c>
    </row>
    <row r="83" customFormat="false" ht="15" hidden="false" customHeight="false" outlineLevel="0" collapsed="false">
      <c r="B83" s="183" t="s">
        <v>1021</v>
      </c>
      <c r="C83" s="187" t="n">
        <v>197</v>
      </c>
      <c r="D83" s="184" t="n">
        <f aca="false">C83*10%</f>
        <v>19.7</v>
      </c>
      <c r="E83" s="184" t="n">
        <f aca="false">C83*5%</f>
        <v>9.85</v>
      </c>
      <c r="F83" s="184" t="n">
        <f aca="false">C83*2%</f>
        <v>3.94</v>
      </c>
      <c r="G83" s="184" t="n">
        <v>0</v>
      </c>
      <c r="H83" s="184" t="n">
        <f aca="false">6%*C83</f>
        <v>11.82</v>
      </c>
      <c r="I83" s="184" t="n">
        <f aca="false">D83+E83+F83+G83+H83</f>
        <v>45.31</v>
      </c>
      <c r="J83" s="184" t="n">
        <f aca="false">30%*C83</f>
        <v>59.1</v>
      </c>
      <c r="K83" s="184" t="n">
        <f aca="false">I83+J83</f>
        <v>104.41</v>
      </c>
      <c r="L83" s="184" t="n">
        <f aca="false">C83-K83</f>
        <v>92.59</v>
      </c>
      <c r="M83" s="185" t="n">
        <f aca="false">I83/C83</f>
        <v>0.23</v>
      </c>
      <c r="N83" s="185" t="n">
        <f aca="false">L83/C83</f>
        <v>0.47</v>
      </c>
      <c r="O83" s="186" t="n">
        <f aca="false">L83/K83</f>
        <v>0.886792452830189</v>
      </c>
    </row>
    <row r="84" customFormat="false" ht="15" hidden="false" customHeight="false" outlineLevel="0" collapsed="false">
      <c r="B84" s="183" t="s">
        <v>21</v>
      </c>
      <c r="C84" s="187" t="n">
        <v>147</v>
      </c>
      <c r="D84" s="184" t="n">
        <f aca="false">C84*10%</f>
        <v>14.7</v>
      </c>
      <c r="E84" s="184" t="n">
        <f aca="false">C84*5%</f>
        <v>7.35</v>
      </c>
      <c r="F84" s="184" t="n">
        <f aca="false">C84*2%</f>
        <v>2.94</v>
      </c>
      <c r="G84" s="184" t="n">
        <v>0</v>
      </c>
      <c r="H84" s="184" t="n">
        <f aca="false">6%*C84</f>
        <v>8.82</v>
      </c>
      <c r="I84" s="184" t="n">
        <f aca="false">D84+E84+F84+G84+H84</f>
        <v>33.81</v>
      </c>
      <c r="J84" s="184" t="n">
        <f aca="false">30%*C84</f>
        <v>44.1</v>
      </c>
      <c r="K84" s="184" t="n">
        <f aca="false">I84+J84</f>
        <v>77.91</v>
      </c>
      <c r="L84" s="184" t="n">
        <f aca="false">C84-K84</f>
        <v>69.09</v>
      </c>
      <c r="M84" s="185" t="n">
        <f aca="false">I84/C84</f>
        <v>0.23</v>
      </c>
      <c r="N84" s="185" t="n">
        <f aca="false">L84/C84</f>
        <v>0.47</v>
      </c>
      <c r="O84" s="186" t="n">
        <f aca="false">L84/K84</f>
        <v>0.886792452830189</v>
      </c>
    </row>
    <row r="85" customFormat="false" ht="15" hidden="false" customHeight="false" outlineLevel="0" collapsed="false">
      <c r="B85" s="183" t="s">
        <v>1471</v>
      </c>
      <c r="C85" s="187" t="n">
        <v>150</v>
      </c>
      <c r="D85" s="184" t="n">
        <f aca="false">C85*10%</f>
        <v>15</v>
      </c>
      <c r="E85" s="184" t="n">
        <f aca="false">C85*5%</f>
        <v>7.5</v>
      </c>
      <c r="F85" s="184" t="n">
        <f aca="false">C85*2%</f>
        <v>3</v>
      </c>
      <c r="G85" s="184" t="n">
        <v>0</v>
      </c>
      <c r="H85" s="184" t="n">
        <f aca="false">6%*C85</f>
        <v>9</v>
      </c>
      <c r="I85" s="184" t="n">
        <f aca="false">D85+E85+F85+G85+H85</f>
        <v>34.5</v>
      </c>
      <c r="J85" s="184" t="n">
        <f aca="false">30%*C85</f>
        <v>45</v>
      </c>
      <c r="K85" s="184" t="n">
        <f aca="false">I85+J85</f>
        <v>79.5</v>
      </c>
      <c r="L85" s="184" t="n">
        <f aca="false">C85-K85</f>
        <v>70.5</v>
      </c>
      <c r="M85" s="185" t="n">
        <f aca="false">I85/C85</f>
        <v>0.23</v>
      </c>
      <c r="N85" s="185" t="n">
        <f aca="false">L85/C85</f>
        <v>0.47</v>
      </c>
      <c r="O85" s="186" t="n">
        <f aca="false">L85/K85</f>
        <v>0.886792452830189</v>
      </c>
    </row>
    <row r="86" customFormat="false" ht="15" hidden="false" customHeight="false" outlineLevel="0" collapsed="false">
      <c r="B86" s="183" t="s">
        <v>390</v>
      </c>
      <c r="C86" s="187" t="n">
        <v>147</v>
      </c>
      <c r="D86" s="184" t="n">
        <f aca="false">C86*10%</f>
        <v>14.7</v>
      </c>
      <c r="E86" s="184" t="n">
        <f aca="false">C86*5%</f>
        <v>7.35</v>
      </c>
      <c r="F86" s="184" t="n">
        <f aca="false">C86*2%</f>
        <v>2.94</v>
      </c>
      <c r="G86" s="184" t="n">
        <v>0</v>
      </c>
      <c r="H86" s="184" t="n">
        <f aca="false">6%*C86</f>
        <v>8.82</v>
      </c>
      <c r="I86" s="184" t="n">
        <f aca="false">D86+E86+F86+G86+H86</f>
        <v>33.81</v>
      </c>
      <c r="J86" s="184" t="n">
        <f aca="false">30%*C86</f>
        <v>44.1</v>
      </c>
      <c r="K86" s="184" t="n">
        <f aca="false">I86+J86</f>
        <v>77.91</v>
      </c>
      <c r="L86" s="184" t="n">
        <f aca="false">C86-K86</f>
        <v>69.09</v>
      </c>
      <c r="M86" s="185" t="n">
        <f aca="false">I86/C86</f>
        <v>0.23</v>
      </c>
      <c r="N86" s="185" t="n">
        <f aca="false">L86/C86</f>
        <v>0.47</v>
      </c>
      <c r="O86" s="186" t="n">
        <f aca="false">L86/K86</f>
        <v>0.886792452830189</v>
      </c>
    </row>
    <row r="87" customFormat="false" ht="15" hidden="false" customHeight="false" outlineLevel="0" collapsed="false">
      <c r="B87" s="183" t="s">
        <v>27</v>
      </c>
      <c r="C87" s="187" t="n">
        <v>600</v>
      </c>
      <c r="D87" s="184" t="n">
        <f aca="false">C87*10%</f>
        <v>60</v>
      </c>
      <c r="E87" s="184" t="n">
        <f aca="false">C87*5%</f>
        <v>30</v>
      </c>
      <c r="F87" s="184" t="n">
        <f aca="false">C87*2%</f>
        <v>12</v>
      </c>
      <c r="G87" s="184" t="n">
        <v>0</v>
      </c>
      <c r="H87" s="184" t="n">
        <f aca="false">6%*C87</f>
        <v>36</v>
      </c>
      <c r="I87" s="184" t="n">
        <f aca="false">D87+E87+F87+G87+H87</f>
        <v>138</v>
      </c>
      <c r="J87" s="184" t="n">
        <f aca="false">30%*C87</f>
        <v>180</v>
      </c>
      <c r="K87" s="184" t="n">
        <f aca="false">I87+J87</f>
        <v>318</v>
      </c>
      <c r="L87" s="184" t="n">
        <f aca="false">C87-K87</f>
        <v>282</v>
      </c>
      <c r="M87" s="185" t="n">
        <f aca="false">I87/C87</f>
        <v>0.23</v>
      </c>
      <c r="N87" s="185" t="n">
        <f aca="false">L87/C87</f>
        <v>0.47</v>
      </c>
      <c r="O87" s="186" t="n">
        <f aca="false">L87/K87</f>
        <v>0.886792452830189</v>
      </c>
    </row>
    <row r="88" customFormat="false" ht="15" hidden="false" customHeight="false" outlineLevel="0" collapsed="false">
      <c r="B88" s="183" t="s">
        <v>22</v>
      </c>
      <c r="C88" s="187" t="n">
        <v>147</v>
      </c>
      <c r="D88" s="184" t="n">
        <f aca="false">C88*10%</f>
        <v>14.7</v>
      </c>
      <c r="E88" s="184" t="n">
        <f aca="false">C88*5%</f>
        <v>7.35</v>
      </c>
      <c r="F88" s="184" t="n">
        <f aca="false">C88*2%</f>
        <v>2.94</v>
      </c>
      <c r="G88" s="184" t="n">
        <v>0</v>
      </c>
      <c r="H88" s="184" t="n">
        <f aca="false">6%*C88</f>
        <v>8.82</v>
      </c>
      <c r="I88" s="184" t="n">
        <f aca="false">D88+E88+F88+G88+H88</f>
        <v>33.81</v>
      </c>
      <c r="J88" s="184" t="n">
        <f aca="false">30%*C88</f>
        <v>44.1</v>
      </c>
      <c r="K88" s="184" t="n">
        <f aca="false">I88+J88</f>
        <v>77.91</v>
      </c>
      <c r="L88" s="184" t="n">
        <f aca="false">C88-K88</f>
        <v>69.09</v>
      </c>
      <c r="M88" s="185" t="n">
        <f aca="false">I88/C88</f>
        <v>0.23</v>
      </c>
      <c r="N88" s="185" t="n">
        <f aca="false">L88/C88</f>
        <v>0.47</v>
      </c>
      <c r="O88" s="186" t="n">
        <f aca="false">L88/K88</f>
        <v>0.886792452830189</v>
      </c>
    </row>
    <row r="89" customFormat="false" ht="15" hidden="false" customHeight="false" outlineLevel="0" collapsed="false">
      <c r="B89" s="183" t="s">
        <v>24</v>
      </c>
      <c r="C89" s="187" t="n">
        <v>0</v>
      </c>
      <c r="D89" s="184" t="n">
        <f aca="false">C89*10%</f>
        <v>0</v>
      </c>
      <c r="E89" s="184" t="n">
        <f aca="false">C89*5%</f>
        <v>0</v>
      </c>
      <c r="F89" s="184" t="n">
        <f aca="false">C89*2%</f>
        <v>0</v>
      </c>
      <c r="G89" s="184" t="n">
        <v>0</v>
      </c>
      <c r="H89" s="184" t="n">
        <f aca="false">6%*C89</f>
        <v>0</v>
      </c>
      <c r="I89" s="184" t="n">
        <f aca="false">D89+E89+F89+G89+H89</f>
        <v>0</v>
      </c>
      <c r="J89" s="184" t="n">
        <f aca="false">30%*C89</f>
        <v>0</v>
      </c>
      <c r="K89" s="184" t="n">
        <f aca="false">I89+J89</f>
        <v>0</v>
      </c>
      <c r="L89" s="184" t="n">
        <f aca="false">C89-K89</f>
        <v>0</v>
      </c>
      <c r="M89" s="188" t="e">
        <f aca="false">I89/C89</f>
        <v>#DIV/0!</v>
      </c>
      <c r="N89" s="185" t="e">
        <f aca="false">L89/C89</f>
        <v>#DIV/0!</v>
      </c>
      <c r="O89" s="186" t="e">
        <f aca="false">L89/K89</f>
        <v>#DIV/0!</v>
      </c>
    </row>
    <row r="90" customFormat="false" ht="15" hidden="false" customHeight="false" outlineLevel="0" collapsed="false">
      <c r="B90" s="183" t="s">
        <v>106</v>
      </c>
      <c r="C90" s="187" t="n">
        <v>600</v>
      </c>
      <c r="D90" s="184" t="n">
        <f aca="false">C90*10%</f>
        <v>60</v>
      </c>
      <c r="E90" s="184" t="n">
        <f aca="false">C90*5%</f>
        <v>30</v>
      </c>
      <c r="F90" s="184" t="n">
        <f aca="false">C90*2%</f>
        <v>12</v>
      </c>
      <c r="G90" s="184" t="n">
        <v>0</v>
      </c>
      <c r="H90" s="184" t="n">
        <f aca="false">6%*C90</f>
        <v>36</v>
      </c>
      <c r="I90" s="184" t="n">
        <f aca="false">D90+E90+F90+G90+H90</f>
        <v>138</v>
      </c>
      <c r="J90" s="184" t="n">
        <f aca="false">30%*C90</f>
        <v>180</v>
      </c>
      <c r="K90" s="184" t="n">
        <f aca="false">I90+J90</f>
        <v>318</v>
      </c>
      <c r="L90" s="184" t="n">
        <f aca="false">C90-K90</f>
        <v>282</v>
      </c>
      <c r="M90" s="185" t="n">
        <f aca="false">I90/C90</f>
        <v>0.23</v>
      </c>
      <c r="N90" s="185" t="n">
        <f aca="false">L90/C90</f>
        <v>0.47</v>
      </c>
      <c r="O90" s="186" t="n">
        <f aca="false">L90/K90</f>
        <v>0.886792452830189</v>
      </c>
    </row>
    <row r="91" customFormat="false" ht="15" hidden="false" customHeight="false" outlineLevel="0" collapsed="false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</row>
  </sheetData>
  <mergeCells count="4">
    <mergeCell ref="A1:O1"/>
    <mergeCell ref="C2:O2"/>
    <mergeCell ref="A3:A25"/>
    <mergeCell ref="A26:A48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2536"/>
  <sheetViews>
    <sheetView showFormulas="false" showGridLines="true" showRowColHeaders="true" showZeros="true" rightToLeft="false" tabSelected="false" showOutlineSymbols="true" defaultGridColor="true" view="normal" topLeftCell="A1973" colorId="64" zoomScale="100" zoomScaleNormal="100" zoomScalePageLayoutView="100" workbookViewId="0">
      <selection pane="topLeft" activeCell="E1973" activeCellId="0" sqref="E1973"/>
    </sheetView>
  </sheetViews>
  <sheetFormatPr defaultColWidth="8.859375" defaultRowHeight="15" zeroHeight="false" outlineLevelRow="0" outlineLevelCol="0"/>
  <cols>
    <col collapsed="false" customWidth="true" hidden="false" outlineLevel="0" max="1" min="1" style="189" width="23"/>
    <col collapsed="false" customWidth="true" hidden="false" outlineLevel="0" max="2" min="2" style="189" width="16.72"/>
    <col collapsed="false" customWidth="true" hidden="false" outlineLevel="0" max="3" min="3" style="190" width="44.29"/>
    <col collapsed="false" customWidth="true" hidden="false" outlineLevel="0" max="4" min="4" style="191" width="18.14"/>
    <col collapsed="false" customWidth="true" hidden="false" outlineLevel="0" max="5" min="5" style="190" width="110"/>
    <col collapsed="false" customWidth="true" hidden="false" outlineLevel="0" max="6" min="6" style="192" width="21.71"/>
    <col collapsed="false" customWidth="true" hidden="false" outlineLevel="0" max="7" min="7" style="189" width="17.57"/>
    <col collapsed="false" customWidth="true" hidden="false" outlineLevel="0" max="8" min="8" style="189" width="28.29"/>
    <col collapsed="false" customWidth="true" hidden="false" outlineLevel="0" max="9" min="9" style="189" width="27.57"/>
    <col collapsed="false" customWidth="true" hidden="false" outlineLevel="0" max="10" min="10" style="189" width="28.14"/>
    <col collapsed="false" customWidth="true" hidden="false" outlineLevel="0" max="11" min="11" style="189" width="23.28"/>
    <col collapsed="false" customWidth="false" hidden="false" outlineLevel="0" max="16384" min="12" style="189" width="8.86"/>
  </cols>
  <sheetData>
    <row r="1" s="193" customFormat="true" ht="15" hidden="false" customHeight="false" outlineLevel="0" collapsed="false">
      <c r="A1" s="193" t="s">
        <v>0</v>
      </c>
      <c r="B1" s="193" t="s">
        <v>16</v>
      </c>
      <c r="C1" s="194" t="s">
        <v>4</v>
      </c>
      <c r="D1" s="195" t="s">
        <v>5</v>
      </c>
      <c r="E1" s="194" t="s">
        <v>6</v>
      </c>
      <c r="F1" s="196" t="s">
        <v>2</v>
      </c>
      <c r="G1" s="193" t="s">
        <v>3742</v>
      </c>
      <c r="H1" s="193" t="s">
        <v>14</v>
      </c>
      <c r="I1" s="193" t="s">
        <v>15</v>
      </c>
      <c r="J1" s="193" t="s">
        <v>3743</v>
      </c>
    </row>
    <row r="2" customFormat="false" ht="15" hidden="false" customHeight="false" outlineLevel="0" collapsed="false">
      <c r="A2" s="197"/>
      <c r="B2" s="191"/>
      <c r="C2" s="190" t="s">
        <v>3744</v>
      </c>
      <c r="D2" s="191" t="n">
        <v>554499393941</v>
      </c>
      <c r="E2" s="190" t="s">
        <v>3106</v>
      </c>
      <c r="F2" s="192" t="n">
        <f aca="false">SUMIF(ENTRADAS!F:F,CLIENTES_PCBR[[#This Row],[TELEFONO]],ENTRADAS!C:C)</f>
        <v>300</v>
      </c>
      <c r="G2" s="189" t="s">
        <v>94</v>
      </c>
    </row>
    <row r="3" customFormat="false" ht="15" hidden="false" customHeight="false" outlineLevel="0" collapsed="false">
      <c r="A3" s="197"/>
      <c r="B3" s="191"/>
      <c r="C3" s="190" t="s">
        <v>3745</v>
      </c>
      <c r="D3" s="191" t="n">
        <v>559684269628</v>
      </c>
      <c r="E3" s="190" t="s">
        <v>3746</v>
      </c>
      <c r="F3" s="192" t="n">
        <f aca="false">SUMIF(ENTRADAS!F:F,CLIENTES_PCBR[[#This Row],[TELEFONO]],ENTRADAS!C:C)</f>
        <v>0</v>
      </c>
      <c r="G3" s="189" t="s">
        <v>94</v>
      </c>
    </row>
    <row r="4" customFormat="false" ht="15" hidden="false" customHeight="false" outlineLevel="0" collapsed="false">
      <c r="A4" s="197"/>
      <c r="B4" s="191"/>
      <c r="C4" s="190" t="s">
        <v>3747</v>
      </c>
      <c r="D4" s="191" t="n">
        <v>555597261545</v>
      </c>
      <c r="E4" s="190" t="s">
        <v>3748</v>
      </c>
      <c r="F4" s="192" t="n">
        <f aca="false">SUMIF(ENTRADAS!F:F,CLIENTES_PCBR[[#This Row],[TELEFONO]],ENTRADAS!C:C)</f>
        <v>0</v>
      </c>
      <c r="G4" s="189" t="s">
        <v>94</v>
      </c>
    </row>
    <row r="5" customFormat="false" ht="15" hidden="false" customHeight="false" outlineLevel="0" collapsed="false">
      <c r="A5" s="197"/>
      <c r="B5" s="191"/>
      <c r="C5" s="190" t="s">
        <v>3749</v>
      </c>
      <c r="D5" s="191" t="n">
        <v>559381227486</v>
      </c>
      <c r="E5" s="190" t="s">
        <v>3750</v>
      </c>
      <c r="F5" s="192" t="n">
        <f aca="false">SUMIF(ENTRADAS!F:F,CLIENTES_PCBR[[#This Row],[TELEFONO]],ENTRADAS!C:C)</f>
        <v>0</v>
      </c>
      <c r="G5" s="189" t="s">
        <v>94</v>
      </c>
    </row>
    <row r="6" customFormat="false" ht="15" hidden="false" customHeight="false" outlineLevel="0" collapsed="false">
      <c r="A6" s="197"/>
      <c r="B6" s="191"/>
      <c r="C6" s="190" t="s">
        <v>3751</v>
      </c>
      <c r="D6" s="191" t="n">
        <v>552799930706</v>
      </c>
      <c r="E6" s="190" t="s">
        <v>3752</v>
      </c>
      <c r="F6" s="192" t="n">
        <f aca="false">SUMIF(ENTRADAS!F:F,CLIENTES_PCBR[[#This Row],[TELEFONO]],ENTRADAS!C:C)</f>
        <v>0</v>
      </c>
      <c r="G6" s="189" t="s">
        <v>94</v>
      </c>
    </row>
    <row r="7" customFormat="false" ht="15" hidden="false" customHeight="false" outlineLevel="0" collapsed="false">
      <c r="A7" s="197"/>
      <c r="B7" s="191"/>
      <c r="C7" s="190" t="s">
        <v>3753</v>
      </c>
      <c r="D7" s="191" t="n">
        <v>554196885810</v>
      </c>
      <c r="E7" s="190" t="s">
        <v>3754</v>
      </c>
      <c r="F7" s="192" t="n">
        <f aca="false">SUMIF(ENTRADAS!F:F,CLIENTES_PCBR[[#This Row],[TELEFONO]],ENTRADAS!C:C)</f>
        <v>0</v>
      </c>
      <c r="G7" s="189" t="s">
        <v>94</v>
      </c>
    </row>
    <row r="8" customFormat="false" ht="15" hidden="false" customHeight="false" outlineLevel="0" collapsed="false">
      <c r="A8" s="197"/>
      <c r="B8" s="191"/>
      <c r="C8" s="190" t="s">
        <v>3755</v>
      </c>
      <c r="D8" s="191" t="n">
        <v>554196461493</v>
      </c>
      <c r="E8" s="190" t="s">
        <v>3756</v>
      </c>
      <c r="F8" s="192" t="n">
        <f aca="false">SUMIF(ENTRADAS!F:F,CLIENTES_PCBR[[#This Row],[TELEFONO]],ENTRADAS!C:C)</f>
        <v>0</v>
      </c>
      <c r="G8" s="189" t="s">
        <v>94</v>
      </c>
    </row>
    <row r="9" customFormat="false" ht="15" hidden="false" customHeight="false" outlineLevel="0" collapsed="false">
      <c r="A9" s="197"/>
      <c r="B9" s="191"/>
      <c r="C9" s="190" t="s">
        <v>3757</v>
      </c>
      <c r="D9" s="191" t="n">
        <v>559581251049</v>
      </c>
      <c r="E9" s="190" t="s">
        <v>672</v>
      </c>
      <c r="F9" s="192" t="n">
        <f aca="false">SUMIF(ENTRADAS!F:F,CLIENTES_PCBR[[#This Row],[TELEFONO]],ENTRADAS!C:C)</f>
        <v>0</v>
      </c>
      <c r="G9" s="189" t="s">
        <v>94</v>
      </c>
    </row>
    <row r="10" customFormat="false" ht="15" hidden="false" customHeight="false" outlineLevel="0" collapsed="false">
      <c r="A10" s="197"/>
      <c r="B10" s="191"/>
      <c r="C10" s="190" t="s">
        <v>3758</v>
      </c>
      <c r="D10" s="191" t="n">
        <v>559584072854</v>
      </c>
      <c r="E10" s="190" t="s">
        <v>3759</v>
      </c>
      <c r="F10" s="192" t="n">
        <f aca="false">SUMIF(ENTRADAS!F:F,CLIENTES_PCBR[[#This Row],[TELEFONO]],ENTRADAS!C:C)</f>
        <v>0</v>
      </c>
      <c r="G10" s="189" t="s">
        <v>94</v>
      </c>
    </row>
    <row r="11" customFormat="false" ht="15" hidden="false" customHeight="false" outlineLevel="0" collapsed="false">
      <c r="A11" s="197"/>
      <c r="B11" s="191"/>
      <c r="C11" s="190" t="s">
        <v>3760</v>
      </c>
      <c r="D11" s="191" t="n">
        <v>559584125708</v>
      </c>
      <c r="E11" s="190" t="s">
        <v>3761</v>
      </c>
      <c r="F11" s="192" t="n">
        <f aca="false">SUMIF(ENTRADAS!F:F,CLIENTES_PCBR[[#This Row],[TELEFONO]],ENTRADAS!C:C)</f>
        <v>0</v>
      </c>
      <c r="G11" s="189" t="s">
        <v>94</v>
      </c>
    </row>
    <row r="12" customFormat="false" ht="15" hidden="false" customHeight="false" outlineLevel="0" collapsed="false">
      <c r="A12" s="197"/>
      <c r="B12" s="191"/>
      <c r="C12" s="190" t="s">
        <v>3762</v>
      </c>
      <c r="D12" s="191" t="n">
        <v>554198458417</v>
      </c>
      <c r="E12" s="190" t="s">
        <v>3763</v>
      </c>
      <c r="F12" s="192" t="n">
        <f aca="false">SUMIF(ENTRADAS!F:F,CLIENTES_PCBR[[#This Row],[TELEFONO]],ENTRADAS!C:C)</f>
        <v>0</v>
      </c>
      <c r="G12" s="189" t="s">
        <v>94</v>
      </c>
    </row>
    <row r="13" customFormat="false" ht="15" hidden="false" customHeight="false" outlineLevel="0" collapsed="false">
      <c r="A13" s="197"/>
      <c r="B13" s="191"/>
      <c r="C13" s="190" t="s">
        <v>3764</v>
      </c>
      <c r="D13" s="191" t="n">
        <v>559291855928</v>
      </c>
      <c r="E13" s="190" t="s">
        <v>3765</v>
      </c>
      <c r="F13" s="192" t="n">
        <f aca="false">SUMIF(ENTRADAS!F:F,CLIENTES_PCBR[[#This Row],[TELEFONO]],ENTRADAS!C:C)</f>
        <v>0</v>
      </c>
      <c r="G13" s="189" t="s">
        <v>94</v>
      </c>
    </row>
    <row r="14" customFormat="false" ht="15" hidden="false" customHeight="false" outlineLevel="0" collapsed="false">
      <c r="A14" s="197"/>
      <c r="B14" s="191"/>
      <c r="C14" s="190" t="s">
        <v>3766</v>
      </c>
      <c r="D14" s="191" t="n">
        <v>556281186364</v>
      </c>
      <c r="E14" s="190" t="s">
        <v>3767</v>
      </c>
      <c r="F14" s="192" t="n">
        <f aca="false">SUMIF(ENTRADAS!F:F,CLIENTES_PCBR[[#This Row],[TELEFONO]],ENTRADAS!C:C)</f>
        <v>0</v>
      </c>
      <c r="G14" s="189" t="s">
        <v>94</v>
      </c>
    </row>
    <row r="15" customFormat="false" ht="15" hidden="false" customHeight="false" outlineLevel="0" collapsed="false">
      <c r="A15" s="197"/>
      <c r="B15" s="191"/>
      <c r="C15" s="190" t="s">
        <v>3768</v>
      </c>
      <c r="D15" s="191" t="n">
        <v>554599904385</v>
      </c>
      <c r="E15" s="190" t="s">
        <v>923</v>
      </c>
      <c r="F15" s="192" t="n">
        <f aca="false">SUMIF(ENTRADAS!F:F,CLIENTES_PCBR[[#This Row],[TELEFONO]],ENTRADAS!C:C)</f>
        <v>150</v>
      </c>
      <c r="G15" s="189" t="s">
        <v>94</v>
      </c>
    </row>
    <row r="16" customFormat="false" ht="15" hidden="false" customHeight="false" outlineLevel="0" collapsed="false">
      <c r="A16" s="197"/>
      <c r="B16" s="191"/>
      <c r="C16" s="190" t="s">
        <v>3769</v>
      </c>
      <c r="D16" s="191" t="n">
        <v>554199267223</v>
      </c>
      <c r="E16" s="190" t="s">
        <v>3770</v>
      </c>
      <c r="F16" s="192" t="n">
        <f aca="false">SUMIF(ENTRADAS!F:F,CLIENTES_PCBR[[#This Row],[TELEFONO]],ENTRADAS!C:C)</f>
        <v>0</v>
      </c>
      <c r="G16" s="189" t="s">
        <v>94</v>
      </c>
    </row>
    <row r="17" customFormat="false" ht="15" hidden="false" customHeight="false" outlineLevel="0" collapsed="false">
      <c r="A17" s="197"/>
      <c r="B17" s="191"/>
      <c r="C17" s="190" t="s">
        <v>3771</v>
      </c>
      <c r="D17" s="191" t="n">
        <v>554199284818</v>
      </c>
      <c r="E17" s="190" t="s">
        <v>3772</v>
      </c>
      <c r="F17" s="192" t="n">
        <f aca="false">SUMIF(ENTRADAS!F:F,CLIENTES_PCBR[[#This Row],[TELEFONO]],ENTRADAS!C:C)</f>
        <v>0</v>
      </c>
      <c r="G17" s="189" t="s">
        <v>94</v>
      </c>
    </row>
    <row r="18" customFormat="false" ht="15" hidden="false" customHeight="false" outlineLevel="0" collapsed="false">
      <c r="A18" s="197"/>
      <c r="B18" s="191"/>
      <c r="C18" s="190" t="s">
        <v>3773</v>
      </c>
      <c r="D18" s="191" t="n">
        <v>559674003095</v>
      </c>
      <c r="E18" s="190" t="s">
        <v>3774</v>
      </c>
      <c r="F18" s="192" t="n">
        <f aca="false">SUMIF(ENTRADAS!F:F,CLIENTES_PCBR[[#This Row],[TELEFONO]],ENTRADAS!C:C)</f>
        <v>0</v>
      </c>
      <c r="G18" s="189" t="s">
        <v>94</v>
      </c>
    </row>
    <row r="19" customFormat="false" ht="15" hidden="false" customHeight="false" outlineLevel="0" collapsed="false">
      <c r="A19" s="197"/>
      <c r="B19" s="191"/>
      <c r="C19" s="190" t="s">
        <v>3775</v>
      </c>
      <c r="D19" s="191" t="n">
        <v>556296184787</v>
      </c>
      <c r="E19" s="190" t="s">
        <v>3486</v>
      </c>
      <c r="F19" s="192" t="n">
        <f aca="false">SUMIF(ENTRADAS!F:F,CLIENTES_PCBR[[#This Row],[TELEFONO]],ENTRADAS!C:C)</f>
        <v>440</v>
      </c>
      <c r="G19" s="189" t="s">
        <v>94</v>
      </c>
    </row>
    <row r="20" customFormat="false" ht="15" hidden="false" customHeight="false" outlineLevel="0" collapsed="false">
      <c r="A20" s="197"/>
      <c r="B20" s="191"/>
      <c r="C20" s="190" t="s">
        <v>3776</v>
      </c>
      <c r="D20" s="191" t="n">
        <v>556493122442</v>
      </c>
      <c r="E20" s="190" t="s">
        <v>3777</v>
      </c>
      <c r="F20" s="192" t="n">
        <f aca="false">SUMIF(ENTRADAS!F:F,CLIENTES_PCBR[[#This Row],[TELEFONO]],ENTRADAS!C:C)</f>
        <v>0</v>
      </c>
      <c r="G20" s="189" t="s">
        <v>94</v>
      </c>
    </row>
    <row r="21" customFormat="false" ht="15" hidden="false" customHeight="false" outlineLevel="0" collapsed="false">
      <c r="A21" s="197"/>
      <c r="B21" s="191"/>
      <c r="C21" s="190" t="s">
        <v>3778</v>
      </c>
      <c r="D21" s="191" t="n">
        <v>559684335283</v>
      </c>
      <c r="E21" s="190" t="s">
        <v>3779</v>
      </c>
      <c r="F21" s="192" t="n">
        <f aca="false">SUMIF(ENTRADAS!F:F,CLIENTES_PCBR[[#This Row],[TELEFONO]],ENTRADAS!C:C)</f>
        <v>0</v>
      </c>
      <c r="G21" s="189" t="s">
        <v>94</v>
      </c>
    </row>
    <row r="22" customFormat="false" ht="15" hidden="false" customHeight="false" outlineLevel="0" collapsed="false">
      <c r="A22" s="197"/>
      <c r="B22" s="191"/>
      <c r="C22" s="190" t="s">
        <v>3780</v>
      </c>
      <c r="D22" s="191" t="n">
        <v>554796041382</v>
      </c>
      <c r="E22" s="190" t="s">
        <v>3781</v>
      </c>
      <c r="F22" s="192" t="n">
        <f aca="false">SUMIF(ENTRADAS!F:F,CLIENTES_PCBR[[#This Row],[TELEFONO]],ENTRADAS!C:C)</f>
        <v>0</v>
      </c>
      <c r="G22" s="189" t="s">
        <v>94</v>
      </c>
    </row>
    <row r="23" customFormat="false" ht="15" hidden="false" customHeight="false" outlineLevel="0" collapsed="false">
      <c r="A23" s="197"/>
      <c r="B23" s="191"/>
      <c r="C23" s="190" t="s">
        <v>3782</v>
      </c>
      <c r="D23" s="191" t="n">
        <v>559591367361</v>
      </c>
      <c r="E23" s="190" t="s">
        <v>3783</v>
      </c>
      <c r="F23" s="192" t="n">
        <f aca="false">SUMIF(ENTRADAS!F:F,CLIENTES_PCBR[[#This Row],[TELEFONO]],ENTRADAS!C:C)</f>
        <v>0</v>
      </c>
      <c r="G23" s="189" t="s">
        <v>94</v>
      </c>
    </row>
    <row r="24" customFormat="false" ht="15" hidden="false" customHeight="false" outlineLevel="0" collapsed="false">
      <c r="A24" s="197"/>
      <c r="B24" s="191"/>
      <c r="C24" s="190" t="s">
        <v>3784</v>
      </c>
      <c r="D24" s="191" t="n">
        <v>559584270396</v>
      </c>
      <c r="E24" s="190" t="s">
        <v>3056</v>
      </c>
      <c r="F24" s="192" t="n">
        <f aca="false">SUMIF(ENTRADAS!F:F,CLIENTES_PCBR[[#This Row],[TELEFONO]],ENTRADAS!C:C)</f>
        <v>150</v>
      </c>
      <c r="G24" s="189" t="s">
        <v>94</v>
      </c>
    </row>
    <row r="25" customFormat="false" ht="15" hidden="false" customHeight="false" outlineLevel="0" collapsed="false">
      <c r="A25" s="197"/>
      <c r="B25" s="191"/>
      <c r="C25" s="190" t="s">
        <v>3785</v>
      </c>
      <c r="D25" s="191" t="n">
        <v>559574001263</v>
      </c>
      <c r="E25" s="190" t="s">
        <v>3786</v>
      </c>
      <c r="F25" s="192" t="n">
        <f aca="false">SUMIF(ENTRADAS!F:F,CLIENTES_PCBR[[#This Row],[TELEFONO]],ENTRADAS!C:C)</f>
        <v>0</v>
      </c>
      <c r="G25" s="189" t="s">
        <v>94</v>
      </c>
    </row>
    <row r="26" customFormat="false" ht="15" hidden="false" customHeight="false" outlineLevel="0" collapsed="false">
      <c r="A26" s="197"/>
      <c r="B26" s="191"/>
      <c r="C26" s="190" t="s">
        <v>3787</v>
      </c>
      <c r="D26" s="191" t="n">
        <v>554991814968</v>
      </c>
      <c r="E26" s="190" t="s">
        <v>184</v>
      </c>
      <c r="F26" s="192" t="n">
        <f aca="false">SUMIF(ENTRADAS!F:F,CLIENTES_PCBR[[#This Row],[TELEFONO]],ENTRADAS!C:C)</f>
        <v>60</v>
      </c>
      <c r="G26" s="189" t="s">
        <v>94</v>
      </c>
    </row>
    <row r="27" customFormat="false" ht="15" hidden="false" customHeight="false" outlineLevel="0" collapsed="false">
      <c r="A27" s="197"/>
      <c r="B27" s="191"/>
      <c r="C27" s="190" t="s">
        <v>3788</v>
      </c>
      <c r="D27" s="191" t="n">
        <v>559584145246</v>
      </c>
      <c r="E27" s="190" t="s">
        <v>3789</v>
      </c>
      <c r="F27" s="192" t="n">
        <f aca="false">SUMIF(ENTRADAS!F:F,CLIENTES_PCBR[[#This Row],[TELEFONO]],ENTRADAS!C:C)</f>
        <v>0</v>
      </c>
      <c r="G27" s="189" t="s">
        <v>94</v>
      </c>
    </row>
    <row r="28" customFormat="false" ht="15" hidden="false" customHeight="false" outlineLevel="0" collapsed="false">
      <c r="A28" s="197"/>
      <c r="B28" s="191"/>
      <c r="C28" s="190" t="s">
        <v>3790</v>
      </c>
      <c r="D28" s="191" t="n">
        <v>555492480346</v>
      </c>
      <c r="E28" s="190" t="s">
        <v>3791</v>
      </c>
      <c r="F28" s="192" t="n">
        <f aca="false">SUMIF(ENTRADAS!F:F,CLIENTES_PCBR[[#This Row],[TELEFONO]],ENTRADAS!C:C)</f>
        <v>0</v>
      </c>
      <c r="G28" s="189" t="s">
        <v>94</v>
      </c>
    </row>
    <row r="29" customFormat="false" ht="15" hidden="false" customHeight="false" outlineLevel="0" collapsed="false">
      <c r="A29" s="197"/>
      <c r="B29" s="191"/>
      <c r="C29" s="190" t="s">
        <v>3792</v>
      </c>
      <c r="D29" s="191" t="n">
        <v>555496101264</v>
      </c>
      <c r="E29" s="190" t="s">
        <v>3072</v>
      </c>
      <c r="F29" s="192" t="n">
        <f aca="false">SUMIF(ENTRADAS!F:F,CLIENTES_PCBR[[#This Row],[TELEFONO]],ENTRADAS!C:C)</f>
        <v>150</v>
      </c>
      <c r="G29" s="189" t="s">
        <v>94</v>
      </c>
    </row>
    <row r="30" customFormat="false" ht="15" hidden="false" customHeight="false" outlineLevel="0" collapsed="false">
      <c r="A30" s="197"/>
      <c r="B30" s="191"/>
      <c r="C30" s="190" t="s">
        <v>3793</v>
      </c>
      <c r="D30" s="191" t="n">
        <v>557499210403</v>
      </c>
      <c r="E30" s="190" t="s">
        <v>3794</v>
      </c>
      <c r="F30" s="192" t="n">
        <f aca="false">SUMIF(ENTRADAS!F:F,CLIENTES_PCBR[[#This Row],[TELEFONO]],ENTRADAS!C:C)</f>
        <v>0</v>
      </c>
      <c r="G30" s="189" t="s">
        <v>94</v>
      </c>
    </row>
    <row r="31" customFormat="false" ht="15" hidden="false" customHeight="false" outlineLevel="0" collapsed="false">
      <c r="A31" s="197"/>
      <c r="B31" s="191"/>
      <c r="C31" s="190" t="s">
        <v>3795</v>
      </c>
      <c r="D31" s="191" t="n">
        <v>554187201353</v>
      </c>
      <c r="E31" s="190" t="s">
        <v>3796</v>
      </c>
      <c r="F31" s="192" t="n">
        <f aca="false">SUMIF(ENTRADAS!F:F,CLIENTES_PCBR[[#This Row],[TELEFONO]],ENTRADAS!C:C)</f>
        <v>0</v>
      </c>
      <c r="G31" s="189" t="s">
        <v>94</v>
      </c>
    </row>
    <row r="32" customFormat="false" ht="15" hidden="false" customHeight="false" outlineLevel="0" collapsed="false">
      <c r="A32" s="197"/>
      <c r="B32" s="191"/>
      <c r="C32" s="190" t="s">
        <v>3797</v>
      </c>
      <c r="D32" s="191" t="n">
        <v>554888107400</v>
      </c>
      <c r="E32" s="190" t="s">
        <v>3798</v>
      </c>
      <c r="F32" s="192" t="n">
        <f aca="false">SUMIF(ENTRADAS!F:F,CLIENTES_PCBR[[#This Row],[TELEFONO]],ENTRADAS!C:C)</f>
        <v>0</v>
      </c>
      <c r="G32" s="189" t="s">
        <v>94</v>
      </c>
    </row>
    <row r="33" customFormat="false" ht="15" hidden="false" customHeight="false" outlineLevel="0" collapsed="false">
      <c r="A33" s="197"/>
      <c r="B33" s="191"/>
      <c r="C33" s="190" t="s">
        <v>3799</v>
      </c>
      <c r="D33" s="191" t="n">
        <v>559881313027</v>
      </c>
      <c r="E33" s="190" t="s">
        <v>3800</v>
      </c>
      <c r="F33" s="192" t="n">
        <f aca="false">SUMIF(ENTRADAS!F:F,CLIENTES_PCBR[[#This Row],[TELEFONO]],ENTRADAS!C:C)</f>
        <v>0</v>
      </c>
      <c r="G33" s="189" t="s">
        <v>94</v>
      </c>
    </row>
    <row r="34" customFormat="false" ht="15" hidden="false" customHeight="false" outlineLevel="0" collapsed="false">
      <c r="A34" s="197"/>
      <c r="B34" s="191"/>
      <c r="C34" s="190" t="s">
        <v>3801</v>
      </c>
      <c r="D34" s="191" t="n">
        <v>559584183491</v>
      </c>
      <c r="E34" s="190" t="s">
        <v>3802</v>
      </c>
      <c r="F34" s="192" t="n">
        <f aca="false">SUMIF(ENTRADAS!F:F,CLIENTES_PCBR[[#This Row],[TELEFONO]],ENTRADAS!C:C)</f>
        <v>0</v>
      </c>
      <c r="G34" s="189" t="s">
        <v>94</v>
      </c>
    </row>
    <row r="35" customFormat="false" ht="15" hidden="false" customHeight="false" outlineLevel="0" collapsed="false">
      <c r="A35" s="197"/>
      <c r="B35" s="191"/>
      <c r="C35" s="190" t="s">
        <v>3803</v>
      </c>
      <c r="D35" s="191" t="n">
        <v>559591771597</v>
      </c>
      <c r="E35" s="190" t="s">
        <v>3804</v>
      </c>
      <c r="F35" s="192" t="n">
        <f aca="false">SUMIF(ENTRADAS!F:F,CLIENTES_PCBR[[#This Row],[TELEFONO]],ENTRADAS!C:C)</f>
        <v>0</v>
      </c>
      <c r="G35" s="189" t="s">
        <v>94</v>
      </c>
    </row>
    <row r="36" customFormat="false" ht="15" hidden="false" customHeight="false" outlineLevel="0" collapsed="false">
      <c r="A36" s="197"/>
      <c r="B36" s="191"/>
      <c r="C36" s="190" t="s">
        <v>3805</v>
      </c>
      <c r="D36" s="191" t="n">
        <v>554888543168</v>
      </c>
      <c r="E36" s="190" t="s">
        <v>3806</v>
      </c>
      <c r="F36" s="192" t="n">
        <f aca="false">SUMIF(ENTRADAS!F:F,CLIENTES_PCBR[[#This Row],[TELEFONO]],ENTRADAS!C:C)</f>
        <v>0</v>
      </c>
      <c r="G36" s="189" t="s">
        <v>94</v>
      </c>
    </row>
    <row r="37" customFormat="false" ht="15" hidden="false" customHeight="false" outlineLevel="0" collapsed="false">
      <c r="A37" s="197"/>
      <c r="B37" s="191"/>
      <c r="C37" s="190" t="s">
        <v>3807</v>
      </c>
      <c r="D37" s="191" t="n">
        <v>559581218021</v>
      </c>
      <c r="E37" s="190" t="s">
        <v>3808</v>
      </c>
      <c r="F37" s="192" t="n">
        <f aca="false">SUMIF(ENTRADAS!F:F,CLIENTES_PCBR[[#This Row],[TELEFONO]],ENTRADAS!C:C)</f>
        <v>0</v>
      </c>
      <c r="G37" s="189" t="s">
        <v>94</v>
      </c>
    </row>
    <row r="38" customFormat="false" ht="15" hidden="false" customHeight="false" outlineLevel="0" collapsed="false">
      <c r="A38" s="197"/>
      <c r="B38" s="191"/>
      <c r="C38" s="190" t="s">
        <v>3809</v>
      </c>
      <c r="D38" s="191" t="n">
        <v>559381173597</v>
      </c>
      <c r="E38" s="190" t="s">
        <v>860</v>
      </c>
      <c r="F38" s="192" t="n">
        <f aca="false">SUMIF(ENTRADAS!F:F,CLIENTES_PCBR[[#This Row],[TELEFONO]],ENTRADAS!C:C)</f>
        <v>1200</v>
      </c>
      <c r="G38" s="189" t="s">
        <v>94</v>
      </c>
    </row>
    <row r="39" customFormat="false" ht="15" hidden="false" customHeight="false" outlineLevel="0" collapsed="false">
      <c r="A39" s="197"/>
      <c r="B39" s="191"/>
      <c r="C39" s="190" t="s">
        <v>3784</v>
      </c>
      <c r="D39" s="191" t="n">
        <v>554899335943</v>
      </c>
      <c r="E39" s="190" t="s">
        <v>3810</v>
      </c>
      <c r="F39" s="192" t="n">
        <f aca="false">SUMIF(ENTRADAS!F:F,CLIENTES_PCBR[[#This Row],[TELEFONO]],ENTRADAS!C:C)</f>
        <v>0</v>
      </c>
      <c r="G39" s="189" t="s">
        <v>94</v>
      </c>
    </row>
    <row r="40" customFormat="false" ht="15" hidden="false" customHeight="false" outlineLevel="0" collapsed="false">
      <c r="A40" s="197"/>
      <c r="B40" s="191"/>
      <c r="C40" s="190" t="s">
        <v>3811</v>
      </c>
      <c r="D40" s="191" t="n">
        <v>555492826617</v>
      </c>
      <c r="E40" s="190" t="s">
        <v>3812</v>
      </c>
      <c r="F40" s="192" t="n">
        <f aca="false">SUMIF(ENTRADAS!F:F,CLIENTES_PCBR[[#This Row],[TELEFONO]],ENTRADAS!C:C)</f>
        <v>0</v>
      </c>
      <c r="G40" s="189" t="s">
        <v>94</v>
      </c>
    </row>
    <row r="41" customFormat="false" ht="15" hidden="false" customHeight="false" outlineLevel="0" collapsed="false">
      <c r="A41" s="197"/>
      <c r="B41" s="191"/>
      <c r="C41" s="190" t="s">
        <v>3813</v>
      </c>
      <c r="D41" s="191" t="n">
        <v>554188683463</v>
      </c>
      <c r="E41" s="190" t="s">
        <v>3814</v>
      </c>
      <c r="F41" s="192" t="n">
        <f aca="false">SUMIF(ENTRADAS!F:F,CLIENTES_PCBR[[#This Row],[TELEFONO]],ENTRADAS!C:C)</f>
        <v>0</v>
      </c>
      <c r="G41" s="189" t="s">
        <v>94</v>
      </c>
    </row>
    <row r="42" customFormat="false" ht="15" hidden="false" customHeight="false" outlineLevel="0" collapsed="false">
      <c r="A42" s="197"/>
      <c r="B42" s="191"/>
      <c r="C42" s="190" t="s">
        <v>3815</v>
      </c>
      <c r="D42" s="191" t="n">
        <v>554888293354</v>
      </c>
      <c r="E42" s="190" t="s">
        <v>3816</v>
      </c>
      <c r="F42" s="192" t="n">
        <f aca="false">SUMIF(ENTRADAS!F:F,CLIENTES_PCBR[[#This Row],[TELEFONO]],ENTRADAS!C:C)</f>
        <v>0</v>
      </c>
      <c r="G42" s="189" t="s">
        <v>94</v>
      </c>
    </row>
    <row r="43" customFormat="false" ht="15" hidden="false" customHeight="false" outlineLevel="0" collapsed="false">
      <c r="A43" s="197"/>
      <c r="B43" s="191"/>
      <c r="C43" s="190" t="s">
        <v>3817</v>
      </c>
      <c r="D43" s="191" t="n">
        <v>555492461169</v>
      </c>
      <c r="E43" s="190" t="s">
        <v>3818</v>
      </c>
      <c r="F43" s="192" t="n">
        <f aca="false">SUMIF(ENTRADAS!F:F,CLIENTES_PCBR[[#This Row],[TELEFONO]],ENTRADAS!C:C)</f>
        <v>0</v>
      </c>
      <c r="G43" s="189" t="s">
        <v>94</v>
      </c>
    </row>
    <row r="44" customFormat="false" ht="15" hidden="false" customHeight="false" outlineLevel="0" collapsed="false">
      <c r="A44" s="197"/>
      <c r="B44" s="191"/>
      <c r="C44" s="190" t="s">
        <v>3819</v>
      </c>
      <c r="D44" s="191" t="n">
        <v>559684222135</v>
      </c>
      <c r="E44" s="190" t="s">
        <v>3820</v>
      </c>
      <c r="F44" s="192" t="n">
        <f aca="false">SUMIF(ENTRADAS!F:F,CLIENTES_PCBR[[#This Row],[TELEFONO]],ENTRADAS!C:C)</f>
        <v>0</v>
      </c>
      <c r="G44" s="189" t="s">
        <v>94</v>
      </c>
    </row>
    <row r="45" customFormat="false" ht="15" hidden="false" customHeight="false" outlineLevel="0" collapsed="false">
      <c r="A45" s="197"/>
      <c r="B45" s="191"/>
      <c r="C45" s="190" t="s">
        <v>3821</v>
      </c>
      <c r="D45" s="191" t="n">
        <v>555496298208</v>
      </c>
      <c r="E45" s="190" t="s">
        <v>3822</v>
      </c>
      <c r="F45" s="192" t="n">
        <f aca="false">SUMIF(ENTRADAS!F:F,CLIENTES_PCBR[[#This Row],[TELEFONO]],ENTRADAS!C:C)</f>
        <v>0</v>
      </c>
      <c r="G45" s="189" t="s">
        <v>94</v>
      </c>
    </row>
    <row r="46" customFormat="false" ht="15" hidden="false" customHeight="false" outlineLevel="0" collapsed="false">
      <c r="A46" s="197"/>
      <c r="B46" s="191"/>
      <c r="C46" s="190" t="s">
        <v>3823</v>
      </c>
      <c r="D46" s="191" t="n">
        <v>556481252166</v>
      </c>
      <c r="E46" s="190" t="s">
        <v>3824</v>
      </c>
      <c r="F46" s="192" t="n">
        <f aca="false">SUMIF(ENTRADAS!F:F,CLIENTES_PCBR[[#This Row],[TELEFONO]],ENTRADAS!C:C)</f>
        <v>0</v>
      </c>
      <c r="G46" s="189" t="s">
        <v>94</v>
      </c>
    </row>
    <row r="47" customFormat="false" ht="15" hidden="false" customHeight="false" outlineLevel="0" collapsed="false">
      <c r="A47" s="197"/>
      <c r="B47" s="191"/>
      <c r="C47" s="190" t="s">
        <v>3825</v>
      </c>
      <c r="D47" s="191" t="n">
        <v>554196741633</v>
      </c>
      <c r="E47" s="190" t="s">
        <v>3826</v>
      </c>
      <c r="F47" s="192" t="n">
        <f aca="false">SUMIF(ENTRADAS!F:F,CLIENTES_PCBR[[#This Row],[TELEFONO]],ENTRADAS!C:C)</f>
        <v>0</v>
      </c>
      <c r="G47" s="189" t="s">
        <v>94</v>
      </c>
    </row>
    <row r="48" customFormat="false" ht="15" hidden="false" customHeight="false" outlineLevel="0" collapsed="false">
      <c r="A48" s="197"/>
      <c r="B48" s="191"/>
      <c r="C48" s="190" t="s">
        <v>3827</v>
      </c>
      <c r="D48" s="191" t="n">
        <v>5511916010622</v>
      </c>
      <c r="E48" s="190" t="s">
        <v>3828</v>
      </c>
      <c r="F48" s="192" t="n">
        <f aca="false">SUMIF(ENTRADAS!F:F,CLIENTES_PCBR[[#This Row],[TELEFONO]],ENTRADAS!C:C)</f>
        <v>0</v>
      </c>
      <c r="G48" s="189" t="s">
        <v>94</v>
      </c>
    </row>
    <row r="49" customFormat="false" ht="15" hidden="false" customHeight="false" outlineLevel="0" collapsed="false">
      <c r="A49" s="197"/>
      <c r="B49" s="191"/>
      <c r="C49" s="190" t="s">
        <v>3829</v>
      </c>
      <c r="D49" s="191" t="n">
        <v>554199934537</v>
      </c>
      <c r="E49" s="190" t="s">
        <v>3830</v>
      </c>
      <c r="F49" s="192" t="n">
        <f aca="false">SUMIF(ENTRADAS!F:F,CLIENTES_PCBR[[#This Row],[TELEFONO]],ENTRADAS!C:C)</f>
        <v>0</v>
      </c>
      <c r="G49" s="189" t="s">
        <v>94</v>
      </c>
    </row>
    <row r="50" customFormat="false" ht="15" hidden="false" customHeight="false" outlineLevel="0" collapsed="false">
      <c r="A50" s="197"/>
      <c r="B50" s="191"/>
      <c r="C50" s="190" t="s">
        <v>3831</v>
      </c>
      <c r="D50" s="191" t="n">
        <v>556292998913</v>
      </c>
      <c r="E50" s="190" t="s">
        <v>3832</v>
      </c>
      <c r="F50" s="192" t="n">
        <f aca="false">SUMIF(ENTRADAS!F:F,CLIENTES_PCBR[[#This Row],[TELEFONO]],ENTRADAS!C:C)</f>
        <v>0</v>
      </c>
      <c r="G50" s="189" t="s">
        <v>94</v>
      </c>
    </row>
    <row r="51" customFormat="false" ht="15" hidden="false" customHeight="false" outlineLevel="0" collapsed="false">
      <c r="A51" s="197"/>
      <c r="B51" s="191"/>
      <c r="C51" s="190" t="s">
        <v>3833</v>
      </c>
      <c r="D51" s="191" t="n">
        <v>5511916491207</v>
      </c>
      <c r="E51" s="190" t="s">
        <v>3834</v>
      </c>
      <c r="F51" s="192" t="n">
        <f aca="false">SUMIF(ENTRADAS!F:F,CLIENTES_PCBR[[#This Row],[TELEFONO]],ENTRADAS!C:C)</f>
        <v>0</v>
      </c>
      <c r="G51" s="189" t="s">
        <v>94</v>
      </c>
    </row>
    <row r="52" customFormat="false" ht="15" hidden="false" customHeight="false" outlineLevel="0" collapsed="false">
      <c r="A52" s="197"/>
      <c r="B52" s="191"/>
      <c r="C52" s="190" t="s">
        <v>3835</v>
      </c>
      <c r="D52" s="191" t="n">
        <v>559584281747</v>
      </c>
      <c r="E52" s="190" t="s">
        <v>3836</v>
      </c>
      <c r="F52" s="192" t="n">
        <f aca="false">SUMIF(ENTRADAS!F:F,CLIENTES_PCBR[[#This Row],[TELEFONO]],ENTRADAS!C:C)</f>
        <v>0</v>
      </c>
      <c r="G52" s="189" t="s">
        <v>94</v>
      </c>
    </row>
    <row r="53" customFormat="false" ht="15" hidden="false" customHeight="false" outlineLevel="0" collapsed="false">
      <c r="A53" s="197"/>
      <c r="B53" s="191"/>
      <c r="C53" s="190" t="s">
        <v>3837</v>
      </c>
      <c r="D53" s="191" t="n">
        <v>554198241078</v>
      </c>
      <c r="E53" s="190" t="s">
        <v>3838</v>
      </c>
      <c r="F53" s="192" t="n">
        <f aca="false">SUMIF(ENTRADAS!F:F,CLIENTES_PCBR[[#This Row],[TELEFONO]],ENTRADAS!C:C)</f>
        <v>0</v>
      </c>
      <c r="G53" s="189" t="s">
        <v>94</v>
      </c>
    </row>
    <row r="54" customFormat="false" ht="15" hidden="false" customHeight="false" outlineLevel="0" collapsed="false">
      <c r="A54" s="197"/>
      <c r="B54" s="191"/>
      <c r="C54" s="190" t="s">
        <v>3839</v>
      </c>
      <c r="D54" s="191" t="n">
        <v>5562981719375</v>
      </c>
      <c r="E54" s="190" t="s">
        <v>3840</v>
      </c>
      <c r="F54" s="192" t="n">
        <f aca="false">SUMIF(ENTRADAS!F:F,CLIENTES_PCBR[[#This Row],[TELEFONO]],ENTRADAS!C:C)</f>
        <v>0</v>
      </c>
      <c r="G54" s="189" t="s">
        <v>94</v>
      </c>
    </row>
    <row r="55" customFormat="false" ht="15" hidden="false" customHeight="false" outlineLevel="0" collapsed="false">
      <c r="A55" s="197"/>
      <c r="B55" s="191"/>
      <c r="C55" s="190" t="s">
        <v>3841</v>
      </c>
      <c r="D55" s="191" t="n">
        <v>554899097663</v>
      </c>
      <c r="E55" s="190" t="s">
        <v>3842</v>
      </c>
      <c r="F55" s="192" t="n">
        <f aca="false">SUMIF(ENTRADAS!F:F,CLIENTES_PCBR[[#This Row],[TELEFONO]],ENTRADAS!C:C)</f>
        <v>0</v>
      </c>
      <c r="G55" s="189" t="s">
        <v>94</v>
      </c>
    </row>
    <row r="56" customFormat="false" ht="15" hidden="false" customHeight="false" outlineLevel="0" collapsed="false">
      <c r="A56" s="197"/>
      <c r="B56" s="191"/>
      <c r="C56" s="190" t="s">
        <v>3843</v>
      </c>
      <c r="D56" s="191" t="n">
        <v>556182037309</v>
      </c>
      <c r="E56" s="190" t="s">
        <v>3844</v>
      </c>
      <c r="F56" s="192" t="n">
        <f aca="false">SUMIF(ENTRADAS!F:F,CLIENTES_PCBR[[#This Row],[TELEFONO]],ENTRADAS!C:C)</f>
        <v>0</v>
      </c>
      <c r="G56" s="189" t="s">
        <v>94</v>
      </c>
    </row>
    <row r="57" customFormat="false" ht="15" hidden="false" customHeight="false" outlineLevel="0" collapsed="false">
      <c r="A57" s="197"/>
      <c r="B57" s="191"/>
      <c r="C57" s="190" t="s">
        <v>3845</v>
      </c>
      <c r="D57" s="191" t="n">
        <v>5548991707689</v>
      </c>
      <c r="E57" s="190" t="s">
        <v>3846</v>
      </c>
      <c r="F57" s="192" t="n">
        <f aca="false">SUMIF(ENTRADAS!F:F,CLIENTES_PCBR[[#This Row],[TELEFONO]],ENTRADAS!C:C)</f>
        <v>0</v>
      </c>
      <c r="G57" s="189" t="s">
        <v>94</v>
      </c>
    </row>
    <row r="58" customFormat="false" ht="15" hidden="false" customHeight="false" outlineLevel="0" collapsed="false">
      <c r="A58" s="197"/>
      <c r="B58" s="191"/>
      <c r="C58" s="190" t="s">
        <v>3847</v>
      </c>
      <c r="D58" s="191" t="n">
        <v>554199436509</v>
      </c>
      <c r="E58" s="190" t="s">
        <v>3848</v>
      </c>
      <c r="F58" s="192" t="n">
        <f aca="false">SUMIF(ENTRADAS!F:F,CLIENTES_PCBR[[#This Row],[TELEFONO]],ENTRADAS!C:C)</f>
        <v>0</v>
      </c>
      <c r="G58" s="189" t="s">
        <v>94</v>
      </c>
    </row>
    <row r="59" customFormat="false" ht="15" hidden="false" customHeight="false" outlineLevel="0" collapsed="false">
      <c r="A59" s="197"/>
      <c r="B59" s="191"/>
      <c r="C59" s="190" t="s">
        <v>3849</v>
      </c>
      <c r="D59" s="191" t="n">
        <v>559584270772</v>
      </c>
      <c r="E59" s="190" t="s">
        <v>3850</v>
      </c>
      <c r="F59" s="192" t="n">
        <f aca="false">SUMIF(ENTRADAS!F:F,CLIENTES_PCBR[[#This Row],[TELEFONO]],ENTRADAS!C:C)</f>
        <v>0</v>
      </c>
      <c r="G59" s="189" t="s">
        <v>94</v>
      </c>
    </row>
    <row r="60" customFormat="false" ht="15" hidden="false" customHeight="false" outlineLevel="0" collapsed="false">
      <c r="A60" s="197"/>
      <c r="B60" s="191"/>
      <c r="C60" s="190" t="s">
        <v>3851</v>
      </c>
      <c r="D60" s="191" t="n">
        <v>554896891124</v>
      </c>
      <c r="E60" s="190" t="s">
        <v>3852</v>
      </c>
      <c r="F60" s="192" t="n">
        <f aca="false">SUMIF(ENTRADAS!F:F,CLIENTES_PCBR[[#This Row],[TELEFONO]],ENTRADAS!C:C)</f>
        <v>0</v>
      </c>
      <c r="G60" s="189" t="s">
        <v>94</v>
      </c>
    </row>
    <row r="61" customFormat="false" ht="15" hidden="false" customHeight="false" outlineLevel="0" collapsed="false">
      <c r="A61" s="197"/>
      <c r="B61" s="191"/>
      <c r="C61" s="190" t="s">
        <v>3853</v>
      </c>
      <c r="D61" s="191" t="n">
        <v>551115266146</v>
      </c>
      <c r="E61" s="190" t="s">
        <v>3854</v>
      </c>
      <c r="F61" s="192" t="n">
        <f aca="false">SUMIF(ENTRADAS!F:F,CLIENTES_PCBR[[#This Row],[TELEFONO]],ENTRADAS!C:C)</f>
        <v>0</v>
      </c>
      <c r="G61" s="189" t="s">
        <v>94</v>
      </c>
    </row>
    <row r="62" customFormat="false" ht="15" hidden="false" customHeight="false" outlineLevel="0" collapsed="false">
      <c r="A62" s="197"/>
      <c r="B62" s="191"/>
      <c r="C62" s="190" t="s">
        <v>3855</v>
      </c>
      <c r="D62" s="191" t="n">
        <v>554199267339</v>
      </c>
      <c r="E62" s="190" t="s">
        <v>3856</v>
      </c>
      <c r="F62" s="192" t="n">
        <f aca="false">SUMIF(ENTRADAS!F:F,CLIENTES_PCBR[[#This Row],[TELEFONO]],ENTRADAS!C:C)</f>
        <v>0</v>
      </c>
      <c r="G62" s="189" t="s">
        <v>94</v>
      </c>
    </row>
    <row r="63" customFormat="false" ht="15" hidden="false" customHeight="false" outlineLevel="0" collapsed="false">
      <c r="A63" s="197"/>
      <c r="B63" s="191"/>
      <c r="C63" s="190" t="s">
        <v>3296</v>
      </c>
      <c r="D63" s="191" t="n">
        <v>554192524215</v>
      </c>
      <c r="E63" s="190" t="s">
        <v>3297</v>
      </c>
      <c r="F63" s="192" t="n">
        <f aca="false">SUMIF(ENTRADAS!F:F,CLIENTES_PCBR[[#This Row],[TELEFONO]],ENTRADAS!C:C)</f>
        <v>200</v>
      </c>
      <c r="G63" s="189" t="s">
        <v>94</v>
      </c>
    </row>
    <row r="64" customFormat="false" ht="15" hidden="false" customHeight="false" outlineLevel="0" collapsed="false">
      <c r="A64" s="197"/>
      <c r="B64" s="191"/>
      <c r="C64" s="190" t="s">
        <v>3857</v>
      </c>
      <c r="D64" s="191" t="n">
        <v>556194185099</v>
      </c>
      <c r="E64" s="190" t="s">
        <v>3858</v>
      </c>
      <c r="F64" s="192" t="n">
        <f aca="false">SUMIF(ENTRADAS!F:F,CLIENTES_PCBR[[#This Row],[TELEFONO]],ENTRADAS!C:C)</f>
        <v>0</v>
      </c>
      <c r="G64" s="189" t="s">
        <v>94</v>
      </c>
    </row>
    <row r="65" customFormat="false" ht="15" hidden="false" customHeight="false" outlineLevel="0" collapsed="false">
      <c r="A65" s="197"/>
      <c r="B65" s="191"/>
      <c r="C65" s="190" t="s">
        <v>3859</v>
      </c>
      <c r="D65" s="191" t="n">
        <v>554198275847</v>
      </c>
      <c r="E65" s="190" t="s">
        <v>3860</v>
      </c>
      <c r="F65" s="192" t="n">
        <f aca="false">SUMIF(ENTRADAS!F:F,CLIENTES_PCBR[[#This Row],[TELEFONO]],ENTRADAS!C:C)</f>
        <v>0</v>
      </c>
      <c r="G65" s="189" t="s">
        <v>94</v>
      </c>
    </row>
    <row r="66" customFormat="false" ht="15" hidden="false" customHeight="false" outlineLevel="0" collapsed="false">
      <c r="A66" s="197"/>
      <c r="B66" s="191"/>
      <c r="C66" s="190" t="s">
        <v>3861</v>
      </c>
      <c r="D66" s="191" t="n">
        <v>554198193404</v>
      </c>
      <c r="E66" s="190" t="s">
        <v>3862</v>
      </c>
      <c r="F66" s="192" t="n">
        <f aca="false">SUMIF(ENTRADAS!F:F,CLIENTES_PCBR[[#This Row],[TELEFONO]],ENTRADAS!C:C)</f>
        <v>0</v>
      </c>
      <c r="G66" s="189" t="s">
        <v>94</v>
      </c>
    </row>
    <row r="67" customFormat="false" ht="15" hidden="false" customHeight="false" outlineLevel="0" collapsed="false">
      <c r="A67" s="197"/>
      <c r="B67" s="191"/>
      <c r="C67" s="190" t="s">
        <v>3863</v>
      </c>
      <c r="D67" s="191" t="n">
        <v>554199670252</v>
      </c>
      <c r="E67" s="190" t="s">
        <v>3864</v>
      </c>
      <c r="F67" s="192" t="n">
        <f aca="false">SUMIF(ENTRADAS!F:F,CLIENTES_PCBR[[#This Row],[TELEFONO]],ENTRADAS!C:C)</f>
        <v>0</v>
      </c>
      <c r="G67" s="189" t="s">
        <v>94</v>
      </c>
    </row>
    <row r="68" customFormat="false" ht="15" hidden="false" customHeight="false" outlineLevel="0" collapsed="false">
      <c r="A68" s="197"/>
      <c r="B68" s="191"/>
      <c r="C68" s="190" t="s">
        <v>3865</v>
      </c>
      <c r="D68" s="191" t="n">
        <v>559684295307</v>
      </c>
      <c r="E68" s="190" t="s">
        <v>3866</v>
      </c>
      <c r="F68" s="192" t="n">
        <f aca="false">SUMIF(ENTRADAS!F:F,CLIENTES_PCBR[[#This Row],[TELEFONO]],ENTRADAS!C:C)</f>
        <v>0</v>
      </c>
      <c r="G68" s="189" t="s">
        <v>94</v>
      </c>
    </row>
    <row r="69" customFormat="false" ht="15" hidden="false" customHeight="false" outlineLevel="0" collapsed="false">
      <c r="A69" s="197"/>
      <c r="B69" s="191"/>
      <c r="C69" s="190" t="s">
        <v>3867</v>
      </c>
      <c r="D69" s="191" t="n">
        <v>554197268935</v>
      </c>
      <c r="E69" s="190" t="s">
        <v>3868</v>
      </c>
      <c r="F69" s="192" t="n">
        <f aca="false">SUMIF(ENTRADAS!F:F,CLIENTES_PCBR[[#This Row],[TELEFONO]],ENTRADAS!C:C)</f>
        <v>0</v>
      </c>
      <c r="G69" s="189" t="s">
        <v>94</v>
      </c>
    </row>
    <row r="70" customFormat="false" ht="15" hidden="false" customHeight="false" outlineLevel="0" collapsed="false">
      <c r="A70" s="197"/>
      <c r="B70" s="191"/>
      <c r="C70" s="190" t="s">
        <v>3869</v>
      </c>
      <c r="D70" s="191" t="n">
        <v>554184510237</v>
      </c>
      <c r="E70" s="190" t="s">
        <v>3870</v>
      </c>
      <c r="F70" s="192" t="n">
        <f aca="false">SUMIF(ENTRADAS!F:F,CLIENTES_PCBR[[#This Row],[TELEFONO]],ENTRADAS!C:C)</f>
        <v>0</v>
      </c>
      <c r="G70" s="189" t="s">
        <v>94</v>
      </c>
    </row>
    <row r="71" customFormat="false" ht="15" hidden="false" customHeight="false" outlineLevel="0" collapsed="false">
      <c r="A71" s="197"/>
      <c r="B71" s="191"/>
      <c r="C71" s="190" t="s">
        <v>3871</v>
      </c>
      <c r="D71" s="191" t="n">
        <v>554998113765</v>
      </c>
      <c r="E71" s="190" t="s">
        <v>934</v>
      </c>
      <c r="F71" s="192" t="n">
        <f aca="false">SUMIF(ENTRADAS!F:F,CLIENTES_PCBR[[#This Row],[TELEFONO]],ENTRADAS!C:C)</f>
        <v>110</v>
      </c>
      <c r="G71" s="189" t="s">
        <v>94</v>
      </c>
    </row>
    <row r="72" customFormat="false" ht="15" hidden="false" customHeight="false" outlineLevel="0" collapsed="false">
      <c r="A72" s="197"/>
      <c r="B72" s="191"/>
      <c r="C72" s="190" t="s">
        <v>3872</v>
      </c>
      <c r="D72" s="191" t="n">
        <v>556291579987</v>
      </c>
      <c r="E72" s="190" t="s">
        <v>3873</v>
      </c>
      <c r="F72" s="192" t="n">
        <f aca="false">SUMIF(ENTRADAS!F:F,CLIENTES_PCBR[[#This Row],[TELEFONO]],ENTRADAS!C:C)</f>
        <v>0</v>
      </c>
      <c r="G72" s="189" t="s">
        <v>94</v>
      </c>
    </row>
    <row r="73" customFormat="false" ht="15" hidden="false" customHeight="false" outlineLevel="0" collapsed="false">
      <c r="A73" s="197"/>
      <c r="B73" s="191"/>
      <c r="C73" s="190" t="s">
        <v>3874</v>
      </c>
      <c r="D73" s="191" t="n">
        <v>556299630663</v>
      </c>
      <c r="E73" s="190" t="s">
        <v>3875</v>
      </c>
      <c r="F73" s="192" t="n">
        <f aca="false">SUMIF(ENTRADAS!F:F,CLIENTES_PCBR[[#This Row],[TELEFONO]],ENTRADAS!C:C)</f>
        <v>0</v>
      </c>
      <c r="G73" s="189" t="s">
        <v>94</v>
      </c>
    </row>
    <row r="74" customFormat="false" ht="15" hidden="false" customHeight="false" outlineLevel="0" collapsed="false">
      <c r="A74" s="197"/>
      <c r="B74" s="191"/>
      <c r="C74" s="190" t="s">
        <v>3876</v>
      </c>
      <c r="D74" s="191" t="n">
        <v>559581145802</v>
      </c>
      <c r="E74" s="190" t="s">
        <v>3877</v>
      </c>
      <c r="F74" s="192" t="n">
        <f aca="false">SUMIF(ENTRADAS!F:F,CLIENTES_PCBR[[#This Row],[TELEFONO]],ENTRADAS!C:C)</f>
        <v>0</v>
      </c>
      <c r="G74" s="189" t="s">
        <v>94</v>
      </c>
    </row>
    <row r="75" customFormat="false" ht="15" hidden="false" customHeight="false" outlineLevel="0" collapsed="false">
      <c r="A75" s="197"/>
      <c r="B75" s="191"/>
      <c r="C75" s="190" t="s">
        <v>3878</v>
      </c>
      <c r="D75" s="191" t="n">
        <v>554599358242</v>
      </c>
      <c r="E75" s="190" t="s">
        <v>3879</v>
      </c>
      <c r="F75" s="192" t="n">
        <f aca="false">SUMIF(ENTRADAS!F:F,CLIENTES_PCBR[[#This Row],[TELEFONO]],ENTRADAS!C:C)</f>
        <v>0</v>
      </c>
      <c r="G75" s="189" t="s">
        <v>94</v>
      </c>
    </row>
    <row r="76" customFormat="false" ht="15" hidden="false" customHeight="false" outlineLevel="0" collapsed="false">
      <c r="A76" s="197"/>
      <c r="B76" s="191"/>
      <c r="C76" s="190" t="s">
        <v>3880</v>
      </c>
      <c r="D76" s="191" t="n">
        <v>554199598924</v>
      </c>
      <c r="E76" s="190" t="s">
        <v>3881</v>
      </c>
      <c r="F76" s="192" t="n">
        <f aca="false">SUMIF(ENTRADAS!F:F,CLIENTES_PCBR[[#This Row],[TELEFONO]],ENTRADAS!C:C)</f>
        <v>0</v>
      </c>
      <c r="G76" s="189" t="s">
        <v>94</v>
      </c>
    </row>
    <row r="77" customFormat="false" ht="15" hidden="false" customHeight="false" outlineLevel="0" collapsed="false">
      <c r="A77" s="197"/>
      <c r="B77" s="191"/>
      <c r="C77" s="190" t="s">
        <v>3882</v>
      </c>
      <c r="D77" s="191" t="n">
        <v>553491165613</v>
      </c>
      <c r="E77" s="190" t="s">
        <v>3883</v>
      </c>
      <c r="F77" s="192" t="n">
        <f aca="false">SUMIF(ENTRADAS!F:F,CLIENTES_PCBR[[#This Row],[TELEFONO]],ENTRADAS!C:C)</f>
        <v>0</v>
      </c>
      <c r="G77" s="189" t="s">
        <v>94</v>
      </c>
    </row>
    <row r="78" customFormat="false" ht="15" hidden="false" customHeight="false" outlineLevel="0" collapsed="false">
      <c r="A78" s="197"/>
      <c r="B78" s="191"/>
      <c r="C78" s="190" t="s">
        <v>3884</v>
      </c>
      <c r="D78" s="191" t="n">
        <v>559591380591</v>
      </c>
      <c r="E78" s="190" t="s">
        <v>3885</v>
      </c>
      <c r="F78" s="192" t="n">
        <f aca="false">SUMIF(ENTRADAS!F:F,CLIENTES_PCBR[[#This Row],[TELEFONO]],ENTRADAS!C:C)</f>
        <v>0</v>
      </c>
      <c r="G78" s="189" t="s">
        <v>94</v>
      </c>
    </row>
    <row r="79" customFormat="false" ht="15" hidden="false" customHeight="false" outlineLevel="0" collapsed="false">
      <c r="A79" s="197"/>
      <c r="B79" s="191"/>
      <c r="C79" s="190" t="s">
        <v>3886</v>
      </c>
      <c r="D79" s="191" t="n">
        <v>554891171016</v>
      </c>
      <c r="E79" s="190" t="s">
        <v>3887</v>
      </c>
      <c r="F79" s="192" t="n">
        <f aca="false">SUMIF(ENTRADAS!F:F,CLIENTES_PCBR[[#This Row],[TELEFONO]],ENTRADAS!C:C)</f>
        <v>0</v>
      </c>
      <c r="G79" s="189" t="s">
        <v>94</v>
      </c>
    </row>
    <row r="80" customFormat="false" ht="15" hidden="false" customHeight="false" outlineLevel="0" collapsed="false">
      <c r="A80" s="197"/>
      <c r="B80" s="191"/>
      <c r="C80" s="190" t="s">
        <v>3888</v>
      </c>
      <c r="D80" s="191" t="n">
        <v>553497985299</v>
      </c>
      <c r="E80" s="190" t="s">
        <v>3889</v>
      </c>
      <c r="F80" s="192" t="n">
        <f aca="false">SUMIF(ENTRADAS!F:F,CLIENTES_PCBR[[#This Row],[TELEFONO]],ENTRADAS!C:C)</f>
        <v>0</v>
      </c>
      <c r="G80" s="189" t="s">
        <v>94</v>
      </c>
    </row>
    <row r="81" customFormat="false" ht="15" hidden="false" customHeight="false" outlineLevel="0" collapsed="false">
      <c r="A81" s="197"/>
      <c r="B81" s="191"/>
      <c r="C81" s="190" t="s">
        <v>3890</v>
      </c>
      <c r="D81" s="191" t="n">
        <v>554199018974</v>
      </c>
      <c r="E81" s="190" t="s">
        <v>3891</v>
      </c>
      <c r="F81" s="192" t="n">
        <f aca="false">SUMIF(ENTRADAS!F:F,CLIENTES_PCBR[[#This Row],[TELEFONO]],ENTRADAS!C:C)</f>
        <v>0</v>
      </c>
      <c r="G81" s="189" t="s">
        <v>94</v>
      </c>
    </row>
    <row r="82" customFormat="false" ht="15" hidden="false" customHeight="false" outlineLevel="0" collapsed="false">
      <c r="A82" s="197"/>
      <c r="B82" s="191"/>
      <c r="C82" s="190" t="s">
        <v>3892</v>
      </c>
      <c r="D82" s="191" t="n">
        <v>555492560514</v>
      </c>
      <c r="E82" s="190" t="s">
        <v>3893</v>
      </c>
      <c r="F82" s="192" t="n">
        <f aca="false">SUMIF(ENTRADAS!F:F,CLIENTES_PCBR[[#This Row],[TELEFONO]],ENTRADAS!C:C)</f>
        <v>0</v>
      </c>
      <c r="G82" s="189" t="s">
        <v>94</v>
      </c>
    </row>
    <row r="83" customFormat="false" ht="15" hidden="false" customHeight="false" outlineLevel="0" collapsed="false">
      <c r="A83" s="197"/>
      <c r="B83" s="191"/>
      <c r="C83" s="190" t="s">
        <v>3894</v>
      </c>
      <c r="D83" s="191" t="n">
        <v>555491544469</v>
      </c>
      <c r="E83" s="190" t="s">
        <v>2035</v>
      </c>
      <c r="F83" s="192" t="n">
        <f aca="false">SUMIF(ENTRADAS!F:F,CLIENTES_PCBR[[#This Row],[TELEFONO]],ENTRADAS!C:C)</f>
        <v>500</v>
      </c>
      <c r="G83" s="189" t="s">
        <v>94</v>
      </c>
    </row>
    <row r="84" customFormat="false" ht="15" hidden="false" customHeight="false" outlineLevel="0" collapsed="false">
      <c r="A84" s="197"/>
      <c r="B84" s="191"/>
      <c r="C84" s="190" t="s">
        <v>3895</v>
      </c>
      <c r="D84" s="191" t="n">
        <v>556293278201</v>
      </c>
      <c r="E84" s="190" t="s">
        <v>3896</v>
      </c>
      <c r="F84" s="192" t="n">
        <f aca="false">SUMIF(ENTRADAS!F:F,CLIENTES_PCBR[[#This Row],[TELEFONO]],ENTRADAS!C:C)</f>
        <v>0</v>
      </c>
      <c r="G84" s="189" t="s">
        <v>94</v>
      </c>
    </row>
    <row r="85" customFormat="false" ht="15" hidden="false" customHeight="false" outlineLevel="0" collapsed="false">
      <c r="A85" s="197"/>
      <c r="B85" s="191"/>
      <c r="C85" s="190" t="s">
        <v>3897</v>
      </c>
      <c r="D85" s="191" t="n">
        <v>555581183024</v>
      </c>
      <c r="E85" s="190" t="s">
        <v>3898</v>
      </c>
      <c r="F85" s="192" t="n">
        <f aca="false">SUMIF(ENTRADAS!F:F,CLIENTES_PCBR[[#This Row],[TELEFONO]],ENTRADAS!C:C)</f>
        <v>0</v>
      </c>
      <c r="G85" s="189" t="s">
        <v>94</v>
      </c>
    </row>
    <row r="86" customFormat="false" ht="15" hidden="false" customHeight="false" outlineLevel="0" collapsed="false">
      <c r="A86" s="197"/>
      <c r="B86" s="191"/>
      <c r="C86" s="190" t="s">
        <v>3899</v>
      </c>
      <c r="D86" s="191" t="n">
        <v>554599677068</v>
      </c>
      <c r="E86" s="190" t="s">
        <v>3900</v>
      </c>
      <c r="F86" s="192" t="n">
        <f aca="false">SUMIF(ENTRADAS!F:F,CLIENTES_PCBR[[#This Row],[TELEFONO]],ENTRADAS!C:C)</f>
        <v>0</v>
      </c>
      <c r="G86" s="189" t="s">
        <v>94</v>
      </c>
    </row>
    <row r="87" customFormat="false" ht="15" hidden="false" customHeight="false" outlineLevel="0" collapsed="false">
      <c r="A87" s="197"/>
      <c r="B87" s="191"/>
      <c r="C87" s="190" t="s">
        <v>3901</v>
      </c>
      <c r="D87" s="191" t="n">
        <v>559584379233</v>
      </c>
      <c r="E87" s="190" t="s">
        <v>2874</v>
      </c>
      <c r="F87" s="192" t="n">
        <f aca="false">SUMIF(ENTRADAS!F:F,CLIENTES_PCBR[[#This Row],[TELEFONO]],ENTRADAS!C:C)</f>
        <v>694</v>
      </c>
      <c r="G87" s="189" t="s">
        <v>94</v>
      </c>
    </row>
    <row r="88" customFormat="false" ht="15" hidden="false" customHeight="false" outlineLevel="0" collapsed="false">
      <c r="A88" s="197"/>
      <c r="B88" s="191"/>
      <c r="C88" s="190" t="s">
        <v>3902</v>
      </c>
      <c r="D88" s="191" t="n">
        <v>556291120897</v>
      </c>
      <c r="E88" s="190" t="s">
        <v>3903</v>
      </c>
      <c r="F88" s="192" t="n">
        <f aca="false">SUMIF(ENTRADAS!F:F,CLIENTES_PCBR[[#This Row],[TELEFONO]],ENTRADAS!C:C)</f>
        <v>0</v>
      </c>
      <c r="G88" s="189" t="s">
        <v>94</v>
      </c>
    </row>
    <row r="89" customFormat="false" ht="15" hidden="false" customHeight="false" outlineLevel="0" collapsed="false">
      <c r="A89" s="197"/>
      <c r="B89" s="191"/>
      <c r="C89" s="190" t="s">
        <v>3904</v>
      </c>
      <c r="D89" s="191" t="n">
        <v>554197323372</v>
      </c>
      <c r="E89" s="190" t="s">
        <v>3905</v>
      </c>
      <c r="F89" s="192" t="n">
        <f aca="false">SUMIF(ENTRADAS!F:F,CLIENTES_PCBR[[#This Row],[TELEFONO]],ENTRADAS!C:C)</f>
        <v>0</v>
      </c>
      <c r="G89" s="189" t="s">
        <v>94</v>
      </c>
    </row>
    <row r="90" customFormat="false" ht="15" hidden="false" customHeight="false" outlineLevel="0" collapsed="false">
      <c r="A90" s="197"/>
      <c r="B90" s="191"/>
      <c r="C90" s="190" t="s">
        <v>3906</v>
      </c>
      <c r="D90" s="191" t="n">
        <v>5595984287958</v>
      </c>
      <c r="E90" s="190" t="s">
        <v>3907</v>
      </c>
      <c r="F90" s="192" t="n">
        <f aca="false">SUMIF(ENTRADAS!F:F,CLIENTES_PCBR[[#This Row],[TELEFONO]],ENTRADAS!C:C)</f>
        <v>0</v>
      </c>
      <c r="G90" s="189" t="s">
        <v>94</v>
      </c>
    </row>
    <row r="91" customFormat="false" ht="15" hidden="false" customHeight="false" outlineLevel="0" collapsed="false">
      <c r="A91" s="197"/>
      <c r="B91" s="191"/>
      <c r="C91" s="190" t="s">
        <v>3908</v>
      </c>
      <c r="D91" s="191" t="n">
        <v>555499109102</v>
      </c>
      <c r="E91" s="190" t="s">
        <v>3909</v>
      </c>
      <c r="F91" s="192" t="n">
        <f aca="false">SUMIF(ENTRADAS!F:F,CLIENTES_PCBR[[#This Row],[TELEFONO]],ENTRADAS!C:C)</f>
        <v>0</v>
      </c>
      <c r="G91" s="189" t="s">
        <v>94</v>
      </c>
    </row>
    <row r="92" customFormat="false" ht="15" hidden="false" customHeight="false" outlineLevel="0" collapsed="false">
      <c r="A92" s="197"/>
      <c r="B92" s="191"/>
      <c r="C92" s="190" t="s">
        <v>3910</v>
      </c>
      <c r="D92" s="191" t="n">
        <v>554799933164</v>
      </c>
      <c r="E92" s="190" t="s">
        <v>3911</v>
      </c>
      <c r="F92" s="192" t="n">
        <f aca="false">SUMIF(ENTRADAS!F:F,CLIENTES_PCBR[[#This Row],[TELEFONO]],ENTRADAS!C:C)</f>
        <v>0</v>
      </c>
      <c r="G92" s="189" t="s">
        <v>94</v>
      </c>
    </row>
    <row r="93" customFormat="false" ht="15" hidden="false" customHeight="false" outlineLevel="0" collapsed="false">
      <c r="A93" s="197"/>
      <c r="B93" s="191"/>
      <c r="C93" s="190" t="s">
        <v>3912</v>
      </c>
      <c r="D93" s="191" t="n">
        <v>554189022407</v>
      </c>
      <c r="E93" s="190" t="s">
        <v>3913</v>
      </c>
      <c r="F93" s="192" t="n">
        <f aca="false">SUMIF(ENTRADAS!F:F,CLIENTES_PCBR[[#This Row],[TELEFONO]],ENTRADAS!C:C)</f>
        <v>0</v>
      </c>
      <c r="G93" s="189" t="s">
        <v>94</v>
      </c>
    </row>
    <row r="94" customFormat="false" ht="15" hidden="false" customHeight="false" outlineLevel="0" collapsed="false">
      <c r="A94" s="197"/>
      <c r="B94" s="191"/>
      <c r="C94" s="190" t="s">
        <v>3914</v>
      </c>
      <c r="D94" s="191" t="n">
        <v>554798864623</v>
      </c>
      <c r="E94" s="190" t="s">
        <v>3915</v>
      </c>
      <c r="F94" s="192" t="n">
        <f aca="false">SUMIF(ENTRADAS!F:F,CLIENTES_PCBR[[#This Row],[TELEFONO]],ENTRADAS!C:C)</f>
        <v>0</v>
      </c>
      <c r="G94" s="189" t="s">
        <v>94</v>
      </c>
    </row>
    <row r="95" customFormat="false" ht="15" hidden="false" customHeight="false" outlineLevel="0" collapsed="false">
      <c r="A95" s="197"/>
      <c r="B95" s="191"/>
      <c r="C95" s="190" t="s">
        <v>3916</v>
      </c>
      <c r="D95" s="191" t="n">
        <v>554498460363</v>
      </c>
      <c r="E95" s="190" t="s">
        <v>3917</v>
      </c>
      <c r="F95" s="192" t="n">
        <f aca="false">SUMIF(ENTRADAS!F:F,CLIENTES_PCBR[[#This Row],[TELEFONO]],ENTRADAS!C:C)</f>
        <v>0</v>
      </c>
      <c r="G95" s="189" t="s">
        <v>94</v>
      </c>
    </row>
    <row r="96" customFormat="false" ht="15" hidden="false" customHeight="false" outlineLevel="0" collapsed="false">
      <c r="A96" s="197"/>
      <c r="B96" s="191"/>
      <c r="C96" s="190" t="s">
        <v>3918</v>
      </c>
      <c r="D96" s="191" t="n">
        <v>556493107654</v>
      </c>
      <c r="E96" s="190" t="s">
        <v>3919</v>
      </c>
      <c r="F96" s="192" t="n">
        <f aca="false">SUMIF(ENTRADAS!F:F,CLIENTES_PCBR[[#This Row],[TELEFONO]],ENTRADAS!C:C)</f>
        <v>0</v>
      </c>
      <c r="G96" s="189" t="s">
        <v>94</v>
      </c>
    </row>
    <row r="97" customFormat="false" ht="15" hidden="false" customHeight="false" outlineLevel="0" collapsed="false">
      <c r="A97" s="197"/>
      <c r="B97" s="191"/>
      <c r="C97" s="190" t="s">
        <v>3920</v>
      </c>
      <c r="D97" s="191" t="n">
        <v>554888212679</v>
      </c>
      <c r="E97" s="190" t="s">
        <v>3921</v>
      </c>
      <c r="F97" s="192" t="n">
        <f aca="false">SUMIF(ENTRADAS!F:F,CLIENTES_PCBR[[#This Row],[TELEFONO]],ENTRADAS!C:C)</f>
        <v>0</v>
      </c>
      <c r="G97" s="189" t="s">
        <v>94</v>
      </c>
    </row>
    <row r="98" customFormat="false" ht="15" hidden="false" customHeight="false" outlineLevel="0" collapsed="false">
      <c r="A98" s="197"/>
      <c r="B98" s="191"/>
      <c r="C98" s="190" t="s">
        <v>3922</v>
      </c>
      <c r="D98" s="191" t="n">
        <v>554591287674</v>
      </c>
      <c r="F98" s="192" t="n">
        <f aca="false">SUMIF(ENTRADAS!F:F,CLIENTES_PCBR[[#This Row],[TELEFONO]],ENTRADAS!C:C)</f>
        <v>0</v>
      </c>
      <c r="G98" s="189" t="s">
        <v>94</v>
      </c>
    </row>
    <row r="99" customFormat="false" ht="15" hidden="false" customHeight="false" outlineLevel="0" collapsed="false">
      <c r="A99" s="197"/>
      <c r="B99" s="191"/>
      <c r="C99" s="190" t="s">
        <v>3923</v>
      </c>
      <c r="D99" s="191" t="n">
        <v>554197354542</v>
      </c>
      <c r="E99" s="190" t="s">
        <v>3924</v>
      </c>
      <c r="F99" s="192" t="n">
        <f aca="false">SUMIF(ENTRADAS!F:F,CLIENTES_PCBR[[#This Row],[TELEFONO]],ENTRADAS!C:C)</f>
        <v>0</v>
      </c>
      <c r="G99" s="189" t="s">
        <v>94</v>
      </c>
    </row>
    <row r="100" customFormat="false" ht="15" hidden="false" customHeight="false" outlineLevel="0" collapsed="false">
      <c r="A100" s="197"/>
      <c r="B100" s="191"/>
      <c r="C100" s="190" t="s">
        <v>3925</v>
      </c>
      <c r="D100" s="191" t="n">
        <v>554399578765</v>
      </c>
      <c r="E100" s="190" t="s">
        <v>3926</v>
      </c>
      <c r="F100" s="192" t="n">
        <f aca="false">SUMIF(ENTRADAS!F:F,CLIENTES_PCBR[[#This Row],[TELEFONO]],ENTRADAS!C:C)</f>
        <v>0</v>
      </c>
      <c r="G100" s="189" t="s">
        <v>94</v>
      </c>
    </row>
    <row r="101" customFormat="false" ht="15" hidden="false" customHeight="false" outlineLevel="0" collapsed="false">
      <c r="A101" s="197"/>
      <c r="B101" s="191"/>
      <c r="C101" s="190" t="s">
        <v>2510</v>
      </c>
      <c r="D101" s="191" t="n">
        <v>556492304444</v>
      </c>
      <c r="E101" s="190" t="s">
        <v>2511</v>
      </c>
      <c r="F101" s="192" t="n">
        <f aca="false">SUMIF(ENTRADAS!F:F,CLIENTES_PCBR[[#This Row],[TELEFONO]],ENTRADAS!C:C)</f>
        <v>147</v>
      </c>
      <c r="G101" s="189" t="s">
        <v>94</v>
      </c>
    </row>
    <row r="102" customFormat="false" ht="15" hidden="false" customHeight="false" outlineLevel="0" collapsed="false">
      <c r="A102" s="197"/>
      <c r="B102" s="191"/>
      <c r="C102" s="190" t="s">
        <v>3927</v>
      </c>
      <c r="D102" s="191" t="n">
        <v>559584373463</v>
      </c>
      <c r="E102" s="190" t="s">
        <v>3928</v>
      </c>
      <c r="F102" s="192" t="n">
        <f aca="false">SUMIF(ENTRADAS!F:F,CLIENTES_PCBR[[#This Row],[TELEFONO]],ENTRADAS!C:C)</f>
        <v>0</v>
      </c>
      <c r="G102" s="189" t="s">
        <v>94</v>
      </c>
    </row>
    <row r="103" customFormat="false" ht="15" hidden="false" customHeight="false" outlineLevel="0" collapsed="false">
      <c r="A103" s="197"/>
      <c r="B103" s="191"/>
      <c r="C103" s="190" t="s">
        <v>3929</v>
      </c>
      <c r="D103" s="191" t="n">
        <v>559284017892</v>
      </c>
      <c r="E103" s="190" t="s">
        <v>3930</v>
      </c>
      <c r="F103" s="192" t="n">
        <f aca="false">SUMIF(ENTRADAS!F:F,CLIENTES_PCBR[[#This Row],[TELEFONO]],ENTRADAS!C:C)</f>
        <v>0</v>
      </c>
      <c r="G103" s="189" t="s">
        <v>94</v>
      </c>
    </row>
    <row r="104" customFormat="false" ht="15" hidden="false" customHeight="false" outlineLevel="0" collapsed="false">
      <c r="A104" s="197"/>
      <c r="B104" s="191"/>
      <c r="C104" s="190" t="s">
        <v>3931</v>
      </c>
      <c r="D104" s="191" t="n">
        <v>555581311594</v>
      </c>
      <c r="E104" s="190" t="s">
        <v>3932</v>
      </c>
      <c r="F104" s="192" t="n">
        <f aca="false">SUMIF(ENTRADAS!F:F,CLIENTES_PCBR[[#This Row],[TELEFONO]],ENTRADAS!C:C)</f>
        <v>0</v>
      </c>
      <c r="G104" s="189" t="s">
        <v>94</v>
      </c>
    </row>
    <row r="105" customFormat="false" ht="15" hidden="false" customHeight="false" outlineLevel="0" collapsed="false">
      <c r="A105" s="197"/>
      <c r="B105" s="191"/>
      <c r="C105" s="190" t="s">
        <v>3933</v>
      </c>
      <c r="D105" s="191" t="n">
        <v>551581680986</v>
      </c>
      <c r="E105" s="190" t="s">
        <v>3934</v>
      </c>
      <c r="F105" s="192" t="n">
        <f aca="false">SUMIF(ENTRADAS!F:F,CLIENTES_PCBR[[#This Row],[TELEFONO]],ENTRADAS!C:C)</f>
        <v>0</v>
      </c>
      <c r="G105" s="189" t="s">
        <v>94</v>
      </c>
    </row>
    <row r="106" customFormat="false" ht="15" hidden="false" customHeight="false" outlineLevel="0" collapsed="false">
      <c r="A106" s="197"/>
      <c r="B106" s="191"/>
      <c r="C106" s="190" t="s">
        <v>3935</v>
      </c>
      <c r="D106" s="191" t="n">
        <v>554197071374</v>
      </c>
      <c r="E106" s="190" t="s">
        <v>3936</v>
      </c>
      <c r="F106" s="192" t="n">
        <f aca="false">SUMIF(ENTRADAS!F:F,CLIENTES_PCBR[[#This Row],[TELEFONO]],ENTRADAS!C:C)</f>
        <v>0</v>
      </c>
      <c r="G106" s="189" t="s">
        <v>94</v>
      </c>
    </row>
    <row r="107" customFormat="false" ht="15" hidden="false" customHeight="false" outlineLevel="0" collapsed="false">
      <c r="A107" s="197"/>
      <c r="B107" s="191"/>
      <c r="C107" s="190" t="s">
        <v>3937</v>
      </c>
      <c r="D107" s="191" t="n">
        <v>552195445187</v>
      </c>
      <c r="E107" s="190" t="s">
        <v>3938</v>
      </c>
      <c r="F107" s="192" t="n">
        <f aca="false">SUMIF(ENTRADAS!F:F,CLIENTES_PCBR[[#This Row],[TELEFONO]],ENTRADAS!C:C)</f>
        <v>0</v>
      </c>
      <c r="G107" s="189" t="s">
        <v>94</v>
      </c>
    </row>
    <row r="108" customFormat="false" ht="15" hidden="false" customHeight="false" outlineLevel="0" collapsed="false">
      <c r="A108" s="197"/>
      <c r="B108" s="191"/>
      <c r="C108" s="190" t="s">
        <v>3939</v>
      </c>
      <c r="D108" s="191" t="n">
        <v>554184558834</v>
      </c>
      <c r="E108" s="190" t="s">
        <v>3940</v>
      </c>
      <c r="F108" s="192" t="n">
        <f aca="false">SUMIF(ENTRADAS!F:F,CLIENTES_PCBR[[#This Row],[TELEFONO]],ENTRADAS!C:C)</f>
        <v>0</v>
      </c>
      <c r="G108" s="189" t="s">
        <v>94</v>
      </c>
    </row>
    <row r="109" customFormat="false" ht="15" hidden="false" customHeight="false" outlineLevel="0" collapsed="false">
      <c r="A109" s="197"/>
      <c r="B109" s="191"/>
      <c r="C109" s="190" t="s">
        <v>3941</v>
      </c>
      <c r="D109" s="191" t="n">
        <v>551140553618</v>
      </c>
      <c r="E109" s="190" t="s">
        <v>3942</v>
      </c>
      <c r="F109" s="192" t="n">
        <f aca="false">SUMIF(ENTRADAS!F:F,CLIENTES_PCBR[[#This Row],[TELEFONO]],ENTRADAS!C:C)</f>
        <v>0</v>
      </c>
      <c r="G109" s="189" t="s">
        <v>94</v>
      </c>
    </row>
    <row r="110" customFormat="false" ht="15" hidden="false" customHeight="false" outlineLevel="0" collapsed="false">
      <c r="A110" s="197"/>
      <c r="B110" s="191"/>
      <c r="C110" s="190" t="s">
        <v>3943</v>
      </c>
      <c r="D110" s="191" t="n">
        <v>554199939761</v>
      </c>
      <c r="E110" s="190" t="s">
        <v>3944</v>
      </c>
      <c r="F110" s="192" t="n">
        <f aca="false">SUMIF(ENTRADAS!F:F,CLIENTES_PCBR[[#This Row],[TELEFONO]],ENTRADAS!C:C)</f>
        <v>0</v>
      </c>
      <c r="G110" s="189" t="s">
        <v>94</v>
      </c>
    </row>
    <row r="111" customFormat="false" ht="15" hidden="false" customHeight="false" outlineLevel="0" collapsed="false">
      <c r="A111" s="197"/>
      <c r="B111" s="191"/>
      <c r="C111" s="190" t="s">
        <v>3945</v>
      </c>
      <c r="D111" s="191" t="n">
        <v>559870279568</v>
      </c>
      <c r="E111" s="190" t="s">
        <v>3946</v>
      </c>
      <c r="F111" s="192" t="n">
        <f aca="false">SUMIF(ENTRADAS!F:F,CLIENTES_PCBR[[#This Row],[TELEFONO]],ENTRADAS!C:C)</f>
        <v>0</v>
      </c>
      <c r="G111" s="189" t="s">
        <v>94</v>
      </c>
    </row>
    <row r="112" customFormat="false" ht="15" hidden="false" customHeight="false" outlineLevel="0" collapsed="false">
      <c r="A112" s="197"/>
      <c r="B112" s="191"/>
      <c r="C112" s="190" t="s">
        <v>3947</v>
      </c>
      <c r="D112" s="191" t="n">
        <v>554191840999</v>
      </c>
      <c r="E112" s="190" t="s">
        <v>3948</v>
      </c>
      <c r="F112" s="192" t="n">
        <f aca="false">SUMIF(ENTRADAS!F:F,CLIENTES_PCBR[[#This Row],[TELEFONO]],ENTRADAS!C:C)</f>
        <v>0</v>
      </c>
      <c r="G112" s="189" t="s">
        <v>94</v>
      </c>
    </row>
    <row r="113" customFormat="false" ht="15" hidden="false" customHeight="false" outlineLevel="0" collapsed="false">
      <c r="A113" s="197"/>
      <c r="B113" s="191"/>
      <c r="C113" s="190" t="s">
        <v>3949</v>
      </c>
      <c r="D113" s="191" t="n">
        <v>557599085123</v>
      </c>
      <c r="E113" s="190" t="s">
        <v>3950</v>
      </c>
      <c r="F113" s="192" t="n">
        <f aca="false">SUMIF(ENTRADAS!F:F,CLIENTES_PCBR[[#This Row],[TELEFONO]],ENTRADAS!C:C)</f>
        <v>0</v>
      </c>
      <c r="G113" s="189" t="s">
        <v>94</v>
      </c>
    </row>
    <row r="114" customFormat="false" ht="15" hidden="false" customHeight="false" outlineLevel="0" collapsed="false">
      <c r="A114" s="197"/>
      <c r="B114" s="191"/>
      <c r="C114" s="190" t="s">
        <v>3951</v>
      </c>
      <c r="D114" s="191" t="n">
        <v>559684113626</v>
      </c>
      <c r="E114" s="190" t="s">
        <v>3952</v>
      </c>
      <c r="F114" s="192" t="n">
        <f aca="false">SUMIF(ENTRADAS!F:F,CLIENTES_PCBR[[#This Row],[TELEFONO]],ENTRADAS!C:C)</f>
        <v>0</v>
      </c>
      <c r="G114" s="189" t="s">
        <v>94</v>
      </c>
    </row>
    <row r="115" customFormat="false" ht="15" hidden="false" customHeight="false" outlineLevel="0" collapsed="false">
      <c r="A115" s="197"/>
      <c r="B115" s="191"/>
      <c r="C115" s="190" t="s">
        <v>3953</v>
      </c>
      <c r="D115" s="191" t="n">
        <v>555492980324</v>
      </c>
      <c r="E115" s="190" t="s">
        <v>3954</v>
      </c>
      <c r="F115" s="192" t="n">
        <f aca="false">SUMIF(ENTRADAS!F:F,CLIENTES_PCBR[[#This Row],[TELEFONO]],ENTRADAS!C:C)</f>
        <v>0</v>
      </c>
      <c r="G115" s="189" t="s">
        <v>94</v>
      </c>
    </row>
    <row r="116" customFormat="false" ht="15" hidden="false" customHeight="false" outlineLevel="0" collapsed="false">
      <c r="A116" s="197"/>
      <c r="B116" s="191"/>
      <c r="C116" s="190" t="s">
        <v>3955</v>
      </c>
      <c r="D116" s="191" t="n">
        <v>558596376301</v>
      </c>
      <c r="E116" s="190" t="s">
        <v>3956</v>
      </c>
      <c r="F116" s="192" t="n">
        <f aca="false">SUMIF(ENTRADAS!F:F,CLIENTES_PCBR[[#This Row],[TELEFONO]],ENTRADAS!C:C)</f>
        <v>0</v>
      </c>
      <c r="G116" s="189" t="s">
        <v>94</v>
      </c>
    </row>
    <row r="117" customFormat="false" ht="15" hidden="false" customHeight="false" outlineLevel="0" collapsed="false">
      <c r="A117" s="197"/>
      <c r="B117" s="191"/>
      <c r="C117" s="190" t="s">
        <v>3957</v>
      </c>
      <c r="D117" s="191" t="n">
        <v>553898411222</v>
      </c>
      <c r="E117" s="190" t="s">
        <v>3958</v>
      </c>
      <c r="F117" s="192" t="n">
        <f aca="false">SUMIF(ENTRADAS!F:F,CLIENTES_PCBR[[#This Row],[TELEFONO]],ENTRADAS!C:C)</f>
        <v>0</v>
      </c>
      <c r="G117" s="189" t="s">
        <v>94</v>
      </c>
    </row>
    <row r="118" customFormat="false" ht="15" hidden="false" customHeight="false" outlineLevel="0" collapsed="false">
      <c r="A118" s="197"/>
      <c r="B118" s="191"/>
      <c r="C118" s="190" t="s">
        <v>3959</v>
      </c>
      <c r="D118" s="191" t="n">
        <v>559591475312</v>
      </c>
      <c r="E118" s="190" t="s">
        <v>3960</v>
      </c>
      <c r="F118" s="192" t="n">
        <f aca="false">SUMIF(ENTRADAS!F:F,CLIENTES_PCBR[[#This Row],[TELEFONO]],ENTRADAS!C:C)</f>
        <v>0</v>
      </c>
      <c r="G118" s="189" t="s">
        <v>94</v>
      </c>
    </row>
    <row r="119" customFormat="false" ht="15" hidden="false" customHeight="false" outlineLevel="0" collapsed="false">
      <c r="A119" s="197"/>
      <c r="B119" s="191"/>
      <c r="C119" s="190" t="s">
        <v>3327</v>
      </c>
      <c r="D119" s="191" t="n">
        <v>559584202265</v>
      </c>
      <c r="E119" s="190" t="s">
        <v>3328</v>
      </c>
      <c r="F119" s="192" t="n">
        <f aca="false">SUMIF(ENTRADAS!F:F,CLIENTES_PCBR[[#This Row],[TELEFONO]],ENTRADAS!C:C)</f>
        <v>-1</v>
      </c>
      <c r="G119" s="189" t="s">
        <v>94</v>
      </c>
    </row>
    <row r="120" customFormat="false" ht="15" hidden="false" customHeight="false" outlineLevel="0" collapsed="false">
      <c r="A120" s="197"/>
      <c r="B120" s="191"/>
      <c r="C120" s="190" t="s">
        <v>3961</v>
      </c>
      <c r="D120" s="191" t="n">
        <v>551989593143</v>
      </c>
      <c r="E120" s="190" t="s">
        <v>3962</v>
      </c>
      <c r="F120" s="192" t="n">
        <f aca="false">SUMIF(ENTRADAS!F:F,CLIENTES_PCBR[[#This Row],[TELEFONO]],ENTRADAS!C:C)</f>
        <v>0</v>
      </c>
      <c r="G120" s="189" t="s">
        <v>94</v>
      </c>
    </row>
    <row r="121" customFormat="false" ht="15" hidden="false" customHeight="false" outlineLevel="0" collapsed="false">
      <c r="A121" s="197"/>
      <c r="B121" s="191"/>
      <c r="C121" s="190" t="s">
        <v>3963</v>
      </c>
      <c r="D121" s="191" t="n">
        <v>554198321002</v>
      </c>
      <c r="E121" s="190" t="s">
        <v>3964</v>
      </c>
      <c r="F121" s="192" t="n">
        <f aca="false">SUMIF(ENTRADAS!F:F,CLIENTES_PCBR[[#This Row],[TELEFONO]],ENTRADAS!C:C)</f>
        <v>0</v>
      </c>
      <c r="G121" s="189" t="s">
        <v>94</v>
      </c>
    </row>
    <row r="122" customFormat="false" ht="15" hidden="false" customHeight="false" outlineLevel="0" collapsed="false">
      <c r="A122" s="197"/>
      <c r="B122" s="191"/>
      <c r="C122" s="190" t="s">
        <v>3965</v>
      </c>
      <c r="D122" s="191" t="n">
        <v>554196471826</v>
      </c>
      <c r="E122" s="190" t="s">
        <v>3966</v>
      </c>
      <c r="F122" s="192" t="n">
        <f aca="false">SUMIF(ENTRADAS!F:F,CLIENTES_PCBR[[#This Row],[TELEFONO]],ENTRADAS!C:C)</f>
        <v>0</v>
      </c>
      <c r="G122" s="189" t="s">
        <v>94</v>
      </c>
    </row>
    <row r="123" customFormat="false" ht="15" hidden="false" customHeight="false" outlineLevel="0" collapsed="false">
      <c r="A123" s="197"/>
      <c r="B123" s="191"/>
      <c r="C123" s="190" t="s">
        <v>3967</v>
      </c>
      <c r="D123" s="191" t="n">
        <v>558179067645</v>
      </c>
      <c r="E123" s="190" t="s">
        <v>3968</v>
      </c>
      <c r="F123" s="192" t="n">
        <f aca="false">SUMIF(ENTRADAS!F:F,CLIENTES_PCBR[[#This Row],[TELEFONO]],ENTRADAS!C:C)</f>
        <v>0</v>
      </c>
      <c r="G123" s="189" t="s">
        <v>94</v>
      </c>
    </row>
    <row r="124" customFormat="false" ht="15" hidden="false" customHeight="false" outlineLevel="0" collapsed="false">
      <c r="A124" s="197"/>
      <c r="B124" s="191"/>
      <c r="C124" s="190" t="s">
        <v>3969</v>
      </c>
      <c r="D124" s="191" t="n">
        <v>551152386799</v>
      </c>
      <c r="E124" s="190" t="s">
        <v>3970</v>
      </c>
      <c r="F124" s="192" t="n">
        <f aca="false">SUMIF(ENTRADAS!F:F,CLIENTES_PCBR[[#This Row],[TELEFONO]],ENTRADAS!C:C)</f>
        <v>0</v>
      </c>
      <c r="G124" s="189" t="s">
        <v>94</v>
      </c>
    </row>
    <row r="125" customFormat="false" ht="15" hidden="false" customHeight="false" outlineLevel="0" collapsed="false">
      <c r="A125" s="197"/>
      <c r="B125" s="191"/>
      <c r="C125" s="190" t="s">
        <v>3971</v>
      </c>
      <c r="D125" s="191" t="n">
        <v>556599905699</v>
      </c>
      <c r="E125" s="190" t="s">
        <v>3972</v>
      </c>
      <c r="F125" s="192" t="n">
        <f aca="false">SUMIF(ENTRADAS!F:F,CLIENTES_PCBR[[#This Row],[TELEFONO]],ENTRADAS!C:C)</f>
        <v>0</v>
      </c>
      <c r="G125" s="189" t="s">
        <v>94</v>
      </c>
    </row>
    <row r="126" customFormat="false" ht="15" hidden="false" customHeight="false" outlineLevel="0" collapsed="false">
      <c r="A126" s="197"/>
      <c r="B126" s="191"/>
      <c r="C126" s="190" t="s">
        <v>3973</v>
      </c>
      <c r="D126" s="191" t="n">
        <v>553791044728</v>
      </c>
      <c r="E126" s="190" t="s">
        <v>3974</v>
      </c>
      <c r="F126" s="192" t="n">
        <f aca="false">SUMIF(ENTRADAS!F:F,CLIENTES_PCBR[[#This Row],[TELEFONO]],ENTRADAS!C:C)</f>
        <v>0</v>
      </c>
      <c r="G126" s="189" t="s">
        <v>94</v>
      </c>
    </row>
    <row r="127" customFormat="false" ht="15" hidden="false" customHeight="false" outlineLevel="0" collapsed="false">
      <c r="A127" s="197"/>
      <c r="B127" s="191"/>
      <c r="C127" s="190" t="s">
        <v>305</v>
      </c>
      <c r="D127" s="191" t="n">
        <v>559176014001</v>
      </c>
      <c r="E127" s="190" t="s">
        <v>3975</v>
      </c>
      <c r="F127" s="192" t="n">
        <f aca="false">SUMIF(ENTRADAS!F:F,CLIENTES_PCBR[[#This Row],[TELEFONO]],ENTRADAS!C:C)</f>
        <v>97</v>
      </c>
      <c r="G127" s="189" t="s">
        <v>94</v>
      </c>
    </row>
    <row r="128" customFormat="false" ht="15" hidden="false" customHeight="false" outlineLevel="0" collapsed="false">
      <c r="A128" s="197"/>
      <c r="B128" s="191"/>
      <c r="C128" s="190" t="s">
        <v>3976</v>
      </c>
      <c r="D128" s="191" t="n">
        <v>554196330932</v>
      </c>
      <c r="E128" s="190" t="s">
        <v>3977</v>
      </c>
      <c r="F128" s="192" t="n">
        <f aca="false">SUMIF(ENTRADAS!F:F,CLIENTES_PCBR[[#This Row],[TELEFONO]],ENTRADAS!C:C)</f>
        <v>0</v>
      </c>
      <c r="G128" s="189" t="s">
        <v>94</v>
      </c>
    </row>
    <row r="129" customFormat="false" ht="15" hidden="false" customHeight="false" outlineLevel="0" collapsed="false">
      <c r="A129" s="197"/>
      <c r="B129" s="191"/>
      <c r="C129" s="190" t="s">
        <v>3978</v>
      </c>
      <c r="D129" s="191" t="n">
        <v>554591261197</v>
      </c>
      <c r="E129" s="190" t="s">
        <v>3979</v>
      </c>
      <c r="F129" s="192" t="n">
        <f aca="false">SUMIF(ENTRADAS!F:F,CLIENTES_PCBR[[#This Row],[TELEFONO]],ENTRADAS!C:C)</f>
        <v>0</v>
      </c>
      <c r="G129" s="189" t="s">
        <v>94</v>
      </c>
    </row>
    <row r="130" customFormat="false" ht="15" hidden="false" customHeight="false" outlineLevel="0" collapsed="false">
      <c r="A130" s="197"/>
      <c r="B130" s="191"/>
      <c r="C130" s="190" t="s">
        <v>3980</v>
      </c>
      <c r="D130" s="191" t="n">
        <v>554187238213</v>
      </c>
      <c r="E130" s="190" t="s">
        <v>3981</v>
      </c>
      <c r="F130" s="192" t="n">
        <f aca="false">SUMIF(ENTRADAS!F:F,CLIENTES_PCBR[[#This Row],[TELEFONO]],ENTRADAS!C:C)</f>
        <v>0</v>
      </c>
      <c r="G130" s="189" t="s">
        <v>94</v>
      </c>
    </row>
    <row r="131" customFormat="false" ht="15" hidden="false" customHeight="false" outlineLevel="0" collapsed="false">
      <c r="A131" s="197"/>
      <c r="B131" s="191"/>
      <c r="C131" s="190" t="s">
        <v>3982</v>
      </c>
      <c r="D131" s="191" t="n">
        <v>554184938116</v>
      </c>
      <c r="E131" s="190" t="s">
        <v>3983</v>
      </c>
      <c r="F131" s="192" t="n">
        <f aca="false">SUMIF(ENTRADAS!F:F,CLIENTES_PCBR[[#This Row],[TELEFONO]],ENTRADAS!C:C)</f>
        <v>0</v>
      </c>
      <c r="G131" s="189" t="s">
        <v>94</v>
      </c>
    </row>
    <row r="132" customFormat="false" ht="15" hidden="false" customHeight="false" outlineLevel="0" collapsed="false">
      <c r="A132" s="197"/>
      <c r="B132" s="191"/>
      <c r="C132" s="190" t="s">
        <v>3984</v>
      </c>
      <c r="D132" s="191" t="n">
        <v>553798174632</v>
      </c>
      <c r="E132" s="190" t="s">
        <v>3985</v>
      </c>
      <c r="F132" s="192" t="n">
        <f aca="false">SUMIF(ENTRADAS!F:F,CLIENTES_PCBR[[#This Row],[TELEFONO]],ENTRADAS!C:C)</f>
        <v>0</v>
      </c>
      <c r="G132" s="189" t="s">
        <v>94</v>
      </c>
    </row>
    <row r="133" customFormat="false" ht="15" hidden="false" customHeight="false" outlineLevel="0" collapsed="false">
      <c r="A133" s="197"/>
      <c r="B133" s="191"/>
      <c r="C133" s="190" t="s">
        <v>3986</v>
      </c>
      <c r="D133" s="191" t="n">
        <v>551981126727</v>
      </c>
      <c r="E133" s="190" t="s">
        <v>3987</v>
      </c>
      <c r="F133" s="192" t="n">
        <f aca="false">SUMIF(ENTRADAS!F:F,CLIENTES_PCBR[[#This Row],[TELEFONO]],ENTRADAS!C:C)</f>
        <v>0</v>
      </c>
      <c r="G133" s="189" t="s">
        <v>94</v>
      </c>
    </row>
    <row r="134" customFormat="false" ht="15" hidden="false" customHeight="false" outlineLevel="0" collapsed="false">
      <c r="A134" s="197"/>
      <c r="B134" s="191"/>
      <c r="C134" s="190" t="s">
        <v>3988</v>
      </c>
      <c r="D134" s="191" t="n">
        <v>5511982541964</v>
      </c>
      <c r="E134" s="190" t="s">
        <v>3989</v>
      </c>
      <c r="F134" s="192" t="n">
        <f aca="false">SUMIF(ENTRADAS!F:F,CLIENTES_PCBR[[#This Row],[TELEFONO]],ENTRADAS!C:C)</f>
        <v>0</v>
      </c>
      <c r="G134" s="189" t="s">
        <v>94</v>
      </c>
    </row>
    <row r="135" customFormat="false" ht="15" hidden="false" customHeight="false" outlineLevel="0" collapsed="false">
      <c r="A135" s="197"/>
      <c r="B135" s="191"/>
      <c r="C135" s="190" t="s">
        <v>3990</v>
      </c>
      <c r="D135" s="191" t="n">
        <v>554874005859</v>
      </c>
      <c r="E135" s="190" t="s">
        <v>3991</v>
      </c>
      <c r="F135" s="192" t="n">
        <f aca="false">SUMIF(ENTRADAS!F:F,CLIENTES_PCBR[[#This Row],[TELEFONO]],ENTRADAS!C:C)</f>
        <v>0</v>
      </c>
      <c r="G135" s="189" t="s">
        <v>94</v>
      </c>
    </row>
    <row r="136" customFormat="false" ht="15" hidden="false" customHeight="false" outlineLevel="0" collapsed="false">
      <c r="A136" s="197"/>
      <c r="B136" s="191"/>
      <c r="C136" s="190" t="s">
        <v>3992</v>
      </c>
      <c r="D136" s="191" t="n">
        <v>5358004369</v>
      </c>
      <c r="E136" s="190" t="s">
        <v>1800</v>
      </c>
      <c r="F136" s="192" t="n">
        <f aca="false">SUMIF(ENTRADAS!F:F,CLIENTES_PCBR[[#This Row],[TELEFONO]],ENTRADAS!C:C)</f>
        <v>0</v>
      </c>
      <c r="G136" s="189" t="s">
        <v>94</v>
      </c>
    </row>
    <row r="137" customFormat="false" ht="15" hidden="false" customHeight="false" outlineLevel="0" collapsed="false">
      <c r="A137" s="197"/>
      <c r="B137" s="191"/>
      <c r="C137" s="190" t="s">
        <v>3993</v>
      </c>
      <c r="D137" s="191" t="n">
        <v>5511961169983</v>
      </c>
      <c r="E137" s="190" t="s">
        <v>3994</v>
      </c>
      <c r="F137" s="192" t="n">
        <f aca="false">SUMIF(ENTRADAS!F:F,CLIENTES_PCBR[[#This Row],[TELEFONO]],ENTRADAS!C:C)</f>
        <v>240</v>
      </c>
      <c r="G137" s="189" t="s">
        <v>94</v>
      </c>
    </row>
    <row r="138" customFormat="false" ht="15" hidden="false" customHeight="false" outlineLevel="0" collapsed="false">
      <c r="A138" s="197"/>
      <c r="B138" s="191"/>
      <c r="C138" s="190" t="s">
        <v>3995</v>
      </c>
      <c r="D138" s="191" t="n">
        <v>554196388828</v>
      </c>
      <c r="E138" s="190" t="s">
        <v>3996</v>
      </c>
      <c r="F138" s="192" t="n">
        <f aca="false">SUMIF(ENTRADAS!F:F,CLIENTES_PCBR[[#This Row],[TELEFONO]],ENTRADAS!C:C)</f>
        <v>0</v>
      </c>
      <c r="G138" s="189" t="s">
        <v>94</v>
      </c>
    </row>
    <row r="139" customFormat="false" ht="15" hidden="false" customHeight="false" outlineLevel="0" collapsed="false">
      <c r="A139" s="197"/>
      <c r="B139" s="191"/>
      <c r="C139" s="190" t="s">
        <v>3997</v>
      </c>
      <c r="D139" s="191" t="n">
        <v>554797743774</v>
      </c>
      <c r="E139" s="190" t="s">
        <v>3998</v>
      </c>
      <c r="F139" s="192" t="n">
        <f aca="false">SUMIF(ENTRADAS!F:F,CLIENTES_PCBR[[#This Row],[TELEFONO]],ENTRADAS!C:C)</f>
        <v>0</v>
      </c>
      <c r="G139" s="189" t="s">
        <v>94</v>
      </c>
    </row>
    <row r="140" customFormat="false" ht="15" hidden="false" customHeight="false" outlineLevel="0" collapsed="false">
      <c r="A140" s="197"/>
      <c r="B140" s="191"/>
      <c r="C140" s="190" t="s">
        <v>3999</v>
      </c>
      <c r="D140" s="191" t="n">
        <v>554899492573</v>
      </c>
      <c r="E140" s="190" t="s">
        <v>4000</v>
      </c>
      <c r="F140" s="192" t="n">
        <f aca="false">SUMIF(ENTRADAS!F:F,CLIENTES_PCBR[[#This Row],[TELEFONO]],ENTRADAS!C:C)</f>
        <v>0</v>
      </c>
      <c r="G140" s="189" t="s">
        <v>94</v>
      </c>
    </row>
    <row r="141" customFormat="false" ht="15" hidden="false" customHeight="false" outlineLevel="0" collapsed="false">
      <c r="A141" s="197"/>
      <c r="B141" s="191"/>
      <c r="C141" s="190" t="s">
        <v>4001</v>
      </c>
      <c r="D141" s="191" t="n">
        <v>556298148841</v>
      </c>
      <c r="E141" s="190" t="s">
        <v>898</v>
      </c>
      <c r="F141" s="192" t="n">
        <f aca="false">SUMIF(ENTRADAS!F:F,CLIENTES_PCBR[[#This Row],[TELEFONO]],ENTRADAS!C:C)</f>
        <v>317</v>
      </c>
      <c r="G141" s="189" t="s">
        <v>94</v>
      </c>
    </row>
    <row r="142" customFormat="false" ht="15" hidden="false" customHeight="false" outlineLevel="0" collapsed="false">
      <c r="A142" s="197"/>
      <c r="B142" s="191"/>
      <c r="C142" s="190" t="s">
        <v>4002</v>
      </c>
      <c r="D142" s="191" t="n">
        <v>555481420075</v>
      </c>
      <c r="E142" s="190" t="s">
        <v>4003</v>
      </c>
      <c r="F142" s="192" t="n">
        <f aca="false">SUMIF(ENTRADAS!F:F,CLIENTES_PCBR[[#This Row],[TELEFONO]],ENTRADAS!C:C)</f>
        <v>0</v>
      </c>
      <c r="G142" s="189" t="s">
        <v>94</v>
      </c>
    </row>
    <row r="143" customFormat="false" ht="15" hidden="false" customHeight="false" outlineLevel="0" collapsed="false">
      <c r="A143" s="197"/>
      <c r="B143" s="191"/>
      <c r="C143" s="190" t="s">
        <v>4004</v>
      </c>
      <c r="D143" s="191" t="n">
        <v>554884200995</v>
      </c>
      <c r="E143" s="190" t="s">
        <v>4005</v>
      </c>
      <c r="F143" s="192" t="n">
        <f aca="false">SUMIF(ENTRADAS!F:F,CLIENTES_PCBR[[#This Row],[TELEFONO]],ENTRADAS!C:C)</f>
        <v>0</v>
      </c>
      <c r="G143" s="189" t="s">
        <v>94</v>
      </c>
    </row>
    <row r="144" customFormat="false" ht="15" hidden="false" customHeight="false" outlineLevel="0" collapsed="false">
      <c r="A144" s="197"/>
      <c r="B144" s="191"/>
      <c r="C144" s="190" t="s">
        <v>4006</v>
      </c>
      <c r="D144" s="191" t="n">
        <v>559581051945</v>
      </c>
      <c r="E144" s="190" t="s">
        <v>4007</v>
      </c>
      <c r="F144" s="192" t="n">
        <f aca="false">SUMIF(ENTRADAS!F:F,CLIENTES_PCBR[[#This Row],[TELEFONO]],ENTRADAS!C:C)</f>
        <v>0</v>
      </c>
      <c r="G144" s="189" t="s">
        <v>94</v>
      </c>
    </row>
    <row r="145" customFormat="false" ht="15" hidden="false" customHeight="false" outlineLevel="0" collapsed="false">
      <c r="A145" s="197"/>
      <c r="B145" s="191"/>
      <c r="C145" s="190" t="s">
        <v>4008</v>
      </c>
      <c r="D145" s="191" t="n">
        <v>554197032682</v>
      </c>
      <c r="E145" s="190" t="s">
        <v>1726</v>
      </c>
      <c r="F145" s="192" t="n">
        <f aca="false">SUMIF(ENTRADAS!F:F,CLIENTES_PCBR[[#This Row],[TELEFONO]],ENTRADAS!C:C)</f>
        <v>150</v>
      </c>
      <c r="G145" s="189" t="s">
        <v>94</v>
      </c>
    </row>
    <row r="146" customFormat="false" ht="15" hidden="false" customHeight="false" outlineLevel="0" collapsed="false">
      <c r="A146" s="197"/>
      <c r="B146" s="191"/>
      <c r="C146" s="190" t="s">
        <v>4009</v>
      </c>
      <c r="D146" s="191" t="n">
        <v>5354273444</v>
      </c>
      <c r="E146" s="190" t="s">
        <v>4010</v>
      </c>
      <c r="F146" s="192" t="n">
        <f aca="false">SUMIF(ENTRADAS!F:F,CLIENTES_PCBR[[#This Row],[TELEFONO]],ENTRADAS!C:C)</f>
        <v>0</v>
      </c>
      <c r="G146" s="189" t="s">
        <v>94</v>
      </c>
    </row>
    <row r="147" customFormat="false" ht="15" hidden="false" customHeight="false" outlineLevel="0" collapsed="false">
      <c r="A147" s="197"/>
      <c r="B147" s="191"/>
      <c r="C147" s="190" t="s">
        <v>4011</v>
      </c>
      <c r="D147" s="191" t="n">
        <v>554199698368</v>
      </c>
      <c r="E147" s="190" t="s">
        <v>4012</v>
      </c>
      <c r="F147" s="192" t="n">
        <f aca="false">SUMIF(ENTRADAS!F:F,CLIENTES_PCBR[[#This Row],[TELEFONO]],ENTRADAS!C:C)</f>
        <v>0</v>
      </c>
      <c r="G147" s="189" t="s">
        <v>94</v>
      </c>
    </row>
    <row r="148" customFormat="false" ht="15" hidden="false" customHeight="false" outlineLevel="0" collapsed="false">
      <c r="A148" s="197"/>
      <c r="B148" s="191"/>
      <c r="C148" s="190" t="s">
        <v>4013</v>
      </c>
      <c r="D148" s="191" t="n">
        <v>554988128098</v>
      </c>
      <c r="E148" s="190" t="s">
        <v>4014</v>
      </c>
      <c r="F148" s="192" t="n">
        <f aca="false">SUMIF(ENTRADAS!F:F,CLIENTES_PCBR[[#This Row],[TELEFONO]],ENTRADAS!C:C)</f>
        <v>0</v>
      </c>
      <c r="G148" s="189" t="s">
        <v>94</v>
      </c>
    </row>
    <row r="149" customFormat="false" ht="15" hidden="false" customHeight="false" outlineLevel="0" collapsed="false">
      <c r="A149" s="197"/>
      <c r="B149" s="191"/>
      <c r="C149" s="190" t="s">
        <v>4015</v>
      </c>
      <c r="D149" s="191" t="n">
        <v>555499157076</v>
      </c>
      <c r="E149" s="190" t="s">
        <v>4016</v>
      </c>
      <c r="F149" s="192" t="n">
        <f aca="false">SUMIF(ENTRADAS!F:F,CLIENTES_PCBR[[#This Row],[TELEFONO]],ENTRADAS!C:C)</f>
        <v>0</v>
      </c>
      <c r="G149" s="189" t="s">
        <v>94</v>
      </c>
    </row>
    <row r="150" customFormat="false" ht="15" hidden="false" customHeight="false" outlineLevel="0" collapsed="false">
      <c r="A150" s="197"/>
      <c r="B150" s="191"/>
      <c r="C150" s="190" t="s">
        <v>4017</v>
      </c>
      <c r="D150" s="191" t="n">
        <v>555491949503</v>
      </c>
      <c r="E150" s="190" t="s">
        <v>4018</v>
      </c>
      <c r="F150" s="192" t="n">
        <f aca="false">SUMIF(ENTRADAS!F:F,CLIENTES_PCBR[[#This Row],[TELEFONO]],ENTRADAS!C:C)</f>
        <v>0</v>
      </c>
      <c r="G150" s="189" t="s">
        <v>94</v>
      </c>
    </row>
    <row r="151" customFormat="false" ht="15" hidden="false" customHeight="false" outlineLevel="0" collapsed="false">
      <c r="A151" s="197"/>
      <c r="B151" s="191"/>
      <c r="C151" s="190" t="s">
        <v>4019</v>
      </c>
      <c r="D151" s="191" t="n">
        <v>554498513615</v>
      </c>
      <c r="E151" s="190" t="s">
        <v>4020</v>
      </c>
      <c r="F151" s="192" t="n">
        <f aca="false">SUMIF(ENTRADAS!F:F,CLIENTES_PCBR[[#This Row],[TELEFONO]],ENTRADAS!C:C)</f>
        <v>0</v>
      </c>
      <c r="G151" s="189" t="s">
        <v>94</v>
      </c>
    </row>
    <row r="152" customFormat="false" ht="15" hidden="false" customHeight="false" outlineLevel="0" collapsed="false">
      <c r="A152" s="197"/>
      <c r="B152" s="191"/>
      <c r="C152" s="190" t="s">
        <v>4021</v>
      </c>
      <c r="D152" s="191" t="n">
        <v>5524999188648</v>
      </c>
      <c r="E152" s="190" t="s">
        <v>4022</v>
      </c>
      <c r="F152" s="192" t="n">
        <f aca="false">SUMIF(ENTRADAS!F:F,CLIENTES_PCBR[[#This Row],[TELEFONO]],ENTRADAS!C:C)</f>
        <v>0</v>
      </c>
      <c r="G152" s="189" t="s">
        <v>94</v>
      </c>
    </row>
    <row r="153" customFormat="false" ht="15" hidden="false" customHeight="false" outlineLevel="0" collapsed="false">
      <c r="A153" s="197"/>
      <c r="B153" s="191"/>
      <c r="C153" s="190" t="s">
        <v>4023</v>
      </c>
      <c r="D153" s="191" t="n">
        <v>554591272767</v>
      </c>
      <c r="E153" s="190" t="s">
        <v>4024</v>
      </c>
      <c r="F153" s="192" t="n">
        <f aca="false">SUMIF(ENTRADAS!F:F,CLIENTES_PCBR[[#This Row],[TELEFONO]],ENTRADAS!C:C)</f>
        <v>0</v>
      </c>
      <c r="G153" s="189" t="s">
        <v>94</v>
      </c>
    </row>
    <row r="154" customFormat="false" ht="15" hidden="false" customHeight="false" outlineLevel="0" collapsed="false">
      <c r="A154" s="197"/>
      <c r="B154" s="191"/>
      <c r="C154" s="190" t="s">
        <v>4025</v>
      </c>
      <c r="D154" s="191" t="n">
        <v>559684339749</v>
      </c>
      <c r="E154" s="190" t="s">
        <v>4026</v>
      </c>
      <c r="F154" s="192" t="n">
        <f aca="false">SUMIF(ENTRADAS!F:F,CLIENTES_PCBR[[#This Row],[TELEFONO]],ENTRADAS!C:C)</f>
        <v>0</v>
      </c>
      <c r="G154" s="189" t="s">
        <v>94</v>
      </c>
    </row>
    <row r="155" customFormat="false" ht="15" hidden="false" customHeight="false" outlineLevel="0" collapsed="false">
      <c r="A155" s="197"/>
      <c r="B155" s="191"/>
      <c r="C155" s="190" t="s">
        <v>4027</v>
      </c>
      <c r="D155" s="191" t="n">
        <v>554899956977</v>
      </c>
      <c r="E155" s="190" t="s">
        <v>4028</v>
      </c>
      <c r="F155" s="192" t="n">
        <f aca="false">SUMIF(ENTRADAS!F:F,CLIENTES_PCBR[[#This Row],[TELEFONO]],ENTRADAS!C:C)</f>
        <v>0</v>
      </c>
      <c r="G155" s="189" t="s">
        <v>94</v>
      </c>
    </row>
    <row r="156" customFormat="false" ht="15" hidden="false" customHeight="false" outlineLevel="0" collapsed="false">
      <c r="A156" s="197"/>
      <c r="B156" s="191"/>
      <c r="C156" s="190" t="s">
        <v>4029</v>
      </c>
      <c r="D156" s="191" t="n">
        <v>553299938805</v>
      </c>
      <c r="E156" s="190" t="s">
        <v>4030</v>
      </c>
      <c r="F156" s="192" t="n">
        <f aca="false">SUMIF(ENTRADAS!F:F,CLIENTES_PCBR[[#This Row],[TELEFONO]],ENTRADAS!C:C)</f>
        <v>0</v>
      </c>
      <c r="G156" s="189" t="s">
        <v>94</v>
      </c>
    </row>
    <row r="157" customFormat="false" ht="15" hidden="false" customHeight="false" outlineLevel="0" collapsed="false">
      <c r="A157" s="197"/>
      <c r="B157" s="191"/>
      <c r="C157" s="190" t="s">
        <v>4031</v>
      </c>
      <c r="D157" s="191" t="n">
        <v>559584233337</v>
      </c>
      <c r="E157" s="190" t="s">
        <v>4032</v>
      </c>
      <c r="F157" s="192" t="n">
        <f aca="false">SUMIF(ENTRADAS!F:F,CLIENTES_PCBR[[#This Row],[TELEFONO]],ENTRADAS!C:C)</f>
        <v>0</v>
      </c>
      <c r="G157" s="189" t="s">
        <v>94</v>
      </c>
    </row>
    <row r="158" customFormat="false" ht="15" hidden="false" customHeight="false" outlineLevel="0" collapsed="false">
      <c r="A158" s="197"/>
      <c r="B158" s="191"/>
      <c r="C158" s="190" t="s">
        <v>4033</v>
      </c>
      <c r="D158" s="191" t="n">
        <v>554891218807</v>
      </c>
      <c r="E158" s="190" t="s">
        <v>4034</v>
      </c>
      <c r="F158" s="192" t="n">
        <f aca="false">SUMIF(ENTRADAS!F:F,CLIENTES_PCBR[[#This Row],[TELEFONO]],ENTRADAS!C:C)</f>
        <v>0</v>
      </c>
      <c r="G158" s="189" t="s">
        <v>94</v>
      </c>
    </row>
    <row r="159" customFormat="false" ht="15" hidden="false" customHeight="false" outlineLevel="0" collapsed="false">
      <c r="A159" s="197"/>
      <c r="B159" s="191"/>
      <c r="C159" s="190" t="s">
        <v>4035</v>
      </c>
      <c r="D159" s="191" t="n">
        <v>554197035604</v>
      </c>
      <c r="E159" s="190" t="s">
        <v>80</v>
      </c>
      <c r="F159" s="192" t="n">
        <f aca="false">SUMIF(ENTRADAS!F:F,CLIENTES_PCBR[[#This Row],[TELEFONO]],ENTRADAS!C:C)</f>
        <v>900</v>
      </c>
      <c r="G159" s="189" t="s">
        <v>94</v>
      </c>
    </row>
    <row r="160" customFormat="false" ht="15" hidden="false" customHeight="false" outlineLevel="0" collapsed="false">
      <c r="A160" s="197"/>
      <c r="B160" s="191"/>
      <c r="C160" s="190" t="s">
        <v>4036</v>
      </c>
      <c r="D160" s="191" t="n">
        <v>554891991646</v>
      </c>
      <c r="E160" s="190" t="s">
        <v>4037</v>
      </c>
      <c r="F160" s="192" t="n">
        <f aca="false">SUMIF(ENTRADAS!F:F,CLIENTES_PCBR[[#This Row],[TELEFONO]],ENTRADAS!C:C)</f>
        <v>0</v>
      </c>
      <c r="G160" s="189" t="s">
        <v>94</v>
      </c>
    </row>
    <row r="161" customFormat="false" ht="15" hidden="false" customHeight="false" outlineLevel="0" collapsed="false">
      <c r="A161" s="197"/>
      <c r="B161" s="191"/>
      <c r="C161" s="190" t="s">
        <v>4038</v>
      </c>
      <c r="D161" s="191" t="n">
        <v>555196578127</v>
      </c>
      <c r="E161" s="190" t="s">
        <v>4039</v>
      </c>
      <c r="F161" s="192" t="n">
        <f aca="false">SUMIF(ENTRADAS!F:F,CLIENTES_PCBR[[#This Row],[TELEFONO]],ENTRADAS!C:C)</f>
        <v>0</v>
      </c>
      <c r="G161" s="189" t="s">
        <v>94</v>
      </c>
    </row>
    <row r="162" customFormat="false" ht="15" hidden="false" customHeight="false" outlineLevel="0" collapsed="false">
      <c r="A162" s="197"/>
      <c r="B162" s="191"/>
      <c r="C162" s="190" t="s">
        <v>4040</v>
      </c>
      <c r="D162" s="191" t="n">
        <v>559684038674</v>
      </c>
      <c r="E162" s="190" t="s">
        <v>4041</v>
      </c>
      <c r="F162" s="192" t="n">
        <f aca="false">SUMIF(ENTRADAS!F:F,CLIENTES_PCBR[[#This Row],[TELEFONO]],ENTRADAS!C:C)</f>
        <v>0</v>
      </c>
      <c r="G162" s="189" t="s">
        <v>94</v>
      </c>
    </row>
    <row r="163" customFormat="false" ht="15" hidden="false" customHeight="false" outlineLevel="0" collapsed="false">
      <c r="A163" s="197"/>
      <c r="B163" s="191"/>
      <c r="C163" s="190" t="s">
        <v>4042</v>
      </c>
      <c r="D163" s="191" t="n">
        <v>554196681255</v>
      </c>
      <c r="E163" s="190" t="s">
        <v>4043</v>
      </c>
      <c r="F163" s="192" t="n">
        <f aca="false">SUMIF(ENTRADAS!F:F,CLIENTES_PCBR[[#This Row],[TELEFONO]],ENTRADAS!C:C)</f>
        <v>0</v>
      </c>
      <c r="G163" s="189" t="s">
        <v>94</v>
      </c>
    </row>
    <row r="164" customFormat="false" ht="15" hidden="false" customHeight="false" outlineLevel="0" collapsed="false">
      <c r="A164" s="197"/>
      <c r="B164" s="191"/>
      <c r="C164" s="190" t="s">
        <v>4044</v>
      </c>
      <c r="D164" s="191" t="n">
        <v>559584075013</v>
      </c>
      <c r="E164" s="190" t="s">
        <v>4045</v>
      </c>
      <c r="F164" s="192" t="n">
        <f aca="false">SUMIF(ENTRADAS!F:F,CLIENTES_PCBR[[#This Row],[TELEFONO]],ENTRADAS!C:C)</f>
        <v>0</v>
      </c>
      <c r="G164" s="189" t="s">
        <v>94</v>
      </c>
    </row>
    <row r="165" customFormat="false" ht="15" hidden="false" customHeight="false" outlineLevel="0" collapsed="false">
      <c r="A165" s="197"/>
      <c r="B165" s="191"/>
      <c r="C165" s="190" t="s">
        <v>4046</v>
      </c>
      <c r="D165" s="191" t="n">
        <v>551115200109</v>
      </c>
      <c r="E165" s="190" t="s">
        <v>4047</v>
      </c>
      <c r="F165" s="192" t="n">
        <f aca="false">SUMIF(ENTRADAS!F:F,CLIENTES_PCBR[[#This Row],[TELEFONO]],ENTRADAS!C:C)</f>
        <v>0</v>
      </c>
      <c r="G165" s="189" t="s">
        <v>94</v>
      </c>
    </row>
    <row r="166" customFormat="false" ht="15" hidden="false" customHeight="false" outlineLevel="0" collapsed="false">
      <c r="A166" s="197"/>
      <c r="B166" s="191"/>
      <c r="C166" s="190" t="s">
        <v>4048</v>
      </c>
      <c r="D166" s="191" t="n">
        <v>551176831120</v>
      </c>
      <c r="E166" s="190" t="s">
        <v>4049</v>
      </c>
      <c r="F166" s="192" t="n">
        <f aca="false">SUMIF(ENTRADAS!F:F,CLIENTES_PCBR[[#This Row],[TELEFONO]],ENTRADAS!C:C)</f>
        <v>0</v>
      </c>
      <c r="G166" s="189" t="s">
        <v>94</v>
      </c>
    </row>
    <row r="167" customFormat="false" ht="15" hidden="false" customHeight="false" outlineLevel="0" collapsed="false">
      <c r="A167" s="197"/>
      <c r="B167" s="191"/>
      <c r="C167" s="190" t="s">
        <v>4050</v>
      </c>
      <c r="D167" s="191" t="n">
        <v>556292985060</v>
      </c>
      <c r="E167" s="190" t="s">
        <v>4051</v>
      </c>
      <c r="F167" s="192" t="n">
        <f aca="false">SUMIF(ENTRADAS!F:F,CLIENTES_PCBR[[#This Row],[TELEFONO]],ENTRADAS!C:C)</f>
        <v>0</v>
      </c>
      <c r="G167" s="189" t="s">
        <v>94</v>
      </c>
    </row>
    <row r="168" customFormat="false" ht="15" hidden="false" customHeight="false" outlineLevel="0" collapsed="false">
      <c r="A168" s="197"/>
      <c r="B168" s="191"/>
      <c r="C168" s="190" t="s">
        <v>4052</v>
      </c>
      <c r="D168" s="191" t="n">
        <v>551147689597</v>
      </c>
      <c r="E168" s="190" t="s">
        <v>889</v>
      </c>
      <c r="F168" s="192" t="n">
        <f aca="false">SUMIF(ENTRADAS!F:F,CLIENTES_PCBR[[#This Row],[TELEFONO]],ENTRADAS!C:C)</f>
        <v>0</v>
      </c>
      <c r="G168" s="189" t="s">
        <v>94</v>
      </c>
    </row>
    <row r="169" customFormat="false" ht="15" hidden="false" customHeight="false" outlineLevel="0" collapsed="false">
      <c r="A169" s="197"/>
      <c r="B169" s="191"/>
      <c r="C169" s="190" t="s">
        <v>1545</v>
      </c>
      <c r="D169" s="191" t="n">
        <v>551382140440</v>
      </c>
      <c r="E169" s="190" t="s">
        <v>4053</v>
      </c>
      <c r="F169" s="192" t="n">
        <f aca="false">SUMIF(ENTRADAS!F:F,CLIENTES_PCBR[[#This Row],[TELEFONO]],ENTRADAS!C:C)</f>
        <v>0</v>
      </c>
      <c r="G169" s="189" t="s">
        <v>94</v>
      </c>
    </row>
    <row r="170" customFormat="false" ht="15" hidden="false" customHeight="false" outlineLevel="0" collapsed="false">
      <c r="A170" s="197"/>
      <c r="B170" s="191"/>
      <c r="C170" s="190" t="s">
        <v>4054</v>
      </c>
      <c r="D170" s="191" t="n">
        <v>559584020371</v>
      </c>
      <c r="E170" s="190" t="s">
        <v>4055</v>
      </c>
      <c r="F170" s="192" t="n">
        <f aca="false">SUMIF(ENTRADAS!F:F,CLIENTES_PCBR[[#This Row],[TELEFONO]],ENTRADAS!C:C)</f>
        <v>0</v>
      </c>
      <c r="G170" s="189" t="s">
        <v>94</v>
      </c>
    </row>
    <row r="171" customFormat="false" ht="15" hidden="false" customHeight="false" outlineLevel="0" collapsed="false">
      <c r="A171" s="197"/>
      <c r="B171" s="191"/>
      <c r="C171" s="190" t="s">
        <v>4056</v>
      </c>
      <c r="D171" s="191" t="n">
        <v>554598111980</v>
      </c>
      <c r="E171" s="190" t="s">
        <v>4057</v>
      </c>
      <c r="F171" s="192" t="n">
        <f aca="false">SUMIF(ENTRADAS!F:F,CLIENTES_PCBR[[#This Row],[TELEFONO]],ENTRADAS!C:C)</f>
        <v>0</v>
      </c>
      <c r="G171" s="189" t="s">
        <v>94</v>
      </c>
    </row>
    <row r="172" customFormat="false" ht="15" hidden="false" customHeight="false" outlineLevel="0" collapsed="false">
      <c r="A172" s="197"/>
      <c r="B172" s="191"/>
      <c r="C172" s="190" t="s">
        <v>4058</v>
      </c>
      <c r="D172" s="191" t="n">
        <v>554788394125</v>
      </c>
      <c r="E172" s="190" t="s">
        <v>4059</v>
      </c>
      <c r="F172" s="192" t="n">
        <f aca="false">SUMIF(ENTRADAS!F:F,CLIENTES_PCBR[[#This Row],[TELEFONO]],ENTRADAS!C:C)</f>
        <v>0</v>
      </c>
      <c r="G172" s="189" t="s">
        <v>94</v>
      </c>
    </row>
    <row r="173" customFormat="false" ht="15" hidden="false" customHeight="false" outlineLevel="0" collapsed="false">
      <c r="A173" s="197"/>
      <c r="B173" s="191"/>
      <c r="C173" s="190" t="s">
        <v>4060</v>
      </c>
      <c r="D173" s="191" t="n">
        <v>556293359510</v>
      </c>
      <c r="E173" s="190" t="s">
        <v>4061</v>
      </c>
      <c r="F173" s="192" t="n">
        <f aca="false">SUMIF(ENTRADAS!F:F,CLIENTES_PCBR[[#This Row],[TELEFONO]],ENTRADAS!C:C)</f>
        <v>0</v>
      </c>
      <c r="G173" s="189" t="s">
        <v>94</v>
      </c>
    </row>
    <row r="174" customFormat="false" ht="15" hidden="false" customHeight="false" outlineLevel="0" collapsed="false">
      <c r="A174" s="197"/>
      <c r="B174" s="191"/>
      <c r="C174" s="190" t="s">
        <v>4062</v>
      </c>
      <c r="D174" s="191" t="n">
        <v>556295305022</v>
      </c>
      <c r="E174" s="190" t="s">
        <v>359</v>
      </c>
      <c r="F174" s="192" t="n">
        <f aca="false">SUMIF(ENTRADAS!F:F,CLIENTES_PCBR[[#This Row],[TELEFONO]],ENTRADAS!C:C)</f>
        <v>147</v>
      </c>
      <c r="G174" s="189" t="s">
        <v>94</v>
      </c>
    </row>
    <row r="175" customFormat="false" ht="15" hidden="false" customHeight="false" outlineLevel="0" collapsed="false">
      <c r="A175" s="197"/>
      <c r="B175" s="191"/>
      <c r="C175" s="190" t="s">
        <v>4063</v>
      </c>
      <c r="D175" s="191" t="n">
        <v>554896546271</v>
      </c>
      <c r="E175" s="190" t="s">
        <v>4064</v>
      </c>
      <c r="F175" s="192" t="n">
        <f aca="false">SUMIF(ENTRADAS!F:F,CLIENTES_PCBR[[#This Row],[TELEFONO]],ENTRADAS!C:C)</f>
        <v>0</v>
      </c>
      <c r="G175" s="189" t="s">
        <v>94</v>
      </c>
    </row>
    <row r="176" customFormat="false" ht="15" hidden="false" customHeight="false" outlineLevel="0" collapsed="false">
      <c r="A176" s="197"/>
      <c r="B176" s="191"/>
      <c r="C176" s="190" t="s">
        <v>4065</v>
      </c>
      <c r="D176" s="191" t="n">
        <v>554187799763</v>
      </c>
      <c r="E176" s="190" t="s">
        <v>4066</v>
      </c>
      <c r="F176" s="192" t="n">
        <f aca="false">SUMIF(ENTRADAS!F:F,CLIENTES_PCBR[[#This Row],[TELEFONO]],ENTRADAS!C:C)</f>
        <v>0</v>
      </c>
      <c r="G176" s="189" t="s">
        <v>94</v>
      </c>
    </row>
    <row r="177" customFormat="false" ht="15" hidden="false" customHeight="false" outlineLevel="0" collapsed="false">
      <c r="A177" s="197"/>
      <c r="B177" s="191"/>
      <c r="C177" s="190" t="s">
        <v>4067</v>
      </c>
      <c r="D177" s="191" t="n">
        <v>554195850524</v>
      </c>
      <c r="E177" s="190" t="s">
        <v>1493</v>
      </c>
      <c r="F177" s="192" t="n">
        <f aca="false">SUMIF(ENTRADAS!F:F,CLIENTES_PCBR[[#This Row],[TELEFONO]],ENTRADAS!C:C)</f>
        <v>120</v>
      </c>
      <c r="G177" s="189" t="s">
        <v>94</v>
      </c>
    </row>
    <row r="178" customFormat="false" ht="15" hidden="false" customHeight="false" outlineLevel="0" collapsed="false">
      <c r="A178" s="197"/>
      <c r="B178" s="191"/>
      <c r="C178" s="190" t="s">
        <v>4068</v>
      </c>
      <c r="D178" s="191" t="n">
        <v>554888697895</v>
      </c>
      <c r="E178" s="190" t="s">
        <v>4069</v>
      </c>
      <c r="F178" s="192" t="n">
        <f aca="false">SUMIF(ENTRADAS!F:F,CLIENTES_PCBR[[#This Row],[TELEFONO]],ENTRADAS!C:C)</f>
        <v>0</v>
      </c>
      <c r="G178" s="189" t="s">
        <v>94</v>
      </c>
    </row>
    <row r="179" customFormat="false" ht="15" hidden="false" customHeight="false" outlineLevel="0" collapsed="false">
      <c r="A179" s="197"/>
      <c r="B179" s="191"/>
      <c r="C179" s="190" t="s">
        <v>4070</v>
      </c>
      <c r="D179" s="191" t="n">
        <v>554197130981</v>
      </c>
      <c r="E179" s="190" t="s">
        <v>4071</v>
      </c>
      <c r="F179" s="192" t="n">
        <f aca="false">SUMIF(ENTRADAS!F:F,CLIENTES_PCBR[[#This Row],[TELEFONO]],ENTRADAS!C:C)</f>
        <v>0</v>
      </c>
      <c r="G179" s="189" t="s">
        <v>94</v>
      </c>
    </row>
    <row r="180" customFormat="false" ht="15" hidden="false" customHeight="false" outlineLevel="0" collapsed="false">
      <c r="A180" s="197"/>
      <c r="B180" s="191"/>
      <c r="C180" s="190" t="s">
        <v>4072</v>
      </c>
      <c r="D180" s="191" t="n">
        <v>556195743814</v>
      </c>
      <c r="E180" s="190" t="s">
        <v>4073</v>
      </c>
      <c r="F180" s="192" t="n">
        <f aca="false">SUMIF(ENTRADAS!F:F,CLIENTES_PCBR[[#This Row],[TELEFONO]],ENTRADAS!C:C)</f>
        <v>0</v>
      </c>
      <c r="G180" s="189" t="s">
        <v>94</v>
      </c>
    </row>
    <row r="181" customFormat="false" ht="15" hidden="false" customHeight="false" outlineLevel="0" collapsed="false">
      <c r="A181" s="197"/>
      <c r="B181" s="191"/>
      <c r="C181" s="190" t="s">
        <v>4074</v>
      </c>
      <c r="D181" s="191" t="n">
        <v>559599773288</v>
      </c>
      <c r="E181" s="190" t="s">
        <v>329</v>
      </c>
      <c r="F181" s="192" t="n">
        <f aca="false">SUMIF(ENTRADAS!F:F,CLIENTES_PCBR[[#This Row],[TELEFONO]],ENTRADAS!C:C)</f>
        <v>3240</v>
      </c>
      <c r="G181" s="189" t="s">
        <v>94</v>
      </c>
    </row>
    <row r="182" customFormat="false" ht="15" hidden="false" customHeight="false" outlineLevel="0" collapsed="false">
      <c r="A182" s="197"/>
      <c r="B182" s="191"/>
      <c r="C182" s="190" t="s">
        <v>1444</v>
      </c>
      <c r="D182" s="191" t="n">
        <v>559591640869</v>
      </c>
      <c r="E182" s="190" t="s">
        <v>1445</v>
      </c>
      <c r="F182" s="192" t="n">
        <f aca="false">SUMIF(ENTRADAS!F:F,CLIENTES_PCBR[[#This Row],[TELEFONO]],ENTRADAS!C:C)</f>
        <v>1800</v>
      </c>
      <c r="G182" s="189" t="s">
        <v>94</v>
      </c>
    </row>
    <row r="183" customFormat="false" ht="15" hidden="false" customHeight="false" outlineLevel="0" collapsed="false">
      <c r="A183" s="197"/>
      <c r="B183" s="191"/>
      <c r="C183" s="190" t="s">
        <v>4075</v>
      </c>
      <c r="D183" s="191" t="n">
        <v>556692287254</v>
      </c>
      <c r="E183" s="190" t="s">
        <v>4076</v>
      </c>
      <c r="F183" s="192" t="n">
        <f aca="false">SUMIF(ENTRADAS!F:F,CLIENTES_PCBR[[#This Row],[TELEFONO]],ENTRADAS!C:C)</f>
        <v>0</v>
      </c>
      <c r="G183" s="189" t="s">
        <v>94</v>
      </c>
    </row>
    <row r="184" customFormat="false" ht="15" hidden="false" customHeight="false" outlineLevel="0" collapsed="false">
      <c r="A184" s="197"/>
      <c r="B184" s="191"/>
      <c r="C184" s="190" t="s">
        <v>4077</v>
      </c>
      <c r="D184" s="191" t="n">
        <v>555496099379</v>
      </c>
      <c r="E184" s="190" t="s">
        <v>4078</v>
      </c>
      <c r="F184" s="192" t="n">
        <f aca="false">SUMIF(ENTRADAS!F:F,CLIENTES_PCBR[[#This Row],[TELEFONO]],ENTRADAS!C:C)</f>
        <v>0</v>
      </c>
      <c r="G184" s="189" t="s">
        <v>94</v>
      </c>
    </row>
    <row r="185" customFormat="false" ht="15" hidden="false" customHeight="false" outlineLevel="0" collapsed="false">
      <c r="A185" s="197"/>
      <c r="B185" s="191"/>
      <c r="C185" s="190" t="s">
        <v>4079</v>
      </c>
      <c r="D185" s="191" t="n">
        <v>554198357332</v>
      </c>
      <c r="E185" s="190" t="s">
        <v>2376</v>
      </c>
      <c r="F185" s="192" t="n">
        <f aca="false">SUMIF(ENTRADAS!F:F,CLIENTES_PCBR[[#This Row],[TELEFONO]],ENTRADAS!C:C)</f>
        <v>0</v>
      </c>
      <c r="G185" s="189" t="s">
        <v>94</v>
      </c>
    </row>
    <row r="186" customFormat="false" ht="15" hidden="false" customHeight="false" outlineLevel="0" collapsed="false">
      <c r="A186" s="197"/>
      <c r="B186" s="191"/>
      <c r="C186" s="190" t="s">
        <v>4080</v>
      </c>
      <c r="D186" s="191" t="n">
        <v>559584202922</v>
      </c>
      <c r="E186" s="190" t="s">
        <v>4081</v>
      </c>
      <c r="F186" s="192" t="n">
        <f aca="false">SUMIF(ENTRADAS!F:F,CLIENTES_PCBR[[#This Row],[TELEFONO]],ENTRADAS!C:C)</f>
        <v>0</v>
      </c>
      <c r="G186" s="189" t="s">
        <v>94</v>
      </c>
    </row>
    <row r="187" customFormat="false" ht="15" hidden="false" customHeight="false" outlineLevel="0" collapsed="false">
      <c r="A187" s="197"/>
      <c r="B187" s="191"/>
      <c r="C187" s="190" t="s">
        <v>4082</v>
      </c>
      <c r="D187" s="191" t="n">
        <v>551896559960</v>
      </c>
      <c r="E187" s="190" t="s">
        <v>4083</v>
      </c>
      <c r="F187" s="192" t="n">
        <f aca="false">SUMIF(ENTRADAS!F:F,CLIENTES_PCBR[[#This Row],[TELEFONO]],ENTRADAS!C:C)</f>
        <v>0</v>
      </c>
      <c r="G187" s="189" t="s">
        <v>94</v>
      </c>
    </row>
    <row r="188" customFormat="false" ht="15" hidden="false" customHeight="false" outlineLevel="0" collapsed="false">
      <c r="A188" s="197"/>
      <c r="B188" s="191"/>
      <c r="C188" s="190" t="s">
        <v>4084</v>
      </c>
      <c r="D188" s="191" t="n">
        <v>5354820255</v>
      </c>
      <c r="E188" s="190" t="s">
        <v>4085</v>
      </c>
      <c r="F188" s="192" t="n">
        <f aca="false">SUMIF(ENTRADAS!F:F,CLIENTES_PCBR[[#This Row],[TELEFONO]],ENTRADAS!C:C)</f>
        <v>0</v>
      </c>
      <c r="G188" s="189" t="s">
        <v>94</v>
      </c>
    </row>
    <row r="189" customFormat="false" ht="15" hidden="false" customHeight="false" outlineLevel="0" collapsed="false">
      <c r="A189" s="197"/>
      <c r="B189" s="191"/>
      <c r="C189" s="190" t="s">
        <v>4086</v>
      </c>
      <c r="D189" s="191" t="n">
        <v>559684094036</v>
      </c>
      <c r="E189" s="190" t="s">
        <v>4087</v>
      </c>
      <c r="F189" s="192" t="n">
        <f aca="false">SUMIF(ENTRADAS!F:F,CLIENTES_PCBR[[#This Row],[TELEFONO]],ENTRADAS!C:C)</f>
        <v>0</v>
      </c>
      <c r="G189" s="189" t="s">
        <v>94</v>
      </c>
    </row>
    <row r="190" customFormat="false" ht="15" hidden="false" customHeight="false" outlineLevel="0" collapsed="false">
      <c r="A190" s="197"/>
      <c r="B190" s="191"/>
      <c r="C190" s="190" t="s">
        <v>4088</v>
      </c>
      <c r="D190" s="191" t="n">
        <v>5518996051695</v>
      </c>
      <c r="E190" s="190" t="s">
        <v>4089</v>
      </c>
      <c r="F190" s="192" t="n">
        <f aca="false">SUMIF(ENTRADAS!F:F,CLIENTES_PCBR[[#This Row],[TELEFONO]],ENTRADAS!C:C)</f>
        <v>0</v>
      </c>
      <c r="G190" s="189" t="s">
        <v>94</v>
      </c>
    </row>
    <row r="191" customFormat="false" ht="15" hidden="false" customHeight="false" outlineLevel="0" collapsed="false">
      <c r="A191" s="197"/>
      <c r="B191" s="191"/>
      <c r="C191" s="190" t="s">
        <v>4090</v>
      </c>
      <c r="D191" s="191" t="n">
        <v>555491032659</v>
      </c>
      <c r="E191" s="190" t="s">
        <v>2773</v>
      </c>
      <c r="F191" s="192" t="n">
        <f aca="false">SUMIF(ENTRADAS!F:F,CLIENTES_PCBR[[#This Row],[TELEFONO]],ENTRADAS!C:C)</f>
        <v>150</v>
      </c>
      <c r="G191" s="189" t="s">
        <v>94</v>
      </c>
    </row>
    <row r="192" customFormat="false" ht="15" hidden="false" customHeight="false" outlineLevel="0" collapsed="false">
      <c r="A192" s="197"/>
      <c r="B192" s="191"/>
      <c r="C192" s="190" t="s">
        <v>4091</v>
      </c>
      <c r="D192" s="191" t="n">
        <v>554199110533</v>
      </c>
      <c r="E192" s="190" t="s">
        <v>4092</v>
      </c>
      <c r="F192" s="192" t="n">
        <f aca="false">SUMIF(ENTRADAS!F:F,CLIENTES_PCBR[[#This Row],[TELEFONO]],ENTRADAS!C:C)</f>
        <v>0</v>
      </c>
      <c r="G192" s="189" t="s">
        <v>94</v>
      </c>
    </row>
    <row r="193" customFormat="false" ht="15" hidden="false" customHeight="false" outlineLevel="0" collapsed="false">
      <c r="A193" s="197"/>
      <c r="B193" s="191"/>
      <c r="C193" s="190" t="s">
        <v>4093</v>
      </c>
      <c r="D193" s="191" t="n">
        <v>554891874839</v>
      </c>
      <c r="E193" s="190" t="s">
        <v>4094</v>
      </c>
      <c r="F193" s="192" t="n">
        <f aca="false">SUMIF(ENTRADAS!F:F,CLIENTES_PCBR[[#This Row],[TELEFONO]],ENTRADAS!C:C)</f>
        <v>0</v>
      </c>
      <c r="G193" s="189" t="s">
        <v>94</v>
      </c>
    </row>
    <row r="194" customFormat="false" ht="15" hidden="false" customHeight="false" outlineLevel="0" collapsed="false">
      <c r="A194" s="197"/>
      <c r="B194" s="191"/>
      <c r="C194" s="190" t="s">
        <v>4095</v>
      </c>
      <c r="D194" s="191" t="n">
        <v>554888594708</v>
      </c>
      <c r="E194" s="190" t="s">
        <v>4096</v>
      </c>
      <c r="F194" s="192" t="n">
        <f aca="false">SUMIF(ENTRADAS!F:F,CLIENTES_PCBR[[#This Row],[TELEFONO]],ENTRADAS!C:C)</f>
        <v>0</v>
      </c>
      <c r="G194" s="189" t="s">
        <v>94</v>
      </c>
    </row>
    <row r="195" customFormat="false" ht="15" hidden="false" customHeight="false" outlineLevel="0" collapsed="false">
      <c r="A195" s="197"/>
      <c r="B195" s="191"/>
      <c r="C195" s="190" t="s">
        <v>4097</v>
      </c>
      <c r="D195" s="191" t="n">
        <v>559584303962</v>
      </c>
      <c r="E195" s="190" t="s">
        <v>1286</v>
      </c>
      <c r="F195" s="192" t="n">
        <f aca="false">SUMIF(ENTRADAS!F:F,CLIENTES_PCBR[[#This Row],[TELEFONO]],ENTRADAS!C:C)</f>
        <v>147</v>
      </c>
      <c r="G195" s="189" t="s">
        <v>94</v>
      </c>
    </row>
    <row r="196" customFormat="false" ht="15" hidden="false" customHeight="false" outlineLevel="0" collapsed="false">
      <c r="A196" s="197"/>
      <c r="B196" s="191"/>
      <c r="C196" s="190" t="s">
        <v>4098</v>
      </c>
      <c r="D196" s="191" t="n">
        <v>554197486923</v>
      </c>
      <c r="E196" s="190" t="s">
        <v>1135</v>
      </c>
      <c r="F196" s="192" t="n">
        <f aca="false">SUMIF(ENTRADAS!F:F,CLIENTES_PCBR[[#This Row],[TELEFONO]],ENTRADAS!C:C)</f>
        <v>150</v>
      </c>
      <c r="G196" s="189" t="s">
        <v>94</v>
      </c>
    </row>
    <row r="197" customFormat="false" ht="15" hidden="false" customHeight="false" outlineLevel="0" collapsed="false">
      <c r="A197" s="197"/>
      <c r="B197" s="191"/>
      <c r="C197" s="190" t="s">
        <v>4099</v>
      </c>
      <c r="D197" s="191" t="n">
        <v>559584297355</v>
      </c>
      <c r="E197" s="190" t="s">
        <v>4100</v>
      </c>
      <c r="F197" s="192" t="n">
        <f aca="false">SUMIF(ENTRADAS!F:F,CLIENTES_PCBR[[#This Row],[TELEFONO]],ENTRADAS!C:C)</f>
        <v>0</v>
      </c>
      <c r="G197" s="189" t="s">
        <v>94</v>
      </c>
    </row>
    <row r="198" customFormat="false" ht="15" hidden="false" customHeight="false" outlineLevel="0" collapsed="false">
      <c r="A198" s="197"/>
      <c r="B198" s="191"/>
      <c r="C198" s="190" t="s">
        <v>4101</v>
      </c>
      <c r="D198" s="191" t="n">
        <v>5511965251647</v>
      </c>
      <c r="E198" s="190" t="s">
        <v>1197</v>
      </c>
      <c r="F198" s="192" t="n">
        <f aca="false">SUMIF(ENTRADAS!F:F,CLIENTES_PCBR[[#This Row],[TELEFONO]],ENTRADAS!C:C)</f>
        <v>537</v>
      </c>
      <c r="G198" s="189" t="s">
        <v>94</v>
      </c>
    </row>
    <row r="199" customFormat="false" ht="15" hidden="false" customHeight="false" outlineLevel="0" collapsed="false">
      <c r="A199" s="197"/>
      <c r="B199" s="191"/>
      <c r="C199" s="190" t="s">
        <v>4102</v>
      </c>
      <c r="D199" s="191" t="n">
        <v>554199305853</v>
      </c>
      <c r="E199" s="190" t="s">
        <v>4103</v>
      </c>
      <c r="F199" s="192" t="n">
        <f aca="false">SUMIF(ENTRADAS!F:F,CLIENTES_PCBR[[#This Row],[TELEFONO]],ENTRADAS!C:C)</f>
        <v>0</v>
      </c>
      <c r="G199" s="189" t="s">
        <v>94</v>
      </c>
    </row>
    <row r="200" customFormat="false" ht="15" hidden="false" customHeight="false" outlineLevel="0" collapsed="false">
      <c r="A200" s="197"/>
      <c r="B200" s="191"/>
      <c r="C200" s="190" t="s">
        <v>4104</v>
      </c>
      <c r="D200" s="191" t="n">
        <v>554892198914</v>
      </c>
      <c r="E200" s="190" t="s">
        <v>4105</v>
      </c>
      <c r="F200" s="192" t="n">
        <f aca="false">SUMIF(ENTRADAS!F:F,CLIENTES_PCBR[[#This Row],[TELEFONO]],ENTRADAS!C:C)</f>
        <v>0</v>
      </c>
      <c r="G200" s="189" t="s">
        <v>94</v>
      </c>
    </row>
    <row r="201" customFormat="false" ht="15" hidden="false" customHeight="false" outlineLevel="0" collapsed="false">
      <c r="A201" s="197"/>
      <c r="B201" s="191"/>
      <c r="C201" s="190" t="s">
        <v>4106</v>
      </c>
      <c r="D201" s="191" t="n">
        <v>559584252329</v>
      </c>
      <c r="E201" s="190" t="s">
        <v>4107</v>
      </c>
      <c r="F201" s="192" t="n">
        <f aca="false">SUMIF(ENTRADAS!F:F,CLIENTES_PCBR[[#This Row],[TELEFONO]],ENTRADAS!C:C)</f>
        <v>0</v>
      </c>
      <c r="G201" s="189" t="s">
        <v>94</v>
      </c>
    </row>
    <row r="202" customFormat="false" ht="15" hidden="false" customHeight="false" outlineLevel="0" collapsed="false">
      <c r="A202" s="197"/>
      <c r="B202" s="191"/>
      <c r="C202" s="190" t="s">
        <v>4108</v>
      </c>
      <c r="D202" s="191" t="n">
        <v>554191887883</v>
      </c>
      <c r="E202" s="190" t="s">
        <v>4109</v>
      </c>
      <c r="F202" s="192" t="n">
        <f aca="false">SUMIF(ENTRADAS!F:F,CLIENTES_PCBR[[#This Row],[TELEFONO]],ENTRADAS!C:C)</f>
        <v>0</v>
      </c>
      <c r="G202" s="189" t="s">
        <v>94</v>
      </c>
    </row>
    <row r="203" customFormat="false" ht="15" hidden="false" customHeight="false" outlineLevel="0" collapsed="false">
      <c r="A203" s="197"/>
      <c r="B203" s="191"/>
      <c r="C203" s="190" t="s">
        <v>4110</v>
      </c>
      <c r="D203" s="191" t="n">
        <v>559296059177</v>
      </c>
      <c r="E203" s="190" t="s">
        <v>4111</v>
      </c>
      <c r="F203" s="192" t="n">
        <f aca="false">SUMIF(ENTRADAS!F:F,CLIENTES_PCBR[[#This Row],[TELEFONO]],ENTRADAS!C:C)</f>
        <v>0</v>
      </c>
      <c r="G203" s="189" t="s">
        <v>94</v>
      </c>
    </row>
    <row r="204" customFormat="false" ht="15" hidden="false" customHeight="false" outlineLevel="0" collapsed="false">
      <c r="A204" s="197"/>
      <c r="B204" s="191"/>
      <c r="C204" s="190" t="s">
        <v>2917</v>
      </c>
      <c r="D204" s="191" t="n">
        <v>554899378524</v>
      </c>
      <c r="E204" s="190" t="s">
        <v>2919</v>
      </c>
      <c r="F204" s="192" t="n">
        <f aca="false">SUMIF(ENTRADAS!F:F,CLIENTES_PCBR[[#This Row],[TELEFONO]],ENTRADAS!C:C)</f>
        <v>97</v>
      </c>
      <c r="G204" s="189" t="s">
        <v>94</v>
      </c>
    </row>
    <row r="205" customFormat="false" ht="15" hidden="false" customHeight="false" outlineLevel="0" collapsed="false">
      <c r="A205" s="197"/>
      <c r="B205" s="191"/>
      <c r="C205" s="190" t="s">
        <v>4112</v>
      </c>
      <c r="D205" s="191" t="n">
        <v>559584065764</v>
      </c>
      <c r="E205" s="190" t="s">
        <v>4113</v>
      </c>
      <c r="F205" s="192" t="n">
        <f aca="false">SUMIF(ENTRADAS!F:F,CLIENTES_PCBR[[#This Row],[TELEFONO]],ENTRADAS!C:C)</f>
        <v>0</v>
      </c>
      <c r="G205" s="189" t="s">
        <v>94</v>
      </c>
    </row>
    <row r="206" customFormat="false" ht="15" hidden="false" customHeight="false" outlineLevel="0" collapsed="false">
      <c r="A206" s="197"/>
      <c r="B206" s="191"/>
      <c r="C206" s="190" t="s">
        <v>4114</v>
      </c>
      <c r="D206" s="191" t="n">
        <v>554198208782</v>
      </c>
      <c r="E206" s="190" t="s">
        <v>4115</v>
      </c>
      <c r="F206" s="192" t="n">
        <f aca="false">SUMIF(ENTRADAS!F:F,CLIENTES_PCBR[[#This Row],[TELEFONO]],ENTRADAS!C:C)</f>
        <v>0</v>
      </c>
      <c r="G206" s="189" t="s">
        <v>94</v>
      </c>
    </row>
    <row r="207" customFormat="false" ht="15" hidden="false" customHeight="false" outlineLevel="0" collapsed="false">
      <c r="A207" s="197"/>
      <c r="B207" s="191"/>
      <c r="C207" s="190" t="s">
        <v>4116</v>
      </c>
      <c r="D207" s="191" t="n">
        <v>554591081296</v>
      </c>
      <c r="E207" s="190" t="s">
        <v>4117</v>
      </c>
      <c r="F207" s="192" t="n">
        <f aca="false">SUMIF(ENTRADAS!F:F,CLIENTES_PCBR[[#This Row],[TELEFONO]],ENTRADAS!C:C)</f>
        <v>0</v>
      </c>
      <c r="G207" s="189" t="s">
        <v>94</v>
      </c>
    </row>
    <row r="208" customFormat="false" ht="15" hidden="false" customHeight="false" outlineLevel="0" collapsed="false">
      <c r="A208" s="197"/>
      <c r="B208" s="191"/>
      <c r="C208" s="190" t="s">
        <v>4118</v>
      </c>
      <c r="D208" s="191" t="n">
        <v>554196661029</v>
      </c>
      <c r="E208" s="190" t="s">
        <v>4119</v>
      </c>
      <c r="F208" s="192" t="n">
        <f aca="false">SUMIF(ENTRADAS!F:F,CLIENTES_PCBR[[#This Row],[TELEFONO]],ENTRADAS!C:C)</f>
        <v>0</v>
      </c>
      <c r="G208" s="189" t="s">
        <v>94</v>
      </c>
    </row>
    <row r="209" customFormat="false" ht="15" hidden="false" customHeight="false" outlineLevel="0" collapsed="false">
      <c r="A209" s="197"/>
      <c r="B209" s="191"/>
      <c r="C209" s="190" t="s">
        <v>4120</v>
      </c>
      <c r="D209" s="191" t="n">
        <v>555493255185</v>
      </c>
      <c r="E209" s="190" t="s">
        <v>4121</v>
      </c>
      <c r="F209" s="192" t="n">
        <f aca="false">SUMIF(ENTRADAS!F:F,CLIENTES_PCBR[[#This Row],[TELEFONO]],ENTRADAS!C:C)</f>
        <v>0</v>
      </c>
      <c r="G209" s="189" t="s">
        <v>94</v>
      </c>
    </row>
    <row r="210" customFormat="false" ht="15" hidden="false" customHeight="false" outlineLevel="0" collapsed="false">
      <c r="A210" s="197"/>
      <c r="B210" s="191"/>
      <c r="C210" s="190" t="s">
        <v>4122</v>
      </c>
      <c r="D210" s="191" t="n">
        <v>554196468244</v>
      </c>
      <c r="E210" s="190" t="s">
        <v>1643</v>
      </c>
      <c r="F210" s="192" t="n">
        <f aca="false">SUMIF(ENTRADAS!F:F,CLIENTES_PCBR[[#This Row],[TELEFONO]],ENTRADAS!C:C)</f>
        <v>0</v>
      </c>
      <c r="G210" s="189" t="s">
        <v>94</v>
      </c>
    </row>
    <row r="211" customFormat="false" ht="15" hidden="false" customHeight="false" outlineLevel="0" collapsed="false">
      <c r="A211" s="197"/>
      <c r="B211" s="191"/>
      <c r="C211" s="190" t="s">
        <v>4123</v>
      </c>
      <c r="D211" s="191" t="n">
        <v>554198597782</v>
      </c>
      <c r="E211" s="190" t="s">
        <v>4124</v>
      </c>
      <c r="F211" s="192" t="n">
        <f aca="false">SUMIF(ENTRADAS!F:F,CLIENTES_PCBR[[#This Row],[TELEFONO]],ENTRADAS!C:C)</f>
        <v>0</v>
      </c>
      <c r="G211" s="189" t="s">
        <v>94</v>
      </c>
    </row>
    <row r="212" customFormat="false" ht="15" hidden="false" customHeight="false" outlineLevel="0" collapsed="false">
      <c r="A212" s="197"/>
      <c r="B212" s="191"/>
      <c r="C212" s="190" t="s">
        <v>4125</v>
      </c>
      <c r="D212" s="191" t="n">
        <v>559584197551</v>
      </c>
      <c r="E212" s="190" t="s">
        <v>4126</v>
      </c>
      <c r="F212" s="192" t="n">
        <f aca="false">SUMIF(ENTRADAS!F:F,CLIENTES_PCBR[[#This Row],[TELEFONO]],ENTRADAS!C:C)</f>
        <v>0</v>
      </c>
      <c r="G212" s="189" t="s">
        <v>94</v>
      </c>
    </row>
    <row r="213" customFormat="false" ht="15" hidden="false" customHeight="false" outlineLevel="0" collapsed="false">
      <c r="A213" s="197"/>
      <c r="B213" s="191"/>
      <c r="C213" s="190" t="s">
        <v>4127</v>
      </c>
      <c r="D213" s="191" t="n">
        <v>554192526407</v>
      </c>
      <c r="E213" s="190" t="s">
        <v>4128</v>
      </c>
      <c r="F213" s="192" t="n">
        <f aca="false">SUMIF(ENTRADAS!F:F,CLIENTES_PCBR[[#This Row],[TELEFONO]],ENTRADAS!C:C)</f>
        <v>0</v>
      </c>
      <c r="G213" s="189" t="s">
        <v>94</v>
      </c>
    </row>
    <row r="214" customFormat="false" ht="15" hidden="false" customHeight="false" outlineLevel="0" collapsed="false">
      <c r="A214" s="197"/>
      <c r="B214" s="191"/>
      <c r="C214" s="190" t="s">
        <v>4129</v>
      </c>
      <c r="D214" s="191" t="n">
        <v>559584182848</v>
      </c>
      <c r="E214" s="190" t="s">
        <v>4130</v>
      </c>
      <c r="F214" s="192" t="n">
        <f aca="false">SUMIF(ENTRADAS!F:F,CLIENTES_PCBR[[#This Row],[TELEFONO]],ENTRADAS!C:C)</f>
        <v>0</v>
      </c>
      <c r="G214" s="189" t="s">
        <v>94</v>
      </c>
    </row>
    <row r="215" customFormat="false" ht="15" hidden="false" customHeight="false" outlineLevel="0" collapsed="false">
      <c r="A215" s="197"/>
      <c r="B215" s="191"/>
      <c r="C215" s="190" t="s">
        <v>4131</v>
      </c>
      <c r="D215" s="191" t="n">
        <v>554196483370</v>
      </c>
      <c r="E215" s="190" t="s">
        <v>4132</v>
      </c>
      <c r="F215" s="192" t="n">
        <f aca="false">SUMIF(ENTRADAS!F:F,CLIENTES_PCBR[[#This Row],[TELEFONO]],ENTRADAS!C:C)</f>
        <v>0</v>
      </c>
      <c r="G215" s="189" t="s">
        <v>94</v>
      </c>
    </row>
    <row r="216" customFormat="false" ht="15" hidden="false" customHeight="false" outlineLevel="0" collapsed="false">
      <c r="A216" s="197"/>
      <c r="B216" s="191"/>
      <c r="C216" s="190" t="s">
        <v>4133</v>
      </c>
      <c r="D216" s="191" t="n">
        <v>555195112314</v>
      </c>
      <c r="E216" s="190" t="s">
        <v>4134</v>
      </c>
      <c r="F216" s="192" t="n">
        <f aca="false">SUMIF(ENTRADAS!F:F,CLIENTES_PCBR[[#This Row],[TELEFONO]],ENTRADAS!C:C)</f>
        <v>0</v>
      </c>
      <c r="G216" s="189" t="s">
        <v>94</v>
      </c>
    </row>
    <row r="217" customFormat="false" ht="15" hidden="false" customHeight="false" outlineLevel="0" collapsed="false">
      <c r="A217" s="197"/>
      <c r="B217" s="191"/>
      <c r="C217" s="190" t="s">
        <v>4135</v>
      </c>
      <c r="D217" s="191" t="n">
        <v>551110622660</v>
      </c>
      <c r="E217" s="190" t="s">
        <v>2669</v>
      </c>
      <c r="F217" s="192" t="n">
        <f aca="false">SUMIF(ENTRADAS!F:F,CLIENTES_PCBR[[#This Row],[TELEFONO]],ENTRADAS!C:C)</f>
        <v>0</v>
      </c>
      <c r="G217" s="189" t="s">
        <v>94</v>
      </c>
    </row>
    <row r="218" customFormat="false" ht="15" hidden="false" customHeight="false" outlineLevel="0" collapsed="false">
      <c r="A218" s="197"/>
      <c r="B218" s="191"/>
      <c r="C218" s="190" t="s">
        <v>4136</v>
      </c>
      <c r="D218" s="191" t="n">
        <v>559584174904</v>
      </c>
      <c r="E218" s="190" t="s">
        <v>4137</v>
      </c>
      <c r="F218" s="192" t="n">
        <f aca="false">SUMIF(ENTRADAS!F:F,CLIENTES_PCBR[[#This Row],[TELEFONO]],ENTRADAS!C:C)</f>
        <v>0</v>
      </c>
      <c r="G218" s="189" t="s">
        <v>94</v>
      </c>
    </row>
    <row r="219" customFormat="false" ht="15" hidden="false" customHeight="false" outlineLevel="0" collapsed="false">
      <c r="A219" s="197"/>
      <c r="B219" s="191"/>
      <c r="C219" s="190" t="s">
        <v>4138</v>
      </c>
      <c r="D219" s="191" t="n">
        <v>555493334545</v>
      </c>
      <c r="E219" s="190" t="s">
        <v>4139</v>
      </c>
      <c r="F219" s="192" t="n">
        <f aca="false">SUMIF(ENTRADAS!F:F,CLIENTES_PCBR[[#This Row],[TELEFONO]],ENTRADAS!C:C)</f>
        <v>0</v>
      </c>
      <c r="G219" s="189" t="s">
        <v>94</v>
      </c>
    </row>
    <row r="220" customFormat="false" ht="15" hidden="false" customHeight="false" outlineLevel="0" collapsed="false">
      <c r="A220" s="197"/>
      <c r="B220" s="191"/>
      <c r="C220" s="190" t="s">
        <v>4140</v>
      </c>
      <c r="D220" s="191" t="n">
        <v>555481181011</v>
      </c>
      <c r="E220" s="190" t="s">
        <v>4141</v>
      </c>
      <c r="F220" s="192" t="n">
        <f aca="false">SUMIF(ENTRADAS!F:F,CLIENTES_PCBR[[#This Row],[TELEFONO]],ENTRADAS!C:C)</f>
        <v>0</v>
      </c>
      <c r="G220" s="189" t="s">
        <v>94</v>
      </c>
    </row>
    <row r="221" customFormat="false" ht="15" hidden="false" customHeight="false" outlineLevel="0" collapsed="false">
      <c r="A221" s="197"/>
      <c r="B221" s="191"/>
      <c r="C221" s="190" t="s">
        <v>4142</v>
      </c>
      <c r="D221" s="191" t="n">
        <v>554899062809</v>
      </c>
      <c r="E221" s="190" t="s">
        <v>4143</v>
      </c>
      <c r="F221" s="192" t="n">
        <f aca="false">SUMIF(ENTRADAS!F:F,CLIENTES_PCBR[[#This Row],[TELEFONO]],ENTRADAS!C:C)</f>
        <v>0</v>
      </c>
      <c r="G221" s="189" t="s">
        <v>94</v>
      </c>
    </row>
    <row r="222" customFormat="false" ht="15" hidden="false" customHeight="false" outlineLevel="0" collapsed="false">
      <c r="A222" s="197"/>
      <c r="B222" s="191"/>
      <c r="C222" s="190" t="s">
        <v>4144</v>
      </c>
      <c r="D222" s="191" t="n">
        <v>554199578966</v>
      </c>
      <c r="E222" s="190" t="s">
        <v>4145</v>
      </c>
      <c r="F222" s="192" t="n">
        <f aca="false">SUMIF(ENTRADAS!F:F,CLIENTES_PCBR[[#This Row],[TELEFONO]],ENTRADAS!C:C)</f>
        <v>0</v>
      </c>
      <c r="G222" s="189" t="s">
        <v>94</v>
      </c>
    </row>
    <row r="223" customFormat="false" ht="15" hidden="false" customHeight="false" outlineLevel="0" collapsed="false">
      <c r="A223" s="197"/>
      <c r="B223" s="191"/>
      <c r="C223" s="190" t="s">
        <v>4146</v>
      </c>
      <c r="D223" s="191" t="n">
        <v>555496657506</v>
      </c>
      <c r="E223" s="190" t="s">
        <v>4147</v>
      </c>
      <c r="F223" s="192" t="n">
        <f aca="false">SUMIF(ENTRADAS!F:F,CLIENTES_PCBR[[#This Row],[TELEFONO]],ENTRADAS!C:C)</f>
        <v>0</v>
      </c>
      <c r="G223" s="189" t="s">
        <v>94</v>
      </c>
    </row>
    <row r="224" customFormat="false" ht="15" hidden="false" customHeight="false" outlineLevel="0" collapsed="false">
      <c r="A224" s="197"/>
      <c r="B224" s="191"/>
      <c r="C224" s="190" t="s">
        <v>4148</v>
      </c>
      <c r="D224" s="191" t="n">
        <v>555499446769</v>
      </c>
      <c r="E224" s="190" t="s">
        <v>4149</v>
      </c>
      <c r="F224" s="192" t="n">
        <f aca="false">SUMIF(ENTRADAS!F:F,CLIENTES_PCBR[[#This Row],[TELEFONO]],ENTRADAS!C:C)</f>
        <v>0</v>
      </c>
      <c r="G224" s="189" t="s">
        <v>94</v>
      </c>
    </row>
    <row r="225" customFormat="false" ht="15" hidden="false" customHeight="false" outlineLevel="0" collapsed="false">
      <c r="A225" s="197"/>
      <c r="B225" s="191"/>
      <c r="C225" s="190" t="s">
        <v>4150</v>
      </c>
      <c r="D225" s="191" t="n">
        <v>555499935802</v>
      </c>
      <c r="E225" s="190" t="s">
        <v>1250</v>
      </c>
      <c r="F225" s="192" t="n">
        <f aca="false">SUMIF(ENTRADAS!F:F,CLIENTES_PCBR[[#This Row],[TELEFONO]],ENTRADAS!C:C)</f>
        <v>900</v>
      </c>
      <c r="G225" s="189" t="s">
        <v>94</v>
      </c>
    </row>
    <row r="226" customFormat="false" ht="15" hidden="false" customHeight="false" outlineLevel="0" collapsed="false">
      <c r="A226" s="197"/>
      <c r="B226" s="191"/>
      <c r="C226" s="190" t="s">
        <v>4151</v>
      </c>
      <c r="D226" s="191" t="n">
        <v>556499031486</v>
      </c>
      <c r="E226" s="190" t="s">
        <v>4152</v>
      </c>
      <c r="F226" s="192" t="n">
        <f aca="false">SUMIF(ENTRADAS!F:F,CLIENTES_PCBR[[#This Row],[TELEFONO]],ENTRADAS!C:C)</f>
        <v>0</v>
      </c>
      <c r="G226" s="189" t="s">
        <v>94</v>
      </c>
    </row>
    <row r="227" customFormat="false" ht="15" hidden="false" customHeight="false" outlineLevel="0" collapsed="false">
      <c r="A227" s="197"/>
      <c r="B227" s="191"/>
      <c r="C227" s="190" t="s">
        <v>4153</v>
      </c>
      <c r="D227" s="191" t="n">
        <v>559584294436</v>
      </c>
      <c r="E227" s="190" t="s">
        <v>4154</v>
      </c>
      <c r="F227" s="192" t="n">
        <f aca="false">SUMIF(ENTRADAS!F:F,CLIENTES_PCBR[[#This Row],[TELEFONO]],ENTRADAS!C:C)</f>
        <v>0</v>
      </c>
      <c r="G227" s="189" t="s">
        <v>94</v>
      </c>
    </row>
    <row r="228" customFormat="false" ht="15" hidden="false" customHeight="false" outlineLevel="0" collapsed="false">
      <c r="A228" s="197"/>
      <c r="B228" s="191"/>
      <c r="C228" s="190" t="s">
        <v>4155</v>
      </c>
      <c r="D228" s="191" t="n">
        <v>554598528022</v>
      </c>
      <c r="E228" s="190" t="s">
        <v>4156</v>
      </c>
      <c r="F228" s="192" t="n">
        <f aca="false">SUMIF(ENTRADAS!F:F,CLIENTES_PCBR[[#This Row],[TELEFONO]],ENTRADAS!C:C)</f>
        <v>0</v>
      </c>
      <c r="G228" s="189" t="s">
        <v>94</v>
      </c>
    </row>
    <row r="229" customFormat="false" ht="15" hidden="false" customHeight="false" outlineLevel="0" collapsed="false">
      <c r="A229" s="197"/>
      <c r="B229" s="191"/>
      <c r="C229" s="190" t="s">
        <v>4157</v>
      </c>
      <c r="D229" s="191" t="n">
        <v>559584232373</v>
      </c>
      <c r="F229" s="192" t="n">
        <f aca="false">SUMIF(ENTRADAS!F:F,CLIENTES_PCBR[[#This Row],[TELEFONO]],ENTRADAS!C:C)</f>
        <v>0</v>
      </c>
      <c r="G229" s="189" t="s">
        <v>94</v>
      </c>
    </row>
    <row r="230" customFormat="false" ht="15" hidden="false" customHeight="false" outlineLevel="0" collapsed="false">
      <c r="A230" s="197"/>
      <c r="B230" s="191"/>
      <c r="C230" s="190" t="s">
        <v>4158</v>
      </c>
      <c r="E230" s="190" t="s">
        <v>4159</v>
      </c>
      <c r="F230" s="192" t="n">
        <f aca="false">SUMIF(ENTRADAS!F:F,CLIENTES_PCBR[[#This Row],[TELEFONO]],ENTRADAS!C:C)</f>
        <v>0</v>
      </c>
      <c r="G230" s="189" t="s">
        <v>94</v>
      </c>
    </row>
    <row r="231" customFormat="false" ht="15" hidden="false" customHeight="false" outlineLevel="0" collapsed="false">
      <c r="A231" s="197"/>
      <c r="B231" s="191"/>
      <c r="C231" s="190" t="s">
        <v>4160</v>
      </c>
      <c r="D231" s="191" t="n">
        <v>5511915189888</v>
      </c>
      <c r="E231" s="190" t="s">
        <v>4161</v>
      </c>
      <c r="F231" s="192" t="n">
        <f aca="false">SUMIF(ENTRADAS!F:F,CLIENTES_PCBR[[#This Row],[TELEFONO]],ENTRADAS!C:C)</f>
        <v>0</v>
      </c>
      <c r="G231" s="189" t="s">
        <v>94</v>
      </c>
    </row>
    <row r="232" customFormat="false" ht="15" hidden="false" customHeight="false" outlineLevel="0" collapsed="false">
      <c r="A232" s="197"/>
      <c r="B232" s="191"/>
      <c r="C232" s="190" t="s">
        <v>4162</v>
      </c>
      <c r="D232" s="191" t="n">
        <v>555496231619</v>
      </c>
      <c r="E232" s="190" t="s">
        <v>4163</v>
      </c>
      <c r="F232" s="192" t="n">
        <f aca="false">SUMIF(ENTRADAS!F:F,CLIENTES_PCBR[[#This Row],[TELEFONO]],ENTRADAS!C:C)</f>
        <v>0</v>
      </c>
      <c r="G232" s="189" t="s">
        <v>94</v>
      </c>
    </row>
    <row r="233" customFormat="false" ht="15" hidden="false" customHeight="false" outlineLevel="0" collapsed="false">
      <c r="A233" s="197"/>
      <c r="B233" s="191"/>
      <c r="C233" s="190" t="s">
        <v>4164</v>
      </c>
      <c r="D233" s="191" t="n">
        <v>559584300649</v>
      </c>
      <c r="E233" s="190" t="s">
        <v>4165</v>
      </c>
      <c r="F233" s="192" t="n">
        <f aca="false">SUMIF(ENTRADAS!F:F,CLIENTES_PCBR[[#This Row],[TELEFONO]],ENTRADAS!C:C)</f>
        <v>0</v>
      </c>
      <c r="G233" s="189" t="s">
        <v>94</v>
      </c>
    </row>
    <row r="234" customFormat="false" ht="15" hidden="false" customHeight="false" outlineLevel="0" collapsed="false">
      <c r="A234" s="197"/>
      <c r="B234" s="191"/>
      <c r="C234" s="190" t="s">
        <v>4166</v>
      </c>
      <c r="D234" s="191" t="n">
        <v>556298125627</v>
      </c>
      <c r="E234" s="190" t="s">
        <v>4167</v>
      </c>
      <c r="F234" s="192" t="n">
        <f aca="false">SUMIF(ENTRADAS!F:F,CLIENTES_PCBR[[#This Row],[TELEFONO]],ENTRADAS!C:C)</f>
        <v>0</v>
      </c>
      <c r="G234" s="189" t="s">
        <v>94</v>
      </c>
    </row>
    <row r="235" customFormat="false" ht="15" hidden="false" customHeight="false" outlineLevel="0" collapsed="false">
      <c r="A235" s="197"/>
      <c r="B235" s="191"/>
      <c r="C235" s="190" t="s">
        <v>4168</v>
      </c>
      <c r="D235" s="191" t="n">
        <v>551597378576</v>
      </c>
      <c r="E235" s="190" t="s">
        <v>4169</v>
      </c>
      <c r="F235" s="192" t="n">
        <f aca="false">SUMIF(ENTRADAS!F:F,CLIENTES_PCBR[[#This Row],[TELEFONO]],ENTRADAS!C:C)</f>
        <v>0</v>
      </c>
      <c r="G235" s="189" t="s">
        <v>94</v>
      </c>
    </row>
    <row r="236" customFormat="false" ht="15" hidden="false" customHeight="false" outlineLevel="0" collapsed="false">
      <c r="A236" s="197"/>
      <c r="B236" s="191"/>
      <c r="C236" s="190" t="s">
        <v>4170</v>
      </c>
      <c r="D236" s="191" t="n">
        <v>556299125955</v>
      </c>
      <c r="E236" s="190" t="s">
        <v>4171</v>
      </c>
      <c r="F236" s="192" t="n">
        <f aca="false">SUMIF(ENTRADAS!F:F,CLIENTES_PCBR[[#This Row],[TELEFONO]],ENTRADAS!C:C)</f>
        <v>0</v>
      </c>
      <c r="G236" s="189" t="s">
        <v>94</v>
      </c>
    </row>
    <row r="237" customFormat="false" ht="15" hidden="false" customHeight="false" outlineLevel="0" collapsed="false">
      <c r="A237" s="197"/>
      <c r="B237" s="191"/>
      <c r="C237" s="190" t="s">
        <v>4172</v>
      </c>
      <c r="D237" s="191" t="n">
        <v>556281824575</v>
      </c>
      <c r="E237" s="190" t="s">
        <v>4173</v>
      </c>
      <c r="F237" s="192" t="n">
        <f aca="false">SUMIF(ENTRADAS!F:F,CLIENTES_PCBR[[#This Row],[TELEFONO]],ENTRADAS!C:C)</f>
        <v>0</v>
      </c>
      <c r="G237" s="189" t="s">
        <v>94</v>
      </c>
    </row>
    <row r="238" customFormat="false" ht="15" hidden="false" customHeight="false" outlineLevel="0" collapsed="false">
      <c r="A238" s="197"/>
      <c r="B238" s="191"/>
      <c r="C238" s="190" t="s">
        <v>4174</v>
      </c>
      <c r="D238" s="191" t="n">
        <v>554192878865</v>
      </c>
      <c r="E238" s="190" t="s">
        <v>4175</v>
      </c>
      <c r="F238" s="192" t="n">
        <f aca="false">SUMIF(ENTRADAS!F:F,CLIENTES_PCBR[[#This Row],[TELEFONO]],ENTRADAS!C:C)</f>
        <v>0</v>
      </c>
      <c r="G238" s="189" t="s">
        <v>94</v>
      </c>
    </row>
    <row r="239" customFormat="false" ht="15" hidden="false" customHeight="false" outlineLevel="0" collapsed="false">
      <c r="A239" s="197"/>
      <c r="B239" s="191"/>
      <c r="C239" s="190" t="s">
        <v>4176</v>
      </c>
      <c r="D239" s="191" t="n">
        <v>559684352871</v>
      </c>
      <c r="E239" s="190" t="s">
        <v>2523</v>
      </c>
      <c r="F239" s="192" t="n">
        <f aca="false">SUMIF(ENTRADAS!F:F,CLIENTES_PCBR[[#This Row],[TELEFONO]],ENTRADAS!C:C)</f>
        <v>150</v>
      </c>
      <c r="G239" s="189" t="s">
        <v>94</v>
      </c>
    </row>
    <row r="240" customFormat="false" ht="15" hidden="false" customHeight="false" outlineLevel="0" collapsed="false">
      <c r="A240" s="197"/>
      <c r="B240" s="191"/>
      <c r="C240" s="190" t="s">
        <v>4177</v>
      </c>
      <c r="D240" s="191" t="n">
        <v>556296049488</v>
      </c>
      <c r="E240" s="190" t="s">
        <v>4178</v>
      </c>
      <c r="F240" s="192" t="n">
        <f aca="false">SUMIF(ENTRADAS!F:F,CLIENTES_PCBR[[#This Row],[TELEFONO]],ENTRADAS!C:C)</f>
        <v>0</v>
      </c>
      <c r="G240" s="189" t="s">
        <v>94</v>
      </c>
    </row>
    <row r="241" customFormat="false" ht="15" hidden="false" customHeight="false" outlineLevel="0" collapsed="false">
      <c r="A241" s="197"/>
      <c r="B241" s="191"/>
      <c r="C241" s="190" t="s">
        <v>4179</v>
      </c>
      <c r="D241" s="191" t="n">
        <v>555496710498</v>
      </c>
      <c r="E241" s="190" t="s">
        <v>4180</v>
      </c>
      <c r="F241" s="192" t="n">
        <f aca="false">SUMIF(ENTRADAS!F:F,CLIENTES_PCBR[[#This Row],[TELEFONO]],ENTRADAS!C:C)</f>
        <v>0</v>
      </c>
      <c r="G241" s="189" t="s">
        <v>94</v>
      </c>
    </row>
    <row r="242" customFormat="false" ht="15" hidden="false" customHeight="false" outlineLevel="0" collapsed="false">
      <c r="A242" s="197"/>
      <c r="B242" s="191"/>
      <c r="C242" s="190" t="s">
        <v>4181</v>
      </c>
      <c r="D242" s="191" t="n">
        <v>554784182380</v>
      </c>
      <c r="E242" s="190" t="s">
        <v>4182</v>
      </c>
      <c r="F242" s="192" t="n">
        <f aca="false">SUMIF(ENTRADAS!F:F,CLIENTES_PCBR[[#This Row],[TELEFONO]],ENTRADAS!C:C)</f>
        <v>0</v>
      </c>
      <c r="G242" s="189" t="s">
        <v>94</v>
      </c>
    </row>
    <row r="243" customFormat="false" ht="15" hidden="false" customHeight="false" outlineLevel="0" collapsed="false">
      <c r="A243" s="197"/>
      <c r="B243" s="191"/>
      <c r="C243" s="190" t="s">
        <v>4183</v>
      </c>
      <c r="D243" s="191" t="n">
        <v>556296989807</v>
      </c>
      <c r="E243" s="190" t="s">
        <v>4184</v>
      </c>
      <c r="F243" s="192" t="n">
        <f aca="false">SUMIF(ENTRADAS!F:F,CLIENTES_PCBR[[#This Row],[TELEFONO]],ENTRADAS!C:C)</f>
        <v>0</v>
      </c>
      <c r="G243" s="189" t="s">
        <v>94</v>
      </c>
    </row>
    <row r="244" customFormat="false" ht="15" hidden="false" customHeight="false" outlineLevel="0" collapsed="false">
      <c r="A244" s="197"/>
      <c r="B244" s="191"/>
      <c r="C244" s="190" t="s">
        <v>4185</v>
      </c>
      <c r="D244" s="191" t="n">
        <v>559684328358</v>
      </c>
      <c r="E244" s="190" t="s">
        <v>4186</v>
      </c>
      <c r="F244" s="192" t="n">
        <f aca="false">SUMIF(ENTRADAS!F:F,CLIENTES_PCBR[[#This Row],[TELEFONO]],ENTRADAS!C:C)</f>
        <v>0</v>
      </c>
      <c r="G244" s="189" t="s">
        <v>94</v>
      </c>
    </row>
    <row r="245" customFormat="false" ht="15" hidden="false" customHeight="false" outlineLevel="0" collapsed="false">
      <c r="A245" s="197"/>
      <c r="B245" s="191"/>
      <c r="C245" s="190" t="s">
        <v>4187</v>
      </c>
      <c r="D245" s="191" t="n">
        <v>554888509286</v>
      </c>
      <c r="E245" s="190" t="s">
        <v>4188</v>
      </c>
      <c r="F245" s="192" t="n">
        <f aca="false">SUMIF(ENTRADAS!F:F,CLIENTES_PCBR[[#This Row],[TELEFONO]],ENTRADAS!C:C)</f>
        <v>0</v>
      </c>
      <c r="G245" s="189" t="s">
        <v>94</v>
      </c>
    </row>
    <row r="246" customFormat="false" ht="15" hidden="false" customHeight="false" outlineLevel="0" collapsed="false">
      <c r="A246" s="197"/>
      <c r="B246" s="191"/>
      <c r="C246" s="190" t="s">
        <v>4189</v>
      </c>
      <c r="D246" s="191" t="n">
        <v>554796630860</v>
      </c>
      <c r="E246" s="190" t="s">
        <v>4190</v>
      </c>
      <c r="F246" s="192" t="n">
        <f aca="false">SUMIF(ENTRADAS!F:F,CLIENTES_PCBR[[#This Row],[TELEFONO]],ENTRADAS!C:C)</f>
        <v>0</v>
      </c>
      <c r="G246" s="189" t="s">
        <v>94</v>
      </c>
    </row>
    <row r="247" customFormat="false" ht="15" hidden="false" customHeight="false" outlineLevel="0" collapsed="false">
      <c r="A247" s="197"/>
      <c r="B247" s="191"/>
      <c r="C247" s="190" t="s">
        <v>4191</v>
      </c>
      <c r="D247" s="191" t="n">
        <v>554196309799</v>
      </c>
      <c r="E247" s="190" t="s">
        <v>4192</v>
      </c>
      <c r="F247" s="192" t="n">
        <f aca="false">SUMIF(ENTRADAS!F:F,CLIENTES_PCBR[[#This Row],[TELEFONO]],ENTRADAS!C:C)</f>
        <v>0</v>
      </c>
      <c r="G247" s="189" t="s">
        <v>94</v>
      </c>
    </row>
    <row r="248" customFormat="false" ht="15" hidden="false" customHeight="false" outlineLevel="0" collapsed="false">
      <c r="A248" s="197"/>
      <c r="B248" s="191"/>
      <c r="C248" s="190" t="s">
        <v>4193</v>
      </c>
      <c r="D248" s="191" t="n">
        <v>559591618195</v>
      </c>
      <c r="E248" s="190" t="s">
        <v>4194</v>
      </c>
      <c r="F248" s="192" t="n">
        <f aca="false">SUMIF(ENTRADAS!F:F,CLIENTES_PCBR[[#This Row],[TELEFONO]],ENTRADAS!C:C)</f>
        <v>0</v>
      </c>
      <c r="G248" s="189" t="s">
        <v>94</v>
      </c>
    </row>
    <row r="249" customFormat="false" ht="15" hidden="false" customHeight="false" outlineLevel="0" collapsed="false">
      <c r="A249" s="197"/>
      <c r="B249" s="191"/>
      <c r="C249" s="190" t="s">
        <v>4195</v>
      </c>
      <c r="D249" s="191" t="n">
        <v>554588423896</v>
      </c>
      <c r="E249" s="190" t="s">
        <v>4196</v>
      </c>
      <c r="F249" s="192" t="n">
        <f aca="false">SUMIF(ENTRADAS!F:F,CLIENTES_PCBR[[#This Row],[TELEFONO]],ENTRADAS!C:C)</f>
        <v>0</v>
      </c>
      <c r="G249" s="189" t="s">
        <v>94</v>
      </c>
    </row>
    <row r="250" customFormat="false" ht="15" hidden="false" customHeight="false" outlineLevel="0" collapsed="false">
      <c r="A250" s="197"/>
      <c r="B250" s="191"/>
      <c r="C250" s="190" t="s">
        <v>4197</v>
      </c>
      <c r="D250" s="191" t="n">
        <v>552281536012</v>
      </c>
      <c r="E250" s="190" t="s">
        <v>4198</v>
      </c>
      <c r="F250" s="192" t="n">
        <f aca="false">SUMIF(ENTRADAS!F:F,CLIENTES_PCBR[[#This Row],[TELEFONO]],ENTRADAS!C:C)</f>
        <v>0</v>
      </c>
      <c r="G250" s="189" t="s">
        <v>94</v>
      </c>
    </row>
    <row r="251" customFormat="false" ht="15" hidden="false" customHeight="false" outlineLevel="0" collapsed="false">
      <c r="A251" s="197"/>
      <c r="B251" s="191"/>
      <c r="C251" s="190" t="s">
        <v>4199</v>
      </c>
      <c r="D251" s="191" t="n">
        <v>558491070664</v>
      </c>
      <c r="F251" s="192" t="n">
        <f aca="false">SUMIF(ENTRADAS!F:F,CLIENTES_PCBR[[#This Row],[TELEFONO]],ENTRADAS!C:C)</f>
        <v>0</v>
      </c>
      <c r="G251" s="189" t="s">
        <v>94</v>
      </c>
    </row>
    <row r="252" customFormat="false" ht="15" hidden="false" customHeight="false" outlineLevel="0" collapsed="false">
      <c r="A252" s="197"/>
      <c r="B252" s="191"/>
      <c r="C252" s="190" t="s">
        <v>4200</v>
      </c>
      <c r="D252" s="191" t="n">
        <v>555496242893</v>
      </c>
      <c r="E252" s="190" t="s">
        <v>1806</v>
      </c>
      <c r="F252" s="192" t="n">
        <f aca="false">SUMIF(ENTRADAS!F:F,CLIENTES_PCBR[[#This Row],[TELEFONO]],ENTRADAS!C:C)</f>
        <v>120</v>
      </c>
      <c r="G252" s="189" t="s">
        <v>94</v>
      </c>
    </row>
    <row r="253" customFormat="false" ht="15" hidden="false" customHeight="false" outlineLevel="0" collapsed="false">
      <c r="A253" s="197"/>
      <c r="B253" s="191"/>
      <c r="C253" s="190" t="s">
        <v>4201</v>
      </c>
      <c r="D253" s="191" t="n">
        <v>554598128725</v>
      </c>
      <c r="E253" s="190" t="s">
        <v>4202</v>
      </c>
      <c r="F253" s="192" t="n">
        <f aca="false">SUMIF(ENTRADAS!F:F,CLIENTES_PCBR[[#This Row],[TELEFONO]],ENTRADAS!C:C)</f>
        <v>0</v>
      </c>
      <c r="G253" s="189" t="s">
        <v>94</v>
      </c>
    </row>
    <row r="254" customFormat="false" ht="15" hidden="false" customHeight="false" outlineLevel="0" collapsed="false">
      <c r="A254" s="197"/>
      <c r="B254" s="191"/>
      <c r="C254" s="190" t="s">
        <v>4203</v>
      </c>
      <c r="D254" s="191" t="n">
        <v>554196426672</v>
      </c>
      <c r="E254" s="190" t="s">
        <v>4204</v>
      </c>
      <c r="F254" s="192" t="n">
        <f aca="false">SUMIF(ENTRADAS!F:F,CLIENTES_PCBR[[#This Row],[TELEFONO]],ENTRADAS!C:C)</f>
        <v>0</v>
      </c>
      <c r="G254" s="189" t="s">
        <v>94</v>
      </c>
    </row>
    <row r="255" customFormat="false" ht="15" hidden="false" customHeight="false" outlineLevel="0" collapsed="false">
      <c r="A255" s="197"/>
      <c r="B255" s="191"/>
      <c r="C255" s="190" t="s">
        <v>4205</v>
      </c>
      <c r="D255" s="191" t="n">
        <v>559584016534</v>
      </c>
      <c r="E255" s="190" t="s">
        <v>4206</v>
      </c>
      <c r="F255" s="192" t="n">
        <f aca="false">SUMIF(ENTRADAS!F:F,CLIENTES_PCBR[[#This Row],[TELEFONO]],ENTRADAS!C:C)</f>
        <v>0</v>
      </c>
      <c r="G255" s="189" t="s">
        <v>94</v>
      </c>
    </row>
    <row r="256" customFormat="false" ht="15" hidden="false" customHeight="false" outlineLevel="0" collapsed="false">
      <c r="A256" s="197"/>
      <c r="B256" s="191"/>
      <c r="C256" s="190" t="s">
        <v>4207</v>
      </c>
      <c r="D256" s="191" t="n">
        <v>554199302048</v>
      </c>
      <c r="E256" s="190" t="s">
        <v>4208</v>
      </c>
      <c r="F256" s="192" t="n">
        <f aca="false">SUMIF(ENTRADAS!F:F,CLIENTES_PCBR[[#This Row],[TELEFONO]],ENTRADAS!C:C)</f>
        <v>0</v>
      </c>
      <c r="G256" s="189" t="s">
        <v>94</v>
      </c>
    </row>
    <row r="257" customFormat="false" ht="15" hidden="false" customHeight="false" outlineLevel="0" collapsed="false">
      <c r="A257" s="197"/>
      <c r="B257" s="191"/>
      <c r="C257" s="190" t="s">
        <v>2465</v>
      </c>
      <c r="D257" s="191" t="n">
        <v>555491325867</v>
      </c>
      <c r="E257" s="190" t="s">
        <v>4209</v>
      </c>
      <c r="F257" s="192" t="n">
        <f aca="false">SUMIF(ENTRADAS!F:F,CLIENTES_PCBR[[#This Row],[TELEFONO]],ENTRADAS!C:C)</f>
        <v>0</v>
      </c>
      <c r="G257" s="189" t="s">
        <v>94</v>
      </c>
    </row>
    <row r="258" customFormat="false" ht="15" hidden="false" customHeight="false" outlineLevel="0" collapsed="false">
      <c r="A258" s="197"/>
      <c r="B258" s="191"/>
      <c r="C258" s="190" t="s">
        <v>4210</v>
      </c>
      <c r="D258" s="191" t="n">
        <v>554797288285</v>
      </c>
      <c r="E258" s="190" t="s">
        <v>4211</v>
      </c>
      <c r="F258" s="192" t="n">
        <f aca="false">SUMIF(ENTRADAS!F:F,CLIENTES_PCBR[[#This Row],[TELEFONO]],ENTRADAS!C:C)</f>
        <v>0</v>
      </c>
      <c r="G258" s="189" t="s">
        <v>94</v>
      </c>
    </row>
    <row r="259" customFormat="false" ht="15" hidden="false" customHeight="false" outlineLevel="0" collapsed="false">
      <c r="A259" s="197"/>
      <c r="B259" s="191"/>
      <c r="C259" s="190" t="s">
        <v>4212</v>
      </c>
      <c r="D259" s="191" t="n">
        <v>554888513951</v>
      </c>
      <c r="E259" s="190" t="s">
        <v>4213</v>
      </c>
      <c r="F259" s="192" t="n">
        <f aca="false">SUMIF(ENTRADAS!F:F,CLIENTES_PCBR[[#This Row],[TELEFONO]],ENTRADAS!C:C)</f>
        <v>0</v>
      </c>
      <c r="G259" s="189" t="s">
        <v>94</v>
      </c>
    </row>
    <row r="260" customFormat="false" ht="15" hidden="false" customHeight="false" outlineLevel="0" collapsed="false">
      <c r="A260" s="197"/>
      <c r="B260" s="191"/>
      <c r="C260" s="190" t="s">
        <v>4214</v>
      </c>
      <c r="D260" s="191" t="n">
        <v>556593271415</v>
      </c>
      <c r="E260" s="190" t="s">
        <v>4215</v>
      </c>
      <c r="F260" s="192" t="n">
        <f aca="false">SUMIF(ENTRADAS!F:F,CLIENTES_PCBR[[#This Row],[TELEFONO]],ENTRADAS!C:C)</f>
        <v>0</v>
      </c>
      <c r="G260" s="189" t="s">
        <v>94</v>
      </c>
    </row>
    <row r="261" customFormat="false" ht="15" hidden="false" customHeight="false" outlineLevel="0" collapsed="false">
      <c r="A261" s="197"/>
      <c r="B261" s="191"/>
      <c r="C261" s="190" t="s">
        <v>4216</v>
      </c>
      <c r="D261" s="191" t="n">
        <v>554891233648</v>
      </c>
      <c r="E261" s="190" t="s">
        <v>4217</v>
      </c>
      <c r="F261" s="192" t="n">
        <f aca="false">SUMIF(ENTRADAS!F:F,CLIENTES_PCBR[[#This Row],[TELEFONO]],ENTRADAS!C:C)</f>
        <v>0</v>
      </c>
      <c r="G261" s="189" t="s">
        <v>94</v>
      </c>
    </row>
    <row r="262" customFormat="false" ht="15" hidden="false" customHeight="false" outlineLevel="0" collapsed="false">
      <c r="A262" s="197"/>
      <c r="B262" s="191"/>
      <c r="C262" s="190" t="s">
        <v>4218</v>
      </c>
      <c r="D262" s="191" t="n">
        <v>556592684416</v>
      </c>
      <c r="E262" s="190" t="s">
        <v>4219</v>
      </c>
      <c r="F262" s="192" t="n">
        <f aca="false">SUMIF(ENTRADAS!F:F,CLIENTES_PCBR[[#This Row],[TELEFONO]],ENTRADAS!C:C)</f>
        <v>0</v>
      </c>
      <c r="G262" s="189" t="s">
        <v>94</v>
      </c>
    </row>
    <row r="263" customFormat="false" ht="15" hidden="false" customHeight="false" outlineLevel="0" collapsed="false">
      <c r="A263" s="197"/>
      <c r="B263" s="191"/>
      <c r="C263" s="190" t="s">
        <v>4220</v>
      </c>
      <c r="D263" s="191" t="n">
        <v>556791940687</v>
      </c>
      <c r="E263" s="190" t="s">
        <v>4221</v>
      </c>
      <c r="F263" s="192" t="n">
        <f aca="false">SUMIF(ENTRADAS!F:F,CLIENTES_PCBR[[#This Row],[TELEFONO]],ENTRADAS!C:C)</f>
        <v>367</v>
      </c>
      <c r="G263" s="189" t="s">
        <v>94</v>
      </c>
    </row>
    <row r="264" customFormat="false" ht="15" hidden="false" customHeight="false" outlineLevel="0" collapsed="false">
      <c r="A264" s="197"/>
      <c r="B264" s="191"/>
      <c r="C264" s="190" t="s">
        <v>4222</v>
      </c>
      <c r="D264" s="191" t="n">
        <v>559584289099</v>
      </c>
      <c r="E264" s="190" t="s">
        <v>4223</v>
      </c>
      <c r="F264" s="192" t="n">
        <f aca="false">SUMIF(ENTRADAS!F:F,CLIENTES_PCBR[[#This Row],[TELEFONO]],ENTRADAS!C:C)</f>
        <v>0</v>
      </c>
      <c r="G264" s="189" t="s">
        <v>94</v>
      </c>
    </row>
    <row r="265" customFormat="false" ht="15" hidden="false" customHeight="false" outlineLevel="0" collapsed="false">
      <c r="A265" s="197"/>
      <c r="B265" s="191"/>
      <c r="C265" s="190" t="s">
        <v>4224</v>
      </c>
      <c r="D265" s="191" t="n">
        <v>554184805114</v>
      </c>
      <c r="E265" s="190" t="s">
        <v>4225</v>
      </c>
      <c r="F265" s="192" t="n">
        <f aca="false">SUMIF(ENTRADAS!F:F,CLIENTES_PCBR[[#This Row],[TELEFONO]],ENTRADAS!C:C)</f>
        <v>0</v>
      </c>
      <c r="G265" s="189" t="s">
        <v>94</v>
      </c>
    </row>
    <row r="266" customFormat="false" ht="15" hidden="false" customHeight="false" outlineLevel="0" collapsed="false">
      <c r="A266" s="197"/>
      <c r="B266" s="191"/>
      <c r="C266" s="190" t="s">
        <v>4226</v>
      </c>
      <c r="D266" s="191" t="n">
        <v>554598469377</v>
      </c>
      <c r="E266" s="190" t="s">
        <v>4227</v>
      </c>
      <c r="F266" s="192" t="n">
        <f aca="false">SUMIF(ENTRADAS!F:F,CLIENTES_PCBR[[#This Row],[TELEFONO]],ENTRADAS!C:C)</f>
        <v>0</v>
      </c>
      <c r="G266" s="189" t="s">
        <v>94</v>
      </c>
    </row>
    <row r="267" customFormat="false" ht="15" hidden="false" customHeight="false" outlineLevel="0" collapsed="false">
      <c r="A267" s="197"/>
      <c r="B267" s="191"/>
      <c r="C267" s="190" t="s">
        <v>4228</v>
      </c>
      <c r="D267" s="191" t="n">
        <v>554899877057</v>
      </c>
      <c r="E267" s="190" t="s">
        <v>4229</v>
      </c>
      <c r="F267" s="192" t="n">
        <f aca="false">SUMIF(ENTRADAS!F:F,CLIENTES_PCBR[[#This Row],[TELEFONO]],ENTRADAS!C:C)</f>
        <v>0</v>
      </c>
      <c r="G267" s="189" t="s">
        <v>94</v>
      </c>
    </row>
    <row r="268" customFormat="false" ht="15" hidden="false" customHeight="false" outlineLevel="0" collapsed="false">
      <c r="A268" s="197"/>
      <c r="B268" s="191"/>
      <c r="C268" s="190" t="s">
        <v>4230</v>
      </c>
      <c r="D268" s="191" t="n">
        <v>559684049075</v>
      </c>
      <c r="E268" s="190" t="s">
        <v>4231</v>
      </c>
      <c r="F268" s="192" t="n">
        <f aca="false">SUMIF(ENTRADAS!F:F,CLIENTES_PCBR[[#This Row],[TELEFONO]],ENTRADAS!C:C)</f>
        <v>0</v>
      </c>
      <c r="G268" s="189" t="s">
        <v>94</v>
      </c>
    </row>
    <row r="269" customFormat="false" ht="15" hidden="false" customHeight="false" outlineLevel="0" collapsed="false">
      <c r="A269" s="197"/>
      <c r="B269" s="191"/>
      <c r="C269" s="190" t="s">
        <v>4232</v>
      </c>
      <c r="D269" s="191" t="n">
        <v>5355732113</v>
      </c>
      <c r="E269" s="190" t="s">
        <v>4233</v>
      </c>
      <c r="F269" s="192" t="n">
        <f aca="false">SUMIF(ENTRADAS!F:F,CLIENTES_PCBR[[#This Row],[TELEFONO]],ENTRADAS!C:C)</f>
        <v>0</v>
      </c>
      <c r="G269" s="189" t="s">
        <v>94</v>
      </c>
    </row>
    <row r="270" customFormat="false" ht="15" hidden="false" customHeight="false" outlineLevel="0" collapsed="false">
      <c r="A270" s="197"/>
      <c r="B270" s="191"/>
      <c r="C270" s="190" t="s">
        <v>4234</v>
      </c>
      <c r="D270" s="191" t="n">
        <v>556298778953</v>
      </c>
      <c r="E270" s="190" t="s">
        <v>4235</v>
      </c>
      <c r="F270" s="192" t="n">
        <f aca="false">SUMIF(ENTRADAS!F:F,CLIENTES_PCBR[[#This Row],[TELEFONO]],ENTRADAS!C:C)</f>
        <v>0</v>
      </c>
      <c r="G270" s="189" t="s">
        <v>94</v>
      </c>
    </row>
    <row r="271" customFormat="false" ht="15" hidden="false" customHeight="false" outlineLevel="0" collapsed="false">
      <c r="A271" s="197"/>
      <c r="B271" s="191"/>
      <c r="C271" s="190" t="s">
        <v>4236</v>
      </c>
      <c r="D271" s="191" t="n">
        <v>554788512121</v>
      </c>
      <c r="E271" s="190" t="s">
        <v>4237</v>
      </c>
      <c r="F271" s="192" t="n">
        <f aca="false">SUMIF(ENTRADAS!F:F,CLIENTES_PCBR[[#This Row],[TELEFONO]],ENTRADAS!C:C)</f>
        <v>0</v>
      </c>
      <c r="G271" s="189" t="s">
        <v>94</v>
      </c>
    </row>
    <row r="272" customFormat="false" ht="15" hidden="false" customHeight="false" outlineLevel="0" collapsed="false">
      <c r="A272" s="197"/>
      <c r="B272" s="191"/>
      <c r="C272" s="190" t="s">
        <v>4238</v>
      </c>
      <c r="D272" s="191" t="n">
        <v>554197329472</v>
      </c>
      <c r="E272" s="190" t="s">
        <v>4239</v>
      </c>
      <c r="F272" s="192" t="n">
        <f aca="false">SUMIF(ENTRADAS!F:F,CLIENTES_PCBR[[#This Row],[TELEFONO]],ENTRADAS!C:C)</f>
        <v>0</v>
      </c>
      <c r="G272" s="189" t="s">
        <v>94</v>
      </c>
    </row>
    <row r="273" customFormat="false" ht="15" hidden="false" customHeight="false" outlineLevel="0" collapsed="false">
      <c r="A273" s="197"/>
      <c r="B273" s="191"/>
      <c r="C273" s="190" t="s">
        <v>4240</v>
      </c>
      <c r="D273" s="191" t="n">
        <v>556281042678</v>
      </c>
      <c r="E273" s="190" t="s">
        <v>4241</v>
      </c>
      <c r="F273" s="192" t="n">
        <f aca="false">SUMIF(ENTRADAS!F:F,CLIENTES_PCBR[[#This Row],[TELEFONO]],ENTRADAS!C:C)</f>
        <v>0</v>
      </c>
      <c r="G273" s="189" t="s">
        <v>94</v>
      </c>
    </row>
    <row r="274" customFormat="false" ht="15" hidden="false" customHeight="false" outlineLevel="0" collapsed="false">
      <c r="A274" s="197"/>
      <c r="B274" s="191"/>
      <c r="C274" s="190" t="s">
        <v>4242</v>
      </c>
      <c r="D274" s="191" t="n">
        <v>556295529937</v>
      </c>
      <c r="E274" s="190" t="s">
        <v>4243</v>
      </c>
      <c r="F274" s="192" t="n">
        <f aca="false">SUMIF(ENTRADAS!F:F,CLIENTES_PCBR[[#This Row],[TELEFONO]],ENTRADAS!C:C)</f>
        <v>0</v>
      </c>
      <c r="G274" s="189" t="s">
        <v>94</v>
      </c>
    </row>
    <row r="275" customFormat="false" ht="15" hidden="false" customHeight="false" outlineLevel="0" collapsed="false">
      <c r="A275" s="197"/>
      <c r="B275" s="191"/>
      <c r="C275" s="190" t="s">
        <v>4244</v>
      </c>
      <c r="D275" s="191" t="n">
        <v>557592729628</v>
      </c>
      <c r="E275" s="190" t="s">
        <v>4245</v>
      </c>
      <c r="F275" s="192" t="n">
        <f aca="false">SUMIF(ENTRADAS!F:F,CLIENTES_PCBR[[#This Row],[TELEFONO]],ENTRADAS!C:C)</f>
        <v>0</v>
      </c>
      <c r="G275" s="189" t="s">
        <v>94</v>
      </c>
    </row>
    <row r="276" customFormat="false" ht="15" hidden="false" customHeight="false" outlineLevel="0" collapsed="false">
      <c r="A276" s="197"/>
      <c r="B276" s="191"/>
      <c r="C276" s="190" t="s">
        <v>4246</v>
      </c>
      <c r="D276" s="191" t="n">
        <v>556281454420</v>
      </c>
      <c r="E276" s="190" t="s">
        <v>4247</v>
      </c>
      <c r="F276" s="192" t="n">
        <f aca="false">SUMIF(ENTRADAS!F:F,CLIENTES_PCBR[[#This Row],[TELEFONO]],ENTRADAS!C:C)</f>
        <v>0</v>
      </c>
      <c r="G276" s="189" t="s">
        <v>94</v>
      </c>
    </row>
    <row r="277" customFormat="false" ht="15" hidden="false" customHeight="false" outlineLevel="0" collapsed="false">
      <c r="A277" s="197"/>
      <c r="B277" s="191"/>
      <c r="C277" s="190" t="s">
        <v>4248</v>
      </c>
      <c r="D277" s="191" t="n">
        <v>556281708723</v>
      </c>
      <c r="E277" s="190" t="s">
        <v>4249</v>
      </c>
      <c r="F277" s="192" t="n">
        <f aca="false">SUMIF(ENTRADAS!F:F,CLIENTES_PCBR[[#This Row],[TELEFONO]],ENTRADAS!C:C)</f>
        <v>0</v>
      </c>
      <c r="G277" s="189" t="s">
        <v>94</v>
      </c>
    </row>
    <row r="278" customFormat="false" ht="15" hidden="false" customHeight="false" outlineLevel="0" collapsed="false">
      <c r="A278" s="197"/>
      <c r="B278" s="191"/>
      <c r="C278" s="190" t="s">
        <v>4250</v>
      </c>
      <c r="D278" s="191" t="n">
        <v>554199243938</v>
      </c>
      <c r="E278" s="190" t="s">
        <v>3012</v>
      </c>
      <c r="F278" s="192" t="n">
        <f aca="false">SUMIF(ENTRADAS!F:F,CLIENTES_PCBR[[#This Row],[TELEFONO]],ENTRADAS!C:C)</f>
        <v>400</v>
      </c>
      <c r="G278" s="189" t="s">
        <v>94</v>
      </c>
    </row>
    <row r="279" customFormat="false" ht="15" hidden="false" customHeight="false" outlineLevel="0" collapsed="false">
      <c r="A279" s="197"/>
      <c r="B279" s="191"/>
      <c r="C279" s="190" t="s">
        <v>4251</v>
      </c>
      <c r="D279" s="191" t="n">
        <v>554796941576</v>
      </c>
      <c r="E279" s="190" t="s">
        <v>4252</v>
      </c>
      <c r="F279" s="192" t="n">
        <f aca="false">SUMIF(ENTRADAS!F:F,CLIENTES_PCBR[[#This Row],[TELEFONO]],ENTRADAS!C:C)</f>
        <v>0</v>
      </c>
      <c r="G279" s="189" t="s">
        <v>94</v>
      </c>
    </row>
    <row r="280" customFormat="false" ht="15" hidden="false" customHeight="false" outlineLevel="0" collapsed="false">
      <c r="A280" s="197"/>
      <c r="B280" s="191"/>
      <c r="C280" s="190" t="s">
        <v>4253</v>
      </c>
      <c r="D280" s="191" t="n">
        <v>559584062652</v>
      </c>
      <c r="E280" s="190" t="s">
        <v>4254</v>
      </c>
      <c r="F280" s="192" t="n">
        <f aca="false">SUMIF(ENTRADAS!F:F,CLIENTES_PCBR[[#This Row],[TELEFONO]],ENTRADAS!C:C)</f>
        <v>0</v>
      </c>
      <c r="G280" s="189" t="s">
        <v>94</v>
      </c>
    </row>
    <row r="281" customFormat="false" ht="15" hidden="false" customHeight="false" outlineLevel="0" collapsed="false">
      <c r="A281" s="197"/>
      <c r="B281" s="191"/>
      <c r="C281" s="190" t="s">
        <v>4255</v>
      </c>
      <c r="D281" s="191" t="n">
        <v>554197121124</v>
      </c>
      <c r="E281" s="190" t="s">
        <v>4256</v>
      </c>
      <c r="F281" s="192" t="n">
        <f aca="false">SUMIF(ENTRADAS!F:F,CLIENTES_PCBR[[#This Row],[TELEFONO]],ENTRADAS!C:C)</f>
        <v>0</v>
      </c>
      <c r="G281" s="189" t="s">
        <v>94</v>
      </c>
    </row>
    <row r="282" customFormat="false" ht="15" hidden="false" customHeight="false" outlineLevel="0" collapsed="false">
      <c r="A282" s="197"/>
      <c r="B282" s="191"/>
      <c r="C282" s="190" t="s">
        <v>4257</v>
      </c>
      <c r="D282" s="191" t="n">
        <v>559584298044</v>
      </c>
      <c r="E282" s="190" t="s">
        <v>2555</v>
      </c>
      <c r="F282" s="192" t="n">
        <f aca="false">SUMIF(ENTRADAS!F:F,CLIENTES_PCBR[[#This Row],[TELEFONO]],ENTRADAS!C:C)</f>
        <v>40</v>
      </c>
      <c r="G282" s="189" t="s">
        <v>94</v>
      </c>
    </row>
    <row r="283" customFormat="false" ht="15" hidden="false" customHeight="false" outlineLevel="0" collapsed="false">
      <c r="A283" s="197"/>
      <c r="B283" s="191"/>
      <c r="C283" s="190" t="s">
        <v>4258</v>
      </c>
      <c r="D283" s="191" t="n">
        <v>5511967194871</v>
      </c>
      <c r="E283" s="190" t="s">
        <v>4259</v>
      </c>
      <c r="F283" s="192" t="n">
        <f aca="false">SUMIF(ENTRADAS!F:F,CLIENTES_PCBR[[#This Row],[TELEFONO]],ENTRADAS!C:C)</f>
        <v>0</v>
      </c>
      <c r="G283" s="189" t="s">
        <v>94</v>
      </c>
    </row>
    <row r="284" customFormat="false" ht="15" hidden="false" customHeight="false" outlineLevel="0" collapsed="false">
      <c r="A284" s="197"/>
      <c r="B284" s="191"/>
      <c r="C284" s="190" t="s">
        <v>4260</v>
      </c>
      <c r="D284" s="191" t="n">
        <v>553799125245</v>
      </c>
      <c r="E284" s="190" t="s">
        <v>4261</v>
      </c>
      <c r="F284" s="192" t="n">
        <f aca="false">SUMIF(ENTRADAS!F:F,CLIENTES_PCBR[[#This Row],[TELEFONO]],ENTRADAS!C:C)</f>
        <v>0</v>
      </c>
      <c r="G284" s="189" t="s">
        <v>94</v>
      </c>
    </row>
    <row r="285" customFormat="false" ht="15" hidden="false" customHeight="false" outlineLevel="0" collapsed="false">
      <c r="A285" s="197"/>
      <c r="B285" s="191"/>
      <c r="C285" s="190" t="s">
        <v>4262</v>
      </c>
      <c r="D285" s="191" t="n">
        <v>554797477240</v>
      </c>
      <c r="E285" s="190" t="s">
        <v>4263</v>
      </c>
      <c r="F285" s="192" t="n">
        <f aca="false">SUMIF(ENTRADAS!F:F,CLIENTES_PCBR[[#This Row],[TELEFONO]],ENTRADAS!C:C)</f>
        <v>0</v>
      </c>
      <c r="G285" s="189" t="s">
        <v>94</v>
      </c>
    </row>
    <row r="286" customFormat="false" ht="15" hidden="false" customHeight="false" outlineLevel="0" collapsed="false">
      <c r="A286" s="197"/>
      <c r="B286" s="191"/>
      <c r="C286" s="190" t="s">
        <v>4264</v>
      </c>
      <c r="D286" s="191" t="n">
        <v>5356537818</v>
      </c>
      <c r="E286" s="190" t="s">
        <v>4265</v>
      </c>
      <c r="F286" s="192" t="n">
        <f aca="false">SUMIF(ENTRADAS!F:F,CLIENTES_PCBR[[#This Row],[TELEFONO]],ENTRADAS!C:C)</f>
        <v>0</v>
      </c>
      <c r="G286" s="189" t="s">
        <v>94</v>
      </c>
    </row>
    <row r="287" customFormat="false" ht="15" hidden="false" customHeight="false" outlineLevel="0" collapsed="false">
      <c r="A287" s="197"/>
      <c r="B287" s="191"/>
      <c r="C287" s="190" t="s">
        <v>4266</v>
      </c>
      <c r="D287" s="191" t="n">
        <v>554195097054</v>
      </c>
      <c r="E287" s="190" t="s">
        <v>4267</v>
      </c>
      <c r="F287" s="192" t="n">
        <f aca="false">SUMIF(ENTRADAS!F:F,CLIENTES_PCBR[[#This Row],[TELEFONO]],ENTRADAS!C:C)</f>
        <v>0</v>
      </c>
      <c r="G287" s="189" t="s">
        <v>94</v>
      </c>
    </row>
    <row r="288" customFormat="false" ht="15" hidden="false" customHeight="false" outlineLevel="0" collapsed="false">
      <c r="A288" s="197"/>
      <c r="B288" s="191"/>
      <c r="C288" s="190" t="s">
        <v>4268</v>
      </c>
      <c r="D288" s="191" t="n">
        <v>559684230731</v>
      </c>
      <c r="E288" s="190" t="s">
        <v>4269</v>
      </c>
      <c r="F288" s="192" t="n">
        <f aca="false">SUMIF(ENTRADAS!F:F,CLIENTES_PCBR[[#This Row],[TELEFONO]],ENTRADAS!C:C)</f>
        <v>0</v>
      </c>
      <c r="G288" s="189" t="s">
        <v>94</v>
      </c>
    </row>
    <row r="289" customFormat="false" ht="15" hidden="false" customHeight="false" outlineLevel="0" collapsed="false">
      <c r="A289" s="197"/>
      <c r="B289" s="191"/>
      <c r="C289" s="190" t="s">
        <v>4270</v>
      </c>
      <c r="D289" s="191" t="n">
        <v>554899929652</v>
      </c>
      <c r="E289" s="190" t="s">
        <v>1689</v>
      </c>
      <c r="F289" s="192" t="n">
        <f aca="false">SUMIF(ENTRADAS!F:F,CLIENTES_PCBR[[#This Row],[TELEFONO]],ENTRADAS!C:C)</f>
        <v>300</v>
      </c>
      <c r="G289" s="189" t="s">
        <v>94</v>
      </c>
    </row>
    <row r="290" customFormat="false" ht="15" hidden="false" customHeight="false" outlineLevel="0" collapsed="false">
      <c r="A290" s="197"/>
      <c r="B290" s="191"/>
      <c r="C290" s="190" t="s">
        <v>4271</v>
      </c>
      <c r="D290" s="191" t="n">
        <v>554896761316</v>
      </c>
      <c r="E290" s="190" t="s">
        <v>4272</v>
      </c>
      <c r="F290" s="192" t="n">
        <f aca="false">SUMIF(ENTRADAS!F:F,CLIENTES_PCBR[[#This Row],[TELEFONO]],ENTRADAS!C:C)</f>
        <v>0</v>
      </c>
      <c r="G290" s="189" t="s">
        <v>94</v>
      </c>
    </row>
    <row r="291" customFormat="false" ht="15" hidden="false" customHeight="false" outlineLevel="0" collapsed="false">
      <c r="A291" s="197"/>
      <c r="B291" s="191"/>
      <c r="C291" s="190" t="s">
        <v>4273</v>
      </c>
      <c r="D291" s="191" t="n">
        <v>5511914532485</v>
      </c>
      <c r="E291" s="190" t="s">
        <v>4274</v>
      </c>
      <c r="F291" s="192" t="n">
        <f aca="false">SUMIF(ENTRADAS!F:F,CLIENTES_PCBR[[#This Row],[TELEFONO]],ENTRADAS!C:C)</f>
        <v>0</v>
      </c>
      <c r="G291" s="189" t="s">
        <v>94</v>
      </c>
    </row>
    <row r="292" customFormat="false" ht="15" hidden="false" customHeight="false" outlineLevel="0" collapsed="false">
      <c r="A292" s="197"/>
      <c r="B292" s="191"/>
      <c r="C292" s="190" t="s">
        <v>2454</v>
      </c>
      <c r="D292" s="191" t="n">
        <v>555491661267</v>
      </c>
      <c r="E292" s="190" t="s">
        <v>512</v>
      </c>
      <c r="F292" s="192" t="n">
        <f aca="false">SUMIF(ENTRADAS!F:F,CLIENTES_PCBR[[#This Row],[TELEFONO]],ENTRADAS!C:C)</f>
        <v>940</v>
      </c>
      <c r="G292" s="189" t="s">
        <v>94</v>
      </c>
    </row>
    <row r="293" customFormat="false" ht="15" hidden="false" customHeight="false" outlineLevel="0" collapsed="false">
      <c r="A293" s="197"/>
      <c r="B293" s="191"/>
      <c r="C293" s="190" t="s">
        <v>4275</v>
      </c>
      <c r="D293" s="191" t="n">
        <v>554187164762</v>
      </c>
      <c r="E293" s="190" t="s">
        <v>4276</v>
      </c>
      <c r="F293" s="192" t="n">
        <f aca="false">SUMIF(ENTRADAS!F:F,CLIENTES_PCBR[[#This Row],[TELEFONO]],ENTRADAS!C:C)</f>
        <v>0</v>
      </c>
      <c r="G293" s="189" t="s">
        <v>94</v>
      </c>
    </row>
    <row r="294" customFormat="false" ht="15" hidden="false" customHeight="false" outlineLevel="0" collapsed="false">
      <c r="A294" s="197"/>
      <c r="B294" s="191"/>
      <c r="C294" s="190" t="s">
        <v>4277</v>
      </c>
      <c r="D294" s="191" t="n">
        <v>559591750294</v>
      </c>
      <c r="E294" s="190" t="s">
        <v>1578</v>
      </c>
      <c r="F294" s="192" t="n">
        <f aca="false">SUMIF(ENTRADAS!F:F,CLIENTES_PCBR[[#This Row],[TELEFONO]],ENTRADAS!C:C)</f>
        <v>260</v>
      </c>
      <c r="G294" s="189" t="s">
        <v>94</v>
      </c>
    </row>
    <row r="295" customFormat="false" ht="15" hidden="false" customHeight="false" outlineLevel="0" collapsed="false">
      <c r="A295" s="197"/>
      <c r="B295" s="191"/>
      <c r="C295" s="190" t="s">
        <v>4278</v>
      </c>
      <c r="D295" s="191" t="n">
        <v>554591045599</v>
      </c>
      <c r="E295" s="190" t="s">
        <v>4279</v>
      </c>
      <c r="F295" s="192" t="n">
        <f aca="false">SUMIF(ENTRADAS!F:F,CLIENTES_PCBR[[#This Row],[TELEFONO]],ENTRADAS!C:C)</f>
        <v>0</v>
      </c>
      <c r="G295" s="189" t="s">
        <v>94</v>
      </c>
    </row>
    <row r="296" customFormat="false" ht="15" hidden="false" customHeight="false" outlineLevel="0" collapsed="false">
      <c r="A296" s="197"/>
      <c r="B296" s="191"/>
      <c r="C296" s="190" t="s">
        <v>4280</v>
      </c>
      <c r="D296" s="191" t="n">
        <v>554197435903</v>
      </c>
      <c r="E296" s="190" t="s">
        <v>4281</v>
      </c>
      <c r="F296" s="192" t="n">
        <f aca="false">SUMIF(ENTRADAS!F:F,CLIENTES_PCBR[[#This Row],[TELEFONO]],ENTRADAS!C:C)</f>
        <v>0</v>
      </c>
      <c r="G296" s="189" t="s">
        <v>94</v>
      </c>
    </row>
    <row r="297" customFormat="false" ht="15" hidden="false" customHeight="false" outlineLevel="0" collapsed="false">
      <c r="A297" s="197"/>
      <c r="B297" s="191"/>
      <c r="C297" s="190" t="s">
        <v>4282</v>
      </c>
      <c r="D297" s="191" t="n">
        <v>556281841543</v>
      </c>
      <c r="E297" s="190" t="s">
        <v>4283</v>
      </c>
      <c r="F297" s="192" t="n">
        <f aca="false">SUMIF(ENTRADAS!F:F,CLIENTES_PCBR[[#This Row],[TELEFONO]],ENTRADAS!C:C)</f>
        <v>0</v>
      </c>
      <c r="G297" s="189" t="s">
        <v>94</v>
      </c>
    </row>
    <row r="298" customFormat="false" ht="15" hidden="false" customHeight="false" outlineLevel="0" collapsed="false">
      <c r="A298" s="197"/>
      <c r="B298" s="191"/>
      <c r="C298" s="190" t="s">
        <v>4284</v>
      </c>
      <c r="D298" s="191" t="n">
        <v>5350423653</v>
      </c>
      <c r="E298" s="190" t="s">
        <v>4285</v>
      </c>
      <c r="F298" s="192" t="n">
        <f aca="false">SUMIF(ENTRADAS!F:F,CLIENTES_PCBR[[#This Row],[TELEFONO]],ENTRADAS!C:C)</f>
        <v>0</v>
      </c>
      <c r="G298" s="189" t="s">
        <v>94</v>
      </c>
    </row>
    <row r="299" customFormat="false" ht="15" hidden="false" customHeight="false" outlineLevel="0" collapsed="false">
      <c r="A299" s="197"/>
      <c r="B299" s="191"/>
      <c r="C299" s="190" t="s">
        <v>4286</v>
      </c>
      <c r="D299" s="191" t="n">
        <v>555496109819</v>
      </c>
      <c r="E299" s="190" t="s">
        <v>4287</v>
      </c>
      <c r="F299" s="192" t="n">
        <f aca="false">SUMIF(ENTRADAS!F:F,CLIENTES_PCBR[[#This Row],[TELEFONO]],ENTRADAS!C:C)</f>
        <v>0</v>
      </c>
      <c r="G299" s="189" t="s">
        <v>94</v>
      </c>
    </row>
    <row r="300" customFormat="false" ht="15" hidden="false" customHeight="false" outlineLevel="0" collapsed="false">
      <c r="A300" s="197"/>
      <c r="B300" s="191"/>
      <c r="C300" s="190" t="s">
        <v>4288</v>
      </c>
      <c r="D300" s="191" t="n">
        <v>554599204815</v>
      </c>
      <c r="E300" s="190" t="s">
        <v>4289</v>
      </c>
      <c r="F300" s="192" t="n">
        <f aca="false">SUMIF(ENTRADAS!F:F,CLIENTES_PCBR[[#This Row],[TELEFONO]],ENTRADAS!C:C)</f>
        <v>0</v>
      </c>
      <c r="G300" s="189" t="s">
        <v>94</v>
      </c>
    </row>
    <row r="301" customFormat="false" ht="15" hidden="false" customHeight="false" outlineLevel="0" collapsed="false">
      <c r="A301" s="197"/>
      <c r="B301" s="191"/>
      <c r="C301" s="190" t="s">
        <v>4290</v>
      </c>
      <c r="D301" s="191" t="n">
        <v>559584028807</v>
      </c>
      <c r="E301" s="190" t="s">
        <v>4291</v>
      </c>
      <c r="F301" s="192" t="n">
        <f aca="false">SUMIF(ENTRADAS!F:F,CLIENTES_PCBR[[#This Row],[TELEFONO]],ENTRADAS!C:C)</f>
        <v>0</v>
      </c>
      <c r="G301" s="189" t="s">
        <v>94</v>
      </c>
    </row>
    <row r="302" customFormat="false" ht="15" hidden="false" customHeight="false" outlineLevel="0" collapsed="false">
      <c r="A302" s="197"/>
      <c r="B302" s="191"/>
      <c r="C302" s="190" t="s">
        <v>2573</v>
      </c>
      <c r="D302" s="191" t="n">
        <v>555493512191</v>
      </c>
      <c r="E302" s="190" t="s">
        <v>2574</v>
      </c>
      <c r="F302" s="192" t="n">
        <f aca="false">SUMIF(ENTRADAS!F:F,CLIENTES_PCBR[[#This Row],[TELEFONO]],ENTRADAS!C:C)</f>
        <v>300</v>
      </c>
      <c r="G302" s="189" t="s">
        <v>94</v>
      </c>
    </row>
    <row r="303" customFormat="false" ht="15" hidden="false" customHeight="false" outlineLevel="0" collapsed="false">
      <c r="A303" s="197"/>
      <c r="B303" s="191"/>
      <c r="C303" s="190" t="s">
        <v>4292</v>
      </c>
      <c r="D303" s="191" t="n">
        <v>554184330980</v>
      </c>
      <c r="E303" s="190" t="s">
        <v>4293</v>
      </c>
      <c r="F303" s="192" t="n">
        <f aca="false">SUMIF(ENTRADAS!F:F,CLIENTES_PCBR[[#This Row],[TELEFONO]],ENTRADAS!C:C)</f>
        <v>0</v>
      </c>
      <c r="G303" s="189" t="s">
        <v>94</v>
      </c>
    </row>
    <row r="304" customFormat="false" ht="15" hidden="false" customHeight="false" outlineLevel="0" collapsed="false">
      <c r="A304" s="197"/>
      <c r="B304" s="191"/>
      <c r="C304" s="190" t="s">
        <v>4294</v>
      </c>
      <c r="D304" s="191" t="n">
        <v>554497068400</v>
      </c>
      <c r="E304" s="190" t="s">
        <v>4295</v>
      </c>
      <c r="F304" s="192" t="n">
        <f aca="false">SUMIF(ENTRADAS!F:F,CLIENTES_PCBR[[#This Row],[TELEFONO]],ENTRADAS!C:C)</f>
        <v>0</v>
      </c>
      <c r="G304" s="189" t="s">
        <v>94</v>
      </c>
    </row>
    <row r="305" customFormat="false" ht="15" hidden="false" customHeight="false" outlineLevel="0" collapsed="false">
      <c r="A305" s="197"/>
      <c r="B305" s="191"/>
      <c r="C305" s="190" t="s">
        <v>4296</v>
      </c>
      <c r="D305" s="191" t="n">
        <v>559581218465</v>
      </c>
      <c r="E305" s="190" t="s">
        <v>93</v>
      </c>
      <c r="F305" s="192" t="n">
        <f aca="false">SUMIF(ENTRADAS!F:F,CLIENTES_PCBR[[#This Row],[TELEFONO]],ENTRADAS!C:C)</f>
        <v>444</v>
      </c>
      <c r="G305" s="189" t="s">
        <v>94</v>
      </c>
    </row>
    <row r="306" customFormat="false" ht="15" hidden="false" customHeight="false" outlineLevel="0" collapsed="false">
      <c r="A306" s="197"/>
      <c r="B306" s="191"/>
      <c r="C306" s="190" t="s">
        <v>4297</v>
      </c>
      <c r="D306" s="191" t="n">
        <v>17543011860</v>
      </c>
      <c r="E306" s="190" t="s">
        <v>4298</v>
      </c>
      <c r="F306" s="192" t="n">
        <f aca="false">SUMIF(ENTRADAS!F:F,CLIENTES_PCBR[[#This Row],[TELEFONO]],ENTRADAS!C:C)</f>
        <v>0</v>
      </c>
      <c r="G306" s="189" t="s">
        <v>94</v>
      </c>
    </row>
    <row r="307" customFormat="false" ht="15" hidden="false" customHeight="false" outlineLevel="0" collapsed="false">
      <c r="A307" s="197"/>
      <c r="B307" s="191"/>
      <c r="C307" s="190" t="s">
        <v>4299</v>
      </c>
      <c r="D307" s="191" t="n">
        <v>553796649841</v>
      </c>
      <c r="E307" s="190" t="s">
        <v>4300</v>
      </c>
      <c r="F307" s="192" t="n">
        <f aca="false">SUMIF(ENTRADAS!F:F,CLIENTES_PCBR[[#This Row],[TELEFONO]],ENTRADAS!C:C)</f>
        <v>0</v>
      </c>
      <c r="G307" s="189" t="s">
        <v>94</v>
      </c>
    </row>
    <row r="308" customFormat="false" ht="15" hidden="false" customHeight="false" outlineLevel="0" collapsed="false">
      <c r="A308" s="197"/>
      <c r="B308" s="191"/>
      <c r="C308" s="190" t="s">
        <v>4301</v>
      </c>
      <c r="D308" s="191" t="n">
        <v>554888373953</v>
      </c>
      <c r="E308" s="190" t="s">
        <v>4302</v>
      </c>
      <c r="F308" s="192" t="n">
        <f aca="false">SUMIF(ENTRADAS!F:F,CLIENTES_PCBR[[#This Row],[TELEFONO]],ENTRADAS!C:C)</f>
        <v>0</v>
      </c>
      <c r="G308" s="189" t="s">
        <v>94</v>
      </c>
    </row>
    <row r="309" customFormat="false" ht="15" hidden="false" customHeight="false" outlineLevel="0" collapsed="false">
      <c r="A309" s="197"/>
      <c r="B309" s="191"/>
      <c r="C309" s="190" t="s">
        <v>4303</v>
      </c>
      <c r="D309" s="191" t="n">
        <v>554899159286</v>
      </c>
      <c r="E309" s="190" t="s">
        <v>4304</v>
      </c>
      <c r="F309" s="192" t="n">
        <f aca="false">SUMIF(ENTRADAS!F:F,CLIENTES_PCBR[[#This Row],[TELEFONO]],ENTRADAS!C:C)</f>
        <v>0</v>
      </c>
      <c r="G309" s="189" t="s">
        <v>94</v>
      </c>
    </row>
    <row r="310" customFormat="false" ht="15" hidden="false" customHeight="false" outlineLevel="0" collapsed="false">
      <c r="A310" s="197"/>
      <c r="B310" s="191"/>
      <c r="C310" s="190" t="s">
        <v>4305</v>
      </c>
      <c r="D310" s="191" t="n">
        <v>554198527313</v>
      </c>
      <c r="E310" s="190" t="s">
        <v>4306</v>
      </c>
      <c r="F310" s="192" t="n">
        <f aca="false">SUMIF(ENTRADAS!F:F,CLIENTES_PCBR[[#This Row],[TELEFONO]],ENTRADAS!C:C)</f>
        <v>0</v>
      </c>
      <c r="G310" s="189" t="s">
        <v>94</v>
      </c>
    </row>
    <row r="311" customFormat="false" ht="15" hidden="false" customHeight="false" outlineLevel="0" collapsed="false">
      <c r="A311" s="197"/>
      <c r="B311" s="191"/>
      <c r="C311" s="190" t="s">
        <v>4307</v>
      </c>
      <c r="D311" s="191" t="n">
        <v>5516993665936</v>
      </c>
      <c r="E311" s="190" t="s">
        <v>4308</v>
      </c>
      <c r="F311" s="192" t="n">
        <f aca="false">SUMIF(ENTRADAS!F:F,CLIENTES_PCBR[[#This Row],[TELEFONO]],ENTRADAS!C:C)</f>
        <v>0</v>
      </c>
      <c r="G311" s="189" t="s">
        <v>94</v>
      </c>
    </row>
    <row r="312" customFormat="false" ht="15" hidden="false" customHeight="false" outlineLevel="0" collapsed="false">
      <c r="A312" s="197"/>
      <c r="B312" s="191"/>
      <c r="C312" s="190" t="s">
        <v>4309</v>
      </c>
      <c r="D312" s="191" t="n">
        <v>559584147814</v>
      </c>
      <c r="E312" s="190" t="s">
        <v>4310</v>
      </c>
      <c r="F312" s="192" t="n">
        <f aca="false">SUMIF(ENTRADAS!F:F,CLIENTES_PCBR[[#This Row],[TELEFONO]],ENTRADAS!C:C)</f>
        <v>0</v>
      </c>
      <c r="G312" s="189" t="s">
        <v>94</v>
      </c>
    </row>
    <row r="313" customFormat="false" ht="15" hidden="false" customHeight="false" outlineLevel="0" collapsed="false">
      <c r="A313" s="197"/>
      <c r="B313" s="191"/>
      <c r="C313" s="190" t="s">
        <v>4311</v>
      </c>
      <c r="D313" s="191" t="n">
        <v>5562993438612</v>
      </c>
      <c r="E313" s="190" t="s">
        <v>4312</v>
      </c>
      <c r="F313" s="192" t="n">
        <f aca="false">SUMIF(ENTRADAS!F:F,CLIENTES_PCBR[[#This Row],[TELEFONO]],ENTRADAS!C:C)</f>
        <v>0</v>
      </c>
      <c r="G313" s="189" t="s">
        <v>94</v>
      </c>
    </row>
    <row r="314" customFormat="false" ht="15" hidden="false" customHeight="false" outlineLevel="0" collapsed="false">
      <c r="A314" s="197"/>
      <c r="B314" s="191"/>
      <c r="C314" s="190" t="s">
        <v>4313</v>
      </c>
      <c r="D314" s="191" t="n">
        <v>59894084561</v>
      </c>
      <c r="E314" s="190" t="s">
        <v>4314</v>
      </c>
      <c r="F314" s="192" t="n">
        <f aca="false">SUMIF(ENTRADAS!F:F,CLIENTES_PCBR[[#This Row],[TELEFONO]],ENTRADAS!C:C)</f>
        <v>0</v>
      </c>
      <c r="G314" s="189" t="s">
        <v>94</v>
      </c>
    </row>
    <row r="315" customFormat="false" ht="15" hidden="false" customHeight="false" outlineLevel="0" collapsed="false">
      <c r="A315" s="197"/>
      <c r="B315" s="191"/>
      <c r="C315" s="190" t="s">
        <v>4315</v>
      </c>
      <c r="D315" s="191" t="n">
        <v>554892165112</v>
      </c>
      <c r="E315" s="190" t="s">
        <v>4316</v>
      </c>
      <c r="F315" s="192" t="n">
        <f aca="false">SUMIF(ENTRADAS!F:F,CLIENTES_PCBR[[#This Row],[TELEFONO]],ENTRADAS!C:C)</f>
        <v>0</v>
      </c>
      <c r="G315" s="189" t="s">
        <v>94</v>
      </c>
    </row>
    <row r="316" customFormat="false" ht="15" hidden="false" customHeight="false" outlineLevel="0" collapsed="false">
      <c r="A316" s="197"/>
      <c r="B316" s="191"/>
      <c r="C316" s="190" t="s">
        <v>4317</v>
      </c>
      <c r="D316" s="191" t="n">
        <v>554499672106</v>
      </c>
      <c r="E316" s="190" t="s">
        <v>4318</v>
      </c>
      <c r="F316" s="192" t="n">
        <f aca="false">SUMIF(ENTRADAS!F:F,CLIENTES_PCBR[[#This Row],[TELEFONO]],ENTRADAS!C:C)</f>
        <v>0</v>
      </c>
      <c r="G316" s="189" t="s">
        <v>94</v>
      </c>
    </row>
    <row r="317" customFormat="false" ht="15" hidden="false" customHeight="false" outlineLevel="0" collapsed="false">
      <c r="A317" s="197"/>
      <c r="B317" s="191"/>
      <c r="C317" s="190" t="s">
        <v>4319</v>
      </c>
      <c r="D317" s="191" t="n">
        <v>554196183144</v>
      </c>
      <c r="E317" s="190" t="s">
        <v>4320</v>
      </c>
      <c r="F317" s="192" t="n">
        <f aca="false">SUMIF(ENTRADAS!F:F,CLIENTES_PCBR[[#This Row],[TELEFONO]],ENTRADAS!C:C)</f>
        <v>0</v>
      </c>
      <c r="G317" s="189" t="s">
        <v>94</v>
      </c>
    </row>
    <row r="318" customFormat="false" ht="15" hidden="false" customHeight="false" outlineLevel="0" collapsed="false">
      <c r="A318" s="197"/>
      <c r="B318" s="191"/>
      <c r="C318" s="190" t="s">
        <v>523</v>
      </c>
      <c r="D318" s="191" t="n">
        <v>554796585089</v>
      </c>
      <c r="E318" s="190" t="s">
        <v>524</v>
      </c>
      <c r="F318" s="192" t="n">
        <f aca="false">SUMIF(ENTRADAS!F:F,CLIENTES_PCBR[[#This Row],[TELEFONO]],ENTRADAS!C:C)</f>
        <v>80</v>
      </c>
      <c r="G318" s="189" t="s">
        <v>94</v>
      </c>
    </row>
    <row r="319" customFormat="false" ht="15" hidden="false" customHeight="false" outlineLevel="0" collapsed="false">
      <c r="A319" s="197"/>
      <c r="B319" s="191"/>
      <c r="C319" s="190" t="s">
        <v>569</v>
      </c>
      <c r="D319" s="191" t="n">
        <v>554888323036</v>
      </c>
      <c r="E319" s="190" t="s">
        <v>570</v>
      </c>
      <c r="F319" s="192" t="n">
        <f aca="false">SUMIF(ENTRADAS!F:F,CLIENTES_PCBR[[#This Row],[TELEFONO]],ENTRADAS!C:C)</f>
        <v>60</v>
      </c>
      <c r="G319" s="189" t="s">
        <v>94</v>
      </c>
    </row>
    <row r="320" customFormat="false" ht="15" hidden="false" customHeight="false" outlineLevel="0" collapsed="false">
      <c r="A320" s="197"/>
      <c r="B320" s="191"/>
      <c r="C320" s="190" t="s">
        <v>4321</v>
      </c>
      <c r="D320" s="191" t="n">
        <v>559684138387</v>
      </c>
      <c r="E320" s="190" t="s">
        <v>4322</v>
      </c>
      <c r="F320" s="192" t="n">
        <f aca="false">SUMIF(ENTRADAS!F:F,CLIENTES_PCBR[[#This Row],[TELEFONO]],ENTRADAS!C:C)</f>
        <v>0</v>
      </c>
      <c r="G320" s="189" t="s">
        <v>94</v>
      </c>
    </row>
    <row r="321" customFormat="false" ht="15" hidden="false" customHeight="false" outlineLevel="0" collapsed="false">
      <c r="A321" s="197"/>
      <c r="B321" s="191"/>
      <c r="C321" s="190" t="s">
        <v>4323</v>
      </c>
      <c r="D321" s="191" t="n">
        <v>554598184192</v>
      </c>
      <c r="E321" s="190" t="s">
        <v>4324</v>
      </c>
      <c r="F321" s="192" t="n">
        <f aca="false">SUMIF(ENTRADAS!F:F,CLIENTES_PCBR[[#This Row],[TELEFONO]],ENTRADAS!C:C)</f>
        <v>0</v>
      </c>
      <c r="G321" s="189" t="s">
        <v>94</v>
      </c>
    </row>
    <row r="322" customFormat="false" ht="15" hidden="false" customHeight="false" outlineLevel="0" collapsed="false">
      <c r="A322" s="197"/>
      <c r="B322" s="191"/>
      <c r="C322" s="190" t="s">
        <v>4325</v>
      </c>
      <c r="D322" s="191" t="n">
        <v>559684074659</v>
      </c>
      <c r="E322" s="190" t="s">
        <v>4326</v>
      </c>
      <c r="F322" s="192" t="n">
        <f aca="false">SUMIF(ENTRADAS!F:F,CLIENTES_PCBR[[#This Row],[TELEFONO]],ENTRADAS!C:C)</f>
        <v>0</v>
      </c>
      <c r="G322" s="189" t="s">
        <v>94</v>
      </c>
    </row>
    <row r="323" customFormat="false" ht="15" hidden="false" customHeight="false" outlineLevel="0" collapsed="false">
      <c r="A323" s="197"/>
      <c r="B323" s="191"/>
      <c r="C323" s="190" t="s">
        <v>4327</v>
      </c>
      <c r="D323" s="191" t="n">
        <v>555196099741</v>
      </c>
      <c r="E323" s="190" t="s">
        <v>4328</v>
      </c>
      <c r="F323" s="192" t="n">
        <f aca="false">SUMIF(ENTRADAS!F:F,CLIENTES_PCBR[[#This Row],[TELEFONO]],ENTRADAS!C:C)</f>
        <v>0</v>
      </c>
      <c r="G323" s="189" t="s">
        <v>94</v>
      </c>
    </row>
    <row r="324" customFormat="false" ht="15" hidden="false" customHeight="false" outlineLevel="0" collapsed="false">
      <c r="A324" s="197"/>
      <c r="B324" s="191"/>
      <c r="C324" s="190" t="s">
        <v>4329</v>
      </c>
      <c r="D324" s="191" t="n">
        <v>554184497142</v>
      </c>
      <c r="E324" s="190" t="s">
        <v>4330</v>
      </c>
      <c r="F324" s="192" t="n">
        <f aca="false">SUMIF(ENTRADAS!F:F,CLIENTES_PCBR[[#This Row],[TELEFONO]],ENTRADAS!C:C)</f>
        <v>0</v>
      </c>
      <c r="G324" s="189" t="s">
        <v>94</v>
      </c>
    </row>
    <row r="325" customFormat="false" ht="15" hidden="false" customHeight="false" outlineLevel="0" collapsed="false">
      <c r="A325" s="197"/>
      <c r="B325" s="191"/>
      <c r="C325" s="190" t="s">
        <v>4331</v>
      </c>
      <c r="D325" s="191" t="n">
        <v>554199318288</v>
      </c>
      <c r="E325" s="190" t="s">
        <v>4332</v>
      </c>
      <c r="F325" s="192" t="n">
        <f aca="false">SUMIF(ENTRADAS!F:F,CLIENTES_PCBR[[#This Row],[TELEFONO]],ENTRADAS!C:C)</f>
        <v>0</v>
      </c>
      <c r="G325" s="189" t="s">
        <v>94</v>
      </c>
    </row>
    <row r="326" customFormat="false" ht="15" hidden="false" customHeight="false" outlineLevel="0" collapsed="false">
      <c r="A326" s="197"/>
      <c r="B326" s="191"/>
      <c r="C326" s="190" t="s">
        <v>4333</v>
      </c>
      <c r="D326" s="191" t="n">
        <v>556596847810</v>
      </c>
      <c r="E326" s="190" t="s">
        <v>4334</v>
      </c>
      <c r="F326" s="192" t="n">
        <f aca="false">SUMIF(ENTRADAS!F:F,CLIENTES_PCBR[[#This Row],[TELEFONO]],ENTRADAS!C:C)</f>
        <v>0</v>
      </c>
      <c r="G326" s="189" t="s">
        <v>94</v>
      </c>
    </row>
    <row r="327" customFormat="false" ht="15" hidden="false" customHeight="false" outlineLevel="0" collapsed="false">
      <c r="A327" s="197"/>
      <c r="B327" s="191"/>
      <c r="C327" s="190" t="s">
        <v>4335</v>
      </c>
      <c r="D327" s="191" t="n">
        <v>559684022894</v>
      </c>
      <c r="E327" s="190" t="s">
        <v>4336</v>
      </c>
      <c r="F327" s="192" t="n">
        <f aca="false">SUMIF(ENTRADAS!F:F,CLIENTES_PCBR[[#This Row],[TELEFONO]],ENTRADAS!C:C)</f>
        <v>0</v>
      </c>
      <c r="G327" s="189" t="s">
        <v>94</v>
      </c>
    </row>
    <row r="328" customFormat="false" ht="15" hidden="false" customHeight="false" outlineLevel="0" collapsed="false">
      <c r="A328" s="197"/>
      <c r="B328" s="191"/>
      <c r="C328" s="190" t="s">
        <v>4337</v>
      </c>
      <c r="D328" s="191" t="n">
        <v>59162750187</v>
      </c>
      <c r="E328" s="190" t="s">
        <v>4338</v>
      </c>
      <c r="F328" s="192" t="n">
        <f aca="false">SUMIF(ENTRADAS!F:F,CLIENTES_PCBR[[#This Row],[TELEFONO]],ENTRADAS!C:C)</f>
        <v>0</v>
      </c>
      <c r="G328" s="189" t="s">
        <v>94</v>
      </c>
    </row>
    <row r="329" customFormat="false" ht="15" hidden="false" customHeight="false" outlineLevel="0" collapsed="false">
      <c r="A329" s="197"/>
      <c r="B329" s="191"/>
      <c r="C329" s="190" t="s">
        <v>4339</v>
      </c>
      <c r="D329" s="191" t="n">
        <v>555597358192</v>
      </c>
      <c r="E329" s="190" t="s">
        <v>4340</v>
      </c>
      <c r="F329" s="192" t="n">
        <f aca="false">SUMIF(ENTRADAS!F:F,CLIENTES_PCBR[[#This Row],[TELEFONO]],ENTRADAS!C:C)</f>
        <v>0</v>
      </c>
      <c r="G329" s="189" t="s">
        <v>94</v>
      </c>
    </row>
    <row r="330" customFormat="false" ht="15" hidden="false" customHeight="false" outlineLevel="0" collapsed="false">
      <c r="A330" s="197"/>
      <c r="B330" s="191"/>
      <c r="C330" s="190" t="s">
        <v>4341</v>
      </c>
      <c r="D330" s="191" t="n">
        <v>554988191754</v>
      </c>
      <c r="E330" s="190" t="s">
        <v>4342</v>
      </c>
      <c r="F330" s="192" t="n">
        <f aca="false">SUMIF(ENTRADAS!F:F,CLIENTES_PCBR[[#This Row],[TELEFONO]],ENTRADAS!C:C)</f>
        <v>0</v>
      </c>
      <c r="G330" s="189" t="s">
        <v>94</v>
      </c>
    </row>
    <row r="331" customFormat="false" ht="15" hidden="false" customHeight="false" outlineLevel="0" collapsed="false">
      <c r="A331" s="197"/>
      <c r="B331" s="191"/>
      <c r="C331" s="190" t="s">
        <v>4343</v>
      </c>
      <c r="D331" s="191" t="n">
        <v>559581250717</v>
      </c>
      <c r="E331" s="190" t="s">
        <v>4344</v>
      </c>
      <c r="F331" s="192" t="n">
        <f aca="false">SUMIF(ENTRADAS!F:F,CLIENTES_PCBR[[#This Row],[TELEFONO]],ENTRADAS!C:C)</f>
        <v>0</v>
      </c>
      <c r="G331" s="189" t="s">
        <v>94</v>
      </c>
    </row>
    <row r="332" customFormat="false" ht="15" hidden="false" customHeight="false" outlineLevel="0" collapsed="false">
      <c r="A332" s="197"/>
      <c r="B332" s="191"/>
      <c r="C332" s="190" t="s">
        <v>4345</v>
      </c>
      <c r="D332" s="191" t="n">
        <v>5511972176797</v>
      </c>
      <c r="E332" s="190" t="s">
        <v>4346</v>
      </c>
      <c r="F332" s="192" t="n">
        <f aca="false">SUMIF(ENTRADAS!F:F,CLIENTES_PCBR[[#This Row],[TELEFONO]],ENTRADAS!C:C)</f>
        <v>0</v>
      </c>
      <c r="G332" s="189" t="s">
        <v>94</v>
      </c>
    </row>
    <row r="333" customFormat="false" ht="15" hidden="false" customHeight="false" outlineLevel="0" collapsed="false">
      <c r="A333" s="197"/>
      <c r="B333" s="191"/>
      <c r="C333" s="190" t="s">
        <v>4347</v>
      </c>
      <c r="D333" s="191" t="n">
        <v>554888799342</v>
      </c>
      <c r="E333" s="190" t="s">
        <v>4348</v>
      </c>
      <c r="F333" s="192" t="n">
        <f aca="false">SUMIF(ENTRADAS!F:F,CLIENTES_PCBR[[#This Row],[TELEFONO]],ENTRADAS!C:C)</f>
        <v>0</v>
      </c>
      <c r="G333" s="189" t="s">
        <v>94</v>
      </c>
    </row>
    <row r="334" customFormat="false" ht="15" hidden="false" customHeight="false" outlineLevel="0" collapsed="false">
      <c r="A334" s="197"/>
      <c r="B334" s="191"/>
      <c r="C334" s="190" t="s">
        <v>4349</v>
      </c>
      <c r="D334" s="191" t="n">
        <v>555499496463</v>
      </c>
      <c r="E334" s="190" t="s">
        <v>4350</v>
      </c>
      <c r="F334" s="192" t="n">
        <f aca="false">SUMIF(ENTRADAS!F:F,CLIENTES_PCBR[[#This Row],[TELEFONO]],ENTRADAS!C:C)</f>
        <v>0</v>
      </c>
      <c r="G334" s="189" t="s">
        <v>94</v>
      </c>
    </row>
    <row r="335" customFormat="false" ht="15" hidden="false" customHeight="false" outlineLevel="0" collapsed="false">
      <c r="A335" s="197"/>
      <c r="B335" s="191"/>
      <c r="C335" s="190" t="s">
        <v>4351</v>
      </c>
      <c r="D335" s="191" t="n">
        <v>554198367854</v>
      </c>
      <c r="E335" s="190" t="s">
        <v>4352</v>
      </c>
      <c r="F335" s="192" t="n">
        <f aca="false">SUMIF(ENTRADAS!F:F,CLIENTES_PCBR[[#This Row],[TELEFONO]],ENTRADAS!C:C)</f>
        <v>0</v>
      </c>
      <c r="G335" s="189" t="s">
        <v>94</v>
      </c>
    </row>
    <row r="336" customFormat="false" ht="15" hidden="false" customHeight="false" outlineLevel="0" collapsed="false">
      <c r="A336" s="197"/>
      <c r="B336" s="191"/>
      <c r="C336" s="190" t="s">
        <v>4353</v>
      </c>
      <c r="D336" s="191" t="n">
        <v>554533002642</v>
      </c>
      <c r="F336" s="192" t="n">
        <f aca="false">SUMIF(ENTRADAS!F:F,CLIENTES_PCBR[[#This Row],[TELEFONO]],ENTRADAS!C:C)</f>
        <v>0</v>
      </c>
      <c r="G336" s="189" t="s">
        <v>94</v>
      </c>
    </row>
    <row r="337" customFormat="false" ht="15" hidden="false" customHeight="false" outlineLevel="0" collapsed="false">
      <c r="A337" s="197"/>
      <c r="B337" s="191"/>
      <c r="C337" s="190" t="s">
        <v>4354</v>
      </c>
      <c r="D337" s="191" t="n">
        <v>554498659839</v>
      </c>
      <c r="E337" s="190" t="s">
        <v>4355</v>
      </c>
      <c r="F337" s="192" t="n">
        <f aca="false">SUMIF(ENTRADAS!F:F,CLIENTES_PCBR[[#This Row],[TELEFONO]],ENTRADAS!C:C)</f>
        <v>0</v>
      </c>
      <c r="G337" s="189" t="s">
        <v>94</v>
      </c>
    </row>
    <row r="338" customFormat="false" ht="15" hidden="false" customHeight="false" outlineLevel="0" collapsed="false">
      <c r="A338" s="197"/>
      <c r="B338" s="191"/>
      <c r="C338" s="190" t="s">
        <v>1519</v>
      </c>
      <c r="D338" s="191" t="n">
        <v>555496109988</v>
      </c>
      <c r="E338" s="190" t="s">
        <v>4356</v>
      </c>
      <c r="F338" s="192" t="n">
        <f aca="false">SUMIF(ENTRADAS!F:F,CLIENTES_PCBR[[#This Row],[TELEFONO]],ENTRADAS!C:C)</f>
        <v>0</v>
      </c>
      <c r="G338" s="189" t="s">
        <v>94</v>
      </c>
    </row>
    <row r="339" customFormat="false" ht="15" hidden="false" customHeight="false" outlineLevel="0" collapsed="false">
      <c r="A339" s="197"/>
      <c r="B339" s="191"/>
      <c r="C339" s="190" t="s">
        <v>4357</v>
      </c>
      <c r="D339" s="191" t="n">
        <v>559674008131</v>
      </c>
      <c r="E339" s="190" t="s">
        <v>4358</v>
      </c>
      <c r="F339" s="192" t="n">
        <f aca="false">SUMIF(ENTRADAS!F:F,CLIENTES_PCBR[[#This Row],[TELEFONO]],ENTRADAS!C:C)</f>
        <v>0</v>
      </c>
      <c r="G339" s="189" t="s">
        <v>94</v>
      </c>
    </row>
    <row r="340" customFormat="false" ht="15" hidden="false" customHeight="false" outlineLevel="0" collapsed="false">
      <c r="A340" s="197"/>
      <c r="B340" s="191"/>
      <c r="C340" s="190" t="s">
        <v>4359</v>
      </c>
      <c r="D340" s="191" t="n">
        <v>554184451263</v>
      </c>
      <c r="E340" s="190" t="s">
        <v>4360</v>
      </c>
      <c r="F340" s="192" t="n">
        <f aca="false">SUMIF(ENTRADAS!F:F,CLIENTES_PCBR[[#This Row],[TELEFONO]],ENTRADAS!C:C)</f>
        <v>0</v>
      </c>
      <c r="G340" s="189" t="s">
        <v>94</v>
      </c>
    </row>
    <row r="341" customFormat="false" ht="15" hidden="false" customHeight="false" outlineLevel="0" collapsed="false">
      <c r="A341" s="197"/>
      <c r="B341" s="191"/>
      <c r="C341" s="190" t="s">
        <v>4361</v>
      </c>
      <c r="D341" s="191" t="n">
        <v>554599011323</v>
      </c>
      <c r="E341" s="190" t="s">
        <v>4362</v>
      </c>
      <c r="F341" s="192" t="n">
        <f aca="false">SUMIF(ENTRADAS!F:F,CLIENTES_PCBR[[#This Row],[TELEFONO]],ENTRADAS!C:C)</f>
        <v>0</v>
      </c>
      <c r="G341" s="189" t="s">
        <v>94</v>
      </c>
    </row>
    <row r="342" customFormat="false" ht="15" hidden="false" customHeight="false" outlineLevel="0" collapsed="false">
      <c r="A342" s="197"/>
      <c r="B342" s="191"/>
      <c r="C342" s="190" t="s">
        <v>4363</v>
      </c>
      <c r="D342" s="191" t="n">
        <v>559684269104</v>
      </c>
      <c r="E342" s="190" t="s">
        <v>4364</v>
      </c>
      <c r="F342" s="192" t="n">
        <f aca="false">SUMIF(ENTRADAS!F:F,CLIENTES_PCBR[[#This Row],[TELEFONO]],ENTRADAS!C:C)</f>
        <v>0</v>
      </c>
      <c r="G342" s="189" t="s">
        <v>94</v>
      </c>
    </row>
    <row r="343" customFormat="false" ht="15" hidden="false" customHeight="false" outlineLevel="0" collapsed="false">
      <c r="A343" s="197"/>
      <c r="B343" s="191"/>
      <c r="C343" s="190" t="s">
        <v>4365</v>
      </c>
      <c r="D343" s="191" t="n">
        <v>556593629848</v>
      </c>
      <c r="E343" s="190" t="s">
        <v>4366</v>
      </c>
      <c r="F343" s="192" t="n">
        <f aca="false">SUMIF(ENTRADAS!F:F,CLIENTES_PCBR[[#This Row],[TELEFONO]],ENTRADAS!C:C)</f>
        <v>0</v>
      </c>
      <c r="G343" s="189" t="s">
        <v>94</v>
      </c>
    </row>
    <row r="344" customFormat="false" ht="15" hidden="false" customHeight="false" outlineLevel="0" collapsed="false">
      <c r="A344" s="197"/>
      <c r="B344" s="191"/>
      <c r="C344" s="190" t="s">
        <v>4367</v>
      </c>
      <c r="D344" s="191" t="n">
        <v>554799249512</v>
      </c>
      <c r="E344" s="190" t="s">
        <v>4368</v>
      </c>
      <c r="F344" s="192" t="n">
        <f aca="false">SUMIF(ENTRADAS!F:F,CLIENTES_PCBR[[#This Row],[TELEFONO]],ENTRADAS!C:C)</f>
        <v>0</v>
      </c>
      <c r="G344" s="189" t="s">
        <v>94</v>
      </c>
    </row>
    <row r="345" customFormat="false" ht="15" hidden="false" customHeight="false" outlineLevel="0" collapsed="false">
      <c r="A345" s="197"/>
      <c r="B345" s="191"/>
      <c r="C345" s="190" t="s">
        <v>4369</v>
      </c>
      <c r="D345" s="191" t="n">
        <v>556282587718</v>
      </c>
      <c r="E345" s="190" t="s">
        <v>4370</v>
      </c>
      <c r="F345" s="192" t="n">
        <f aca="false">SUMIF(ENTRADAS!F:F,CLIENTES_PCBR[[#This Row],[TELEFONO]],ENTRADAS!C:C)</f>
        <v>0</v>
      </c>
      <c r="G345" s="189" t="s">
        <v>94</v>
      </c>
    </row>
    <row r="346" customFormat="false" ht="15" hidden="false" customHeight="false" outlineLevel="0" collapsed="false">
      <c r="A346" s="197"/>
      <c r="B346" s="191"/>
      <c r="C346" s="190" t="s">
        <v>4371</v>
      </c>
      <c r="D346" s="191" t="n">
        <v>556599368069</v>
      </c>
      <c r="E346" s="190" t="s">
        <v>4372</v>
      </c>
      <c r="F346" s="192" t="n">
        <f aca="false">SUMIF(ENTRADAS!F:F,CLIENTES_PCBR[[#This Row],[TELEFONO]],ENTRADAS!C:C)</f>
        <v>0</v>
      </c>
      <c r="G346" s="189" t="s">
        <v>94</v>
      </c>
    </row>
    <row r="347" customFormat="false" ht="15" hidden="false" customHeight="false" outlineLevel="0" collapsed="false">
      <c r="A347" s="197"/>
      <c r="B347" s="191"/>
      <c r="C347" s="190" t="s">
        <v>4373</v>
      </c>
      <c r="D347" s="191" t="n">
        <v>554796577512</v>
      </c>
      <c r="E347" s="190" t="s">
        <v>4374</v>
      </c>
      <c r="F347" s="192" t="n">
        <f aca="false">SUMIF(ENTRADAS!F:F,CLIENTES_PCBR[[#This Row],[TELEFONO]],ENTRADAS!C:C)</f>
        <v>0</v>
      </c>
      <c r="G347" s="189" t="s">
        <v>94</v>
      </c>
    </row>
    <row r="348" customFormat="false" ht="15" hidden="false" customHeight="false" outlineLevel="0" collapsed="false">
      <c r="A348" s="197"/>
      <c r="B348" s="191"/>
      <c r="C348" s="190" t="s">
        <v>4375</v>
      </c>
      <c r="D348" s="191" t="n">
        <v>554198353928</v>
      </c>
      <c r="F348" s="192" t="n">
        <f aca="false">SUMIF(ENTRADAS!F:F,CLIENTES_PCBR[[#This Row],[TELEFONO]],ENTRADAS!C:C)</f>
        <v>0</v>
      </c>
      <c r="G348" s="189" t="s">
        <v>94</v>
      </c>
    </row>
    <row r="349" customFormat="false" ht="15" hidden="false" customHeight="false" outlineLevel="0" collapsed="false">
      <c r="A349" s="197"/>
      <c r="B349" s="191"/>
      <c r="C349" s="190" t="s">
        <v>4376</v>
      </c>
      <c r="D349" s="191" t="n">
        <v>556592959709</v>
      </c>
      <c r="E349" s="190" t="s">
        <v>4377</v>
      </c>
      <c r="F349" s="192" t="n">
        <f aca="false">SUMIF(ENTRADAS!F:F,CLIENTES_PCBR[[#This Row],[TELEFONO]],ENTRADAS!C:C)</f>
        <v>0</v>
      </c>
      <c r="G349" s="189" t="s">
        <v>94</v>
      </c>
    </row>
    <row r="350" customFormat="false" ht="15" hidden="false" customHeight="false" outlineLevel="0" collapsed="false">
      <c r="A350" s="197"/>
      <c r="B350" s="191"/>
      <c r="C350" s="190" t="s">
        <v>4378</v>
      </c>
      <c r="D350" s="191" t="n">
        <v>554198101154</v>
      </c>
      <c r="E350" s="190" t="s">
        <v>4379</v>
      </c>
      <c r="F350" s="192" t="n">
        <f aca="false">SUMIF(ENTRADAS!F:F,CLIENTES_PCBR[[#This Row],[TELEFONO]],ENTRADAS!C:C)</f>
        <v>0</v>
      </c>
      <c r="G350" s="189" t="s">
        <v>94</v>
      </c>
    </row>
    <row r="351" customFormat="false" ht="15" hidden="false" customHeight="false" outlineLevel="0" collapsed="false">
      <c r="A351" s="197"/>
      <c r="B351" s="191"/>
      <c r="C351" s="190" t="s">
        <v>4380</v>
      </c>
      <c r="D351" s="191" t="n">
        <v>5521995832218</v>
      </c>
      <c r="E351" s="190" t="s">
        <v>4381</v>
      </c>
      <c r="F351" s="192" t="n">
        <f aca="false">SUMIF(ENTRADAS!F:F,CLIENTES_PCBR[[#This Row],[TELEFONO]],ENTRADAS!C:C)</f>
        <v>0</v>
      </c>
      <c r="G351" s="189" t="s">
        <v>94</v>
      </c>
    </row>
    <row r="352" customFormat="false" ht="15" hidden="false" customHeight="false" outlineLevel="0" collapsed="false">
      <c r="A352" s="197"/>
      <c r="B352" s="191"/>
      <c r="C352" s="190" t="s">
        <v>4382</v>
      </c>
      <c r="D352" s="191" t="n">
        <v>554195764415</v>
      </c>
      <c r="E352" s="190" t="s">
        <v>4383</v>
      </c>
      <c r="F352" s="192" t="n">
        <f aca="false">SUMIF(ENTRADAS!F:F,CLIENTES_PCBR[[#This Row],[TELEFONO]],ENTRADAS!C:C)</f>
        <v>0</v>
      </c>
      <c r="G352" s="189" t="s">
        <v>94</v>
      </c>
    </row>
    <row r="353" customFormat="false" ht="15" hidden="false" customHeight="false" outlineLevel="0" collapsed="false">
      <c r="A353" s="197"/>
      <c r="B353" s="191"/>
      <c r="C353" s="190" t="s">
        <v>4384</v>
      </c>
      <c r="D353" s="191" t="n">
        <v>555494707087</v>
      </c>
      <c r="E353" s="190" t="s">
        <v>4385</v>
      </c>
      <c r="F353" s="192" t="n">
        <f aca="false">SUMIF(ENTRADAS!F:F,CLIENTES_PCBR[[#This Row],[TELEFONO]],ENTRADAS!C:C)</f>
        <v>0</v>
      </c>
      <c r="G353" s="189" t="s">
        <v>94</v>
      </c>
    </row>
    <row r="354" customFormat="false" ht="15" hidden="false" customHeight="false" outlineLevel="0" collapsed="false">
      <c r="A354" s="197"/>
      <c r="B354" s="191"/>
      <c r="C354" s="190" t="s">
        <v>4386</v>
      </c>
      <c r="D354" s="191" t="n">
        <v>555599376435</v>
      </c>
      <c r="E354" s="190" t="s">
        <v>4387</v>
      </c>
      <c r="F354" s="192" t="n">
        <f aca="false">SUMIF(ENTRADAS!F:F,CLIENTES_PCBR[[#This Row],[TELEFONO]],ENTRADAS!C:C)</f>
        <v>0</v>
      </c>
      <c r="G354" s="189" t="s">
        <v>94</v>
      </c>
    </row>
    <row r="355" customFormat="false" ht="15" hidden="false" customHeight="false" outlineLevel="0" collapsed="false">
      <c r="A355" s="197"/>
      <c r="B355" s="191"/>
      <c r="C355" s="190" t="s">
        <v>4388</v>
      </c>
      <c r="D355" s="191" t="n">
        <v>5511912074202</v>
      </c>
      <c r="E355" s="190" t="s">
        <v>4389</v>
      </c>
      <c r="F355" s="192" t="n">
        <f aca="false">SUMIF(ENTRADAS!F:F,CLIENTES_PCBR[[#This Row],[TELEFONO]],ENTRADAS!C:C)</f>
        <v>0</v>
      </c>
      <c r="G355" s="189" t="s">
        <v>94</v>
      </c>
    </row>
    <row r="356" customFormat="false" ht="15" hidden="false" customHeight="false" outlineLevel="0" collapsed="false">
      <c r="A356" s="197"/>
      <c r="B356" s="191"/>
      <c r="C356" s="190" t="s">
        <v>4390</v>
      </c>
      <c r="D356" s="191" t="n">
        <v>559591314374</v>
      </c>
      <c r="E356" s="190" t="s">
        <v>4391</v>
      </c>
      <c r="F356" s="192" t="n">
        <f aca="false">SUMIF(ENTRADAS!F:F,CLIENTES_PCBR[[#This Row],[TELEFONO]],ENTRADAS!C:C)</f>
        <v>0</v>
      </c>
      <c r="G356" s="189" t="s">
        <v>94</v>
      </c>
    </row>
    <row r="357" customFormat="false" ht="15" hidden="false" customHeight="false" outlineLevel="0" collapsed="false">
      <c r="A357" s="197"/>
      <c r="B357" s="191"/>
      <c r="C357" s="190" t="s">
        <v>4392</v>
      </c>
      <c r="D357" s="191" t="n">
        <v>5511960278059</v>
      </c>
      <c r="E357" s="190" t="s">
        <v>4393</v>
      </c>
      <c r="F357" s="192" t="n">
        <f aca="false">SUMIF(ENTRADAS!F:F,CLIENTES_PCBR[[#This Row],[TELEFONO]],ENTRADAS!C:C)</f>
        <v>0</v>
      </c>
      <c r="G357" s="189" t="s">
        <v>94</v>
      </c>
    </row>
    <row r="358" customFormat="false" ht="15" hidden="false" customHeight="false" outlineLevel="0" collapsed="false">
      <c r="A358" s="197"/>
      <c r="B358" s="191"/>
      <c r="C358" s="190" t="s">
        <v>4394</v>
      </c>
      <c r="D358" s="191" t="n">
        <v>554892229725</v>
      </c>
      <c r="E358" s="190" t="s">
        <v>4395</v>
      </c>
      <c r="F358" s="192" t="n">
        <f aca="false">SUMIF(ENTRADAS!F:F,CLIENTES_PCBR[[#This Row],[TELEFONO]],ENTRADAS!C:C)</f>
        <v>0</v>
      </c>
      <c r="G358" s="189" t="s">
        <v>94</v>
      </c>
    </row>
    <row r="359" customFormat="false" ht="15" hidden="false" customHeight="false" outlineLevel="0" collapsed="false">
      <c r="A359" s="197"/>
      <c r="B359" s="191"/>
      <c r="C359" s="190" t="s">
        <v>4396</v>
      </c>
      <c r="D359" s="191" t="n">
        <v>554198238197</v>
      </c>
      <c r="E359" s="190" t="s">
        <v>4397</v>
      </c>
      <c r="F359" s="192" t="n">
        <f aca="false">SUMIF(ENTRADAS!F:F,CLIENTES_PCBR[[#This Row],[TELEFONO]],ENTRADAS!C:C)</f>
        <v>0</v>
      </c>
      <c r="G359" s="189" t="s">
        <v>94</v>
      </c>
    </row>
    <row r="360" customFormat="false" ht="15" hidden="false" customHeight="false" outlineLevel="0" collapsed="false">
      <c r="A360" s="197"/>
      <c r="B360" s="191"/>
      <c r="C360" s="190" t="s">
        <v>427</v>
      </c>
      <c r="D360" s="191" t="n">
        <v>554198341904</v>
      </c>
      <c r="E360" s="190" t="s">
        <v>428</v>
      </c>
      <c r="F360" s="192" t="n">
        <f aca="false">SUMIF(ENTRADAS!F:F,CLIENTES_PCBR[[#This Row],[TELEFONO]],ENTRADAS!C:C)</f>
        <v>147</v>
      </c>
      <c r="G360" s="189" t="s">
        <v>94</v>
      </c>
    </row>
    <row r="361" customFormat="false" ht="15" hidden="false" customHeight="false" outlineLevel="0" collapsed="false">
      <c r="A361" s="197"/>
      <c r="B361" s="191"/>
      <c r="C361" s="190" t="s">
        <v>4398</v>
      </c>
      <c r="D361" s="191" t="n">
        <v>559584032367</v>
      </c>
      <c r="E361" s="190" t="s">
        <v>515</v>
      </c>
      <c r="F361" s="192" t="n">
        <f aca="false">SUMIF(ENTRADAS!F:F,CLIENTES_PCBR[[#This Row],[TELEFONO]],ENTRADAS!C:C)</f>
        <v>750</v>
      </c>
      <c r="G361" s="189" t="s">
        <v>94</v>
      </c>
    </row>
    <row r="362" customFormat="false" ht="15" hidden="false" customHeight="false" outlineLevel="0" collapsed="false">
      <c r="A362" s="197"/>
      <c r="B362" s="191"/>
      <c r="C362" s="190" t="s">
        <v>4399</v>
      </c>
      <c r="D362" s="191" t="n">
        <v>559584293261</v>
      </c>
      <c r="E362" s="190" t="s">
        <v>4400</v>
      </c>
      <c r="F362" s="192" t="n">
        <f aca="false">SUMIF(ENTRADAS!F:F,CLIENTES_PCBR[[#This Row],[TELEFONO]],ENTRADAS!C:C)</f>
        <v>0</v>
      </c>
      <c r="G362" s="189" t="s">
        <v>94</v>
      </c>
    </row>
    <row r="363" customFormat="false" ht="15" hidden="false" customHeight="false" outlineLevel="0" collapsed="false">
      <c r="A363" s="197"/>
      <c r="B363" s="191"/>
      <c r="C363" s="190" t="s">
        <v>4401</v>
      </c>
      <c r="D363" s="191" t="n">
        <v>556593638552</v>
      </c>
      <c r="E363" s="190" t="s">
        <v>4402</v>
      </c>
      <c r="F363" s="192" t="n">
        <f aca="false">SUMIF(ENTRADAS!F:F,CLIENTES_PCBR[[#This Row],[TELEFONO]],ENTRADAS!C:C)</f>
        <v>0</v>
      </c>
      <c r="G363" s="189" t="s">
        <v>94</v>
      </c>
    </row>
    <row r="364" customFormat="false" ht="15" hidden="false" customHeight="false" outlineLevel="0" collapsed="false">
      <c r="A364" s="197"/>
      <c r="B364" s="191"/>
      <c r="C364" s="190" t="s">
        <v>4403</v>
      </c>
      <c r="D364" s="191" t="n">
        <v>5527999888988</v>
      </c>
      <c r="E364" s="190" t="s">
        <v>4404</v>
      </c>
      <c r="F364" s="192" t="n">
        <f aca="false">SUMIF(ENTRADAS!F:F,CLIENTES_PCBR[[#This Row],[TELEFONO]],ENTRADAS!C:C)</f>
        <v>0</v>
      </c>
      <c r="G364" s="189" t="s">
        <v>94</v>
      </c>
    </row>
    <row r="365" customFormat="false" ht="15" hidden="false" customHeight="false" outlineLevel="0" collapsed="false">
      <c r="A365" s="197"/>
      <c r="B365" s="191"/>
      <c r="C365" s="190" t="s">
        <v>4405</v>
      </c>
      <c r="D365" s="191" t="n">
        <v>559285631538</v>
      </c>
      <c r="E365" s="190" t="s">
        <v>4406</v>
      </c>
      <c r="F365" s="192" t="n">
        <f aca="false">SUMIF(ENTRADAS!F:F,CLIENTES_PCBR[[#This Row],[TELEFONO]],ENTRADAS!C:C)</f>
        <v>0</v>
      </c>
      <c r="G365" s="189" t="s">
        <v>94</v>
      </c>
    </row>
    <row r="366" customFormat="false" ht="15" hidden="false" customHeight="false" outlineLevel="0" collapsed="false">
      <c r="A366" s="197"/>
      <c r="B366" s="191"/>
      <c r="C366" s="190" t="s">
        <v>4407</v>
      </c>
      <c r="D366" s="191" t="n">
        <v>556281966213</v>
      </c>
      <c r="E366" s="190" t="s">
        <v>4408</v>
      </c>
      <c r="F366" s="192" t="n">
        <f aca="false">SUMIF(ENTRADAS!F:F,CLIENTES_PCBR[[#This Row],[TELEFONO]],ENTRADAS!C:C)</f>
        <v>0</v>
      </c>
      <c r="G366" s="189" t="s">
        <v>94</v>
      </c>
    </row>
    <row r="367" customFormat="false" ht="15" hidden="false" customHeight="false" outlineLevel="0" collapsed="false">
      <c r="A367" s="197"/>
      <c r="B367" s="191"/>
      <c r="C367" s="190" t="s">
        <v>4409</v>
      </c>
      <c r="D367" s="191" t="n">
        <v>556474001127</v>
      </c>
      <c r="E367" s="190" t="s">
        <v>4410</v>
      </c>
      <c r="F367" s="192" t="n">
        <f aca="false">SUMIF(ENTRADAS!F:F,CLIENTES_PCBR[[#This Row],[TELEFONO]],ENTRADAS!C:C)</f>
        <v>0</v>
      </c>
      <c r="G367" s="189" t="s">
        <v>94</v>
      </c>
    </row>
    <row r="368" customFormat="false" ht="15" hidden="false" customHeight="false" outlineLevel="0" collapsed="false">
      <c r="A368" s="197"/>
      <c r="B368" s="191"/>
      <c r="C368" s="190" t="s">
        <v>811</v>
      </c>
      <c r="D368" s="191" t="n">
        <v>556592781869</v>
      </c>
      <c r="E368" s="190" t="s">
        <v>812</v>
      </c>
      <c r="F368" s="192" t="n">
        <f aca="false">SUMIF(ENTRADAS!F:F,CLIENTES_PCBR[[#This Row],[TELEFONO]],ENTRADAS!C:C)</f>
        <v>300</v>
      </c>
      <c r="G368" s="189" t="s">
        <v>94</v>
      </c>
    </row>
    <row r="369" customFormat="false" ht="15" hidden="false" customHeight="false" outlineLevel="0" collapsed="false">
      <c r="A369" s="197"/>
      <c r="B369" s="191"/>
      <c r="C369" s="190" t="s">
        <v>4411</v>
      </c>
      <c r="D369" s="191" t="n">
        <v>555496631964</v>
      </c>
      <c r="E369" s="190" t="s">
        <v>887</v>
      </c>
      <c r="F369" s="192" t="n">
        <f aca="false">SUMIF(ENTRADAS!F:F,CLIENTES_PCBR[[#This Row],[TELEFONO]],ENTRADAS!C:C)</f>
        <v>0</v>
      </c>
      <c r="G369" s="189" t="s">
        <v>94</v>
      </c>
    </row>
    <row r="370" customFormat="false" ht="15" hidden="false" customHeight="false" outlineLevel="0" collapsed="false">
      <c r="A370" s="197"/>
      <c r="B370" s="191"/>
      <c r="C370" s="190" t="s">
        <v>4412</v>
      </c>
      <c r="D370" s="191" t="n">
        <v>554196834274</v>
      </c>
      <c r="E370" s="190" t="s">
        <v>4413</v>
      </c>
      <c r="F370" s="192" t="n">
        <f aca="false">SUMIF(ENTRADAS!F:F,CLIENTES_PCBR[[#This Row],[TELEFONO]],ENTRADAS!C:C)</f>
        <v>0</v>
      </c>
      <c r="G370" s="189" t="s">
        <v>94</v>
      </c>
    </row>
    <row r="371" customFormat="false" ht="15" hidden="false" customHeight="false" outlineLevel="0" collapsed="false">
      <c r="A371" s="197"/>
      <c r="B371" s="191"/>
      <c r="C371" s="190" t="s">
        <v>4414</v>
      </c>
      <c r="D371" s="191" t="n">
        <v>554388026166</v>
      </c>
      <c r="E371" s="190" t="s">
        <v>4415</v>
      </c>
      <c r="F371" s="192" t="n">
        <f aca="false">SUMIF(ENTRADAS!F:F,CLIENTES_PCBR[[#This Row],[TELEFONO]],ENTRADAS!C:C)</f>
        <v>0</v>
      </c>
      <c r="G371" s="189" t="s">
        <v>94</v>
      </c>
    </row>
    <row r="372" customFormat="false" ht="15" hidden="false" customHeight="false" outlineLevel="0" collapsed="false">
      <c r="A372" s="197"/>
      <c r="B372" s="191"/>
      <c r="C372" s="190" t="s">
        <v>4416</v>
      </c>
      <c r="D372" s="191" t="n">
        <v>5511962768793</v>
      </c>
      <c r="E372" s="190" t="s">
        <v>4417</v>
      </c>
      <c r="F372" s="192" t="n">
        <f aca="false">SUMIF(ENTRADAS!F:F,CLIENTES_PCBR[[#This Row],[TELEFONO]],ENTRADAS!C:C)</f>
        <v>0</v>
      </c>
      <c r="G372" s="189" t="s">
        <v>94</v>
      </c>
    </row>
    <row r="373" customFormat="false" ht="15" hidden="false" customHeight="false" outlineLevel="0" collapsed="false">
      <c r="A373" s="197"/>
      <c r="B373" s="191"/>
      <c r="C373" s="190" t="s">
        <v>4418</v>
      </c>
      <c r="D373" s="191" t="n">
        <v>5511972220883</v>
      </c>
      <c r="E373" s="190" t="s">
        <v>4419</v>
      </c>
      <c r="F373" s="192" t="n">
        <f aca="false">SUMIF(ENTRADAS!F:F,CLIENTES_PCBR[[#This Row],[TELEFONO]],ENTRADAS!C:C)</f>
        <v>0</v>
      </c>
      <c r="G373" s="189" t="s">
        <v>94</v>
      </c>
    </row>
    <row r="374" customFormat="false" ht="15" hidden="false" customHeight="false" outlineLevel="0" collapsed="false">
      <c r="A374" s="197"/>
      <c r="B374" s="191"/>
      <c r="C374" s="190" t="s">
        <v>4420</v>
      </c>
      <c r="D374" s="191" t="n">
        <v>18293175022</v>
      </c>
      <c r="E374" s="190" t="s">
        <v>4421</v>
      </c>
      <c r="F374" s="192" t="n">
        <f aca="false">SUMIF(ENTRADAS!F:F,CLIENTES_PCBR[[#This Row],[TELEFONO]],ENTRADAS!C:C)</f>
        <v>0</v>
      </c>
      <c r="G374" s="189" t="s">
        <v>94</v>
      </c>
    </row>
    <row r="375" customFormat="false" ht="15" hidden="false" customHeight="false" outlineLevel="0" collapsed="false">
      <c r="A375" s="197"/>
      <c r="B375" s="191"/>
      <c r="C375" s="190" t="s">
        <v>4422</v>
      </c>
      <c r="D375" s="191" t="n">
        <v>559581246363</v>
      </c>
      <c r="E375" s="190" t="s">
        <v>4423</v>
      </c>
      <c r="F375" s="192" t="n">
        <f aca="false">SUMIF(ENTRADAS!F:F,CLIENTES_PCBR[[#This Row],[TELEFONO]],ENTRADAS!C:C)</f>
        <v>0</v>
      </c>
      <c r="G375" s="189" t="s">
        <v>94</v>
      </c>
    </row>
    <row r="376" customFormat="false" ht="15" hidden="false" customHeight="false" outlineLevel="0" collapsed="false">
      <c r="A376" s="197"/>
      <c r="B376" s="191"/>
      <c r="C376" s="190" t="s">
        <v>4424</v>
      </c>
      <c r="D376" s="191" t="n">
        <v>556599261902</v>
      </c>
      <c r="E376" s="190" t="s">
        <v>4425</v>
      </c>
      <c r="F376" s="192" t="n">
        <f aca="false">SUMIF(ENTRADAS!F:F,CLIENTES_PCBR[[#This Row],[TELEFONO]],ENTRADAS!C:C)</f>
        <v>0</v>
      </c>
      <c r="G376" s="189" t="s">
        <v>94</v>
      </c>
    </row>
    <row r="377" customFormat="false" ht="15" hidden="false" customHeight="false" outlineLevel="0" collapsed="false">
      <c r="A377" s="197"/>
      <c r="B377" s="191"/>
      <c r="C377" s="190" t="s">
        <v>4426</v>
      </c>
      <c r="D377" s="191" t="n">
        <v>554187058259</v>
      </c>
      <c r="E377" s="190" t="s">
        <v>4427</v>
      </c>
      <c r="F377" s="192" t="n">
        <f aca="false">SUMIF(ENTRADAS!F:F,CLIENTES_PCBR[[#This Row],[TELEFONO]],ENTRADAS!C:C)</f>
        <v>0</v>
      </c>
      <c r="G377" s="189" t="s">
        <v>94</v>
      </c>
    </row>
    <row r="378" customFormat="false" ht="15" hidden="false" customHeight="false" outlineLevel="0" collapsed="false">
      <c r="A378" s="197"/>
      <c r="B378" s="191"/>
      <c r="C378" s="190" t="s">
        <v>4428</v>
      </c>
      <c r="D378" s="191" t="n">
        <v>556282012442</v>
      </c>
      <c r="E378" s="190" t="s">
        <v>4429</v>
      </c>
      <c r="F378" s="192" t="n">
        <f aca="false">SUMIF(ENTRADAS!F:F,CLIENTES_PCBR[[#This Row],[TELEFONO]],ENTRADAS!C:C)</f>
        <v>0</v>
      </c>
      <c r="G378" s="189" t="s">
        <v>94</v>
      </c>
    </row>
    <row r="379" customFormat="false" ht="15" hidden="false" customHeight="false" outlineLevel="0" collapsed="false">
      <c r="A379" s="197"/>
      <c r="B379" s="191"/>
      <c r="C379" s="190" t="s">
        <v>4430</v>
      </c>
      <c r="D379" s="191" t="n">
        <v>555491245342</v>
      </c>
      <c r="E379" s="190" t="s">
        <v>4431</v>
      </c>
      <c r="F379" s="192" t="n">
        <f aca="false">SUMIF(ENTRADAS!F:F,CLIENTES_PCBR[[#This Row],[TELEFONO]],ENTRADAS!C:C)</f>
        <v>0</v>
      </c>
      <c r="G379" s="189" t="s">
        <v>94</v>
      </c>
    </row>
    <row r="380" customFormat="false" ht="15" hidden="false" customHeight="false" outlineLevel="0" collapsed="false">
      <c r="A380" s="197"/>
      <c r="B380" s="191"/>
      <c r="C380" s="190" t="s">
        <v>4432</v>
      </c>
      <c r="D380" s="191" t="n">
        <v>5512982456499</v>
      </c>
      <c r="E380" s="190" t="s">
        <v>4433</v>
      </c>
      <c r="F380" s="192" t="n">
        <f aca="false">SUMIF(ENTRADAS!F:F,CLIENTES_PCBR[[#This Row],[TELEFONO]],ENTRADAS!C:C)</f>
        <v>0</v>
      </c>
      <c r="G380" s="189" t="s">
        <v>94</v>
      </c>
    </row>
    <row r="381" customFormat="false" ht="15" hidden="false" customHeight="false" outlineLevel="0" collapsed="false">
      <c r="A381" s="197"/>
      <c r="B381" s="191"/>
      <c r="C381" s="190" t="s">
        <v>1024</v>
      </c>
      <c r="D381" s="191" t="n">
        <v>555499271067</v>
      </c>
      <c r="E381" s="190" t="s">
        <v>4434</v>
      </c>
      <c r="F381" s="192" t="n">
        <f aca="false">SUMIF(ENTRADAS!F:F,CLIENTES_PCBR[[#This Row],[TELEFONO]],ENTRADAS!C:C)</f>
        <v>73.5</v>
      </c>
      <c r="G381" s="189" t="s">
        <v>94</v>
      </c>
    </row>
    <row r="382" customFormat="false" ht="15" hidden="false" customHeight="false" outlineLevel="0" collapsed="false">
      <c r="A382" s="197"/>
      <c r="B382" s="191"/>
      <c r="C382" s="190" t="s">
        <v>4435</v>
      </c>
      <c r="D382" s="191" t="n">
        <v>554988687321</v>
      </c>
      <c r="E382" s="190" t="s">
        <v>4436</v>
      </c>
      <c r="F382" s="192" t="n">
        <f aca="false">SUMIF(ENTRADAS!F:F,CLIENTES_PCBR[[#This Row],[TELEFONO]],ENTRADAS!C:C)</f>
        <v>0</v>
      </c>
      <c r="G382" s="189" t="s">
        <v>94</v>
      </c>
    </row>
    <row r="383" customFormat="false" ht="15" hidden="false" customHeight="false" outlineLevel="0" collapsed="false">
      <c r="A383" s="197"/>
      <c r="B383" s="191"/>
      <c r="C383" s="190" t="s">
        <v>4437</v>
      </c>
      <c r="D383" s="191" t="n">
        <v>556593305705</v>
      </c>
      <c r="E383" s="190" t="s">
        <v>4438</v>
      </c>
      <c r="F383" s="192" t="n">
        <f aca="false">SUMIF(ENTRADAS!F:F,CLIENTES_PCBR[[#This Row],[TELEFONO]],ENTRADAS!C:C)</f>
        <v>0</v>
      </c>
      <c r="G383" s="189" t="s">
        <v>94</v>
      </c>
    </row>
    <row r="384" customFormat="false" ht="15" hidden="false" customHeight="false" outlineLevel="0" collapsed="false">
      <c r="A384" s="197"/>
      <c r="B384" s="191"/>
      <c r="C384" s="190" t="s">
        <v>4439</v>
      </c>
      <c r="D384" s="191" t="n">
        <v>5511973254773</v>
      </c>
      <c r="E384" s="190" t="s">
        <v>4440</v>
      </c>
      <c r="F384" s="192" t="n">
        <f aca="false">SUMIF(ENTRADAS!F:F,CLIENTES_PCBR[[#This Row],[TELEFONO]],ENTRADAS!C:C)</f>
        <v>0</v>
      </c>
      <c r="G384" s="189" t="s">
        <v>94</v>
      </c>
    </row>
    <row r="385" customFormat="false" ht="15" hidden="false" customHeight="false" outlineLevel="0" collapsed="false">
      <c r="A385" s="197"/>
      <c r="B385" s="191"/>
      <c r="C385" s="190" t="s">
        <v>4441</v>
      </c>
      <c r="D385" s="191" t="n">
        <v>5511987127433</v>
      </c>
      <c r="E385" s="190" t="s">
        <v>4442</v>
      </c>
      <c r="F385" s="192" t="n">
        <f aca="false">SUMIF(ENTRADAS!F:F,CLIENTES_PCBR[[#This Row],[TELEFONO]],ENTRADAS!C:C)</f>
        <v>0</v>
      </c>
      <c r="G385" s="189" t="s">
        <v>94</v>
      </c>
    </row>
    <row r="386" customFormat="false" ht="15" hidden="false" customHeight="false" outlineLevel="0" collapsed="false">
      <c r="A386" s="197"/>
      <c r="B386" s="191"/>
      <c r="C386" s="190" t="s">
        <v>4443</v>
      </c>
      <c r="D386" s="191" t="n">
        <v>554198560570</v>
      </c>
      <c r="E386" s="190" t="s">
        <v>4444</v>
      </c>
      <c r="F386" s="192" t="n">
        <f aca="false">SUMIF(ENTRADAS!F:F,CLIENTES_PCBR[[#This Row],[TELEFONO]],ENTRADAS!C:C)</f>
        <v>0</v>
      </c>
      <c r="G386" s="189" t="s">
        <v>94</v>
      </c>
    </row>
    <row r="387" customFormat="false" ht="15" hidden="false" customHeight="false" outlineLevel="0" collapsed="false">
      <c r="A387" s="197"/>
      <c r="B387" s="191"/>
      <c r="C387" s="190" t="s">
        <v>4445</v>
      </c>
      <c r="D387" s="191" t="n">
        <v>555494481010</v>
      </c>
      <c r="E387" s="190" t="s">
        <v>4446</v>
      </c>
      <c r="F387" s="192" t="n">
        <f aca="false">SUMIF(ENTRADAS!F:F,CLIENTES_PCBR[[#This Row],[TELEFONO]],ENTRADAS!C:C)</f>
        <v>0</v>
      </c>
      <c r="G387" s="189" t="s">
        <v>94</v>
      </c>
    </row>
    <row r="388" customFormat="false" ht="15" hidden="false" customHeight="false" outlineLevel="0" collapsed="false">
      <c r="A388" s="197"/>
      <c r="B388" s="191"/>
      <c r="C388" s="190" t="s">
        <v>4447</v>
      </c>
      <c r="D388" s="191" t="n">
        <v>554591096655</v>
      </c>
      <c r="E388" s="190" t="s">
        <v>4448</v>
      </c>
      <c r="F388" s="192" t="n">
        <f aca="false">SUMIF(ENTRADAS!F:F,CLIENTES_PCBR[[#This Row],[TELEFONO]],ENTRADAS!C:C)</f>
        <v>0</v>
      </c>
      <c r="G388" s="189" t="s">
        <v>94</v>
      </c>
    </row>
    <row r="389" customFormat="false" ht="15" hidden="false" customHeight="false" outlineLevel="0" collapsed="false">
      <c r="A389" s="197"/>
      <c r="B389" s="191"/>
      <c r="C389" s="190" t="s">
        <v>4449</v>
      </c>
      <c r="D389" s="191" t="n">
        <v>554896396957</v>
      </c>
      <c r="E389" s="190" t="s">
        <v>4450</v>
      </c>
      <c r="F389" s="192" t="n">
        <f aca="false">SUMIF(ENTRADAS!F:F,CLIENTES_PCBR[[#This Row],[TELEFONO]],ENTRADAS!C:C)</f>
        <v>0</v>
      </c>
      <c r="G389" s="189" t="s">
        <v>94</v>
      </c>
    </row>
    <row r="390" customFormat="false" ht="15" hidden="false" customHeight="false" outlineLevel="0" collapsed="false">
      <c r="A390" s="197"/>
      <c r="B390" s="191"/>
      <c r="C390" s="190" t="s">
        <v>4451</v>
      </c>
      <c r="D390" s="191" t="n">
        <v>554888155497</v>
      </c>
      <c r="E390" s="190" t="s">
        <v>4452</v>
      </c>
      <c r="F390" s="192" t="n">
        <f aca="false">SUMIF(ENTRADAS!F:F,CLIENTES_PCBR[[#This Row],[TELEFONO]],ENTRADAS!C:C)</f>
        <v>0</v>
      </c>
      <c r="G390" s="189" t="s">
        <v>94</v>
      </c>
    </row>
    <row r="391" customFormat="false" ht="15" hidden="false" customHeight="false" outlineLevel="0" collapsed="false">
      <c r="A391" s="197"/>
      <c r="B391" s="191"/>
      <c r="C391" s="190" t="s">
        <v>4453</v>
      </c>
      <c r="D391" s="191" t="n">
        <v>5355393425</v>
      </c>
      <c r="E391" s="190" t="s">
        <v>4454</v>
      </c>
      <c r="F391" s="192" t="n">
        <f aca="false">SUMIF(ENTRADAS!F:F,CLIENTES_PCBR[[#This Row],[TELEFONO]],ENTRADAS!C:C)</f>
        <v>0</v>
      </c>
      <c r="G391" s="189" t="s">
        <v>94</v>
      </c>
    </row>
    <row r="392" customFormat="false" ht="15" hidden="false" customHeight="false" outlineLevel="0" collapsed="false">
      <c r="A392" s="197"/>
      <c r="B392" s="191"/>
      <c r="C392" s="190" t="s">
        <v>4455</v>
      </c>
      <c r="D392" s="191" t="n">
        <v>555399279721</v>
      </c>
      <c r="E392" s="190" t="s">
        <v>4456</v>
      </c>
      <c r="F392" s="192" t="n">
        <f aca="false">SUMIF(ENTRADAS!F:F,CLIENTES_PCBR[[#This Row],[TELEFONO]],ENTRADAS!C:C)</f>
        <v>0</v>
      </c>
      <c r="G392" s="189" t="s">
        <v>94</v>
      </c>
    </row>
    <row r="393" customFormat="false" ht="15" hidden="false" customHeight="false" outlineLevel="0" collapsed="false">
      <c r="A393" s="197"/>
      <c r="B393" s="191"/>
      <c r="C393" s="190" t="s">
        <v>4457</v>
      </c>
      <c r="D393" s="191" t="n">
        <v>555192219023</v>
      </c>
      <c r="E393" s="190" t="s">
        <v>165</v>
      </c>
      <c r="F393" s="192" t="n">
        <f aca="false">SUMIF(ENTRADAS!F:F,CLIENTES_PCBR[[#This Row],[TELEFONO]],ENTRADAS!C:C)</f>
        <v>150</v>
      </c>
      <c r="G393" s="189" t="s">
        <v>94</v>
      </c>
    </row>
    <row r="394" customFormat="false" ht="15" hidden="false" customHeight="false" outlineLevel="0" collapsed="false">
      <c r="A394" s="197"/>
      <c r="B394" s="191"/>
      <c r="C394" s="190" t="s">
        <v>4458</v>
      </c>
      <c r="D394" s="191" t="n">
        <v>554591250908</v>
      </c>
      <c r="E394" s="190" t="s">
        <v>4459</v>
      </c>
      <c r="F394" s="192" t="n">
        <f aca="false">SUMIF(ENTRADAS!F:F,CLIENTES_PCBR[[#This Row],[TELEFONO]],ENTRADAS!C:C)</f>
        <v>0</v>
      </c>
      <c r="G394" s="189" t="s">
        <v>94</v>
      </c>
    </row>
    <row r="395" customFormat="false" ht="15" hidden="false" customHeight="false" outlineLevel="0" collapsed="false">
      <c r="A395" s="197"/>
      <c r="B395" s="191"/>
      <c r="C395" s="190" t="s">
        <v>4460</v>
      </c>
      <c r="D395" s="191" t="n">
        <v>559584073840</v>
      </c>
      <c r="E395" s="190" t="s">
        <v>4461</v>
      </c>
      <c r="F395" s="192" t="n">
        <f aca="false">SUMIF(ENTRADAS!F:F,CLIENTES_PCBR[[#This Row],[TELEFONO]],ENTRADAS!C:C)</f>
        <v>0</v>
      </c>
      <c r="G395" s="189" t="s">
        <v>94</v>
      </c>
    </row>
    <row r="396" customFormat="false" ht="15" hidden="false" customHeight="false" outlineLevel="0" collapsed="false">
      <c r="A396" s="197"/>
      <c r="B396" s="191"/>
      <c r="C396" s="190" t="s">
        <v>4462</v>
      </c>
      <c r="D396" s="191" t="n">
        <v>554198171380</v>
      </c>
      <c r="E396" s="190" t="s">
        <v>4463</v>
      </c>
      <c r="F396" s="192" t="n">
        <f aca="false">SUMIF(ENTRADAS!F:F,CLIENTES_PCBR[[#This Row],[TELEFONO]],ENTRADAS!C:C)</f>
        <v>0</v>
      </c>
      <c r="G396" s="189" t="s">
        <v>94</v>
      </c>
    </row>
    <row r="397" customFormat="false" ht="15" hidden="false" customHeight="false" outlineLevel="0" collapsed="false">
      <c r="A397" s="197"/>
      <c r="B397" s="191"/>
      <c r="C397" s="190" t="s">
        <v>4464</v>
      </c>
      <c r="D397" s="191" t="n">
        <v>5592111928000</v>
      </c>
      <c r="E397" s="190" t="s">
        <v>4465</v>
      </c>
      <c r="F397" s="192" t="n">
        <f aca="false">SUMIF(ENTRADAS!F:F,CLIENTES_PCBR[[#This Row],[TELEFONO]],ENTRADAS!C:C)</f>
        <v>0</v>
      </c>
      <c r="G397" s="189" t="s">
        <v>94</v>
      </c>
    </row>
    <row r="398" customFormat="false" ht="15" hidden="false" customHeight="false" outlineLevel="0" collapsed="false">
      <c r="A398" s="197"/>
      <c r="B398" s="191"/>
      <c r="C398" s="190" t="s">
        <v>4466</v>
      </c>
      <c r="D398" s="191" t="n">
        <v>552899993870</v>
      </c>
      <c r="E398" s="190" t="s">
        <v>4467</v>
      </c>
      <c r="F398" s="192" t="n">
        <f aca="false">SUMIF(ENTRADAS!F:F,CLIENTES_PCBR[[#This Row],[TELEFONO]],ENTRADAS!C:C)</f>
        <v>0</v>
      </c>
      <c r="G398" s="189" t="s">
        <v>94</v>
      </c>
    </row>
    <row r="399" customFormat="false" ht="15" hidden="false" customHeight="false" outlineLevel="0" collapsed="false">
      <c r="A399" s="197"/>
      <c r="B399" s="191"/>
      <c r="C399" s="190" t="s">
        <v>4468</v>
      </c>
      <c r="D399" s="191" t="n">
        <v>556499600994</v>
      </c>
      <c r="E399" s="190" t="s">
        <v>4469</v>
      </c>
      <c r="F399" s="192" t="n">
        <f aca="false">SUMIF(ENTRADAS!F:F,CLIENTES_PCBR[[#This Row],[TELEFONO]],ENTRADAS!C:C)</f>
        <v>0</v>
      </c>
      <c r="G399" s="189" t="s">
        <v>94</v>
      </c>
    </row>
    <row r="400" customFormat="false" ht="15" hidden="false" customHeight="false" outlineLevel="0" collapsed="false">
      <c r="A400" s="197"/>
      <c r="B400" s="191"/>
      <c r="C400" s="190" t="s">
        <v>4470</v>
      </c>
      <c r="D400" s="191" t="n">
        <v>554499271896</v>
      </c>
      <c r="E400" s="190" t="s">
        <v>4471</v>
      </c>
      <c r="F400" s="192" t="n">
        <f aca="false">SUMIF(ENTRADAS!F:F,CLIENTES_PCBR[[#This Row],[TELEFONO]],ENTRADAS!C:C)</f>
        <v>0</v>
      </c>
      <c r="G400" s="189" t="s">
        <v>94</v>
      </c>
    </row>
    <row r="401" customFormat="false" ht="15" hidden="false" customHeight="false" outlineLevel="0" collapsed="false">
      <c r="A401" s="197"/>
      <c r="B401" s="191"/>
      <c r="C401" s="190" t="s">
        <v>4472</v>
      </c>
      <c r="D401" s="191" t="n">
        <v>559584106826</v>
      </c>
      <c r="F401" s="192" t="n">
        <f aca="false">SUMIF(ENTRADAS!F:F,CLIENTES_PCBR[[#This Row],[TELEFONO]],ENTRADAS!C:C)</f>
        <v>0</v>
      </c>
      <c r="G401" s="189" t="s">
        <v>94</v>
      </c>
    </row>
    <row r="402" customFormat="false" ht="15" hidden="false" customHeight="false" outlineLevel="0" collapsed="false">
      <c r="A402" s="197"/>
      <c r="B402" s="191"/>
      <c r="C402" s="190" t="s">
        <v>4473</v>
      </c>
      <c r="D402" s="191" t="n">
        <v>554198527742</v>
      </c>
      <c r="E402" s="190" t="s">
        <v>4474</v>
      </c>
      <c r="F402" s="192" t="n">
        <f aca="false">SUMIF(ENTRADAS!F:F,CLIENTES_PCBR[[#This Row],[TELEFONO]],ENTRADAS!C:C)</f>
        <v>0</v>
      </c>
      <c r="G402" s="189" t="s">
        <v>94</v>
      </c>
    </row>
    <row r="403" customFormat="false" ht="15" hidden="false" customHeight="false" outlineLevel="0" collapsed="false">
      <c r="A403" s="197"/>
      <c r="B403" s="191"/>
      <c r="C403" s="190" t="s">
        <v>4475</v>
      </c>
      <c r="D403" s="191" t="n">
        <v>554284032896</v>
      </c>
      <c r="E403" s="190" t="s">
        <v>4476</v>
      </c>
      <c r="F403" s="192" t="n">
        <f aca="false">SUMIF(ENTRADAS!F:F,CLIENTES_PCBR[[#This Row],[TELEFONO]],ENTRADAS!C:C)</f>
        <v>0</v>
      </c>
      <c r="G403" s="189" t="s">
        <v>94</v>
      </c>
    </row>
    <row r="404" customFormat="false" ht="15" hidden="false" customHeight="false" outlineLevel="0" collapsed="false">
      <c r="A404" s="197"/>
      <c r="B404" s="191"/>
      <c r="C404" s="190" t="s">
        <v>348</v>
      </c>
      <c r="D404" s="191" t="n">
        <v>559584193767</v>
      </c>
      <c r="E404" s="190" t="s">
        <v>349</v>
      </c>
      <c r="F404" s="192" t="n">
        <f aca="false">SUMIF(ENTRADAS!F:F,CLIENTES_PCBR[[#This Row],[TELEFONO]],ENTRADAS!C:C)</f>
        <v>660</v>
      </c>
      <c r="G404" s="189" t="s">
        <v>94</v>
      </c>
    </row>
    <row r="405" customFormat="false" ht="15" hidden="false" customHeight="false" outlineLevel="0" collapsed="false">
      <c r="A405" s="197"/>
      <c r="B405" s="191"/>
      <c r="C405" s="190" t="s">
        <v>162</v>
      </c>
      <c r="D405" s="191" t="n">
        <v>559584153038</v>
      </c>
      <c r="F405" s="192" t="n">
        <f aca="false">SUMIF(ENTRADAS!F:F,CLIENTES_PCBR[[#This Row],[TELEFONO]],ENTRADAS!C:C)</f>
        <v>140</v>
      </c>
      <c r="G405" s="189" t="s">
        <v>94</v>
      </c>
    </row>
    <row r="406" customFormat="false" ht="15" hidden="false" customHeight="false" outlineLevel="0" collapsed="false">
      <c r="A406" s="197"/>
      <c r="B406" s="191"/>
      <c r="C406" s="190" t="s">
        <v>861</v>
      </c>
      <c r="D406" s="191" t="n">
        <v>554991149314</v>
      </c>
      <c r="E406" s="190" t="s">
        <v>863</v>
      </c>
      <c r="F406" s="192" t="n">
        <f aca="false">SUMIF(ENTRADAS!F:F,CLIENTES_PCBR[[#This Row],[TELEFONO]],ENTRADAS!C:C)</f>
        <v>60</v>
      </c>
      <c r="G406" s="189" t="s">
        <v>94</v>
      </c>
    </row>
    <row r="407" customFormat="false" ht="15" hidden="false" customHeight="false" outlineLevel="0" collapsed="false">
      <c r="A407" s="197"/>
      <c r="B407" s="191"/>
      <c r="C407" s="190" t="s">
        <v>4477</v>
      </c>
      <c r="D407" s="191" t="n">
        <v>551161335461</v>
      </c>
      <c r="E407" s="190" t="s">
        <v>4478</v>
      </c>
      <c r="F407" s="192" t="n">
        <f aca="false">SUMIF(ENTRADAS!F:F,CLIENTES_PCBR[[#This Row],[TELEFONO]],ENTRADAS!C:C)</f>
        <v>0</v>
      </c>
      <c r="G407" s="189" t="s">
        <v>94</v>
      </c>
    </row>
    <row r="408" customFormat="false" ht="15" hidden="false" customHeight="false" outlineLevel="0" collapsed="false">
      <c r="A408" s="197"/>
      <c r="B408" s="191"/>
      <c r="C408" s="190" t="s">
        <v>4479</v>
      </c>
      <c r="D408" s="191" t="n">
        <v>554792379280</v>
      </c>
      <c r="E408" s="190" t="s">
        <v>4480</v>
      </c>
      <c r="F408" s="192" t="n">
        <f aca="false">SUMIF(ENTRADAS!F:F,CLIENTES_PCBR[[#This Row],[TELEFONO]],ENTRADAS!C:C)</f>
        <v>0</v>
      </c>
      <c r="G408" s="189" t="s">
        <v>94</v>
      </c>
    </row>
    <row r="409" customFormat="false" ht="15" hidden="false" customHeight="false" outlineLevel="0" collapsed="false">
      <c r="A409" s="197"/>
      <c r="B409" s="191"/>
      <c r="C409" s="190" t="s">
        <v>4481</v>
      </c>
      <c r="D409" s="191" t="n">
        <v>554199635054</v>
      </c>
      <c r="E409" s="190" t="s">
        <v>4482</v>
      </c>
      <c r="F409" s="192" t="n">
        <f aca="false">SUMIF(ENTRADAS!F:F,CLIENTES_PCBR[[#This Row],[TELEFONO]],ENTRADAS!C:C)</f>
        <v>0</v>
      </c>
      <c r="G409" s="189" t="s">
        <v>94</v>
      </c>
    </row>
    <row r="410" customFormat="false" ht="15" hidden="false" customHeight="false" outlineLevel="0" collapsed="false">
      <c r="A410" s="197"/>
      <c r="B410" s="191"/>
      <c r="C410" s="190" t="s">
        <v>294</v>
      </c>
      <c r="D410" s="191" t="n">
        <v>5511918514374</v>
      </c>
      <c r="E410" s="190" t="s">
        <v>295</v>
      </c>
      <c r="F410" s="192" t="n">
        <f aca="false">SUMIF(ENTRADAS!F:F,CLIENTES_PCBR[[#This Row],[TELEFONO]],ENTRADAS!C:C)</f>
        <v>1499</v>
      </c>
      <c r="G410" s="189" t="s">
        <v>94</v>
      </c>
    </row>
    <row r="411" customFormat="false" ht="15" hidden="false" customHeight="false" outlineLevel="0" collapsed="false">
      <c r="A411" s="197"/>
      <c r="B411" s="191"/>
      <c r="C411" s="190" t="s">
        <v>2019</v>
      </c>
      <c r="D411" s="191" t="n">
        <v>5511921393093</v>
      </c>
      <c r="E411" s="190" t="s">
        <v>2020</v>
      </c>
      <c r="F411" s="192" t="n">
        <f aca="false">SUMIF(ENTRADAS!F:F,CLIENTES_PCBR[[#This Row],[TELEFONO]],ENTRADAS!C:C)</f>
        <v>147</v>
      </c>
      <c r="G411" s="189" t="s">
        <v>94</v>
      </c>
    </row>
    <row r="412" customFormat="false" ht="15" hidden="false" customHeight="false" outlineLevel="0" collapsed="false">
      <c r="A412" s="197"/>
      <c r="B412" s="191"/>
      <c r="C412" s="190" t="s">
        <v>4483</v>
      </c>
      <c r="D412" s="191" t="n">
        <v>556598130182</v>
      </c>
      <c r="E412" s="190" t="s">
        <v>4484</v>
      </c>
      <c r="F412" s="192" t="n">
        <f aca="false">SUMIF(ENTRADAS!F:F,CLIENTES_PCBR[[#This Row],[TELEFONO]],ENTRADAS!C:C)</f>
        <v>0</v>
      </c>
      <c r="G412" s="189" t="s">
        <v>94</v>
      </c>
    </row>
    <row r="413" customFormat="false" ht="15" hidden="false" customHeight="false" outlineLevel="0" collapsed="false">
      <c r="A413" s="197"/>
      <c r="B413" s="191"/>
      <c r="C413" s="190" t="s">
        <v>416</v>
      </c>
      <c r="D413" s="191" t="n">
        <v>555492623688</v>
      </c>
      <c r="E413" s="190" t="s">
        <v>417</v>
      </c>
      <c r="F413" s="192" t="n">
        <f aca="false">SUMIF(ENTRADAS!F:F,CLIENTES_PCBR[[#This Row],[TELEFONO]],ENTRADAS!C:C)</f>
        <v>690</v>
      </c>
      <c r="G413" s="189" t="s">
        <v>94</v>
      </c>
    </row>
    <row r="414" customFormat="false" ht="15" hidden="false" customHeight="false" outlineLevel="0" collapsed="false">
      <c r="A414" s="197"/>
      <c r="B414" s="191"/>
      <c r="C414" s="190" t="s">
        <v>4485</v>
      </c>
      <c r="D414" s="191" t="n">
        <v>554992027041</v>
      </c>
      <c r="E414" s="190" t="s">
        <v>4486</v>
      </c>
      <c r="F414" s="192" t="n">
        <f aca="false">SUMIF(ENTRADAS!F:F,CLIENTES_PCBR[[#This Row],[TELEFONO]],ENTRADAS!C:C)</f>
        <v>0</v>
      </c>
      <c r="G414" s="189" t="s">
        <v>94</v>
      </c>
    </row>
    <row r="415" customFormat="false" ht="15" hidden="false" customHeight="false" outlineLevel="0" collapsed="false">
      <c r="A415" s="197"/>
      <c r="B415" s="191"/>
      <c r="C415" s="190" t="s">
        <v>4487</v>
      </c>
      <c r="D415" s="191" t="n">
        <v>553898073480</v>
      </c>
      <c r="E415" s="190" t="s">
        <v>4488</v>
      </c>
      <c r="F415" s="192" t="n">
        <f aca="false">SUMIF(ENTRADAS!F:F,CLIENTES_PCBR[[#This Row],[TELEFONO]],ENTRADAS!C:C)</f>
        <v>0</v>
      </c>
      <c r="G415" s="189" t="s">
        <v>94</v>
      </c>
    </row>
    <row r="416" customFormat="false" ht="15" hidden="false" customHeight="false" outlineLevel="0" collapsed="false">
      <c r="A416" s="197"/>
      <c r="B416" s="191"/>
      <c r="C416" s="190" t="s">
        <v>383</v>
      </c>
      <c r="D416" s="191" t="n">
        <v>556492793852</v>
      </c>
      <c r="E416" s="190" t="s">
        <v>4489</v>
      </c>
      <c r="F416" s="192" t="n">
        <f aca="false">SUMIF(ENTRADAS!F:F,CLIENTES_PCBR[[#This Row],[TELEFONO]],ENTRADAS!C:C)</f>
        <v>0</v>
      </c>
      <c r="G416" s="189" t="s">
        <v>94</v>
      </c>
    </row>
    <row r="417" customFormat="false" ht="15" hidden="false" customHeight="false" outlineLevel="0" collapsed="false">
      <c r="A417" s="197"/>
      <c r="B417" s="191"/>
      <c r="C417" s="190" t="s">
        <v>4490</v>
      </c>
      <c r="D417" s="191" t="n">
        <v>556296483387</v>
      </c>
      <c r="E417" s="190" t="s">
        <v>4491</v>
      </c>
      <c r="F417" s="192" t="n">
        <f aca="false">SUMIF(ENTRADAS!F:F,CLIENTES_PCBR[[#This Row],[TELEFONO]],ENTRADAS!C:C)</f>
        <v>0</v>
      </c>
      <c r="G417" s="189" t="s">
        <v>94</v>
      </c>
    </row>
    <row r="418" customFormat="false" ht="15" hidden="false" customHeight="false" outlineLevel="0" collapsed="false">
      <c r="A418" s="197"/>
      <c r="B418" s="191"/>
      <c r="C418" s="190" t="s">
        <v>4492</v>
      </c>
      <c r="D418" s="191" t="n">
        <v>5354430884</v>
      </c>
      <c r="E418" s="190" t="s">
        <v>4493</v>
      </c>
      <c r="F418" s="192" t="n">
        <f aca="false">SUMIF(ENTRADAS!F:F,CLIENTES_PCBR[[#This Row],[TELEFONO]],ENTRADAS!C:C)</f>
        <v>0</v>
      </c>
      <c r="G418" s="189" t="s">
        <v>94</v>
      </c>
    </row>
    <row r="419" customFormat="false" ht="15" hidden="false" customHeight="false" outlineLevel="0" collapsed="false">
      <c r="A419" s="197"/>
      <c r="B419" s="191"/>
      <c r="C419" s="190" t="s">
        <v>4494</v>
      </c>
      <c r="D419" s="191" t="n">
        <v>551172220883</v>
      </c>
      <c r="E419" s="190" t="s">
        <v>4419</v>
      </c>
      <c r="F419" s="192" t="n">
        <f aca="false">SUMIF(ENTRADAS!F:F,CLIENTES_PCBR[[#This Row],[TELEFONO]],ENTRADAS!C:C)</f>
        <v>0</v>
      </c>
      <c r="G419" s="189" t="s">
        <v>94</v>
      </c>
    </row>
    <row r="420" customFormat="false" ht="15" hidden="false" customHeight="false" outlineLevel="0" collapsed="false">
      <c r="A420" s="197"/>
      <c r="B420" s="191"/>
      <c r="C420" s="190" t="s">
        <v>4495</v>
      </c>
      <c r="D420" s="191" t="n">
        <v>559584150055</v>
      </c>
      <c r="E420" s="190" t="s">
        <v>4496</v>
      </c>
      <c r="F420" s="192" t="n">
        <f aca="false">SUMIF(ENTRADAS!F:F,CLIENTES_PCBR[[#This Row],[TELEFONO]],ENTRADAS!C:C)</f>
        <v>0</v>
      </c>
      <c r="G420" s="189" t="s">
        <v>94</v>
      </c>
    </row>
    <row r="421" customFormat="false" ht="15" hidden="false" customHeight="false" outlineLevel="0" collapsed="false">
      <c r="A421" s="197"/>
      <c r="B421" s="191"/>
      <c r="C421" s="190" t="s">
        <v>4497</v>
      </c>
      <c r="D421" s="191" t="n">
        <v>559584304082</v>
      </c>
      <c r="E421" s="190" t="s">
        <v>4498</v>
      </c>
      <c r="F421" s="192" t="n">
        <f aca="false">SUMIF(ENTRADAS!F:F,CLIENTES_PCBR[[#This Row],[TELEFONO]],ENTRADAS!C:C)</f>
        <v>0</v>
      </c>
      <c r="G421" s="189" t="s">
        <v>94</v>
      </c>
    </row>
    <row r="422" customFormat="false" ht="15" hidden="false" customHeight="false" outlineLevel="0" collapsed="false">
      <c r="A422" s="197"/>
      <c r="B422" s="191"/>
      <c r="C422" s="190" t="s">
        <v>4499</v>
      </c>
      <c r="D422" s="191" t="n">
        <v>5511976831120</v>
      </c>
      <c r="E422" s="190" t="s">
        <v>4049</v>
      </c>
      <c r="F422" s="192" t="n">
        <f aca="false">SUMIF(ENTRADAS!F:F,CLIENTES_PCBR[[#This Row],[TELEFONO]],ENTRADAS!C:C)</f>
        <v>0</v>
      </c>
      <c r="G422" s="189" t="s">
        <v>94</v>
      </c>
    </row>
    <row r="423" customFormat="false" ht="15" hidden="false" customHeight="false" outlineLevel="0" collapsed="false">
      <c r="A423" s="197"/>
      <c r="B423" s="191"/>
      <c r="C423" s="190" t="s">
        <v>4500</v>
      </c>
      <c r="D423" s="191" t="n">
        <v>559599775387</v>
      </c>
      <c r="E423" s="190" t="s">
        <v>4501</v>
      </c>
      <c r="F423" s="192" t="n">
        <f aca="false">SUMIF(ENTRADAS!F:F,CLIENTES_PCBR[[#This Row],[TELEFONO]],ENTRADAS!C:C)</f>
        <v>0</v>
      </c>
      <c r="G423" s="189" t="s">
        <v>94</v>
      </c>
    </row>
    <row r="424" customFormat="false" ht="15" hidden="false" customHeight="false" outlineLevel="0" collapsed="false">
      <c r="A424" s="197"/>
      <c r="B424" s="191"/>
      <c r="C424" s="190" t="s">
        <v>4502</v>
      </c>
      <c r="D424" s="191" t="n">
        <v>554891239148</v>
      </c>
      <c r="E424" s="190" t="s">
        <v>4503</v>
      </c>
      <c r="F424" s="192" t="n">
        <f aca="false">SUMIF(ENTRADAS!F:F,CLIENTES_PCBR[[#This Row],[TELEFONO]],ENTRADAS!C:C)</f>
        <v>0</v>
      </c>
      <c r="G424" s="189" t="s">
        <v>94</v>
      </c>
    </row>
    <row r="425" customFormat="false" ht="15" hidden="false" customHeight="false" outlineLevel="0" collapsed="false">
      <c r="A425" s="197"/>
      <c r="B425" s="191"/>
      <c r="C425" s="190" t="s">
        <v>83</v>
      </c>
      <c r="D425" s="191" t="n">
        <v>554591090864</v>
      </c>
      <c r="E425" s="190" t="s">
        <v>84</v>
      </c>
      <c r="F425" s="192" t="n">
        <f aca="false">SUMIF(ENTRADAS!F:F,CLIENTES_PCBR[[#This Row],[TELEFONO]],ENTRADAS!C:C)</f>
        <v>150</v>
      </c>
      <c r="G425" s="189" t="s">
        <v>94</v>
      </c>
    </row>
    <row r="426" customFormat="false" ht="15" hidden="false" customHeight="false" outlineLevel="0" collapsed="false">
      <c r="A426" s="197"/>
      <c r="B426" s="191"/>
      <c r="C426" s="190" t="s">
        <v>4504</v>
      </c>
      <c r="D426" s="191" t="n">
        <v>556596280580</v>
      </c>
      <c r="E426" s="190" t="s">
        <v>4505</v>
      </c>
      <c r="F426" s="192" t="n">
        <f aca="false">SUMIF(ENTRADAS!F:F,CLIENTES_PCBR[[#This Row],[TELEFONO]],ENTRADAS!C:C)</f>
        <v>0</v>
      </c>
      <c r="G426" s="189" t="s">
        <v>94</v>
      </c>
    </row>
    <row r="427" customFormat="false" ht="15" hidden="false" customHeight="false" outlineLevel="0" collapsed="false">
      <c r="A427" s="197"/>
      <c r="B427" s="191"/>
      <c r="C427" s="190" t="s">
        <v>4506</v>
      </c>
      <c r="D427" s="191" t="n">
        <v>556282503244</v>
      </c>
      <c r="E427" s="190" t="s">
        <v>4507</v>
      </c>
      <c r="F427" s="192" t="n">
        <f aca="false">SUMIF(ENTRADAS!F:F,CLIENTES_PCBR[[#This Row],[TELEFONO]],ENTRADAS!C:C)</f>
        <v>0</v>
      </c>
      <c r="G427" s="189" t="s">
        <v>94</v>
      </c>
    </row>
    <row r="428" customFormat="false" ht="15" hidden="false" customHeight="false" outlineLevel="0" collapsed="false">
      <c r="A428" s="197"/>
      <c r="B428" s="191"/>
      <c r="C428" s="190" t="s">
        <v>4403</v>
      </c>
      <c r="D428" s="191" t="n">
        <v>552799888988</v>
      </c>
      <c r="E428" s="190" t="s">
        <v>4404</v>
      </c>
      <c r="F428" s="192" t="n">
        <f aca="false">SUMIF(ENTRADAS!F:F,CLIENTES_PCBR[[#This Row],[TELEFONO]],ENTRADAS!C:C)</f>
        <v>0</v>
      </c>
      <c r="G428" s="189" t="s">
        <v>94</v>
      </c>
    </row>
    <row r="429" customFormat="false" ht="15" hidden="false" customHeight="false" outlineLevel="0" collapsed="false">
      <c r="A429" s="197"/>
      <c r="B429" s="191"/>
      <c r="C429" s="190" t="s">
        <v>4508</v>
      </c>
      <c r="D429" s="191" t="n">
        <v>554998125141</v>
      </c>
      <c r="E429" s="190" t="s">
        <v>4509</v>
      </c>
      <c r="F429" s="192" t="n">
        <f aca="false">SUMIF(ENTRADAS!F:F,CLIENTES_PCBR[[#This Row],[TELEFONO]],ENTRADAS!C:C)</f>
        <v>0</v>
      </c>
      <c r="G429" s="189" t="s">
        <v>94</v>
      </c>
    </row>
    <row r="430" customFormat="false" ht="15" hidden="false" customHeight="false" outlineLevel="0" collapsed="false">
      <c r="A430" s="197"/>
      <c r="B430" s="191"/>
      <c r="C430" s="190" t="s">
        <v>4510</v>
      </c>
      <c r="D430" s="191" t="n">
        <v>559591227554</v>
      </c>
      <c r="E430" s="190" t="s">
        <v>4511</v>
      </c>
      <c r="F430" s="192" t="n">
        <f aca="false">SUMIF(ENTRADAS!F:F,CLIENTES_PCBR[[#This Row],[TELEFONO]],ENTRADAS!C:C)</f>
        <v>0</v>
      </c>
      <c r="G430" s="189" t="s">
        <v>94</v>
      </c>
    </row>
    <row r="431" customFormat="false" ht="15" hidden="false" customHeight="false" outlineLevel="0" collapsed="false">
      <c r="A431" s="197"/>
      <c r="B431" s="191"/>
      <c r="C431" s="190" t="s">
        <v>4512</v>
      </c>
      <c r="D431" s="191" t="n">
        <v>556282503255</v>
      </c>
      <c r="E431" s="190" t="s">
        <v>4513</v>
      </c>
      <c r="F431" s="192" t="n">
        <f aca="false">SUMIF(ENTRADAS!F:F,CLIENTES_PCBR[[#This Row],[TELEFONO]],ENTRADAS!C:C)</f>
        <v>0</v>
      </c>
      <c r="G431" s="189" t="s">
        <v>94</v>
      </c>
    </row>
    <row r="432" customFormat="false" ht="15" hidden="false" customHeight="false" outlineLevel="0" collapsed="false">
      <c r="A432" s="197"/>
      <c r="B432" s="191"/>
      <c r="C432" s="190" t="s">
        <v>4514</v>
      </c>
      <c r="D432" s="191" t="n">
        <v>559584095570</v>
      </c>
      <c r="E432" s="190" t="s">
        <v>4515</v>
      </c>
      <c r="F432" s="192" t="n">
        <f aca="false">SUMIF(ENTRADAS!F:F,CLIENTES_PCBR[[#This Row],[TELEFONO]],ENTRADAS!C:C)</f>
        <v>0</v>
      </c>
      <c r="G432" s="189" t="s">
        <v>94</v>
      </c>
    </row>
    <row r="433" customFormat="false" ht="15" hidden="false" customHeight="false" outlineLevel="0" collapsed="false">
      <c r="A433" s="197"/>
      <c r="B433" s="191"/>
      <c r="C433" s="190" t="s">
        <v>4516</v>
      </c>
      <c r="D433" s="191" t="n">
        <v>554499568748</v>
      </c>
      <c r="E433" s="190" t="s">
        <v>4517</v>
      </c>
      <c r="F433" s="192" t="n">
        <f aca="false">SUMIF(ENTRADAS!F:F,CLIENTES_PCBR[[#This Row],[TELEFONO]],ENTRADAS!C:C)</f>
        <v>0</v>
      </c>
      <c r="G433" s="189" t="s">
        <v>94</v>
      </c>
    </row>
    <row r="434" customFormat="false" ht="15" hidden="false" customHeight="false" outlineLevel="0" collapsed="false">
      <c r="A434" s="197"/>
      <c r="B434" s="191"/>
      <c r="C434" s="190" t="s">
        <v>4518</v>
      </c>
      <c r="D434" s="191" t="n">
        <v>554591486468</v>
      </c>
      <c r="E434" s="190" t="s">
        <v>4519</v>
      </c>
      <c r="F434" s="192" t="n">
        <f aca="false">SUMIF(ENTRADAS!F:F,CLIENTES_PCBR[[#This Row],[TELEFONO]],ENTRADAS!C:C)</f>
        <v>0</v>
      </c>
      <c r="G434" s="189" t="s">
        <v>94</v>
      </c>
    </row>
    <row r="435" customFormat="false" ht="15" hidden="false" customHeight="false" outlineLevel="0" collapsed="false">
      <c r="A435" s="197"/>
      <c r="B435" s="191"/>
      <c r="C435" s="190" t="s">
        <v>815</v>
      </c>
      <c r="D435" s="191" t="n">
        <v>559584296837</v>
      </c>
      <c r="E435" s="190" t="s">
        <v>816</v>
      </c>
      <c r="F435" s="192" t="n">
        <f aca="false">SUMIF(ENTRADAS!F:F,CLIENTES_PCBR[[#This Row],[TELEFONO]],ENTRADAS!C:C)</f>
        <v>140</v>
      </c>
      <c r="G435" s="189" t="s">
        <v>94</v>
      </c>
    </row>
    <row r="436" customFormat="false" ht="15" hidden="false" customHeight="false" outlineLevel="0" collapsed="false">
      <c r="A436" s="197"/>
      <c r="B436" s="191"/>
      <c r="C436" s="190" t="s">
        <v>4520</v>
      </c>
      <c r="D436" s="191" t="n">
        <v>554188140127</v>
      </c>
      <c r="E436" s="190" t="s">
        <v>4521</v>
      </c>
      <c r="F436" s="192" t="n">
        <f aca="false">SUMIF(ENTRADAS!F:F,CLIENTES_PCBR[[#This Row],[TELEFONO]],ENTRADAS!C:C)</f>
        <v>0</v>
      </c>
      <c r="G436" s="189" t="s">
        <v>94</v>
      </c>
    </row>
    <row r="437" customFormat="false" ht="15" hidden="false" customHeight="false" outlineLevel="0" collapsed="false">
      <c r="A437" s="197"/>
      <c r="B437" s="191"/>
      <c r="C437" s="190" t="s">
        <v>4522</v>
      </c>
      <c r="D437" s="191" t="n">
        <v>594694912922</v>
      </c>
      <c r="E437" s="190" t="s">
        <v>4523</v>
      </c>
      <c r="F437" s="192" t="n">
        <f aca="false">SUMIF(ENTRADAS!F:F,CLIENTES_PCBR[[#This Row],[TELEFONO]],ENTRADAS!C:C)</f>
        <v>0</v>
      </c>
      <c r="G437" s="189" t="s">
        <v>94</v>
      </c>
    </row>
    <row r="438" customFormat="false" ht="15" hidden="false" customHeight="false" outlineLevel="0" collapsed="false">
      <c r="A438" s="197"/>
      <c r="B438" s="191"/>
      <c r="C438" s="190" t="s">
        <v>4524</v>
      </c>
      <c r="D438" s="191" t="n">
        <v>554196711026</v>
      </c>
      <c r="E438" s="190" t="s">
        <v>4525</v>
      </c>
      <c r="F438" s="192" t="n">
        <f aca="false">SUMIF(ENTRADAS!F:F,CLIENTES_PCBR[[#This Row],[TELEFONO]],ENTRADAS!C:C)</f>
        <v>0</v>
      </c>
      <c r="G438" s="189" t="s">
        <v>94</v>
      </c>
    </row>
    <row r="439" customFormat="false" ht="15" hidden="false" customHeight="false" outlineLevel="0" collapsed="false">
      <c r="A439" s="197"/>
      <c r="B439" s="191"/>
      <c r="C439" s="190" t="s">
        <v>4526</v>
      </c>
      <c r="D439" s="191" t="n">
        <v>554591297183</v>
      </c>
      <c r="E439" s="190" t="s">
        <v>4527</v>
      </c>
      <c r="F439" s="192" t="n">
        <f aca="false">SUMIF(ENTRADAS!F:F,CLIENTES_PCBR[[#This Row],[TELEFONO]],ENTRADAS!C:C)</f>
        <v>0</v>
      </c>
      <c r="G439" s="189" t="s">
        <v>94</v>
      </c>
    </row>
    <row r="440" customFormat="false" ht="15" hidden="false" customHeight="false" outlineLevel="0" collapsed="false">
      <c r="A440" s="197"/>
      <c r="B440" s="191"/>
      <c r="C440" s="190" t="s">
        <v>4528</v>
      </c>
      <c r="D440" s="191" t="n">
        <v>551998710599</v>
      </c>
      <c r="E440" s="190" t="s">
        <v>4529</v>
      </c>
      <c r="F440" s="192" t="n">
        <f aca="false">SUMIF(ENTRADAS!F:F,CLIENTES_PCBR[[#This Row],[TELEFONO]],ENTRADAS!C:C)</f>
        <v>0</v>
      </c>
      <c r="G440" s="189" t="s">
        <v>94</v>
      </c>
    </row>
    <row r="441" customFormat="false" ht="15" hidden="false" customHeight="false" outlineLevel="0" collapsed="false">
      <c r="A441" s="197"/>
      <c r="B441" s="191"/>
      <c r="C441" s="190" t="s">
        <v>4530</v>
      </c>
      <c r="D441" s="191" t="n">
        <v>557197072840</v>
      </c>
      <c r="E441" s="190" t="s">
        <v>4531</v>
      </c>
      <c r="F441" s="192" t="n">
        <f aca="false">SUMIF(ENTRADAS!F:F,CLIENTES_PCBR[[#This Row],[TELEFONO]],ENTRADAS!C:C)</f>
        <v>0</v>
      </c>
      <c r="G441" s="189" t="s">
        <v>94</v>
      </c>
    </row>
    <row r="442" customFormat="false" ht="15" hidden="false" customHeight="false" outlineLevel="0" collapsed="false">
      <c r="A442" s="197"/>
      <c r="B442" s="191"/>
      <c r="C442" s="190" t="s">
        <v>678</v>
      </c>
      <c r="D442" s="191" t="n">
        <v>557591514132</v>
      </c>
      <c r="E442" s="190" t="s">
        <v>679</v>
      </c>
      <c r="F442" s="192" t="n">
        <f aca="false">SUMIF(ENTRADAS!F:F,CLIENTES_PCBR[[#This Row],[TELEFONO]],ENTRADAS!C:C)</f>
        <v>450</v>
      </c>
      <c r="G442" s="189" t="s">
        <v>94</v>
      </c>
    </row>
    <row r="443" customFormat="false" ht="15" hidden="false" customHeight="false" outlineLevel="0" collapsed="false">
      <c r="A443" s="197"/>
      <c r="B443" s="191"/>
      <c r="C443" s="190" t="s">
        <v>4532</v>
      </c>
      <c r="D443" s="191" t="n">
        <v>559584296857</v>
      </c>
      <c r="E443" s="190" t="s">
        <v>4533</v>
      </c>
      <c r="F443" s="192" t="n">
        <f aca="false">SUMIF(ENTRADAS!F:F,CLIENTES_PCBR[[#This Row],[TELEFONO]],ENTRADAS!C:C)</f>
        <v>0</v>
      </c>
      <c r="G443" s="189" t="s">
        <v>94</v>
      </c>
    </row>
    <row r="444" customFormat="false" ht="15" hidden="false" customHeight="false" outlineLevel="0" collapsed="false">
      <c r="A444" s="197"/>
      <c r="B444" s="191"/>
      <c r="C444" s="190" t="s">
        <v>4534</v>
      </c>
      <c r="D444" s="191" t="n">
        <v>554599673149</v>
      </c>
      <c r="E444" s="190" t="s">
        <v>4535</v>
      </c>
      <c r="F444" s="192" t="n">
        <f aca="false">SUMIF(ENTRADAS!F:F,CLIENTES_PCBR[[#This Row],[TELEFONO]],ENTRADAS!C:C)</f>
        <v>0</v>
      </c>
      <c r="G444" s="189" t="s">
        <v>94</v>
      </c>
    </row>
    <row r="445" customFormat="false" ht="15" hidden="false" customHeight="false" outlineLevel="0" collapsed="false">
      <c r="A445" s="197"/>
      <c r="B445" s="191"/>
      <c r="C445" s="190" t="s">
        <v>4536</v>
      </c>
      <c r="D445" s="191" t="n">
        <v>554891793410</v>
      </c>
      <c r="E445" s="190" t="s">
        <v>4537</v>
      </c>
      <c r="F445" s="192" t="n">
        <f aca="false">SUMIF(ENTRADAS!F:F,CLIENTES_PCBR[[#This Row],[TELEFONO]],ENTRADAS!C:C)</f>
        <v>0</v>
      </c>
      <c r="G445" s="189" t="s">
        <v>94</v>
      </c>
    </row>
    <row r="446" customFormat="false" ht="15" hidden="false" customHeight="false" outlineLevel="0" collapsed="false">
      <c r="A446" s="197"/>
      <c r="B446" s="191"/>
      <c r="C446" s="190" t="s">
        <v>4538</v>
      </c>
      <c r="D446" s="191" t="n">
        <v>554197087728</v>
      </c>
      <c r="E446" s="190" t="s">
        <v>4539</v>
      </c>
      <c r="F446" s="192" t="n">
        <f aca="false">SUMIF(ENTRADAS!F:F,CLIENTES_PCBR[[#This Row],[TELEFONO]],ENTRADAS!C:C)</f>
        <v>0</v>
      </c>
      <c r="G446" s="189" t="s">
        <v>94</v>
      </c>
    </row>
    <row r="447" customFormat="false" ht="15" hidden="false" customHeight="false" outlineLevel="0" collapsed="false">
      <c r="A447" s="197"/>
      <c r="B447" s="191"/>
      <c r="C447" s="190" t="s">
        <v>4540</v>
      </c>
      <c r="D447" s="191" t="n">
        <v>559591151744</v>
      </c>
      <c r="E447" s="190" t="s">
        <v>4541</v>
      </c>
      <c r="F447" s="192" t="n">
        <f aca="false">SUMIF(ENTRADAS!F:F,CLIENTES_PCBR[[#This Row],[TELEFONO]],ENTRADAS!C:C)</f>
        <v>0</v>
      </c>
      <c r="G447" s="189" t="s">
        <v>94</v>
      </c>
    </row>
    <row r="448" customFormat="false" ht="15" hidden="false" customHeight="false" outlineLevel="0" collapsed="false">
      <c r="A448" s="197"/>
      <c r="B448" s="191"/>
      <c r="C448" s="190" t="s">
        <v>4542</v>
      </c>
      <c r="D448" s="191" t="n">
        <v>5511964790869</v>
      </c>
      <c r="E448" s="190" t="s">
        <v>4543</v>
      </c>
      <c r="F448" s="192" t="n">
        <f aca="false">SUMIF(ENTRADAS!F:F,CLIENTES_PCBR[[#This Row],[TELEFONO]],ENTRADAS!C:C)</f>
        <v>0</v>
      </c>
      <c r="G448" s="189" t="s">
        <v>94</v>
      </c>
    </row>
    <row r="449" customFormat="false" ht="15" hidden="false" customHeight="false" outlineLevel="0" collapsed="false">
      <c r="A449" s="197"/>
      <c r="B449" s="191"/>
      <c r="C449" s="190" t="s">
        <v>4544</v>
      </c>
      <c r="D449" s="191" t="n">
        <v>554498575571</v>
      </c>
      <c r="E449" s="190" t="s">
        <v>4545</v>
      </c>
      <c r="F449" s="192" t="n">
        <f aca="false">SUMIF(ENTRADAS!F:F,CLIENTES_PCBR[[#This Row],[TELEFONO]],ENTRADAS!C:C)</f>
        <v>0</v>
      </c>
      <c r="G449" s="189" t="s">
        <v>94</v>
      </c>
    </row>
    <row r="450" customFormat="false" ht="15" hidden="false" customHeight="false" outlineLevel="0" collapsed="false">
      <c r="A450" s="197"/>
      <c r="B450" s="191"/>
      <c r="C450" s="190" t="s">
        <v>4546</v>
      </c>
      <c r="D450" s="191" t="n">
        <v>559591136177</v>
      </c>
      <c r="E450" s="190" t="s">
        <v>4547</v>
      </c>
      <c r="F450" s="192" t="n">
        <f aca="false">SUMIF(ENTRADAS!F:F,CLIENTES_PCBR[[#This Row],[TELEFONO]],ENTRADAS!C:C)</f>
        <v>147</v>
      </c>
      <c r="G450" s="189" t="s">
        <v>94</v>
      </c>
    </row>
    <row r="451" customFormat="false" ht="15" hidden="false" customHeight="false" outlineLevel="0" collapsed="false">
      <c r="A451" s="197"/>
      <c r="B451" s="191"/>
      <c r="C451" s="190" t="s">
        <v>4451</v>
      </c>
      <c r="D451" s="191" t="n">
        <v>55488155497</v>
      </c>
      <c r="E451" s="190" t="s">
        <v>4452</v>
      </c>
      <c r="F451" s="192" t="n">
        <f aca="false">SUMIF(ENTRADAS!F:F,CLIENTES_PCBR[[#This Row],[TELEFONO]],ENTRADAS!C:C)</f>
        <v>0</v>
      </c>
      <c r="G451" s="189" t="s">
        <v>94</v>
      </c>
    </row>
    <row r="452" customFormat="false" ht="15" hidden="false" customHeight="false" outlineLevel="0" collapsed="false">
      <c r="A452" s="197"/>
      <c r="B452" s="191"/>
      <c r="C452" s="190" t="s">
        <v>4548</v>
      </c>
      <c r="D452" s="191" t="n">
        <v>554192810581</v>
      </c>
      <c r="E452" s="190" t="s">
        <v>4549</v>
      </c>
      <c r="F452" s="192" t="n">
        <f aca="false">SUMIF(ENTRADAS!F:F,CLIENTES_PCBR[[#This Row],[TELEFONO]],ENTRADAS!C:C)</f>
        <v>0</v>
      </c>
      <c r="G452" s="189" t="s">
        <v>94</v>
      </c>
    </row>
    <row r="453" customFormat="false" ht="15" hidden="false" customHeight="false" outlineLevel="0" collapsed="false">
      <c r="A453" s="197"/>
      <c r="B453" s="191"/>
      <c r="C453" s="190" t="s">
        <v>4550</v>
      </c>
      <c r="D453" s="191" t="n">
        <v>559684093151</v>
      </c>
      <c r="E453" s="190" t="s">
        <v>4551</v>
      </c>
      <c r="F453" s="192" t="n">
        <f aca="false">SUMIF(ENTRADAS!F:F,CLIENTES_PCBR[[#This Row],[TELEFONO]],ENTRADAS!C:C)</f>
        <v>0</v>
      </c>
      <c r="G453" s="189" t="s">
        <v>94</v>
      </c>
    </row>
    <row r="454" customFormat="false" ht="15" hidden="false" customHeight="false" outlineLevel="0" collapsed="false">
      <c r="A454" s="197"/>
      <c r="B454" s="191"/>
      <c r="C454" s="190" t="s">
        <v>4552</v>
      </c>
      <c r="D454" s="191" t="n">
        <v>556598133901</v>
      </c>
      <c r="E454" s="190" t="s">
        <v>4553</v>
      </c>
      <c r="F454" s="192" t="n">
        <f aca="false">SUMIF(ENTRADAS!F:F,CLIENTES_PCBR[[#This Row],[TELEFONO]],ENTRADAS!C:C)</f>
        <v>0</v>
      </c>
      <c r="G454" s="189" t="s">
        <v>94</v>
      </c>
    </row>
    <row r="455" customFormat="false" ht="15" hidden="false" customHeight="false" outlineLevel="0" collapsed="false">
      <c r="A455" s="197"/>
      <c r="B455" s="191"/>
      <c r="C455" s="190" t="s">
        <v>4554</v>
      </c>
      <c r="D455" s="191" t="n">
        <v>5511986387486</v>
      </c>
      <c r="E455" s="190" t="s">
        <v>4555</v>
      </c>
      <c r="F455" s="192" t="n">
        <f aca="false">SUMIF(ENTRADAS!F:F,CLIENTES_PCBR[[#This Row],[TELEFONO]],ENTRADAS!C:C)</f>
        <v>0</v>
      </c>
      <c r="G455" s="189" t="s">
        <v>94</v>
      </c>
    </row>
    <row r="456" customFormat="false" ht="15" hidden="false" customHeight="false" outlineLevel="0" collapsed="false">
      <c r="A456" s="197"/>
      <c r="B456" s="191"/>
      <c r="C456" s="190" t="s">
        <v>4556</v>
      </c>
      <c r="D456" s="191" t="n">
        <v>555492973663</v>
      </c>
      <c r="E456" s="190" t="s">
        <v>4557</v>
      </c>
      <c r="F456" s="192" t="n">
        <f aca="false">SUMIF(ENTRADAS!F:F,CLIENTES_PCBR[[#This Row],[TELEFONO]],ENTRADAS!C:C)</f>
        <v>0</v>
      </c>
      <c r="G456" s="189" t="s">
        <v>94</v>
      </c>
    </row>
    <row r="457" customFormat="false" ht="15" hidden="false" customHeight="false" outlineLevel="0" collapsed="false">
      <c r="A457" s="197"/>
      <c r="B457" s="191"/>
      <c r="C457" s="190" t="s">
        <v>4558</v>
      </c>
      <c r="D457" s="191" t="n">
        <v>554196902177</v>
      </c>
      <c r="E457" s="190" t="s">
        <v>4559</v>
      </c>
      <c r="F457" s="192" t="n">
        <f aca="false">SUMIF(ENTRADAS!F:F,CLIENTES_PCBR[[#This Row],[TELEFONO]],ENTRADAS!C:C)</f>
        <v>0</v>
      </c>
      <c r="G457" s="189" t="s">
        <v>94</v>
      </c>
    </row>
    <row r="458" customFormat="false" ht="15" hidden="false" customHeight="false" outlineLevel="0" collapsed="false">
      <c r="A458" s="197"/>
      <c r="B458" s="191"/>
      <c r="C458" s="190" t="s">
        <v>4560</v>
      </c>
      <c r="D458" s="191" t="n">
        <v>5352039542</v>
      </c>
      <c r="E458" s="190" t="s">
        <v>4561</v>
      </c>
      <c r="F458" s="192" t="n">
        <f aca="false">SUMIF(ENTRADAS!F:F,CLIENTES_PCBR[[#This Row],[TELEFONO]],ENTRADAS!C:C)</f>
        <v>0</v>
      </c>
      <c r="G458" s="189" t="s">
        <v>94</v>
      </c>
    </row>
    <row r="459" customFormat="false" ht="15" hidden="false" customHeight="false" outlineLevel="0" collapsed="false">
      <c r="A459" s="197"/>
      <c r="B459" s="191"/>
      <c r="C459" s="190" t="s">
        <v>999</v>
      </c>
      <c r="D459" s="191" t="n">
        <v>554891097084</v>
      </c>
      <c r="E459" s="190" t="s">
        <v>1000</v>
      </c>
      <c r="F459" s="192" t="n">
        <f aca="false">SUMIF(ENTRADAS!F:F,CLIENTES_PCBR[[#This Row],[TELEFONO]],ENTRADAS!C:C)</f>
        <v>195</v>
      </c>
      <c r="G459" s="189" t="s">
        <v>94</v>
      </c>
    </row>
    <row r="460" customFormat="false" ht="15" hidden="false" customHeight="false" outlineLevel="0" collapsed="false">
      <c r="A460" s="197"/>
      <c r="B460" s="191"/>
      <c r="C460" s="190" t="s">
        <v>956</v>
      </c>
      <c r="D460" s="191" t="n">
        <v>554888762765</v>
      </c>
      <c r="E460" s="190" t="s">
        <v>957</v>
      </c>
      <c r="F460" s="192" t="n">
        <f aca="false">SUMIF(ENTRADAS!F:F,CLIENTES_PCBR[[#This Row],[TELEFONO]],ENTRADAS!C:C)</f>
        <v>567</v>
      </c>
      <c r="G460" s="189" t="s">
        <v>94</v>
      </c>
    </row>
    <row r="461" customFormat="false" ht="15" hidden="false" customHeight="false" outlineLevel="0" collapsed="false">
      <c r="A461" s="197"/>
      <c r="B461" s="191"/>
      <c r="C461" s="190" t="s">
        <v>4562</v>
      </c>
      <c r="D461" s="191" t="n">
        <v>556298789133</v>
      </c>
      <c r="E461" s="190" t="s">
        <v>4563</v>
      </c>
      <c r="F461" s="192" t="n">
        <f aca="false">SUMIF(ENTRADAS!F:F,CLIENTES_PCBR[[#This Row],[TELEFONO]],ENTRADAS!C:C)</f>
        <v>0</v>
      </c>
      <c r="G461" s="189" t="s">
        <v>94</v>
      </c>
    </row>
    <row r="462" customFormat="false" ht="15" hidden="false" customHeight="false" outlineLevel="0" collapsed="false">
      <c r="A462" s="197"/>
      <c r="B462" s="191"/>
      <c r="C462" s="190" t="s">
        <v>383</v>
      </c>
      <c r="D462" s="191" t="n">
        <v>559584103861</v>
      </c>
      <c r="E462" s="190" t="s">
        <v>4564</v>
      </c>
      <c r="F462" s="192" t="n">
        <f aca="false">SUMIF(ENTRADAS!F:F,CLIENTES_PCBR[[#This Row],[TELEFONO]],ENTRADAS!C:C)</f>
        <v>500</v>
      </c>
      <c r="G462" s="189" t="s">
        <v>94</v>
      </c>
    </row>
    <row r="463" customFormat="false" ht="15" hidden="false" customHeight="false" outlineLevel="0" collapsed="false">
      <c r="A463" s="197"/>
      <c r="B463" s="191"/>
      <c r="C463" s="190" t="s">
        <v>4565</v>
      </c>
      <c r="D463" s="191" t="n">
        <v>554796928778</v>
      </c>
      <c r="E463" s="190" t="s">
        <v>4566</v>
      </c>
      <c r="F463" s="192" t="n">
        <f aca="false">SUMIF(ENTRADAS!F:F,CLIENTES_PCBR[[#This Row],[TELEFONO]],ENTRADAS!C:C)</f>
        <v>0</v>
      </c>
      <c r="G463" s="189" t="s">
        <v>94</v>
      </c>
    </row>
    <row r="464" customFormat="false" ht="15" hidden="false" customHeight="false" outlineLevel="0" collapsed="false">
      <c r="A464" s="197"/>
      <c r="B464" s="191"/>
      <c r="C464" s="190" t="s">
        <v>4567</v>
      </c>
      <c r="D464" s="191" t="n">
        <v>554192617619</v>
      </c>
      <c r="E464" s="190" t="s">
        <v>4568</v>
      </c>
      <c r="F464" s="192" t="n">
        <f aca="false">SUMIF(ENTRADAS!F:F,CLIENTES_PCBR[[#This Row],[TELEFONO]],ENTRADAS!C:C)</f>
        <v>0</v>
      </c>
      <c r="G464" s="189" t="s">
        <v>94</v>
      </c>
    </row>
    <row r="465" customFormat="false" ht="15" hidden="false" customHeight="false" outlineLevel="0" collapsed="false">
      <c r="A465" s="197"/>
      <c r="B465" s="191"/>
      <c r="C465" s="190" t="s">
        <v>4569</v>
      </c>
      <c r="D465" s="191" t="n">
        <v>551693432433</v>
      </c>
      <c r="E465" s="190" t="s">
        <v>4570</v>
      </c>
      <c r="F465" s="192" t="n">
        <f aca="false">SUMIF(ENTRADAS!F:F,CLIENTES_PCBR[[#This Row],[TELEFONO]],ENTRADAS!C:C)</f>
        <v>0</v>
      </c>
      <c r="G465" s="189" t="s">
        <v>94</v>
      </c>
    </row>
    <row r="466" customFormat="false" ht="15" hidden="false" customHeight="false" outlineLevel="0" collapsed="false">
      <c r="A466" s="197"/>
      <c r="B466" s="191"/>
      <c r="C466" s="190" t="s">
        <v>4571</v>
      </c>
      <c r="D466" s="191" t="n">
        <v>59898019864</v>
      </c>
      <c r="E466" s="190" t="s">
        <v>4572</v>
      </c>
      <c r="F466" s="192" t="n">
        <f aca="false">SUMIF(ENTRADAS!F:F,CLIENTES_PCBR[[#This Row],[TELEFONO]],ENTRADAS!C:C)</f>
        <v>0</v>
      </c>
      <c r="G466" s="189" t="s">
        <v>94</v>
      </c>
    </row>
    <row r="467" customFormat="false" ht="15" hidden="false" customHeight="false" outlineLevel="0" collapsed="false">
      <c r="A467" s="197"/>
      <c r="B467" s="191"/>
      <c r="C467" s="190" t="s">
        <v>4573</v>
      </c>
      <c r="D467" s="191" t="n">
        <v>554195275634</v>
      </c>
      <c r="E467" s="190" t="s">
        <v>4574</v>
      </c>
      <c r="F467" s="192" t="n">
        <f aca="false">SUMIF(ENTRADAS!F:F,CLIENTES_PCBR[[#This Row],[TELEFONO]],ENTRADAS!C:C)</f>
        <v>0</v>
      </c>
      <c r="G467" s="189" t="s">
        <v>94</v>
      </c>
    </row>
    <row r="468" customFormat="false" ht="15" hidden="false" customHeight="false" outlineLevel="0" collapsed="false">
      <c r="A468" s="197"/>
      <c r="B468" s="191"/>
      <c r="C468" s="190" t="s">
        <v>4575</v>
      </c>
      <c r="D468" s="191" t="n">
        <v>554197246134</v>
      </c>
      <c r="E468" s="190" t="s">
        <v>4576</v>
      </c>
      <c r="F468" s="192" t="n">
        <f aca="false">SUMIF(ENTRADAS!F:F,CLIENTES_PCBR[[#This Row],[TELEFONO]],ENTRADAS!C:C)</f>
        <v>0</v>
      </c>
      <c r="G468" s="189" t="s">
        <v>94</v>
      </c>
    </row>
    <row r="469" customFormat="false" ht="15" hidden="false" customHeight="false" outlineLevel="0" collapsed="false">
      <c r="A469" s="197"/>
      <c r="B469" s="191"/>
      <c r="C469" s="190" t="s">
        <v>4577</v>
      </c>
      <c r="D469" s="191" t="n">
        <v>555194893103</v>
      </c>
      <c r="E469" s="190" t="s">
        <v>4578</v>
      </c>
      <c r="F469" s="192" t="n">
        <f aca="false">SUMIF(ENTRADAS!F:F,CLIENTES_PCBR[[#This Row],[TELEFONO]],ENTRADAS!C:C)</f>
        <v>0</v>
      </c>
      <c r="G469" s="189" t="s">
        <v>94</v>
      </c>
    </row>
    <row r="470" customFormat="false" ht="15" hidden="false" customHeight="false" outlineLevel="0" collapsed="false">
      <c r="A470" s="197"/>
      <c r="B470" s="191"/>
      <c r="C470" s="190" t="s">
        <v>4579</v>
      </c>
      <c r="D470" s="191" t="n">
        <v>551992710600</v>
      </c>
      <c r="E470" s="190" t="s">
        <v>4580</v>
      </c>
      <c r="F470" s="192" t="n">
        <f aca="false">SUMIF(ENTRADAS!F:F,CLIENTES_PCBR[[#This Row],[TELEFONO]],ENTRADAS!C:C)</f>
        <v>0</v>
      </c>
      <c r="G470" s="189" t="s">
        <v>94</v>
      </c>
    </row>
    <row r="471" customFormat="false" ht="15" hidden="false" customHeight="false" outlineLevel="0" collapsed="false">
      <c r="A471" s="197"/>
      <c r="B471" s="191"/>
      <c r="C471" s="190" t="s">
        <v>4581</v>
      </c>
      <c r="D471" s="191" t="n">
        <v>559584297303</v>
      </c>
      <c r="E471" s="190" t="s">
        <v>4582</v>
      </c>
      <c r="F471" s="192" t="n">
        <f aca="false">SUMIF(ENTRADAS!F:F,CLIENTES_PCBR[[#This Row],[TELEFONO]],ENTRADAS!C:C)</f>
        <v>0</v>
      </c>
      <c r="G471" s="189" t="s">
        <v>94</v>
      </c>
    </row>
    <row r="472" customFormat="false" ht="15" hidden="false" customHeight="false" outlineLevel="0" collapsed="false">
      <c r="A472" s="197"/>
      <c r="B472" s="191"/>
      <c r="C472" s="190" t="s">
        <v>4583</v>
      </c>
      <c r="D472" s="191" t="n">
        <v>555499797533</v>
      </c>
      <c r="E472" s="190" t="s">
        <v>4584</v>
      </c>
      <c r="F472" s="192" t="n">
        <f aca="false">SUMIF(ENTRADAS!F:F,CLIENTES_PCBR[[#This Row],[TELEFONO]],ENTRADAS!C:C)</f>
        <v>0</v>
      </c>
      <c r="G472" s="189" t="s">
        <v>94</v>
      </c>
    </row>
    <row r="473" customFormat="false" ht="15" hidden="false" customHeight="false" outlineLevel="0" collapsed="false">
      <c r="A473" s="197"/>
      <c r="B473" s="191"/>
      <c r="C473" s="190" t="s">
        <v>4585</v>
      </c>
      <c r="D473" s="191" t="n">
        <v>559599772478</v>
      </c>
      <c r="E473" s="190" t="s">
        <v>4586</v>
      </c>
      <c r="F473" s="192" t="n">
        <f aca="false">SUMIF(ENTRADAS!F:F,CLIENTES_PCBR[[#This Row],[TELEFONO]],ENTRADAS!C:C)</f>
        <v>0</v>
      </c>
      <c r="G473" s="189" t="s">
        <v>94</v>
      </c>
    </row>
    <row r="474" customFormat="false" ht="15" hidden="false" customHeight="false" outlineLevel="0" collapsed="false">
      <c r="A474" s="197"/>
      <c r="B474" s="191"/>
      <c r="C474" s="190" t="s">
        <v>4587</v>
      </c>
      <c r="D474" s="191" t="n">
        <v>554184864915</v>
      </c>
      <c r="E474" s="190" t="s">
        <v>4588</v>
      </c>
      <c r="F474" s="192" t="n">
        <f aca="false">SUMIF(ENTRADAS!F:F,CLIENTES_PCBR[[#This Row],[TELEFONO]],ENTRADAS!C:C)</f>
        <v>0</v>
      </c>
      <c r="G474" s="189" t="s">
        <v>94</v>
      </c>
    </row>
    <row r="475" customFormat="false" ht="15" hidden="false" customHeight="false" outlineLevel="0" collapsed="false">
      <c r="A475" s="197"/>
      <c r="B475" s="191"/>
      <c r="C475" s="190" t="s">
        <v>4589</v>
      </c>
      <c r="D475" s="191" t="n">
        <v>559591480448</v>
      </c>
      <c r="E475" s="190" t="s">
        <v>4590</v>
      </c>
      <c r="F475" s="192" t="n">
        <f aca="false">SUMIF(ENTRADAS!F:F,CLIENTES_PCBR[[#This Row],[TELEFONO]],ENTRADAS!C:C)</f>
        <v>0</v>
      </c>
      <c r="G475" s="189" t="s">
        <v>94</v>
      </c>
    </row>
    <row r="476" customFormat="false" ht="15" hidden="false" customHeight="false" outlineLevel="0" collapsed="false">
      <c r="A476" s="197"/>
      <c r="B476" s="191"/>
      <c r="C476" s="190" t="s">
        <v>4591</v>
      </c>
      <c r="D476" s="191" t="n">
        <v>559684278033</v>
      </c>
      <c r="E476" s="190" t="s">
        <v>4592</v>
      </c>
      <c r="F476" s="192" t="n">
        <f aca="false">SUMIF(ENTRADAS!F:F,CLIENTES_PCBR[[#This Row],[TELEFONO]],ENTRADAS!C:C)</f>
        <v>0</v>
      </c>
      <c r="G476" s="189" t="s">
        <v>94</v>
      </c>
    </row>
    <row r="477" customFormat="false" ht="15" hidden="false" customHeight="false" outlineLevel="0" collapsed="false">
      <c r="A477" s="197"/>
      <c r="B477" s="191"/>
      <c r="C477" s="190" t="s">
        <v>4593</v>
      </c>
      <c r="D477" s="191" t="n">
        <v>554195158612</v>
      </c>
      <c r="E477" s="190" t="s">
        <v>4594</v>
      </c>
      <c r="F477" s="192" t="n">
        <f aca="false">SUMIF(ENTRADAS!F:F,CLIENTES_PCBR[[#This Row],[TELEFONO]],ENTRADAS!C:C)</f>
        <v>0</v>
      </c>
      <c r="G477" s="189" t="s">
        <v>94</v>
      </c>
    </row>
    <row r="478" customFormat="false" ht="15" hidden="false" customHeight="false" outlineLevel="0" collapsed="false">
      <c r="A478" s="197"/>
      <c r="B478" s="191"/>
      <c r="C478" s="190" t="s">
        <v>4595</v>
      </c>
      <c r="D478" s="191" t="n">
        <v>5521985797264</v>
      </c>
      <c r="E478" s="190" t="s">
        <v>4596</v>
      </c>
      <c r="F478" s="192" t="n">
        <f aca="false">SUMIF(ENTRADAS!F:F,CLIENTES_PCBR[[#This Row],[TELEFONO]],ENTRADAS!C:C)</f>
        <v>0</v>
      </c>
      <c r="G478" s="189" t="s">
        <v>94</v>
      </c>
    </row>
    <row r="479" customFormat="false" ht="15" hidden="false" customHeight="false" outlineLevel="0" collapsed="false">
      <c r="A479" s="197"/>
      <c r="B479" s="191"/>
      <c r="C479" s="190" t="s">
        <v>4597</v>
      </c>
      <c r="D479" s="191" t="n">
        <v>559684070040</v>
      </c>
      <c r="E479" s="190" t="s">
        <v>4598</v>
      </c>
      <c r="F479" s="192" t="n">
        <f aca="false">SUMIF(ENTRADAS!F:F,CLIENTES_PCBR[[#This Row],[TELEFONO]],ENTRADAS!C:C)</f>
        <v>0</v>
      </c>
      <c r="G479" s="189" t="s">
        <v>94</v>
      </c>
    </row>
    <row r="480" customFormat="false" ht="15" hidden="false" customHeight="false" outlineLevel="0" collapsed="false">
      <c r="A480" s="197"/>
      <c r="B480" s="191"/>
      <c r="C480" s="190" t="s">
        <v>4599</v>
      </c>
      <c r="D480" s="191" t="n">
        <v>555496944133</v>
      </c>
      <c r="E480" s="190" t="s">
        <v>4600</v>
      </c>
      <c r="F480" s="192" t="n">
        <f aca="false">SUMIF(ENTRADAS!F:F,CLIENTES_PCBR[[#This Row],[TELEFONO]],ENTRADAS!C:C)</f>
        <v>0</v>
      </c>
      <c r="G480" s="189" t="s">
        <v>94</v>
      </c>
    </row>
    <row r="481" customFormat="false" ht="15" hidden="false" customHeight="false" outlineLevel="0" collapsed="false">
      <c r="A481" s="197"/>
      <c r="B481" s="191"/>
      <c r="C481" s="190" t="s">
        <v>4601</v>
      </c>
      <c r="D481" s="191" t="n">
        <v>554192768537</v>
      </c>
      <c r="E481" s="190" t="s">
        <v>4602</v>
      </c>
      <c r="F481" s="192" t="n">
        <f aca="false">SUMIF(ENTRADAS!F:F,CLIENTES_PCBR[[#This Row],[TELEFONO]],ENTRADAS!C:C)</f>
        <v>0</v>
      </c>
      <c r="G481" s="189" t="s">
        <v>94</v>
      </c>
    </row>
    <row r="482" customFormat="false" ht="15" hidden="false" customHeight="false" outlineLevel="0" collapsed="false">
      <c r="A482" s="197"/>
      <c r="B482" s="191"/>
      <c r="C482" s="190" t="s">
        <v>1513</v>
      </c>
      <c r="D482" s="191" t="n">
        <v>5511975290592</v>
      </c>
      <c r="E482" s="190" t="s">
        <v>1514</v>
      </c>
      <c r="F482" s="192" t="n">
        <f aca="false">SUMIF(ENTRADAS!F:F,CLIENTES_PCBR[[#This Row],[TELEFONO]],ENTRADAS!C:C)</f>
        <v>20</v>
      </c>
      <c r="G482" s="189" t="s">
        <v>94</v>
      </c>
    </row>
    <row r="483" customFormat="false" ht="15" hidden="false" customHeight="false" outlineLevel="0" collapsed="false">
      <c r="A483" s="197"/>
      <c r="B483" s="191"/>
      <c r="C483" s="190" t="s">
        <v>2842</v>
      </c>
      <c r="D483" s="191" t="n">
        <v>559885995663</v>
      </c>
      <c r="E483" s="190" t="s">
        <v>2843</v>
      </c>
      <c r="F483" s="192" t="n">
        <f aca="false">SUMIF(ENTRADAS!F:F,CLIENTES_PCBR[[#This Row],[TELEFONO]],ENTRADAS!C:C)</f>
        <v>300</v>
      </c>
      <c r="G483" s="189" t="s">
        <v>94</v>
      </c>
    </row>
    <row r="484" customFormat="false" ht="15" hidden="false" customHeight="false" outlineLevel="0" collapsed="false">
      <c r="A484" s="197"/>
      <c r="B484" s="191"/>
      <c r="C484" s="190" t="s">
        <v>4603</v>
      </c>
      <c r="D484" s="191" t="n">
        <v>554591481882</v>
      </c>
      <c r="E484" s="190" t="s">
        <v>4604</v>
      </c>
      <c r="F484" s="192" t="n">
        <f aca="false">SUMIF(ENTRADAS!F:F,CLIENTES_PCBR[[#This Row],[TELEFONO]],ENTRADAS!C:C)</f>
        <v>0</v>
      </c>
      <c r="G484" s="189" t="s">
        <v>94</v>
      </c>
    </row>
    <row r="485" customFormat="false" ht="15" hidden="false" customHeight="false" outlineLevel="0" collapsed="false">
      <c r="A485" s="197"/>
      <c r="B485" s="191"/>
      <c r="C485" s="190" t="s">
        <v>4605</v>
      </c>
      <c r="D485" s="191" t="n">
        <v>5519982185543</v>
      </c>
      <c r="E485" s="190" t="s">
        <v>4606</v>
      </c>
      <c r="F485" s="192" t="n">
        <f aca="false">SUMIF(ENTRADAS!F:F,CLIENTES_PCBR[[#This Row],[TELEFONO]],ENTRADAS!C:C)</f>
        <v>0</v>
      </c>
      <c r="G485" s="189" t="s">
        <v>94</v>
      </c>
    </row>
    <row r="486" customFormat="false" ht="15" hidden="false" customHeight="false" outlineLevel="0" collapsed="false">
      <c r="A486" s="197"/>
      <c r="B486" s="191"/>
      <c r="C486" s="190" t="s">
        <v>4607</v>
      </c>
      <c r="D486" s="191" t="n">
        <v>5353138491</v>
      </c>
      <c r="E486" s="190" t="s">
        <v>4608</v>
      </c>
      <c r="F486" s="192" t="n">
        <f aca="false">SUMIF(ENTRADAS!F:F,CLIENTES_PCBR[[#This Row],[TELEFONO]],ENTRADAS!C:C)</f>
        <v>0</v>
      </c>
      <c r="G486" s="189" t="s">
        <v>94</v>
      </c>
    </row>
    <row r="487" customFormat="false" ht="15" hidden="false" customHeight="false" outlineLevel="0" collapsed="false">
      <c r="A487" s="197"/>
      <c r="B487" s="191"/>
      <c r="C487" s="190" t="s">
        <v>1353</v>
      </c>
      <c r="D487" s="191" t="n">
        <v>559584260066</v>
      </c>
      <c r="E487" s="190" t="s">
        <v>1354</v>
      </c>
      <c r="F487" s="192" t="n">
        <f aca="false">SUMIF(ENTRADAS!F:F,CLIENTES_PCBR[[#This Row],[TELEFONO]],ENTRADAS!C:C)</f>
        <v>160</v>
      </c>
      <c r="G487" s="189" t="s">
        <v>94</v>
      </c>
    </row>
    <row r="488" customFormat="false" ht="15" hidden="false" customHeight="false" outlineLevel="0" collapsed="false">
      <c r="A488" s="197"/>
      <c r="B488" s="191"/>
      <c r="C488" s="190" t="s">
        <v>4609</v>
      </c>
      <c r="D488" s="191" t="n">
        <v>554298489213</v>
      </c>
      <c r="E488" s="190" t="s">
        <v>4610</v>
      </c>
      <c r="F488" s="192" t="n">
        <f aca="false">SUMIF(ENTRADAS!F:F,CLIENTES_PCBR[[#This Row],[TELEFONO]],ENTRADAS!C:C)</f>
        <v>0</v>
      </c>
      <c r="G488" s="189" t="s">
        <v>94</v>
      </c>
    </row>
    <row r="489" customFormat="false" ht="15" hidden="false" customHeight="false" outlineLevel="0" collapsed="false">
      <c r="A489" s="197"/>
      <c r="B489" s="191"/>
      <c r="C489" s="190" t="s">
        <v>4611</v>
      </c>
      <c r="D489" s="191" t="n">
        <v>555496202815</v>
      </c>
      <c r="E489" s="190" t="s">
        <v>4612</v>
      </c>
      <c r="F489" s="192" t="n">
        <f aca="false">SUMIF(ENTRADAS!F:F,CLIENTES_PCBR[[#This Row],[TELEFONO]],ENTRADAS!C:C)</f>
        <v>0</v>
      </c>
      <c r="G489" s="189" t="s">
        <v>94</v>
      </c>
    </row>
    <row r="490" customFormat="false" ht="15" hidden="false" customHeight="false" outlineLevel="0" collapsed="false">
      <c r="A490" s="197"/>
      <c r="B490" s="191"/>
      <c r="C490" s="190" t="s">
        <v>4613</v>
      </c>
      <c r="D490" s="191" t="n">
        <v>5354103288</v>
      </c>
      <c r="E490" s="190" t="s">
        <v>4614</v>
      </c>
      <c r="F490" s="192" t="n">
        <f aca="false">SUMIF(ENTRADAS!F:F,CLIENTES_PCBR[[#This Row],[TELEFONO]],ENTRADAS!C:C)</f>
        <v>0</v>
      </c>
      <c r="G490" s="189" t="s">
        <v>94</v>
      </c>
    </row>
    <row r="491" customFormat="false" ht="15" hidden="false" customHeight="false" outlineLevel="0" collapsed="false">
      <c r="A491" s="197"/>
      <c r="B491" s="191"/>
      <c r="C491" s="190" t="s">
        <v>4615</v>
      </c>
      <c r="D491" s="191" t="n">
        <v>554898154015</v>
      </c>
      <c r="E491" s="190" t="s">
        <v>4616</v>
      </c>
      <c r="F491" s="192" t="n">
        <f aca="false">SUMIF(ENTRADAS!F:F,CLIENTES_PCBR[[#This Row],[TELEFONO]],ENTRADAS!C:C)</f>
        <v>0</v>
      </c>
      <c r="G491" s="189" t="s">
        <v>94</v>
      </c>
    </row>
    <row r="492" customFormat="false" ht="15" hidden="false" customHeight="false" outlineLevel="0" collapsed="false">
      <c r="A492" s="197"/>
      <c r="B492" s="191"/>
      <c r="C492" s="190" t="s">
        <v>4617</v>
      </c>
      <c r="D492" s="191" t="n">
        <v>554888210646</v>
      </c>
      <c r="E492" s="190" t="s">
        <v>4618</v>
      </c>
      <c r="F492" s="192" t="n">
        <f aca="false">SUMIF(ENTRADAS!F:F,CLIENTES_PCBR[[#This Row],[TELEFONO]],ENTRADAS!C:C)</f>
        <v>0</v>
      </c>
      <c r="G492" s="189" t="s">
        <v>94</v>
      </c>
    </row>
    <row r="493" customFormat="false" ht="15" hidden="false" customHeight="false" outlineLevel="0" collapsed="false">
      <c r="A493" s="197"/>
      <c r="B493" s="191"/>
      <c r="C493" s="190" t="s">
        <v>4619</v>
      </c>
      <c r="D493" s="191" t="n">
        <v>559584050482</v>
      </c>
      <c r="E493" s="190" t="s">
        <v>4620</v>
      </c>
      <c r="F493" s="192" t="n">
        <f aca="false">SUMIF(ENTRADAS!F:F,CLIENTES_PCBR[[#This Row],[TELEFONO]],ENTRADAS!C:C)</f>
        <v>0</v>
      </c>
      <c r="G493" s="189" t="s">
        <v>94</v>
      </c>
    </row>
    <row r="494" customFormat="false" ht="15" hidden="false" customHeight="false" outlineLevel="0" collapsed="false">
      <c r="A494" s="197"/>
      <c r="B494" s="191"/>
      <c r="C494" s="190" t="s">
        <v>171</v>
      </c>
      <c r="D494" s="191" t="n">
        <v>556593121934</v>
      </c>
      <c r="E494" s="190" t="s">
        <v>172</v>
      </c>
      <c r="F494" s="192" t="n">
        <f aca="false">SUMIF(ENTRADAS!F:F,CLIENTES_PCBR[[#This Row],[TELEFONO]],ENTRADAS!C:C)</f>
        <v>1500</v>
      </c>
      <c r="G494" s="189" t="s">
        <v>94</v>
      </c>
    </row>
    <row r="495" customFormat="false" ht="15" hidden="false" customHeight="false" outlineLevel="0" collapsed="false">
      <c r="A495" s="197"/>
      <c r="B495" s="191"/>
      <c r="C495" s="190" t="s">
        <v>1700</v>
      </c>
      <c r="D495" s="191" t="n">
        <v>559591259699</v>
      </c>
      <c r="E495" s="190" t="s">
        <v>4621</v>
      </c>
      <c r="F495" s="192" t="n">
        <f aca="false">SUMIF(ENTRADAS!F:F,CLIENTES_PCBR[[#This Row],[TELEFONO]],ENTRADAS!C:C)</f>
        <v>0</v>
      </c>
      <c r="G495" s="189" t="s">
        <v>94</v>
      </c>
    </row>
    <row r="496" customFormat="false" ht="15" hidden="false" customHeight="false" outlineLevel="0" collapsed="false">
      <c r="A496" s="197"/>
      <c r="B496" s="191"/>
      <c r="C496" s="190" t="s">
        <v>4622</v>
      </c>
      <c r="D496" s="191" t="n">
        <v>554197487398</v>
      </c>
      <c r="E496" s="190" t="s">
        <v>4623</v>
      </c>
      <c r="F496" s="192" t="n">
        <f aca="false">SUMIF(ENTRADAS!F:F,CLIENTES_PCBR[[#This Row],[TELEFONO]],ENTRADAS!C:C)</f>
        <v>0</v>
      </c>
      <c r="G496" s="189" t="s">
        <v>94</v>
      </c>
    </row>
    <row r="497" customFormat="false" ht="15" hidden="false" customHeight="false" outlineLevel="0" collapsed="false">
      <c r="A497" s="197"/>
      <c r="B497" s="191"/>
      <c r="C497" s="190" t="s">
        <v>4624</v>
      </c>
      <c r="D497" s="191" t="n">
        <v>554187255696</v>
      </c>
      <c r="E497" s="190" t="s">
        <v>4625</v>
      </c>
      <c r="F497" s="192" t="n">
        <f aca="false">SUMIF(ENTRADAS!F:F,CLIENTES_PCBR[[#This Row],[TELEFONO]],ENTRADAS!C:C)</f>
        <v>0</v>
      </c>
      <c r="G497" s="189" t="s">
        <v>94</v>
      </c>
    </row>
    <row r="498" customFormat="false" ht="15" hidden="false" customHeight="false" outlineLevel="0" collapsed="false">
      <c r="A498" s="197"/>
      <c r="B498" s="191"/>
      <c r="C498" s="190" t="s">
        <v>1253</v>
      </c>
      <c r="D498" s="191" t="n">
        <v>559591756033</v>
      </c>
      <c r="E498" s="190" t="s">
        <v>1254</v>
      </c>
      <c r="F498" s="192" t="n">
        <f aca="false">SUMIF(ENTRADAS!F:F,CLIENTES_PCBR[[#This Row],[TELEFONO]],ENTRADAS!C:C)</f>
        <v>149</v>
      </c>
      <c r="G498" s="189" t="s">
        <v>94</v>
      </c>
    </row>
    <row r="499" customFormat="false" ht="15" hidden="false" customHeight="false" outlineLevel="0" collapsed="false">
      <c r="A499" s="197"/>
      <c r="B499" s="191"/>
      <c r="C499" s="190" t="s">
        <v>4626</v>
      </c>
      <c r="D499" s="191" t="n">
        <v>555180264133</v>
      </c>
      <c r="E499" s="190" t="s">
        <v>4627</v>
      </c>
      <c r="F499" s="192" t="n">
        <f aca="false">SUMIF(ENTRADAS!F:F,CLIENTES_PCBR[[#This Row],[TELEFONO]],ENTRADAS!C:C)</f>
        <v>0</v>
      </c>
      <c r="G499" s="189" t="s">
        <v>94</v>
      </c>
    </row>
    <row r="500" customFormat="false" ht="15" hidden="false" customHeight="false" outlineLevel="0" collapsed="false">
      <c r="A500" s="197"/>
      <c r="B500" s="191"/>
      <c r="C500" s="190" t="s">
        <v>4628</v>
      </c>
      <c r="D500" s="191" t="n">
        <v>556592120403</v>
      </c>
      <c r="E500" s="190" t="s">
        <v>4629</v>
      </c>
      <c r="F500" s="192" t="n">
        <f aca="false">SUMIF(ENTRADAS!F:F,CLIENTES_PCBR[[#This Row],[TELEFONO]],ENTRADAS!C:C)</f>
        <v>0</v>
      </c>
      <c r="G500" s="189" t="s">
        <v>94</v>
      </c>
    </row>
    <row r="501" customFormat="false" ht="15" hidden="false" customHeight="false" outlineLevel="0" collapsed="false">
      <c r="A501" s="197"/>
      <c r="B501" s="191"/>
      <c r="C501" s="190" t="s">
        <v>4630</v>
      </c>
      <c r="D501" s="191" t="n">
        <v>556298688179</v>
      </c>
      <c r="E501" s="190" t="s">
        <v>4631</v>
      </c>
      <c r="F501" s="192" t="n">
        <f aca="false">SUMIF(ENTRADAS!F:F,CLIENTES_PCBR[[#This Row],[TELEFONO]],ENTRADAS!C:C)</f>
        <v>0</v>
      </c>
      <c r="G501" s="189" t="s">
        <v>94</v>
      </c>
    </row>
    <row r="502" customFormat="false" ht="15" hidden="false" customHeight="false" outlineLevel="0" collapsed="false">
      <c r="A502" s="197"/>
      <c r="B502" s="191"/>
      <c r="C502" s="190" t="s">
        <v>4632</v>
      </c>
      <c r="D502" s="191" t="n">
        <v>554799825522</v>
      </c>
      <c r="F502" s="192" t="n">
        <f aca="false">SUMIF(ENTRADAS!F:F,CLIENTES_PCBR[[#This Row],[TELEFONO]],ENTRADAS!C:C)</f>
        <v>0</v>
      </c>
      <c r="G502" s="189" t="s">
        <v>94</v>
      </c>
    </row>
    <row r="503" customFormat="false" ht="15" hidden="false" customHeight="false" outlineLevel="0" collapsed="false">
      <c r="A503" s="197"/>
      <c r="B503" s="191"/>
      <c r="C503" s="190" t="s">
        <v>4633</v>
      </c>
      <c r="D503" s="191" t="n">
        <v>554196071270</v>
      </c>
      <c r="E503" s="190" t="s">
        <v>4634</v>
      </c>
      <c r="F503" s="192" t="n">
        <f aca="false">SUMIF(ENTRADAS!F:F,CLIENTES_PCBR[[#This Row],[TELEFONO]],ENTRADAS!C:C)</f>
        <v>0</v>
      </c>
      <c r="G503" s="189" t="s">
        <v>94</v>
      </c>
    </row>
    <row r="504" customFormat="false" ht="15" hidden="false" customHeight="false" outlineLevel="0" collapsed="false">
      <c r="A504" s="197"/>
      <c r="B504" s="191"/>
      <c r="C504" s="190" t="s">
        <v>4635</v>
      </c>
      <c r="D504" s="191" t="n">
        <v>554892210081</v>
      </c>
      <c r="E504" s="190" t="s">
        <v>4636</v>
      </c>
      <c r="F504" s="192" t="n">
        <f aca="false">SUMIF(ENTRADAS!F:F,CLIENTES_PCBR[[#This Row],[TELEFONO]],ENTRADAS!C:C)</f>
        <v>0</v>
      </c>
      <c r="G504" s="189" t="s">
        <v>94</v>
      </c>
    </row>
    <row r="505" customFormat="false" ht="15" hidden="false" customHeight="false" outlineLevel="0" collapsed="false">
      <c r="A505" s="197"/>
      <c r="B505" s="191"/>
      <c r="C505" s="190" t="s">
        <v>150</v>
      </c>
      <c r="D505" s="191" t="n">
        <v>5513996062412</v>
      </c>
      <c r="E505" s="190" t="s">
        <v>45</v>
      </c>
      <c r="F505" s="192" t="n">
        <f aca="false">SUMIF(ENTRADAS!F:F,CLIENTES_PCBR[[#This Row],[TELEFONO]],ENTRADAS!C:C)</f>
        <v>330</v>
      </c>
      <c r="G505" s="189" t="s">
        <v>94</v>
      </c>
    </row>
    <row r="506" customFormat="false" ht="15" hidden="false" customHeight="false" outlineLevel="0" collapsed="false">
      <c r="A506" s="197"/>
      <c r="B506" s="191"/>
      <c r="C506" s="190" t="s">
        <v>422</v>
      </c>
      <c r="D506" s="191" t="n">
        <v>554891612707</v>
      </c>
      <c r="E506" s="190" t="s">
        <v>423</v>
      </c>
      <c r="F506" s="192" t="n">
        <f aca="false">SUMIF(ENTRADAS!F:F,CLIENTES_PCBR[[#This Row],[TELEFONO]],ENTRADAS!C:C)</f>
        <v>1000</v>
      </c>
      <c r="G506" s="189" t="s">
        <v>94</v>
      </c>
    </row>
    <row r="507" customFormat="false" ht="15" hidden="false" customHeight="false" outlineLevel="0" collapsed="false">
      <c r="A507" s="197"/>
      <c r="B507" s="191"/>
      <c r="C507" s="190" t="s">
        <v>4637</v>
      </c>
      <c r="D507" s="191" t="n">
        <v>554299028030</v>
      </c>
      <c r="E507" s="190" t="s">
        <v>4638</v>
      </c>
      <c r="F507" s="192" t="n">
        <f aca="false">SUMIF(ENTRADAS!F:F,CLIENTES_PCBR[[#This Row],[TELEFONO]],ENTRADAS!C:C)</f>
        <v>0</v>
      </c>
      <c r="G507" s="189" t="s">
        <v>94</v>
      </c>
    </row>
    <row r="508" customFormat="false" ht="15" hidden="false" customHeight="false" outlineLevel="0" collapsed="false">
      <c r="A508" s="197"/>
      <c r="B508" s="191"/>
      <c r="C508" s="190" t="s">
        <v>4639</v>
      </c>
      <c r="D508" s="191" t="n">
        <v>554796185953</v>
      </c>
      <c r="E508" s="190" t="s">
        <v>4640</v>
      </c>
      <c r="F508" s="192" t="n">
        <f aca="false">SUMIF(ENTRADAS!F:F,CLIENTES_PCBR[[#This Row],[TELEFONO]],ENTRADAS!C:C)</f>
        <v>0</v>
      </c>
      <c r="G508" s="189" t="s">
        <v>94</v>
      </c>
    </row>
    <row r="509" customFormat="false" ht="15" hidden="false" customHeight="false" outlineLevel="0" collapsed="false">
      <c r="A509" s="197"/>
      <c r="B509" s="191"/>
      <c r="C509" s="190" t="s">
        <v>4641</v>
      </c>
      <c r="D509" s="191" t="n">
        <v>554792534914</v>
      </c>
      <c r="E509" s="190" t="s">
        <v>4642</v>
      </c>
      <c r="F509" s="192" t="n">
        <f aca="false">SUMIF(ENTRADAS!F:F,CLIENTES_PCBR[[#This Row],[TELEFONO]],ENTRADAS!C:C)</f>
        <v>0</v>
      </c>
      <c r="G509" s="189" t="s">
        <v>94</v>
      </c>
    </row>
    <row r="510" customFormat="false" ht="15" hidden="false" customHeight="false" outlineLevel="0" collapsed="false">
      <c r="A510" s="197"/>
      <c r="B510" s="191"/>
      <c r="C510" s="190" t="s">
        <v>4643</v>
      </c>
      <c r="D510" s="191" t="n">
        <v>559584006648</v>
      </c>
      <c r="E510" s="190" t="s">
        <v>4644</v>
      </c>
      <c r="F510" s="192" t="n">
        <f aca="false">SUMIF(ENTRADAS!F:F,CLIENTES_PCBR[[#This Row],[TELEFONO]],ENTRADAS!C:C)</f>
        <v>0</v>
      </c>
      <c r="G510" s="189" t="s">
        <v>94</v>
      </c>
    </row>
    <row r="511" customFormat="false" ht="15" hidden="false" customHeight="false" outlineLevel="0" collapsed="false">
      <c r="A511" s="197"/>
      <c r="B511" s="191"/>
      <c r="C511" s="190" t="s">
        <v>4645</v>
      </c>
      <c r="D511" s="191" t="n">
        <v>551896452405</v>
      </c>
      <c r="E511" s="190" t="s">
        <v>631</v>
      </c>
      <c r="F511" s="192" t="n">
        <f aca="false">SUMIF(ENTRADAS!F:F,CLIENTES_PCBR[[#This Row],[TELEFONO]],ENTRADAS!C:C)</f>
        <v>0</v>
      </c>
      <c r="G511" s="189" t="s">
        <v>94</v>
      </c>
    </row>
    <row r="512" customFormat="false" ht="15" hidden="false" customHeight="false" outlineLevel="0" collapsed="false">
      <c r="A512" s="197"/>
      <c r="B512" s="191"/>
      <c r="C512" s="190" t="s">
        <v>4646</v>
      </c>
      <c r="D512" s="191" t="n">
        <v>554591245924</v>
      </c>
      <c r="E512" s="190" t="s">
        <v>4647</v>
      </c>
      <c r="F512" s="192" t="n">
        <f aca="false">SUMIF(ENTRADAS!F:F,CLIENTES_PCBR[[#This Row],[TELEFONO]],ENTRADAS!C:C)</f>
        <v>0</v>
      </c>
      <c r="G512" s="189" t="s">
        <v>94</v>
      </c>
    </row>
    <row r="513" customFormat="false" ht="15" hidden="false" customHeight="false" outlineLevel="0" collapsed="false">
      <c r="A513" s="197"/>
      <c r="B513" s="191"/>
      <c r="C513" s="190" t="s">
        <v>4648</v>
      </c>
      <c r="D513" s="191" t="n">
        <v>559584175255</v>
      </c>
      <c r="E513" s="190" t="s">
        <v>4649</v>
      </c>
      <c r="F513" s="192" t="n">
        <f aca="false">SUMIF(ENTRADAS!F:F,CLIENTES_PCBR[[#This Row],[TELEFONO]],ENTRADAS!C:C)</f>
        <v>0</v>
      </c>
      <c r="G513" s="189" t="s">
        <v>94</v>
      </c>
    </row>
    <row r="514" customFormat="false" ht="15" hidden="false" customHeight="false" outlineLevel="0" collapsed="false">
      <c r="A514" s="197"/>
      <c r="B514" s="191"/>
      <c r="C514" s="190" t="s">
        <v>4650</v>
      </c>
      <c r="D514" s="191" t="n">
        <v>554197310440</v>
      </c>
      <c r="E514" s="190" t="s">
        <v>4651</v>
      </c>
      <c r="F514" s="192" t="n">
        <f aca="false">SUMIF(ENTRADAS!F:F,CLIENTES_PCBR[[#This Row],[TELEFONO]],ENTRADAS!C:C)</f>
        <v>0</v>
      </c>
      <c r="G514" s="189" t="s">
        <v>94</v>
      </c>
    </row>
    <row r="515" customFormat="false" ht="15" hidden="false" customHeight="false" outlineLevel="0" collapsed="false">
      <c r="A515" s="197"/>
      <c r="B515" s="191"/>
      <c r="C515" s="190" t="s">
        <v>4652</v>
      </c>
      <c r="D515" s="191" t="n">
        <v>554198595049</v>
      </c>
      <c r="E515" s="190" t="s">
        <v>4653</v>
      </c>
      <c r="F515" s="192" t="n">
        <f aca="false">SUMIF(ENTRADAS!F:F,CLIENTES_PCBR[[#This Row],[TELEFONO]],ENTRADAS!C:C)</f>
        <v>0</v>
      </c>
      <c r="G515" s="189" t="s">
        <v>94</v>
      </c>
    </row>
    <row r="516" customFormat="false" ht="15" hidden="false" customHeight="false" outlineLevel="0" collapsed="false">
      <c r="A516" s="197"/>
      <c r="B516" s="191"/>
      <c r="C516" s="190" t="s">
        <v>4654</v>
      </c>
      <c r="D516" s="191" t="n">
        <v>554891185397</v>
      </c>
      <c r="E516" s="190" t="s">
        <v>4655</v>
      </c>
      <c r="F516" s="192" t="n">
        <f aca="false">SUMIF(ENTRADAS!F:F,CLIENTES_PCBR[[#This Row],[TELEFONO]],ENTRADAS!C:C)</f>
        <v>0</v>
      </c>
      <c r="G516" s="189" t="s">
        <v>94</v>
      </c>
    </row>
    <row r="517" customFormat="false" ht="15" hidden="false" customHeight="false" outlineLevel="0" collapsed="false">
      <c r="A517" s="197"/>
      <c r="B517" s="191"/>
      <c r="C517" s="190" t="s">
        <v>4656</v>
      </c>
      <c r="D517" s="191" t="n">
        <v>5521972475575</v>
      </c>
      <c r="E517" s="190" t="s">
        <v>4657</v>
      </c>
      <c r="F517" s="192" t="n">
        <f aca="false">SUMIF(ENTRADAS!F:F,CLIENTES_PCBR[[#This Row],[TELEFONO]],ENTRADAS!C:C)</f>
        <v>0</v>
      </c>
      <c r="G517" s="189" t="s">
        <v>94</v>
      </c>
    </row>
    <row r="518" customFormat="false" ht="15" hidden="false" customHeight="false" outlineLevel="0" collapsed="false">
      <c r="A518" s="197"/>
      <c r="B518" s="191"/>
      <c r="C518" s="190" t="s">
        <v>4246</v>
      </c>
      <c r="D518" s="191" t="n">
        <v>59892386849</v>
      </c>
      <c r="E518" s="190" t="s">
        <v>4247</v>
      </c>
      <c r="F518" s="192" t="n">
        <f aca="false">SUMIF(ENTRADAS!F:F,CLIENTES_PCBR[[#This Row],[TELEFONO]],ENTRADAS!C:C)</f>
        <v>0</v>
      </c>
      <c r="G518" s="189" t="s">
        <v>94</v>
      </c>
    </row>
    <row r="519" customFormat="false" ht="15" hidden="false" customHeight="false" outlineLevel="0" collapsed="false">
      <c r="A519" s="197"/>
      <c r="B519" s="191"/>
      <c r="C519" s="190" t="s">
        <v>4658</v>
      </c>
      <c r="D519" s="191" t="n">
        <v>559584006441</v>
      </c>
      <c r="E519" s="190" t="s">
        <v>4659</v>
      </c>
      <c r="F519" s="192" t="n">
        <f aca="false">SUMIF(ENTRADAS!F:F,CLIENTES_PCBR[[#This Row],[TELEFONO]],ENTRADAS!C:C)</f>
        <v>0</v>
      </c>
      <c r="G519" s="189" t="s">
        <v>94</v>
      </c>
    </row>
    <row r="520" customFormat="false" ht="15" hidden="false" customHeight="false" outlineLevel="0" collapsed="false">
      <c r="A520" s="197"/>
      <c r="B520" s="191"/>
      <c r="C520" s="190" t="s">
        <v>4660</v>
      </c>
      <c r="D520" s="191" t="n">
        <v>559684213877</v>
      </c>
      <c r="F520" s="192" t="n">
        <f aca="false">SUMIF(ENTRADAS!F:F,CLIENTES_PCBR[[#This Row],[TELEFONO]],ENTRADAS!C:C)</f>
        <v>0</v>
      </c>
      <c r="G520" s="189" t="s">
        <v>94</v>
      </c>
    </row>
    <row r="521" customFormat="false" ht="15" hidden="false" customHeight="false" outlineLevel="0" collapsed="false">
      <c r="A521" s="197"/>
      <c r="B521" s="191"/>
      <c r="C521" s="190" t="s">
        <v>4661</v>
      </c>
      <c r="D521" s="191" t="n">
        <v>559584296291</v>
      </c>
      <c r="E521" s="190" t="s">
        <v>4662</v>
      </c>
      <c r="F521" s="192" t="n">
        <f aca="false">SUMIF(ENTRADAS!F:F,CLIENTES_PCBR[[#This Row],[TELEFONO]],ENTRADAS!C:C)</f>
        <v>0</v>
      </c>
      <c r="G521" s="189" t="s">
        <v>94</v>
      </c>
    </row>
    <row r="522" customFormat="false" ht="15" hidden="false" customHeight="false" outlineLevel="0" collapsed="false">
      <c r="A522" s="197"/>
      <c r="B522" s="191"/>
      <c r="C522" s="190" t="s">
        <v>4663</v>
      </c>
      <c r="D522" s="191" t="n">
        <v>554199521999</v>
      </c>
      <c r="E522" s="190" t="s">
        <v>4664</v>
      </c>
      <c r="F522" s="192" t="n">
        <f aca="false">SUMIF(ENTRADAS!F:F,CLIENTES_PCBR[[#This Row],[TELEFONO]],ENTRADAS!C:C)</f>
        <v>0</v>
      </c>
      <c r="G522" s="189" t="s">
        <v>94</v>
      </c>
    </row>
    <row r="523" customFormat="false" ht="15" hidden="false" customHeight="false" outlineLevel="0" collapsed="false">
      <c r="A523" s="197"/>
      <c r="B523" s="191"/>
      <c r="C523" s="190" t="s">
        <v>4665</v>
      </c>
      <c r="D523" s="191" t="n">
        <v>554891987233</v>
      </c>
      <c r="E523" s="190" t="s">
        <v>4666</v>
      </c>
      <c r="F523" s="192" t="n">
        <f aca="false">SUMIF(ENTRADAS!F:F,CLIENTES_PCBR[[#This Row],[TELEFONO]],ENTRADAS!C:C)</f>
        <v>0</v>
      </c>
      <c r="G523" s="189" t="s">
        <v>94</v>
      </c>
    </row>
    <row r="524" customFormat="false" ht="15" hidden="false" customHeight="false" outlineLevel="0" collapsed="false">
      <c r="A524" s="197"/>
      <c r="B524" s="191"/>
      <c r="C524" s="190" t="s">
        <v>4667</v>
      </c>
      <c r="D524" s="191" t="n">
        <v>559584155013</v>
      </c>
      <c r="E524" s="190" t="s">
        <v>4668</v>
      </c>
      <c r="F524" s="192" t="n">
        <f aca="false">SUMIF(ENTRADAS!F:F,CLIENTES_PCBR[[#This Row],[TELEFONO]],ENTRADAS!C:C)</f>
        <v>0</v>
      </c>
      <c r="G524" s="189" t="s">
        <v>94</v>
      </c>
    </row>
    <row r="525" customFormat="false" ht="15" hidden="false" customHeight="false" outlineLevel="0" collapsed="false">
      <c r="A525" s="197"/>
      <c r="B525" s="191"/>
      <c r="C525" s="190" t="s">
        <v>4669</v>
      </c>
      <c r="D525" s="191" t="n">
        <v>559684365270</v>
      </c>
      <c r="E525" s="190" t="s">
        <v>4670</v>
      </c>
      <c r="F525" s="192" t="n">
        <f aca="false">SUMIF(ENTRADAS!F:F,CLIENTES_PCBR[[#This Row],[TELEFONO]],ENTRADAS!C:C)</f>
        <v>0</v>
      </c>
      <c r="G525" s="189" t="s">
        <v>94</v>
      </c>
    </row>
    <row r="526" customFormat="false" ht="15" hidden="false" customHeight="false" outlineLevel="0" collapsed="false">
      <c r="A526" s="197"/>
      <c r="B526" s="191"/>
      <c r="C526" s="190" t="s">
        <v>4671</v>
      </c>
      <c r="D526" s="191" t="n">
        <v>5511915072260</v>
      </c>
      <c r="E526" s="190" t="s">
        <v>4672</v>
      </c>
      <c r="F526" s="192" t="n">
        <f aca="false">SUMIF(ENTRADAS!F:F,CLIENTES_PCBR[[#This Row],[TELEFONO]],ENTRADAS!C:C)</f>
        <v>0</v>
      </c>
      <c r="G526" s="189" t="s">
        <v>94</v>
      </c>
    </row>
    <row r="527" customFormat="false" ht="15" hidden="false" customHeight="false" outlineLevel="0" collapsed="false">
      <c r="A527" s="197"/>
      <c r="B527" s="191"/>
      <c r="C527" s="190" t="s">
        <v>4673</v>
      </c>
      <c r="D527" s="191" t="n">
        <v>554591545257</v>
      </c>
      <c r="E527" s="190" t="s">
        <v>4674</v>
      </c>
      <c r="F527" s="192" t="n">
        <f aca="false">SUMIF(ENTRADAS!F:F,CLIENTES_PCBR[[#This Row],[TELEFONO]],ENTRADAS!C:C)</f>
        <v>0</v>
      </c>
      <c r="G527" s="189" t="s">
        <v>94</v>
      </c>
    </row>
    <row r="528" customFormat="false" ht="15" hidden="false" customHeight="false" outlineLevel="0" collapsed="false">
      <c r="A528" s="197"/>
      <c r="B528" s="191"/>
      <c r="C528" s="190" t="s">
        <v>4675</v>
      </c>
      <c r="D528" s="191" t="n">
        <v>554199977667</v>
      </c>
      <c r="E528" s="190" t="s">
        <v>4676</v>
      </c>
      <c r="F528" s="192" t="n">
        <f aca="false">SUMIF(ENTRADAS!F:F,CLIENTES_PCBR[[#This Row],[TELEFONO]],ENTRADAS!C:C)</f>
        <v>0</v>
      </c>
      <c r="G528" s="189" t="s">
        <v>94</v>
      </c>
    </row>
    <row r="529" customFormat="false" ht="15" hidden="false" customHeight="false" outlineLevel="0" collapsed="false">
      <c r="A529" s="197"/>
      <c r="B529" s="191"/>
      <c r="C529" s="190" t="s">
        <v>4677</v>
      </c>
      <c r="D529" s="191" t="n">
        <v>5355826105</v>
      </c>
      <c r="E529" s="190" t="s">
        <v>4678</v>
      </c>
      <c r="F529" s="192" t="n">
        <f aca="false">SUMIF(ENTRADAS!F:F,CLIENTES_PCBR[[#This Row],[TELEFONO]],ENTRADAS!C:C)</f>
        <v>0</v>
      </c>
      <c r="G529" s="189" t="s">
        <v>94</v>
      </c>
    </row>
    <row r="530" customFormat="false" ht="15" hidden="false" customHeight="false" outlineLevel="0" collapsed="false">
      <c r="A530" s="197"/>
      <c r="B530" s="191"/>
      <c r="C530" s="190" t="s">
        <v>4679</v>
      </c>
      <c r="D530" s="191" t="n">
        <v>5511920569001</v>
      </c>
      <c r="E530" s="190" t="s">
        <v>122</v>
      </c>
      <c r="F530" s="192" t="n">
        <f aca="false">SUMIF(ENTRADAS!F:F,CLIENTES_PCBR[[#This Row],[TELEFONO]],ENTRADAS!C:C)</f>
        <v>90</v>
      </c>
      <c r="G530" s="189" t="s">
        <v>94</v>
      </c>
    </row>
    <row r="531" customFormat="false" ht="15" hidden="false" customHeight="false" outlineLevel="0" collapsed="false">
      <c r="A531" s="197"/>
      <c r="B531" s="191"/>
      <c r="C531" s="190" t="s">
        <v>4680</v>
      </c>
      <c r="D531" s="191" t="n">
        <v>553798713218</v>
      </c>
      <c r="E531" s="190" t="s">
        <v>4681</v>
      </c>
      <c r="F531" s="192" t="n">
        <f aca="false">SUMIF(ENTRADAS!F:F,CLIENTES_PCBR[[#This Row],[TELEFONO]],ENTRADAS!C:C)</f>
        <v>0</v>
      </c>
      <c r="G531" s="189" t="s">
        <v>94</v>
      </c>
    </row>
    <row r="532" customFormat="false" ht="15" hidden="false" customHeight="false" outlineLevel="0" collapsed="false">
      <c r="A532" s="197"/>
      <c r="B532" s="191"/>
      <c r="C532" s="190" t="s">
        <v>4682</v>
      </c>
      <c r="D532" s="191" t="n">
        <v>556281679079</v>
      </c>
      <c r="E532" s="190" t="s">
        <v>4683</v>
      </c>
      <c r="F532" s="192" t="n">
        <f aca="false">SUMIF(ENTRADAS!F:F,CLIENTES_PCBR[[#This Row],[TELEFONO]],ENTRADAS!C:C)</f>
        <v>0</v>
      </c>
      <c r="G532" s="189" t="s">
        <v>94</v>
      </c>
    </row>
    <row r="533" customFormat="false" ht="15" hidden="false" customHeight="false" outlineLevel="0" collapsed="false">
      <c r="A533" s="197"/>
      <c r="B533" s="191"/>
      <c r="C533" s="190" t="s">
        <v>4684</v>
      </c>
      <c r="D533" s="191" t="n">
        <v>554196372550</v>
      </c>
      <c r="E533" s="190" t="s">
        <v>4685</v>
      </c>
      <c r="F533" s="192" t="n">
        <f aca="false">SUMIF(ENTRADAS!F:F,CLIENTES_PCBR[[#This Row],[TELEFONO]],ENTRADAS!C:C)</f>
        <v>0</v>
      </c>
      <c r="G533" s="189" t="s">
        <v>94</v>
      </c>
    </row>
    <row r="534" customFormat="false" ht="15" hidden="false" customHeight="false" outlineLevel="0" collapsed="false">
      <c r="A534" s="197"/>
      <c r="B534" s="191"/>
      <c r="C534" s="190" t="s">
        <v>4686</v>
      </c>
      <c r="D534" s="191" t="n">
        <v>556798519938</v>
      </c>
      <c r="E534" s="190" t="s">
        <v>4687</v>
      </c>
      <c r="F534" s="192" t="n">
        <f aca="false">SUMIF(ENTRADAS!F:F,CLIENTES_PCBR[[#This Row],[TELEFONO]],ENTRADAS!C:C)</f>
        <v>0</v>
      </c>
      <c r="G534" s="189" t="s">
        <v>94</v>
      </c>
    </row>
    <row r="535" customFormat="false" ht="15" hidden="false" customHeight="false" outlineLevel="0" collapsed="false">
      <c r="A535" s="197"/>
      <c r="B535" s="191"/>
      <c r="C535" s="190" t="s">
        <v>4688</v>
      </c>
      <c r="D535" s="191" t="n">
        <v>554888117122</v>
      </c>
      <c r="E535" s="190" t="s">
        <v>4689</v>
      </c>
      <c r="F535" s="192" t="n">
        <f aca="false">SUMIF(ENTRADAS!F:F,CLIENTES_PCBR[[#This Row],[TELEFONO]],ENTRADAS!C:C)</f>
        <v>0</v>
      </c>
      <c r="G535" s="189" t="s">
        <v>94</v>
      </c>
    </row>
    <row r="536" customFormat="false" ht="15" hidden="false" customHeight="false" outlineLevel="0" collapsed="false">
      <c r="A536" s="197"/>
      <c r="B536" s="191"/>
      <c r="C536" s="190" t="s">
        <v>4690</v>
      </c>
      <c r="D536" s="191" t="n">
        <v>559584280582</v>
      </c>
      <c r="E536" s="190" t="s">
        <v>4691</v>
      </c>
      <c r="F536" s="192" t="n">
        <f aca="false">SUMIF(ENTRADAS!F:F,CLIENTES_PCBR[[#This Row],[TELEFONO]],ENTRADAS!C:C)</f>
        <v>0</v>
      </c>
      <c r="G536" s="189" t="s">
        <v>94</v>
      </c>
    </row>
    <row r="537" customFormat="false" ht="15" hidden="false" customHeight="false" outlineLevel="0" collapsed="false">
      <c r="A537" s="197"/>
      <c r="B537" s="191"/>
      <c r="C537" s="190" t="s">
        <v>1070</v>
      </c>
      <c r="D537" s="191" t="n">
        <v>557192856416</v>
      </c>
      <c r="E537" s="190" t="s">
        <v>4692</v>
      </c>
      <c r="F537" s="192" t="n">
        <f aca="false">SUMIF(ENTRADAS!F:F,CLIENTES_PCBR[[#This Row],[TELEFONO]],ENTRADAS!C:C)</f>
        <v>0</v>
      </c>
      <c r="G537" s="189" t="s">
        <v>94</v>
      </c>
    </row>
    <row r="538" customFormat="false" ht="15" hidden="false" customHeight="false" outlineLevel="0" collapsed="false">
      <c r="A538" s="197"/>
      <c r="B538" s="191"/>
      <c r="C538" s="190" t="s">
        <v>4693</v>
      </c>
      <c r="D538" s="191" t="n">
        <v>5519997086549</v>
      </c>
      <c r="E538" s="190" t="s">
        <v>4694</v>
      </c>
      <c r="F538" s="192" t="n">
        <f aca="false">SUMIF(ENTRADAS!F:F,CLIENTES_PCBR[[#This Row],[TELEFONO]],ENTRADAS!C:C)</f>
        <v>0</v>
      </c>
      <c r="G538" s="189" t="s">
        <v>94</v>
      </c>
    </row>
    <row r="539" customFormat="false" ht="15" hidden="false" customHeight="false" outlineLevel="0" collapsed="false">
      <c r="A539" s="197"/>
      <c r="B539" s="191"/>
      <c r="C539" s="190" t="s">
        <v>4695</v>
      </c>
      <c r="D539" s="191" t="n">
        <v>554196182496</v>
      </c>
      <c r="E539" s="190" t="s">
        <v>4696</v>
      </c>
      <c r="F539" s="192" t="n">
        <f aca="false">SUMIF(ENTRADAS!F:F,CLIENTES_PCBR[[#This Row],[TELEFONO]],ENTRADAS!C:C)</f>
        <v>0</v>
      </c>
      <c r="G539" s="189" t="s">
        <v>94</v>
      </c>
    </row>
    <row r="540" customFormat="false" ht="15" hidden="false" customHeight="false" outlineLevel="0" collapsed="false">
      <c r="A540" s="197"/>
      <c r="B540" s="191"/>
      <c r="C540" s="190" t="s">
        <v>925</v>
      </c>
      <c r="D540" s="191" t="n">
        <v>554191733801</v>
      </c>
      <c r="E540" s="190" t="s">
        <v>926</v>
      </c>
      <c r="F540" s="192" t="n">
        <f aca="false">SUMIF(ENTRADAS!F:F,CLIENTES_PCBR[[#This Row],[TELEFONO]],ENTRADAS!C:C)</f>
        <v>600</v>
      </c>
      <c r="G540" s="189" t="s">
        <v>94</v>
      </c>
    </row>
    <row r="541" customFormat="false" ht="15" hidden="false" customHeight="false" outlineLevel="0" collapsed="false">
      <c r="A541" s="197"/>
      <c r="B541" s="191"/>
      <c r="C541" s="190" t="s">
        <v>4697</v>
      </c>
      <c r="D541" s="191" t="n">
        <v>5518997888600</v>
      </c>
      <c r="E541" s="190" t="s">
        <v>4698</v>
      </c>
      <c r="F541" s="192" t="n">
        <f aca="false">SUMIF(ENTRADAS!F:F,CLIENTES_PCBR[[#This Row],[TELEFONO]],ENTRADAS!C:C)</f>
        <v>0</v>
      </c>
      <c r="G541" s="189" t="s">
        <v>94</v>
      </c>
    </row>
    <row r="542" customFormat="false" ht="15" hidden="false" customHeight="false" outlineLevel="0" collapsed="false">
      <c r="A542" s="197"/>
      <c r="B542" s="191"/>
      <c r="C542" s="190" t="s">
        <v>4699</v>
      </c>
      <c r="D542" s="191" t="n">
        <v>554197344704</v>
      </c>
      <c r="E542" s="190" t="s">
        <v>4700</v>
      </c>
      <c r="F542" s="192" t="n">
        <f aca="false">SUMIF(ENTRADAS!F:F,CLIENTES_PCBR[[#This Row],[TELEFONO]],ENTRADAS!C:C)</f>
        <v>0</v>
      </c>
      <c r="G542" s="189" t="s">
        <v>94</v>
      </c>
    </row>
    <row r="543" customFormat="false" ht="15" hidden="false" customHeight="false" outlineLevel="0" collapsed="false">
      <c r="A543" s="197"/>
      <c r="B543" s="191"/>
      <c r="C543" s="190" t="s">
        <v>3782</v>
      </c>
      <c r="D543" s="191" t="n">
        <v>556291104005</v>
      </c>
      <c r="E543" s="190" t="s">
        <v>4701</v>
      </c>
      <c r="F543" s="192" t="n">
        <f aca="false">SUMIF(ENTRADAS!F:F,CLIENTES_PCBR[[#This Row],[TELEFONO]],ENTRADAS!C:C)</f>
        <v>295</v>
      </c>
      <c r="G543" s="189" t="s">
        <v>94</v>
      </c>
    </row>
    <row r="544" customFormat="false" ht="15" hidden="false" customHeight="false" outlineLevel="0" collapsed="false">
      <c r="A544" s="197"/>
      <c r="B544" s="191"/>
      <c r="C544" s="190" t="s">
        <v>4702</v>
      </c>
      <c r="D544" s="191" t="n">
        <v>555494147285</v>
      </c>
      <c r="F544" s="192" t="n">
        <f aca="false">SUMIF(ENTRADAS!F:F,CLIENTES_PCBR[[#This Row],[TELEFONO]],ENTRADAS!C:C)</f>
        <v>0</v>
      </c>
      <c r="G544" s="189" t="s">
        <v>94</v>
      </c>
    </row>
    <row r="545" customFormat="false" ht="15" hidden="false" customHeight="false" outlineLevel="0" collapsed="false">
      <c r="A545" s="197"/>
      <c r="B545" s="191"/>
      <c r="C545" s="190" t="s">
        <v>4703</v>
      </c>
      <c r="D545" s="191" t="n">
        <v>554891135943</v>
      </c>
      <c r="E545" s="190" t="s">
        <v>4704</v>
      </c>
      <c r="F545" s="192" t="n">
        <f aca="false">SUMIF(ENTRADAS!F:F,CLIENTES_PCBR[[#This Row],[TELEFONO]],ENTRADAS!C:C)</f>
        <v>0</v>
      </c>
      <c r="G545" s="189" t="s">
        <v>94</v>
      </c>
    </row>
    <row r="546" customFormat="false" ht="15" hidden="false" customHeight="false" outlineLevel="0" collapsed="false">
      <c r="A546" s="197"/>
      <c r="B546" s="191"/>
      <c r="C546" s="190" t="s">
        <v>4705</v>
      </c>
      <c r="D546" s="191" t="n">
        <v>554892251114</v>
      </c>
      <c r="E546" s="190" t="s">
        <v>4706</v>
      </c>
      <c r="F546" s="192" t="n">
        <f aca="false">SUMIF(ENTRADAS!F:F,CLIENTES_PCBR[[#This Row],[TELEFONO]],ENTRADAS!C:C)</f>
        <v>0</v>
      </c>
      <c r="G546" s="189" t="s">
        <v>94</v>
      </c>
    </row>
    <row r="547" customFormat="false" ht="15" hidden="false" customHeight="false" outlineLevel="0" collapsed="false">
      <c r="A547" s="197"/>
      <c r="B547" s="191"/>
      <c r="C547" s="190" t="s">
        <v>4707</v>
      </c>
      <c r="D547" s="191" t="n">
        <v>554896872553</v>
      </c>
      <c r="F547" s="192" t="n">
        <f aca="false">SUMIF(ENTRADAS!F:F,CLIENTES_PCBR[[#This Row],[TELEFONO]],ENTRADAS!C:C)</f>
        <v>0</v>
      </c>
      <c r="G547" s="189" t="s">
        <v>94</v>
      </c>
    </row>
    <row r="548" customFormat="false" ht="15" hidden="false" customHeight="false" outlineLevel="0" collapsed="false">
      <c r="A548" s="197"/>
      <c r="B548" s="191"/>
      <c r="C548" s="190" t="s">
        <v>4708</v>
      </c>
      <c r="D548" s="191" t="n">
        <v>556593101380</v>
      </c>
      <c r="E548" s="190" t="s">
        <v>4709</v>
      </c>
      <c r="F548" s="192" t="n">
        <f aca="false">SUMIF(ENTRADAS!F:F,CLIENTES_PCBR[[#This Row],[TELEFONO]],ENTRADAS!C:C)</f>
        <v>0</v>
      </c>
      <c r="G548" s="189" t="s">
        <v>94</v>
      </c>
    </row>
    <row r="549" customFormat="false" ht="15" hidden="false" customHeight="false" outlineLevel="0" collapsed="false">
      <c r="A549" s="197"/>
      <c r="B549" s="191"/>
      <c r="C549" s="190" t="s">
        <v>4710</v>
      </c>
      <c r="D549" s="191" t="n">
        <v>554192536274</v>
      </c>
      <c r="E549" s="190" t="s">
        <v>4711</v>
      </c>
      <c r="F549" s="192" t="n">
        <f aca="false">SUMIF(ENTRADAS!F:F,CLIENTES_PCBR[[#This Row],[TELEFONO]],ENTRADAS!C:C)</f>
        <v>0</v>
      </c>
      <c r="G549" s="189" t="s">
        <v>94</v>
      </c>
    </row>
    <row r="550" customFormat="false" ht="15" hidden="false" customHeight="false" outlineLevel="0" collapsed="false">
      <c r="A550" s="197"/>
      <c r="B550" s="191"/>
      <c r="C550" s="190" t="s">
        <v>4712</v>
      </c>
      <c r="D550" s="191" t="n">
        <v>554899216866</v>
      </c>
      <c r="E550" s="190" t="s">
        <v>4713</v>
      </c>
      <c r="F550" s="192" t="n">
        <f aca="false">SUMIF(ENTRADAS!F:F,CLIENTES_PCBR[[#This Row],[TELEFONO]],ENTRADAS!C:C)</f>
        <v>0</v>
      </c>
      <c r="G550" s="189" t="s">
        <v>94</v>
      </c>
    </row>
    <row r="551" customFormat="false" ht="15" hidden="false" customHeight="false" outlineLevel="0" collapsed="false">
      <c r="A551" s="197"/>
      <c r="B551" s="191"/>
      <c r="C551" s="190" t="s">
        <v>4714</v>
      </c>
      <c r="D551" s="191" t="n">
        <v>5527998265092</v>
      </c>
      <c r="F551" s="192" t="n">
        <f aca="false">SUMIF(ENTRADAS!F:F,CLIENTES_PCBR[[#This Row],[TELEFONO]],ENTRADAS!C:C)</f>
        <v>0</v>
      </c>
      <c r="G551" s="189" t="s">
        <v>94</v>
      </c>
    </row>
    <row r="552" customFormat="false" ht="15" hidden="false" customHeight="false" outlineLevel="0" collapsed="false">
      <c r="A552" s="197"/>
      <c r="B552" s="191"/>
      <c r="C552" s="190" t="s">
        <v>4715</v>
      </c>
      <c r="D552" s="191" t="n">
        <v>554197282234</v>
      </c>
      <c r="E552" s="190" t="s">
        <v>4716</v>
      </c>
      <c r="F552" s="192" t="n">
        <f aca="false">SUMIF(ENTRADAS!F:F,CLIENTES_PCBR[[#This Row],[TELEFONO]],ENTRADAS!C:C)</f>
        <v>0</v>
      </c>
      <c r="G552" s="189" t="s">
        <v>94</v>
      </c>
    </row>
    <row r="553" customFormat="false" ht="15" hidden="false" customHeight="false" outlineLevel="0" collapsed="false">
      <c r="A553" s="197"/>
      <c r="B553" s="191"/>
      <c r="C553" s="190" t="s">
        <v>4717</v>
      </c>
      <c r="D553" s="191" t="n">
        <v>554199389870</v>
      </c>
      <c r="E553" s="190" t="s">
        <v>4718</v>
      </c>
      <c r="F553" s="192" t="n">
        <f aca="false">SUMIF(ENTRADAS!F:F,CLIENTES_PCBR[[#This Row],[TELEFONO]],ENTRADAS!C:C)</f>
        <v>0</v>
      </c>
      <c r="G553" s="189" t="s">
        <v>94</v>
      </c>
    </row>
    <row r="554" customFormat="false" ht="15" hidden="false" customHeight="false" outlineLevel="0" collapsed="false">
      <c r="A554" s="197"/>
      <c r="B554" s="191"/>
      <c r="C554" s="190" t="s">
        <v>4719</v>
      </c>
      <c r="D554" s="191" t="n">
        <v>554891055734</v>
      </c>
      <c r="E554" s="190" t="s">
        <v>4720</v>
      </c>
      <c r="F554" s="192" t="n">
        <f aca="false">SUMIF(ENTRADAS!F:F,CLIENTES_PCBR[[#This Row],[TELEFONO]],ENTRADAS!C:C)</f>
        <v>0</v>
      </c>
      <c r="G554" s="189" t="s">
        <v>94</v>
      </c>
    </row>
    <row r="555" customFormat="false" ht="15" hidden="false" customHeight="false" outlineLevel="0" collapsed="false">
      <c r="A555" s="197"/>
      <c r="B555" s="191"/>
      <c r="C555" s="190" t="s">
        <v>4721</v>
      </c>
      <c r="D555" s="191" t="n">
        <v>554598313676</v>
      </c>
      <c r="E555" s="190" t="s">
        <v>4722</v>
      </c>
      <c r="F555" s="192" t="n">
        <f aca="false">SUMIF(ENTRADAS!F:F,CLIENTES_PCBR[[#This Row],[TELEFONO]],ENTRADAS!C:C)</f>
        <v>0</v>
      </c>
      <c r="G555" s="189" t="s">
        <v>94</v>
      </c>
    </row>
    <row r="556" customFormat="false" ht="15" hidden="false" customHeight="false" outlineLevel="0" collapsed="false">
      <c r="A556" s="197"/>
      <c r="B556" s="191"/>
      <c r="C556" s="190" t="s">
        <v>4723</v>
      </c>
      <c r="D556" s="191" t="n">
        <v>555493020421</v>
      </c>
      <c r="E556" s="190" t="s">
        <v>4724</v>
      </c>
      <c r="F556" s="192" t="n">
        <f aca="false">SUMIF(ENTRADAS!F:F,CLIENTES_PCBR[[#This Row],[TELEFONO]],ENTRADAS!C:C)</f>
        <v>0</v>
      </c>
      <c r="G556" s="189" t="s">
        <v>94</v>
      </c>
    </row>
    <row r="557" customFormat="false" ht="15" hidden="false" customHeight="false" outlineLevel="0" collapsed="false">
      <c r="A557" s="197"/>
      <c r="B557" s="191"/>
      <c r="C557" s="190" t="s">
        <v>4725</v>
      </c>
      <c r="D557" s="191" t="n">
        <v>557196670721</v>
      </c>
      <c r="E557" s="190" t="s">
        <v>4726</v>
      </c>
      <c r="F557" s="192" t="n">
        <f aca="false">SUMIF(ENTRADAS!F:F,CLIENTES_PCBR[[#This Row],[TELEFONO]],ENTRADAS!C:C)</f>
        <v>0</v>
      </c>
      <c r="G557" s="189" t="s">
        <v>94</v>
      </c>
    </row>
    <row r="558" customFormat="false" ht="15" hidden="false" customHeight="false" outlineLevel="0" collapsed="false">
      <c r="A558" s="197"/>
      <c r="B558" s="191"/>
      <c r="C558" s="190" t="s">
        <v>4727</v>
      </c>
      <c r="D558" s="191" t="n">
        <v>554891245440</v>
      </c>
      <c r="E558" s="190" t="s">
        <v>4728</v>
      </c>
      <c r="F558" s="192" t="n">
        <f aca="false">SUMIF(ENTRADAS!F:F,CLIENTES_PCBR[[#This Row],[TELEFONO]],ENTRADAS!C:C)</f>
        <v>0</v>
      </c>
      <c r="G558" s="189" t="s">
        <v>94</v>
      </c>
    </row>
    <row r="559" customFormat="false" ht="15" hidden="false" customHeight="false" outlineLevel="0" collapsed="false">
      <c r="A559" s="197"/>
      <c r="B559" s="191"/>
      <c r="C559" s="190" t="s">
        <v>4729</v>
      </c>
      <c r="D559" s="191" t="n">
        <v>554199379830</v>
      </c>
      <c r="E559" s="190" t="s">
        <v>4730</v>
      </c>
      <c r="F559" s="192" t="n">
        <f aca="false">SUMIF(ENTRADAS!F:F,CLIENTES_PCBR[[#This Row],[TELEFONO]],ENTRADAS!C:C)</f>
        <v>0</v>
      </c>
      <c r="G559" s="189" t="s">
        <v>94</v>
      </c>
    </row>
    <row r="560" customFormat="false" ht="15" hidden="false" customHeight="false" outlineLevel="0" collapsed="false">
      <c r="A560" s="197"/>
      <c r="B560" s="191"/>
      <c r="C560" s="190" t="s">
        <v>4731</v>
      </c>
      <c r="D560" s="191" t="n">
        <v>556592699162</v>
      </c>
      <c r="F560" s="192" t="n">
        <f aca="false">SUMIF(ENTRADAS!F:F,CLIENTES_PCBR[[#This Row],[TELEFONO]],ENTRADAS!C:C)</f>
        <v>0</v>
      </c>
      <c r="G560" s="189" t="s">
        <v>94</v>
      </c>
    </row>
    <row r="561" customFormat="false" ht="15" hidden="false" customHeight="false" outlineLevel="0" collapsed="false">
      <c r="A561" s="197"/>
      <c r="B561" s="191"/>
      <c r="C561" s="190" t="s">
        <v>4732</v>
      </c>
      <c r="D561" s="191" t="n">
        <v>554899491765</v>
      </c>
      <c r="E561" s="190" t="s">
        <v>4733</v>
      </c>
      <c r="F561" s="192" t="n">
        <f aca="false">SUMIF(ENTRADAS!F:F,CLIENTES_PCBR[[#This Row],[TELEFONO]],ENTRADAS!C:C)</f>
        <v>0</v>
      </c>
      <c r="G561" s="189" t="s">
        <v>94</v>
      </c>
    </row>
    <row r="562" customFormat="false" ht="15" hidden="false" customHeight="false" outlineLevel="0" collapsed="false">
      <c r="A562" s="197"/>
      <c r="B562" s="191"/>
      <c r="C562" s="190" t="s">
        <v>4734</v>
      </c>
      <c r="D562" s="191" t="n">
        <v>555481149452</v>
      </c>
      <c r="E562" s="190" t="s">
        <v>4735</v>
      </c>
      <c r="F562" s="192" t="n">
        <f aca="false">SUMIF(ENTRADAS!F:F,CLIENTES_PCBR[[#This Row],[TELEFONO]],ENTRADAS!C:C)</f>
        <v>0</v>
      </c>
      <c r="G562" s="189" t="s">
        <v>94</v>
      </c>
    </row>
    <row r="563" customFormat="false" ht="15" hidden="false" customHeight="false" outlineLevel="0" collapsed="false">
      <c r="A563" s="197"/>
      <c r="B563" s="191"/>
      <c r="C563" s="190" t="s">
        <v>4736</v>
      </c>
      <c r="D563" s="191" t="n">
        <v>559591616524</v>
      </c>
      <c r="E563" s="190" t="s">
        <v>4737</v>
      </c>
      <c r="F563" s="192" t="n">
        <f aca="false">SUMIF(ENTRADAS!F:F,CLIENTES_PCBR[[#This Row],[TELEFONO]],ENTRADAS!C:C)</f>
        <v>0</v>
      </c>
      <c r="G563" s="189" t="s">
        <v>94</v>
      </c>
    </row>
    <row r="564" customFormat="false" ht="15" hidden="false" customHeight="false" outlineLevel="0" collapsed="false">
      <c r="A564" s="197"/>
      <c r="B564" s="191"/>
      <c r="C564" s="190" t="s">
        <v>4738</v>
      </c>
      <c r="D564" s="191" t="n">
        <v>554399341820</v>
      </c>
      <c r="E564" s="190" t="s">
        <v>784</v>
      </c>
      <c r="F564" s="192" t="n">
        <f aca="false">SUMIF(ENTRADAS!F:F,CLIENTES_PCBR[[#This Row],[TELEFONO]],ENTRADAS!C:C)</f>
        <v>250</v>
      </c>
      <c r="G564" s="189" t="s">
        <v>94</v>
      </c>
    </row>
    <row r="565" customFormat="false" ht="15" hidden="false" customHeight="false" outlineLevel="0" collapsed="false">
      <c r="A565" s="197"/>
      <c r="B565" s="191"/>
      <c r="C565" s="190" t="s">
        <v>4739</v>
      </c>
      <c r="D565" s="191" t="n">
        <v>5511967084173</v>
      </c>
      <c r="E565" s="190" t="s">
        <v>4740</v>
      </c>
      <c r="F565" s="192" t="n">
        <f aca="false">SUMIF(ENTRADAS!F:F,CLIENTES_PCBR[[#This Row],[TELEFONO]],ENTRADAS!C:C)</f>
        <v>0</v>
      </c>
      <c r="G565" s="189" t="s">
        <v>94</v>
      </c>
    </row>
    <row r="566" customFormat="false" ht="15" hidden="false" customHeight="false" outlineLevel="0" collapsed="false">
      <c r="A566" s="197"/>
      <c r="B566" s="191"/>
      <c r="C566" s="190" t="s">
        <v>4741</v>
      </c>
      <c r="D566" s="191" t="n">
        <v>554674007171</v>
      </c>
      <c r="E566" s="190" t="s">
        <v>4742</v>
      </c>
      <c r="F566" s="192" t="n">
        <f aca="false">SUMIF(ENTRADAS!F:F,CLIENTES_PCBR[[#This Row],[TELEFONO]],ENTRADAS!C:C)</f>
        <v>0</v>
      </c>
      <c r="G566" s="189" t="s">
        <v>94</v>
      </c>
    </row>
    <row r="567" customFormat="false" ht="15" hidden="false" customHeight="false" outlineLevel="0" collapsed="false">
      <c r="A567" s="197"/>
      <c r="B567" s="191"/>
      <c r="C567" s="190" t="s">
        <v>4743</v>
      </c>
      <c r="D567" s="191" t="n">
        <v>5527999930706</v>
      </c>
      <c r="E567" s="190" t="s">
        <v>4744</v>
      </c>
      <c r="F567" s="192" t="n">
        <f aca="false">SUMIF(ENTRADAS!F:F,CLIENTES_PCBR[[#This Row],[TELEFONO]],ENTRADAS!C:C)</f>
        <v>0</v>
      </c>
      <c r="G567" s="189" t="s">
        <v>94</v>
      </c>
    </row>
    <row r="568" customFormat="false" ht="15" hidden="false" customHeight="false" outlineLevel="0" collapsed="false">
      <c r="A568" s="197"/>
      <c r="B568" s="191"/>
      <c r="C568" s="190" t="s">
        <v>4745</v>
      </c>
      <c r="D568" s="191" t="n">
        <v>554896867576</v>
      </c>
      <c r="E568" s="190" t="s">
        <v>4746</v>
      </c>
      <c r="F568" s="192" t="n">
        <f aca="false">SUMIF(ENTRADAS!F:F,CLIENTES_PCBR[[#This Row],[TELEFONO]],ENTRADAS!C:C)</f>
        <v>0</v>
      </c>
      <c r="G568" s="189" t="s">
        <v>94</v>
      </c>
    </row>
    <row r="569" customFormat="false" ht="15" hidden="false" customHeight="false" outlineLevel="0" collapsed="false">
      <c r="A569" s="197"/>
      <c r="B569" s="191"/>
      <c r="C569" s="190" t="s">
        <v>432</v>
      </c>
      <c r="D569" s="191" t="n">
        <v>554789227501</v>
      </c>
      <c r="E569" s="190" t="s">
        <v>4747</v>
      </c>
      <c r="F569" s="192" t="n">
        <f aca="false">SUMIF(ENTRADAS!F:F,CLIENTES_PCBR[[#This Row],[TELEFONO]],ENTRADAS!C:C)</f>
        <v>147</v>
      </c>
      <c r="G569" s="189" t="s">
        <v>94</v>
      </c>
    </row>
    <row r="570" customFormat="false" ht="15" hidden="false" customHeight="false" outlineLevel="0" collapsed="false">
      <c r="A570" s="197"/>
      <c r="B570" s="191"/>
      <c r="C570" s="190" t="s">
        <v>4748</v>
      </c>
      <c r="D570" s="191" t="n">
        <v>553898493096</v>
      </c>
      <c r="E570" s="190" t="s">
        <v>4749</v>
      </c>
      <c r="F570" s="192" t="n">
        <f aca="false">SUMIF(ENTRADAS!F:F,CLIENTES_PCBR[[#This Row],[TELEFONO]],ENTRADAS!C:C)</f>
        <v>0</v>
      </c>
      <c r="G570" s="189" t="s">
        <v>94</v>
      </c>
    </row>
    <row r="571" customFormat="false" ht="15" hidden="false" customHeight="false" outlineLevel="0" collapsed="false">
      <c r="A571" s="197"/>
      <c r="B571" s="191"/>
      <c r="C571" s="190" t="s">
        <v>4750</v>
      </c>
      <c r="D571" s="191" t="n">
        <v>559684366276</v>
      </c>
      <c r="F571" s="192" t="n">
        <f aca="false">SUMIF(ENTRADAS!F:F,CLIENTES_PCBR[[#This Row],[TELEFONO]],ENTRADAS!C:C)</f>
        <v>0</v>
      </c>
      <c r="G571" s="189" t="s">
        <v>94</v>
      </c>
    </row>
    <row r="572" customFormat="false" ht="15" hidden="false" customHeight="false" outlineLevel="0" collapsed="false">
      <c r="A572" s="197"/>
      <c r="B572" s="191"/>
      <c r="C572" s="190" t="s">
        <v>4751</v>
      </c>
      <c r="D572" s="191" t="n">
        <v>5518998074611</v>
      </c>
      <c r="E572" s="190" t="s">
        <v>4752</v>
      </c>
      <c r="F572" s="192" t="n">
        <f aca="false">SUMIF(ENTRADAS!F:F,CLIENTES_PCBR[[#This Row],[TELEFONO]],ENTRADAS!C:C)</f>
        <v>0</v>
      </c>
      <c r="G572" s="189" t="s">
        <v>94</v>
      </c>
    </row>
    <row r="573" customFormat="false" ht="15" hidden="false" customHeight="false" outlineLevel="0" collapsed="false">
      <c r="A573" s="197"/>
      <c r="B573" s="191"/>
      <c r="C573" s="190" t="s">
        <v>4753</v>
      </c>
      <c r="D573" s="191" t="n">
        <v>554196921118</v>
      </c>
      <c r="E573" s="190" t="s">
        <v>4754</v>
      </c>
      <c r="F573" s="192" t="n">
        <f aca="false">SUMIF(ENTRADAS!F:F,CLIENTES_PCBR[[#This Row],[TELEFONO]],ENTRADAS!C:C)</f>
        <v>0</v>
      </c>
      <c r="G573" s="189" t="s">
        <v>94</v>
      </c>
    </row>
    <row r="574" customFormat="false" ht="15" hidden="false" customHeight="false" outlineLevel="0" collapsed="false">
      <c r="A574" s="197"/>
      <c r="B574" s="191"/>
      <c r="C574" s="190" t="s">
        <v>4755</v>
      </c>
      <c r="D574" s="191" t="n">
        <v>554888023062</v>
      </c>
      <c r="E574" s="190" t="s">
        <v>4756</v>
      </c>
      <c r="F574" s="192" t="n">
        <f aca="false">SUMIF(ENTRADAS!F:F,CLIENTES_PCBR[[#This Row],[TELEFONO]],ENTRADAS!C:C)</f>
        <v>0</v>
      </c>
      <c r="G574" s="189" t="s">
        <v>94</v>
      </c>
    </row>
    <row r="575" customFormat="false" ht="15" hidden="false" customHeight="false" outlineLevel="0" collapsed="false">
      <c r="A575" s="197"/>
      <c r="B575" s="191"/>
      <c r="C575" s="190" t="s">
        <v>734</v>
      </c>
      <c r="D575" s="191" t="n">
        <v>554199428920</v>
      </c>
      <c r="E575" s="190" t="s">
        <v>735</v>
      </c>
      <c r="F575" s="192" t="n">
        <f aca="false">SUMIF(ENTRADAS!F:F,CLIENTES_PCBR[[#This Row],[TELEFONO]],ENTRADAS!C:C)</f>
        <v>0</v>
      </c>
      <c r="G575" s="189" t="s">
        <v>94</v>
      </c>
    </row>
    <row r="576" customFormat="false" ht="15" hidden="false" customHeight="false" outlineLevel="0" collapsed="false">
      <c r="A576" s="197"/>
      <c r="B576" s="191"/>
      <c r="C576" s="190" t="s">
        <v>888</v>
      </c>
      <c r="D576" s="191" t="n">
        <v>5511947689597</v>
      </c>
      <c r="E576" s="190" t="s">
        <v>889</v>
      </c>
      <c r="F576" s="192" t="n">
        <f aca="false">SUMIF(ENTRADAS!F:F,CLIENTES_PCBR[[#This Row],[TELEFONO]],ENTRADAS!C:C)</f>
        <v>97</v>
      </c>
      <c r="G576" s="189" t="s">
        <v>94</v>
      </c>
    </row>
    <row r="577" customFormat="false" ht="15" hidden="false" customHeight="false" outlineLevel="0" collapsed="false">
      <c r="A577" s="197"/>
      <c r="B577" s="191"/>
      <c r="C577" s="190" t="s">
        <v>4757</v>
      </c>
      <c r="D577" s="191" t="n">
        <v>554197156998</v>
      </c>
      <c r="E577" s="190" t="s">
        <v>4758</v>
      </c>
      <c r="F577" s="192" t="n">
        <f aca="false">SUMIF(ENTRADAS!F:F,CLIENTES_PCBR[[#This Row],[TELEFONO]],ENTRADAS!C:C)</f>
        <v>0</v>
      </c>
      <c r="G577" s="189" t="s">
        <v>94</v>
      </c>
    </row>
    <row r="578" customFormat="false" ht="15" hidden="false" customHeight="false" outlineLevel="0" collapsed="false">
      <c r="A578" s="197"/>
      <c r="B578" s="191"/>
      <c r="C578" s="190" t="s">
        <v>4759</v>
      </c>
      <c r="D578" s="191" t="n">
        <v>556596455095</v>
      </c>
      <c r="E578" s="190" t="s">
        <v>4760</v>
      </c>
      <c r="F578" s="192" t="n">
        <f aca="false">SUMIF(ENTRADAS!F:F,CLIENTES_PCBR[[#This Row],[TELEFONO]],ENTRADAS!C:C)</f>
        <v>0</v>
      </c>
      <c r="G578" s="189" t="s">
        <v>94</v>
      </c>
    </row>
    <row r="579" customFormat="false" ht="15" hidden="false" customHeight="false" outlineLevel="0" collapsed="false">
      <c r="A579" s="197"/>
      <c r="B579" s="191"/>
      <c r="C579" s="190" t="s">
        <v>410</v>
      </c>
      <c r="D579" s="191" t="n">
        <v>559574001801</v>
      </c>
      <c r="E579" s="190" t="s">
        <v>4761</v>
      </c>
      <c r="F579" s="192" t="n">
        <f aca="false">SUMIF(ENTRADAS!F:F,CLIENTES_PCBR[[#This Row],[TELEFONO]],ENTRADAS!C:C)</f>
        <v>0</v>
      </c>
      <c r="G579" s="189" t="s">
        <v>94</v>
      </c>
    </row>
    <row r="580" customFormat="false" ht="15" hidden="false" customHeight="false" outlineLevel="0" collapsed="false">
      <c r="A580" s="197"/>
      <c r="B580" s="191"/>
      <c r="C580" s="190" t="s">
        <v>4762</v>
      </c>
      <c r="D580" s="191" t="n">
        <v>554198867867</v>
      </c>
      <c r="E580" s="190" t="s">
        <v>4763</v>
      </c>
      <c r="F580" s="192" t="n">
        <f aca="false">SUMIF(ENTRADAS!F:F,CLIENTES_PCBR[[#This Row],[TELEFONO]],ENTRADAS!C:C)</f>
        <v>0</v>
      </c>
      <c r="G580" s="189" t="s">
        <v>94</v>
      </c>
    </row>
    <row r="581" customFormat="false" ht="15" hidden="false" customHeight="false" outlineLevel="0" collapsed="false">
      <c r="A581" s="197"/>
      <c r="B581" s="191"/>
      <c r="C581" s="190" t="s">
        <v>4764</v>
      </c>
      <c r="D581" s="191" t="n">
        <v>554896914653</v>
      </c>
      <c r="E581" s="190" t="s">
        <v>4765</v>
      </c>
      <c r="F581" s="192" t="n">
        <f aca="false">SUMIF(ENTRADAS!F:F,CLIENTES_PCBR[[#This Row],[TELEFONO]],ENTRADAS!C:C)</f>
        <v>0</v>
      </c>
      <c r="G581" s="189" t="s">
        <v>94</v>
      </c>
    </row>
    <row r="582" customFormat="false" ht="15" hidden="false" customHeight="false" outlineLevel="0" collapsed="false">
      <c r="A582" s="197"/>
      <c r="B582" s="191"/>
      <c r="C582" s="190" t="s">
        <v>141</v>
      </c>
      <c r="D582" s="191" t="n">
        <v>5512997624936</v>
      </c>
      <c r="E582" s="190" t="s">
        <v>142</v>
      </c>
      <c r="F582" s="192" t="n">
        <f aca="false">SUMIF(ENTRADAS!F:F,CLIENTES_PCBR[[#This Row],[TELEFONO]],ENTRADAS!C:C)</f>
        <v>150</v>
      </c>
      <c r="G582" s="189" t="s">
        <v>94</v>
      </c>
    </row>
    <row r="583" customFormat="false" ht="15" hidden="false" customHeight="false" outlineLevel="0" collapsed="false">
      <c r="A583" s="197"/>
      <c r="B583" s="191"/>
      <c r="C583" s="190" t="s">
        <v>4766</v>
      </c>
      <c r="D583" s="191" t="n">
        <v>554188451771</v>
      </c>
      <c r="E583" s="190" t="s">
        <v>4767</v>
      </c>
      <c r="F583" s="192" t="n">
        <f aca="false">SUMIF(ENTRADAS!F:F,CLIENTES_PCBR[[#This Row],[TELEFONO]],ENTRADAS!C:C)</f>
        <v>0</v>
      </c>
      <c r="G583" s="189" t="s">
        <v>94</v>
      </c>
    </row>
    <row r="584" customFormat="false" ht="15" hidden="false" customHeight="false" outlineLevel="0" collapsed="false">
      <c r="A584" s="197"/>
      <c r="B584" s="191"/>
      <c r="C584" s="190" t="s">
        <v>4768</v>
      </c>
      <c r="D584" s="191" t="n">
        <v>554196481610</v>
      </c>
      <c r="E584" s="190" t="s">
        <v>4769</v>
      </c>
      <c r="F584" s="192" t="n">
        <f aca="false">SUMIF(ENTRADAS!F:F,CLIENTES_PCBR[[#This Row],[TELEFONO]],ENTRADAS!C:C)</f>
        <v>0</v>
      </c>
      <c r="G584" s="189" t="s">
        <v>94</v>
      </c>
    </row>
    <row r="585" customFormat="false" ht="15" hidden="false" customHeight="false" outlineLevel="0" collapsed="false">
      <c r="A585" s="197"/>
      <c r="B585" s="191"/>
      <c r="C585" s="190" t="s">
        <v>4770</v>
      </c>
      <c r="D585" s="191" t="n">
        <v>554199074685</v>
      </c>
      <c r="F585" s="192" t="n">
        <f aca="false">SUMIF(ENTRADAS!F:F,CLIENTES_PCBR[[#This Row],[TELEFONO]],ENTRADAS!C:C)</f>
        <v>0</v>
      </c>
      <c r="G585" s="189" t="s">
        <v>94</v>
      </c>
    </row>
    <row r="586" customFormat="false" ht="15" hidden="false" customHeight="false" outlineLevel="0" collapsed="false">
      <c r="A586" s="197"/>
      <c r="B586" s="191"/>
      <c r="C586" s="190" t="s">
        <v>4771</v>
      </c>
      <c r="D586" s="191" t="n">
        <v>584269836433</v>
      </c>
      <c r="E586" s="190" t="s">
        <v>4772</v>
      </c>
      <c r="F586" s="192" t="n">
        <f aca="false">SUMIF(ENTRADAS!F:F,CLIENTES_PCBR[[#This Row],[TELEFONO]],ENTRADAS!C:C)</f>
        <v>0</v>
      </c>
      <c r="G586" s="189" t="s">
        <v>94</v>
      </c>
    </row>
    <row r="587" customFormat="false" ht="15" hidden="false" customHeight="false" outlineLevel="0" collapsed="false">
      <c r="A587" s="197"/>
      <c r="B587" s="191"/>
      <c r="C587" s="190" t="s">
        <v>4773</v>
      </c>
      <c r="D587" s="191" t="n">
        <v>559584077270</v>
      </c>
      <c r="E587" s="190" t="s">
        <v>4774</v>
      </c>
      <c r="F587" s="192" t="n">
        <f aca="false">SUMIF(ENTRADAS!F:F,CLIENTES_PCBR[[#This Row],[TELEFONO]],ENTRADAS!C:C)</f>
        <v>0</v>
      </c>
      <c r="G587" s="189" t="s">
        <v>94</v>
      </c>
    </row>
    <row r="588" customFormat="false" ht="15" hidden="false" customHeight="false" outlineLevel="0" collapsed="false">
      <c r="A588" s="197"/>
      <c r="B588" s="191"/>
      <c r="C588" s="190" t="s">
        <v>1758</v>
      </c>
      <c r="D588" s="191" t="n">
        <v>5511939372460</v>
      </c>
      <c r="E588" s="190" t="s">
        <v>1759</v>
      </c>
      <c r="F588" s="192" t="n">
        <f aca="false">SUMIF(ENTRADAS!F:F,CLIENTES_PCBR[[#This Row],[TELEFONO]],ENTRADAS!C:C)</f>
        <v>120</v>
      </c>
      <c r="G588" s="189" t="s">
        <v>94</v>
      </c>
    </row>
    <row r="589" customFormat="false" ht="15" hidden="false" customHeight="false" outlineLevel="0" collapsed="false">
      <c r="A589" s="197"/>
      <c r="B589" s="191"/>
      <c r="C589" s="190" t="s">
        <v>4775</v>
      </c>
      <c r="D589" s="191" t="n">
        <v>5351441081</v>
      </c>
      <c r="E589" s="190" t="s">
        <v>4776</v>
      </c>
      <c r="F589" s="192" t="n">
        <f aca="false">SUMIF(ENTRADAS!F:F,CLIENTES_PCBR[[#This Row],[TELEFONO]],ENTRADAS!C:C)</f>
        <v>0</v>
      </c>
      <c r="G589" s="189" t="s">
        <v>94</v>
      </c>
    </row>
    <row r="590" customFormat="false" ht="15" hidden="false" customHeight="false" outlineLevel="0" collapsed="false">
      <c r="A590" s="197"/>
      <c r="B590" s="191"/>
      <c r="C590" s="190" t="s">
        <v>4777</v>
      </c>
      <c r="D590" s="191" t="n">
        <v>554196412455</v>
      </c>
      <c r="E590" s="190" t="s">
        <v>4778</v>
      </c>
      <c r="F590" s="192" t="n">
        <f aca="false">SUMIF(ENTRADAS!F:F,CLIENTES_PCBR[[#This Row],[TELEFONO]],ENTRADAS!C:C)</f>
        <v>0</v>
      </c>
      <c r="G590" s="189" t="s">
        <v>94</v>
      </c>
    </row>
    <row r="591" customFormat="false" ht="15" hidden="false" customHeight="false" outlineLevel="0" collapsed="false">
      <c r="A591" s="197"/>
      <c r="B591" s="191"/>
      <c r="C591" s="190" t="s">
        <v>4779</v>
      </c>
      <c r="D591" s="191" t="n">
        <v>554198747535</v>
      </c>
      <c r="E591" s="190" t="s">
        <v>4780</v>
      </c>
      <c r="F591" s="192" t="n">
        <f aca="false">SUMIF(ENTRADAS!F:F,CLIENTES_PCBR[[#This Row],[TELEFONO]],ENTRADAS!C:C)</f>
        <v>0</v>
      </c>
      <c r="G591" s="189" t="s">
        <v>94</v>
      </c>
    </row>
    <row r="592" customFormat="false" ht="15" hidden="false" customHeight="false" outlineLevel="0" collapsed="false">
      <c r="A592" s="197"/>
      <c r="B592" s="191"/>
      <c r="C592" s="190" t="s">
        <v>4781</v>
      </c>
      <c r="D592" s="191" t="n">
        <v>555499141288</v>
      </c>
      <c r="E592" s="190" t="s">
        <v>4782</v>
      </c>
      <c r="F592" s="192" t="n">
        <f aca="false">SUMIF(ENTRADAS!F:F,CLIENTES_PCBR[[#This Row],[TELEFONO]],ENTRADAS!C:C)</f>
        <v>0</v>
      </c>
      <c r="G592" s="189" t="s">
        <v>94</v>
      </c>
    </row>
    <row r="593" customFormat="false" ht="15" hidden="false" customHeight="false" outlineLevel="0" collapsed="false">
      <c r="A593" s="197"/>
      <c r="B593" s="191"/>
      <c r="C593" s="190" t="s">
        <v>4783</v>
      </c>
      <c r="D593" s="191" t="n">
        <v>559684287923</v>
      </c>
      <c r="E593" s="190" t="s">
        <v>4784</v>
      </c>
      <c r="F593" s="192" t="n">
        <f aca="false">SUMIF(ENTRADAS!F:F,CLIENTES_PCBR[[#This Row],[TELEFONO]],ENTRADAS!C:C)</f>
        <v>0</v>
      </c>
      <c r="G593" s="189" t="s">
        <v>94</v>
      </c>
    </row>
    <row r="594" customFormat="false" ht="15" hidden="false" customHeight="false" outlineLevel="0" collapsed="false">
      <c r="A594" s="197"/>
      <c r="B594" s="191"/>
      <c r="C594" s="190" t="s">
        <v>1596</v>
      </c>
      <c r="D594" s="191" t="n">
        <v>554188900028</v>
      </c>
      <c r="E594" s="190" t="s">
        <v>1598</v>
      </c>
      <c r="F594" s="192" t="n">
        <f aca="false">SUMIF(ENTRADAS!F:F,CLIENTES_PCBR[[#This Row],[TELEFONO]],ENTRADAS!C:C)</f>
        <v>294</v>
      </c>
      <c r="G594" s="189" t="s">
        <v>94</v>
      </c>
    </row>
    <row r="595" customFormat="false" ht="15" hidden="false" customHeight="false" outlineLevel="0" collapsed="false">
      <c r="A595" s="197"/>
      <c r="B595" s="191"/>
      <c r="C595" s="190" t="s">
        <v>4785</v>
      </c>
      <c r="D595" s="191" t="n">
        <v>5515997529317</v>
      </c>
      <c r="E595" s="190" t="s">
        <v>4786</v>
      </c>
      <c r="F595" s="192" t="n">
        <f aca="false">SUMIF(ENTRADAS!F:F,CLIENTES_PCBR[[#This Row],[TELEFONO]],ENTRADAS!C:C)</f>
        <v>0</v>
      </c>
      <c r="G595" s="189" t="s">
        <v>94</v>
      </c>
    </row>
    <row r="596" customFormat="false" ht="15" hidden="false" customHeight="false" outlineLevel="0" collapsed="false">
      <c r="A596" s="197"/>
      <c r="B596" s="191"/>
      <c r="C596" s="190" t="s">
        <v>4787</v>
      </c>
      <c r="D596" s="191" t="n">
        <v>555496836393</v>
      </c>
      <c r="E596" s="190" t="s">
        <v>4788</v>
      </c>
      <c r="F596" s="192" t="n">
        <f aca="false">SUMIF(ENTRADAS!F:F,CLIENTES_PCBR[[#This Row],[TELEFONO]],ENTRADAS!C:C)</f>
        <v>0</v>
      </c>
      <c r="G596" s="189" t="s">
        <v>94</v>
      </c>
    </row>
    <row r="597" customFormat="false" ht="15" hidden="false" customHeight="false" outlineLevel="0" collapsed="false">
      <c r="A597" s="197"/>
      <c r="B597" s="191"/>
      <c r="C597" s="190" t="s">
        <v>4789</v>
      </c>
      <c r="D597" s="191" t="n">
        <v>559284532128</v>
      </c>
      <c r="E597" s="190" t="s">
        <v>4790</v>
      </c>
      <c r="F597" s="192" t="n">
        <f aca="false">SUMIF(ENTRADAS!F:F,CLIENTES_PCBR[[#This Row],[TELEFONO]],ENTRADAS!C:C)</f>
        <v>0</v>
      </c>
      <c r="G597" s="189" t="s">
        <v>94</v>
      </c>
    </row>
    <row r="598" customFormat="false" ht="15" hidden="false" customHeight="false" outlineLevel="0" collapsed="false">
      <c r="A598" s="197"/>
      <c r="B598" s="191"/>
      <c r="C598" s="190" t="s">
        <v>4791</v>
      </c>
      <c r="D598" s="191" t="n">
        <v>555499358680</v>
      </c>
      <c r="E598" s="190" t="s">
        <v>4792</v>
      </c>
      <c r="F598" s="192" t="n">
        <f aca="false">SUMIF(ENTRADAS!F:F,CLIENTES_PCBR[[#This Row],[TELEFONO]],ENTRADAS!C:C)</f>
        <v>0</v>
      </c>
      <c r="G598" s="189" t="s">
        <v>94</v>
      </c>
    </row>
    <row r="599" customFormat="false" ht="15" hidden="false" customHeight="false" outlineLevel="0" collapsed="false">
      <c r="A599" s="197"/>
      <c r="B599" s="191"/>
      <c r="C599" s="190" t="s">
        <v>4793</v>
      </c>
      <c r="D599" s="191" t="n">
        <v>554784675078</v>
      </c>
      <c r="E599" s="190" t="s">
        <v>4794</v>
      </c>
      <c r="F599" s="192" t="n">
        <f aca="false">SUMIF(ENTRADAS!F:F,CLIENTES_PCBR[[#This Row],[TELEFONO]],ENTRADAS!C:C)</f>
        <v>0</v>
      </c>
      <c r="G599" s="189" t="s">
        <v>94</v>
      </c>
    </row>
    <row r="600" customFormat="false" ht="15" hidden="false" customHeight="false" outlineLevel="0" collapsed="false">
      <c r="A600" s="197"/>
      <c r="B600" s="191"/>
      <c r="C600" s="190" t="s">
        <v>4795</v>
      </c>
      <c r="D600" s="191" t="n">
        <v>555496832215</v>
      </c>
      <c r="F600" s="192" t="n">
        <f aca="false">SUMIF(ENTRADAS!F:F,CLIENTES_PCBR[[#This Row],[TELEFONO]],ENTRADAS!C:C)</f>
        <v>600</v>
      </c>
      <c r="G600" s="189" t="s">
        <v>94</v>
      </c>
    </row>
    <row r="601" customFormat="false" ht="15" hidden="false" customHeight="false" outlineLevel="0" collapsed="false">
      <c r="A601" s="197"/>
      <c r="B601" s="191"/>
      <c r="C601" s="190" t="s">
        <v>4796</v>
      </c>
      <c r="D601" s="191" t="n">
        <v>5926580621</v>
      </c>
      <c r="F601" s="192" t="n">
        <f aca="false">SUMIF(ENTRADAS!F:F,CLIENTES_PCBR[[#This Row],[TELEFONO]],ENTRADAS!C:C)</f>
        <v>0</v>
      </c>
      <c r="G601" s="189" t="s">
        <v>94</v>
      </c>
    </row>
    <row r="602" customFormat="false" ht="15" hidden="false" customHeight="false" outlineLevel="0" collapsed="false">
      <c r="A602" s="197"/>
      <c r="B602" s="191"/>
      <c r="C602" s="190" t="s">
        <v>4797</v>
      </c>
      <c r="D602" s="191" t="n">
        <v>554192236778</v>
      </c>
      <c r="E602" s="190" t="s">
        <v>4798</v>
      </c>
      <c r="F602" s="192" t="n">
        <f aca="false">SUMIF(ENTRADAS!F:F,CLIENTES_PCBR[[#This Row],[TELEFONO]],ENTRADAS!C:C)</f>
        <v>0</v>
      </c>
      <c r="G602" s="189" t="s">
        <v>94</v>
      </c>
    </row>
    <row r="603" customFormat="false" ht="15" hidden="false" customHeight="false" outlineLevel="0" collapsed="false">
      <c r="A603" s="197"/>
      <c r="B603" s="191"/>
      <c r="C603" s="190" t="s">
        <v>4799</v>
      </c>
      <c r="D603" s="191" t="n">
        <v>559581147806</v>
      </c>
      <c r="E603" s="190" t="s">
        <v>4800</v>
      </c>
      <c r="F603" s="192" t="n">
        <f aca="false">SUMIF(ENTRADAS!F:F,CLIENTES_PCBR[[#This Row],[TELEFONO]],ENTRADAS!C:C)</f>
        <v>0</v>
      </c>
      <c r="G603" s="189" t="s">
        <v>94</v>
      </c>
    </row>
    <row r="604" customFormat="false" ht="15" hidden="false" customHeight="false" outlineLevel="0" collapsed="false">
      <c r="A604" s="197"/>
      <c r="B604" s="191"/>
      <c r="C604" s="190" t="s">
        <v>4801</v>
      </c>
      <c r="D604" s="191" t="n">
        <v>559293887848</v>
      </c>
      <c r="E604" s="190" t="s">
        <v>4802</v>
      </c>
      <c r="F604" s="192" t="n">
        <f aca="false">SUMIF(ENTRADAS!F:F,CLIENTES_PCBR[[#This Row],[TELEFONO]],ENTRADAS!C:C)</f>
        <v>0</v>
      </c>
      <c r="G604" s="189" t="s">
        <v>94</v>
      </c>
    </row>
    <row r="605" customFormat="false" ht="15" hidden="false" customHeight="false" outlineLevel="0" collapsed="false">
      <c r="A605" s="197"/>
      <c r="B605" s="191"/>
      <c r="C605" s="190" t="s">
        <v>4803</v>
      </c>
      <c r="D605" s="191" t="n">
        <v>554891916554</v>
      </c>
      <c r="E605" s="190" t="s">
        <v>4804</v>
      </c>
      <c r="F605" s="192" t="n">
        <f aca="false">SUMIF(ENTRADAS!F:F,CLIENTES_PCBR[[#This Row],[TELEFONO]],ENTRADAS!C:C)</f>
        <v>0</v>
      </c>
      <c r="G605" s="189" t="s">
        <v>94</v>
      </c>
    </row>
    <row r="606" customFormat="false" ht="15" hidden="false" customHeight="false" outlineLevel="0" collapsed="false">
      <c r="A606" s="197"/>
      <c r="B606" s="191"/>
      <c r="C606" s="190" t="s">
        <v>4805</v>
      </c>
      <c r="D606" s="191" t="n">
        <v>554195010945</v>
      </c>
      <c r="E606" s="190" t="s">
        <v>4806</v>
      </c>
      <c r="F606" s="192" t="n">
        <f aca="false">SUMIF(ENTRADAS!F:F,CLIENTES_PCBR[[#This Row],[TELEFONO]],ENTRADAS!C:C)</f>
        <v>0</v>
      </c>
      <c r="G606" s="189" t="s">
        <v>94</v>
      </c>
    </row>
    <row r="607" customFormat="false" ht="15" hidden="false" customHeight="false" outlineLevel="0" collapsed="false">
      <c r="A607" s="197"/>
      <c r="B607" s="191"/>
      <c r="C607" s="190" t="s">
        <v>4807</v>
      </c>
      <c r="D607" s="191" t="n">
        <v>554599526036</v>
      </c>
      <c r="E607" s="190" t="s">
        <v>4808</v>
      </c>
      <c r="F607" s="192" t="n">
        <f aca="false">SUMIF(ENTRADAS!F:F,CLIENTES_PCBR[[#This Row],[TELEFONO]],ENTRADAS!C:C)</f>
        <v>0</v>
      </c>
      <c r="G607" s="189" t="s">
        <v>94</v>
      </c>
    </row>
    <row r="608" customFormat="false" ht="15" hidden="false" customHeight="false" outlineLevel="0" collapsed="false">
      <c r="A608" s="197"/>
      <c r="B608" s="191"/>
      <c r="C608" s="190" t="s">
        <v>4809</v>
      </c>
      <c r="D608" s="191" t="n">
        <v>555592197420</v>
      </c>
      <c r="E608" s="190" t="s">
        <v>4810</v>
      </c>
      <c r="F608" s="192" t="n">
        <f aca="false">SUMIF(ENTRADAS!F:F,CLIENTES_PCBR[[#This Row],[TELEFONO]],ENTRADAS!C:C)</f>
        <v>0</v>
      </c>
      <c r="G608" s="189" t="s">
        <v>94</v>
      </c>
    </row>
    <row r="609" customFormat="false" ht="15" hidden="false" customHeight="false" outlineLevel="0" collapsed="false">
      <c r="A609" s="197"/>
      <c r="B609" s="191"/>
      <c r="C609" s="190" t="s">
        <v>4811</v>
      </c>
      <c r="D609" s="191" t="n">
        <v>554196163018</v>
      </c>
      <c r="E609" s="190" t="s">
        <v>4812</v>
      </c>
      <c r="F609" s="192" t="n">
        <f aca="false">SUMIF(ENTRADAS!F:F,CLIENTES_PCBR[[#This Row],[TELEFONO]],ENTRADAS!C:C)</f>
        <v>0</v>
      </c>
      <c r="G609" s="189" t="s">
        <v>94</v>
      </c>
    </row>
    <row r="610" customFormat="false" ht="15" hidden="false" customHeight="false" outlineLevel="0" collapsed="false">
      <c r="A610" s="197"/>
      <c r="B610" s="191"/>
      <c r="C610" s="190" t="s">
        <v>4813</v>
      </c>
      <c r="D610" s="191" t="n">
        <v>554185229065</v>
      </c>
      <c r="E610" s="190" t="s">
        <v>4814</v>
      </c>
      <c r="F610" s="192" t="n">
        <f aca="false">SUMIF(ENTRADAS!F:F,CLIENTES_PCBR[[#This Row],[TELEFONO]],ENTRADAS!C:C)</f>
        <v>0</v>
      </c>
      <c r="G610" s="189" t="s">
        <v>94</v>
      </c>
    </row>
    <row r="611" customFormat="false" ht="15" hidden="false" customHeight="false" outlineLevel="0" collapsed="false">
      <c r="A611" s="197"/>
      <c r="B611" s="191"/>
      <c r="C611" s="190" t="s">
        <v>4815</v>
      </c>
      <c r="D611" s="191" t="n">
        <v>558189052198</v>
      </c>
      <c r="E611" s="190" t="s">
        <v>4816</v>
      </c>
      <c r="F611" s="192" t="n">
        <f aca="false">SUMIF(ENTRADAS!F:F,CLIENTES_PCBR[[#This Row],[TELEFONO]],ENTRADAS!C:C)</f>
        <v>0</v>
      </c>
      <c r="G611" s="189" t="s">
        <v>94</v>
      </c>
    </row>
    <row r="612" customFormat="false" ht="15" hidden="false" customHeight="false" outlineLevel="0" collapsed="false">
      <c r="A612" s="197"/>
      <c r="B612" s="191"/>
      <c r="C612" s="190" t="s">
        <v>102</v>
      </c>
      <c r="D612" s="191" t="n">
        <v>5511962142161</v>
      </c>
      <c r="F612" s="192" t="n">
        <f aca="false">SUMIF(ENTRADAS!F:F,CLIENTES_PCBR[[#This Row],[TELEFONO]],ENTRADAS!C:C)</f>
        <v>360</v>
      </c>
      <c r="G612" s="189" t="s">
        <v>94</v>
      </c>
    </row>
    <row r="613" customFormat="false" ht="15" hidden="false" customHeight="false" outlineLevel="0" collapsed="false">
      <c r="A613" s="197"/>
      <c r="B613" s="191"/>
      <c r="C613" s="190" t="s">
        <v>4817</v>
      </c>
      <c r="D613" s="191" t="n">
        <v>559584290210</v>
      </c>
      <c r="E613" s="190" t="s">
        <v>4818</v>
      </c>
      <c r="F613" s="192" t="n">
        <f aca="false">SUMIF(ENTRADAS!F:F,CLIENTES_PCBR[[#This Row],[TELEFONO]],ENTRADAS!C:C)</f>
        <v>0</v>
      </c>
      <c r="G613" s="189" t="s">
        <v>94</v>
      </c>
    </row>
    <row r="614" customFormat="false" ht="15" hidden="false" customHeight="false" outlineLevel="0" collapsed="false">
      <c r="A614" s="197"/>
      <c r="B614" s="191"/>
      <c r="C614" s="190" t="s">
        <v>4819</v>
      </c>
      <c r="D614" s="191" t="n">
        <v>554896076043</v>
      </c>
      <c r="E614" s="190" t="s">
        <v>4820</v>
      </c>
      <c r="F614" s="192" t="n">
        <f aca="false">SUMIF(ENTRADAS!F:F,CLIENTES_PCBR[[#This Row],[TELEFONO]],ENTRADAS!C:C)</f>
        <v>0</v>
      </c>
      <c r="G614" s="189" t="s">
        <v>94</v>
      </c>
    </row>
    <row r="615" customFormat="false" ht="15" hidden="false" customHeight="false" outlineLevel="0" collapsed="false">
      <c r="A615" s="197"/>
      <c r="B615" s="191"/>
      <c r="C615" s="190" t="s">
        <v>2339</v>
      </c>
      <c r="D615" s="191" t="n">
        <v>559584371182</v>
      </c>
      <c r="F615" s="192" t="n">
        <f aca="false">SUMIF(ENTRADAS!F:F,CLIENTES_PCBR[[#This Row],[TELEFONO]],ENTRADAS!C:C)</f>
        <v>120</v>
      </c>
      <c r="G615" s="189" t="s">
        <v>94</v>
      </c>
    </row>
    <row r="616" customFormat="false" ht="15" hidden="false" customHeight="false" outlineLevel="0" collapsed="false">
      <c r="A616" s="197"/>
      <c r="B616" s="191"/>
      <c r="C616" s="190" t="s">
        <v>4821</v>
      </c>
      <c r="D616" s="191" t="n">
        <v>554191229522</v>
      </c>
      <c r="E616" s="190" t="s">
        <v>4822</v>
      </c>
      <c r="F616" s="192" t="n">
        <f aca="false">SUMIF(ENTRADAS!F:F,CLIENTES_PCBR[[#This Row],[TELEFONO]],ENTRADAS!C:C)</f>
        <v>0</v>
      </c>
      <c r="G616" s="189" t="s">
        <v>94</v>
      </c>
    </row>
    <row r="617" customFormat="false" ht="15" hidden="false" customHeight="false" outlineLevel="0" collapsed="false">
      <c r="A617" s="197"/>
      <c r="B617" s="191"/>
      <c r="C617" s="190" t="s">
        <v>4823</v>
      </c>
      <c r="D617" s="191" t="n">
        <v>554797669814</v>
      </c>
      <c r="E617" s="190" t="s">
        <v>4824</v>
      </c>
      <c r="F617" s="192" t="n">
        <f aca="false">SUMIF(ENTRADAS!F:F,CLIENTES_PCBR[[#This Row],[TELEFONO]],ENTRADAS!C:C)</f>
        <v>0</v>
      </c>
      <c r="G617" s="189" t="s">
        <v>94</v>
      </c>
    </row>
    <row r="618" customFormat="false" ht="15" hidden="false" customHeight="false" outlineLevel="0" collapsed="false">
      <c r="A618" s="197"/>
      <c r="B618" s="191"/>
      <c r="C618" s="190" t="s">
        <v>4825</v>
      </c>
      <c r="D618" s="191" t="n">
        <v>554192032291</v>
      </c>
      <c r="E618" s="190" t="s">
        <v>2675</v>
      </c>
      <c r="F618" s="192" t="n">
        <f aca="false">SUMIF(ENTRADAS!F:F,CLIENTES_PCBR[[#This Row],[TELEFONO]],ENTRADAS!C:C)</f>
        <v>147</v>
      </c>
      <c r="G618" s="189" t="s">
        <v>94</v>
      </c>
    </row>
    <row r="619" customFormat="false" ht="15" hidden="false" customHeight="false" outlineLevel="0" collapsed="false">
      <c r="A619" s="197"/>
      <c r="B619" s="191"/>
      <c r="C619" s="190" t="s">
        <v>3561</v>
      </c>
      <c r="D619" s="191" t="n">
        <v>554888590891</v>
      </c>
      <c r="E619" s="190" t="s">
        <v>4826</v>
      </c>
      <c r="F619" s="192" t="n">
        <f aca="false">SUMIF(ENTRADAS!F:F,CLIENTES_PCBR[[#This Row],[TELEFONO]],ENTRADAS!C:C)</f>
        <v>0</v>
      </c>
      <c r="G619" s="189" t="s">
        <v>94</v>
      </c>
    </row>
    <row r="620" customFormat="false" ht="15" hidden="false" customHeight="false" outlineLevel="0" collapsed="false">
      <c r="A620" s="197"/>
      <c r="B620" s="191"/>
      <c r="C620" s="190" t="s">
        <v>4827</v>
      </c>
      <c r="D620" s="191" t="n">
        <v>554188447089</v>
      </c>
      <c r="E620" s="190" t="s">
        <v>4828</v>
      </c>
      <c r="F620" s="192" t="n">
        <f aca="false">SUMIF(ENTRADAS!F:F,CLIENTES_PCBR[[#This Row],[TELEFONO]],ENTRADAS!C:C)</f>
        <v>0</v>
      </c>
      <c r="G620" s="189" t="s">
        <v>94</v>
      </c>
    </row>
    <row r="621" customFormat="false" ht="15" hidden="false" customHeight="false" outlineLevel="0" collapsed="false">
      <c r="A621" s="197"/>
      <c r="B621" s="191"/>
      <c r="C621" s="190" t="s">
        <v>4829</v>
      </c>
      <c r="D621" s="191" t="n">
        <v>559584291872</v>
      </c>
      <c r="E621" s="190" t="s">
        <v>4830</v>
      </c>
      <c r="F621" s="192" t="n">
        <f aca="false">SUMIF(ENTRADAS!F:F,CLIENTES_PCBR[[#This Row],[TELEFONO]],ENTRADAS!C:C)</f>
        <v>0</v>
      </c>
      <c r="G621" s="189" t="s">
        <v>94</v>
      </c>
    </row>
    <row r="622" customFormat="false" ht="15" hidden="false" customHeight="false" outlineLevel="0" collapsed="false">
      <c r="A622" s="197"/>
      <c r="B622" s="191"/>
      <c r="C622" s="190" t="s">
        <v>4831</v>
      </c>
      <c r="D622" s="191" t="n">
        <v>554899951082</v>
      </c>
      <c r="E622" s="190" t="s">
        <v>4832</v>
      </c>
      <c r="F622" s="192" t="n">
        <f aca="false">SUMIF(ENTRADAS!F:F,CLIENTES_PCBR[[#This Row],[TELEFONO]],ENTRADAS!C:C)</f>
        <v>0</v>
      </c>
      <c r="G622" s="189" t="s">
        <v>94</v>
      </c>
    </row>
    <row r="623" customFormat="false" ht="15" hidden="false" customHeight="false" outlineLevel="0" collapsed="false">
      <c r="A623" s="197"/>
      <c r="B623" s="191"/>
      <c r="C623" s="190" t="s">
        <v>4833</v>
      </c>
      <c r="D623" s="191" t="n">
        <v>59893707305</v>
      </c>
      <c r="E623" s="190" t="s">
        <v>655</v>
      </c>
      <c r="F623" s="192" t="n">
        <f aca="false">SUMIF(ENTRADAS!F:F,CLIENTES_PCBR[[#This Row],[TELEFONO]],ENTRADAS!C:C)</f>
        <v>0</v>
      </c>
      <c r="G623" s="189" t="s">
        <v>94</v>
      </c>
    </row>
    <row r="624" customFormat="false" ht="15" hidden="false" customHeight="false" outlineLevel="0" collapsed="false">
      <c r="A624" s="197"/>
      <c r="B624" s="191"/>
      <c r="C624" s="190" t="s">
        <v>4834</v>
      </c>
      <c r="D624" s="191" t="n">
        <v>554195379621</v>
      </c>
      <c r="F624" s="192" t="n">
        <f aca="false">SUMIF(ENTRADAS!F:F,CLIENTES_PCBR[[#This Row],[TELEFONO]],ENTRADAS!C:C)</f>
        <v>0</v>
      </c>
      <c r="G624" s="189" t="s">
        <v>94</v>
      </c>
    </row>
    <row r="625" customFormat="false" ht="15" hidden="false" customHeight="false" outlineLevel="0" collapsed="false">
      <c r="A625" s="197"/>
      <c r="B625" s="191"/>
      <c r="C625" s="190" t="s">
        <v>4835</v>
      </c>
      <c r="D625" s="191" t="n">
        <v>554891355125</v>
      </c>
      <c r="E625" s="190" t="s">
        <v>4836</v>
      </c>
      <c r="F625" s="192" t="n">
        <f aca="false">SUMIF(ENTRADAS!F:F,CLIENTES_PCBR[[#This Row],[TELEFONO]],ENTRADAS!C:C)</f>
        <v>0</v>
      </c>
      <c r="G625" s="189" t="s">
        <v>94</v>
      </c>
    </row>
    <row r="626" customFormat="false" ht="15" hidden="false" customHeight="false" outlineLevel="0" collapsed="false">
      <c r="A626" s="197"/>
      <c r="B626" s="191"/>
      <c r="C626" s="190" t="s">
        <v>4837</v>
      </c>
      <c r="D626" s="191" t="n">
        <v>559584099848</v>
      </c>
      <c r="E626" s="190" t="s">
        <v>4838</v>
      </c>
      <c r="F626" s="192" t="n">
        <f aca="false">SUMIF(ENTRADAS!F:F,CLIENTES_PCBR[[#This Row],[TELEFONO]],ENTRADAS!C:C)</f>
        <v>0</v>
      </c>
      <c r="G626" s="189" t="s">
        <v>94</v>
      </c>
    </row>
    <row r="627" customFormat="false" ht="15" hidden="false" customHeight="false" outlineLevel="0" collapsed="false">
      <c r="A627" s="197"/>
      <c r="B627" s="191"/>
      <c r="C627" s="190" t="s">
        <v>4839</v>
      </c>
      <c r="D627" s="191" t="n">
        <v>556299453718</v>
      </c>
      <c r="E627" s="190" t="s">
        <v>4840</v>
      </c>
      <c r="F627" s="192" t="n">
        <f aca="false">SUMIF(ENTRADAS!F:F,CLIENTES_PCBR[[#This Row],[TELEFONO]],ENTRADAS!C:C)</f>
        <v>0</v>
      </c>
      <c r="G627" s="189" t="s">
        <v>94</v>
      </c>
    </row>
    <row r="628" customFormat="false" ht="15" hidden="false" customHeight="false" outlineLevel="0" collapsed="false">
      <c r="A628" s="197"/>
      <c r="B628" s="191"/>
      <c r="C628" s="190" t="s">
        <v>4841</v>
      </c>
      <c r="D628" s="191" t="n">
        <v>559591321209</v>
      </c>
      <c r="E628" s="190" t="s">
        <v>4842</v>
      </c>
      <c r="F628" s="192" t="n">
        <f aca="false">SUMIF(ENTRADAS!F:F,CLIENTES_PCBR[[#This Row],[TELEFONO]],ENTRADAS!C:C)</f>
        <v>0</v>
      </c>
      <c r="G628" s="189" t="s">
        <v>94</v>
      </c>
    </row>
    <row r="629" customFormat="false" ht="15" hidden="false" customHeight="false" outlineLevel="0" collapsed="false">
      <c r="A629" s="197"/>
      <c r="B629" s="191"/>
      <c r="C629" s="190" t="s">
        <v>4843</v>
      </c>
      <c r="D629" s="191" t="n">
        <v>554195027528</v>
      </c>
      <c r="E629" s="190" t="s">
        <v>4844</v>
      </c>
      <c r="F629" s="192" t="n">
        <f aca="false">SUMIF(ENTRADAS!F:F,CLIENTES_PCBR[[#This Row],[TELEFONO]],ENTRADAS!C:C)</f>
        <v>0</v>
      </c>
      <c r="G629" s="189" t="s">
        <v>94</v>
      </c>
    </row>
    <row r="630" customFormat="false" ht="15" hidden="false" customHeight="false" outlineLevel="0" collapsed="false">
      <c r="A630" s="197"/>
      <c r="B630" s="191"/>
      <c r="C630" s="190" t="s">
        <v>4845</v>
      </c>
      <c r="D630" s="191" t="n">
        <v>554199693978</v>
      </c>
      <c r="E630" s="190" t="s">
        <v>4846</v>
      </c>
      <c r="F630" s="192" t="n">
        <f aca="false">SUMIF(ENTRADAS!F:F,CLIENTES_PCBR[[#This Row],[TELEFONO]],ENTRADAS!C:C)</f>
        <v>0</v>
      </c>
      <c r="G630" s="189" t="s">
        <v>94</v>
      </c>
    </row>
    <row r="631" customFormat="false" ht="15" hidden="false" customHeight="false" outlineLevel="0" collapsed="false">
      <c r="A631" s="197"/>
      <c r="B631" s="191"/>
      <c r="C631" s="190" t="s">
        <v>4847</v>
      </c>
      <c r="D631" s="191" t="n">
        <v>5541920014702</v>
      </c>
      <c r="E631" s="190" t="s">
        <v>4848</v>
      </c>
      <c r="F631" s="192" t="n">
        <f aca="false">SUMIF(ENTRADAS!F:F,CLIENTES_PCBR[[#This Row],[TELEFONO]],ENTRADAS!C:C)</f>
        <v>0</v>
      </c>
      <c r="G631" s="189" t="s">
        <v>94</v>
      </c>
    </row>
    <row r="632" customFormat="false" ht="15" hidden="false" customHeight="false" outlineLevel="0" collapsed="false">
      <c r="A632" s="197"/>
      <c r="B632" s="191"/>
      <c r="C632" s="190" t="s">
        <v>4849</v>
      </c>
      <c r="D632" s="191" t="n">
        <v>559293773072</v>
      </c>
      <c r="E632" s="190" t="s">
        <v>4850</v>
      </c>
      <c r="F632" s="192" t="n">
        <f aca="false">SUMIF(ENTRADAS!F:F,CLIENTES_PCBR[[#This Row],[TELEFONO]],ENTRADAS!C:C)</f>
        <v>0</v>
      </c>
      <c r="G632" s="189" t="s">
        <v>94</v>
      </c>
    </row>
    <row r="633" customFormat="false" ht="15" hidden="false" customHeight="false" outlineLevel="0" collapsed="false">
      <c r="A633" s="197"/>
      <c r="B633" s="191"/>
      <c r="C633" s="190" t="s">
        <v>4851</v>
      </c>
      <c r="D633" s="191" t="n">
        <v>554198367939</v>
      </c>
      <c r="E633" s="190" t="s">
        <v>4852</v>
      </c>
      <c r="F633" s="192" t="n">
        <f aca="false">SUMIF(ENTRADAS!F:F,CLIENTES_PCBR[[#This Row],[TELEFONO]],ENTRADAS!C:C)</f>
        <v>0</v>
      </c>
      <c r="G633" s="189" t="s">
        <v>94</v>
      </c>
    </row>
    <row r="634" customFormat="false" ht="15" hidden="false" customHeight="false" outlineLevel="0" collapsed="false">
      <c r="A634" s="197"/>
      <c r="B634" s="191"/>
      <c r="C634" s="190" t="s">
        <v>4853</v>
      </c>
      <c r="D634" s="191" t="n">
        <v>559584308735</v>
      </c>
      <c r="E634" s="190" t="s">
        <v>4854</v>
      </c>
      <c r="F634" s="192" t="n">
        <f aca="false">SUMIF(ENTRADAS!F:F,CLIENTES_PCBR[[#This Row],[TELEFONO]],ENTRADAS!C:C)</f>
        <v>0</v>
      </c>
      <c r="G634" s="189" t="s">
        <v>94</v>
      </c>
    </row>
    <row r="635" customFormat="false" ht="15" hidden="false" customHeight="false" outlineLevel="0" collapsed="false">
      <c r="A635" s="197"/>
      <c r="B635" s="191"/>
      <c r="C635" s="190" t="s">
        <v>4855</v>
      </c>
      <c r="D635" s="191" t="n">
        <v>554896574015</v>
      </c>
      <c r="E635" s="190" t="s">
        <v>4856</v>
      </c>
      <c r="F635" s="192" t="n">
        <f aca="false">SUMIF(ENTRADAS!F:F,CLIENTES_PCBR[[#This Row],[TELEFONO]],ENTRADAS!C:C)</f>
        <v>0</v>
      </c>
      <c r="G635" s="189" t="s">
        <v>94</v>
      </c>
    </row>
    <row r="636" customFormat="false" ht="15" hidden="false" customHeight="false" outlineLevel="0" collapsed="false">
      <c r="A636" s="197"/>
      <c r="B636" s="191"/>
      <c r="C636" s="190" t="s">
        <v>4857</v>
      </c>
      <c r="D636" s="191" t="n">
        <v>555493197700</v>
      </c>
      <c r="E636" s="190" t="s">
        <v>4858</v>
      </c>
      <c r="F636" s="192" t="n">
        <f aca="false">SUMIF(ENTRADAS!F:F,CLIENTES_PCBR[[#This Row],[TELEFONO]],ENTRADAS!C:C)</f>
        <v>0</v>
      </c>
      <c r="G636" s="189" t="s">
        <v>94</v>
      </c>
    </row>
    <row r="637" customFormat="false" ht="15" hidden="false" customHeight="false" outlineLevel="0" collapsed="false">
      <c r="A637" s="197"/>
      <c r="B637" s="191"/>
      <c r="C637" s="190" t="s">
        <v>4859</v>
      </c>
      <c r="D637" s="191" t="n">
        <v>559584270428</v>
      </c>
      <c r="E637" s="190" t="s">
        <v>4860</v>
      </c>
      <c r="F637" s="192" t="n">
        <f aca="false">SUMIF(ENTRADAS!F:F,CLIENTES_PCBR[[#This Row],[TELEFONO]],ENTRADAS!C:C)</f>
        <v>0</v>
      </c>
      <c r="G637" s="189" t="s">
        <v>94</v>
      </c>
    </row>
    <row r="638" customFormat="false" ht="15" hidden="false" customHeight="false" outlineLevel="0" collapsed="false">
      <c r="A638" s="197"/>
      <c r="B638" s="191"/>
      <c r="C638" s="190" t="s">
        <v>4861</v>
      </c>
      <c r="D638" s="191" t="n">
        <v>554888766632</v>
      </c>
      <c r="E638" s="190" t="s">
        <v>4862</v>
      </c>
      <c r="F638" s="192" t="n">
        <f aca="false">SUMIF(ENTRADAS!F:F,CLIENTES_PCBR[[#This Row],[TELEFONO]],ENTRADAS!C:C)</f>
        <v>0</v>
      </c>
      <c r="G638" s="189" t="s">
        <v>94</v>
      </c>
    </row>
    <row r="639" customFormat="false" ht="15" hidden="false" customHeight="false" outlineLevel="0" collapsed="false">
      <c r="A639" s="197"/>
      <c r="B639" s="191"/>
      <c r="C639" s="190" t="s">
        <v>620</v>
      </c>
      <c r="D639" s="191" t="n">
        <v>559584294614</v>
      </c>
      <c r="E639" s="190" t="s">
        <v>621</v>
      </c>
      <c r="F639" s="192" t="n">
        <f aca="false">SUMIF(ENTRADAS!F:F,CLIENTES_PCBR[[#This Row],[TELEFONO]],ENTRADAS!C:C)</f>
        <v>200</v>
      </c>
      <c r="G639" s="189" t="s">
        <v>94</v>
      </c>
    </row>
    <row r="640" customFormat="false" ht="15" hidden="false" customHeight="false" outlineLevel="0" collapsed="false">
      <c r="A640" s="197"/>
      <c r="B640" s="191"/>
      <c r="C640" s="190" t="s">
        <v>4863</v>
      </c>
      <c r="D640" s="191" t="n">
        <v>559584383660</v>
      </c>
      <c r="E640" s="190" t="s">
        <v>4864</v>
      </c>
      <c r="F640" s="192" t="n">
        <f aca="false">SUMIF(ENTRADAS!F:F,CLIENTES_PCBR[[#This Row],[TELEFONO]],ENTRADAS!C:C)</f>
        <v>0</v>
      </c>
      <c r="G640" s="189" t="s">
        <v>94</v>
      </c>
    </row>
    <row r="641" customFormat="false" ht="15" hidden="false" customHeight="false" outlineLevel="0" collapsed="false">
      <c r="A641" s="197"/>
      <c r="B641" s="191"/>
      <c r="C641" s="190" t="s">
        <v>4865</v>
      </c>
      <c r="D641" s="191" t="n">
        <v>556781072314</v>
      </c>
      <c r="F641" s="192" t="n">
        <f aca="false">SUMIF(ENTRADAS!F:F,CLIENTES_PCBR[[#This Row],[TELEFONO]],ENTRADAS!C:C)</f>
        <v>0</v>
      </c>
      <c r="G641" s="189" t="s">
        <v>94</v>
      </c>
    </row>
    <row r="642" customFormat="false" ht="15" hidden="false" customHeight="false" outlineLevel="0" collapsed="false">
      <c r="A642" s="197"/>
      <c r="B642" s="191"/>
      <c r="C642" s="190" t="s">
        <v>4866</v>
      </c>
      <c r="D642" s="191" t="n">
        <v>5519981190766</v>
      </c>
      <c r="E642" s="190" t="s">
        <v>4867</v>
      </c>
      <c r="F642" s="192" t="n">
        <f aca="false">SUMIF(ENTRADAS!F:F,CLIENTES_PCBR[[#This Row],[TELEFONO]],ENTRADAS!C:C)</f>
        <v>0</v>
      </c>
      <c r="G642" s="189" t="s">
        <v>94</v>
      </c>
    </row>
    <row r="643" customFormat="false" ht="15" hidden="false" customHeight="false" outlineLevel="0" collapsed="false">
      <c r="A643" s="197"/>
      <c r="B643" s="191"/>
      <c r="C643" s="190" t="s">
        <v>4868</v>
      </c>
      <c r="D643" s="191" t="n">
        <v>5355144245</v>
      </c>
      <c r="E643" s="190" t="s">
        <v>4869</v>
      </c>
      <c r="F643" s="192" t="n">
        <f aca="false">SUMIF(ENTRADAS!F:F,CLIENTES_PCBR[[#This Row],[TELEFONO]],ENTRADAS!C:C)</f>
        <v>0</v>
      </c>
      <c r="G643" s="189" t="s">
        <v>94</v>
      </c>
    </row>
    <row r="644" customFormat="false" ht="15" hidden="false" customHeight="false" outlineLevel="0" collapsed="false">
      <c r="A644" s="197"/>
      <c r="B644" s="191"/>
      <c r="C644" s="190" t="s">
        <v>4870</v>
      </c>
      <c r="D644" s="191" t="n">
        <v>559584300842</v>
      </c>
      <c r="E644" s="190" t="s">
        <v>4871</v>
      </c>
      <c r="F644" s="192" t="n">
        <f aca="false">SUMIF(ENTRADAS!F:F,CLIENTES_PCBR[[#This Row],[TELEFONO]],ENTRADAS!C:C)</f>
        <v>0</v>
      </c>
      <c r="G644" s="189" t="s">
        <v>94</v>
      </c>
    </row>
    <row r="645" customFormat="false" ht="15" hidden="false" customHeight="false" outlineLevel="0" collapsed="false">
      <c r="A645" s="197"/>
      <c r="B645" s="191"/>
      <c r="C645" s="190" t="s">
        <v>4872</v>
      </c>
      <c r="D645" s="191" t="n">
        <v>555491124910</v>
      </c>
      <c r="F645" s="192" t="n">
        <f aca="false">SUMIF(ENTRADAS!F:F,CLIENTES_PCBR[[#This Row],[TELEFONO]],ENTRADAS!C:C)</f>
        <v>0</v>
      </c>
      <c r="G645" s="189" t="s">
        <v>94</v>
      </c>
    </row>
    <row r="646" customFormat="false" ht="15" hidden="false" customHeight="false" outlineLevel="0" collapsed="false">
      <c r="A646" s="197"/>
      <c r="B646" s="191"/>
      <c r="C646" s="190" t="s">
        <v>4873</v>
      </c>
      <c r="D646" s="191" t="n">
        <v>556184013118</v>
      </c>
      <c r="E646" s="190" t="s">
        <v>4874</v>
      </c>
      <c r="F646" s="192" t="n">
        <f aca="false">SUMIF(ENTRADAS!F:F,CLIENTES_PCBR[[#This Row],[TELEFONO]],ENTRADAS!C:C)</f>
        <v>0</v>
      </c>
      <c r="G646" s="189" t="s">
        <v>94</v>
      </c>
    </row>
    <row r="647" customFormat="false" ht="15" hidden="false" customHeight="false" outlineLevel="0" collapsed="false">
      <c r="A647" s="197"/>
      <c r="B647" s="191"/>
      <c r="C647" s="190" t="s">
        <v>4875</v>
      </c>
      <c r="D647" s="191" t="n">
        <v>554196223241</v>
      </c>
      <c r="E647" s="190" t="s">
        <v>4876</v>
      </c>
      <c r="F647" s="192" t="n">
        <f aca="false">SUMIF(ENTRADAS!F:F,CLIENTES_PCBR[[#This Row],[TELEFONO]],ENTRADAS!C:C)</f>
        <v>0</v>
      </c>
      <c r="G647" s="189" t="s">
        <v>94</v>
      </c>
    </row>
    <row r="648" customFormat="false" ht="15" hidden="false" customHeight="false" outlineLevel="0" collapsed="false">
      <c r="A648" s="197"/>
      <c r="B648" s="191"/>
      <c r="C648" s="190" t="s">
        <v>529</v>
      </c>
      <c r="D648" s="191" t="n">
        <v>554197069532</v>
      </c>
      <c r="E648" s="190" t="s">
        <v>530</v>
      </c>
      <c r="F648" s="192" t="n">
        <f aca="false">SUMIF(ENTRADAS!F:F,CLIENTES_PCBR[[#This Row],[TELEFONO]],ENTRADAS!C:C)</f>
        <v>294</v>
      </c>
      <c r="G648" s="189" t="s">
        <v>94</v>
      </c>
    </row>
    <row r="649" customFormat="false" ht="15" hidden="false" customHeight="false" outlineLevel="0" collapsed="false">
      <c r="A649" s="197"/>
      <c r="B649" s="191"/>
      <c r="C649" s="190" t="s">
        <v>3330</v>
      </c>
      <c r="D649" s="191" t="n">
        <v>559591384506</v>
      </c>
      <c r="E649" s="190" t="s">
        <v>3331</v>
      </c>
      <c r="F649" s="192" t="n">
        <f aca="false">SUMIF(ENTRADAS!F:F,CLIENTES_PCBR[[#This Row],[TELEFONO]],ENTRADAS!C:C)</f>
        <v>1250</v>
      </c>
      <c r="G649" s="189" t="s">
        <v>94</v>
      </c>
    </row>
    <row r="650" customFormat="false" ht="15" hidden="false" customHeight="false" outlineLevel="0" collapsed="false">
      <c r="A650" s="197"/>
      <c r="B650" s="191"/>
      <c r="C650" s="190" t="s">
        <v>4877</v>
      </c>
      <c r="D650" s="191" t="n">
        <v>559584300001</v>
      </c>
      <c r="E650" s="190" t="s">
        <v>1914</v>
      </c>
      <c r="F650" s="192" t="n">
        <f aca="false">SUMIF(ENTRADAS!F:F,CLIENTES_PCBR[[#This Row],[TELEFONO]],ENTRADAS!C:C)</f>
        <v>294</v>
      </c>
      <c r="G650" s="189" t="s">
        <v>94</v>
      </c>
    </row>
    <row r="651" customFormat="false" ht="15" hidden="false" customHeight="false" outlineLevel="0" collapsed="false">
      <c r="A651" s="197"/>
      <c r="B651" s="191"/>
      <c r="C651" s="190" t="s">
        <v>346</v>
      </c>
      <c r="D651" s="191" t="n">
        <v>559584103155</v>
      </c>
      <c r="E651" s="190" t="s">
        <v>4878</v>
      </c>
      <c r="F651" s="192" t="n">
        <f aca="false">SUMIF(ENTRADAS!F:F,CLIENTES_PCBR[[#This Row],[TELEFONO]],ENTRADAS!C:C)</f>
        <v>0</v>
      </c>
      <c r="G651" s="189" t="s">
        <v>94</v>
      </c>
    </row>
    <row r="652" customFormat="false" ht="15" hidden="false" customHeight="false" outlineLevel="0" collapsed="false">
      <c r="A652" s="197"/>
      <c r="B652" s="191"/>
      <c r="C652" s="190" t="s">
        <v>4879</v>
      </c>
      <c r="D652" s="191" t="n">
        <v>554891042840</v>
      </c>
      <c r="E652" s="190" t="s">
        <v>4880</v>
      </c>
      <c r="F652" s="192" t="n">
        <f aca="false">SUMIF(ENTRADAS!F:F,CLIENTES_PCBR[[#This Row],[TELEFONO]],ENTRADAS!C:C)</f>
        <v>0</v>
      </c>
      <c r="G652" s="189" t="s">
        <v>94</v>
      </c>
    </row>
    <row r="653" customFormat="false" ht="15" hidden="false" customHeight="false" outlineLevel="0" collapsed="false">
      <c r="A653" s="197"/>
      <c r="B653" s="191"/>
      <c r="C653" s="190" t="s">
        <v>4881</v>
      </c>
      <c r="D653" s="191" t="n">
        <v>5515996848662</v>
      </c>
      <c r="E653" s="190" t="s">
        <v>4882</v>
      </c>
      <c r="F653" s="192" t="n">
        <f aca="false">SUMIF(ENTRADAS!F:F,CLIENTES_PCBR[[#This Row],[TELEFONO]],ENTRADAS!C:C)</f>
        <v>0</v>
      </c>
      <c r="G653" s="189" t="s">
        <v>94</v>
      </c>
    </row>
    <row r="654" customFormat="false" ht="15" hidden="false" customHeight="false" outlineLevel="0" collapsed="false">
      <c r="A654" s="197"/>
      <c r="B654" s="191"/>
      <c r="C654" s="190" t="s">
        <v>4883</v>
      </c>
      <c r="D654" s="191" t="n">
        <v>554198352242</v>
      </c>
      <c r="E654" s="190" t="s">
        <v>4884</v>
      </c>
      <c r="F654" s="192" t="n">
        <f aca="false">SUMIF(ENTRADAS!F:F,CLIENTES_PCBR[[#This Row],[TELEFONO]],ENTRADAS!C:C)</f>
        <v>0</v>
      </c>
      <c r="G654" s="189" t="s">
        <v>94</v>
      </c>
    </row>
    <row r="655" customFormat="false" ht="15" hidden="false" customHeight="false" outlineLevel="0" collapsed="false">
      <c r="A655" s="197"/>
      <c r="B655" s="191"/>
      <c r="C655" s="190" t="s">
        <v>902</v>
      </c>
      <c r="D655" s="191" t="n">
        <v>554196988319</v>
      </c>
      <c r="E655" s="190" t="s">
        <v>903</v>
      </c>
      <c r="F655" s="192" t="n">
        <f aca="false">SUMIF(ENTRADAS!F:F,CLIENTES_PCBR[[#This Row],[TELEFONO]],ENTRADAS!C:C)</f>
        <v>294</v>
      </c>
      <c r="G655" s="189" t="s">
        <v>94</v>
      </c>
    </row>
    <row r="656" customFormat="false" ht="15" hidden="false" customHeight="false" outlineLevel="0" collapsed="false">
      <c r="A656" s="197"/>
      <c r="B656" s="191"/>
      <c r="C656" s="190" t="s">
        <v>4885</v>
      </c>
      <c r="D656" s="191" t="n">
        <v>554891008857</v>
      </c>
      <c r="F656" s="192" t="n">
        <f aca="false">SUMIF(ENTRADAS!F:F,CLIENTES_PCBR[[#This Row],[TELEFONO]],ENTRADAS!C:C)</f>
        <v>0</v>
      </c>
      <c r="G656" s="189" t="s">
        <v>94</v>
      </c>
    </row>
    <row r="657" customFormat="false" ht="15" hidden="false" customHeight="false" outlineLevel="0" collapsed="false">
      <c r="A657" s="197"/>
      <c r="B657" s="191"/>
      <c r="C657" s="190" t="s">
        <v>4886</v>
      </c>
      <c r="D657" s="191" t="n">
        <v>559584300289</v>
      </c>
      <c r="E657" s="190" t="s">
        <v>4887</v>
      </c>
      <c r="F657" s="192" t="n">
        <f aca="false">SUMIF(ENTRADAS!F:F,CLIENTES_PCBR[[#This Row],[TELEFONO]],ENTRADAS!C:C)</f>
        <v>0</v>
      </c>
      <c r="G657" s="189" t="s">
        <v>94</v>
      </c>
    </row>
    <row r="658" customFormat="false" ht="15" hidden="false" customHeight="false" outlineLevel="0" collapsed="false">
      <c r="A658" s="197"/>
      <c r="B658" s="191"/>
      <c r="C658" s="190" t="s">
        <v>4888</v>
      </c>
      <c r="D658" s="191" t="n">
        <v>5511917049651</v>
      </c>
      <c r="E658" s="190" t="s">
        <v>4889</v>
      </c>
      <c r="F658" s="192" t="n">
        <f aca="false">SUMIF(ENTRADAS!F:F,CLIENTES_PCBR[[#This Row],[TELEFONO]],ENTRADAS!C:C)</f>
        <v>0</v>
      </c>
      <c r="G658" s="189" t="s">
        <v>94</v>
      </c>
    </row>
    <row r="659" customFormat="false" ht="15" hidden="false" customHeight="false" outlineLevel="0" collapsed="false">
      <c r="A659" s="197"/>
      <c r="B659" s="191"/>
      <c r="C659" s="190" t="s">
        <v>4890</v>
      </c>
      <c r="D659" s="191" t="n">
        <v>5595984235062</v>
      </c>
      <c r="E659" s="190" t="s">
        <v>4891</v>
      </c>
      <c r="F659" s="192" t="n">
        <f aca="false">SUMIF(ENTRADAS!F:F,CLIENTES_PCBR[[#This Row],[TELEFONO]],ENTRADAS!C:C)</f>
        <v>0</v>
      </c>
      <c r="G659" s="189" t="s">
        <v>94</v>
      </c>
    </row>
    <row r="660" customFormat="false" ht="15" hidden="false" customHeight="false" outlineLevel="0" collapsed="false">
      <c r="A660" s="197"/>
      <c r="B660" s="191"/>
      <c r="C660" s="190" t="s">
        <v>4892</v>
      </c>
      <c r="D660" s="191" t="n">
        <v>555484055724</v>
      </c>
      <c r="E660" s="190" t="s">
        <v>4893</v>
      </c>
      <c r="F660" s="192" t="n">
        <f aca="false">SUMIF(ENTRADAS!F:F,CLIENTES_PCBR[[#This Row],[TELEFONO]],ENTRADAS!C:C)</f>
        <v>0</v>
      </c>
      <c r="G660" s="189" t="s">
        <v>94</v>
      </c>
    </row>
    <row r="661" customFormat="false" ht="15" hidden="false" customHeight="false" outlineLevel="0" collapsed="false">
      <c r="A661" s="197"/>
      <c r="B661" s="191"/>
      <c r="C661" s="190" t="s">
        <v>4894</v>
      </c>
      <c r="D661" s="191" t="n">
        <v>5354303614</v>
      </c>
      <c r="E661" s="190" t="s">
        <v>4895</v>
      </c>
      <c r="F661" s="192" t="n">
        <f aca="false">SUMIF(ENTRADAS!F:F,CLIENTES_PCBR[[#This Row],[TELEFONO]],ENTRADAS!C:C)</f>
        <v>0</v>
      </c>
      <c r="G661" s="189" t="s">
        <v>94</v>
      </c>
    </row>
    <row r="662" customFormat="false" ht="15" hidden="false" customHeight="false" outlineLevel="0" collapsed="false">
      <c r="A662" s="197"/>
      <c r="B662" s="191"/>
      <c r="C662" s="190" t="s">
        <v>4896</v>
      </c>
      <c r="D662" s="191" t="n">
        <v>559584109477</v>
      </c>
      <c r="E662" s="190" t="s">
        <v>4897</v>
      </c>
      <c r="F662" s="192" t="n">
        <f aca="false">SUMIF(ENTRADAS!F:F,CLIENTES_PCBR[[#This Row],[TELEFONO]],ENTRADAS!C:C)</f>
        <v>0</v>
      </c>
      <c r="G662" s="189" t="s">
        <v>94</v>
      </c>
    </row>
    <row r="663" customFormat="false" ht="15" hidden="false" customHeight="false" outlineLevel="0" collapsed="false">
      <c r="A663" s="197"/>
      <c r="B663" s="191"/>
      <c r="C663" s="190" t="s">
        <v>4898</v>
      </c>
      <c r="D663" s="191" t="n">
        <v>554891745286</v>
      </c>
      <c r="E663" s="190" t="s">
        <v>4899</v>
      </c>
      <c r="F663" s="192" t="n">
        <f aca="false">SUMIF(ENTRADAS!F:F,CLIENTES_PCBR[[#This Row],[TELEFONO]],ENTRADAS!C:C)</f>
        <v>0</v>
      </c>
      <c r="G663" s="189" t="s">
        <v>94</v>
      </c>
    </row>
    <row r="664" customFormat="false" ht="15" hidden="false" customHeight="false" outlineLevel="0" collapsed="false">
      <c r="A664" s="197"/>
      <c r="B664" s="191"/>
      <c r="C664" s="190" t="s">
        <v>1824</v>
      </c>
      <c r="D664" s="191" t="n">
        <v>559684026663</v>
      </c>
      <c r="E664" s="190" t="s">
        <v>1825</v>
      </c>
      <c r="F664" s="192" t="n">
        <f aca="false">SUMIF(ENTRADAS!F:F,CLIENTES_PCBR[[#This Row],[TELEFONO]],ENTRADAS!C:C)</f>
        <v>397</v>
      </c>
      <c r="G664" s="189" t="s">
        <v>94</v>
      </c>
    </row>
    <row r="665" customFormat="false" ht="15" hidden="false" customHeight="false" outlineLevel="0" collapsed="false">
      <c r="A665" s="197"/>
      <c r="B665" s="191"/>
      <c r="C665" s="190" t="s">
        <v>4900</v>
      </c>
      <c r="D665" s="191" t="n">
        <v>559584303570</v>
      </c>
      <c r="E665" s="190" t="s">
        <v>4901</v>
      </c>
      <c r="F665" s="192" t="n">
        <f aca="false">SUMIF(ENTRADAS!F:F,CLIENTES_PCBR[[#This Row],[TELEFONO]],ENTRADAS!C:C)</f>
        <v>0</v>
      </c>
      <c r="G665" s="189" t="s">
        <v>94</v>
      </c>
    </row>
    <row r="666" customFormat="false" ht="15" hidden="false" customHeight="false" outlineLevel="0" collapsed="false">
      <c r="A666" s="197"/>
      <c r="B666" s="191"/>
      <c r="C666" s="190" t="s">
        <v>4902</v>
      </c>
      <c r="D666" s="191" t="n">
        <v>554195194753</v>
      </c>
      <c r="E666" s="190" t="s">
        <v>4903</v>
      </c>
      <c r="F666" s="192" t="n">
        <f aca="false">SUMIF(ENTRADAS!F:F,CLIENTES_PCBR[[#This Row],[TELEFONO]],ENTRADAS!C:C)</f>
        <v>0</v>
      </c>
      <c r="G666" s="189" t="s">
        <v>94</v>
      </c>
    </row>
    <row r="667" customFormat="false" ht="15" hidden="false" customHeight="false" outlineLevel="0" collapsed="false">
      <c r="A667" s="197"/>
      <c r="B667" s="191"/>
      <c r="C667" s="190" t="s">
        <v>4904</v>
      </c>
      <c r="D667" s="191" t="n">
        <v>559584250378</v>
      </c>
      <c r="E667" s="190" t="s">
        <v>1537</v>
      </c>
      <c r="F667" s="192" t="n">
        <f aca="false">SUMIF(ENTRADAS!F:F,CLIENTES_PCBR[[#This Row],[TELEFONO]],ENTRADAS!C:C)</f>
        <v>97</v>
      </c>
      <c r="G667" s="189" t="s">
        <v>94</v>
      </c>
    </row>
    <row r="668" customFormat="false" ht="15" hidden="false" customHeight="false" outlineLevel="0" collapsed="false">
      <c r="A668" s="197"/>
      <c r="B668" s="191"/>
      <c r="C668" s="190" t="s">
        <v>173</v>
      </c>
      <c r="D668" s="191" t="n">
        <v>554884760990</v>
      </c>
      <c r="E668" s="190" t="s">
        <v>174</v>
      </c>
      <c r="F668" s="192" t="n">
        <f aca="false">SUMIF(ENTRADAS!F:F,CLIENTES_PCBR[[#This Row],[TELEFONO]],ENTRADAS!C:C)</f>
        <v>60</v>
      </c>
      <c r="G668" s="189" t="s">
        <v>94</v>
      </c>
    </row>
    <row r="669" customFormat="false" ht="15" hidden="false" customHeight="false" outlineLevel="0" collapsed="false">
      <c r="A669" s="197"/>
      <c r="B669" s="191"/>
      <c r="C669" s="190" t="s">
        <v>2517</v>
      </c>
      <c r="D669" s="191" t="n">
        <v>554796148688</v>
      </c>
      <c r="E669" s="190" t="s">
        <v>4905</v>
      </c>
      <c r="F669" s="192" t="n">
        <f aca="false">SUMIF(ENTRADAS!F:F,CLIENTES_PCBR[[#This Row],[TELEFONO]],ENTRADAS!C:C)</f>
        <v>0</v>
      </c>
      <c r="G669" s="189" t="s">
        <v>94</v>
      </c>
    </row>
    <row r="670" customFormat="false" ht="15" hidden="false" customHeight="false" outlineLevel="0" collapsed="false">
      <c r="A670" s="197"/>
      <c r="B670" s="191"/>
      <c r="C670" s="190" t="s">
        <v>4906</v>
      </c>
      <c r="D670" s="191" t="n">
        <v>554196007380</v>
      </c>
      <c r="E670" s="190" t="s">
        <v>4907</v>
      </c>
      <c r="F670" s="192" t="n">
        <f aca="false">SUMIF(ENTRADAS!F:F,CLIENTES_PCBR[[#This Row],[TELEFONO]],ENTRADAS!C:C)</f>
        <v>0</v>
      </c>
      <c r="G670" s="189" t="s">
        <v>94</v>
      </c>
    </row>
    <row r="671" customFormat="false" ht="15" hidden="false" customHeight="false" outlineLevel="0" collapsed="false">
      <c r="A671" s="197"/>
      <c r="B671" s="191"/>
      <c r="C671" s="190" t="s">
        <v>4908</v>
      </c>
      <c r="D671" s="191" t="n">
        <v>554792400158</v>
      </c>
      <c r="E671" s="190" t="s">
        <v>4909</v>
      </c>
      <c r="F671" s="192" t="n">
        <f aca="false">SUMIF(ENTRADAS!F:F,CLIENTES_PCBR[[#This Row],[TELEFONO]],ENTRADAS!C:C)</f>
        <v>0</v>
      </c>
      <c r="G671" s="189" t="s">
        <v>94</v>
      </c>
    </row>
    <row r="672" customFormat="false" ht="15" hidden="false" customHeight="false" outlineLevel="0" collapsed="false">
      <c r="A672" s="197"/>
      <c r="B672" s="191"/>
      <c r="C672" s="190" t="s">
        <v>1821</v>
      </c>
      <c r="D672" s="191" t="n">
        <v>554888684882</v>
      </c>
      <c r="E672" s="190" t="s">
        <v>1822</v>
      </c>
      <c r="F672" s="192" t="n">
        <f aca="false">SUMIF(ENTRADAS!F:F,CLIENTES_PCBR[[#This Row],[TELEFONO]],ENTRADAS!C:C)</f>
        <v>750</v>
      </c>
      <c r="G672" s="189" t="s">
        <v>94</v>
      </c>
    </row>
    <row r="673" customFormat="false" ht="15" hidden="false" customHeight="false" outlineLevel="0" collapsed="false">
      <c r="A673" s="197"/>
      <c r="B673" s="191"/>
      <c r="C673" s="190" t="s">
        <v>4910</v>
      </c>
      <c r="D673" s="191" t="n">
        <v>559584157413</v>
      </c>
      <c r="E673" s="190" t="s">
        <v>4911</v>
      </c>
      <c r="F673" s="192" t="n">
        <f aca="false">SUMIF(ENTRADAS!F:F,CLIENTES_PCBR[[#This Row],[TELEFONO]],ENTRADAS!C:C)</f>
        <v>0</v>
      </c>
      <c r="G673" s="189" t="s">
        <v>94</v>
      </c>
    </row>
    <row r="674" customFormat="false" ht="15" hidden="false" customHeight="false" outlineLevel="0" collapsed="false">
      <c r="A674" s="197"/>
      <c r="B674" s="191"/>
      <c r="C674" s="190" t="s">
        <v>4912</v>
      </c>
      <c r="D674" s="191" t="n">
        <v>5511994832036</v>
      </c>
      <c r="E674" s="190" t="s">
        <v>4913</v>
      </c>
      <c r="F674" s="192" t="n">
        <f aca="false">SUMIF(ENTRADAS!F:F,CLIENTES_PCBR[[#This Row],[TELEFONO]],ENTRADAS!C:C)</f>
        <v>0</v>
      </c>
      <c r="G674" s="189" t="s">
        <v>94</v>
      </c>
    </row>
    <row r="675" customFormat="false" ht="15" hidden="false" customHeight="false" outlineLevel="0" collapsed="false">
      <c r="A675" s="197"/>
      <c r="B675" s="191"/>
      <c r="C675" s="190" t="s">
        <v>4914</v>
      </c>
      <c r="D675" s="191" t="n">
        <v>554195274722</v>
      </c>
      <c r="E675" s="190" t="s">
        <v>4915</v>
      </c>
      <c r="F675" s="192" t="n">
        <f aca="false">SUMIF(ENTRADAS!F:F,CLIENTES_PCBR[[#This Row],[TELEFONO]],ENTRADAS!C:C)</f>
        <v>0</v>
      </c>
      <c r="G675" s="189" t="s">
        <v>94</v>
      </c>
    </row>
    <row r="676" customFormat="false" ht="15" hidden="false" customHeight="false" outlineLevel="0" collapsed="false">
      <c r="A676" s="197"/>
      <c r="B676" s="191"/>
      <c r="C676" s="190" t="s">
        <v>4916</v>
      </c>
      <c r="D676" s="191" t="n">
        <v>559684160263</v>
      </c>
      <c r="E676" s="190" t="s">
        <v>4917</v>
      </c>
      <c r="F676" s="192" t="n">
        <f aca="false">SUMIF(ENTRADAS!F:F,CLIENTES_PCBR[[#This Row],[TELEFONO]],ENTRADAS!C:C)</f>
        <v>0</v>
      </c>
      <c r="G676" s="189" t="s">
        <v>94</v>
      </c>
    </row>
    <row r="677" customFormat="false" ht="15" hidden="false" customHeight="false" outlineLevel="0" collapsed="false">
      <c r="A677" s="197"/>
      <c r="B677" s="191"/>
      <c r="C677" s="190" t="s">
        <v>4918</v>
      </c>
      <c r="D677" s="191" t="n">
        <v>559591307695</v>
      </c>
      <c r="E677" s="190" t="s">
        <v>4919</v>
      </c>
      <c r="F677" s="192" t="n">
        <f aca="false">SUMIF(ENTRADAS!F:F,CLIENTES_PCBR[[#This Row],[TELEFONO]],ENTRADAS!C:C)</f>
        <v>0</v>
      </c>
      <c r="G677" s="189" t="s">
        <v>94</v>
      </c>
    </row>
    <row r="678" customFormat="false" ht="15" hidden="false" customHeight="false" outlineLevel="0" collapsed="false">
      <c r="A678" s="197"/>
      <c r="B678" s="191"/>
      <c r="C678" s="190" t="s">
        <v>4920</v>
      </c>
      <c r="D678" s="191" t="n">
        <v>557196887542</v>
      </c>
      <c r="F678" s="192" t="n">
        <f aca="false">SUMIF(ENTRADAS!F:F,CLIENTES_PCBR[[#This Row],[TELEFONO]],ENTRADAS!C:C)</f>
        <v>0</v>
      </c>
      <c r="G678" s="189" t="s">
        <v>94</v>
      </c>
    </row>
    <row r="679" customFormat="false" ht="15" hidden="false" customHeight="false" outlineLevel="0" collapsed="false">
      <c r="A679" s="197"/>
      <c r="B679" s="191"/>
      <c r="C679" s="190" t="s">
        <v>4921</v>
      </c>
      <c r="D679" s="191" t="n">
        <v>554195192270</v>
      </c>
      <c r="E679" s="190" t="s">
        <v>4922</v>
      </c>
      <c r="F679" s="192" t="n">
        <f aca="false">SUMIF(ENTRADAS!F:F,CLIENTES_PCBR[[#This Row],[TELEFONO]],ENTRADAS!C:C)</f>
        <v>0</v>
      </c>
      <c r="G679" s="189" t="s">
        <v>94</v>
      </c>
    </row>
    <row r="680" customFormat="false" ht="15" hidden="false" customHeight="false" outlineLevel="0" collapsed="false">
      <c r="A680" s="197"/>
      <c r="B680" s="191"/>
      <c r="C680" s="190" t="s">
        <v>4923</v>
      </c>
      <c r="D680" s="191" t="n">
        <v>554791197385</v>
      </c>
      <c r="E680" s="190" t="s">
        <v>4924</v>
      </c>
      <c r="F680" s="192" t="n">
        <f aca="false">SUMIF(ENTRADAS!F:F,CLIENTES_PCBR[[#This Row],[TELEFONO]],ENTRADAS!C:C)</f>
        <v>0</v>
      </c>
      <c r="G680" s="189" t="s">
        <v>94</v>
      </c>
    </row>
    <row r="681" customFormat="false" ht="15" hidden="false" customHeight="false" outlineLevel="0" collapsed="false">
      <c r="A681" s="197"/>
      <c r="B681" s="191"/>
      <c r="C681" s="190" t="s">
        <v>4925</v>
      </c>
      <c r="D681" s="191" t="n">
        <v>554791839948</v>
      </c>
      <c r="E681" s="190" t="s">
        <v>4926</v>
      </c>
      <c r="F681" s="192" t="n">
        <f aca="false">SUMIF(ENTRADAS!F:F,CLIENTES_PCBR[[#This Row],[TELEFONO]],ENTRADAS!C:C)</f>
        <v>0</v>
      </c>
      <c r="G681" s="189" t="s">
        <v>94</v>
      </c>
    </row>
    <row r="682" customFormat="false" ht="15" hidden="false" customHeight="false" outlineLevel="0" collapsed="false">
      <c r="A682" s="197"/>
      <c r="B682" s="191"/>
      <c r="C682" s="190" t="s">
        <v>4927</v>
      </c>
      <c r="D682" s="191" t="n">
        <v>5518981155342</v>
      </c>
      <c r="E682" s="190" t="s">
        <v>4928</v>
      </c>
      <c r="F682" s="192" t="n">
        <f aca="false">SUMIF(ENTRADAS!F:F,CLIENTES_PCBR[[#This Row],[TELEFONO]],ENTRADAS!C:C)</f>
        <v>0</v>
      </c>
      <c r="G682" s="189" t="s">
        <v>94</v>
      </c>
    </row>
    <row r="683" customFormat="false" ht="15" hidden="false" customHeight="false" outlineLevel="0" collapsed="false">
      <c r="A683" s="197"/>
      <c r="B683" s="191"/>
      <c r="C683" s="190" t="s">
        <v>4929</v>
      </c>
      <c r="D683" s="191" t="n">
        <v>554199947908</v>
      </c>
      <c r="F683" s="192" t="n">
        <f aca="false">SUMIF(ENTRADAS!F:F,CLIENTES_PCBR[[#This Row],[TELEFONO]],ENTRADAS!C:C)</f>
        <v>0</v>
      </c>
      <c r="G683" s="189" t="s">
        <v>94</v>
      </c>
    </row>
    <row r="684" customFormat="false" ht="15" hidden="false" customHeight="false" outlineLevel="0" collapsed="false">
      <c r="A684" s="197"/>
      <c r="B684" s="191"/>
      <c r="C684" s="190" t="s">
        <v>4930</v>
      </c>
      <c r="D684" s="191" t="n">
        <v>554888175520</v>
      </c>
      <c r="E684" s="190" t="s">
        <v>4931</v>
      </c>
      <c r="F684" s="192" t="n">
        <f aca="false">SUMIF(ENTRADAS!F:F,CLIENTES_PCBR[[#This Row],[TELEFONO]],ENTRADAS!C:C)</f>
        <v>0</v>
      </c>
      <c r="G684" s="189" t="s">
        <v>94</v>
      </c>
    </row>
    <row r="685" customFormat="false" ht="15" hidden="false" customHeight="false" outlineLevel="0" collapsed="false">
      <c r="A685" s="197"/>
      <c r="B685" s="191"/>
      <c r="C685" s="190" t="s">
        <v>3222</v>
      </c>
      <c r="D685" s="191" t="n">
        <v>554198317851</v>
      </c>
      <c r="F685" s="192" t="n">
        <f aca="false">SUMIF(ENTRADAS!F:F,CLIENTES_PCBR[[#This Row],[TELEFONO]],ENTRADAS!C:C)</f>
        <v>1650</v>
      </c>
      <c r="G685" s="189" t="s">
        <v>94</v>
      </c>
    </row>
    <row r="686" customFormat="false" ht="15" hidden="false" customHeight="false" outlineLevel="0" collapsed="false">
      <c r="A686" s="197"/>
      <c r="B686" s="191"/>
      <c r="C686" s="190" t="s">
        <v>4932</v>
      </c>
      <c r="D686" s="191" t="n">
        <v>559584290604</v>
      </c>
      <c r="E686" s="190" t="s">
        <v>4933</v>
      </c>
      <c r="F686" s="192" t="n">
        <f aca="false">SUMIF(ENTRADAS!F:F,CLIENTES_PCBR[[#This Row],[TELEFONO]],ENTRADAS!C:C)</f>
        <v>0</v>
      </c>
      <c r="G686" s="189" t="s">
        <v>94</v>
      </c>
    </row>
    <row r="687" customFormat="false" ht="15" hidden="false" customHeight="false" outlineLevel="0" collapsed="false">
      <c r="A687" s="197"/>
      <c r="B687" s="191"/>
      <c r="C687" s="190" t="s">
        <v>4934</v>
      </c>
      <c r="D687" s="191" t="n">
        <v>554195115143</v>
      </c>
      <c r="E687" s="190" t="s">
        <v>3273</v>
      </c>
      <c r="F687" s="192" t="n">
        <f aca="false">SUMIF(ENTRADAS!F:F,CLIENTES_PCBR[[#This Row],[TELEFONO]],ENTRADAS!C:C)</f>
        <v>0</v>
      </c>
      <c r="G687" s="189" t="s">
        <v>94</v>
      </c>
    </row>
    <row r="688" customFormat="false" ht="15" hidden="false" customHeight="false" outlineLevel="0" collapsed="false">
      <c r="A688" s="197"/>
      <c r="B688" s="191"/>
      <c r="C688" s="190" t="s">
        <v>4935</v>
      </c>
      <c r="D688" s="191" t="n">
        <v>555193560503</v>
      </c>
      <c r="E688" s="190" t="s">
        <v>4936</v>
      </c>
      <c r="F688" s="192" t="n">
        <f aca="false">SUMIF(ENTRADAS!F:F,CLIENTES_PCBR[[#This Row],[TELEFONO]],ENTRADAS!C:C)</f>
        <v>0</v>
      </c>
      <c r="G688" s="189" t="s">
        <v>94</v>
      </c>
    </row>
    <row r="689" customFormat="false" ht="15" hidden="false" customHeight="false" outlineLevel="0" collapsed="false">
      <c r="A689" s="197"/>
      <c r="B689" s="191"/>
      <c r="C689" s="190" t="s">
        <v>4937</v>
      </c>
      <c r="D689" s="191" t="n">
        <v>559684295627</v>
      </c>
      <c r="E689" s="190" t="s">
        <v>4938</v>
      </c>
      <c r="F689" s="192" t="n">
        <f aca="false">SUMIF(ENTRADAS!F:F,CLIENTES_PCBR[[#This Row],[TELEFONO]],ENTRADAS!C:C)</f>
        <v>0</v>
      </c>
      <c r="G689" s="189" t="s">
        <v>94</v>
      </c>
    </row>
    <row r="690" customFormat="false" ht="15" hidden="false" customHeight="false" outlineLevel="0" collapsed="false">
      <c r="A690" s="197"/>
      <c r="B690" s="191"/>
      <c r="C690" s="190" t="s">
        <v>4939</v>
      </c>
      <c r="D690" s="191" t="n">
        <v>554195294175</v>
      </c>
      <c r="E690" s="190" t="s">
        <v>4940</v>
      </c>
      <c r="F690" s="192" t="n">
        <f aca="false">SUMIF(ENTRADAS!F:F,CLIENTES_PCBR[[#This Row],[TELEFONO]],ENTRADAS!C:C)</f>
        <v>0</v>
      </c>
      <c r="G690" s="189" t="s">
        <v>94</v>
      </c>
    </row>
    <row r="691" customFormat="false" ht="15" hidden="false" customHeight="false" outlineLevel="0" collapsed="false">
      <c r="A691" s="197"/>
      <c r="B691" s="191"/>
      <c r="C691" s="190" t="s">
        <v>4941</v>
      </c>
      <c r="D691" s="191" t="n">
        <v>5514991393147</v>
      </c>
      <c r="E691" s="190" t="s">
        <v>4942</v>
      </c>
      <c r="F691" s="192" t="n">
        <f aca="false">SUMIF(ENTRADAS!F:F,CLIENTES_PCBR[[#This Row],[TELEFONO]],ENTRADAS!C:C)</f>
        <v>0</v>
      </c>
      <c r="G691" s="189" t="s">
        <v>94</v>
      </c>
    </row>
    <row r="692" customFormat="false" ht="15" hidden="false" customHeight="false" outlineLevel="0" collapsed="false">
      <c r="A692" s="197"/>
      <c r="B692" s="191"/>
      <c r="C692" s="190" t="s">
        <v>4943</v>
      </c>
      <c r="D692" s="191" t="n">
        <v>5351239181</v>
      </c>
      <c r="F692" s="192" t="n">
        <f aca="false">SUMIF(ENTRADAS!F:F,CLIENTES_PCBR[[#This Row],[TELEFONO]],ENTRADAS!C:C)</f>
        <v>0</v>
      </c>
      <c r="G692" s="189" t="s">
        <v>94</v>
      </c>
    </row>
    <row r="693" customFormat="false" ht="15" hidden="false" customHeight="false" outlineLevel="0" collapsed="false">
      <c r="A693" s="197"/>
      <c r="B693" s="191"/>
      <c r="C693" s="190" t="s">
        <v>4944</v>
      </c>
      <c r="D693" s="191" t="n">
        <v>555180189321</v>
      </c>
      <c r="E693" s="190" t="s">
        <v>4945</v>
      </c>
      <c r="F693" s="192" t="n">
        <f aca="false">SUMIF(ENTRADAS!F:F,CLIENTES_PCBR[[#This Row],[TELEFONO]],ENTRADAS!C:C)</f>
        <v>0</v>
      </c>
      <c r="G693" s="189" t="s">
        <v>94</v>
      </c>
    </row>
    <row r="694" customFormat="false" ht="15" hidden="false" customHeight="false" outlineLevel="0" collapsed="false">
      <c r="A694" s="197"/>
      <c r="B694" s="191"/>
      <c r="C694" s="190" t="s">
        <v>4946</v>
      </c>
      <c r="D694" s="191" t="n">
        <v>559584397770</v>
      </c>
      <c r="E694" s="190" t="s">
        <v>4947</v>
      </c>
      <c r="F694" s="192" t="n">
        <f aca="false">SUMIF(ENTRADAS!F:F,CLIENTES_PCBR[[#This Row],[TELEFONO]],ENTRADAS!C:C)</f>
        <v>0</v>
      </c>
      <c r="G694" s="189" t="s">
        <v>94</v>
      </c>
    </row>
    <row r="695" customFormat="false" ht="15" hidden="false" customHeight="false" outlineLevel="0" collapsed="false">
      <c r="A695" s="197"/>
      <c r="B695" s="191"/>
      <c r="C695" s="190" t="s">
        <v>4948</v>
      </c>
      <c r="D695" s="191" t="n">
        <v>554199895843</v>
      </c>
      <c r="E695" s="190" t="s">
        <v>4949</v>
      </c>
      <c r="F695" s="192" t="n">
        <f aca="false">SUMIF(ENTRADAS!F:F,CLIENTES_PCBR[[#This Row],[TELEFONO]],ENTRADAS!C:C)</f>
        <v>0</v>
      </c>
      <c r="G695" s="189" t="s">
        <v>94</v>
      </c>
    </row>
    <row r="696" customFormat="false" ht="15" hidden="false" customHeight="false" outlineLevel="0" collapsed="false">
      <c r="A696" s="197"/>
      <c r="B696" s="191"/>
      <c r="C696" s="190" t="s">
        <v>4950</v>
      </c>
      <c r="D696" s="191" t="n">
        <v>554195368268</v>
      </c>
      <c r="F696" s="192" t="n">
        <f aca="false">SUMIF(ENTRADAS!F:F,CLIENTES_PCBR[[#This Row],[TELEFONO]],ENTRADAS!C:C)</f>
        <v>0</v>
      </c>
      <c r="G696" s="189" t="s">
        <v>94</v>
      </c>
    </row>
    <row r="697" customFormat="false" ht="15" hidden="false" customHeight="false" outlineLevel="0" collapsed="false">
      <c r="A697" s="197"/>
      <c r="B697" s="191"/>
      <c r="C697" s="190" t="s">
        <v>4951</v>
      </c>
      <c r="D697" s="191" t="n">
        <v>5511945887654</v>
      </c>
      <c r="E697" s="190" t="s">
        <v>4952</v>
      </c>
      <c r="F697" s="192" t="n">
        <f aca="false">SUMIF(ENTRADAS!F:F,CLIENTES_PCBR[[#This Row],[TELEFONO]],ENTRADAS!C:C)</f>
        <v>0</v>
      </c>
      <c r="G697" s="189" t="s">
        <v>94</v>
      </c>
    </row>
    <row r="698" customFormat="false" ht="15" hidden="false" customHeight="false" outlineLevel="0" collapsed="false">
      <c r="A698" s="197"/>
      <c r="B698" s="191"/>
      <c r="C698" s="190" t="s">
        <v>4953</v>
      </c>
      <c r="D698" s="191" t="n">
        <v>559584379681</v>
      </c>
      <c r="E698" s="190" t="s">
        <v>4954</v>
      </c>
      <c r="F698" s="192" t="n">
        <f aca="false">SUMIF(ENTRADAS!F:F,CLIENTES_PCBR[[#This Row],[TELEFONO]],ENTRADAS!C:C)</f>
        <v>0</v>
      </c>
      <c r="G698" s="189" t="s">
        <v>94</v>
      </c>
    </row>
    <row r="699" customFormat="false" ht="15" hidden="false" customHeight="false" outlineLevel="0" collapsed="false">
      <c r="A699" s="197"/>
      <c r="B699" s="191"/>
      <c r="C699" s="190" t="s">
        <v>4955</v>
      </c>
      <c r="D699" s="191" t="n">
        <v>5511933560001</v>
      </c>
      <c r="E699" s="190" t="s">
        <v>4956</v>
      </c>
      <c r="F699" s="192" t="n">
        <f aca="false">SUMIF(ENTRADAS!F:F,CLIENTES_PCBR[[#This Row],[TELEFONO]],ENTRADAS!C:C)</f>
        <v>0</v>
      </c>
      <c r="G699" s="189" t="s">
        <v>94</v>
      </c>
    </row>
    <row r="700" customFormat="false" ht="15" hidden="false" customHeight="false" outlineLevel="0" collapsed="false">
      <c r="A700" s="197"/>
      <c r="B700" s="191"/>
      <c r="C700" s="190" t="s">
        <v>4957</v>
      </c>
      <c r="D700" s="191" t="n">
        <v>559684070016</v>
      </c>
      <c r="E700" s="190" t="s">
        <v>4958</v>
      </c>
      <c r="F700" s="192" t="n">
        <f aca="false">SUMIF(ENTRADAS!F:F,CLIENTES_PCBR[[#This Row],[TELEFONO]],ENTRADAS!C:C)</f>
        <v>0</v>
      </c>
      <c r="G700" s="189" t="s">
        <v>94</v>
      </c>
    </row>
    <row r="701" customFormat="false" ht="15" hidden="false" customHeight="false" outlineLevel="0" collapsed="false">
      <c r="A701" s="197"/>
      <c r="B701" s="191"/>
      <c r="C701" s="190" t="s">
        <v>3602</v>
      </c>
      <c r="D701" s="191" t="n">
        <v>5549933817153</v>
      </c>
      <c r="E701" s="190" t="s">
        <v>4959</v>
      </c>
      <c r="F701" s="192" t="n">
        <f aca="false">SUMIF(ENTRADAS!F:F,CLIENTES_PCBR[[#This Row],[TELEFONO]],ENTRADAS!C:C)</f>
        <v>0</v>
      </c>
      <c r="G701" s="189" t="s">
        <v>94</v>
      </c>
    </row>
    <row r="702" customFormat="false" ht="15" hidden="false" customHeight="false" outlineLevel="0" collapsed="false">
      <c r="A702" s="197"/>
      <c r="B702" s="191"/>
      <c r="C702" s="190" t="s">
        <v>4960</v>
      </c>
      <c r="D702" s="191" t="n">
        <v>559584381620</v>
      </c>
      <c r="E702" s="190" t="s">
        <v>4961</v>
      </c>
      <c r="F702" s="192" t="n">
        <f aca="false">SUMIF(ENTRADAS!F:F,CLIENTES_PCBR[[#This Row],[TELEFONO]],ENTRADAS!C:C)</f>
        <v>0</v>
      </c>
      <c r="G702" s="189" t="s">
        <v>94</v>
      </c>
    </row>
    <row r="703" customFormat="false" ht="15" hidden="false" customHeight="false" outlineLevel="0" collapsed="false">
      <c r="A703" s="197"/>
      <c r="B703" s="191"/>
      <c r="C703" s="190" t="s">
        <v>4962</v>
      </c>
      <c r="D703" s="191" t="n">
        <v>554797863528</v>
      </c>
      <c r="F703" s="192" t="n">
        <f aca="false">SUMIF(ENTRADAS!F:F,CLIENTES_PCBR[[#This Row],[TELEFONO]],ENTRADAS!C:C)</f>
        <v>0</v>
      </c>
      <c r="G703" s="189" t="s">
        <v>94</v>
      </c>
    </row>
    <row r="704" customFormat="false" ht="15" hidden="false" customHeight="false" outlineLevel="0" collapsed="false">
      <c r="A704" s="197"/>
      <c r="B704" s="191"/>
      <c r="C704" s="190" t="s">
        <v>2409</v>
      </c>
      <c r="D704" s="191" t="n">
        <v>554198534399</v>
      </c>
      <c r="E704" s="190" t="s">
        <v>2410</v>
      </c>
      <c r="F704" s="192" t="n">
        <f aca="false">SUMIF(ENTRADAS!F:F,CLIENTES_PCBR[[#This Row],[TELEFONO]],ENTRADAS!C:C)</f>
        <v>120</v>
      </c>
      <c r="G704" s="189" t="s">
        <v>94</v>
      </c>
    </row>
    <row r="705" customFormat="false" ht="15" hidden="false" customHeight="false" outlineLevel="0" collapsed="false">
      <c r="A705" s="197"/>
      <c r="B705" s="191"/>
      <c r="C705" s="190" t="s">
        <v>4963</v>
      </c>
      <c r="D705" s="191" t="n">
        <v>554599777600</v>
      </c>
      <c r="E705" s="190" t="s">
        <v>4964</v>
      </c>
      <c r="F705" s="192" t="n">
        <f aca="false">SUMIF(ENTRADAS!F:F,CLIENTES_PCBR[[#This Row],[TELEFONO]],ENTRADAS!C:C)</f>
        <v>0</v>
      </c>
      <c r="G705" s="189" t="s">
        <v>94</v>
      </c>
    </row>
    <row r="706" customFormat="false" ht="15" hidden="false" customHeight="false" outlineLevel="0" collapsed="false">
      <c r="A706" s="197"/>
      <c r="B706" s="191"/>
      <c r="C706" s="190" t="s">
        <v>4965</v>
      </c>
      <c r="D706" s="191" t="n">
        <v>554199074027</v>
      </c>
      <c r="E706" s="190" t="s">
        <v>4966</v>
      </c>
      <c r="F706" s="192" t="n">
        <f aca="false">SUMIF(ENTRADAS!F:F,CLIENTES_PCBR[[#This Row],[TELEFONO]],ENTRADAS!C:C)</f>
        <v>0</v>
      </c>
      <c r="G706" s="189" t="s">
        <v>94</v>
      </c>
    </row>
    <row r="707" customFormat="false" ht="15" hidden="false" customHeight="false" outlineLevel="0" collapsed="false">
      <c r="A707" s="197"/>
      <c r="B707" s="191"/>
      <c r="C707" s="190" t="s">
        <v>4967</v>
      </c>
      <c r="D707" s="191" t="n">
        <v>554799004093</v>
      </c>
      <c r="E707" s="190" t="s">
        <v>4968</v>
      </c>
      <c r="F707" s="192" t="n">
        <f aca="false">SUMIF(ENTRADAS!F:F,CLIENTES_PCBR[[#This Row],[TELEFONO]],ENTRADAS!C:C)</f>
        <v>0</v>
      </c>
      <c r="G707" s="189" t="s">
        <v>94</v>
      </c>
    </row>
    <row r="708" customFormat="false" ht="15" hidden="false" customHeight="false" outlineLevel="0" collapsed="false">
      <c r="A708" s="197"/>
      <c r="B708" s="191"/>
      <c r="C708" s="190" t="s">
        <v>4969</v>
      </c>
      <c r="D708" s="191" t="n">
        <v>556281937193</v>
      </c>
      <c r="E708" s="190" t="s">
        <v>4970</v>
      </c>
      <c r="F708" s="192" t="n">
        <f aca="false">SUMIF(ENTRADAS!F:F,CLIENTES_PCBR[[#This Row],[TELEFONO]],ENTRADAS!C:C)</f>
        <v>0</v>
      </c>
      <c r="G708" s="189" t="s">
        <v>94</v>
      </c>
    </row>
    <row r="709" customFormat="false" ht="15" hidden="false" customHeight="false" outlineLevel="0" collapsed="false">
      <c r="A709" s="197"/>
      <c r="B709" s="191"/>
      <c r="C709" s="190" t="s">
        <v>4971</v>
      </c>
      <c r="D709" s="191" t="n">
        <v>555496679975</v>
      </c>
      <c r="E709" s="190" t="s">
        <v>4972</v>
      </c>
      <c r="F709" s="192" t="n">
        <f aca="false">SUMIF(ENTRADAS!F:F,CLIENTES_PCBR[[#This Row],[TELEFONO]],ENTRADAS!C:C)</f>
        <v>0</v>
      </c>
      <c r="G709" s="189" t="s">
        <v>94</v>
      </c>
    </row>
    <row r="710" customFormat="false" ht="15" hidden="false" customHeight="false" outlineLevel="0" collapsed="false">
      <c r="A710" s="197"/>
      <c r="B710" s="191"/>
      <c r="C710" s="190" t="s">
        <v>741</v>
      </c>
      <c r="D710" s="191" t="n">
        <v>559584397891</v>
      </c>
      <c r="E710" s="190" t="s">
        <v>742</v>
      </c>
      <c r="F710" s="192" t="n">
        <f aca="false">SUMIF(ENTRADAS!F:F,CLIENTES_PCBR[[#This Row],[TELEFONO]],ENTRADAS!C:C)</f>
        <v>90</v>
      </c>
      <c r="G710" s="189" t="s">
        <v>94</v>
      </c>
    </row>
    <row r="711" customFormat="false" ht="15" hidden="false" customHeight="false" outlineLevel="0" collapsed="false">
      <c r="A711" s="197"/>
      <c r="B711" s="191"/>
      <c r="C711" s="190" t="s">
        <v>4973</v>
      </c>
      <c r="D711" s="191" t="n">
        <v>554899924596</v>
      </c>
      <c r="E711" s="190" t="s">
        <v>4974</v>
      </c>
      <c r="F711" s="192" t="n">
        <f aca="false">SUMIF(ENTRADAS!F:F,CLIENTES_PCBR[[#This Row],[TELEFONO]],ENTRADAS!C:C)</f>
        <v>0</v>
      </c>
      <c r="G711" s="189" t="s">
        <v>94</v>
      </c>
    </row>
    <row r="712" customFormat="false" ht="15" hidden="false" customHeight="false" outlineLevel="0" collapsed="false">
      <c r="A712" s="197"/>
      <c r="B712" s="191"/>
      <c r="C712" s="190" t="s">
        <v>4975</v>
      </c>
      <c r="D712" s="191" t="n">
        <v>559584290389</v>
      </c>
      <c r="E712" s="190" t="s">
        <v>4976</v>
      </c>
      <c r="F712" s="192" t="n">
        <f aca="false">SUMIF(ENTRADAS!F:F,CLIENTES_PCBR[[#This Row],[TELEFONO]],ENTRADAS!C:C)</f>
        <v>0</v>
      </c>
      <c r="G712" s="189" t="s">
        <v>94</v>
      </c>
    </row>
    <row r="713" customFormat="false" ht="15" hidden="false" customHeight="false" outlineLevel="0" collapsed="false">
      <c r="A713" s="197"/>
      <c r="B713" s="191"/>
      <c r="C713" s="190" t="s">
        <v>4977</v>
      </c>
      <c r="D713" s="191" t="n">
        <v>5515997271680</v>
      </c>
      <c r="F713" s="192" t="n">
        <f aca="false">SUMIF(ENTRADAS!F:F,CLIENTES_PCBR[[#This Row],[TELEFONO]],ENTRADAS!C:C)</f>
        <v>0</v>
      </c>
      <c r="G713" s="189" t="s">
        <v>94</v>
      </c>
    </row>
    <row r="714" customFormat="false" ht="15" hidden="false" customHeight="false" outlineLevel="0" collapsed="false">
      <c r="A714" s="197"/>
      <c r="B714" s="191"/>
      <c r="C714" s="190" t="s">
        <v>4978</v>
      </c>
      <c r="D714" s="191" t="n">
        <v>559591469720</v>
      </c>
      <c r="E714" s="190" t="s">
        <v>4979</v>
      </c>
      <c r="F714" s="192" t="n">
        <f aca="false">SUMIF(ENTRADAS!F:F,CLIENTES_PCBR[[#This Row],[TELEFONO]],ENTRADAS!C:C)</f>
        <v>0</v>
      </c>
      <c r="G714" s="189" t="s">
        <v>94</v>
      </c>
    </row>
    <row r="715" customFormat="false" ht="15" hidden="false" customHeight="false" outlineLevel="0" collapsed="false">
      <c r="A715" s="197"/>
      <c r="B715" s="191"/>
      <c r="C715" s="190" t="s">
        <v>4980</v>
      </c>
      <c r="D715" s="191" t="n">
        <v>559584298854</v>
      </c>
      <c r="E715" s="190" t="s">
        <v>4981</v>
      </c>
      <c r="F715" s="192" t="n">
        <f aca="false">SUMIF(ENTRADAS!F:F,CLIENTES_PCBR[[#This Row],[TELEFONO]],ENTRADAS!C:C)</f>
        <v>0</v>
      </c>
      <c r="G715" s="189" t="s">
        <v>94</v>
      </c>
    </row>
    <row r="716" customFormat="false" ht="15" hidden="false" customHeight="false" outlineLevel="0" collapsed="false">
      <c r="A716" s="197"/>
      <c r="B716" s="191"/>
      <c r="C716" s="190" t="s">
        <v>1721</v>
      </c>
      <c r="D716" s="191" t="n">
        <v>554184521162</v>
      </c>
      <c r="E716" s="190" t="s">
        <v>4982</v>
      </c>
      <c r="F716" s="192" t="n">
        <f aca="false">SUMIF(ENTRADAS!F:F,CLIENTES_PCBR[[#This Row],[TELEFONO]],ENTRADAS!C:C)</f>
        <v>300</v>
      </c>
      <c r="G716" s="189" t="s">
        <v>94</v>
      </c>
    </row>
    <row r="717" customFormat="false" ht="15" hidden="false" customHeight="false" outlineLevel="0" collapsed="false">
      <c r="A717" s="197"/>
      <c r="B717" s="191"/>
      <c r="C717" s="190" t="s">
        <v>4983</v>
      </c>
      <c r="D717" s="191" t="n">
        <v>5511914977254</v>
      </c>
      <c r="E717" s="190" t="s">
        <v>664</v>
      </c>
      <c r="F717" s="192" t="n">
        <f aca="false">SUMIF(ENTRADAS!F:F,CLIENTES_PCBR[[#This Row],[TELEFONO]],ENTRADAS!C:C)</f>
        <v>97</v>
      </c>
      <c r="G717" s="189" t="s">
        <v>94</v>
      </c>
    </row>
    <row r="718" customFormat="false" ht="15" hidden="false" customHeight="false" outlineLevel="0" collapsed="false">
      <c r="A718" s="197"/>
      <c r="B718" s="191"/>
      <c r="C718" s="190" t="s">
        <v>4984</v>
      </c>
      <c r="D718" s="191" t="n">
        <v>559584305287</v>
      </c>
      <c r="E718" s="190" t="s">
        <v>4985</v>
      </c>
      <c r="F718" s="192" t="n">
        <f aca="false">SUMIF(ENTRADAS!F:F,CLIENTES_PCBR[[#This Row],[TELEFONO]],ENTRADAS!C:C)</f>
        <v>0</v>
      </c>
      <c r="G718" s="189" t="s">
        <v>94</v>
      </c>
    </row>
    <row r="719" customFormat="false" ht="15" hidden="false" customHeight="false" outlineLevel="0" collapsed="false">
      <c r="A719" s="197"/>
      <c r="B719" s="191"/>
      <c r="C719" s="190" t="s">
        <v>4986</v>
      </c>
      <c r="D719" s="191" t="n">
        <v>559591502119</v>
      </c>
      <c r="E719" s="190" t="s">
        <v>4987</v>
      </c>
      <c r="F719" s="192" t="n">
        <f aca="false">SUMIF(ENTRADAS!F:F,CLIENTES_PCBR[[#This Row],[TELEFONO]],ENTRADAS!C:C)</f>
        <v>0</v>
      </c>
      <c r="G719" s="189" t="s">
        <v>94</v>
      </c>
    </row>
    <row r="720" customFormat="false" ht="15" hidden="false" customHeight="false" outlineLevel="0" collapsed="false">
      <c r="A720" s="197"/>
      <c r="B720" s="191"/>
      <c r="C720" s="190" t="s">
        <v>4988</v>
      </c>
      <c r="D720" s="191" t="n">
        <v>5359319660</v>
      </c>
      <c r="E720" s="190" t="s">
        <v>4989</v>
      </c>
      <c r="F720" s="192" t="n">
        <f aca="false">SUMIF(ENTRADAS!F:F,CLIENTES_PCBR[[#This Row],[TELEFONO]],ENTRADAS!C:C)</f>
        <v>0</v>
      </c>
      <c r="G720" s="189" t="s">
        <v>94</v>
      </c>
    </row>
    <row r="721" customFormat="false" ht="15" hidden="false" customHeight="false" outlineLevel="0" collapsed="false">
      <c r="A721" s="197"/>
      <c r="B721" s="191"/>
      <c r="C721" s="190" t="s">
        <v>4990</v>
      </c>
      <c r="D721" s="191" t="n">
        <v>5350298825</v>
      </c>
      <c r="F721" s="192" t="n">
        <f aca="false">SUMIF(ENTRADAS!F:F,CLIENTES_PCBR[[#This Row],[TELEFONO]],ENTRADAS!C:C)</f>
        <v>0</v>
      </c>
      <c r="G721" s="189" t="s">
        <v>94</v>
      </c>
    </row>
    <row r="722" customFormat="false" ht="15" hidden="false" customHeight="false" outlineLevel="0" collapsed="false">
      <c r="A722" s="197"/>
      <c r="B722" s="191"/>
      <c r="C722" s="190" t="s">
        <v>4991</v>
      </c>
      <c r="D722" s="191" t="n">
        <v>18497526286</v>
      </c>
      <c r="E722" s="190" t="s">
        <v>4992</v>
      </c>
      <c r="F722" s="192" t="n">
        <f aca="false">SUMIF(ENTRADAS!F:F,CLIENTES_PCBR[[#This Row],[TELEFONO]],ENTRADAS!C:C)</f>
        <v>0</v>
      </c>
      <c r="G722" s="189" t="s">
        <v>94</v>
      </c>
    </row>
    <row r="723" customFormat="false" ht="15" hidden="false" customHeight="false" outlineLevel="0" collapsed="false">
      <c r="A723" s="197"/>
      <c r="B723" s="191"/>
      <c r="C723" s="190" t="s">
        <v>4993</v>
      </c>
      <c r="D723" s="191" t="n">
        <v>5547999069667</v>
      </c>
      <c r="E723" s="190" t="s">
        <v>4994</v>
      </c>
      <c r="F723" s="192" t="n">
        <f aca="false">SUMIF(ENTRADAS!F:F,CLIENTES_PCBR[[#This Row],[TELEFONO]],ENTRADAS!C:C)</f>
        <v>0</v>
      </c>
      <c r="G723" s="189" t="s">
        <v>94</v>
      </c>
    </row>
    <row r="724" customFormat="false" ht="15" hidden="false" customHeight="false" outlineLevel="0" collapsed="false">
      <c r="A724" s="197"/>
      <c r="B724" s="191"/>
      <c r="C724" s="190" t="s">
        <v>4995</v>
      </c>
      <c r="D724" s="191" t="n">
        <v>559584300797</v>
      </c>
      <c r="E724" s="190" t="s">
        <v>4996</v>
      </c>
      <c r="F724" s="192" t="n">
        <f aca="false">SUMIF(ENTRADAS!F:F,CLIENTES_PCBR[[#This Row],[TELEFONO]],ENTRADAS!C:C)</f>
        <v>0</v>
      </c>
      <c r="G724" s="189" t="s">
        <v>94</v>
      </c>
    </row>
    <row r="725" customFormat="false" ht="15" hidden="false" customHeight="false" outlineLevel="0" collapsed="false">
      <c r="A725" s="197"/>
      <c r="B725" s="191"/>
      <c r="C725" s="190" t="s">
        <v>4997</v>
      </c>
      <c r="D725" s="191" t="n">
        <v>554196370115</v>
      </c>
      <c r="F725" s="192" t="n">
        <f aca="false">SUMIF(ENTRADAS!F:F,CLIENTES_PCBR[[#This Row],[TELEFONO]],ENTRADAS!C:C)</f>
        <v>0</v>
      </c>
      <c r="G725" s="189" t="s">
        <v>94</v>
      </c>
    </row>
    <row r="726" customFormat="false" ht="15" hidden="false" customHeight="false" outlineLevel="0" collapsed="false">
      <c r="A726" s="197"/>
      <c r="B726" s="191"/>
      <c r="C726" s="190" t="s">
        <v>4998</v>
      </c>
      <c r="D726" s="191" t="n">
        <v>5353311235</v>
      </c>
      <c r="E726" s="190" t="s">
        <v>2491</v>
      </c>
      <c r="F726" s="192" t="n">
        <f aca="false">SUMIF(ENTRADAS!F:F,CLIENTES_PCBR[[#This Row],[TELEFONO]],ENTRADAS!C:C)</f>
        <v>0</v>
      </c>
      <c r="G726" s="189" t="s">
        <v>94</v>
      </c>
    </row>
    <row r="727" customFormat="false" ht="15" hidden="false" customHeight="false" outlineLevel="0" collapsed="false">
      <c r="A727" s="197"/>
      <c r="B727" s="191"/>
      <c r="C727" s="190" t="s">
        <v>4999</v>
      </c>
      <c r="D727" s="191" t="n">
        <v>556299261580</v>
      </c>
      <c r="F727" s="192" t="n">
        <f aca="false">SUMIF(ENTRADAS!F:F,CLIENTES_PCBR[[#This Row],[TELEFONO]],ENTRADAS!C:C)</f>
        <v>0</v>
      </c>
      <c r="G727" s="189" t="s">
        <v>94</v>
      </c>
    </row>
    <row r="728" customFormat="false" ht="15" hidden="false" customHeight="false" outlineLevel="0" collapsed="false">
      <c r="A728" s="197"/>
      <c r="B728" s="191"/>
      <c r="C728" s="190" t="s">
        <v>5000</v>
      </c>
      <c r="D728" s="191" t="n">
        <v>555491414594</v>
      </c>
      <c r="E728" s="190" t="s">
        <v>5001</v>
      </c>
      <c r="F728" s="192" t="n">
        <f aca="false">SUMIF(ENTRADAS!F:F,CLIENTES_PCBR[[#This Row],[TELEFONO]],ENTRADAS!C:C)</f>
        <v>0</v>
      </c>
      <c r="G728" s="189" t="s">
        <v>94</v>
      </c>
    </row>
    <row r="729" customFormat="false" ht="15" hidden="false" customHeight="false" outlineLevel="0" collapsed="false">
      <c r="A729" s="197"/>
      <c r="B729" s="191"/>
      <c r="C729" s="190" t="s">
        <v>5002</v>
      </c>
      <c r="D729" s="191" t="n">
        <v>5978231356</v>
      </c>
      <c r="E729" s="190" t="s">
        <v>5003</v>
      </c>
      <c r="F729" s="192" t="n">
        <f aca="false">SUMIF(ENTRADAS!F:F,CLIENTES_PCBR[[#This Row],[TELEFONO]],ENTRADAS!C:C)</f>
        <v>0</v>
      </c>
      <c r="G729" s="189" t="s">
        <v>94</v>
      </c>
    </row>
    <row r="730" customFormat="false" ht="15" hidden="false" customHeight="false" outlineLevel="0" collapsed="false">
      <c r="A730" s="197"/>
      <c r="B730" s="191"/>
      <c r="C730" s="190" t="s">
        <v>5004</v>
      </c>
      <c r="D730" s="191" t="n">
        <v>5356199535</v>
      </c>
      <c r="E730" s="190" t="s">
        <v>5005</v>
      </c>
      <c r="F730" s="192" t="n">
        <f aca="false">SUMIF(ENTRADAS!F:F,CLIENTES_PCBR[[#This Row],[TELEFONO]],ENTRADAS!C:C)</f>
        <v>0</v>
      </c>
      <c r="G730" s="189" t="s">
        <v>94</v>
      </c>
    </row>
    <row r="731" customFormat="false" ht="15" hidden="false" customHeight="false" outlineLevel="0" collapsed="false">
      <c r="A731" s="197"/>
      <c r="B731" s="191"/>
      <c r="C731" s="190" t="s">
        <v>647</v>
      </c>
      <c r="D731" s="191" t="n">
        <v>5511973514388</v>
      </c>
      <c r="E731" s="190" t="s">
        <v>5006</v>
      </c>
      <c r="F731" s="192" t="n">
        <f aca="false">SUMIF(ENTRADAS!F:F,CLIENTES_PCBR[[#This Row],[TELEFONO]],ENTRADAS!C:C)</f>
        <v>180</v>
      </c>
      <c r="G731" s="189" t="s">
        <v>94</v>
      </c>
    </row>
    <row r="732" customFormat="false" ht="15" hidden="false" customHeight="false" outlineLevel="0" collapsed="false">
      <c r="A732" s="197"/>
      <c r="B732" s="191"/>
      <c r="C732" s="190" t="s">
        <v>5007</v>
      </c>
      <c r="D732" s="191" t="n">
        <v>559584129839</v>
      </c>
      <c r="E732" s="190" t="s">
        <v>5008</v>
      </c>
      <c r="F732" s="192" t="n">
        <f aca="false">SUMIF(ENTRADAS!F:F,CLIENTES_PCBR[[#This Row],[TELEFONO]],ENTRADAS!C:C)</f>
        <v>0</v>
      </c>
      <c r="G732" s="189" t="s">
        <v>94</v>
      </c>
    </row>
    <row r="733" customFormat="false" ht="15" hidden="false" customHeight="false" outlineLevel="0" collapsed="false">
      <c r="A733" s="197"/>
      <c r="B733" s="191"/>
      <c r="C733" s="190" t="s">
        <v>5009</v>
      </c>
      <c r="D733" s="191" t="n">
        <v>559584129559</v>
      </c>
      <c r="E733" s="190" t="s">
        <v>5010</v>
      </c>
      <c r="F733" s="192" t="n">
        <f aca="false">SUMIF(ENTRADAS!F:F,CLIENTES_PCBR[[#This Row],[TELEFONO]],ENTRADAS!C:C)</f>
        <v>0</v>
      </c>
      <c r="G733" s="189" t="s">
        <v>94</v>
      </c>
    </row>
    <row r="734" customFormat="false" ht="15" hidden="false" customHeight="false" outlineLevel="0" collapsed="false">
      <c r="A734" s="197"/>
      <c r="B734" s="191"/>
      <c r="C734" s="190" t="s">
        <v>5011</v>
      </c>
      <c r="D734" s="191" t="n">
        <v>5548920036857</v>
      </c>
      <c r="E734" s="190" t="s">
        <v>5012</v>
      </c>
      <c r="F734" s="192" t="n">
        <f aca="false">SUMIF(ENTRADAS!F:F,CLIENTES_PCBR[[#This Row],[TELEFONO]],ENTRADAS!C:C)</f>
        <v>0</v>
      </c>
      <c r="G734" s="189" t="s">
        <v>94</v>
      </c>
    </row>
    <row r="735" customFormat="false" ht="15" hidden="false" customHeight="false" outlineLevel="0" collapsed="false">
      <c r="A735" s="197"/>
      <c r="B735" s="191"/>
      <c r="C735" s="190" t="s">
        <v>5013</v>
      </c>
      <c r="D735" s="191" t="n">
        <v>559584287332</v>
      </c>
      <c r="E735" s="190" t="s">
        <v>5014</v>
      </c>
      <c r="F735" s="192" t="n">
        <f aca="false">SUMIF(ENTRADAS!F:F,CLIENTES_PCBR[[#This Row],[TELEFONO]],ENTRADAS!C:C)</f>
        <v>0</v>
      </c>
      <c r="G735" s="189" t="s">
        <v>94</v>
      </c>
    </row>
    <row r="736" customFormat="false" ht="15" hidden="false" customHeight="false" outlineLevel="0" collapsed="false">
      <c r="A736" s="197"/>
      <c r="B736" s="191"/>
      <c r="C736" s="190" t="s">
        <v>5015</v>
      </c>
      <c r="D736" s="191" t="n">
        <v>5519981964076</v>
      </c>
      <c r="E736" s="190" t="s">
        <v>5016</v>
      </c>
      <c r="F736" s="192" t="n">
        <f aca="false">SUMIF(ENTRADAS!F:F,CLIENTES_PCBR[[#This Row],[TELEFONO]],ENTRADAS!C:C)</f>
        <v>0</v>
      </c>
      <c r="G736" s="189" t="s">
        <v>94</v>
      </c>
    </row>
    <row r="737" customFormat="false" ht="15" hidden="false" customHeight="false" outlineLevel="0" collapsed="false">
      <c r="A737" s="197"/>
      <c r="B737" s="191"/>
      <c r="C737" s="190" t="s">
        <v>5017</v>
      </c>
      <c r="D737" s="191" t="n">
        <v>559584299772</v>
      </c>
      <c r="E737" s="190" t="s">
        <v>5018</v>
      </c>
      <c r="F737" s="192" t="n">
        <f aca="false">SUMIF(ENTRADAS!F:F,CLIENTES_PCBR[[#This Row],[TELEFONO]],ENTRADAS!C:C)</f>
        <v>0</v>
      </c>
      <c r="G737" s="189" t="s">
        <v>94</v>
      </c>
    </row>
    <row r="738" customFormat="false" ht="15" hidden="false" customHeight="false" outlineLevel="0" collapsed="false">
      <c r="A738" s="197"/>
      <c r="B738" s="191"/>
      <c r="C738" s="190" t="s">
        <v>5019</v>
      </c>
      <c r="D738" s="191" t="n">
        <v>554899935418</v>
      </c>
      <c r="E738" s="190" t="s">
        <v>5020</v>
      </c>
      <c r="F738" s="192" t="n">
        <f aca="false">SUMIF(ENTRADAS!F:F,CLIENTES_PCBR[[#This Row],[TELEFONO]],ENTRADAS!C:C)</f>
        <v>0</v>
      </c>
      <c r="G738" s="189" t="s">
        <v>94</v>
      </c>
    </row>
    <row r="739" customFormat="false" ht="15" hidden="false" customHeight="false" outlineLevel="0" collapsed="false">
      <c r="A739" s="197"/>
      <c r="B739" s="191"/>
      <c r="C739" s="190" t="s">
        <v>5021</v>
      </c>
      <c r="D739" s="191" t="n">
        <v>5355037569</v>
      </c>
      <c r="E739" s="190" t="s">
        <v>5022</v>
      </c>
      <c r="F739" s="192" t="n">
        <f aca="false">SUMIF(ENTRADAS!F:F,CLIENTES_PCBR[[#This Row],[TELEFONO]],ENTRADAS!C:C)</f>
        <v>0</v>
      </c>
      <c r="G739" s="189" t="s">
        <v>94</v>
      </c>
    </row>
    <row r="740" customFormat="false" ht="15" hidden="false" customHeight="false" outlineLevel="0" collapsed="false">
      <c r="A740" s="197"/>
      <c r="B740" s="191"/>
      <c r="C740" s="190" t="s">
        <v>5023</v>
      </c>
      <c r="D740" s="191" t="n">
        <v>559584397774</v>
      </c>
      <c r="E740" s="190" t="s">
        <v>5024</v>
      </c>
      <c r="F740" s="192" t="n">
        <f aca="false">SUMIF(ENTRADAS!F:F,CLIENTES_PCBR[[#This Row],[TELEFONO]],ENTRADAS!C:C)</f>
        <v>0</v>
      </c>
      <c r="G740" s="189" t="s">
        <v>94</v>
      </c>
    </row>
    <row r="741" customFormat="false" ht="15" hidden="false" customHeight="false" outlineLevel="0" collapsed="false">
      <c r="A741" s="197"/>
      <c r="B741" s="191"/>
      <c r="C741" s="190" t="s">
        <v>2747</v>
      </c>
      <c r="D741" s="191" t="n">
        <v>559584293436</v>
      </c>
      <c r="E741" s="190" t="s">
        <v>2748</v>
      </c>
      <c r="F741" s="192" t="n">
        <f aca="false">SUMIF(ENTRADAS!F:F,CLIENTES_PCBR[[#This Row],[TELEFONO]],ENTRADAS!C:C)</f>
        <v>360</v>
      </c>
      <c r="G741" s="189" t="s">
        <v>94</v>
      </c>
    </row>
    <row r="742" customFormat="false" ht="15" hidden="false" customHeight="false" outlineLevel="0" collapsed="false">
      <c r="A742" s="197"/>
      <c r="B742" s="191"/>
      <c r="C742" s="190" t="s">
        <v>5025</v>
      </c>
      <c r="D742" s="191" t="n">
        <v>5353616786</v>
      </c>
      <c r="F742" s="192" t="n">
        <f aca="false">SUMIF(ENTRADAS!F:F,CLIENTES_PCBR[[#This Row],[TELEFONO]],ENTRADAS!C:C)</f>
        <v>0</v>
      </c>
      <c r="G742" s="189" t="s">
        <v>94</v>
      </c>
    </row>
    <row r="743" customFormat="false" ht="15" hidden="false" customHeight="false" outlineLevel="0" collapsed="false">
      <c r="A743" s="197"/>
      <c r="B743" s="191"/>
      <c r="C743" s="190" t="s">
        <v>5026</v>
      </c>
      <c r="D743" s="191" t="n">
        <v>559584137019</v>
      </c>
      <c r="E743" s="190" t="s">
        <v>5027</v>
      </c>
      <c r="F743" s="192" t="n">
        <f aca="false">SUMIF(ENTRADAS!F:F,CLIENTES_PCBR[[#This Row],[TELEFONO]],ENTRADAS!C:C)</f>
        <v>0</v>
      </c>
      <c r="G743" s="189" t="s">
        <v>94</v>
      </c>
    </row>
    <row r="744" customFormat="false" ht="15" hidden="false" customHeight="false" outlineLevel="0" collapsed="false">
      <c r="A744" s="197"/>
      <c r="B744" s="191"/>
      <c r="C744" s="190" t="s">
        <v>5028</v>
      </c>
      <c r="D744" s="191" t="n">
        <v>554799175931</v>
      </c>
      <c r="E744" s="190" t="s">
        <v>5029</v>
      </c>
      <c r="F744" s="192" t="n">
        <f aca="false">SUMIF(ENTRADAS!F:F,CLIENTES_PCBR[[#This Row],[TELEFONO]],ENTRADAS!C:C)</f>
        <v>0</v>
      </c>
      <c r="G744" s="189" t="s">
        <v>94</v>
      </c>
    </row>
    <row r="745" customFormat="false" ht="15" hidden="false" customHeight="false" outlineLevel="0" collapsed="false">
      <c r="A745" s="197"/>
      <c r="B745" s="191"/>
      <c r="C745" s="190" t="s">
        <v>5030</v>
      </c>
      <c r="D745" s="191" t="n">
        <v>5515996933357</v>
      </c>
      <c r="E745" s="190" t="s">
        <v>5031</v>
      </c>
      <c r="F745" s="192" t="n">
        <f aca="false">SUMIF(ENTRADAS!F:F,CLIENTES_PCBR[[#This Row],[TELEFONO]],ENTRADAS!C:C)</f>
        <v>0</v>
      </c>
      <c r="G745" s="189" t="s">
        <v>94</v>
      </c>
    </row>
    <row r="746" customFormat="false" ht="15" hidden="false" customHeight="false" outlineLevel="0" collapsed="false">
      <c r="A746" s="197"/>
      <c r="B746" s="191"/>
      <c r="C746" s="190" t="s">
        <v>5032</v>
      </c>
      <c r="D746" s="191" t="n">
        <v>5545991570429</v>
      </c>
      <c r="E746" s="190" t="s">
        <v>5033</v>
      </c>
      <c r="F746" s="192" t="n">
        <f aca="false">SUMIF(ENTRADAS!F:F,CLIENTES_PCBR[[#This Row],[TELEFONO]],ENTRADAS!C:C)</f>
        <v>0</v>
      </c>
      <c r="G746" s="189" t="s">
        <v>94</v>
      </c>
    </row>
    <row r="747" customFormat="false" ht="15" hidden="false" customHeight="false" outlineLevel="0" collapsed="false">
      <c r="A747" s="197"/>
      <c r="B747" s="191"/>
      <c r="C747" s="190" t="s">
        <v>5034</v>
      </c>
      <c r="D747" s="191" t="n">
        <v>5358236210</v>
      </c>
      <c r="E747" s="190" t="s">
        <v>5035</v>
      </c>
      <c r="F747" s="192" t="n">
        <f aca="false">SUMIF(ENTRADAS!F:F,CLIENTES_PCBR[[#This Row],[TELEFONO]],ENTRADAS!C:C)</f>
        <v>0</v>
      </c>
      <c r="G747" s="189" t="s">
        <v>94</v>
      </c>
    </row>
    <row r="748" customFormat="false" ht="15" hidden="false" customHeight="false" outlineLevel="0" collapsed="false">
      <c r="A748" s="197"/>
      <c r="B748" s="191"/>
      <c r="C748" s="190" t="s">
        <v>5036</v>
      </c>
      <c r="D748" s="191" t="n">
        <v>559684221665</v>
      </c>
      <c r="F748" s="192" t="n">
        <f aca="false">SUMIF(ENTRADAS!F:F,CLIENTES_PCBR[[#This Row],[TELEFONO]],ENTRADAS!C:C)</f>
        <v>0</v>
      </c>
      <c r="G748" s="189" t="s">
        <v>94</v>
      </c>
    </row>
    <row r="749" customFormat="false" ht="15" hidden="false" customHeight="false" outlineLevel="0" collapsed="false">
      <c r="A749" s="197"/>
      <c r="B749" s="191"/>
      <c r="C749" s="190" t="s">
        <v>5037</v>
      </c>
      <c r="D749" s="191" t="n">
        <v>559581029163</v>
      </c>
      <c r="E749" s="190" t="s">
        <v>5038</v>
      </c>
      <c r="F749" s="192" t="n">
        <f aca="false">SUMIF(ENTRADAS!F:F,CLIENTES_PCBR[[#This Row],[TELEFONO]],ENTRADAS!C:C)</f>
        <v>0</v>
      </c>
      <c r="G749" s="189" t="s">
        <v>94</v>
      </c>
    </row>
    <row r="750" customFormat="false" ht="15" hidden="false" customHeight="false" outlineLevel="0" collapsed="false">
      <c r="A750" s="197"/>
      <c r="B750" s="191"/>
      <c r="C750" s="190" t="s">
        <v>5039</v>
      </c>
      <c r="D750" s="191" t="n">
        <v>554195120971</v>
      </c>
      <c r="E750" s="190" t="s">
        <v>5040</v>
      </c>
      <c r="F750" s="192" t="n">
        <f aca="false">SUMIF(ENTRADAS!F:F,CLIENTES_PCBR[[#This Row],[TELEFONO]],ENTRADAS!C:C)</f>
        <v>0</v>
      </c>
      <c r="G750" s="189" t="s">
        <v>94</v>
      </c>
    </row>
    <row r="751" customFormat="false" ht="15" hidden="false" customHeight="false" outlineLevel="0" collapsed="false">
      <c r="A751" s="197"/>
      <c r="B751" s="191"/>
      <c r="C751" s="190" t="s">
        <v>5041</v>
      </c>
      <c r="D751" s="191" t="n">
        <v>554999851233</v>
      </c>
      <c r="E751" s="190" t="s">
        <v>5042</v>
      </c>
      <c r="F751" s="192" t="n">
        <f aca="false">SUMIF(ENTRADAS!F:F,CLIENTES_PCBR[[#This Row],[TELEFONO]],ENTRADAS!C:C)</f>
        <v>0</v>
      </c>
      <c r="G751" s="189" t="s">
        <v>94</v>
      </c>
    </row>
    <row r="752" customFormat="false" ht="15" hidden="false" customHeight="false" outlineLevel="0" collapsed="false">
      <c r="A752" s="197"/>
      <c r="B752" s="191"/>
      <c r="C752" s="190" t="s">
        <v>5043</v>
      </c>
      <c r="D752" s="191" t="n">
        <v>5521981176625</v>
      </c>
      <c r="F752" s="192" t="n">
        <f aca="false">SUMIF(ENTRADAS!F:F,CLIENTES_PCBR[[#This Row],[TELEFONO]],ENTRADAS!C:C)</f>
        <v>0</v>
      </c>
      <c r="G752" s="189" t="s">
        <v>94</v>
      </c>
    </row>
    <row r="753" customFormat="false" ht="15" hidden="false" customHeight="false" outlineLevel="0" collapsed="false">
      <c r="A753" s="197"/>
      <c r="B753" s="191"/>
      <c r="C753" s="190" t="s">
        <v>5044</v>
      </c>
      <c r="D753" s="191" t="n">
        <v>5354609915</v>
      </c>
      <c r="E753" s="190" t="s">
        <v>5045</v>
      </c>
      <c r="F753" s="192" t="n">
        <f aca="false">SUMIF(ENTRADAS!F:F,CLIENTES_PCBR[[#This Row],[TELEFONO]],ENTRADAS!C:C)</f>
        <v>0</v>
      </c>
      <c r="G753" s="189" t="s">
        <v>94</v>
      </c>
    </row>
    <row r="754" customFormat="false" ht="15" hidden="false" customHeight="false" outlineLevel="0" collapsed="false">
      <c r="A754" s="197"/>
      <c r="B754" s="191"/>
      <c r="C754" s="190" t="s">
        <v>5046</v>
      </c>
      <c r="D754" s="191" t="n">
        <v>554891098509</v>
      </c>
      <c r="E754" s="190" t="s">
        <v>5047</v>
      </c>
      <c r="F754" s="192" t="n">
        <f aca="false">SUMIF(ENTRADAS!F:F,CLIENTES_PCBR[[#This Row],[TELEFONO]],ENTRADAS!C:C)</f>
        <v>0</v>
      </c>
      <c r="G754" s="189" t="s">
        <v>94</v>
      </c>
    </row>
    <row r="755" customFormat="false" ht="15" hidden="false" customHeight="false" outlineLevel="0" collapsed="false">
      <c r="A755" s="197"/>
      <c r="B755" s="191"/>
      <c r="C755" s="190" t="s">
        <v>5048</v>
      </c>
      <c r="D755" s="191" t="n">
        <v>555496521943</v>
      </c>
      <c r="E755" s="190" t="s">
        <v>5049</v>
      </c>
      <c r="F755" s="192" t="n">
        <f aca="false">SUMIF(ENTRADAS!F:F,CLIENTES_PCBR[[#This Row],[TELEFONO]],ENTRADAS!C:C)</f>
        <v>0</v>
      </c>
      <c r="G755" s="189" t="s">
        <v>94</v>
      </c>
    </row>
    <row r="756" customFormat="false" ht="15" hidden="false" customHeight="false" outlineLevel="0" collapsed="false">
      <c r="A756" s="197"/>
      <c r="B756" s="191"/>
      <c r="C756" s="190" t="s">
        <v>5050</v>
      </c>
      <c r="D756" s="191" t="n">
        <v>554188712593</v>
      </c>
      <c r="E756" s="190" t="s">
        <v>5051</v>
      </c>
      <c r="F756" s="192" t="n">
        <f aca="false">SUMIF(ENTRADAS!F:F,CLIENTES_PCBR[[#This Row],[TELEFONO]],ENTRADAS!C:C)</f>
        <v>0</v>
      </c>
      <c r="G756" s="189" t="s">
        <v>94</v>
      </c>
    </row>
    <row r="757" customFormat="false" ht="15" hidden="false" customHeight="false" outlineLevel="0" collapsed="false">
      <c r="A757" s="197"/>
      <c r="B757" s="191"/>
      <c r="C757" s="190" t="s">
        <v>5052</v>
      </c>
      <c r="D757" s="191" t="n">
        <v>559599035568</v>
      </c>
      <c r="E757" s="190" t="s">
        <v>5053</v>
      </c>
      <c r="F757" s="192" t="n">
        <f aca="false">SUMIF(ENTRADAS!F:F,CLIENTES_PCBR[[#This Row],[TELEFONO]],ENTRADAS!C:C)</f>
        <v>0</v>
      </c>
      <c r="G757" s="189" t="s">
        <v>94</v>
      </c>
    </row>
    <row r="758" customFormat="false" ht="15" hidden="false" customHeight="false" outlineLevel="0" collapsed="false">
      <c r="A758" s="197"/>
      <c r="B758" s="191"/>
      <c r="C758" s="190" t="s">
        <v>5054</v>
      </c>
      <c r="D758" s="191" t="n">
        <v>555481158411</v>
      </c>
      <c r="E758" s="190" t="s">
        <v>5055</v>
      </c>
      <c r="F758" s="192" t="n">
        <f aca="false">SUMIF(ENTRADAS!F:F,CLIENTES_PCBR[[#This Row],[TELEFONO]],ENTRADAS!C:C)</f>
        <v>0</v>
      </c>
      <c r="G758" s="189" t="s">
        <v>94</v>
      </c>
    </row>
    <row r="759" customFormat="false" ht="15" hidden="false" customHeight="false" outlineLevel="0" collapsed="false">
      <c r="A759" s="197"/>
      <c r="B759" s="191"/>
      <c r="C759" s="190" t="s">
        <v>5056</v>
      </c>
      <c r="D759" s="191" t="n">
        <v>559584296967</v>
      </c>
      <c r="E759" s="190" t="s">
        <v>5057</v>
      </c>
      <c r="F759" s="192" t="n">
        <f aca="false">SUMIF(ENTRADAS!F:F,CLIENTES_PCBR[[#This Row],[TELEFONO]],ENTRADAS!C:C)</f>
        <v>0</v>
      </c>
      <c r="G759" s="189" t="s">
        <v>94</v>
      </c>
    </row>
    <row r="760" customFormat="false" ht="15" hidden="false" customHeight="false" outlineLevel="0" collapsed="false">
      <c r="A760" s="197"/>
      <c r="B760" s="191"/>
      <c r="C760" s="190" t="s">
        <v>5058</v>
      </c>
      <c r="D760" s="191" t="n">
        <v>554196785797</v>
      </c>
      <c r="E760" s="190" t="s">
        <v>5059</v>
      </c>
      <c r="F760" s="192" t="n">
        <f aca="false">SUMIF(ENTRADAS!F:F,CLIENTES_PCBR[[#This Row],[TELEFONO]],ENTRADAS!C:C)</f>
        <v>0</v>
      </c>
      <c r="G760" s="189" t="s">
        <v>94</v>
      </c>
    </row>
    <row r="761" customFormat="false" ht="15" hidden="false" customHeight="false" outlineLevel="0" collapsed="false">
      <c r="A761" s="197"/>
      <c r="B761" s="191"/>
      <c r="C761" s="190" t="s">
        <v>5060</v>
      </c>
      <c r="D761" s="191" t="n">
        <v>559884317982</v>
      </c>
      <c r="E761" s="190" t="s">
        <v>5061</v>
      </c>
      <c r="F761" s="192" t="n">
        <f aca="false">SUMIF(ENTRADAS!F:F,CLIENTES_PCBR[[#This Row],[TELEFONO]],ENTRADAS!C:C)</f>
        <v>0</v>
      </c>
      <c r="G761" s="189" t="s">
        <v>94</v>
      </c>
    </row>
    <row r="762" customFormat="false" ht="15" hidden="false" customHeight="false" outlineLevel="0" collapsed="false">
      <c r="A762" s="197"/>
      <c r="B762" s="191"/>
      <c r="C762" s="190" t="s">
        <v>5062</v>
      </c>
      <c r="D762" s="191" t="n">
        <v>5358810896</v>
      </c>
      <c r="F762" s="192" t="n">
        <f aca="false">SUMIF(ENTRADAS!F:F,CLIENTES_PCBR[[#This Row],[TELEFONO]],ENTRADAS!C:C)</f>
        <v>0</v>
      </c>
      <c r="G762" s="189" t="s">
        <v>94</v>
      </c>
    </row>
    <row r="763" customFormat="false" ht="15" hidden="false" customHeight="false" outlineLevel="0" collapsed="false">
      <c r="A763" s="197"/>
      <c r="B763" s="191"/>
      <c r="C763" s="190" t="s">
        <v>5063</v>
      </c>
      <c r="D763" s="191" t="n">
        <v>554796372156</v>
      </c>
      <c r="E763" s="190" t="s">
        <v>5064</v>
      </c>
      <c r="F763" s="192" t="n">
        <f aca="false">SUMIF(ENTRADAS!F:F,CLIENTES_PCBR[[#This Row],[TELEFONO]],ENTRADAS!C:C)</f>
        <v>0</v>
      </c>
      <c r="G763" s="189" t="s">
        <v>94</v>
      </c>
    </row>
    <row r="764" customFormat="false" ht="15" hidden="false" customHeight="false" outlineLevel="0" collapsed="false">
      <c r="A764" s="197"/>
      <c r="B764" s="191"/>
      <c r="C764" s="190" t="s">
        <v>5065</v>
      </c>
      <c r="D764" s="191" t="n">
        <v>554799168963</v>
      </c>
      <c r="E764" s="190" t="s">
        <v>5066</v>
      </c>
      <c r="F764" s="192" t="n">
        <f aca="false">SUMIF(ENTRADAS!F:F,CLIENTES_PCBR[[#This Row],[TELEFONO]],ENTRADAS!C:C)</f>
        <v>0</v>
      </c>
      <c r="G764" s="189" t="s">
        <v>94</v>
      </c>
    </row>
    <row r="765" customFormat="false" ht="15" hidden="false" customHeight="false" outlineLevel="0" collapsed="false">
      <c r="A765" s="197"/>
      <c r="B765" s="191"/>
      <c r="C765" s="190" t="s">
        <v>5067</v>
      </c>
      <c r="D765" s="191" t="n">
        <v>554799651997</v>
      </c>
      <c r="E765" s="190" t="s">
        <v>5068</v>
      </c>
      <c r="F765" s="192" t="n">
        <f aca="false">SUMIF(ENTRADAS!F:F,CLIENTES_PCBR[[#This Row],[TELEFONO]],ENTRADAS!C:C)</f>
        <v>0</v>
      </c>
      <c r="G765" s="189" t="s">
        <v>94</v>
      </c>
    </row>
    <row r="766" customFormat="false" ht="15" hidden="false" customHeight="false" outlineLevel="0" collapsed="false">
      <c r="A766" s="197"/>
      <c r="B766" s="191"/>
      <c r="C766" s="190" t="s">
        <v>5069</v>
      </c>
      <c r="D766" s="191" t="n">
        <v>555494674317</v>
      </c>
      <c r="E766" s="190" t="s">
        <v>5070</v>
      </c>
      <c r="F766" s="192" t="n">
        <f aca="false">SUMIF(ENTRADAS!F:F,CLIENTES_PCBR[[#This Row],[TELEFONO]],ENTRADAS!C:C)</f>
        <v>0</v>
      </c>
      <c r="G766" s="189" t="s">
        <v>94</v>
      </c>
    </row>
    <row r="767" customFormat="false" ht="15" hidden="false" customHeight="false" outlineLevel="0" collapsed="false">
      <c r="A767" s="197"/>
      <c r="B767" s="191"/>
      <c r="C767" s="190" t="s">
        <v>5071</v>
      </c>
      <c r="D767" s="191" t="n">
        <v>555499861206</v>
      </c>
      <c r="E767" s="190" t="s">
        <v>5072</v>
      </c>
      <c r="F767" s="192" t="n">
        <f aca="false">SUMIF(ENTRADAS!F:F,CLIENTES_PCBR[[#This Row],[TELEFONO]],ENTRADAS!C:C)</f>
        <v>0</v>
      </c>
      <c r="G767" s="189" t="s">
        <v>94</v>
      </c>
    </row>
    <row r="768" customFormat="false" ht="15" hidden="false" customHeight="false" outlineLevel="0" collapsed="false">
      <c r="A768" s="197"/>
      <c r="B768" s="191"/>
      <c r="C768" s="190" t="s">
        <v>5073</v>
      </c>
      <c r="D768" s="191" t="n">
        <v>5519995005870</v>
      </c>
      <c r="E768" s="190" t="s">
        <v>5074</v>
      </c>
      <c r="F768" s="192" t="n">
        <f aca="false">SUMIF(ENTRADAS!F:F,CLIENTES_PCBR[[#This Row],[TELEFONO]],ENTRADAS!C:C)</f>
        <v>0</v>
      </c>
      <c r="G768" s="189" t="s">
        <v>94</v>
      </c>
    </row>
    <row r="769" customFormat="false" ht="15" hidden="false" customHeight="false" outlineLevel="0" collapsed="false">
      <c r="A769" s="197"/>
      <c r="B769" s="191"/>
      <c r="C769" s="190" t="s">
        <v>5075</v>
      </c>
      <c r="D769" s="191" t="n">
        <v>554195345869</v>
      </c>
      <c r="E769" s="190" t="s">
        <v>5076</v>
      </c>
      <c r="F769" s="192" t="n">
        <f aca="false">SUMIF(ENTRADAS!F:F,CLIENTES_PCBR[[#This Row],[TELEFONO]],ENTRADAS!C:C)</f>
        <v>0</v>
      </c>
      <c r="G769" s="189" t="s">
        <v>94</v>
      </c>
    </row>
    <row r="770" customFormat="false" ht="15" hidden="false" customHeight="false" outlineLevel="0" collapsed="false">
      <c r="A770" s="197"/>
      <c r="B770" s="191"/>
      <c r="C770" s="190" t="s">
        <v>5077</v>
      </c>
      <c r="D770" s="191" t="n">
        <v>5358439516</v>
      </c>
      <c r="E770" s="190" t="s">
        <v>5078</v>
      </c>
      <c r="F770" s="192" t="n">
        <f aca="false">SUMIF(ENTRADAS!F:F,CLIENTES_PCBR[[#This Row],[TELEFONO]],ENTRADAS!C:C)</f>
        <v>0</v>
      </c>
      <c r="G770" s="189" t="s">
        <v>94</v>
      </c>
    </row>
    <row r="771" customFormat="false" ht="15" hidden="false" customHeight="false" outlineLevel="0" collapsed="false">
      <c r="A771" s="197"/>
      <c r="B771" s="191"/>
      <c r="C771" s="190" t="s">
        <v>5079</v>
      </c>
      <c r="D771" s="191" t="n">
        <v>554196584708</v>
      </c>
      <c r="E771" s="190" t="s">
        <v>5080</v>
      </c>
      <c r="F771" s="192" t="n">
        <f aca="false">SUMIF(ENTRADAS!F:F,CLIENTES_PCBR[[#This Row],[TELEFONO]],ENTRADAS!C:C)</f>
        <v>0</v>
      </c>
      <c r="G771" s="189" t="s">
        <v>94</v>
      </c>
    </row>
    <row r="772" customFormat="false" ht="15" hidden="false" customHeight="false" outlineLevel="0" collapsed="false">
      <c r="A772" s="197"/>
      <c r="B772" s="191"/>
      <c r="C772" s="190" t="s">
        <v>5081</v>
      </c>
      <c r="D772" s="191" t="n">
        <v>556699787551</v>
      </c>
      <c r="E772" s="190" t="s">
        <v>5082</v>
      </c>
      <c r="F772" s="192" t="n">
        <f aca="false">SUMIF(ENTRADAS!F:F,CLIENTES_PCBR[[#This Row],[TELEFONO]],ENTRADAS!C:C)</f>
        <v>0</v>
      </c>
      <c r="G772" s="189" t="s">
        <v>94</v>
      </c>
    </row>
    <row r="773" customFormat="false" ht="15" hidden="false" customHeight="false" outlineLevel="0" collapsed="false">
      <c r="A773" s="197"/>
      <c r="B773" s="191"/>
      <c r="C773" s="190" t="s">
        <v>705</v>
      </c>
      <c r="D773" s="191" t="n">
        <v>554184740618</v>
      </c>
      <c r="E773" s="190" t="s">
        <v>707</v>
      </c>
      <c r="F773" s="192" t="n">
        <f aca="false">SUMIF(ENTRADAS!F:F,CLIENTES_PCBR[[#This Row],[TELEFONO]],ENTRADAS!C:C)</f>
        <v>760</v>
      </c>
      <c r="G773" s="189" t="s">
        <v>94</v>
      </c>
    </row>
    <row r="774" customFormat="false" ht="15" hidden="false" customHeight="false" outlineLevel="0" collapsed="false">
      <c r="A774" s="197"/>
      <c r="B774" s="191"/>
      <c r="C774" s="190" t="s">
        <v>5083</v>
      </c>
      <c r="D774" s="191" t="n">
        <v>554888031224</v>
      </c>
      <c r="E774" s="190" t="s">
        <v>808</v>
      </c>
      <c r="F774" s="192" t="n">
        <f aca="false">SUMIF(ENTRADAS!F:F,CLIENTES_PCBR[[#This Row],[TELEFONO]],ENTRADAS!C:C)</f>
        <v>60</v>
      </c>
      <c r="G774" s="189" t="s">
        <v>94</v>
      </c>
    </row>
    <row r="775" customFormat="false" ht="15" hidden="false" customHeight="false" outlineLevel="0" collapsed="false">
      <c r="A775" s="197"/>
      <c r="B775" s="191"/>
      <c r="C775" s="190" t="s">
        <v>5084</v>
      </c>
      <c r="D775" s="191" t="n">
        <v>554191479098</v>
      </c>
      <c r="E775" s="190" t="s">
        <v>5085</v>
      </c>
      <c r="F775" s="192" t="n">
        <f aca="false">SUMIF(ENTRADAS!F:F,CLIENTES_PCBR[[#This Row],[TELEFONO]],ENTRADAS!C:C)</f>
        <v>0</v>
      </c>
      <c r="G775" s="189" t="s">
        <v>94</v>
      </c>
    </row>
    <row r="776" customFormat="false" ht="15" hidden="false" customHeight="false" outlineLevel="0" collapsed="false">
      <c r="A776" s="197"/>
      <c r="B776" s="191"/>
      <c r="C776" s="190" t="s">
        <v>5086</v>
      </c>
      <c r="D776" s="191" t="n">
        <v>554185157143</v>
      </c>
      <c r="E776" s="190" t="s">
        <v>5087</v>
      </c>
      <c r="F776" s="192" t="n">
        <f aca="false">SUMIF(ENTRADAS!F:F,CLIENTES_PCBR[[#This Row],[TELEFONO]],ENTRADAS!C:C)</f>
        <v>0</v>
      </c>
      <c r="G776" s="189" t="s">
        <v>94</v>
      </c>
    </row>
    <row r="777" customFormat="false" ht="15" hidden="false" customHeight="false" outlineLevel="0" collapsed="false">
      <c r="A777" s="197"/>
      <c r="B777" s="191"/>
      <c r="C777" s="190" t="s">
        <v>5088</v>
      </c>
      <c r="D777" s="191" t="n">
        <v>559591312987</v>
      </c>
      <c r="E777" s="190" t="s">
        <v>5089</v>
      </c>
      <c r="F777" s="192" t="n">
        <f aca="false">SUMIF(ENTRADAS!F:F,CLIENTES_PCBR[[#This Row],[TELEFONO]],ENTRADAS!C:C)</f>
        <v>0</v>
      </c>
      <c r="G777" s="189" t="s">
        <v>94</v>
      </c>
    </row>
    <row r="778" customFormat="false" ht="15" hidden="false" customHeight="false" outlineLevel="0" collapsed="false">
      <c r="A778" s="197"/>
      <c r="B778" s="191"/>
      <c r="C778" s="190" t="s">
        <v>5090</v>
      </c>
      <c r="D778" s="191" t="n">
        <v>554891832767</v>
      </c>
      <c r="E778" s="190" t="s">
        <v>5091</v>
      </c>
      <c r="F778" s="192" t="n">
        <f aca="false">SUMIF(ENTRADAS!F:F,CLIENTES_PCBR[[#This Row],[TELEFONO]],ENTRADAS!C:C)</f>
        <v>0</v>
      </c>
      <c r="G778" s="189" t="s">
        <v>94</v>
      </c>
    </row>
    <row r="779" customFormat="false" ht="15" hidden="false" customHeight="false" outlineLevel="0" collapsed="false">
      <c r="A779" s="197"/>
      <c r="B779" s="191"/>
      <c r="C779" s="190" t="s">
        <v>5092</v>
      </c>
      <c r="D779" s="191" t="n">
        <v>554892255508</v>
      </c>
      <c r="E779" s="190" t="s">
        <v>5093</v>
      </c>
      <c r="F779" s="192" t="n">
        <f aca="false">SUMIF(ENTRADAS!F:F,CLIENTES_PCBR[[#This Row],[TELEFONO]],ENTRADAS!C:C)</f>
        <v>0</v>
      </c>
      <c r="G779" s="189" t="s">
        <v>94</v>
      </c>
    </row>
    <row r="780" customFormat="false" ht="15" hidden="false" customHeight="false" outlineLevel="0" collapsed="false">
      <c r="A780" s="197"/>
      <c r="B780" s="191"/>
      <c r="C780" s="190" t="s">
        <v>5094</v>
      </c>
      <c r="D780" s="191" t="n">
        <v>553791158083</v>
      </c>
      <c r="E780" s="190" t="s">
        <v>5095</v>
      </c>
      <c r="F780" s="192" t="n">
        <f aca="false">SUMIF(ENTRADAS!F:F,CLIENTES_PCBR[[#This Row],[TELEFONO]],ENTRADAS!C:C)</f>
        <v>0</v>
      </c>
      <c r="G780" s="189" t="s">
        <v>94</v>
      </c>
    </row>
    <row r="781" customFormat="false" ht="15" hidden="false" customHeight="false" outlineLevel="0" collapsed="false">
      <c r="A781" s="197"/>
      <c r="B781" s="191"/>
      <c r="C781" s="190" t="s">
        <v>5096</v>
      </c>
      <c r="D781" s="191" t="n">
        <v>554199485889</v>
      </c>
      <c r="E781" s="190" t="s">
        <v>5097</v>
      </c>
      <c r="F781" s="192" t="n">
        <f aca="false">SUMIF(ENTRADAS!F:F,CLIENTES_PCBR[[#This Row],[TELEFONO]],ENTRADAS!C:C)</f>
        <v>0</v>
      </c>
      <c r="G781" s="189" t="s">
        <v>94</v>
      </c>
    </row>
    <row r="782" customFormat="false" ht="15" hidden="false" customHeight="false" outlineLevel="0" collapsed="false">
      <c r="A782" s="197"/>
      <c r="B782" s="191"/>
      <c r="C782" s="190" t="s">
        <v>5098</v>
      </c>
      <c r="D782" s="191" t="n">
        <v>554184173591</v>
      </c>
      <c r="E782" s="190" t="s">
        <v>5099</v>
      </c>
      <c r="F782" s="192" t="n">
        <f aca="false">SUMIF(ENTRADAS!F:F,CLIENTES_PCBR[[#This Row],[TELEFONO]],ENTRADAS!C:C)</f>
        <v>0</v>
      </c>
      <c r="G782" s="189" t="s">
        <v>94</v>
      </c>
    </row>
    <row r="783" customFormat="false" ht="15" hidden="false" customHeight="false" outlineLevel="0" collapsed="false">
      <c r="A783" s="197"/>
      <c r="B783" s="191"/>
      <c r="C783" s="190" t="s">
        <v>5100</v>
      </c>
      <c r="D783" s="191" t="n">
        <v>554288833030</v>
      </c>
      <c r="E783" s="190" t="s">
        <v>5101</v>
      </c>
      <c r="F783" s="192" t="n">
        <f aca="false">SUMIF(ENTRADAS!F:F,CLIENTES_PCBR[[#This Row],[TELEFONO]],ENTRADAS!C:C)</f>
        <v>0</v>
      </c>
      <c r="G783" s="189" t="s">
        <v>94</v>
      </c>
    </row>
    <row r="784" customFormat="false" ht="15" hidden="false" customHeight="false" outlineLevel="0" collapsed="false">
      <c r="A784" s="197"/>
      <c r="B784" s="191"/>
      <c r="C784" s="190" t="s">
        <v>5102</v>
      </c>
      <c r="D784" s="191" t="n">
        <v>5595984067623</v>
      </c>
      <c r="E784" s="190" t="s">
        <v>5103</v>
      </c>
      <c r="F784" s="192" t="n">
        <f aca="false">SUMIF(ENTRADAS!F:F,CLIENTES_PCBR[[#This Row],[TELEFONO]],ENTRADAS!C:C)</f>
        <v>0</v>
      </c>
      <c r="G784" s="189" t="s">
        <v>94</v>
      </c>
    </row>
    <row r="785" customFormat="false" ht="15" hidden="false" customHeight="false" outlineLevel="0" collapsed="false">
      <c r="A785" s="197"/>
      <c r="B785" s="191"/>
      <c r="C785" s="190" t="s">
        <v>5104</v>
      </c>
      <c r="D785" s="191" t="n">
        <v>554388463761</v>
      </c>
      <c r="F785" s="192" t="n">
        <f aca="false">SUMIF(ENTRADAS!F:F,CLIENTES_PCBR[[#This Row],[TELEFONO]],ENTRADAS!C:C)</f>
        <v>0</v>
      </c>
      <c r="G785" s="189" t="s">
        <v>94</v>
      </c>
    </row>
    <row r="786" customFormat="false" ht="15" hidden="false" customHeight="false" outlineLevel="0" collapsed="false">
      <c r="A786" s="197"/>
      <c r="B786" s="191"/>
      <c r="C786" s="190" t="s">
        <v>698</v>
      </c>
      <c r="D786" s="191" t="n">
        <v>553288486434</v>
      </c>
      <c r="E786" s="190" t="s">
        <v>5105</v>
      </c>
      <c r="F786" s="192" t="n">
        <f aca="false">SUMIF(ENTRADAS!F:F,CLIENTES_PCBR[[#This Row],[TELEFONO]],ENTRADAS!C:C)</f>
        <v>0</v>
      </c>
      <c r="G786" s="189" t="s">
        <v>94</v>
      </c>
    </row>
    <row r="787" customFormat="false" ht="15" hidden="false" customHeight="false" outlineLevel="0" collapsed="false">
      <c r="A787" s="197"/>
      <c r="B787" s="191"/>
      <c r="C787" s="190" t="s">
        <v>5106</v>
      </c>
      <c r="D787" s="191" t="n">
        <v>18696683975</v>
      </c>
      <c r="E787" s="190" t="s">
        <v>5107</v>
      </c>
      <c r="F787" s="192" t="n">
        <f aca="false">SUMIF(ENTRADAS!F:F,CLIENTES_PCBR[[#This Row],[TELEFONO]],ENTRADAS!C:C)</f>
        <v>0</v>
      </c>
      <c r="G787" s="189" t="s">
        <v>94</v>
      </c>
    </row>
    <row r="788" customFormat="false" ht="15" hidden="false" customHeight="false" outlineLevel="0" collapsed="false">
      <c r="A788" s="197"/>
      <c r="B788" s="191"/>
      <c r="C788" s="190" t="s">
        <v>640</v>
      </c>
      <c r="D788" s="191" t="n">
        <v>554896760203</v>
      </c>
      <c r="E788" s="190" t="s">
        <v>641</v>
      </c>
      <c r="F788" s="192" t="n">
        <f aca="false">SUMIF(ENTRADAS!F:F,CLIENTES_PCBR[[#This Row],[TELEFONO]],ENTRADAS!C:C)</f>
        <v>120</v>
      </c>
      <c r="G788" s="189" t="s">
        <v>94</v>
      </c>
    </row>
    <row r="789" customFormat="false" ht="15" hidden="false" customHeight="false" outlineLevel="0" collapsed="false">
      <c r="A789" s="197"/>
      <c r="B789" s="191"/>
      <c r="C789" s="190" t="s">
        <v>5108</v>
      </c>
      <c r="D789" s="191" t="n">
        <v>559584305714</v>
      </c>
      <c r="E789" s="190" t="s">
        <v>5109</v>
      </c>
      <c r="F789" s="192" t="n">
        <f aca="false">SUMIF(ENTRADAS!F:F,CLIENTES_PCBR[[#This Row],[TELEFONO]],ENTRADAS!C:C)</f>
        <v>0</v>
      </c>
      <c r="G789" s="189" t="s">
        <v>94</v>
      </c>
    </row>
    <row r="790" customFormat="false" ht="15" hidden="false" customHeight="false" outlineLevel="0" collapsed="false">
      <c r="A790" s="197"/>
      <c r="B790" s="191"/>
      <c r="C790" s="190" t="s">
        <v>5110</v>
      </c>
      <c r="D790" s="191" t="n">
        <v>5595920012162</v>
      </c>
      <c r="E790" s="190" t="s">
        <v>5111</v>
      </c>
      <c r="F790" s="192" t="n">
        <f aca="false">SUMIF(ENTRADAS!F:F,CLIENTES_PCBR[[#This Row],[TELEFONO]],ENTRADAS!C:C)</f>
        <v>0</v>
      </c>
      <c r="G790" s="189" t="s">
        <v>94</v>
      </c>
    </row>
    <row r="791" customFormat="false" ht="15" hidden="false" customHeight="false" outlineLevel="0" collapsed="false">
      <c r="A791" s="197"/>
      <c r="B791" s="191"/>
      <c r="C791" s="190" t="s">
        <v>5112</v>
      </c>
      <c r="D791" s="191" t="n">
        <v>559584254812</v>
      </c>
      <c r="E791" s="190" t="s">
        <v>5113</v>
      </c>
      <c r="F791" s="192" t="n">
        <f aca="false">SUMIF(ENTRADAS!F:F,CLIENTES_PCBR[[#This Row],[TELEFONO]],ENTRADAS!C:C)</f>
        <v>0</v>
      </c>
      <c r="G791" s="189" t="s">
        <v>94</v>
      </c>
    </row>
    <row r="792" customFormat="false" ht="15" hidden="false" customHeight="false" outlineLevel="0" collapsed="false">
      <c r="A792" s="197"/>
      <c r="B792" s="191"/>
      <c r="C792" s="190" t="s">
        <v>5114</v>
      </c>
      <c r="D792" s="191" t="n">
        <v>554998026598</v>
      </c>
      <c r="E792" s="190" t="s">
        <v>5115</v>
      </c>
      <c r="F792" s="192" t="n">
        <f aca="false">SUMIF(ENTRADAS!F:F,CLIENTES_PCBR[[#This Row],[TELEFONO]],ENTRADAS!C:C)</f>
        <v>0</v>
      </c>
      <c r="G792" s="189" t="s">
        <v>94</v>
      </c>
    </row>
    <row r="793" customFormat="false" ht="15" hidden="false" customHeight="false" outlineLevel="0" collapsed="false">
      <c r="A793" s="197"/>
      <c r="B793" s="191"/>
      <c r="C793" s="190" t="s">
        <v>583</v>
      </c>
      <c r="D793" s="191" t="n">
        <v>554888264913</v>
      </c>
      <c r="E793" s="190" t="s">
        <v>5116</v>
      </c>
      <c r="F793" s="192" t="n">
        <f aca="false">SUMIF(ENTRADAS!F:F,CLIENTES_PCBR[[#This Row],[TELEFONO]],ENTRADAS!C:C)</f>
        <v>0</v>
      </c>
      <c r="G793" s="189" t="s">
        <v>94</v>
      </c>
    </row>
    <row r="794" customFormat="false" ht="15" hidden="false" customHeight="false" outlineLevel="0" collapsed="false">
      <c r="A794" s="197"/>
      <c r="B794" s="191"/>
      <c r="C794" s="190" t="s">
        <v>5117</v>
      </c>
      <c r="D794" s="191" t="n">
        <v>554188118558</v>
      </c>
      <c r="E794" s="190" t="s">
        <v>5118</v>
      </c>
      <c r="F794" s="192" t="n">
        <f aca="false">SUMIF(ENTRADAS!F:F,CLIENTES_PCBR[[#This Row],[TELEFONO]],ENTRADAS!C:C)</f>
        <v>0</v>
      </c>
      <c r="G794" s="189" t="s">
        <v>94</v>
      </c>
    </row>
    <row r="795" customFormat="false" ht="15" hidden="false" customHeight="false" outlineLevel="0" collapsed="false">
      <c r="A795" s="197"/>
      <c r="B795" s="191"/>
      <c r="C795" s="190" t="s">
        <v>5119</v>
      </c>
      <c r="D795" s="191" t="n">
        <v>5521969325689</v>
      </c>
      <c r="E795" s="190" t="s">
        <v>5120</v>
      </c>
      <c r="F795" s="192" t="n">
        <f aca="false">SUMIF(ENTRADAS!F:F,CLIENTES_PCBR[[#This Row],[TELEFONO]],ENTRADAS!C:C)</f>
        <v>0</v>
      </c>
      <c r="G795" s="189" t="s">
        <v>94</v>
      </c>
    </row>
    <row r="796" customFormat="false" ht="15" hidden="false" customHeight="false" outlineLevel="0" collapsed="false">
      <c r="A796" s="197"/>
      <c r="B796" s="191"/>
      <c r="C796" s="190" t="s">
        <v>5121</v>
      </c>
      <c r="D796" s="191" t="n">
        <v>559684109179</v>
      </c>
      <c r="E796" s="190" t="s">
        <v>5122</v>
      </c>
      <c r="F796" s="192" t="n">
        <f aca="false">SUMIF(ENTRADAS!F:F,CLIENTES_PCBR[[#This Row],[TELEFONO]],ENTRADAS!C:C)</f>
        <v>0</v>
      </c>
      <c r="G796" s="189" t="s">
        <v>94</v>
      </c>
    </row>
    <row r="797" customFormat="false" ht="15" hidden="false" customHeight="false" outlineLevel="0" collapsed="false">
      <c r="A797" s="197"/>
      <c r="B797" s="191"/>
      <c r="C797" s="190" t="s">
        <v>5123</v>
      </c>
      <c r="D797" s="191" t="n">
        <v>5354313739</v>
      </c>
      <c r="E797" s="190" t="s">
        <v>5124</v>
      </c>
      <c r="F797" s="192" t="n">
        <f aca="false">SUMIF(ENTRADAS!F:F,CLIENTES_PCBR[[#This Row],[TELEFONO]],ENTRADAS!C:C)</f>
        <v>0</v>
      </c>
      <c r="G797" s="189" t="s">
        <v>94</v>
      </c>
    </row>
    <row r="798" customFormat="false" ht="15" hidden="false" customHeight="false" outlineLevel="0" collapsed="false">
      <c r="A798" s="197"/>
      <c r="B798" s="191"/>
      <c r="C798" s="190" t="s">
        <v>5125</v>
      </c>
      <c r="D798" s="191" t="n">
        <v>559281197946</v>
      </c>
      <c r="E798" s="190" t="s">
        <v>5126</v>
      </c>
      <c r="F798" s="192" t="n">
        <f aca="false">SUMIF(ENTRADAS!F:F,CLIENTES_PCBR[[#This Row],[TELEFONO]],ENTRADAS!C:C)</f>
        <v>0</v>
      </c>
      <c r="G798" s="189" t="s">
        <v>94</v>
      </c>
    </row>
    <row r="799" customFormat="false" ht="15" hidden="false" customHeight="false" outlineLevel="0" collapsed="false">
      <c r="A799" s="197"/>
      <c r="B799" s="191"/>
      <c r="C799" s="190" t="s">
        <v>5127</v>
      </c>
      <c r="D799" s="191" t="n">
        <v>5519992039132</v>
      </c>
      <c r="E799" s="190" t="s">
        <v>5128</v>
      </c>
      <c r="F799" s="192" t="n">
        <f aca="false">SUMIF(ENTRADAS!F:F,CLIENTES_PCBR[[#This Row],[TELEFONO]],ENTRADAS!C:C)</f>
        <v>0</v>
      </c>
      <c r="G799" s="189" t="s">
        <v>94</v>
      </c>
    </row>
    <row r="800" customFormat="false" ht="15" hidden="false" customHeight="false" outlineLevel="0" collapsed="false">
      <c r="A800" s="197"/>
      <c r="B800" s="191"/>
      <c r="C800" s="190" t="s">
        <v>5129</v>
      </c>
      <c r="D800" s="191" t="n">
        <v>5519999256093</v>
      </c>
      <c r="E800" s="190" t="s">
        <v>5130</v>
      </c>
      <c r="F800" s="192" t="n">
        <f aca="false">SUMIF(ENTRADAS!F:F,CLIENTES_PCBR[[#This Row],[TELEFONO]],ENTRADAS!C:C)</f>
        <v>0</v>
      </c>
      <c r="G800" s="189" t="s">
        <v>94</v>
      </c>
    </row>
    <row r="801" customFormat="false" ht="15" hidden="false" customHeight="false" outlineLevel="0" collapsed="false">
      <c r="A801" s="197"/>
      <c r="B801" s="191"/>
      <c r="C801" s="190" t="s">
        <v>5131</v>
      </c>
      <c r="D801" s="191" t="n">
        <v>554892216077</v>
      </c>
      <c r="E801" s="190" t="s">
        <v>5132</v>
      </c>
      <c r="F801" s="192" t="n">
        <f aca="false">SUMIF(ENTRADAS!F:F,CLIENTES_PCBR[[#This Row],[TELEFONO]],ENTRADAS!C:C)</f>
        <v>0</v>
      </c>
      <c r="G801" s="189" t="s">
        <v>94</v>
      </c>
    </row>
    <row r="802" customFormat="false" ht="15" hidden="false" customHeight="false" outlineLevel="0" collapsed="false">
      <c r="A802" s="197"/>
      <c r="B802" s="191"/>
      <c r="C802" s="190" t="s">
        <v>5133</v>
      </c>
      <c r="D802" s="191" t="n">
        <v>556295769369</v>
      </c>
      <c r="E802" s="190" t="s">
        <v>5134</v>
      </c>
      <c r="F802" s="192" t="n">
        <f aca="false">SUMIF(ENTRADAS!F:F,CLIENTES_PCBR[[#This Row],[TELEFONO]],ENTRADAS!C:C)</f>
        <v>0</v>
      </c>
      <c r="G802" s="189" t="s">
        <v>94</v>
      </c>
    </row>
    <row r="803" customFormat="false" ht="15" hidden="false" customHeight="false" outlineLevel="0" collapsed="false">
      <c r="A803" s="197"/>
      <c r="B803" s="191"/>
      <c r="C803" s="190" t="s">
        <v>5135</v>
      </c>
      <c r="D803" s="191" t="n">
        <v>559591629656</v>
      </c>
      <c r="E803" s="190" t="s">
        <v>5136</v>
      </c>
      <c r="F803" s="192" t="n">
        <f aca="false">SUMIF(ENTRADAS!F:F,CLIENTES_PCBR[[#This Row],[TELEFONO]],ENTRADAS!C:C)</f>
        <v>0</v>
      </c>
      <c r="G803" s="189" t="s">
        <v>94</v>
      </c>
    </row>
    <row r="804" customFormat="false" ht="15" hidden="false" customHeight="false" outlineLevel="0" collapsed="false">
      <c r="A804" s="197"/>
      <c r="B804" s="191"/>
      <c r="C804" s="190" t="s">
        <v>5137</v>
      </c>
      <c r="D804" s="191" t="n">
        <v>554888461340</v>
      </c>
      <c r="E804" s="190" t="s">
        <v>5138</v>
      </c>
      <c r="F804" s="192" t="n">
        <f aca="false">SUMIF(ENTRADAS!F:F,CLIENTES_PCBR[[#This Row],[TELEFONO]],ENTRADAS!C:C)</f>
        <v>0</v>
      </c>
      <c r="G804" s="189" t="s">
        <v>94</v>
      </c>
    </row>
    <row r="805" customFormat="false" ht="15" hidden="false" customHeight="false" outlineLevel="0" collapsed="false">
      <c r="A805" s="197"/>
      <c r="B805" s="191"/>
      <c r="C805" s="190" t="s">
        <v>5139</v>
      </c>
      <c r="D805" s="191" t="n">
        <v>555496267547</v>
      </c>
      <c r="E805" s="190" t="s">
        <v>5140</v>
      </c>
      <c r="F805" s="192" t="n">
        <f aca="false">SUMIF(ENTRADAS!F:F,CLIENTES_PCBR[[#This Row],[TELEFONO]],ENTRADAS!C:C)</f>
        <v>0</v>
      </c>
      <c r="G805" s="189" t="s">
        <v>94</v>
      </c>
    </row>
    <row r="806" customFormat="false" ht="15" hidden="false" customHeight="false" outlineLevel="0" collapsed="false">
      <c r="A806" s="197"/>
      <c r="B806" s="191"/>
      <c r="C806" s="190" t="s">
        <v>3005</v>
      </c>
      <c r="D806" s="191" t="n">
        <v>555499158578</v>
      </c>
      <c r="F806" s="192" t="n">
        <f aca="false">SUMIF(ENTRADAS!F:F,CLIENTES_PCBR[[#This Row],[TELEFONO]],ENTRADAS!C:C)</f>
        <v>294</v>
      </c>
      <c r="G806" s="189" t="s">
        <v>94</v>
      </c>
    </row>
    <row r="807" customFormat="false" ht="15" hidden="false" customHeight="false" outlineLevel="0" collapsed="false">
      <c r="A807" s="197"/>
      <c r="B807" s="191"/>
      <c r="C807" s="190" t="s">
        <v>5141</v>
      </c>
      <c r="D807" s="191" t="n">
        <v>5358763235</v>
      </c>
      <c r="E807" s="190" t="s">
        <v>5142</v>
      </c>
      <c r="F807" s="192" t="n">
        <f aca="false">SUMIF(ENTRADAS!F:F,CLIENTES_PCBR[[#This Row],[TELEFONO]],ENTRADAS!C:C)</f>
        <v>0</v>
      </c>
      <c r="G807" s="189" t="s">
        <v>94</v>
      </c>
    </row>
    <row r="808" customFormat="false" ht="15" hidden="false" customHeight="false" outlineLevel="0" collapsed="false">
      <c r="A808" s="197"/>
      <c r="B808" s="191"/>
      <c r="C808" s="190" t="s">
        <v>5143</v>
      </c>
      <c r="D808" s="191" t="n">
        <v>556284228223</v>
      </c>
      <c r="E808" s="190" t="s">
        <v>5144</v>
      </c>
      <c r="F808" s="192" t="n">
        <f aca="false">SUMIF(ENTRADAS!F:F,CLIENTES_PCBR[[#This Row],[TELEFONO]],ENTRADAS!C:C)</f>
        <v>0</v>
      </c>
      <c r="G808" s="189" t="s">
        <v>94</v>
      </c>
    </row>
    <row r="809" customFormat="false" ht="15" hidden="false" customHeight="false" outlineLevel="0" collapsed="false">
      <c r="A809" s="197"/>
      <c r="B809" s="191"/>
      <c r="C809" s="190" t="s">
        <v>5145</v>
      </c>
      <c r="D809" s="191" t="n">
        <v>559584299158</v>
      </c>
      <c r="E809" s="190" t="s">
        <v>5146</v>
      </c>
      <c r="F809" s="192" t="n">
        <f aca="false">SUMIF(ENTRADAS!F:F,CLIENTES_PCBR[[#This Row],[TELEFONO]],ENTRADAS!C:C)</f>
        <v>0</v>
      </c>
      <c r="G809" s="189" t="s">
        <v>94</v>
      </c>
    </row>
    <row r="810" customFormat="false" ht="15" hidden="false" customHeight="false" outlineLevel="0" collapsed="false">
      <c r="A810" s="197"/>
      <c r="B810" s="191"/>
      <c r="C810" s="190" t="s">
        <v>5147</v>
      </c>
      <c r="D810" s="191" t="n">
        <v>554184372323</v>
      </c>
      <c r="E810" s="190" t="s">
        <v>5148</v>
      </c>
      <c r="F810" s="192" t="n">
        <f aca="false">SUMIF(ENTRADAS!F:F,CLIENTES_PCBR[[#This Row],[TELEFONO]],ENTRADAS!C:C)</f>
        <v>0</v>
      </c>
      <c r="G810" s="189" t="s">
        <v>94</v>
      </c>
    </row>
    <row r="811" customFormat="false" ht="15" hidden="false" customHeight="false" outlineLevel="0" collapsed="false">
      <c r="A811" s="197"/>
      <c r="B811" s="191"/>
      <c r="C811" s="190" t="s">
        <v>5149</v>
      </c>
      <c r="D811" s="191" t="n">
        <v>5514991210271</v>
      </c>
      <c r="F811" s="192" t="n">
        <f aca="false">SUMIF(ENTRADAS!F:F,CLIENTES_PCBR[[#This Row],[TELEFONO]],ENTRADAS!C:C)</f>
        <v>0</v>
      </c>
      <c r="G811" s="189" t="s">
        <v>94</v>
      </c>
    </row>
    <row r="812" customFormat="false" ht="15" hidden="false" customHeight="false" outlineLevel="0" collapsed="false">
      <c r="A812" s="197"/>
      <c r="B812" s="191"/>
      <c r="C812" s="190" t="s">
        <v>5150</v>
      </c>
      <c r="D812" s="191" t="n">
        <v>554198567207</v>
      </c>
      <c r="E812" s="190" t="s">
        <v>5151</v>
      </c>
      <c r="F812" s="192" t="n">
        <f aca="false">SUMIF(ENTRADAS!F:F,CLIENTES_PCBR[[#This Row],[TELEFONO]],ENTRADAS!C:C)</f>
        <v>0</v>
      </c>
      <c r="G812" s="189" t="s">
        <v>94</v>
      </c>
    </row>
    <row r="813" customFormat="false" ht="15" hidden="false" customHeight="false" outlineLevel="0" collapsed="false">
      <c r="A813" s="197"/>
      <c r="B813" s="191"/>
      <c r="C813" s="190" t="s">
        <v>5152</v>
      </c>
      <c r="D813" s="191" t="n">
        <v>554884300469</v>
      </c>
      <c r="E813" s="190" t="s">
        <v>5153</v>
      </c>
      <c r="F813" s="192" t="n">
        <f aca="false">SUMIF(ENTRADAS!F:F,CLIENTES_PCBR[[#This Row],[TELEFONO]],ENTRADAS!C:C)</f>
        <v>0</v>
      </c>
      <c r="G813" s="189" t="s">
        <v>94</v>
      </c>
    </row>
    <row r="814" customFormat="false" ht="15" hidden="false" customHeight="false" outlineLevel="0" collapsed="false">
      <c r="A814" s="197"/>
      <c r="B814" s="191"/>
      <c r="C814" s="190" t="s">
        <v>5154</v>
      </c>
      <c r="D814" s="191" t="n">
        <v>554187803285</v>
      </c>
      <c r="E814" s="190" t="s">
        <v>5155</v>
      </c>
      <c r="F814" s="192" t="n">
        <f aca="false">SUMIF(ENTRADAS!F:F,CLIENTES_PCBR[[#This Row],[TELEFONO]],ENTRADAS!C:C)</f>
        <v>0</v>
      </c>
      <c r="G814" s="189" t="s">
        <v>94</v>
      </c>
    </row>
    <row r="815" customFormat="false" ht="15" hidden="false" customHeight="false" outlineLevel="0" collapsed="false">
      <c r="A815" s="197"/>
      <c r="B815" s="191"/>
      <c r="C815" s="190" t="s">
        <v>2422</v>
      </c>
      <c r="D815" s="191" t="n">
        <v>554196277713</v>
      </c>
      <c r="E815" s="190" t="s">
        <v>2423</v>
      </c>
      <c r="F815" s="192" t="n">
        <f aca="false">SUMIF(ENTRADAS!F:F,CLIENTES_PCBR[[#This Row],[TELEFONO]],ENTRADAS!C:C)</f>
        <v>250</v>
      </c>
      <c r="G815" s="189" t="s">
        <v>94</v>
      </c>
    </row>
    <row r="816" customFormat="false" ht="15" hidden="false" customHeight="false" outlineLevel="0" collapsed="false">
      <c r="A816" s="197"/>
      <c r="B816" s="191"/>
      <c r="C816" s="190" t="s">
        <v>1164</v>
      </c>
      <c r="D816" s="191" t="n">
        <v>5511992406888</v>
      </c>
      <c r="E816" s="190" t="s">
        <v>5156</v>
      </c>
      <c r="F816" s="192" t="n">
        <f aca="false">SUMIF(ENTRADAS!F:F,CLIENTES_PCBR[[#This Row],[TELEFONO]],ENTRADAS!C:C)</f>
        <v>220</v>
      </c>
      <c r="G816" s="189" t="s">
        <v>94</v>
      </c>
    </row>
    <row r="817" customFormat="false" ht="15" hidden="false" customHeight="false" outlineLevel="0" collapsed="false">
      <c r="A817" s="197"/>
      <c r="B817" s="191"/>
      <c r="C817" s="190" t="s">
        <v>5157</v>
      </c>
      <c r="D817" s="191" t="n">
        <v>555496584724</v>
      </c>
      <c r="E817" s="190" t="s">
        <v>5158</v>
      </c>
      <c r="F817" s="192" t="n">
        <f aca="false">SUMIF(ENTRADAS!F:F,CLIENTES_PCBR[[#This Row],[TELEFONO]],ENTRADAS!C:C)</f>
        <v>0</v>
      </c>
      <c r="G817" s="189" t="s">
        <v>94</v>
      </c>
    </row>
    <row r="818" customFormat="false" ht="15" hidden="false" customHeight="false" outlineLevel="0" collapsed="false">
      <c r="A818" s="197"/>
      <c r="B818" s="191"/>
      <c r="C818" s="190" t="s">
        <v>3008</v>
      </c>
      <c r="D818" s="191" t="n">
        <v>559188237892</v>
      </c>
      <c r="E818" s="190" t="s">
        <v>3009</v>
      </c>
      <c r="F818" s="192" t="n">
        <f aca="false">SUMIF(ENTRADAS!F:F,CLIENTES_PCBR[[#This Row],[TELEFONO]],ENTRADAS!C:C)</f>
        <v>147</v>
      </c>
      <c r="G818" s="189" t="s">
        <v>94</v>
      </c>
    </row>
    <row r="819" customFormat="false" ht="15" hidden="false" customHeight="false" outlineLevel="0" collapsed="false">
      <c r="A819" s="197"/>
      <c r="B819" s="191"/>
      <c r="C819" s="190" t="s">
        <v>5159</v>
      </c>
      <c r="D819" s="191" t="n">
        <v>5511988943738</v>
      </c>
      <c r="E819" s="190" t="s">
        <v>5160</v>
      </c>
      <c r="F819" s="192" t="n">
        <f aca="false">SUMIF(ENTRADAS!F:F,CLIENTES_PCBR[[#This Row],[TELEFONO]],ENTRADAS!C:C)</f>
        <v>0</v>
      </c>
      <c r="G819" s="189" t="s">
        <v>94</v>
      </c>
    </row>
    <row r="820" customFormat="false" ht="15" hidden="false" customHeight="false" outlineLevel="0" collapsed="false">
      <c r="A820" s="197"/>
      <c r="B820" s="191"/>
      <c r="C820" s="190" t="s">
        <v>5161</v>
      </c>
      <c r="D820" s="191" t="n">
        <v>554188508085</v>
      </c>
      <c r="E820" s="190" t="s">
        <v>5162</v>
      </c>
      <c r="F820" s="192" t="n">
        <f aca="false">SUMIF(ENTRADAS!F:F,CLIENTES_PCBR[[#This Row],[TELEFONO]],ENTRADAS!C:C)</f>
        <v>0</v>
      </c>
      <c r="G820" s="189" t="s">
        <v>94</v>
      </c>
    </row>
    <row r="821" customFormat="false" ht="15" hidden="false" customHeight="false" outlineLevel="0" collapsed="false">
      <c r="A821" s="197"/>
      <c r="B821" s="191"/>
      <c r="C821" s="190" t="s">
        <v>5163</v>
      </c>
      <c r="D821" s="191" t="n">
        <v>559285273563</v>
      </c>
      <c r="E821" s="190" t="s">
        <v>5164</v>
      </c>
      <c r="F821" s="192" t="n">
        <f aca="false">SUMIF(ENTRADAS!F:F,CLIENTES_PCBR[[#This Row],[TELEFONO]],ENTRADAS!C:C)</f>
        <v>0</v>
      </c>
      <c r="G821" s="189" t="s">
        <v>94</v>
      </c>
    </row>
    <row r="822" customFormat="false" ht="15" hidden="false" customHeight="false" outlineLevel="0" collapsed="false">
      <c r="A822" s="197"/>
      <c r="B822" s="191"/>
      <c r="C822" s="190" t="s">
        <v>5165</v>
      </c>
      <c r="D822" s="191" t="n">
        <v>554299411631</v>
      </c>
      <c r="E822" s="190" t="s">
        <v>5166</v>
      </c>
      <c r="F822" s="192" t="n">
        <f aca="false">SUMIF(ENTRADAS!F:F,CLIENTES_PCBR[[#This Row],[TELEFONO]],ENTRADAS!C:C)</f>
        <v>0</v>
      </c>
      <c r="G822" s="189" t="s">
        <v>94</v>
      </c>
    </row>
    <row r="823" customFormat="false" ht="15" hidden="false" customHeight="false" outlineLevel="0" collapsed="false">
      <c r="A823" s="197"/>
      <c r="B823" s="191"/>
      <c r="C823" s="190" t="s">
        <v>5167</v>
      </c>
      <c r="D823" s="191" t="n">
        <v>5511912962575</v>
      </c>
      <c r="E823" s="190" t="s">
        <v>5168</v>
      </c>
      <c r="F823" s="192" t="n">
        <f aca="false">SUMIF(ENTRADAS!F:F,CLIENTES_PCBR[[#This Row],[TELEFONO]],ENTRADAS!C:C)</f>
        <v>0</v>
      </c>
      <c r="G823" s="189" t="s">
        <v>94</v>
      </c>
    </row>
    <row r="824" customFormat="false" ht="15" hidden="false" customHeight="false" outlineLevel="0" collapsed="false">
      <c r="A824" s="197"/>
      <c r="B824" s="191"/>
      <c r="C824" s="190" t="s">
        <v>5169</v>
      </c>
      <c r="D824" s="191" t="n">
        <v>554184531281</v>
      </c>
      <c r="E824" s="190" t="s">
        <v>5170</v>
      </c>
      <c r="F824" s="192" t="n">
        <f aca="false">SUMIF(ENTRADAS!F:F,CLIENTES_PCBR[[#This Row],[TELEFONO]],ENTRADAS!C:C)</f>
        <v>0</v>
      </c>
      <c r="G824" s="189" t="s">
        <v>94</v>
      </c>
    </row>
    <row r="825" customFormat="false" ht="15" hidden="false" customHeight="false" outlineLevel="0" collapsed="false">
      <c r="A825" s="197"/>
      <c r="B825" s="191"/>
      <c r="C825" s="190" t="s">
        <v>5171</v>
      </c>
      <c r="D825" s="191" t="n">
        <v>556196222663</v>
      </c>
      <c r="E825" s="190" t="s">
        <v>5172</v>
      </c>
      <c r="F825" s="192" t="n">
        <f aca="false">SUMIF(ENTRADAS!F:F,CLIENTES_PCBR[[#This Row],[TELEFONO]],ENTRADAS!C:C)</f>
        <v>0</v>
      </c>
      <c r="G825" s="189" t="s">
        <v>94</v>
      </c>
    </row>
    <row r="826" customFormat="false" ht="15" hidden="false" customHeight="false" outlineLevel="0" collapsed="false">
      <c r="A826" s="197"/>
      <c r="B826" s="191"/>
      <c r="C826" s="190" t="s">
        <v>5173</v>
      </c>
      <c r="D826" s="191" t="n">
        <v>5547920028773</v>
      </c>
      <c r="E826" s="190" t="s">
        <v>5174</v>
      </c>
      <c r="F826" s="192" t="n">
        <f aca="false">SUMIF(ENTRADAS!F:F,CLIENTES_PCBR[[#This Row],[TELEFONO]],ENTRADAS!C:C)</f>
        <v>0</v>
      </c>
      <c r="G826" s="189" t="s">
        <v>94</v>
      </c>
    </row>
    <row r="827" customFormat="false" ht="15" hidden="false" customHeight="false" outlineLevel="0" collapsed="false">
      <c r="A827" s="197"/>
      <c r="B827" s="191"/>
      <c r="C827" s="190" t="s">
        <v>5175</v>
      </c>
      <c r="D827" s="191" t="n">
        <v>554891178882</v>
      </c>
      <c r="E827" s="190" t="s">
        <v>5176</v>
      </c>
      <c r="F827" s="192" t="n">
        <f aca="false">SUMIF(ENTRADAS!F:F,CLIENTES_PCBR[[#This Row],[TELEFONO]],ENTRADAS!C:C)</f>
        <v>0</v>
      </c>
      <c r="G827" s="189" t="s">
        <v>94</v>
      </c>
    </row>
    <row r="828" customFormat="false" ht="15" hidden="false" customHeight="false" outlineLevel="0" collapsed="false">
      <c r="A828" s="197"/>
      <c r="B828" s="191"/>
      <c r="C828" s="190" t="s">
        <v>5177</v>
      </c>
      <c r="D828" s="191" t="n">
        <v>554195312570</v>
      </c>
      <c r="E828" s="190" t="s">
        <v>5178</v>
      </c>
      <c r="F828" s="192" t="n">
        <f aca="false">SUMIF(ENTRADAS!F:F,CLIENTES_PCBR[[#This Row],[TELEFONO]],ENTRADAS!C:C)</f>
        <v>0</v>
      </c>
      <c r="G828" s="189" t="s">
        <v>94</v>
      </c>
    </row>
    <row r="829" customFormat="false" ht="15" hidden="false" customHeight="false" outlineLevel="0" collapsed="false">
      <c r="A829" s="197"/>
      <c r="B829" s="191"/>
      <c r="C829" s="190" t="s">
        <v>5179</v>
      </c>
      <c r="D829" s="191" t="n">
        <v>554191149611</v>
      </c>
      <c r="E829" s="190" t="s">
        <v>5180</v>
      </c>
      <c r="F829" s="192" t="n">
        <f aca="false">SUMIF(ENTRADAS!F:F,CLIENTES_PCBR[[#This Row],[TELEFONO]],ENTRADAS!C:C)</f>
        <v>0</v>
      </c>
      <c r="G829" s="189" t="s">
        <v>94</v>
      </c>
    </row>
    <row r="830" customFormat="false" ht="15" hidden="false" customHeight="false" outlineLevel="0" collapsed="false">
      <c r="A830" s="197"/>
      <c r="B830" s="191"/>
      <c r="C830" s="190" t="s">
        <v>5181</v>
      </c>
      <c r="D830" s="191" t="n">
        <v>559584391143</v>
      </c>
      <c r="E830" s="190" t="s">
        <v>5182</v>
      </c>
      <c r="F830" s="192" t="n">
        <f aca="false">SUMIF(ENTRADAS!F:F,CLIENTES_PCBR[[#This Row],[TELEFONO]],ENTRADAS!C:C)</f>
        <v>0</v>
      </c>
      <c r="G830" s="189" t="s">
        <v>94</v>
      </c>
    </row>
    <row r="831" customFormat="false" ht="15" hidden="false" customHeight="false" outlineLevel="0" collapsed="false">
      <c r="A831" s="197"/>
      <c r="B831" s="191"/>
      <c r="C831" s="190" t="s">
        <v>5183</v>
      </c>
      <c r="D831" s="191" t="n">
        <v>5595484191533</v>
      </c>
      <c r="E831" s="190" t="s">
        <v>5184</v>
      </c>
      <c r="F831" s="192" t="n">
        <f aca="false">SUMIF(ENTRADAS!F:F,CLIENTES_PCBR[[#This Row],[TELEFONO]],ENTRADAS!C:C)</f>
        <v>0</v>
      </c>
      <c r="G831" s="189" t="s">
        <v>94</v>
      </c>
    </row>
    <row r="832" customFormat="false" ht="15" hidden="false" customHeight="false" outlineLevel="0" collapsed="false">
      <c r="A832" s="197"/>
      <c r="B832" s="191"/>
      <c r="C832" s="190" t="s">
        <v>5185</v>
      </c>
      <c r="D832" s="191" t="n">
        <v>559584161631</v>
      </c>
      <c r="E832" s="190" t="s">
        <v>5186</v>
      </c>
      <c r="F832" s="192" t="n">
        <f aca="false">SUMIF(ENTRADAS!F:F,CLIENTES_PCBR[[#This Row],[TELEFONO]],ENTRADAS!C:C)</f>
        <v>0</v>
      </c>
      <c r="G832" s="189" t="s">
        <v>94</v>
      </c>
    </row>
    <row r="833" customFormat="false" ht="15" hidden="false" customHeight="false" outlineLevel="0" collapsed="false">
      <c r="A833" s="197"/>
      <c r="B833" s="191"/>
      <c r="C833" s="190" t="s">
        <v>5187</v>
      </c>
      <c r="D833" s="191" t="n">
        <v>554899681738</v>
      </c>
      <c r="E833" s="190" t="s">
        <v>5188</v>
      </c>
      <c r="F833" s="192" t="n">
        <f aca="false">SUMIF(ENTRADAS!F:F,CLIENTES_PCBR[[#This Row],[TELEFONO]],ENTRADAS!C:C)</f>
        <v>0</v>
      </c>
      <c r="G833" s="189" t="s">
        <v>94</v>
      </c>
    </row>
    <row r="834" customFormat="false" ht="15" hidden="false" customHeight="false" outlineLevel="0" collapsed="false">
      <c r="A834" s="197"/>
      <c r="B834" s="191"/>
      <c r="C834" s="190" t="s">
        <v>5189</v>
      </c>
      <c r="D834" s="191" t="n">
        <v>18133977987</v>
      </c>
      <c r="F834" s="192" t="n">
        <f aca="false">SUMIF(ENTRADAS!F:F,CLIENTES_PCBR[[#This Row],[TELEFONO]],ENTRADAS!C:C)</f>
        <v>0</v>
      </c>
      <c r="G834" s="189" t="s">
        <v>94</v>
      </c>
    </row>
    <row r="835" customFormat="false" ht="15" hidden="false" customHeight="false" outlineLevel="0" collapsed="false">
      <c r="A835" s="197"/>
      <c r="B835" s="191"/>
      <c r="C835" s="190" t="s">
        <v>5190</v>
      </c>
      <c r="D835" s="191" t="n">
        <v>554195033676</v>
      </c>
      <c r="E835" s="190" t="s">
        <v>5191</v>
      </c>
      <c r="F835" s="192" t="n">
        <f aca="false">SUMIF(ENTRADAS!F:F,CLIENTES_PCBR[[#This Row],[TELEFONO]],ENTRADAS!C:C)</f>
        <v>0</v>
      </c>
      <c r="G835" s="189" t="s">
        <v>94</v>
      </c>
    </row>
    <row r="836" customFormat="false" ht="15" hidden="false" customHeight="false" outlineLevel="0" collapsed="false">
      <c r="A836" s="197"/>
      <c r="B836" s="191"/>
      <c r="C836" s="190" t="s">
        <v>5192</v>
      </c>
      <c r="D836" s="191" t="n">
        <v>559584381760</v>
      </c>
      <c r="E836" s="190" t="s">
        <v>5111</v>
      </c>
      <c r="F836" s="192" t="n">
        <f aca="false">SUMIF(ENTRADAS!F:F,CLIENTES_PCBR[[#This Row],[TELEFONO]],ENTRADAS!C:C)</f>
        <v>0</v>
      </c>
      <c r="G836" s="189" t="s">
        <v>94</v>
      </c>
    </row>
    <row r="837" customFormat="false" ht="15" hidden="false" customHeight="false" outlineLevel="0" collapsed="false">
      <c r="A837" s="197"/>
      <c r="B837" s="191"/>
      <c r="C837" s="190" t="s">
        <v>5193</v>
      </c>
      <c r="D837" s="191" t="n">
        <v>559584233819</v>
      </c>
      <c r="E837" s="190" t="s">
        <v>5194</v>
      </c>
      <c r="F837" s="192" t="n">
        <f aca="false">SUMIF(ENTRADAS!F:F,CLIENTES_PCBR[[#This Row],[TELEFONO]],ENTRADAS!C:C)</f>
        <v>0</v>
      </c>
      <c r="G837" s="189" t="s">
        <v>94</v>
      </c>
    </row>
    <row r="838" customFormat="false" ht="15" hidden="false" customHeight="false" outlineLevel="0" collapsed="false">
      <c r="A838" s="197"/>
      <c r="B838" s="191"/>
      <c r="C838" s="190" t="s">
        <v>5195</v>
      </c>
      <c r="D838" s="191" t="n">
        <v>554199655391</v>
      </c>
      <c r="E838" s="190" t="s">
        <v>5196</v>
      </c>
      <c r="F838" s="192" t="n">
        <f aca="false">SUMIF(ENTRADAS!F:F,CLIENTES_PCBR[[#This Row],[TELEFONO]],ENTRADAS!C:C)</f>
        <v>0</v>
      </c>
      <c r="G838" s="189" t="s">
        <v>94</v>
      </c>
    </row>
    <row r="839" customFormat="false" ht="15" hidden="false" customHeight="false" outlineLevel="0" collapsed="false">
      <c r="A839" s="197"/>
      <c r="B839" s="191"/>
      <c r="C839" s="190" t="s">
        <v>5197</v>
      </c>
      <c r="D839" s="191" t="n">
        <v>554196332352</v>
      </c>
      <c r="E839" s="190" t="s">
        <v>5198</v>
      </c>
      <c r="F839" s="192" t="n">
        <f aca="false">SUMIF(ENTRADAS!F:F,CLIENTES_PCBR[[#This Row],[TELEFONO]],ENTRADAS!C:C)</f>
        <v>0</v>
      </c>
      <c r="G839" s="189" t="s">
        <v>94</v>
      </c>
    </row>
    <row r="840" customFormat="false" ht="15" hidden="false" customHeight="false" outlineLevel="0" collapsed="false">
      <c r="A840" s="197"/>
      <c r="B840" s="191"/>
      <c r="C840" s="190" t="s">
        <v>5199</v>
      </c>
      <c r="D840" s="191" t="n">
        <v>554891443962</v>
      </c>
      <c r="E840" s="190" t="s">
        <v>5200</v>
      </c>
      <c r="F840" s="192" t="n">
        <f aca="false">SUMIF(ENTRADAS!F:F,CLIENTES_PCBR[[#This Row],[TELEFONO]],ENTRADAS!C:C)</f>
        <v>0</v>
      </c>
      <c r="G840" s="189" t="s">
        <v>94</v>
      </c>
    </row>
    <row r="841" customFormat="false" ht="15" hidden="false" customHeight="false" outlineLevel="0" collapsed="false">
      <c r="A841" s="197"/>
      <c r="B841" s="191"/>
      <c r="C841" s="190" t="s">
        <v>5201</v>
      </c>
      <c r="D841" s="191" t="n">
        <v>5350584715</v>
      </c>
      <c r="E841" s="190" t="s">
        <v>5202</v>
      </c>
      <c r="F841" s="192" t="n">
        <f aca="false">SUMIF(ENTRADAS!F:F,CLIENTES_PCBR[[#This Row],[TELEFONO]],ENTRADAS!C:C)</f>
        <v>0</v>
      </c>
      <c r="G841" s="189" t="s">
        <v>94</v>
      </c>
    </row>
    <row r="842" customFormat="false" ht="15" hidden="false" customHeight="false" outlineLevel="0" collapsed="false">
      <c r="A842" s="197"/>
      <c r="B842" s="191"/>
      <c r="C842" s="190" t="s">
        <v>5203</v>
      </c>
      <c r="D842" s="191" t="n">
        <v>559584277731</v>
      </c>
      <c r="E842" s="190" t="s">
        <v>5204</v>
      </c>
      <c r="F842" s="192" t="n">
        <f aca="false">SUMIF(ENTRADAS!F:F,CLIENTES_PCBR[[#This Row],[TELEFONO]],ENTRADAS!C:C)</f>
        <v>0</v>
      </c>
      <c r="G842" s="189" t="s">
        <v>94</v>
      </c>
    </row>
    <row r="843" customFormat="false" ht="15" hidden="false" customHeight="false" outlineLevel="0" collapsed="false">
      <c r="A843" s="197"/>
      <c r="B843" s="191"/>
      <c r="C843" s="190" t="s">
        <v>5205</v>
      </c>
      <c r="D843" s="191" t="n">
        <v>5511918608237</v>
      </c>
      <c r="E843" s="190" t="s">
        <v>5206</v>
      </c>
      <c r="F843" s="192" t="n">
        <f aca="false">SUMIF(ENTRADAS!F:F,CLIENTES_PCBR[[#This Row],[TELEFONO]],ENTRADAS!C:C)</f>
        <v>0</v>
      </c>
      <c r="G843" s="189" t="s">
        <v>94</v>
      </c>
    </row>
    <row r="844" customFormat="false" ht="15" hidden="false" customHeight="false" outlineLevel="0" collapsed="false">
      <c r="A844" s="197"/>
      <c r="B844" s="191"/>
      <c r="C844" s="190" t="s">
        <v>5207</v>
      </c>
      <c r="D844" s="191" t="n">
        <v>554196228350</v>
      </c>
      <c r="E844" s="190" t="s">
        <v>5208</v>
      </c>
      <c r="F844" s="192" t="n">
        <f aca="false">SUMIF(ENTRADAS!F:F,CLIENTES_PCBR[[#This Row],[TELEFONO]],ENTRADAS!C:C)</f>
        <v>0</v>
      </c>
      <c r="G844" s="189" t="s">
        <v>94</v>
      </c>
    </row>
    <row r="845" customFormat="false" ht="15" hidden="false" customHeight="false" outlineLevel="0" collapsed="false">
      <c r="A845" s="197"/>
      <c r="B845" s="191"/>
      <c r="C845" s="190" t="s">
        <v>5209</v>
      </c>
      <c r="D845" s="191" t="n">
        <v>554195546494</v>
      </c>
      <c r="E845" s="190" t="s">
        <v>5210</v>
      </c>
      <c r="F845" s="192" t="n">
        <f aca="false">SUMIF(ENTRADAS!F:F,CLIENTES_PCBR[[#This Row],[TELEFONO]],ENTRADAS!C:C)</f>
        <v>0</v>
      </c>
      <c r="G845" s="189" t="s">
        <v>94</v>
      </c>
    </row>
    <row r="846" customFormat="false" ht="15" hidden="false" customHeight="false" outlineLevel="0" collapsed="false">
      <c r="A846" s="197"/>
      <c r="B846" s="191"/>
      <c r="C846" s="190" t="s">
        <v>5211</v>
      </c>
      <c r="D846" s="191" t="n">
        <v>12103834095</v>
      </c>
      <c r="F846" s="192" t="n">
        <f aca="false">SUMIF(ENTRADAS!F:F,CLIENTES_PCBR[[#This Row],[TELEFONO]],ENTRADAS!C:C)</f>
        <v>0</v>
      </c>
      <c r="G846" s="189" t="s">
        <v>94</v>
      </c>
    </row>
    <row r="847" customFormat="false" ht="15" hidden="false" customHeight="false" outlineLevel="0" collapsed="false">
      <c r="A847" s="197"/>
      <c r="B847" s="191"/>
      <c r="C847" s="190" t="s">
        <v>5212</v>
      </c>
      <c r="D847" s="191" t="n">
        <v>556599132039</v>
      </c>
      <c r="E847" s="190" t="s">
        <v>5213</v>
      </c>
      <c r="F847" s="192" t="n">
        <f aca="false">SUMIF(ENTRADAS!F:F,CLIENTES_PCBR[[#This Row],[TELEFONO]],ENTRADAS!C:C)</f>
        <v>0</v>
      </c>
      <c r="G847" s="189" t="s">
        <v>94</v>
      </c>
    </row>
    <row r="848" customFormat="false" ht="15" hidden="false" customHeight="false" outlineLevel="0" collapsed="false">
      <c r="A848" s="197"/>
      <c r="B848" s="191"/>
      <c r="C848" s="190" t="s">
        <v>5214</v>
      </c>
      <c r="D848" s="191" t="n">
        <v>559584095769</v>
      </c>
      <c r="E848" s="190" t="s">
        <v>5215</v>
      </c>
      <c r="F848" s="192" t="n">
        <f aca="false">SUMIF(ENTRADAS!F:F,CLIENTES_PCBR[[#This Row],[TELEFONO]],ENTRADAS!C:C)</f>
        <v>0</v>
      </c>
      <c r="G848" s="189" t="s">
        <v>94</v>
      </c>
    </row>
    <row r="849" customFormat="false" ht="15" hidden="false" customHeight="false" outlineLevel="0" collapsed="false">
      <c r="A849" s="197"/>
      <c r="B849" s="191"/>
      <c r="C849" s="190" t="s">
        <v>5216</v>
      </c>
      <c r="D849" s="191" t="n">
        <v>5511962412289</v>
      </c>
      <c r="E849" s="190" t="s">
        <v>5217</v>
      </c>
      <c r="F849" s="192" t="n">
        <f aca="false">SUMIF(ENTRADAS!F:F,CLIENTES_PCBR[[#This Row],[TELEFONO]],ENTRADAS!C:C)</f>
        <v>0</v>
      </c>
      <c r="G849" s="189" t="s">
        <v>94</v>
      </c>
    </row>
    <row r="850" customFormat="false" ht="15" hidden="false" customHeight="false" outlineLevel="0" collapsed="false">
      <c r="A850" s="197"/>
      <c r="B850" s="191"/>
      <c r="C850" s="190" t="s">
        <v>5218</v>
      </c>
      <c r="D850" s="191" t="n">
        <v>554892224053</v>
      </c>
      <c r="F850" s="192" t="n">
        <f aca="false">SUMIF(ENTRADAS!F:F,CLIENTES_PCBR[[#This Row],[TELEFONO]],ENTRADAS!C:C)</f>
        <v>0</v>
      </c>
      <c r="G850" s="189" t="s">
        <v>94</v>
      </c>
    </row>
    <row r="851" customFormat="false" ht="15" hidden="false" customHeight="false" outlineLevel="0" collapsed="false">
      <c r="A851" s="197"/>
      <c r="B851" s="191"/>
      <c r="C851" s="190" t="s">
        <v>5219</v>
      </c>
      <c r="D851" s="191" t="n">
        <v>554191691931</v>
      </c>
      <c r="E851" s="190" t="s">
        <v>5220</v>
      </c>
      <c r="F851" s="192" t="n">
        <f aca="false">SUMIF(ENTRADAS!F:F,CLIENTES_PCBR[[#This Row],[TELEFONO]],ENTRADAS!C:C)</f>
        <v>0</v>
      </c>
      <c r="G851" s="189" t="s">
        <v>94</v>
      </c>
    </row>
    <row r="852" customFormat="false" ht="15" hidden="false" customHeight="false" outlineLevel="0" collapsed="false">
      <c r="A852" s="197"/>
      <c r="B852" s="191"/>
      <c r="C852" s="190" t="s">
        <v>5221</v>
      </c>
      <c r="D852" s="191" t="n">
        <v>5541996193377</v>
      </c>
      <c r="E852" s="190" t="s">
        <v>5222</v>
      </c>
      <c r="F852" s="192" t="n">
        <f aca="false">SUMIF(ENTRADAS!F:F,CLIENTES_PCBR[[#This Row],[TELEFONO]],ENTRADAS!C:C)</f>
        <v>0</v>
      </c>
      <c r="G852" s="189" t="s">
        <v>94</v>
      </c>
    </row>
    <row r="853" customFormat="false" ht="15" hidden="false" customHeight="false" outlineLevel="0" collapsed="false">
      <c r="A853" s="197"/>
      <c r="B853" s="191"/>
      <c r="C853" s="190" t="s">
        <v>5223</v>
      </c>
      <c r="D853" s="191" t="n">
        <v>5356550583</v>
      </c>
      <c r="E853" s="190" t="s">
        <v>5224</v>
      </c>
      <c r="F853" s="192" t="n">
        <f aca="false">SUMIF(ENTRADAS!F:F,CLIENTES_PCBR[[#This Row],[TELEFONO]],ENTRADAS!C:C)</f>
        <v>0</v>
      </c>
      <c r="G853" s="189" t="s">
        <v>94</v>
      </c>
    </row>
    <row r="854" customFormat="false" ht="15" hidden="false" customHeight="false" outlineLevel="0" collapsed="false">
      <c r="A854" s="197"/>
      <c r="B854" s="191"/>
      <c r="C854" s="190" t="s">
        <v>854</v>
      </c>
      <c r="D854" s="191" t="n">
        <v>559584081146</v>
      </c>
      <c r="E854" s="190" t="s">
        <v>855</v>
      </c>
      <c r="F854" s="192" t="n">
        <f aca="false">SUMIF(ENTRADAS!F:F,CLIENTES_PCBR[[#This Row],[TELEFONO]],ENTRADAS!C:C)</f>
        <v>270</v>
      </c>
      <c r="G854" s="189" t="s">
        <v>94</v>
      </c>
    </row>
    <row r="855" customFormat="false" ht="15" hidden="false" customHeight="false" outlineLevel="0" collapsed="false">
      <c r="A855" s="197"/>
      <c r="B855" s="191"/>
      <c r="C855" s="190" t="s">
        <v>5225</v>
      </c>
      <c r="D855" s="191" t="n">
        <v>559187339096</v>
      </c>
      <c r="E855" s="190" t="s">
        <v>5226</v>
      </c>
      <c r="F855" s="192" t="n">
        <f aca="false">SUMIF(ENTRADAS!F:F,CLIENTES_PCBR[[#This Row],[TELEFONO]],ENTRADAS!C:C)</f>
        <v>0</v>
      </c>
      <c r="G855" s="189" t="s">
        <v>94</v>
      </c>
    </row>
    <row r="856" customFormat="false" ht="15" hidden="false" customHeight="false" outlineLevel="0" collapsed="false">
      <c r="A856" s="197"/>
      <c r="B856" s="191"/>
      <c r="C856" s="190" t="s">
        <v>5227</v>
      </c>
      <c r="D856" s="191" t="n">
        <v>559584291022</v>
      </c>
      <c r="E856" s="190" t="s">
        <v>5228</v>
      </c>
      <c r="F856" s="192" t="n">
        <f aca="false">SUMIF(ENTRADAS!F:F,CLIENTES_PCBR[[#This Row],[TELEFONO]],ENTRADAS!C:C)</f>
        <v>0</v>
      </c>
      <c r="G856" s="189" t="s">
        <v>94</v>
      </c>
    </row>
    <row r="857" customFormat="false" ht="15" hidden="false" customHeight="false" outlineLevel="0" collapsed="false">
      <c r="A857" s="197"/>
      <c r="B857" s="191"/>
      <c r="C857" s="190" t="s">
        <v>5229</v>
      </c>
      <c r="D857" s="191" t="n">
        <v>559591582924</v>
      </c>
      <c r="E857" s="190" t="s">
        <v>508</v>
      </c>
      <c r="F857" s="192" t="n">
        <f aca="false">SUMIF(ENTRADAS!F:F,CLIENTES_PCBR[[#This Row],[TELEFONO]],ENTRADAS!C:C)</f>
        <v>150</v>
      </c>
      <c r="G857" s="189" t="s">
        <v>94</v>
      </c>
    </row>
    <row r="858" customFormat="false" ht="15" hidden="false" customHeight="false" outlineLevel="0" collapsed="false">
      <c r="A858" s="197"/>
      <c r="B858" s="191"/>
      <c r="C858" s="190" t="s">
        <v>5230</v>
      </c>
      <c r="D858" s="191" t="n">
        <v>555195808731</v>
      </c>
      <c r="E858" s="190" t="s">
        <v>5231</v>
      </c>
      <c r="F858" s="192" t="n">
        <f aca="false">SUMIF(ENTRADAS!F:F,CLIENTES_PCBR[[#This Row],[TELEFONO]],ENTRADAS!C:C)</f>
        <v>0</v>
      </c>
      <c r="G858" s="189" t="s">
        <v>94</v>
      </c>
    </row>
    <row r="859" customFormat="false" ht="15" hidden="false" customHeight="false" outlineLevel="0" collapsed="false">
      <c r="A859" s="197"/>
      <c r="B859" s="191"/>
      <c r="C859" s="190" t="s">
        <v>5232</v>
      </c>
      <c r="D859" s="191" t="n">
        <v>554399218734</v>
      </c>
      <c r="E859" s="190" t="s">
        <v>5233</v>
      </c>
      <c r="F859" s="192" t="n">
        <f aca="false">SUMIF(ENTRADAS!F:F,CLIENTES_PCBR[[#This Row],[TELEFONO]],ENTRADAS!C:C)</f>
        <v>0</v>
      </c>
      <c r="G859" s="189" t="s">
        <v>94</v>
      </c>
    </row>
    <row r="860" customFormat="false" ht="15" hidden="false" customHeight="false" outlineLevel="0" collapsed="false">
      <c r="A860" s="197"/>
      <c r="B860" s="191"/>
      <c r="C860" s="190" t="s">
        <v>5234</v>
      </c>
      <c r="D860" s="191" t="n">
        <v>5541992847566</v>
      </c>
      <c r="E860" s="190" t="s">
        <v>5235</v>
      </c>
      <c r="F860" s="192" t="n">
        <f aca="false">SUMIF(ENTRADAS!F:F,CLIENTES_PCBR[[#This Row],[TELEFONO]],ENTRADAS!C:C)</f>
        <v>0</v>
      </c>
      <c r="G860" s="189" t="s">
        <v>94</v>
      </c>
    </row>
    <row r="861" customFormat="false" ht="15" hidden="false" customHeight="false" outlineLevel="0" collapsed="false">
      <c r="A861" s="197"/>
      <c r="B861" s="191"/>
      <c r="C861" s="190" t="s">
        <v>5236</v>
      </c>
      <c r="D861" s="191" t="n">
        <v>555496188529</v>
      </c>
      <c r="F861" s="192" t="n">
        <f aca="false">SUMIF(ENTRADAS!F:F,CLIENTES_PCBR[[#This Row],[TELEFONO]],ENTRADAS!C:C)</f>
        <v>1000</v>
      </c>
      <c r="G861" s="189" t="s">
        <v>94</v>
      </c>
    </row>
    <row r="862" customFormat="false" ht="15" hidden="false" customHeight="false" outlineLevel="0" collapsed="false">
      <c r="A862" s="197"/>
      <c r="B862" s="191"/>
      <c r="C862" s="190" t="s">
        <v>5237</v>
      </c>
      <c r="D862" s="191" t="n">
        <v>554598483666</v>
      </c>
      <c r="E862" s="190" t="s">
        <v>5238</v>
      </c>
      <c r="F862" s="192" t="n">
        <f aca="false">SUMIF(ENTRADAS!F:F,CLIENTES_PCBR[[#This Row],[TELEFONO]],ENTRADAS!C:C)</f>
        <v>0</v>
      </c>
      <c r="G862" s="189" t="s">
        <v>94</v>
      </c>
    </row>
    <row r="863" customFormat="false" ht="15" hidden="false" customHeight="false" outlineLevel="0" collapsed="false">
      <c r="A863" s="197"/>
      <c r="B863" s="191"/>
      <c r="C863" s="190" t="s">
        <v>5239</v>
      </c>
      <c r="D863" s="191" t="n">
        <v>559484016089</v>
      </c>
      <c r="F863" s="192" t="n">
        <f aca="false">SUMIF(ENTRADAS!F:F,CLIENTES_PCBR[[#This Row],[TELEFONO]],ENTRADAS!C:C)</f>
        <v>0</v>
      </c>
      <c r="G863" s="189" t="s">
        <v>94</v>
      </c>
    </row>
    <row r="864" customFormat="false" ht="15" hidden="false" customHeight="false" outlineLevel="0" collapsed="false">
      <c r="A864" s="197"/>
      <c r="B864" s="191"/>
      <c r="C864" s="190" t="s">
        <v>5240</v>
      </c>
      <c r="D864" s="191" t="n">
        <v>554198663993</v>
      </c>
      <c r="E864" s="190" t="s">
        <v>5241</v>
      </c>
      <c r="F864" s="192" t="n">
        <f aca="false">SUMIF(ENTRADAS!F:F,CLIENTES_PCBR[[#This Row],[TELEFONO]],ENTRADAS!C:C)</f>
        <v>0</v>
      </c>
      <c r="G864" s="189" t="s">
        <v>94</v>
      </c>
    </row>
    <row r="865" customFormat="false" ht="15" hidden="false" customHeight="false" outlineLevel="0" collapsed="false">
      <c r="A865" s="197"/>
      <c r="B865" s="191"/>
      <c r="C865" s="190" t="s">
        <v>5242</v>
      </c>
      <c r="D865" s="191" t="n">
        <v>553497625739</v>
      </c>
      <c r="E865" s="190" t="s">
        <v>5243</v>
      </c>
      <c r="F865" s="192" t="n">
        <f aca="false">SUMIF(ENTRADAS!F:F,CLIENTES_PCBR[[#This Row],[TELEFONO]],ENTRADAS!C:C)</f>
        <v>0</v>
      </c>
      <c r="G865" s="189" t="s">
        <v>94</v>
      </c>
    </row>
    <row r="866" customFormat="false" ht="15" hidden="false" customHeight="false" outlineLevel="0" collapsed="false">
      <c r="A866" s="197"/>
      <c r="B866" s="191"/>
      <c r="C866" s="190" t="s">
        <v>5244</v>
      </c>
      <c r="D866" s="191" t="n">
        <v>554196321727</v>
      </c>
      <c r="E866" s="190" t="s">
        <v>5245</v>
      </c>
      <c r="F866" s="192" t="n">
        <f aca="false">SUMIF(ENTRADAS!F:F,CLIENTES_PCBR[[#This Row],[TELEFONO]],ENTRADAS!C:C)</f>
        <v>0</v>
      </c>
      <c r="G866" s="189" t="s">
        <v>94</v>
      </c>
    </row>
    <row r="867" customFormat="false" ht="15" hidden="false" customHeight="false" outlineLevel="0" collapsed="false">
      <c r="A867" s="197"/>
      <c r="B867" s="191"/>
      <c r="C867" s="190" t="s">
        <v>5246</v>
      </c>
      <c r="D867" s="191" t="n">
        <v>554199713237</v>
      </c>
      <c r="E867" s="190" t="s">
        <v>5247</v>
      </c>
      <c r="F867" s="192" t="n">
        <f aca="false">SUMIF(ENTRADAS!F:F,CLIENTES_PCBR[[#This Row],[TELEFONO]],ENTRADAS!C:C)</f>
        <v>0</v>
      </c>
      <c r="G867" s="189" t="s">
        <v>94</v>
      </c>
    </row>
    <row r="868" customFormat="false" ht="15" hidden="false" customHeight="false" outlineLevel="0" collapsed="false">
      <c r="A868" s="197"/>
      <c r="B868" s="191"/>
      <c r="C868" s="190" t="s">
        <v>137</v>
      </c>
      <c r="D868" s="191" t="n">
        <v>555499481372</v>
      </c>
      <c r="E868" s="190" t="s">
        <v>138</v>
      </c>
      <c r="F868" s="192" t="n">
        <f aca="false">SUMIF(ENTRADAS!F:F,CLIENTES_PCBR[[#This Row],[TELEFONO]],ENTRADAS!C:C)</f>
        <v>294</v>
      </c>
      <c r="G868" s="189" t="s">
        <v>94</v>
      </c>
    </row>
    <row r="869" customFormat="false" ht="15" hidden="false" customHeight="false" outlineLevel="0" collapsed="false">
      <c r="A869" s="197"/>
      <c r="B869" s="191"/>
      <c r="C869" s="190" t="s">
        <v>5248</v>
      </c>
      <c r="D869" s="191" t="n">
        <v>554196876177</v>
      </c>
      <c r="E869" s="190" t="s">
        <v>5249</v>
      </c>
      <c r="F869" s="192" t="n">
        <f aca="false">SUMIF(ENTRADAS!F:F,CLIENTES_PCBR[[#This Row],[TELEFONO]],ENTRADAS!C:C)</f>
        <v>0</v>
      </c>
      <c r="G869" s="189" t="s">
        <v>94</v>
      </c>
    </row>
    <row r="870" customFormat="false" ht="15" hidden="false" customHeight="false" outlineLevel="0" collapsed="false">
      <c r="A870" s="197"/>
      <c r="B870" s="191"/>
      <c r="C870" s="190" t="s">
        <v>5250</v>
      </c>
      <c r="D870" s="191" t="n">
        <v>5356158296</v>
      </c>
      <c r="E870" s="190" t="s">
        <v>5251</v>
      </c>
      <c r="F870" s="192" t="n">
        <f aca="false">SUMIF(ENTRADAS!F:F,CLIENTES_PCBR[[#This Row],[TELEFONO]],ENTRADAS!C:C)</f>
        <v>0</v>
      </c>
      <c r="G870" s="189" t="s">
        <v>94</v>
      </c>
    </row>
    <row r="871" customFormat="false" ht="15" hidden="false" customHeight="false" outlineLevel="0" collapsed="false">
      <c r="A871" s="197"/>
      <c r="B871" s="191"/>
      <c r="C871" s="190" t="s">
        <v>5252</v>
      </c>
      <c r="D871" s="191" t="n">
        <v>5511988794596</v>
      </c>
      <c r="E871" s="190" t="s">
        <v>5253</v>
      </c>
      <c r="F871" s="192" t="n">
        <f aca="false">SUMIF(ENTRADAS!F:F,CLIENTES_PCBR[[#This Row],[TELEFONO]],ENTRADAS!C:C)</f>
        <v>0</v>
      </c>
      <c r="G871" s="189" t="s">
        <v>94</v>
      </c>
    </row>
    <row r="872" customFormat="false" ht="15" hidden="false" customHeight="false" outlineLevel="0" collapsed="false">
      <c r="A872" s="197"/>
      <c r="B872" s="191"/>
      <c r="C872" s="190" t="s">
        <v>5254</v>
      </c>
      <c r="D872" s="191" t="n">
        <v>554991091210</v>
      </c>
      <c r="E872" s="190" t="s">
        <v>5255</v>
      </c>
      <c r="F872" s="192" t="n">
        <f aca="false">SUMIF(ENTRADAS!F:F,CLIENTES_PCBR[[#This Row],[TELEFONO]],ENTRADAS!C:C)</f>
        <v>0</v>
      </c>
      <c r="G872" s="189" t="s">
        <v>94</v>
      </c>
    </row>
    <row r="873" customFormat="false" ht="15" hidden="false" customHeight="false" outlineLevel="0" collapsed="false">
      <c r="A873" s="197"/>
      <c r="B873" s="191"/>
      <c r="C873" s="190" t="s">
        <v>147</v>
      </c>
      <c r="D873" s="191" t="n">
        <v>5511958059266</v>
      </c>
      <c r="E873" s="190" t="s">
        <v>148</v>
      </c>
      <c r="F873" s="192" t="n">
        <f aca="false">SUMIF(ENTRADAS!F:F,CLIENTES_PCBR[[#This Row],[TELEFONO]],ENTRADAS!C:C)</f>
        <v>80</v>
      </c>
      <c r="G873" s="189" t="s">
        <v>94</v>
      </c>
    </row>
    <row r="874" customFormat="false" ht="15" hidden="false" customHeight="false" outlineLevel="0" collapsed="false">
      <c r="A874" s="197"/>
      <c r="B874" s="191"/>
      <c r="C874" s="190" t="s">
        <v>5256</v>
      </c>
      <c r="D874" s="191" t="n">
        <v>5511940545012</v>
      </c>
      <c r="E874" s="190" t="s">
        <v>318</v>
      </c>
      <c r="F874" s="192" t="n">
        <f aca="false">SUMIF(ENTRADAS!F:F,CLIENTES_PCBR[[#This Row],[TELEFONO]],ENTRADAS!C:C)</f>
        <v>60</v>
      </c>
      <c r="G874" s="189" t="s">
        <v>94</v>
      </c>
    </row>
    <row r="875" customFormat="false" ht="15" hidden="false" customHeight="false" outlineLevel="0" collapsed="false">
      <c r="A875" s="197"/>
      <c r="B875" s="191"/>
      <c r="C875" s="190" t="s">
        <v>736</v>
      </c>
      <c r="D875" s="191" t="n">
        <v>554899263876</v>
      </c>
      <c r="E875" s="190" t="s">
        <v>5257</v>
      </c>
      <c r="F875" s="192" t="n">
        <f aca="false">SUMIF(ENTRADAS!F:F,CLIENTES_PCBR[[#This Row],[TELEFONO]],ENTRADAS!C:C)</f>
        <v>280</v>
      </c>
      <c r="G875" s="189" t="s">
        <v>94</v>
      </c>
    </row>
    <row r="876" customFormat="false" ht="15" hidden="false" customHeight="false" outlineLevel="0" collapsed="false">
      <c r="A876" s="197"/>
      <c r="B876" s="191"/>
      <c r="C876" s="190" t="s">
        <v>5258</v>
      </c>
      <c r="D876" s="191" t="n">
        <v>559484213056</v>
      </c>
      <c r="E876" s="190" t="s">
        <v>5259</v>
      </c>
      <c r="F876" s="192" t="n">
        <f aca="false">SUMIF(ENTRADAS!F:F,CLIENTES_PCBR[[#This Row],[TELEFONO]],ENTRADAS!C:C)</f>
        <v>0</v>
      </c>
      <c r="G876" s="189" t="s">
        <v>94</v>
      </c>
    </row>
    <row r="877" customFormat="false" ht="15" hidden="false" customHeight="false" outlineLevel="0" collapsed="false">
      <c r="A877" s="197"/>
      <c r="B877" s="191"/>
      <c r="C877" s="190" t="s">
        <v>5260</v>
      </c>
      <c r="D877" s="191" t="n">
        <v>554195584585</v>
      </c>
      <c r="E877" s="190" t="s">
        <v>5142</v>
      </c>
      <c r="F877" s="192" t="n">
        <f aca="false">SUMIF(ENTRADAS!F:F,CLIENTES_PCBR[[#This Row],[TELEFONO]],ENTRADAS!C:C)</f>
        <v>0</v>
      </c>
      <c r="G877" s="189" t="s">
        <v>94</v>
      </c>
    </row>
    <row r="878" customFormat="false" ht="15" hidden="false" customHeight="false" outlineLevel="0" collapsed="false">
      <c r="A878" s="197"/>
      <c r="B878" s="191"/>
      <c r="C878" s="190" t="s">
        <v>5261</v>
      </c>
      <c r="D878" s="191" t="n">
        <v>554796854298</v>
      </c>
      <c r="E878" s="190" t="s">
        <v>5262</v>
      </c>
      <c r="F878" s="192" t="n">
        <f aca="false">SUMIF(ENTRADAS!F:F,CLIENTES_PCBR[[#This Row],[TELEFONO]],ENTRADAS!C:C)</f>
        <v>0</v>
      </c>
      <c r="G878" s="189" t="s">
        <v>94</v>
      </c>
    </row>
    <row r="879" customFormat="false" ht="15" hidden="false" customHeight="false" outlineLevel="0" collapsed="false">
      <c r="A879" s="197"/>
      <c r="B879" s="191"/>
      <c r="C879" s="190" t="s">
        <v>4873</v>
      </c>
      <c r="D879" s="191" t="n">
        <v>5353193898</v>
      </c>
      <c r="E879" s="190" t="s">
        <v>4874</v>
      </c>
      <c r="F879" s="192" t="n">
        <f aca="false">SUMIF(ENTRADAS!F:F,CLIENTES_PCBR[[#This Row],[TELEFONO]],ENTRADAS!C:C)</f>
        <v>0</v>
      </c>
      <c r="G879" s="189" t="s">
        <v>94</v>
      </c>
    </row>
    <row r="880" customFormat="false" ht="15" hidden="false" customHeight="false" outlineLevel="0" collapsed="false">
      <c r="A880" s="197"/>
      <c r="B880" s="191"/>
      <c r="C880" s="190" t="s">
        <v>5263</v>
      </c>
      <c r="D880" s="191" t="n">
        <v>554195029764</v>
      </c>
      <c r="E880" s="190" t="s">
        <v>5264</v>
      </c>
      <c r="F880" s="192" t="n">
        <f aca="false">SUMIF(ENTRADAS!F:F,CLIENTES_PCBR[[#This Row],[TELEFONO]],ENTRADAS!C:C)</f>
        <v>0</v>
      </c>
      <c r="G880" s="189" t="s">
        <v>94</v>
      </c>
    </row>
    <row r="881" customFormat="false" ht="15" hidden="false" customHeight="false" outlineLevel="0" collapsed="false">
      <c r="A881" s="197"/>
      <c r="B881" s="191"/>
      <c r="C881" s="190" t="s">
        <v>5265</v>
      </c>
      <c r="D881" s="191" t="n">
        <v>554187119513</v>
      </c>
      <c r="E881" s="190" t="s">
        <v>5266</v>
      </c>
      <c r="F881" s="192" t="n">
        <f aca="false">SUMIF(ENTRADAS!F:F,CLIENTES_PCBR[[#This Row],[TELEFONO]],ENTRADAS!C:C)</f>
        <v>0</v>
      </c>
      <c r="G881" s="189" t="s">
        <v>94</v>
      </c>
    </row>
    <row r="882" customFormat="false" ht="15" hidden="false" customHeight="false" outlineLevel="0" collapsed="false">
      <c r="A882" s="197"/>
      <c r="B882" s="191"/>
      <c r="C882" s="190" t="s">
        <v>5267</v>
      </c>
      <c r="D882" s="191" t="n">
        <v>5516996509113</v>
      </c>
      <c r="E882" s="190" t="s">
        <v>5268</v>
      </c>
      <c r="F882" s="192" t="n">
        <f aca="false">SUMIF(ENTRADAS!F:F,CLIENTES_PCBR[[#This Row],[TELEFONO]],ENTRADAS!C:C)</f>
        <v>0</v>
      </c>
      <c r="G882" s="189" t="s">
        <v>94</v>
      </c>
    </row>
    <row r="883" customFormat="false" ht="15" hidden="false" customHeight="false" outlineLevel="0" collapsed="false">
      <c r="A883" s="197"/>
      <c r="B883" s="191"/>
      <c r="C883" s="190" t="s">
        <v>5269</v>
      </c>
      <c r="D883" s="191" t="n">
        <v>554199212438</v>
      </c>
      <c r="E883" s="190" t="s">
        <v>5270</v>
      </c>
      <c r="F883" s="192" t="n">
        <f aca="false">SUMIF(ENTRADAS!F:F,CLIENTES_PCBR[[#This Row],[TELEFONO]],ENTRADAS!C:C)</f>
        <v>0</v>
      </c>
      <c r="G883" s="189" t="s">
        <v>94</v>
      </c>
    </row>
    <row r="884" customFormat="false" ht="15" hidden="false" customHeight="false" outlineLevel="0" collapsed="false">
      <c r="A884" s="197"/>
      <c r="B884" s="191"/>
      <c r="C884" s="190" t="s">
        <v>5271</v>
      </c>
      <c r="D884" s="191" t="n">
        <v>554888762884</v>
      </c>
      <c r="F884" s="192" t="n">
        <f aca="false">SUMIF(ENTRADAS!F:F,CLIENTES_PCBR[[#This Row],[TELEFONO]],ENTRADAS!C:C)</f>
        <v>0</v>
      </c>
      <c r="G884" s="189" t="s">
        <v>94</v>
      </c>
    </row>
    <row r="885" customFormat="false" ht="15" hidden="false" customHeight="false" outlineLevel="0" collapsed="false">
      <c r="A885" s="197"/>
      <c r="B885" s="191"/>
      <c r="C885" s="190" t="s">
        <v>5272</v>
      </c>
      <c r="D885" s="191" t="n">
        <v>554199426676</v>
      </c>
      <c r="E885" s="190" t="s">
        <v>5273</v>
      </c>
      <c r="F885" s="192" t="n">
        <f aca="false">SUMIF(ENTRADAS!F:F,CLIENTES_PCBR[[#This Row],[TELEFONO]],ENTRADAS!C:C)</f>
        <v>0</v>
      </c>
      <c r="G885" s="189" t="s">
        <v>94</v>
      </c>
    </row>
    <row r="886" customFormat="false" ht="15" hidden="false" customHeight="false" outlineLevel="0" collapsed="false">
      <c r="A886" s="197"/>
      <c r="B886" s="191"/>
      <c r="C886" s="190" t="s">
        <v>1498</v>
      </c>
      <c r="D886" s="191" t="n">
        <v>554185252121</v>
      </c>
      <c r="E886" s="190" t="s">
        <v>1499</v>
      </c>
      <c r="F886" s="192" t="n">
        <f aca="false">SUMIF(ENTRADAS!F:F,CLIENTES_PCBR[[#This Row],[TELEFONO]],ENTRADAS!C:C)</f>
        <v>180</v>
      </c>
      <c r="G886" s="189" t="s">
        <v>94</v>
      </c>
    </row>
    <row r="887" customFormat="false" ht="15" hidden="false" customHeight="false" outlineLevel="0" collapsed="false">
      <c r="A887" s="197"/>
      <c r="B887" s="191"/>
      <c r="C887" s="190" t="s">
        <v>5274</v>
      </c>
      <c r="D887" s="191" t="n">
        <v>554198499504</v>
      </c>
      <c r="E887" s="190" t="s">
        <v>5275</v>
      </c>
      <c r="F887" s="192" t="n">
        <f aca="false">SUMIF(ENTRADAS!F:F,CLIENTES_PCBR[[#This Row],[TELEFONO]],ENTRADAS!C:C)</f>
        <v>0</v>
      </c>
      <c r="G887" s="189" t="s">
        <v>94</v>
      </c>
    </row>
    <row r="888" customFormat="false" ht="15" hidden="false" customHeight="false" outlineLevel="0" collapsed="false">
      <c r="A888" s="197"/>
      <c r="B888" s="191"/>
      <c r="C888" s="190" t="s">
        <v>5276</v>
      </c>
      <c r="D888" s="191" t="n">
        <v>554187487769</v>
      </c>
      <c r="F888" s="192" t="n">
        <f aca="false">SUMIF(ENTRADAS!F:F,CLIENTES_PCBR[[#This Row],[TELEFONO]],ENTRADAS!C:C)</f>
        <v>400</v>
      </c>
      <c r="G888" s="189" t="s">
        <v>94</v>
      </c>
    </row>
    <row r="889" customFormat="false" ht="15" hidden="false" customHeight="false" outlineLevel="0" collapsed="false">
      <c r="A889" s="197"/>
      <c r="B889" s="191"/>
      <c r="C889" s="190" t="s">
        <v>5277</v>
      </c>
      <c r="D889" s="191" t="n">
        <v>5353338042</v>
      </c>
      <c r="E889" s="190" t="s">
        <v>5278</v>
      </c>
      <c r="F889" s="192" t="n">
        <f aca="false">SUMIF(ENTRADAS!F:F,CLIENTES_PCBR[[#This Row],[TELEFONO]],ENTRADAS!C:C)</f>
        <v>0</v>
      </c>
      <c r="G889" s="189" t="s">
        <v>94</v>
      </c>
    </row>
    <row r="890" customFormat="false" ht="15" hidden="false" customHeight="false" outlineLevel="0" collapsed="false">
      <c r="A890" s="197"/>
      <c r="B890" s="191"/>
      <c r="C890" s="190" t="s">
        <v>5279</v>
      </c>
      <c r="D890" s="191" t="n">
        <v>554784801106</v>
      </c>
      <c r="E890" s="190" t="s">
        <v>5280</v>
      </c>
      <c r="F890" s="192" t="n">
        <f aca="false">SUMIF(ENTRADAS!F:F,CLIENTES_PCBR[[#This Row],[TELEFONO]],ENTRADAS!C:C)</f>
        <v>0</v>
      </c>
      <c r="G890" s="189" t="s">
        <v>94</v>
      </c>
    </row>
    <row r="891" customFormat="false" ht="15" hidden="false" customHeight="false" outlineLevel="0" collapsed="false">
      <c r="A891" s="197"/>
      <c r="B891" s="191"/>
      <c r="C891" s="190" t="s">
        <v>5281</v>
      </c>
      <c r="D891" s="191" t="n">
        <v>554198557840</v>
      </c>
      <c r="E891" s="190" t="s">
        <v>5282</v>
      </c>
      <c r="F891" s="192" t="n">
        <f aca="false">SUMIF(ENTRADAS!F:F,CLIENTES_PCBR[[#This Row],[TELEFONO]],ENTRADAS!C:C)</f>
        <v>0</v>
      </c>
      <c r="G891" s="189" t="s">
        <v>94</v>
      </c>
    </row>
    <row r="892" customFormat="false" ht="15" hidden="false" customHeight="false" outlineLevel="0" collapsed="false">
      <c r="A892" s="197"/>
      <c r="B892" s="191"/>
      <c r="C892" s="190" t="s">
        <v>5283</v>
      </c>
      <c r="D892" s="191" t="n">
        <v>5519999848095</v>
      </c>
      <c r="E892" s="190" t="s">
        <v>5284</v>
      </c>
      <c r="F892" s="192" t="n">
        <f aca="false">SUMIF(ENTRADAS!F:F,CLIENTES_PCBR[[#This Row],[TELEFONO]],ENTRADAS!C:C)</f>
        <v>0</v>
      </c>
      <c r="G892" s="189" t="s">
        <v>94</v>
      </c>
    </row>
    <row r="893" customFormat="false" ht="15" hidden="false" customHeight="false" outlineLevel="0" collapsed="false">
      <c r="A893" s="197"/>
      <c r="B893" s="191"/>
      <c r="C893" s="190" t="s">
        <v>5285</v>
      </c>
      <c r="D893" s="191" t="n">
        <v>554195471379</v>
      </c>
      <c r="E893" s="190" t="s">
        <v>5286</v>
      </c>
      <c r="F893" s="192" t="n">
        <f aca="false">SUMIF(ENTRADAS!F:F,CLIENTES_PCBR[[#This Row],[TELEFONO]],ENTRADAS!C:C)</f>
        <v>0</v>
      </c>
      <c r="G893" s="189" t="s">
        <v>94</v>
      </c>
    </row>
    <row r="894" customFormat="false" ht="15" hidden="false" customHeight="false" outlineLevel="0" collapsed="false">
      <c r="A894" s="197"/>
      <c r="B894" s="191"/>
      <c r="C894" s="190" t="s">
        <v>5287</v>
      </c>
      <c r="D894" s="191" t="n">
        <v>554195269859</v>
      </c>
      <c r="E894" s="190" t="s">
        <v>5288</v>
      </c>
      <c r="F894" s="192" t="n">
        <f aca="false">SUMIF(ENTRADAS!F:F,CLIENTES_PCBR[[#This Row],[TELEFONO]],ENTRADAS!C:C)</f>
        <v>0</v>
      </c>
      <c r="G894" s="189" t="s">
        <v>94</v>
      </c>
    </row>
    <row r="895" customFormat="false" ht="15" hidden="false" customHeight="false" outlineLevel="0" collapsed="false">
      <c r="A895" s="197"/>
      <c r="B895" s="191"/>
      <c r="C895" s="190" t="s">
        <v>1768</v>
      </c>
      <c r="D895" s="191" t="n">
        <v>554796557384</v>
      </c>
      <c r="E895" s="190" t="s">
        <v>1769</v>
      </c>
      <c r="F895" s="192" t="n">
        <f aca="false">SUMIF(ENTRADAS!F:F,CLIENTES_PCBR[[#This Row],[TELEFONO]],ENTRADAS!C:C)</f>
        <v>240</v>
      </c>
      <c r="G895" s="189" t="s">
        <v>94</v>
      </c>
    </row>
    <row r="896" customFormat="false" ht="15" hidden="false" customHeight="false" outlineLevel="0" collapsed="false">
      <c r="A896" s="197"/>
      <c r="B896" s="191"/>
      <c r="C896" s="190" t="s">
        <v>1278</v>
      </c>
      <c r="D896" s="191" t="n">
        <v>5527988445838</v>
      </c>
      <c r="E896" s="190" t="s">
        <v>1279</v>
      </c>
      <c r="F896" s="192" t="n">
        <f aca="false">SUMIF(ENTRADAS!F:F,CLIENTES_PCBR[[#This Row],[TELEFONO]],ENTRADAS!C:C)</f>
        <v>200</v>
      </c>
      <c r="G896" s="189" t="s">
        <v>94</v>
      </c>
    </row>
    <row r="897" customFormat="false" ht="15" hidden="false" customHeight="false" outlineLevel="0" collapsed="false">
      <c r="A897" s="197"/>
      <c r="B897" s="191"/>
      <c r="C897" s="190" t="s">
        <v>5289</v>
      </c>
      <c r="D897" s="191" t="n">
        <v>5511988938423</v>
      </c>
      <c r="E897" s="190" t="s">
        <v>5290</v>
      </c>
      <c r="F897" s="192" t="n">
        <f aca="false">SUMIF(ENTRADAS!F:F,CLIENTES_PCBR[[#This Row],[TELEFONO]],ENTRADAS!C:C)</f>
        <v>0</v>
      </c>
      <c r="G897" s="189" t="s">
        <v>94</v>
      </c>
    </row>
    <row r="898" customFormat="false" ht="15" hidden="false" customHeight="false" outlineLevel="0" collapsed="false">
      <c r="A898" s="197"/>
      <c r="B898" s="191"/>
      <c r="C898" s="190" t="s">
        <v>5291</v>
      </c>
      <c r="D898" s="191" t="n">
        <v>559887807209</v>
      </c>
      <c r="E898" s="190" t="s">
        <v>5292</v>
      </c>
      <c r="F898" s="192" t="n">
        <f aca="false">SUMIF(ENTRADAS!F:F,CLIENTES_PCBR[[#This Row],[TELEFONO]],ENTRADAS!C:C)</f>
        <v>0</v>
      </c>
      <c r="G898" s="189" t="s">
        <v>94</v>
      </c>
    </row>
    <row r="899" customFormat="false" ht="15" hidden="false" customHeight="false" outlineLevel="0" collapsed="false">
      <c r="A899" s="197"/>
      <c r="B899" s="191"/>
      <c r="C899" s="190" t="s">
        <v>5293</v>
      </c>
      <c r="D899" s="191" t="n">
        <v>5516996139465</v>
      </c>
      <c r="E899" s="190" t="s">
        <v>5294</v>
      </c>
      <c r="F899" s="192" t="n">
        <f aca="false">SUMIF(ENTRADAS!F:F,CLIENTES_PCBR[[#This Row],[TELEFONO]],ENTRADAS!C:C)</f>
        <v>0</v>
      </c>
      <c r="G899" s="189" t="s">
        <v>94</v>
      </c>
    </row>
    <row r="900" customFormat="false" ht="15" hidden="false" customHeight="false" outlineLevel="0" collapsed="false">
      <c r="A900" s="197"/>
      <c r="B900" s="191"/>
      <c r="C900" s="190" t="s">
        <v>5295</v>
      </c>
      <c r="D900" s="191" t="n">
        <v>5511970780168</v>
      </c>
      <c r="E900" s="190" t="s">
        <v>829</v>
      </c>
      <c r="F900" s="192" t="n">
        <f aca="false">SUMIF(ENTRADAS!F:F,CLIENTES_PCBR[[#This Row],[TELEFONO]],ENTRADAS!C:C)</f>
        <v>120</v>
      </c>
      <c r="G900" s="189" t="s">
        <v>94</v>
      </c>
    </row>
    <row r="901" customFormat="false" ht="15" hidden="false" customHeight="false" outlineLevel="0" collapsed="false">
      <c r="A901" s="197"/>
      <c r="B901" s="191"/>
      <c r="C901" s="190" t="s">
        <v>5296</v>
      </c>
      <c r="D901" s="191" t="n">
        <v>555492480464</v>
      </c>
      <c r="E901" s="190" t="s">
        <v>5297</v>
      </c>
      <c r="F901" s="192" t="n">
        <f aca="false">SUMIF(ENTRADAS!F:F,CLIENTES_PCBR[[#This Row],[TELEFONO]],ENTRADAS!C:C)</f>
        <v>0</v>
      </c>
      <c r="G901" s="189" t="s">
        <v>94</v>
      </c>
    </row>
    <row r="902" customFormat="false" ht="15" hidden="false" customHeight="false" outlineLevel="0" collapsed="false">
      <c r="A902" s="197"/>
      <c r="B902" s="191"/>
      <c r="C902" s="190" t="s">
        <v>5298</v>
      </c>
      <c r="D902" s="191" t="n">
        <v>554195235388</v>
      </c>
      <c r="E902" s="190" t="s">
        <v>5299</v>
      </c>
      <c r="F902" s="192" t="n">
        <f aca="false">SUMIF(ENTRADAS!F:F,CLIENTES_PCBR[[#This Row],[TELEFONO]],ENTRADAS!C:C)</f>
        <v>0</v>
      </c>
      <c r="G902" s="189" t="s">
        <v>94</v>
      </c>
    </row>
    <row r="903" customFormat="false" ht="15" hidden="false" customHeight="false" outlineLevel="0" collapsed="false">
      <c r="A903" s="197"/>
      <c r="B903" s="191"/>
      <c r="C903" s="190" t="s">
        <v>1097</v>
      </c>
      <c r="D903" s="191" t="n">
        <v>554796011911</v>
      </c>
      <c r="E903" s="190" t="s">
        <v>1098</v>
      </c>
      <c r="F903" s="192" t="n">
        <f aca="false">SUMIF(ENTRADAS!F:F,CLIENTES_PCBR[[#This Row],[TELEFONO]],ENTRADAS!C:C)</f>
        <v>97</v>
      </c>
      <c r="G903" s="189" t="s">
        <v>94</v>
      </c>
    </row>
    <row r="904" customFormat="false" ht="15" hidden="false" customHeight="false" outlineLevel="0" collapsed="false">
      <c r="A904" s="197"/>
      <c r="B904" s="191"/>
      <c r="C904" s="190" t="s">
        <v>5300</v>
      </c>
      <c r="D904" s="191" t="n">
        <v>554796359160</v>
      </c>
      <c r="E904" s="190" t="s">
        <v>5301</v>
      </c>
      <c r="F904" s="192" t="n">
        <f aca="false">SUMIF(ENTRADAS!F:F,CLIENTES_PCBR[[#This Row],[TELEFONO]],ENTRADAS!C:C)</f>
        <v>0</v>
      </c>
      <c r="G904" s="189" t="s">
        <v>94</v>
      </c>
    </row>
    <row r="905" customFormat="false" ht="15" hidden="false" customHeight="false" outlineLevel="0" collapsed="false">
      <c r="A905" s="197"/>
      <c r="B905" s="191"/>
      <c r="C905" s="190" t="s">
        <v>5302</v>
      </c>
      <c r="D905" s="191" t="n">
        <v>554899681698</v>
      </c>
      <c r="E905" s="190" t="s">
        <v>5303</v>
      </c>
      <c r="F905" s="192" t="n">
        <f aca="false">SUMIF(ENTRADAS!F:F,CLIENTES_PCBR[[#This Row],[TELEFONO]],ENTRADAS!C:C)</f>
        <v>0</v>
      </c>
      <c r="G905" s="189" t="s">
        <v>94</v>
      </c>
    </row>
    <row r="906" customFormat="false" ht="15" hidden="false" customHeight="false" outlineLevel="0" collapsed="false">
      <c r="A906" s="197"/>
      <c r="B906" s="191"/>
      <c r="C906" s="190" t="s">
        <v>5304</v>
      </c>
      <c r="D906" s="191" t="n">
        <v>559584395730</v>
      </c>
      <c r="E906" s="190" t="s">
        <v>5305</v>
      </c>
      <c r="F906" s="192" t="n">
        <f aca="false">SUMIF(ENTRADAS!F:F,CLIENTES_PCBR[[#This Row],[TELEFONO]],ENTRADAS!C:C)</f>
        <v>0</v>
      </c>
      <c r="G906" s="189" t="s">
        <v>94</v>
      </c>
    </row>
    <row r="907" customFormat="false" ht="15" hidden="false" customHeight="false" outlineLevel="0" collapsed="false">
      <c r="A907" s="197"/>
      <c r="B907" s="191"/>
      <c r="C907" s="190" t="s">
        <v>5306</v>
      </c>
      <c r="D907" s="191" t="n">
        <v>559584222626</v>
      </c>
      <c r="E907" s="190" t="s">
        <v>5307</v>
      </c>
      <c r="F907" s="192" t="n">
        <f aca="false">SUMIF(ENTRADAS!F:F,CLIENTES_PCBR[[#This Row],[TELEFONO]],ENTRADAS!C:C)</f>
        <v>0</v>
      </c>
      <c r="G907" s="189" t="s">
        <v>94</v>
      </c>
    </row>
    <row r="908" customFormat="false" ht="15" hidden="false" customHeight="false" outlineLevel="0" collapsed="false">
      <c r="A908" s="197"/>
      <c r="B908" s="191"/>
      <c r="C908" s="190" t="s">
        <v>5308</v>
      </c>
      <c r="D908" s="191" t="n">
        <v>51985649299</v>
      </c>
      <c r="E908" s="190" t="s">
        <v>5309</v>
      </c>
      <c r="F908" s="192" t="n">
        <f aca="false">SUMIF(ENTRADAS!F:F,CLIENTES_PCBR[[#This Row],[TELEFONO]],ENTRADAS!C:C)</f>
        <v>0</v>
      </c>
      <c r="G908" s="189" t="s">
        <v>94</v>
      </c>
    </row>
    <row r="909" customFormat="false" ht="15" hidden="false" customHeight="false" outlineLevel="0" collapsed="false">
      <c r="A909" s="197"/>
      <c r="B909" s="191"/>
      <c r="C909" s="190" t="s">
        <v>5310</v>
      </c>
      <c r="D909" s="191" t="n">
        <v>5511940079638</v>
      </c>
      <c r="E909" s="190" t="s">
        <v>5311</v>
      </c>
      <c r="F909" s="192" t="n">
        <f aca="false">SUMIF(ENTRADAS!F:F,CLIENTES_PCBR[[#This Row],[TELEFONO]],ENTRADAS!C:C)</f>
        <v>0</v>
      </c>
      <c r="G909" s="189" t="s">
        <v>94</v>
      </c>
    </row>
    <row r="910" customFormat="false" ht="15" hidden="false" customHeight="false" outlineLevel="0" collapsed="false">
      <c r="A910" s="197"/>
      <c r="B910" s="191"/>
      <c r="C910" s="190" t="s">
        <v>5312</v>
      </c>
      <c r="D910" s="191" t="n">
        <v>5514998684574</v>
      </c>
      <c r="E910" s="190" t="s">
        <v>5313</v>
      </c>
      <c r="F910" s="192" t="n">
        <f aca="false">SUMIF(ENTRADAS!F:F,CLIENTES_PCBR[[#This Row],[TELEFONO]],ENTRADAS!C:C)</f>
        <v>0</v>
      </c>
      <c r="G910" s="189" t="s">
        <v>94</v>
      </c>
    </row>
    <row r="911" customFormat="false" ht="15" hidden="false" customHeight="false" outlineLevel="0" collapsed="false">
      <c r="A911" s="197"/>
      <c r="B911" s="191"/>
      <c r="C911" s="190" t="s">
        <v>5314</v>
      </c>
      <c r="D911" s="191" t="n">
        <v>554888029844</v>
      </c>
      <c r="F911" s="192" t="n">
        <f aca="false">SUMIF(ENTRADAS!F:F,CLIENTES_PCBR[[#This Row],[TELEFONO]],ENTRADAS!C:C)</f>
        <v>0</v>
      </c>
      <c r="G911" s="189" t="s">
        <v>94</v>
      </c>
    </row>
    <row r="912" customFormat="false" ht="15" hidden="false" customHeight="false" outlineLevel="0" collapsed="false">
      <c r="A912" s="197"/>
      <c r="B912" s="191"/>
      <c r="C912" s="190" t="s">
        <v>5315</v>
      </c>
      <c r="D912" s="191" t="n">
        <v>559574004934</v>
      </c>
      <c r="F912" s="192" t="n">
        <f aca="false">SUMIF(ENTRADAS!F:F,CLIENTES_PCBR[[#This Row],[TELEFONO]],ENTRADAS!C:C)</f>
        <v>0</v>
      </c>
      <c r="G912" s="189" t="s">
        <v>94</v>
      </c>
    </row>
    <row r="913" customFormat="false" ht="15" hidden="false" customHeight="false" outlineLevel="0" collapsed="false">
      <c r="A913" s="197"/>
      <c r="B913" s="191"/>
      <c r="C913" s="190" t="s">
        <v>5316</v>
      </c>
      <c r="D913" s="191" t="n">
        <v>559584290093</v>
      </c>
      <c r="E913" s="190" t="s">
        <v>5317</v>
      </c>
      <c r="F913" s="192" t="n">
        <f aca="false">SUMIF(ENTRADAS!F:F,CLIENTES_PCBR[[#This Row],[TELEFONO]],ENTRADAS!C:C)</f>
        <v>0</v>
      </c>
      <c r="G913" s="189" t="s">
        <v>94</v>
      </c>
    </row>
    <row r="914" customFormat="false" ht="15" hidden="false" customHeight="false" outlineLevel="0" collapsed="false">
      <c r="A914" s="197"/>
      <c r="B914" s="191"/>
      <c r="C914" s="190" t="s">
        <v>5318</v>
      </c>
      <c r="D914" s="191" t="n">
        <v>5977696513</v>
      </c>
      <c r="E914" s="190" t="s">
        <v>5319</v>
      </c>
      <c r="F914" s="192" t="n">
        <f aca="false">SUMIF(ENTRADAS!F:F,CLIENTES_PCBR[[#This Row],[TELEFONO]],ENTRADAS!C:C)</f>
        <v>0</v>
      </c>
      <c r="G914" s="189" t="s">
        <v>94</v>
      </c>
    </row>
    <row r="915" customFormat="false" ht="15" hidden="false" customHeight="false" outlineLevel="0" collapsed="false">
      <c r="A915" s="197"/>
      <c r="B915" s="191"/>
      <c r="C915" s="190" t="s">
        <v>5320</v>
      </c>
      <c r="D915" s="191" t="n">
        <v>554198930608</v>
      </c>
      <c r="F915" s="192" t="n">
        <f aca="false">SUMIF(ENTRADAS!F:F,CLIENTES_PCBR[[#This Row],[TELEFONO]],ENTRADAS!C:C)</f>
        <v>0</v>
      </c>
      <c r="G915" s="189" t="s">
        <v>94</v>
      </c>
    </row>
    <row r="916" customFormat="false" ht="15" hidden="false" customHeight="false" outlineLevel="0" collapsed="false">
      <c r="A916" s="197"/>
      <c r="B916" s="191"/>
      <c r="C916" s="190" t="s">
        <v>5321</v>
      </c>
      <c r="D916" s="191" t="n">
        <v>554188983882</v>
      </c>
      <c r="E916" s="190" t="s">
        <v>5322</v>
      </c>
      <c r="F916" s="192" t="n">
        <f aca="false">SUMIF(ENTRADAS!F:F,CLIENTES_PCBR[[#This Row],[TELEFONO]],ENTRADAS!C:C)</f>
        <v>0</v>
      </c>
      <c r="G916" s="189" t="s">
        <v>94</v>
      </c>
    </row>
    <row r="917" customFormat="false" ht="15" hidden="false" customHeight="false" outlineLevel="0" collapsed="false">
      <c r="A917" s="197"/>
      <c r="B917" s="191"/>
      <c r="C917" s="190" t="s">
        <v>5323</v>
      </c>
      <c r="D917" s="191" t="n">
        <v>559584131526</v>
      </c>
      <c r="E917" s="190" t="s">
        <v>5324</v>
      </c>
      <c r="F917" s="192" t="n">
        <f aca="false">SUMIF(ENTRADAS!F:F,CLIENTES_PCBR[[#This Row],[TELEFONO]],ENTRADAS!C:C)</f>
        <v>0</v>
      </c>
      <c r="G917" s="189" t="s">
        <v>94</v>
      </c>
    </row>
    <row r="918" customFormat="false" ht="15" hidden="false" customHeight="false" outlineLevel="0" collapsed="false">
      <c r="A918" s="197"/>
      <c r="B918" s="191"/>
      <c r="C918" s="190" t="s">
        <v>5325</v>
      </c>
      <c r="D918" s="191" t="n">
        <v>554199155435</v>
      </c>
      <c r="E918" s="190" t="s">
        <v>5326</v>
      </c>
      <c r="F918" s="192" t="n">
        <f aca="false">SUMIF(ENTRADAS!F:F,CLIENTES_PCBR[[#This Row],[TELEFONO]],ENTRADAS!C:C)</f>
        <v>0</v>
      </c>
      <c r="G918" s="189" t="s">
        <v>94</v>
      </c>
    </row>
    <row r="919" customFormat="false" ht="15" hidden="false" customHeight="false" outlineLevel="0" collapsed="false">
      <c r="A919" s="197"/>
      <c r="B919" s="191"/>
      <c r="C919" s="190" t="s">
        <v>5327</v>
      </c>
      <c r="D919" s="191" t="n">
        <v>559584111530</v>
      </c>
      <c r="F919" s="192" t="n">
        <f aca="false">SUMIF(ENTRADAS!F:F,CLIENTES_PCBR[[#This Row],[TELEFONO]],ENTRADAS!C:C)</f>
        <v>0</v>
      </c>
      <c r="G919" s="189" t="s">
        <v>94</v>
      </c>
    </row>
    <row r="920" customFormat="false" ht="15" hidden="false" customHeight="false" outlineLevel="0" collapsed="false">
      <c r="A920" s="197"/>
      <c r="B920" s="191"/>
      <c r="C920" s="190" t="s">
        <v>5328</v>
      </c>
      <c r="D920" s="191" t="n">
        <v>554196970139</v>
      </c>
      <c r="E920" s="190" t="s">
        <v>5329</v>
      </c>
      <c r="F920" s="192" t="n">
        <f aca="false">SUMIF(ENTRADAS!F:F,CLIENTES_PCBR[[#This Row],[TELEFONO]],ENTRADAS!C:C)</f>
        <v>0</v>
      </c>
      <c r="G920" s="189" t="s">
        <v>94</v>
      </c>
    </row>
    <row r="921" customFormat="false" ht="15" hidden="false" customHeight="false" outlineLevel="0" collapsed="false">
      <c r="A921" s="197"/>
      <c r="B921" s="191"/>
      <c r="C921" s="190" t="s">
        <v>53</v>
      </c>
      <c r="D921" s="191" t="n">
        <v>553798577114</v>
      </c>
      <c r="F921" s="192" t="n">
        <f aca="false">SUMIF(ENTRADAS!F:F,CLIENTES_PCBR[[#This Row],[TELEFONO]],ENTRADAS!C:C)</f>
        <v>80</v>
      </c>
      <c r="G921" s="189" t="s">
        <v>94</v>
      </c>
    </row>
    <row r="922" customFormat="false" ht="15" hidden="false" customHeight="false" outlineLevel="0" collapsed="false">
      <c r="A922" s="197"/>
      <c r="B922" s="191"/>
      <c r="C922" s="190" t="s">
        <v>5330</v>
      </c>
      <c r="D922" s="191" t="n">
        <v>5354590519</v>
      </c>
      <c r="E922" s="190" t="s">
        <v>5331</v>
      </c>
      <c r="F922" s="192" t="n">
        <f aca="false">SUMIF(ENTRADAS!F:F,CLIENTES_PCBR[[#This Row],[TELEFONO]],ENTRADAS!C:C)</f>
        <v>0</v>
      </c>
      <c r="G922" s="189" t="s">
        <v>94</v>
      </c>
    </row>
    <row r="923" customFormat="false" ht="15" hidden="false" customHeight="false" outlineLevel="0" collapsed="false">
      <c r="A923" s="197"/>
      <c r="B923" s="191"/>
      <c r="C923" s="190" t="s">
        <v>5332</v>
      </c>
      <c r="D923" s="191" t="n">
        <v>559684320631</v>
      </c>
      <c r="E923" s="190" t="s">
        <v>5333</v>
      </c>
      <c r="F923" s="192" t="n">
        <f aca="false">SUMIF(ENTRADAS!F:F,CLIENTES_PCBR[[#This Row],[TELEFONO]],ENTRADAS!C:C)</f>
        <v>0</v>
      </c>
      <c r="G923" s="189" t="s">
        <v>94</v>
      </c>
    </row>
    <row r="924" customFormat="false" ht="15" hidden="false" customHeight="false" outlineLevel="0" collapsed="false">
      <c r="A924" s="197"/>
      <c r="B924" s="191"/>
      <c r="C924" s="190" t="s">
        <v>5334</v>
      </c>
      <c r="D924" s="191" t="n">
        <v>5353663504</v>
      </c>
      <c r="E924" s="190" t="s">
        <v>5335</v>
      </c>
      <c r="F924" s="192" t="n">
        <f aca="false">SUMIF(ENTRADAS!F:F,CLIENTES_PCBR[[#This Row],[TELEFONO]],ENTRADAS!C:C)</f>
        <v>0</v>
      </c>
      <c r="G924" s="189" t="s">
        <v>94</v>
      </c>
    </row>
    <row r="925" customFormat="false" ht="15" hidden="false" customHeight="false" outlineLevel="0" collapsed="false">
      <c r="A925" s="197"/>
      <c r="B925" s="191"/>
      <c r="C925" s="190" t="s">
        <v>5336</v>
      </c>
      <c r="D925" s="191" t="n">
        <v>554199094162</v>
      </c>
      <c r="E925" s="190" t="s">
        <v>5337</v>
      </c>
      <c r="F925" s="192" t="n">
        <f aca="false">SUMIF(ENTRADAS!F:F,CLIENTES_PCBR[[#This Row],[TELEFONO]],ENTRADAS!C:C)</f>
        <v>0</v>
      </c>
      <c r="G925" s="189" t="s">
        <v>94</v>
      </c>
    </row>
    <row r="926" customFormat="false" ht="15" hidden="false" customHeight="false" outlineLevel="0" collapsed="false">
      <c r="A926" s="197"/>
      <c r="B926" s="191"/>
      <c r="C926" s="190" t="s">
        <v>5338</v>
      </c>
      <c r="D926" s="191" t="n">
        <v>554192473931</v>
      </c>
      <c r="E926" s="190" t="s">
        <v>5339</v>
      </c>
      <c r="F926" s="192" t="n">
        <f aca="false">SUMIF(ENTRADAS!F:F,CLIENTES_PCBR[[#This Row],[TELEFONO]],ENTRADAS!C:C)</f>
        <v>0</v>
      </c>
      <c r="G926" s="189" t="s">
        <v>94</v>
      </c>
    </row>
    <row r="927" customFormat="false" ht="15" hidden="false" customHeight="false" outlineLevel="0" collapsed="false">
      <c r="A927" s="197"/>
      <c r="B927" s="191"/>
      <c r="C927" s="190" t="s">
        <v>5340</v>
      </c>
      <c r="D927" s="191" t="n">
        <v>558899155871</v>
      </c>
      <c r="E927" s="190" t="s">
        <v>510</v>
      </c>
      <c r="F927" s="192" t="n">
        <f aca="false">SUMIF(ENTRADAS!F:F,CLIENTES_PCBR[[#This Row],[TELEFONO]],ENTRADAS!C:C)</f>
        <v>680</v>
      </c>
      <c r="G927" s="189" t="s">
        <v>94</v>
      </c>
    </row>
    <row r="928" customFormat="false" ht="15" hidden="false" customHeight="false" outlineLevel="0" collapsed="false">
      <c r="A928" s="197"/>
      <c r="B928" s="191"/>
      <c r="C928" s="190" t="s">
        <v>5341</v>
      </c>
      <c r="D928" s="191" t="n">
        <v>5511982701500</v>
      </c>
      <c r="E928" s="190" t="s">
        <v>5342</v>
      </c>
      <c r="F928" s="192" t="n">
        <f aca="false">SUMIF(ENTRADAS!F:F,CLIENTES_PCBR[[#This Row],[TELEFONO]],ENTRADAS!C:C)</f>
        <v>0</v>
      </c>
      <c r="G928" s="189" t="s">
        <v>94</v>
      </c>
    </row>
    <row r="929" customFormat="false" ht="15" hidden="false" customHeight="false" outlineLevel="0" collapsed="false">
      <c r="A929" s="197"/>
      <c r="B929" s="191"/>
      <c r="C929" s="190" t="s">
        <v>5343</v>
      </c>
      <c r="D929" s="191" t="n">
        <v>554197489393</v>
      </c>
      <c r="E929" s="190" t="s">
        <v>5344</v>
      </c>
      <c r="F929" s="192" t="n">
        <f aca="false">SUMIF(ENTRADAS!F:F,CLIENTES_PCBR[[#This Row],[TELEFONO]],ENTRADAS!C:C)</f>
        <v>0</v>
      </c>
      <c r="G929" s="189" t="s">
        <v>94</v>
      </c>
    </row>
    <row r="930" customFormat="false" ht="15" hidden="false" customHeight="false" outlineLevel="0" collapsed="false">
      <c r="A930" s="197"/>
      <c r="B930" s="191"/>
      <c r="C930" s="190" t="s">
        <v>5345</v>
      </c>
      <c r="D930" s="191" t="n">
        <v>554192258856</v>
      </c>
      <c r="E930" s="190" t="s">
        <v>5346</v>
      </c>
      <c r="F930" s="192" t="n">
        <f aca="false">SUMIF(ENTRADAS!F:F,CLIENTES_PCBR[[#This Row],[TELEFONO]],ENTRADAS!C:C)</f>
        <v>0</v>
      </c>
      <c r="G930" s="189" t="s">
        <v>94</v>
      </c>
    </row>
    <row r="931" customFormat="false" ht="15" hidden="false" customHeight="false" outlineLevel="0" collapsed="false">
      <c r="A931" s="197"/>
      <c r="B931" s="191"/>
      <c r="C931" s="190" t="s">
        <v>5347</v>
      </c>
      <c r="D931" s="191" t="n">
        <v>554891566372</v>
      </c>
      <c r="F931" s="192" t="n">
        <f aca="false">SUMIF(ENTRADAS!F:F,CLIENTES_PCBR[[#This Row],[TELEFONO]],ENTRADAS!C:C)</f>
        <v>0</v>
      </c>
      <c r="G931" s="189" t="s">
        <v>94</v>
      </c>
    </row>
    <row r="932" customFormat="false" ht="15" hidden="false" customHeight="false" outlineLevel="0" collapsed="false">
      <c r="A932" s="197"/>
      <c r="B932" s="191"/>
      <c r="C932" s="190" t="s">
        <v>1428</v>
      </c>
      <c r="D932" s="191" t="n">
        <v>50662127514</v>
      </c>
      <c r="E932" s="190" t="s">
        <v>5348</v>
      </c>
      <c r="F932" s="192" t="n">
        <f aca="false">SUMIF(ENTRADAS!F:F,CLIENTES_PCBR[[#This Row],[TELEFONO]],ENTRADAS!C:C)</f>
        <v>0</v>
      </c>
      <c r="G932" s="189" t="s">
        <v>94</v>
      </c>
    </row>
    <row r="933" customFormat="false" ht="15" hidden="false" customHeight="false" outlineLevel="0" collapsed="false">
      <c r="A933" s="197"/>
      <c r="B933" s="191"/>
      <c r="C933" s="190" t="s">
        <v>5349</v>
      </c>
      <c r="D933" s="191" t="n">
        <v>559584374965</v>
      </c>
      <c r="E933" s="190" t="s">
        <v>993</v>
      </c>
      <c r="F933" s="192" t="n">
        <f aca="false">SUMIF(ENTRADAS!F:F,CLIENTES_PCBR[[#This Row],[TELEFONO]],ENTRADAS!C:C)</f>
        <v>20</v>
      </c>
      <c r="G933" s="189" t="s">
        <v>94</v>
      </c>
    </row>
    <row r="934" customFormat="false" ht="15" hidden="false" customHeight="false" outlineLevel="0" collapsed="false">
      <c r="A934" s="197"/>
      <c r="B934" s="191"/>
      <c r="C934" s="190" t="s">
        <v>5350</v>
      </c>
      <c r="D934" s="191" t="n">
        <v>5350111184</v>
      </c>
      <c r="E934" s="190" t="s">
        <v>5351</v>
      </c>
      <c r="F934" s="192" t="n">
        <f aca="false">SUMIF(ENTRADAS!F:F,CLIENTES_PCBR[[#This Row],[TELEFONO]],ENTRADAS!C:C)</f>
        <v>0</v>
      </c>
      <c r="G934" s="189" t="s">
        <v>94</v>
      </c>
    </row>
    <row r="935" customFormat="false" ht="15" hidden="false" customHeight="false" outlineLevel="0" collapsed="false">
      <c r="A935" s="197"/>
      <c r="B935" s="191"/>
      <c r="C935" s="190" t="s">
        <v>5352</v>
      </c>
      <c r="D935" s="191" t="n">
        <v>559584222395</v>
      </c>
      <c r="E935" s="190" t="s">
        <v>5353</v>
      </c>
      <c r="F935" s="192" t="n">
        <f aca="false">SUMIF(ENTRADAS!F:F,CLIENTES_PCBR[[#This Row],[TELEFONO]],ENTRADAS!C:C)</f>
        <v>0</v>
      </c>
      <c r="G935" s="189" t="s">
        <v>94</v>
      </c>
    </row>
    <row r="936" customFormat="false" ht="15" hidden="false" customHeight="false" outlineLevel="0" collapsed="false">
      <c r="A936" s="197"/>
      <c r="B936" s="191"/>
      <c r="C936" s="190" t="s">
        <v>5354</v>
      </c>
      <c r="D936" s="191" t="n">
        <v>559584136118</v>
      </c>
      <c r="E936" s="190" t="s">
        <v>5355</v>
      </c>
      <c r="F936" s="192" t="n">
        <f aca="false">SUMIF(ENTRADAS!F:F,CLIENTES_PCBR[[#This Row],[TELEFONO]],ENTRADAS!C:C)</f>
        <v>0</v>
      </c>
      <c r="G936" s="189" t="s">
        <v>94</v>
      </c>
    </row>
    <row r="937" customFormat="false" ht="15" hidden="false" customHeight="false" outlineLevel="0" collapsed="false">
      <c r="A937" s="197"/>
      <c r="B937" s="191"/>
      <c r="C937" s="190" t="s">
        <v>5356</v>
      </c>
      <c r="D937" s="191" t="n">
        <v>5541995034629</v>
      </c>
      <c r="E937" s="190" t="s">
        <v>5357</v>
      </c>
      <c r="F937" s="192" t="n">
        <f aca="false">SUMIF(ENTRADAS!F:F,CLIENTES_PCBR[[#This Row],[TELEFONO]],ENTRADAS!C:C)</f>
        <v>0</v>
      </c>
      <c r="G937" s="189" t="s">
        <v>94</v>
      </c>
    </row>
    <row r="938" customFormat="false" ht="15" hidden="false" customHeight="false" outlineLevel="0" collapsed="false">
      <c r="A938" s="197"/>
      <c r="B938" s="191"/>
      <c r="C938" s="190" t="s">
        <v>380</v>
      </c>
      <c r="D938" s="191" t="n">
        <v>559584389502</v>
      </c>
      <c r="E938" s="190" t="s">
        <v>381</v>
      </c>
      <c r="F938" s="192" t="n">
        <f aca="false">SUMIF(ENTRADAS!F:F,CLIENTES_PCBR[[#This Row],[TELEFONO]],ENTRADAS!C:C)</f>
        <v>120</v>
      </c>
      <c r="G938" s="189" t="s">
        <v>94</v>
      </c>
    </row>
    <row r="939" customFormat="false" ht="15" hidden="false" customHeight="false" outlineLevel="0" collapsed="false">
      <c r="A939" s="197"/>
      <c r="B939" s="191"/>
      <c r="C939" s="190" t="s">
        <v>2302</v>
      </c>
      <c r="D939" s="191" t="n">
        <v>554195358551</v>
      </c>
      <c r="E939" s="190" t="s">
        <v>299</v>
      </c>
      <c r="F939" s="192" t="n">
        <f aca="false">SUMIF(ENTRADAS!F:F,CLIENTES_PCBR[[#This Row],[TELEFONO]],ENTRADAS!C:C)</f>
        <v>90</v>
      </c>
      <c r="G939" s="189" t="s">
        <v>94</v>
      </c>
    </row>
    <row r="940" customFormat="false" ht="15" hidden="false" customHeight="false" outlineLevel="0" collapsed="false">
      <c r="A940" s="197"/>
      <c r="B940" s="191"/>
      <c r="C940" s="190" t="s">
        <v>5358</v>
      </c>
      <c r="D940" s="191" t="n">
        <v>554195549449</v>
      </c>
      <c r="E940" s="190" t="s">
        <v>5359</v>
      </c>
      <c r="F940" s="192" t="n">
        <f aca="false">SUMIF(ENTRADAS!F:F,CLIENTES_PCBR[[#This Row],[TELEFONO]],ENTRADAS!C:C)</f>
        <v>0</v>
      </c>
      <c r="G940" s="189" t="s">
        <v>94</v>
      </c>
    </row>
    <row r="941" customFormat="false" ht="15" hidden="false" customHeight="false" outlineLevel="0" collapsed="false">
      <c r="A941" s="197"/>
      <c r="B941" s="191"/>
      <c r="C941" s="190" t="s">
        <v>5360</v>
      </c>
      <c r="D941" s="191" t="n">
        <v>554792744522</v>
      </c>
      <c r="E941" s="190" t="s">
        <v>5361</v>
      </c>
      <c r="F941" s="192" t="n">
        <f aca="false">SUMIF(ENTRADAS!F:F,CLIENTES_PCBR[[#This Row],[TELEFONO]],ENTRADAS!C:C)</f>
        <v>0</v>
      </c>
      <c r="G941" s="189" t="s">
        <v>94</v>
      </c>
    </row>
    <row r="942" customFormat="false" ht="15" hidden="false" customHeight="false" outlineLevel="0" collapsed="false">
      <c r="A942" s="197"/>
      <c r="B942" s="191"/>
      <c r="C942" s="190" t="s">
        <v>3951</v>
      </c>
      <c r="D942" s="191" t="n">
        <v>5363163212</v>
      </c>
      <c r="E942" s="190" t="s">
        <v>5362</v>
      </c>
      <c r="F942" s="192" t="n">
        <f aca="false">SUMIF(ENTRADAS!F:F,CLIENTES_PCBR[[#This Row],[TELEFONO]],ENTRADAS!C:C)</f>
        <v>0</v>
      </c>
      <c r="G942" s="189" t="s">
        <v>94</v>
      </c>
    </row>
    <row r="943" customFormat="false" ht="15" hidden="false" customHeight="false" outlineLevel="0" collapsed="false">
      <c r="A943" s="197"/>
      <c r="B943" s="191"/>
      <c r="C943" s="190" t="s">
        <v>881</v>
      </c>
      <c r="D943" s="191" t="n">
        <v>559584303664</v>
      </c>
      <c r="E943" s="190" t="s">
        <v>882</v>
      </c>
      <c r="F943" s="192" t="n">
        <f aca="false">SUMIF(ENTRADAS!F:F,CLIENTES_PCBR[[#This Row],[TELEFONO]],ENTRADAS!C:C)</f>
        <v>120</v>
      </c>
      <c r="G943" s="189" t="s">
        <v>94</v>
      </c>
    </row>
    <row r="944" customFormat="false" ht="15" hidden="false" customHeight="false" outlineLevel="0" collapsed="false">
      <c r="A944" s="197"/>
      <c r="B944" s="191"/>
      <c r="C944" s="190" t="s">
        <v>1431</v>
      </c>
      <c r="D944" s="191" t="n">
        <v>559581017633</v>
      </c>
      <c r="E944" s="190" t="s">
        <v>5363</v>
      </c>
      <c r="F944" s="192" t="n">
        <f aca="false">SUMIF(ENTRADAS!F:F,CLIENTES_PCBR[[#This Row],[TELEFONO]],ENTRADAS!C:C)</f>
        <v>0</v>
      </c>
      <c r="G944" s="189" t="s">
        <v>94</v>
      </c>
    </row>
    <row r="945" customFormat="false" ht="15" hidden="false" customHeight="false" outlineLevel="0" collapsed="false">
      <c r="A945" s="197"/>
      <c r="B945" s="191"/>
      <c r="C945" s="190" t="s">
        <v>5364</v>
      </c>
      <c r="D945" s="191" t="n">
        <v>559684282874</v>
      </c>
      <c r="E945" s="190" t="s">
        <v>5365</v>
      </c>
      <c r="F945" s="192" t="n">
        <f aca="false">SUMIF(ENTRADAS!F:F,CLIENTES_PCBR[[#This Row],[TELEFONO]],ENTRADAS!C:C)</f>
        <v>0</v>
      </c>
      <c r="G945" s="189" t="s">
        <v>94</v>
      </c>
    </row>
    <row r="946" customFormat="false" ht="15" hidden="false" customHeight="false" outlineLevel="0" collapsed="false">
      <c r="A946" s="197"/>
      <c r="B946" s="191"/>
      <c r="C946" s="190" t="s">
        <v>5366</v>
      </c>
      <c r="D946" s="191" t="n">
        <v>555499574364</v>
      </c>
      <c r="E946" s="190" t="s">
        <v>5367</v>
      </c>
      <c r="F946" s="192" t="n">
        <f aca="false">SUMIF(ENTRADAS!F:F,CLIENTES_PCBR[[#This Row],[TELEFONO]],ENTRADAS!C:C)</f>
        <v>0</v>
      </c>
      <c r="G946" s="189" t="s">
        <v>94</v>
      </c>
    </row>
    <row r="947" customFormat="false" ht="15" hidden="false" customHeight="false" outlineLevel="0" collapsed="false">
      <c r="A947" s="197"/>
      <c r="B947" s="191"/>
      <c r="C947" s="190" t="s">
        <v>5368</v>
      </c>
      <c r="D947" s="191" t="n">
        <v>554791177858</v>
      </c>
      <c r="F947" s="192" t="n">
        <f aca="false">SUMIF(ENTRADAS!F:F,CLIENTES_PCBR[[#This Row],[TELEFONO]],ENTRADAS!C:C)</f>
        <v>294</v>
      </c>
      <c r="G947" s="189" t="s">
        <v>94</v>
      </c>
    </row>
    <row r="948" customFormat="false" ht="15" hidden="false" customHeight="false" outlineLevel="0" collapsed="false">
      <c r="A948" s="197"/>
      <c r="B948" s="191"/>
      <c r="C948" s="190" t="s">
        <v>5369</v>
      </c>
      <c r="D948" s="191" t="n">
        <v>554184848265</v>
      </c>
      <c r="F948" s="192" t="n">
        <f aca="false">SUMIF(ENTRADAS!F:F,CLIENTES_PCBR[[#This Row],[TELEFONO]],ENTRADAS!C:C)</f>
        <v>0</v>
      </c>
      <c r="G948" s="189" t="s">
        <v>94</v>
      </c>
    </row>
    <row r="949" customFormat="false" ht="15" hidden="false" customHeight="false" outlineLevel="0" collapsed="false">
      <c r="A949" s="197"/>
      <c r="B949" s="191"/>
      <c r="C949" s="190" t="s">
        <v>5370</v>
      </c>
      <c r="D949" s="191" t="n">
        <v>554199984330</v>
      </c>
      <c r="E949" s="190" t="s">
        <v>5371</v>
      </c>
      <c r="F949" s="192" t="n">
        <f aca="false">SUMIF(ENTRADAS!F:F,CLIENTES_PCBR[[#This Row],[TELEFONO]],ENTRADAS!C:C)</f>
        <v>0</v>
      </c>
      <c r="G949" s="189" t="s">
        <v>94</v>
      </c>
    </row>
    <row r="950" customFormat="false" ht="15" hidden="false" customHeight="false" outlineLevel="0" collapsed="false">
      <c r="A950" s="197"/>
      <c r="B950" s="191"/>
      <c r="C950" s="190" t="s">
        <v>287</v>
      </c>
      <c r="D950" s="191" t="n">
        <v>554988035815</v>
      </c>
      <c r="F950" s="192" t="n">
        <f aca="false">SUMIF(ENTRADAS!F:F,CLIENTES_PCBR[[#This Row],[TELEFONO]],ENTRADAS!C:C)</f>
        <v>150</v>
      </c>
      <c r="G950" s="189" t="s">
        <v>94</v>
      </c>
    </row>
    <row r="951" customFormat="false" ht="15" hidden="false" customHeight="false" outlineLevel="0" collapsed="false">
      <c r="A951" s="197"/>
      <c r="B951" s="191"/>
      <c r="C951" s="190" t="s">
        <v>5372</v>
      </c>
      <c r="D951" s="191" t="n">
        <v>554199652117</v>
      </c>
      <c r="E951" s="190" t="s">
        <v>5373</v>
      </c>
      <c r="F951" s="192" t="n">
        <f aca="false">SUMIF(ENTRADAS!F:F,CLIENTES_PCBR[[#This Row],[TELEFONO]],ENTRADAS!C:C)</f>
        <v>0</v>
      </c>
      <c r="G951" s="189" t="s">
        <v>94</v>
      </c>
    </row>
    <row r="952" customFormat="false" ht="15" hidden="false" customHeight="false" outlineLevel="0" collapsed="false">
      <c r="A952" s="197"/>
      <c r="B952" s="191"/>
      <c r="C952" s="190" t="s">
        <v>5374</v>
      </c>
      <c r="D952" s="191" t="n">
        <v>5544920023126</v>
      </c>
      <c r="F952" s="192" t="n">
        <f aca="false">SUMIF(ENTRADAS!F:F,CLIENTES_PCBR[[#This Row],[TELEFONO]],ENTRADAS!C:C)</f>
        <v>0</v>
      </c>
      <c r="G952" s="189" t="s">
        <v>94</v>
      </c>
    </row>
    <row r="953" customFormat="false" ht="15" hidden="false" customHeight="false" outlineLevel="0" collapsed="false">
      <c r="A953" s="197"/>
      <c r="B953" s="191"/>
      <c r="C953" s="190" t="s">
        <v>5375</v>
      </c>
      <c r="D953" s="191" t="n">
        <v>554188642971</v>
      </c>
      <c r="E953" s="190" t="s">
        <v>5376</v>
      </c>
      <c r="F953" s="192" t="n">
        <f aca="false">SUMIF(ENTRADAS!F:F,CLIENTES_PCBR[[#This Row],[TELEFONO]],ENTRADAS!C:C)</f>
        <v>0</v>
      </c>
      <c r="G953" s="189" t="s">
        <v>94</v>
      </c>
    </row>
    <row r="954" customFormat="false" ht="15" hidden="false" customHeight="false" outlineLevel="0" collapsed="false">
      <c r="A954" s="197"/>
      <c r="B954" s="191"/>
      <c r="C954" s="190" t="s">
        <v>5377</v>
      </c>
      <c r="D954" s="191" t="n">
        <v>554888064413</v>
      </c>
      <c r="E954" s="190" t="s">
        <v>5378</v>
      </c>
      <c r="F954" s="192" t="n">
        <f aca="false">SUMIF(ENTRADAS!F:F,CLIENTES_PCBR[[#This Row],[TELEFONO]],ENTRADAS!C:C)</f>
        <v>0</v>
      </c>
      <c r="G954" s="189" t="s">
        <v>94</v>
      </c>
    </row>
    <row r="955" customFormat="false" ht="15" hidden="false" customHeight="false" outlineLevel="0" collapsed="false">
      <c r="A955" s="197"/>
      <c r="B955" s="191"/>
      <c r="C955" s="190" t="s">
        <v>5379</v>
      </c>
      <c r="D955" s="191" t="n">
        <v>559584167381</v>
      </c>
      <c r="E955" s="190" t="s">
        <v>5380</v>
      </c>
      <c r="F955" s="192" t="n">
        <f aca="false">SUMIF(ENTRADAS!F:F,CLIENTES_PCBR[[#This Row],[TELEFONO]],ENTRADAS!C:C)</f>
        <v>0</v>
      </c>
      <c r="G955" s="189" t="s">
        <v>94</v>
      </c>
    </row>
    <row r="956" customFormat="false" ht="15" hidden="false" customHeight="false" outlineLevel="0" collapsed="false">
      <c r="A956" s="197"/>
      <c r="B956" s="191"/>
      <c r="C956" s="190" t="s">
        <v>5381</v>
      </c>
      <c r="D956" s="191" t="n">
        <v>559584242060</v>
      </c>
      <c r="E956" s="190" t="s">
        <v>5382</v>
      </c>
      <c r="F956" s="192" t="n">
        <f aca="false">SUMIF(ENTRADAS!F:F,CLIENTES_PCBR[[#This Row],[TELEFONO]],ENTRADAS!C:C)</f>
        <v>0</v>
      </c>
      <c r="G956" s="189" t="s">
        <v>94</v>
      </c>
    </row>
    <row r="957" customFormat="false" ht="15" hidden="false" customHeight="false" outlineLevel="0" collapsed="false">
      <c r="A957" s="197"/>
      <c r="B957" s="191"/>
      <c r="C957" s="190" t="s">
        <v>5383</v>
      </c>
      <c r="D957" s="191" t="n">
        <v>559584156935</v>
      </c>
      <c r="E957" s="190" t="s">
        <v>5384</v>
      </c>
      <c r="F957" s="192" t="n">
        <f aca="false">SUMIF(ENTRADAS!F:F,CLIENTES_PCBR[[#This Row],[TELEFONO]],ENTRADAS!C:C)</f>
        <v>0</v>
      </c>
      <c r="G957" s="189" t="s">
        <v>94</v>
      </c>
    </row>
    <row r="958" customFormat="false" ht="15" hidden="false" customHeight="false" outlineLevel="0" collapsed="false">
      <c r="A958" s="197"/>
      <c r="B958" s="191"/>
      <c r="C958" s="190" t="s">
        <v>5385</v>
      </c>
      <c r="D958" s="191" t="n">
        <v>556292189559</v>
      </c>
      <c r="E958" s="190" t="s">
        <v>5386</v>
      </c>
      <c r="F958" s="192" t="n">
        <f aca="false">SUMIF(ENTRADAS!F:F,CLIENTES_PCBR[[#This Row],[TELEFONO]],ENTRADAS!C:C)</f>
        <v>0</v>
      </c>
      <c r="G958" s="189" t="s">
        <v>94</v>
      </c>
    </row>
    <row r="959" customFormat="false" ht="15" hidden="false" customHeight="false" outlineLevel="0" collapsed="false">
      <c r="A959" s="197"/>
      <c r="B959" s="191"/>
      <c r="C959" s="190" t="s">
        <v>5387</v>
      </c>
      <c r="D959" s="191" t="n">
        <v>5541987816134</v>
      </c>
      <c r="E959" s="190" t="s">
        <v>5388</v>
      </c>
      <c r="F959" s="192" t="n">
        <f aca="false">SUMIF(ENTRADAS!F:F,CLIENTES_PCBR[[#This Row],[TELEFONO]],ENTRADAS!C:C)</f>
        <v>0</v>
      </c>
      <c r="G959" s="189" t="s">
        <v>94</v>
      </c>
    </row>
    <row r="960" customFormat="false" ht="15" hidden="false" customHeight="false" outlineLevel="0" collapsed="false">
      <c r="A960" s="197"/>
      <c r="B960" s="191"/>
      <c r="C960" s="190" t="s">
        <v>5389</v>
      </c>
      <c r="D960" s="191" t="n">
        <v>554191636605</v>
      </c>
      <c r="E960" s="190" t="s">
        <v>5390</v>
      </c>
      <c r="F960" s="192" t="n">
        <f aca="false">SUMIF(ENTRADAS!F:F,CLIENTES_PCBR[[#This Row],[TELEFONO]],ENTRADAS!C:C)</f>
        <v>0</v>
      </c>
      <c r="G960" s="189" t="s">
        <v>94</v>
      </c>
    </row>
    <row r="961" customFormat="false" ht="15" hidden="false" customHeight="false" outlineLevel="0" collapsed="false">
      <c r="A961" s="197"/>
      <c r="B961" s="191"/>
      <c r="C961" s="190" t="s">
        <v>5391</v>
      </c>
      <c r="D961" s="191" t="n">
        <v>555180442001</v>
      </c>
      <c r="E961" s="190" t="s">
        <v>5392</v>
      </c>
      <c r="F961" s="192" t="n">
        <f aca="false">SUMIF(ENTRADAS!F:F,CLIENTES_PCBR[[#This Row],[TELEFONO]],ENTRADAS!C:C)</f>
        <v>0</v>
      </c>
      <c r="G961" s="189" t="s">
        <v>94</v>
      </c>
    </row>
    <row r="962" customFormat="false" ht="15" hidden="false" customHeight="false" outlineLevel="0" collapsed="false">
      <c r="A962" s="197"/>
      <c r="B962" s="191"/>
      <c r="C962" s="190" t="s">
        <v>3257</v>
      </c>
      <c r="D962" s="191" t="n">
        <v>559584027060</v>
      </c>
      <c r="E962" s="190" t="s">
        <v>3258</v>
      </c>
      <c r="F962" s="192" t="n">
        <f aca="false">SUMIF(ENTRADAS!F:F,CLIENTES_PCBR[[#This Row],[TELEFONO]],ENTRADAS!C:C)</f>
        <v>394</v>
      </c>
      <c r="G962" s="189" t="s">
        <v>94</v>
      </c>
    </row>
    <row r="963" customFormat="false" ht="15" hidden="false" customHeight="false" outlineLevel="0" collapsed="false">
      <c r="A963" s="197"/>
      <c r="B963" s="191"/>
      <c r="C963" s="190" t="s">
        <v>5393</v>
      </c>
      <c r="D963" s="191" t="n">
        <v>5518997795408</v>
      </c>
      <c r="E963" s="190" t="s">
        <v>5394</v>
      </c>
      <c r="F963" s="192" t="n">
        <f aca="false">SUMIF(ENTRADAS!F:F,CLIENTES_PCBR[[#This Row],[TELEFONO]],ENTRADAS!C:C)</f>
        <v>0</v>
      </c>
      <c r="G963" s="189" t="s">
        <v>94</v>
      </c>
    </row>
    <row r="964" customFormat="false" ht="15" hidden="false" customHeight="false" outlineLevel="0" collapsed="false">
      <c r="A964" s="197"/>
      <c r="B964" s="191"/>
      <c r="C964" s="190" t="s">
        <v>5395</v>
      </c>
      <c r="D964" s="191" t="n">
        <v>554891323537</v>
      </c>
      <c r="F964" s="192" t="n">
        <f aca="false">SUMIF(ENTRADAS!F:F,CLIENTES_PCBR[[#This Row],[TELEFONO]],ENTRADAS!C:C)</f>
        <v>0</v>
      </c>
      <c r="G964" s="189" t="s">
        <v>94</v>
      </c>
    </row>
    <row r="965" customFormat="false" ht="15" hidden="false" customHeight="false" outlineLevel="0" collapsed="false">
      <c r="A965" s="197"/>
      <c r="B965" s="191"/>
      <c r="C965" s="190" t="s">
        <v>158</v>
      </c>
      <c r="D965" s="191" t="n">
        <v>5354386217</v>
      </c>
      <c r="E965" s="190" t="s">
        <v>159</v>
      </c>
      <c r="F965" s="192" t="n">
        <f aca="false">SUMIF(ENTRADAS!F:F,CLIENTES_PCBR[[#This Row],[TELEFONO]],ENTRADAS!C:C)</f>
        <v>100</v>
      </c>
      <c r="G965" s="189" t="s">
        <v>94</v>
      </c>
    </row>
    <row r="966" customFormat="false" ht="15" hidden="false" customHeight="false" outlineLevel="0" collapsed="false">
      <c r="A966" s="197"/>
      <c r="B966" s="191"/>
      <c r="C966" s="190" t="s">
        <v>5396</v>
      </c>
      <c r="D966" s="191" t="n">
        <v>559691772947</v>
      </c>
      <c r="E966" s="190" t="s">
        <v>5397</v>
      </c>
      <c r="F966" s="192" t="n">
        <f aca="false">SUMIF(ENTRADAS!F:F,CLIENTES_PCBR[[#This Row],[TELEFONO]],ENTRADAS!C:C)</f>
        <v>0</v>
      </c>
      <c r="G966" s="189" t="s">
        <v>94</v>
      </c>
    </row>
    <row r="967" customFormat="false" ht="15" hidden="false" customHeight="false" outlineLevel="0" collapsed="false">
      <c r="A967" s="197"/>
      <c r="B967" s="191"/>
      <c r="C967" s="190" t="s">
        <v>5398</v>
      </c>
      <c r="D967" s="191" t="n">
        <v>5358328472</v>
      </c>
      <c r="E967" s="190" t="s">
        <v>5399</v>
      </c>
      <c r="F967" s="192" t="n">
        <f aca="false">SUMIF(ENTRADAS!F:F,CLIENTES_PCBR[[#This Row],[TELEFONO]],ENTRADAS!C:C)</f>
        <v>0</v>
      </c>
      <c r="G967" s="189" t="s">
        <v>94</v>
      </c>
    </row>
    <row r="968" customFormat="false" ht="15" hidden="false" customHeight="false" outlineLevel="0" collapsed="false">
      <c r="A968" s="197"/>
      <c r="B968" s="191"/>
      <c r="C968" s="190" t="s">
        <v>5400</v>
      </c>
      <c r="D968" s="191" t="n">
        <v>554199095585</v>
      </c>
      <c r="E968" s="190" t="s">
        <v>5401</v>
      </c>
      <c r="F968" s="192" t="n">
        <f aca="false">SUMIF(ENTRADAS!F:F,CLIENTES_PCBR[[#This Row],[TELEFONO]],ENTRADAS!C:C)</f>
        <v>0</v>
      </c>
      <c r="G968" s="189" t="s">
        <v>94</v>
      </c>
    </row>
    <row r="969" customFormat="false" ht="15" hidden="false" customHeight="false" outlineLevel="0" collapsed="false">
      <c r="A969" s="197"/>
      <c r="B969" s="191"/>
      <c r="C969" s="190" t="s">
        <v>5402</v>
      </c>
      <c r="D969" s="191" t="n">
        <v>5511948225875</v>
      </c>
      <c r="E969" s="190" t="s">
        <v>5403</v>
      </c>
      <c r="F969" s="192" t="n">
        <f aca="false">SUMIF(ENTRADAS!F:F,CLIENTES_PCBR[[#This Row],[TELEFONO]],ENTRADAS!C:C)</f>
        <v>0</v>
      </c>
      <c r="G969" s="189" t="s">
        <v>94</v>
      </c>
    </row>
    <row r="970" customFormat="false" ht="15" hidden="false" customHeight="false" outlineLevel="0" collapsed="false">
      <c r="A970" s="197"/>
      <c r="B970" s="191"/>
      <c r="C970" s="190" t="s">
        <v>3560</v>
      </c>
      <c r="D970" s="191" t="n">
        <v>559584238868</v>
      </c>
      <c r="E970" s="190" t="s">
        <v>5404</v>
      </c>
      <c r="F970" s="192" t="n">
        <f aca="false">SUMIF(ENTRADAS!F:F,CLIENTES_PCBR[[#This Row],[TELEFONO]],ENTRADAS!C:C)</f>
        <v>0</v>
      </c>
      <c r="G970" s="189" t="s">
        <v>94</v>
      </c>
    </row>
    <row r="971" customFormat="false" ht="15" hidden="false" customHeight="false" outlineLevel="0" collapsed="false">
      <c r="A971" s="197"/>
      <c r="B971" s="191"/>
      <c r="C971" s="190" t="s">
        <v>119</v>
      </c>
      <c r="D971" s="191" t="n">
        <v>559584143873</v>
      </c>
      <c r="E971" s="190" t="s">
        <v>120</v>
      </c>
      <c r="F971" s="192" t="n">
        <f aca="false">SUMIF(ENTRADAS!F:F,CLIENTES_PCBR[[#This Row],[TELEFONO]],ENTRADAS!C:C)</f>
        <v>0</v>
      </c>
      <c r="G971" s="189" t="s">
        <v>94</v>
      </c>
    </row>
    <row r="972" customFormat="false" ht="15" hidden="false" customHeight="false" outlineLevel="0" collapsed="false">
      <c r="A972" s="197"/>
      <c r="B972" s="191"/>
      <c r="C972" s="190" t="s">
        <v>5405</v>
      </c>
      <c r="D972" s="191" t="n">
        <v>554891928583</v>
      </c>
      <c r="F972" s="192" t="n">
        <f aca="false">SUMIF(ENTRADAS!F:F,CLIENTES_PCBR[[#This Row],[TELEFONO]],ENTRADAS!C:C)</f>
        <v>0</v>
      </c>
      <c r="G972" s="189" t="s">
        <v>94</v>
      </c>
    </row>
    <row r="973" customFormat="false" ht="15" hidden="false" customHeight="false" outlineLevel="0" collapsed="false">
      <c r="A973" s="197"/>
      <c r="B973" s="191"/>
      <c r="C973" s="190" t="s">
        <v>189</v>
      </c>
      <c r="D973" s="191" t="n">
        <v>559584028602</v>
      </c>
      <c r="E973" s="190" t="s">
        <v>5406</v>
      </c>
      <c r="F973" s="192" t="n">
        <f aca="false">SUMIF(ENTRADAS!F:F,CLIENTES_PCBR[[#This Row],[TELEFONO]],ENTRADAS!C:C)</f>
        <v>128</v>
      </c>
      <c r="G973" s="189" t="s">
        <v>94</v>
      </c>
    </row>
    <row r="974" customFormat="false" ht="15" hidden="false" customHeight="false" outlineLevel="0" collapsed="false">
      <c r="A974" s="197"/>
      <c r="B974" s="191"/>
      <c r="C974" s="190" t="s">
        <v>5407</v>
      </c>
      <c r="D974" s="191" t="n">
        <v>554888412295</v>
      </c>
      <c r="E974" s="190" t="s">
        <v>5408</v>
      </c>
      <c r="F974" s="192" t="n">
        <f aca="false">SUMIF(ENTRADAS!F:F,CLIENTES_PCBR[[#This Row],[TELEFONO]],ENTRADAS!C:C)</f>
        <v>0</v>
      </c>
      <c r="G974" s="189" t="s">
        <v>94</v>
      </c>
    </row>
    <row r="975" customFormat="false" ht="15" hidden="false" customHeight="false" outlineLevel="0" collapsed="false">
      <c r="A975" s="197"/>
      <c r="B975" s="191"/>
      <c r="C975" s="190" t="s">
        <v>5409</v>
      </c>
      <c r="D975" s="191" t="n">
        <v>556292537368</v>
      </c>
      <c r="E975" s="190" t="s">
        <v>5410</v>
      </c>
      <c r="F975" s="192" t="n">
        <f aca="false">SUMIF(ENTRADAS!F:F,CLIENTES_PCBR[[#This Row],[TELEFONO]],ENTRADAS!C:C)</f>
        <v>0</v>
      </c>
      <c r="G975" s="189" t="s">
        <v>94</v>
      </c>
    </row>
    <row r="976" customFormat="false" ht="15" hidden="false" customHeight="false" outlineLevel="0" collapsed="false">
      <c r="A976" s="197"/>
      <c r="B976" s="191"/>
      <c r="C976" s="190" t="s">
        <v>5411</v>
      </c>
      <c r="D976" s="191" t="n">
        <v>555491393207</v>
      </c>
      <c r="F976" s="192" t="n">
        <f aca="false">SUMIF(ENTRADAS!F:F,CLIENTES_PCBR[[#This Row],[TELEFONO]],ENTRADAS!C:C)</f>
        <v>0</v>
      </c>
      <c r="G976" s="189" t="s">
        <v>94</v>
      </c>
    </row>
    <row r="977" customFormat="false" ht="15" hidden="false" customHeight="false" outlineLevel="0" collapsed="false">
      <c r="A977" s="197"/>
      <c r="B977" s="191"/>
      <c r="C977" s="190" t="s">
        <v>5412</v>
      </c>
      <c r="D977" s="191" t="n">
        <v>554888094577</v>
      </c>
      <c r="E977" s="190" t="s">
        <v>5413</v>
      </c>
      <c r="F977" s="192" t="n">
        <f aca="false">SUMIF(ENTRADAS!F:F,CLIENTES_PCBR[[#This Row],[TELEFONO]],ENTRADAS!C:C)</f>
        <v>0</v>
      </c>
      <c r="G977" s="189" t="s">
        <v>94</v>
      </c>
    </row>
    <row r="978" customFormat="false" ht="15" hidden="false" customHeight="false" outlineLevel="0" collapsed="false">
      <c r="A978" s="197"/>
      <c r="B978" s="191"/>
      <c r="C978" s="190" t="s">
        <v>5414</v>
      </c>
      <c r="D978" s="191" t="n">
        <v>5547920017719</v>
      </c>
      <c r="E978" s="190" t="s">
        <v>5415</v>
      </c>
      <c r="F978" s="192" t="n">
        <f aca="false">SUMIF(ENTRADAS!F:F,CLIENTES_PCBR[[#This Row],[TELEFONO]],ENTRADAS!C:C)</f>
        <v>0</v>
      </c>
      <c r="G978" s="189" t="s">
        <v>94</v>
      </c>
    </row>
    <row r="979" customFormat="false" ht="15" hidden="false" customHeight="false" outlineLevel="0" collapsed="false">
      <c r="A979" s="197"/>
      <c r="B979" s="191"/>
      <c r="C979" s="190" t="s">
        <v>5416</v>
      </c>
      <c r="D979" s="191" t="n">
        <v>5926095230</v>
      </c>
      <c r="E979" s="190" t="s">
        <v>5417</v>
      </c>
      <c r="F979" s="192" t="n">
        <f aca="false">SUMIF(ENTRADAS!F:F,CLIENTES_PCBR[[#This Row],[TELEFONO]],ENTRADAS!C:C)</f>
        <v>0</v>
      </c>
      <c r="G979" s="189" t="s">
        <v>94</v>
      </c>
    </row>
    <row r="980" customFormat="false" ht="15" hidden="false" customHeight="false" outlineLevel="0" collapsed="false">
      <c r="A980" s="197"/>
      <c r="B980" s="191"/>
      <c r="C980" s="190" t="s">
        <v>5418</v>
      </c>
      <c r="D980" s="191" t="n">
        <v>554591554550</v>
      </c>
      <c r="E980" s="190" t="s">
        <v>5419</v>
      </c>
      <c r="F980" s="192" t="n">
        <f aca="false">SUMIF(ENTRADAS!F:F,CLIENTES_PCBR[[#This Row],[TELEFONO]],ENTRADAS!C:C)</f>
        <v>0</v>
      </c>
      <c r="G980" s="189" t="s">
        <v>94</v>
      </c>
    </row>
    <row r="981" customFormat="false" ht="15" hidden="false" customHeight="false" outlineLevel="0" collapsed="false">
      <c r="A981" s="197"/>
      <c r="B981" s="191"/>
      <c r="C981" s="190" t="s">
        <v>5420</v>
      </c>
      <c r="D981" s="191" t="n">
        <v>553796643733</v>
      </c>
      <c r="E981" s="190" t="s">
        <v>5421</v>
      </c>
      <c r="F981" s="192" t="n">
        <f aca="false">SUMIF(ENTRADAS!F:F,CLIENTES_PCBR[[#This Row],[TELEFONO]],ENTRADAS!C:C)</f>
        <v>0</v>
      </c>
      <c r="G981" s="189" t="s">
        <v>94</v>
      </c>
    </row>
    <row r="982" customFormat="false" ht="15" hidden="false" customHeight="false" outlineLevel="0" collapsed="false">
      <c r="A982" s="197"/>
      <c r="B982" s="191"/>
      <c r="C982" s="190" t="s">
        <v>5422</v>
      </c>
      <c r="D982" s="191" t="n">
        <v>5353450675</v>
      </c>
      <c r="E982" s="190" t="s">
        <v>5423</v>
      </c>
      <c r="F982" s="192" t="n">
        <f aca="false">SUMIF(ENTRADAS!F:F,CLIENTES_PCBR[[#This Row],[TELEFONO]],ENTRADAS!C:C)</f>
        <v>0</v>
      </c>
      <c r="G982" s="189" t="s">
        <v>94</v>
      </c>
    </row>
    <row r="983" customFormat="false" ht="15" hidden="false" customHeight="false" outlineLevel="0" collapsed="false">
      <c r="A983" s="197"/>
      <c r="B983" s="191"/>
      <c r="C983" s="190" t="s">
        <v>5424</v>
      </c>
      <c r="D983" s="191" t="n">
        <v>559591758004</v>
      </c>
      <c r="E983" s="190" t="s">
        <v>5425</v>
      </c>
      <c r="F983" s="192" t="n">
        <f aca="false">SUMIF(ENTRADAS!F:F,CLIENTES_PCBR[[#This Row],[TELEFONO]],ENTRADAS!C:C)</f>
        <v>0</v>
      </c>
      <c r="G983" s="189" t="s">
        <v>94</v>
      </c>
    </row>
    <row r="984" customFormat="false" ht="15" hidden="false" customHeight="false" outlineLevel="0" collapsed="false">
      <c r="A984" s="197"/>
      <c r="B984" s="191"/>
      <c r="C984" s="190" t="s">
        <v>361</v>
      </c>
      <c r="D984" s="191" t="n">
        <v>5355257548</v>
      </c>
      <c r="E984" s="190" t="s">
        <v>362</v>
      </c>
      <c r="F984" s="192" t="n">
        <f aca="false">SUMIF(ENTRADAS!F:F,CLIENTES_PCBR[[#This Row],[TELEFONO]],ENTRADAS!C:C)</f>
        <v>0</v>
      </c>
      <c r="G984" s="189" t="s">
        <v>94</v>
      </c>
    </row>
    <row r="985" customFormat="false" ht="15" hidden="false" customHeight="false" outlineLevel="0" collapsed="false">
      <c r="A985" s="197"/>
      <c r="B985" s="191"/>
      <c r="C985" s="190" t="s">
        <v>5426</v>
      </c>
      <c r="D985" s="191" t="n">
        <v>559584229076</v>
      </c>
      <c r="F985" s="192" t="n">
        <f aca="false">SUMIF(ENTRADAS!F:F,CLIENTES_PCBR[[#This Row],[TELEFONO]],ENTRADAS!C:C)</f>
        <v>0</v>
      </c>
      <c r="G985" s="189" t="s">
        <v>94</v>
      </c>
    </row>
    <row r="986" customFormat="false" ht="15" hidden="false" customHeight="false" outlineLevel="0" collapsed="false">
      <c r="A986" s="197"/>
      <c r="B986" s="191"/>
      <c r="C986" s="190" t="s">
        <v>5427</v>
      </c>
      <c r="D986" s="191" t="n">
        <v>5511966930440</v>
      </c>
      <c r="F986" s="192" t="n">
        <f aca="false">SUMIF(ENTRADAS!F:F,CLIENTES_PCBR[[#This Row],[TELEFONO]],ENTRADAS!C:C)</f>
        <v>0</v>
      </c>
      <c r="G986" s="189" t="s">
        <v>94</v>
      </c>
    </row>
    <row r="987" customFormat="false" ht="15" hidden="false" customHeight="false" outlineLevel="0" collapsed="false">
      <c r="A987" s="197"/>
      <c r="B987" s="191"/>
      <c r="C987" s="190" t="s">
        <v>5428</v>
      </c>
      <c r="D987" s="191" t="n">
        <v>554391187318</v>
      </c>
      <c r="E987" s="190" t="s">
        <v>5429</v>
      </c>
      <c r="F987" s="192" t="n">
        <f aca="false">SUMIF(ENTRADAS!F:F,CLIENTES_PCBR[[#This Row],[TELEFONO]],ENTRADAS!C:C)</f>
        <v>0</v>
      </c>
      <c r="G987" s="189" t="s">
        <v>94</v>
      </c>
    </row>
    <row r="988" customFormat="false" ht="15" hidden="false" customHeight="false" outlineLevel="0" collapsed="false">
      <c r="A988" s="197"/>
      <c r="B988" s="191"/>
      <c r="C988" s="190" t="s">
        <v>5430</v>
      </c>
      <c r="D988" s="191" t="n">
        <v>559691786552</v>
      </c>
      <c r="E988" s="190" t="s">
        <v>5431</v>
      </c>
      <c r="F988" s="192" t="n">
        <f aca="false">SUMIF(ENTRADAS!F:F,CLIENTES_PCBR[[#This Row],[TELEFONO]],ENTRADAS!C:C)</f>
        <v>0</v>
      </c>
      <c r="G988" s="189" t="s">
        <v>94</v>
      </c>
    </row>
    <row r="989" customFormat="false" ht="15" hidden="false" customHeight="false" outlineLevel="0" collapsed="false">
      <c r="A989" s="197"/>
      <c r="B989" s="191"/>
      <c r="C989" s="190" t="s">
        <v>5432</v>
      </c>
      <c r="D989" s="191" t="n">
        <v>554899507697</v>
      </c>
      <c r="E989" s="190" t="s">
        <v>5433</v>
      </c>
      <c r="F989" s="192" t="n">
        <f aca="false">SUMIF(ENTRADAS!F:F,CLIENTES_PCBR[[#This Row],[TELEFONO]],ENTRADAS!C:C)</f>
        <v>0</v>
      </c>
      <c r="G989" s="189" t="s">
        <v>94</v>
      </c>
    </row>
    <row r="990" customFormat="false" ht="15" hidden="false" customHeight="false" outlineLevel="0" collapsed="false">
      <c r="A990" s="197"/>
      <c r="B990" s="191"/>
      <c r="C990" s="190" t="s">
        <v>3563</v>
      </c>
      <c r="D990" s="191" t="n">
        <v>554797226648</v>
      </c>
      <c r="F990" s="192" t="n">
        <f aca="false">SUMIF(ENTRADAS!F:F,CLIENTES_PCBR[[#This Row],[TELEFONO]],ENTRADAS!C:C)</f>
        <v>0</v>
      </c>
      <c r="G990" s="189" t="s">
        <v>94</v>
      </c>
    </row>
    <row r="991" customFormat="false" ht="15" hidden="false" customHeight="false" outlineLevel="0" collapsed="false">
      <c r="A991" s="197"/>
      <c r="B991" s="191"/>
      <c r="C991" s="190" t="s">
        <v>2274</v>
      </c>
      <c r="D991" s="191" t="n">
        <v>5519920004822</v>
      </c>
      <c r="E991" s="190" t="s">
        <v>2275</v>
      </c>
      <c r="F991" s="192" t="n">
        <f aca="false">SUMIF(ENTRADAS!F:F,CLIENTES_PCBR[[#This Row],[TELEFONO]],ENTRADAS!C:C)</f>
        <v>420</v>
      </c>
      <c r="G991" s="189" t="s">
        <v>94</v>
      </c>
    </row>
    <row r="992" customFormat="false" ht="15" hidden="false" customHeight="false" outlineLevel="0" collapsed="false">
      <c r="A992" s="197"/>
      <c r="B992" s="191"/>
      <c r="C992" s="190" t="s">
        <v>274</v>
      </c>
      <c r="D992" s="191" t="n">
        <v>559584142619</v>
      </c>
      <c r="E992" s="190" t="s">
        <v>275</v>
      </c>
      <c r="F992" s="192" t="n">
        <f aca="false">SUMIF(ENTRADAS!F:F,CLIENTES_PCBR[[#This Row],[TELEFONO]],ENTRADAS!C:C)</f>
        <v>90</v>
      </c>
      <c r="G992" s="189" t="s">
        <v>94</v>
      </c>
    </row>
    <row r="993" customFormat="false" ht="15" hidden="false" customHeight="false" outlineLevel="0" collapsed="false">
      <c r="A993" s="197"/>
      <c r="B993" s="191"/>
      <c r="C993" s="190" t="s">
        <v>5434</v>
      </c>
      <c r="D993" s="191" t="n">
        <v>5511982630066</v>
      </c>
      <c r="E993" s="190" t="s">
        <v>5435</v>
      </c>
      <c r="F993" s="192" t="n">
        <f aca="false">SUMIF(ENTRADAS!F:F,CLIENTES_PCBR[[#This Row],[TELEFONO]],ENTRADAS!C:C)</f>
        <v>0</v>
      </c>
      <c r="G993" s="189" t="s">
        <v>94</v>
      </c>
    </row>
    <row r="994" customFormat="false" ht="15" hidden="false" customHeight="false" outlineLevel="0" collapsed="false">
      <c r="A994" s="197"/>
      <c r="B994" s="191"/>
      <c r="C994" s="190" t="s">
        <v>5436</v>
      </c>
      <c r="D994" s="191" t="n">
        <v>556593248388</v>
      </c>
      <c r="F994" s="192" t="n">
        <f aca="false">SUMIF(ENTRADAS!F:F,CLIENTES_PCBR[[#This Row],[TELEFONO]],ENTRADAS!C:C)</f>
        <v>0</v>
      </c>
      <c r="G994" s="189" t="s">
        <v>94</v>
      </c>
    </row>
    <row r="995" customFormat="false" ht="15" hidden="false" customHeight="false" outlineLevel="0" collapsed="false">
      <c r="A995" s="197"/>
      <c r="B995" s="191"/>
      <c r="C995" s="190" t="s">
        <v>2178</v>
      </c>
      <c r="D995" s="191" t="n">
        <v>5351116579</v>
      </c>
      <c r="F995" s="192" t="n">
        <f aca="false">SUMIF(ENTRADAS!F:F,CLIENTES_PCBR[[#This Row],[TELEFONO]],ENTRADAS!C:C)</f>
        <v>240</v>
      </c>
      <c r="G995" s="189" t="s">
        <v>94</v>
      </c>
    </row>
    <row r="996" customFormat="false" ht="15" hidden="false" customHeight="false" outlineLevel="0" collapsed="false">
      <c r="A996" s="197"/>
      <c r="B996" s="191"/>
      <c r="C996" s="190" t="s">
        <v>5437</v>
      </c>
      <c r="D996" s="191" t="n">
        <v>5511940553618</v>
      </c>
      <c r="E996" s="190" t="s">
        <v>3942</v>
      </c>
      <c r="F996" s="192" t="n">
        <f aca="false">SUMIF(ENTRADAS!F:F,CLIENTES_PCBR[[#This Row],[TELEFONO]],ENTRADAS!C:C)</f>
        <v>0</v>
      </c>
      <c r="G996" s="189" t="s">
        <v>94</v>
      </c>
    </row>
    <row r="997" customFormat="false" ht="15" hidden="false" customHeight="false" outlineLevel="0" collapsed="false">
      <c r="A997" s="197"/>
      <c r="B997" s="191"/>
      <c r="C997" s="190" t="s">
        <v>5438</v>
      </c>
      <c r="D997" s="191" t="n">
        <v>555481439537</v>
      </c>
      <c r="E997" s="190" t="s">
        <v>5439</v>
      </c>
      <c r="F997" s="192" t="n">
        <f aca="false">SUMIF(ENTRADAS!F:F,CLIENTES_PCBR[[#This Row],[TELEFONO]],ENTRADAS!C:C)</f>
        <v>0</v>
      </c>
      <c r="G997" s="189" t="s">
        <v>94</v>
      </c>
    </row>
    <row r="998" customFormat="false" ht="15" hidden="false" customHeight="false" outlineLevel="0" collapsed="false">
      <c r="A998" s="197"/>
      <c r="B998" s="191"/>
      <c r="C998" s="190" t="s">
        <v>5440</v>
      </c>
      <c r="D998" s="191" t="n">
        <v>555180212892</v>
      </c>
      <c r="E998" s="190" t="s">
        <v>629</v>
      </c>
      <c r="F998" s="192" t="n">
        <f aca="false">SUMIF(ENTRADAS!F:F,CLIENTES_PCBR[[#This Row],[TELEFONO]],ENTRADAS!C:C)</f>
        <v>510</v>
      </c>
      <c r="G998" s="189" t="s">
        <v>94</v>
      </c>
    </row>
    <row r="999" customFormat="false" ht="15" hidden="false" customHeight="false" outlineLevel="0" collapsed="false">
      <c r="A999" s="197"/>
      <c r="B999" s="191"/>
      <c r="C999" s="190" t="s">
        <v>5441</v>
      </c>
      <c r="D999" s="191" t="n">
        <v>5511961328253</v>
      </c>
      <c r="E999" s="190" t="s">
        <v>5442</v>
      </c>
      <c r="F999" s="192" t="n">
        <f aca="false">SUMIF(ENTRADAS!F:F,CLIENTES_PCBR[[#This Row],[TELEFONO]],ENTRADAS!C:C)</f>
        <v>0</v>
      </c>
      <c r="G999" s="189" t="s">
        <v>94</v>
      </c>
    </row>
    <row r="1000" customFormat="false" ht="15" hidden="false" customHeight="false" outlineLevel="0" collapsed="false">
      <c r="A1000" s="197"/>
      <c r="B1000" s="191"/>
      <c r="C1000" s="190" t="s">
        <v>2494</v>
      </c>
      <c r="D1000" s="191" t="n">
        <v>554197301031</v>
      </c>
      <c r="E1000" s="190" t="s">
        <v>2495</v>
      </c>
      <c r="F1000" s="192" t="n">
        <f aca="false">SUMIF(ENTRADAS!F:F,CLIENTES_PCBR[[#This Row],[TELEFONO]],ENTRADAS!C:C)</f>
        <v>0</v>
      </c>
      <c r="G1000" s="189" t="s">
        <v>94</v>
      </c>
    </row>
    <row r="1001" customFormat="false" ht="15" hidden="false" customHeight="false" outlineLevel="0" collapsed="false">
      <c r="A1001" s="197"/>
      <c r="B1001" s="191"/>
      <c r="C1001" s="190" t="s">
        <v>5443</v>
      </c>
      <c r="D1001" s="191" t="n">
        <v>5356423089</v>
      </c>
      <c r="E1001" s="190" t="s">
        <v>5444</v>
      </c>
      <c r="F1001" s="192" t="n">
        <f aca="false">SUMIF(ENTRADAS!F:F,CLIENTES_PCBR[[#This Row],[TELEFONO]],ENTRADAS!C:C)</f>
        <v>0</v>
      </c>
      <c r="G1001" s="189" t="s">
        <v>94</v>
      </c>
    </row>
    <row r="1002" customFormat="false" ht="15" hidden="false" customHeight="false" outlineLevel="0" collapsed="false">
      <c r="A1002" s="197"/>
      <c r="B1002" s="191"/>
      <c r="C1002" s="190" t="s">
        <v>5445</v>
      </c>
      <c r="D1002" s="191" t="n">
        <v>559584180915</v>
      </c>
      <c r="E1002" s="190" t="s">
        <v>5446</v>
      </c>
      <c r="F1002" s="192" t="n">
        <f aca="false">SUMIF(ENTRADAS!F:F,CLIENTES_PCBR[[#This Row],[TELEFONO]],ENTRADAS!C:C)</f>
        <v>0</v>
      </c>
      <c r="G1002" s="189" t="s">
        <v>94</v>
      </c>
    </row>
    <row r="1003" customFormat="false" ht="15" hidden="false" customHeight="false" outlineLevel="0" collapsed="false">
      <c r="A1003" s="197"/>
      <c r="B1003" s="191"/>
      <c r="C1003" s="190" t="s">
        <v>5447</v>
      </c>
      <c r="D1003" s="191" t="n">
        <v>5359080114</v>
      </c>
      <c r="E1003" s="190" t="s">
        <v>5448</v>
      </c>
      <c r="F1003" s="192" t="n">
        <f aca="false">SUMIF(ENTRADAS!F:F,CLIENTES_PCBR[[#This Row],[TELEFONO]],ENTRADAS!C:C)</f>
        <v>0</v>
      </c>
      <c r="G1003" s="189" t="s">
        <v>94</v>
      </c>
    </row>
    <row r="1004" customFormat="false" ht="15" hidden="false" customHeight="false" outlineLevel="0" collapsed="false">
      <c r="A1004" s="197"/>
      <c r="B1004" s="191"/>
      <c r="C1004" s="190" t="s">
        <v>5449</v>
      </c>
      <c r="D1004" s="191" t="n">
        <v>5511910143468</v>
      </c>
      <c r="E1004" s="190" t="s">
        <v>5450</v>
      </c>
      <c r="F1004" s="192" t="n">
        <f aca="false">SUMIF(ENTRADAS!F:F,CLIENTES_PCBR[[#This Row],[TELEFONO]],ENTRADAS!C:C)</f>
        <v>0</v>
      </c>
      <c r="G1004" s="189" t="s">
        <v>94</v>
      </c>
    </row>
    <row r="1005" customFormat="false" ht="15" hidden="false" customHeight="false" outlineLevel="0" collapsed="false">
      <c r="A1005" s="197"/>
      <c r="B1005" s="191"/>
      <c r="C1005" s="190" t="s">
        <v>3951</v>
      </c>
      <c r="D1005" s="191" t="n">
        <v>556581182225</v>
      </c>
      <c r="F1005" s="192" t="n">
        <f aca="false">SUMIF(ENTRADAS!F:F,CLIENTES_PCBR[[#This Row],[TELEFONO]],ENTRADAS!C:C)</f>
        <v>900</v>
      </c>
      <c r="G1005" s="189" t="s">
        <v>94</v>
      </c>
    </row>
    <row r="1006" customFormat="false" ht="15" hidden="false" customHeight="false" outlineLevel="0" collapsed="false">
      <c r="A1006" s="197"/>
      <c r="B1006" s="191"/>
      <c r="C1006" s="190" t="s">
        <v>5451</v>
      </c>
      <c r="D1006" s="191" t="n">
        <v>5554933802898</v>
      </c>
      <c r="F1006" s="192" t="n">
        <f aca="false">SUMIF(ENTRADAS!F:F,CLIENTES_PCBR[[#This Row],[TELEFONO]],ENTRADAS!C:C)</f>
        <v>0</v>
      </c>
      <c r="G1006" s="189" t="s">
        <v>94</v>
      </c>
    </row>
    <row r="1007" customFormat="false" ht="15" hidden="false" customHeight="false" outlineLevel="0" collapsed="false">
      <c r="A1007" s="197"/>
      <c r="B1007" s="191"/>
      <c r="C1007" s="190" t="s">
        <v>5452</v>
      </c>
      <c r="D1007" s="191" t="n">
        <v>5358131120</v>
      </c>
      <c r="E1007" s="190" t="s">
        <v>5453</v>
      </c>
      <c r="F1007" s="192" t="n">
        <f aca="false">SUMIF(ENTRADAS!F:F,CLIENTES_PCBR[[#This Row],[TELEFONO]],ENTRADAS!C:C)</f>
        <v>0</v>
      </c>
      <c r="G1007" s="189" t="s">
        <v>94</v>
      </c>
    </row>
    <row r="1008" customFormat="false" ht="15" hidden="false" customHeight="false" outlineLevel="0" collapsed="false">
      <c r="A1008" s="197"/>
      <c r="B1008" s="191"/>
      <c r="C1008" s="190" t="s">
        <v>5454</v>
      </c>
      <c r="D1008" s="191" t="n">
        <v>5352070096</v>
      </c>
      <c r="E1008" s="190" t="s">
        <v>2594</v>
      </c>
      <c r="F1008" s="192" t="n">
        <f aca="false">SUMIF(ENTRADAS!F:F,CLIENTES_PCBR[[#This Row],[TELEFONO]],ENTRADAS!C:C)</f>
        <v>147</v>
      </c>
      <c r="G1008" s="189" t="s">
        <v>94</v>
      </c>
    </row>
    <row r="1009" customFormat="false" ht="15" hidden="false" customHeight="false" outlineLevel="0" collapsed="false">
      <c r="A1009" s="197"/>
      <c r="B1009" s="191"/>
      <c r="C1009" s="190" t="s">
        <v>927</v>
      </c>
      <c r="D1009" s="191" t="n">
        <v>555198188231</v>
      </c>
      <c r="E1009" s="190" t="s">
        <v>928</v>
      </c>
      <c r="F1009" s="192" t="n">
        <f aca="false">SUMIF(ENTRADAS!F:F,CLIENTES_PCBR[[#This Row],[TELEFONO]],ENTRADAS!C:C)</f>
        <v>0</v>
      </c>
      <c r="G1009" s="189" t="s">
        <v>94</v>
      </c>
    </row>
    <row r="1010" customFormat="false" ht="15" hidden="false" customHeight="false" outlineLevel="0" collapsed="false">
      <c r="A1010" s="197"/>
      <c r="B1010" s="191"/>
      <c r="C1010" s="190" t="s">
        <v>5455</v>
      </c>
      <c r="D1010" s="191" t="n">
        <v>554196337588</v>
      </c>
      <c r="F1010" s="192" t="n">
        <f aca="false">SUMIF(ENTRADAS!F:F,CLIENTES_PCBR[[#This Row],[TELEFONO]],ENTRADAS!C:C)</f>
        <v>0</v>
      </c>
      <c r="G1010" s="189" t="s">
        <v>94</v>
      </c>
    </row>
    <row r="1011" customFormat="false" ht="15" hidden="false" customHeight="false" outlineLevel="0" collapsed="false">
      <c r="A1011" s="197"/>
      <c r="B1011" s="191"/>
      <c r="C1011" s="190" t="s">
        <v>5456</v>
      </c>
      <c r="D1011" s="191" t="n">
        <v>554196268150</v>
      </c>
      <c r="E1011" s="190" t="s">
        <v>5457</v>
      </c>
      <c r="F1011" s="192" t="n">
        <f aca="false">SUMIF(ENTRADAS!F:F,CLIENTES_PCBR[[#This Row],[TELEFONO]],ENTRADAS!C:C)</f>
        <v>0</v>
      </c>
      <c r="G1011" s="189" t="s">
        <v>94</v>
      </c>
    </row>
    <row r="1012" customFormat="false" ht="15" hidden="false" customHeight="false" outlineLevel="0" collapsed="false">
      <c r="A1012" s="197"/>
      <c r="B1012" s="191"/>
      <c r="C1012" s="190" t="s">
        <v>5458</v>
      </c>
      <c r="D1012" s="191" t="n">
        <v>554191005512</v>
      </c>
      <c r="F1012" s="192" t="n">
        <f aca="false">SUMIF(ENTRADAS!F:F,CLIENTES_PCBR[[#This Row],[TELEFONO]],ENTRADAS!C:C)</f>
        <v>0</v>
      </c>
      <c r="G1012" s="189" t="s">
        <v>94</v>
      </c>
    </row>
    <row r="1013" customFormat="false" ht="15" hidden="false" customHeight="false" outlineLevel="0" collapsed="false">
      <c r="A1013" s="197"/>
      <c r="B1013" s="191"/>
      <c r="C1013" s="190" t="s">
        <v>809</v>
      </c>
      <c r="D1013" s="191" t="n">
        <v>554199625900</v>
      </c>
      <c r="E1013" s="190" t="s">
        <v>810</v>
      </c>
      <c r="F1013" s="192" t="n">
        <f aca="false">SUMIF(ENTRADAS!F:F,CLIENTES_PCBR[[#This Row],[TELEFONO]],ENTRADAS!C:C)</f>
        <v>150</v>
      </c>
      <c r="G1013" s="189" t="s">
        <v>94</v>
      </c>
    </row>
    <row r="1014" customFormat="false" ht="15" hidden="false" customHeight="false" outlineLevel="0" collapsed="false">
      <c r="A1014" s="197"/>
      <c r="B1014" s="191"/>
      <c r="C1014" s="190" t="s">
        <v>5459</v>
      </c>
      <c r="D1014" s="191" t="n">
        <v>554195467888</v>
      </c>
      <c r="F1014" s="192" t="n">
        <f aca="false">SUMIF(ENTRADAS!F:F,CLIENTES_PCBR[[#This Row],[TELEFONO]],ENTRADAS!C:C)</f>
        <v>0</v>
      </c>
      <c r="G1014" s="189" t="s">
        <v>94</v>
      </c>
    </row>
    <row r="1015" customFormat="false" ht="15" hidden="false" customHeight="false" outlineLevel="0" collapsed="false">
      <c r="A1015" s="197"/>
      <c r="B1015" s="191"/>
      <c r="C1015" s="190" t="s">
        <v>5460</v>
      </c>
      <c r="D1015" s="191" t="n">
        <v>554891273987</v>
      </c>
      <c r="E1015" s="190" t="s">
        <v>5461</v>
      </c>
      <c r="F1015" s="192" t="n">
        <f aca="false">SUMIF(ENTRADAS!F:F,CLIENTES_PCBR[[#This Row],[TELEFONO]],ENTRADAS!C:C)</f>
        <v>0</v>
      </c>
      <c r="G1015" s="189" t="s">
        <v>94</v>
      </c>
    </row>
    <row r="1016" customFormat="false" ht="15" hidden="false" customHeight="false" outlineLevel="0" collapsed="false">
      <c r="A1016" s="197"/>
      <c r="B1016" s="191"/>
      <c r="C1016" s="190" t="s">
        <v>5462</v>
      </c>
      <c r="D1016" s="191" t="n">
        <v>554588220164</v>
      </c>
      <c r="E1016" s="190" t="s">
        <v>5463</v>
      </c>
      <c r="F1016" s="192" t="n">
        <f aca="false">SUMIF(ENTRADAS!F:F,CLIENTES_PCBR[[#This Row],[TELEFONO]],ENTRADAS!C:C)</f>
        <v>0</v>
      </c>
      <c r="G1016" s="189" t="s">
        <v>94</v>
      </c>
    </row>
    <row r="1017" customFormat="false" ht="15" hidden="false" customHeight="false" outlineLevel="0" collapsed="false">
      <c r="A1017" s="197"/>
      <c r="B1017" s="191"/>
      <c r="C1017" s="190" t="s">
        <v>5464</v>
      </c>
      <c r="D1017" s="191" t="n">
        <v>553898529035</v>
      </c>
      <c r="E1017" s="190" t="s">
        <v>5465</v>
      </c>
      <c r="F1017" s="192" t="n">
        <f aca="false">SUMIF(ENTRADAS!F:F,CLIENTES_PCBR[[#This Row],[TELEFONO]],ENTRADAS!C:C)</f>
        <v>0</v>
      </c>
      <c r="G1017" s="189" t="s">
        <v>94</v>
      </c>
    </row>
    <row r="1018" customFormat="false" ht="15" hidden="false" customHeight="false" outlineLevel="0" collapsed="false">
      <c r="A1018" s="197"/>
      <c r="B1018" s="191"/>
      <c r="C1018" s="190" t="s">
        <v>5466</v>
      </c>
      <c r="D1018" s="191" t="n">
        <v>554195467108</v>
      </c>
      <c r="E1018" s="190" t="s">
        <v>5467</v>
      </c>
      <c r="F1018" s="192" t="n">
        <f aca="false">SUMIF(ENTRADAS!F:F,CLIENTES_PCBR[[#This Row],[TELEFONO]],ENTRADAS!C:C)</f>
        <v>0</v>
      </c>
      <c r="G1018" s="189" t="s">
        <v>94</v>
      </c>
    </row>
    <row r="1019" customFormat="false" ht="15" hidden="false" customHeight="false" outlineLevel="0" collapsed="false">
      <c r="A1019" s="197"/>
      <c r="B1019" s="191"/>
      <c r="C1019" s="190" t="s">
        <v>5468</v>
      </c>
      <c r="D1019" s="191" t="n">
        <v>11994428624</v>
      </c>
      <c r="E1019" s="190" t="s">
        <v>5469</v>
      </c>
      <c r="F1019" s="192" t="n">
        <f aca="false">SUMIF(ENTRADAS!F:F,CLIENTES_PCBR[[#This Row],[TELEFONO]],ENTRADAS!C:C)</f>
        <v>0</v>
      </c>
      <c r="G1019" s="189" t="s">
        <v>94</v>
      </c>
    </row>
    <row r="1020" customFormat="false" ht="15" hidden="false" customHeight="false" outlineLevel="0" collapsed="false">
      <c r="A1020" s="197"/>
      <c r="B1020" s="191"/>
      <c r="C1020" s="190" t="s">
        <v>130</v>
      </c>
      <c r="D1020" s="191" t="n">
        <v>5519998932978</v>
      </c>
      <c r="E1020" s="190" t="s">
        <v>131</v>
      </c>
      <c r="F1020" s="192" t="n">
        <f aca="false">SUMIF(ENTRADAS!F:F,CLIENTES_PCBR[[#This Row],[TELEFONO]],ENTRADAS!C:C)</f>
        <v>477</v>
      </c>
      <c r="G1020" s="189" t="s">
        <v>94</v>
      </c>
    </row>
    <row r="1021" customFormat="false" ht="15" hidden="false" customHeight="false" outlineLevel="0" collapsed="false">
      <c r="A1021" s="197"/>
      <c r="B1021" s="191"/>
      <c r="C1021" s="190" t="s">
        <v>391</v>
      </c>
      <c r="D1021" s="191" t="n">
        <v>556592775212</v>
      </c>
      <c r="E1021" s="190" t="s">
        <v>392</v>
      </c>
      <c r="F1021" s="192" t="n">
        <f aca="false">SUMIF(ENTRADAS!F:F,CLIENTES_PCBR[[#This Row],[TELEFONO]],ENTRADAS!C:C)</f>
        <v>350</v>
      </c>
      <c r="G1021" s="189" t="s">
        <v>94</v>
      </c>
    </row>
    <row r="1022" customFormat="false" ht="15" hidden="false" customHeight="false" outlineLevel="0" collapsed="false">
      <c r="A1022" s="197"/>
      <c r="B1022" s="191"/>
      <c r="C1022" s="190" t="s">
        <v>5470</v>
      </c>
      <c r="D1022" s="191" t="n">
        <v>554196303875</v>
      </c>
      <c r="F1022" s="192" t="n">
        <f aca="false">SUMIF(ENTRADAS!F:F,CLIENTES_PCBR[[#This Row],[TELEFONO]],ENTRADAS!C:C)</f>
        <v>0</v>
      </c>
      <c r="G1022" s="189" t="s">
        <v>94</v>
      </c>
    </row>
    <row r="1023" customFormat="false" ht="15" hidden="false" customHeight="false" outlineLevel="0" collapsed="false">
      <c r="A1023" s="197"/>
      <c r="B1023" s="191"/>
      <c r="C1023" s="190" t="s">
        <v>5471</v>
      </c>
      <c r="D1023" s="191" t="n">
        <v>556593444577</v>
      </c>
      <c r="E1023" s="190" t="s">
        <v>5472</v>
      </c>
      <c r="F1023" s="192" t="n">
        <f aca="false">SUMIF(ENTRADAS!F:F,CLIENTES_PCBR[[#This Row],[TELEFONO]],ENTRADAS!C:C)</f>
        <v>0</v>
      </c>
      <c r="G1023" s="189" t="s">
        <v>94</v>
      </c>
    </row>
    <row r="1024" customFormat="false" ht="15" hidden="false" customHeight="false" outlineLevel="0" collapsed="false">
      <c r="A1024" s="197"/>
      <c r="B1024" s="191"/>
      <c r="C1024" s="190" t="s">
        <v>5473</v>
      </c>
      <c r="D1024" s="191" t="n">
        <v>554796185651</v>
      </c>
      <c r="F1024" s="192" t="n">
        <f aca="false">SUMIF(ENTRADAS!F:F,CLIENTES_PCBR[[#This Row],[TELEFONO]],ENTRADAS!C:C)</f>
        <v>0</v>
      </c>
      <c r="G1024" s="189" t="s">
        <v>94</v>
      </c>
    </row>
    <row r="1025" customFormat="false" ht="15" hidden="false" customHeight="false" outlineLevel="0" collapsed="false">
      <c r="A1025" s="197"/>
      <c r="B1025" s="191"/>
      <c r="C1025" s="190" t="s">
        <v>5474</v>
      </c>
      <c r="D1025" s="191" t="n">
        <v>5351003920</v>
      </c>
      <c r="E1025" s="190" t="s">
        <v>5475</v>
      </c>
      <c r="F1025" s="192" t="n">
        <f aca="false">SUMIF(ENTRADAS!F:F,CLIENTES_PCBR[[#This Row],[TELEFONO]],ENTRADAS!C:C)</f>
        <v>0</v>
      </c>
      <c r="G1025" s="189" t="s">
        <v>94</v>
      </c>
    </row>
    <row r="1026" customFormat="false" ht="15" hidden="false" customHeight="false" outlineLevel="0" collapsed="false">
      <c r="A1026" s="197"/>
      <c r="B1026" s="191"/>
      <c r="C1026" s="190" t="s">
        <v>5476</v>
      </c>
      <c r="D1026" s="191" t="n">
        <v>555495031441</v>
      </c>
      <c r="E1026" s="190" t="s">
        <v>5477</v>
      </c>
      <c r="F1026" s="192" t="n">
        <f aca="false">SUMIF(ENTRADAS!F:F,CLIENTES_PCBR[[#This Row],[TELEFONO]],ENTRADAS!C:C)</f>
        <v>0</v>
      </c>
      <c r="G1026" s="189" t="s">
        <v>94</v>
      </c>
    </row>
    <row r="1027" customFormat="false" ht="15" hidden="false" customHeight="false" outlineLevel="0" collapsed="false">
      <c r="A1027" s="197"/>
      <c r="B1027" s="191"/>
      <c r="C1027" s="190" t="s">
        <v>5478</v>
      </c>
      <c r="D1027" s="191" t="n">
        <v>559591542425</v>
      </c>
      <c r="E1027" s="190" t="s">
        <v>5479</v>
      </c>
      <c r="F1027" s="192" t="n">
        <f aca="false">SUMIF(ENTRADAS!F:F,CLIENTES_PCBR[[#This Row],[TELEFONO]],ENTRADAS!C:C)</f>
        <v>0</v>
      </c>
      <c r="G1027" s="189" t="s">
        <v>94</v>
      </c>
    </row>
    <row r="1028" customFormat="false" ht="15" hidden="false" customHeight="false" outlineLevel="0" collapsed="false">
      <c r="A1028" s="197"/>
      <c r="B1028" s="191"/>
      <c r="C1028" s="190" t="s">
        <v>5480</v>
      </c>
      <c r="D1028" s="191" t="n">
        <v>554588184112</v>
      </c>
      <c r="E1028" s="190" t="s">
        <v>5481</v>
      </c>
      <c r="F1028" s="192" t="n">
        <f aca="false">SUMIF(ENTRADAS!F:F,CLIENTES_PCBR[[#This Row],[TELEFONO]],ENTRADAS!C:C)</f>
        <v>0</v>
      </c>
      <c r="G1028" s="189" t="s">
        <v>94</v>
      </c>
    </row>
    <row r="1029" customFormat="false" ht="15" hidden="false" customHeight="false" outlineLevel="0" collapsed="false">
      <c r="A1029" s="197"/>
      <c r="B1029" s="191"/>
      <c r="C1029" s="190" t="s">
        <v>5482</v>
      </c>
      <c r="D1029" s="191" t="n">
        <v>555496192350</v>
      </c>
      <c r="E1029" s="190" t="s">
        <v>5483</v>
      </c>
      <c r="F1029" s="192" t="n">
        <f aca="false">SUMIF(ENTRADAS!F:F,CLIENTES_PCBR[[#This Row],[TELEFONO]],ENTRADAS!C:C)</f>
        <v>0</v>
      </c>
      <c r="G1029" s="189" t="s">
        <v>94</v>
      </c>
    </row>
    <row r="1030" customFormat="false" ht="15" hidden="false" customHeight="false" outlineLevel="0" collapsed="false">
      <c r="A1030" s="197"/>
      <c r="B1030" s="191"/>
      <c r="C1030" s="190" t="s">
        <v>5484</v>
      </c>
      <c r="D1030" s="191" t="n">
        <v>554896050574</v>
      </c>
      <c r="E1030" s="190" t="s">
        <v>5485</v>
      </c>
      <c r="F1030" s="192" t="n">
        <f aca="false">SUMIF(ENTRADAS!F:F,CLIENTES_PCBR[[#This Row],[TELEFONO]],ENTRADAS!C:C)</f>
        <v>0</v>
      </c>
      <c r="G1030" s="189" t="s">
        <v>94</v>
      </c>
    </row>
    <row r="1031" customFormat="false" ht="15" hidden="false" customHeight="false" outlineLevel="0" collapsed="false">
      <c r="A1031" s="197"/>
      <c r="B1031" s="191"/>
      <c r="C1031" s="190" t="s">
        <v>5486</v>
      </c>
      <c r="D1031" s="191" t="n">
        <v>559584256973</v>
      </c>
      <c r="E1031" s="190" t="s">
        <v>2915</v>
      </c>
      <c r="F1031" s="192" t="n">
        <f aca="false">SUMIF(ENTRADAS!F:F,CLIENTES_PCBR[[#This Row],[TELEFONO]],ENTRADAS!C:C)</f>
        <v>150</v>
      </c>
      <c r="G1031" s="189" t="s">
        <v>94</v>
      </c>
    </row>
    <row r="1032" customFormat="false" ht="15" hidden="false" customHeight="false" outlineLevel="0" collapsed="false">
      <c r="A1032" s="197"/>
      <c r="B1032" s="191"/>
      <c r="C1032" s="190" t="s">
        <v>3577</v>
      </c>
      <c r="D1032" s="191" t="n">
        <v>5511947852613</v>
      </c>
      <c r="E1032" s="190" t="s">
        <v>5487</v>
      </c>
      <c r="F1032" s="192" t="n">
        <f aca="false">SUMIF(ENTRADAS!F:F,CLIENTES_PCBR[[#This Row],[TELEFONO]],ENTRADAS!C:C)</f>
        <v>360</v>
      </c>
      <c r="G1032" s="189" t="s">
        <v>94</v>
      </c>
    </row>
    <row r="1033" customFormat="false" ht="15" hidden="false" customHeight="false" outlineLevel="0" collapsed="false">
      <c r="A1033" s="197"/>
      <c r="B1033" s="191"/>
      <c r="C1033" s="190" t="s">
        <v>5488</v>
      </c>
      <c r="D1033" s="191" t="n">
        <v>554185173590</v>
      </c>
      <c r="F1033" s="192" t="n">
        <f aca="false">SUMIF(ENTRADAS!F:F,CLIENTES_PCBR[[#This Row],[TELEFONO]],ENTRADAS!C:C)</f>
        <v>0</v>
      </c>
      <c r="G1033" s="189" t="s">
        <v>94</v>
      </c>
    </row>
    <row r="1034" customFormat="false" ht="15" hidden="false" customHeight="false" outlineLevel="0" collapsed="false">
      <c r="A1034" s="197"/>
      <c r="B1034" s="191"/>
      <c r="C1034" s="190" t="s">
        <v>504</v>
      </c>
      <c r="D1034" s="191" t="n">
        <v>559584275807</v>
      </c>
      <c r="E1034" s="190" t="s">
        <v>505</v>
      </c>
      <c r="F1034" s="192" t="n">
        <f aca="false">SUMIF(ENTRADAS!F:F,CLIENTES_PCBR[[#This Row],[TELEFONO]],ENTRADAS!C:C)</f>
        <v>450</v>
      </c>
      <c r="G1034" s="189" t="s">
        <v>94</v>
      </c>
    </row>
    <row r="1035" customFormat="false" ht="15" hidden="false" customHeight="false" outlineLevel="0" collapsed="false">
      <c r="A1035" s="197"/>
      <c r="B1035" s="191"/>
      <c r="C1035" s="190" t="s">
        <v>5489</v>
      </c>
      <c r="D1035" s="191" t="n">
        <v>559584168271</v>
      </c>
      <c r="E1035" s="190" t="s">
        <v>5490</v>
      </c>
      <c r="F1035" s="192" t="n">
        <f aca="false">SUMIF(ENTRADAS!F:F,CLIENTES_PCBR[[#This Row],[TELEFONO]],ENTRADAS!C:C)</f>
        <v>0</v>
      </c>
      <c r="G1035" s="189" t="s">
        <v>94</v>
      </c>
    </row>
    <row r="1036" customFormat="false" ht="15" hidden="false" customHeight="false" outlineLevel="0" collapsed="false">
      <c r="A1036" s="197"/>
      <c r="B1036" s="191"/>
      <c r="C1036" s="190" t="s">
        <v>2490</v>
      </c>
      <c r="D1036" s="191" t="n">
        <v>559591481352</v>
      </c>
      <c r="E1036" s="190" t="s">
        <v>2491</v>
      </c>
      <c r="F1036" s="192" t="n">
        <f aca="false">SUMIF(ENTRADAS!F:F,CLIENTES_PCBR[[#This Row],[TELEFONO]],ENTRADAS!C:C)</f>
        <v>150</v>
      </c>
      <c r="G1036" s="189" t="s">
        <v>94</v>
      </c>
    </row>
    <row r="1037" customFormat="false" ht="15" hidden="false" customHeight="false" outlineLevel="0" collapsed="false">
      <c r="A1037" s="197"/>
      <c r="B1037" s="191"/>
      <c r="C1037" s="190" t="s">
        <v>5491</v>
      </c>
      <c r="D1037" s="191" t="n">
        <v>59893575989</v>
      </c>
      <c r="E1037" s="190" t="s">
        <v>655</v>
      </c>
      <c r="F1037" s="192" t="n">
        <f aca="false">SUMIF(ENTRADAS!F:F,CLIENTES_PCBR[[#This Row],[TELEFONO]],ENTRADAS!C:C)</f>
        <v>0</v>
      </c>
      <c r="G1037" s="189" t="s">
        <v>94</v>
      </c>
    </row>
    <row r="1038" customFormat="false" ht="15" hidden="false" customHeight="false" outlineLevel="0" collapsed="false">
      <c r="A1038" s="197"/>
      <c r="B1038" s="191"/>
      <c r="C1038" s="190" t="s">
        <v>5492</v>
      </c>
      <c r="D1038" s="191" t="n">
        <v>5356975347</v>
      </c>
      <c r="E1038" s="190" t="s">
        <v>5493</v>
      </c>
      <c r="F1038" s="192" t="n">
        <f aca="false">SUMIF(ENTRADAS!F:F,CLIENTES_PCBR[[#This Row],[TELEFONO]],ENTRADAS!C:C)</f>
        <v>0</v>
      </c>
      <c r="G1038" s="189" t="s">
        <v>94</v>
      </c>
    </row>
    <row r="1039" customFormat="false" ht="15" hidden="false" customHeight="false" outlineLevel="0" collapsed="false">
      <c r="A1039" s="197"/>
      <c r="B1039" s="191"/>
      <c r="C1039" s="190" t="s">
        <v>929</v>
      </c>
      <c r="D1039" s="191" t="n">
        <v>555494924774</v>
      </c>
      <c r="F1039" s="192" t="n">
        <f aca="false">SUMIF(ENTRADAS!F:F,CLIENTES_PCBR[[#This Row],[TELEFONO]],ENTRADAS!C:C)</f>
        <v>0</v>
      </c>
      <c r="G1039" s="189" t="s">
        <v>94</v>
      </c>
    </row>
    <row r="1040" customFormat="false" ht="15" hidden="false" customHeight="false" outlineLevel="0" collapsed="false">
      <c r="A1040" s="197"/>
      <c r="B1040" s="191"/>
      <c r="C1040" s="190" t="s">
        <v>5494</v>
      </c>
      <c r="D1040" s="191" t="n">
        <v>554199050513</v>
      </c>
      <c r="E1040" s="190" t="s">
        <v>5495</v>
      </c>
      <c r="F1040" s="192" t="n">
        <f aca="false">SUMIF(ENTRADAS!F:F,CLIENTES_PCBR[[#This Row],[TELEFONO]],ENTRADAS!C:C)</f>
        <v>0</v>
      </c>
      <c r="G1040" s="189" t="s">
        <v>94</v>
      </c>
    </row>
    <row r="1041" customFormat="false" ht="15" hidden="false" customHeight="false" outlineLevel="0" collapsed="false">
      <c r="A1041" s="197"/>
      <c r="B1041" s="191"/>
      <c r="C1041" s="190" t="s">
        <v>5496</v>
      </c>
      <c r="D1041" s="191" t="n">
        <v>5359238378</v>
      </c>
      <c r="E1041" s="190" t="s">
        <v>5497</v>
      </c>
      <c r="F1041" s="192" t="n">
        <f aca="false">SUMIF(ENTRADAS!F:F,CLIENTES_PCBR[[#This Row],[TELEFONO]],ENTRADAS!C:C)</f>
        <v>0</v>
      </c>
      <c r="G1041" s="189" t="s">
        <v>94</v>
      </c>
    </row>
    <row r="1042" customFormat="false" ht="15" hidden="false" customHeight="false" outlineLevel="0" collapsed="false">
      <c r="A1042" s="197"/>
      <c r="B1042" s="191"/>
      <c r="C1042" s="190" t="s">
        <v>5498</v>
      </c>
      <c r="D1042" s="191" t="n">
        <v>5353835805</v>
      </c>
      <c r="F1042" s="192" t="n">
        <f aca="false">SUMIF(ENTRADAS!F:F,CLIENTES_PCBR[[#This Row],[TELEFONO]],ENTRADAS!C:C)</f>
        <v>0</v>
      </c>
      <c r="G1042" s="189" t="s">
        <v>94</v>
      </c>
    </row>
    <row r="1043" customFormat="false" ht="15" hidden="false" customHeight="false" outlineLevel="0" collapsed="false">
      <c r="A1043" s="197"/>
      <c r="B1043" s="191"/>
      <c r="C1043" s="190" t="s">
        <v>5499</v>
      </c>
      <c r="D1043" s="191" t="n">
        <v>554199381099</v>
      </c>
      <c r="E1043" s="190" t="s">
        <v>5500</v>
      </c>
      <c r="F1043" s="192" t="n">
        <f aca="false">SUMIF(ENTRADAS!F:F,CLIENTES_PCBR[[#This Row],[TELEFONO]],ENTRADAS!C:C)</f>
        <v>0</v>
      </c>
      <c r="G1043" s="189" t="s">
        <v>94</v>
      </c>
    </row>
    <row r="1044" customFormat="false" ht="15" hidden="false" customHeight="false" outlineLevel="0" collapsed="false">
      <c r="A1044" s="197"/>
      <c r="B1044" s="191"/>
      <c r="C1044" s="190" t="s">
        <v>5501</v>
      </c>
      <c r="D1044" s="191" t="n">
        <v>5511982706660</v>
      </c>
      <c r="E1044" s="190" t="s">
        <v>5502</v>
      </c>
      <c r="F1044" s="192" t="n">
        <f aca="false">SUMIF(ENTRADAS!F:F,CLIENTES_PCBR[[#This Row],[TELEFONO]],ENTRADAS!C:C)</f>
        <v>0</v>
      </c>
      <c r="G1044" s="189" t="s">
        <v>94</v>
      </c>
    </row>
    <row r="1045" customFormat="false" ht="15" hidden="false" customHeight="false" outlineLevel="0" collapsed="false">
      <c r="A1045" s="197"/>
      <c r="B1045" s="191"/>
      <c r="C1045" s="190" t="s">
        <v>1881</v>
      </c>
      <c r="D1045" s="191" t="n">
        <v>5521965012203</v>
      </c>
      <c r="F1045" s="192" t="n">
        <f aca="false">SUMIF(ENTRADAS!F:F,CLIENTES_PCBR[[#This Row],[TELEFONO]],ENTRADAS!C:C)</f>
        <v>1028</v>
      </c>
      <c r="G1045" s="189" t="s">
        <v>94</v>
      </c>
    </row>
    <row r="1046" customFormat="false" ht="15" hidden="false" customHeight="false" outlineLevel="0" collapsed="false">
      <c r="A1046" s="197"/>
      <c r="B1046" s="191"/>
      <c r="C1046" s="190" t="s">
        <v>5503</v>
      </c>
      <c r="D1046" s="191" t="n">
        <v>556596085172</v>
      </c>
      <c r="E1046" s="190" t="s">
        <v>5504</v>
      </c>
      <c r="F1046" s="192" t="n">
        <f aca="false">SUMIF(ENTRADAS!F:F,CLIENTES_PCBR[[#This Row],[TELEFONO]],ENTRADAS!C:C)</f>
        <v>0</v>
      </c>
      <c r="G1046" s="189" t="s">
        <v>94</v>
      </c>
    </row>
    <row r="1047" customFormat="false" ht="15" hidden="false" customHeight="false" outlineLevel="0" collapsed="false">
      <c r="A1047" s="197"/>
      <c r="B1047" s="191"/>
      <c r="C1047" s="190" t="s">
        <v>5505</v>
      </c>
      <c r="D1047" s="191" t="n">
        <v>559581009709</v>
      </c>
      <c r="E1047" s="190" t="s">
        <v>5506</v>
      </c>
      <c r="F1047" s="192" t="n">
        <f aca="false">SUMIF(ENTRADAS!F:F,CLIENTES_PCBR[[#This Row],[TELEFONO]],ENTRADAS!C:C)</f>
        <v>0</v>
      </c>
      <c r="G1047" s="189" t="s">
        <v>94</v>
      </c>
    </row>
    <row r="1048" customFormat="false" ht="15" hidden="false" customHeight="false" outlineLevel="0" collapsed="false">
      <c r="A1048" s="197"/>
      <c r="B1048" s="191"/>
      <c r="C1048" s="190" t="s">
        <v>5507</v>
      </c>
      <c r="D1048" s="191" t="n">
        <v>554896815208</v>
      </c>
      <c r="F1048" s="192" t="n">
        <f aca="false">SUMIF(ENTRADAS!F:F,CLIENTES_PCBR[[#This Row],[TELEFONO]],ENTRADAS!C:C)</f>
        <v>0</v>
      </c>
      <c r="G1048" s="189" t="s">
        <v>94</v>
      </c>
    </row>
    <row r="1049" customFormat="false" ht="15" hidden="false" customHeight="false" outlineLevel="0" collapsed="false">
      <c r="A1049" s="197"/>
      <c r="B1049" s="191"/>
      <c r="C1049" s="190" t="s">
        <v>586</v>
      </c>
      <c r="D1049" s="191" t="n">
        <v>5519981183492</v>
      </c>
      <c r="F1049" s="192" t="n">
        <f aca="false">SUMIF(ENTRADAS!F:F,CLIENTES_PCBR[[#This Row],[TELEFONO]],ENTRADAS!C:C)</f>
        <v>547</v>
      </c>
      <c r="G1049" s="189" t="s">
        <v>94</v>
      </c>
    </row>
    <row r="1050" customFormat="false" ht="15" hidden="false" customHeight="false" outlineLevel="0" collapsed="false">
      <c r="A1050" s="197"/>
      <c r="B1050" s="191"/>
      <c r="C1050" s="190" t="s">
        <v>5508</v>
      </c>
      <c r="D1050" s="191" t="n">
        <v>5541996046420</v>
      </c>
      <c r="F1050" s="192" t="n">
        <f aca="false">SUMIF(ENTRADAS!F:F,CLIENTES_PCBR[[#This Row],[TELEFONO]],ENTRADAS!C:C)</f>
        <v>0</v>
      </c>
      <c r="G1050" s="189" t="s">
        <v>94</v>
      </c>
    </row>
    <row r="1051" customFormat="false" ht="15" hidden="false" customHeight="false" outlineLevel="0" collapsed="false">
      <c r="A1051" s="197"/>
      <c r="B1051" s="191"/>
      <c r="C1051" s="190" t="s">
        <v>5509</v>
      </c>
      <c r="D1051" s="191" t="n">
        <v>554888184602</v>
      </c>
      <c r="E1051" s="190" t="s">
        <v>5510</v>
      </c>
      <c r="F1051" s="192" t="n">
        <f aca="false">SUMIF(ENTRADAS!F:F,CLIENTES_PCBR[[#This Row],[TELEFONO]],ENTRADAS!C:C)</f>
        <v>0</v>
      </c>
      <c r="G1051" s="189" t="s">
        <v>94</v>
      </c>
    </row>
    <row r="1052" customFormat="false" ht="15" hidden="false" customHeight="false" outlineLevel="0" collapsed="false">
      <c r="A1052" s="197"/>
      <c r="B1052" s="191"/>
      <c r="C1052" s="190" t="s">
        <v>5511</v>
      </c>
      <c r="D1052" s="191" t="n">
        <v>559584280929</v>
      </c>
      <c r="E1052" s="190" t="s">
        <v>115</v>
      </c>
      <c r="F1052" s="192" t="n">
        <f aca="false">SUMIF(ENTRADAS!F:F,CLIENTES_PCBR[[#This Row],[TELEFONO]],ENTRADAS!C:C)</f>
        <v>180</v>
      </c>
      <c r="G1052" s="189" t="s">
        <v>94</v>
      </c>
    </row>
    <row r="1053" customFormat="false" ht="15" hidden="false" customHeight="false" outlineLevel="0" collapsed="false">
      <c r="A1053" s="197"/>
      <c r="B1053" s="191"/>
      <c r="C1053" s="190" t="s">
        <v>5512</v>
      </c>
      <c r="D1053" s="191" t="n">
        <v>5354496070</v>
      </c>
      <c r="E1053" s="190" t="s">
        <v>5513</v>
      </c>
      <c r="F1053" s="192" t="n">
        <f aca="false">SUMIF(ENTRADAS!F:F,CLIENTES_PCBR[[#This Row],[TELEFONO]],ENTRADAS!C:C)</f>
        <v>0</v>
      </c>
      <c r="G1053" s="189" t="s">
        <v>94</v>
      </c>
    </row>
    <row r="1054" customFormat="false" ht="15" hidden="false" customHeight="false" outlineLevel="0" collapsed="false">
      <c r="A1054" s="197"/>
      <c r="B1054" s="191"/>
      <c r="C1054" s="190" t="s">
        <v>5514</v>
      </c>
      <c r="D1054" s="191" t="n">
        <v>554899057991</v>
      </c>
      <c r="E1054" s="190" t="s">
        <v>5257</v>
      </c>
      <c r="F1054" s="192" t="n">
        <f aca="false">SUMIF(ENTRADAS!F:F,CLIENTES_PCBR[[#This Row],[TELEFONO]],ENTRADAS!C:C)</f>
        <v>0</v>
      </c>
      <c r="G1054" s="189" t="s">
        <v>94</v>
      </c>
    </row>
    <row r="1055" customFormat="false" ht="15" hidden="false" customHeight="false" outlineLevel="0" collapsed="false">
      <c r="A1055" s="197"/>
      <c r="B1055" s="191"/>
      <c r="C1055" s="190" t="s">
        <v>5515</v>
      </c>
      <c r="D1055" s="191" t="n">
        <v>559684098543</v>
      </c>
      <c r="E1055" s="190" t="s">
        <v>5516</v>
      </c>
      <c r="F1055" s="192" t="n">
        <f aca="false">SUMIF(ENTRADAS!F:F,CLIENTES_PCBR[[#This Row],[TELEFONO]],ENTRADAS!C:C)</f>
        <v>0</v>
      </c>
      <c r="G1055" s="189" t="s">
        <v>94</v>
      </c>
    </row>
    <row r="1056" customFormat="false" ht="15" hidden="false" customHeight="false" outlineLevel="0" collapsed="false">
      <c r="A1056" s="197"/>
      <c r="B1056" s="191"/>
      <c r="C1056" s="190" t="s">
        <v>5517</v>
      </c>
      <c r="D1056" s="191" t="n">
        <v>554198803233</v>
      </c>
      <c r="E1056" s="190" t="s">
        <v>5518</v>
      </c>
      <c r="F1056" s="192" t="n">
        <f aca="false">SUMIF(ENTRADAS!F:F,CLIENTES_PCBR[[#This Row],[TELEFONO]],ENTRADAS!C:C)</f>
        <v>0</v>
      </c>
      <c r="G1056" s="189" t="s">
        <v>94</v>
      </c>
    </row>
    <row r="1057" customFormat="false" ht="15" hidden="false" customHeight="false" outlineLevel="0" collapsed="false">
      <c r="A1057" s="197" t="n">
        <v>46023</v>
      </c>
      <c r="B1057" s="191"/>
      <c r="C1057" s="190" t="s">
        <v>31</v>
      </c>
      <c r="D1057" s="191" t="n">
        <v>5519953304682</v>
      </c>
      <c r="F1057" s="192" t="n">
        <f aca="false">SUMIF(ENTRADAS!F:F,CLIENTES_PCBR[[#This Row],[TELEFONO]],ENTRADAS!C:C)</f>
        <v>140</v>
      </c>
      <c r="G1057" s="189" t="s">
        <v>94</v>
      </c>
    </row>
    <row r="1058" customFormat="false" ht="15" hidden="false" customHeight="false" outlineLevel="0" collapsed="false">
      <c r="A1058" s="197" t="n">
        <v>46023</v>
      </c>
      <c r="B1058" s="191"/>
      <c r="C1058" s="190" t="s">
        <v>39</v>
      </c>
      <c r="D1058" s="191" t="n">
        <v>556892547445</v>
      </c>
      <c r="E1058" s="190" t="s">
        <v>40</v>
      </c>
      <c r="F1058" s="192" t="n">
        <f aca="false">SUMIF(ENTRADAS!F:F,CLIENTES_PCBR[[#This Row],[TELEFONO]],ENTRADAS!C:C)</f>
        <v>90</v>
      </c>
      <c r="G1058" s="189" t="s">
        <v>94</v>
      </c>
    </row>
    <row r="1059" customFormat="false" ht="15" hidden="false" customHeight="false" outlineLevel="0" collapsed="false">
      <c r="A1059" s="197" t="n">
        <v>46023</v>
      </c>
      <c r="B1059" s="191"/>
      <c r="C1059" s="190" t="s">
        <v>41</v>
      </c>
      <c r="D1059" s="191" t="n">
        <v>554195404109</v>
      </c>
      <c r="E1059" s="190" t="s">
        <v>42</v>
      </c>
      <c r="F1059" s="192" t="n">
        <f aca="false">SUMIF(ENTRADAS!F:F,CLIENTES_PCBR[[#This Row],[TELEFONO]],ENTRADAS!C:C)</f>
        <v>80</v>
      </c>
      <c r="G1059" s="189" t="s">
        <v>94</v>
      </c>
    </row>
    <row r="1060" customFormat="false" ht="15" hidden="false" customHeight="false" outlineLevel="0" collapsed="false">
      <c r="A1060" s="197" t="n">
        <v>46023</v>
      </c>
      <c r="B1060" s="191"/>
      <c r="C1060" s="190" t="s">
        <v>46</v>
      </c>
      <c r="D1060" s="191" t="n">
        <v>553198470552</v>
      </c>
      <c r="E1060" s="190" t="s">
        <v>47</v>
      </c>
      <c r="F1060" s="192" t="n">
        <f aca="false">SUMIF(ENTRADAS!F:F,CLIENTES_PCBR[[#This Row],[TELEFONO]],ENTRADAS!C:C)</f>
        <v>700</v>
      </c>
      <c r="G1060" s="189" t="s">
        <v>94</v>
      </c>
    </row>
    <row r="1061" customFormat="false" ht="15" hidden="false" customHeight="false" outlineLevel="0" collapsed="false">
      <c r="A1061" s="197" t="n">
        <v>46023</v>
      </c>
      <c r="B1061" s="191"/>
      <c r="C1061" s="190" t="s">
        <v>48</v>
      </c>
      <c r="D1061" s="191" t="n">
        <v>555399912728</v>
      </c>
      <c r="E1061" s="190" t="s">
        <v>49</v>
      </c>
      <c r="F1061" s="192" t="n">
        <f aca="false">SUMIF(ENTRADAS!F:F,CLIENTES_PCBR[[#This Row],[TELEFONO]],ENTRADAS!C:C)</f>
        <v>150</v>
      </c>
      <c r="G1061" s="189" t="s">
        <v>94</v>
      </c>
    </row>
    <row r="1062" customFormat="false" ht="15" hidden="false" customHeight="false" outlineLevel="0" collapsed="false">
      <c r="A1062" s="197" t="n">
        <v>46023</v>
      </c>
      <c r="B1062" s="191"/>
      <c r="C1062" s="190" t="s">
        <v>51</v>
      </c>
      <c r="D1062" s="191" t="n">
        <v>559684050662</v>
      </c>
      <c r="E1062" s="190" t="s">
        <v>52</v>
      </c>
      <c r="F1062" s="192" t="n">
        <f aca="false">SUMIF(ENTRADAS!F:F,CLIENTES_PCBR[[#This Row],[TELEFONO]],ENTRADAS!C:C)</f>
        <v>360</v>
      </c>
      <c r="G1062" s="189" t="s">
        <v>94</v>
      </c>
    </row>
    <row r="1063" customFormat="false" ht="15" hidden="false" customHeight="false" outlineLevel="0" collapsed="false">
      <c r="A1063" s="197" t="n">
        <v>46023</v>
      </c>
      <c r="B1063" s="191"/>
      <c r="C1063" s="190" t="s">
        <v>56</v>
      </c>
      <c r="D1063" s="191" t="n">
        <v>5548933813308</v>
      </c>
      <c r="E1063" s="190" t="s">
        <v>57</v>
      </c>
      <c r="F1063" s="192" t="n">
        <f aca="false">SUMIF(ENTRADAS!F:F,CLIENTES_PCBR[[#This Row],[TELEFONO]],ENTRADAS!C:C)</f>
        <v>420</v>
      </c>
      <c r="G1063" s="189" t="s">
        <v>94</v>
      </c>
    </row>
    <row r="1064" customFormat="false" ht="15" hidden="false" customHeight="false" outlineLevel="0" collapsed="false">
      <c r="A1064" s="197" t="n">
        <v>46023</v>
      </c>
      <c r="B1064" s="191"/>
      <c r="C1064" s="190" t="s">
        <v>58</v>
      </c>
      <c r="D1064" s="191" t="n">
        <v>554896170510</v>
      </c>
      <c r="E1064" s="190" t="s">
        <v>59</v>
      </c>
      <c r="F1064" s="192" t="n">
        <f aca="false">SUMIF(ENTRADAS!F:F,CLIENTES_PCBR[[#This Row],[TELEFONO]],ENTRADAS!C:C)</f>
        <v>97</v>
      </c>
      <c r="G1064" s="189" t="s">
        <v>94</v>
      </c>
    </row>
    <row r="1065" customFormat="false" ht="15" hidden="false" customHeight="false" outlineLevel="0" collapsed="false">
      <c r="A1065" s="197" t="n">
        <v>46023</v>
      </c>
      <c r="B1065" s="191"/>
      <c r="C1065" s="190" t="s">
        <v>64</v>
      </c>
      <c r="D1065" s="191" t="n">
        <v>559584276647</v>
      </c>
      <c r="E1065" s="190" t="s">
        <v>65</v>
      </c>
      <c r="F1065" s="192" t="n">
        <f aca="false">SUMIF(ENTRADAS!F:F,CLIENTES_PCBR[[#This Row],[TELEFONO]],ENTRADAS!C:C)</f>
        <v>300</v>
      </c>
      <c r="G1065" s="189" t="s">
        <v>94</v>
      </c>
    </row>
    <row r="1066" customFormat="false" ht="15" hidden="false" customHeight="false" outlineLevel="0" collapsed="false">
      <c r="A1066" s="197" t="n">
        <v>46023</v>
      </c>
      <c r="B1066" s="191"/>
      <c r="C1066" s="190" t="s">
        <v>66</v>
      </c>
      <c r="D1066" s="191" t="n">
        <v>559591418110</v>
      </c>
      <c r="E1066" s="190" t="s">
        <v>67</v>
      </c>
      <c r="F1066" s="192" t="n">
        <f aca="false">SUMIF(ENTRADAS!F:F,CLIENTES_PCBR[[#This Row],[TELEFONO]],ENTRADAS!C:C)</f>
        <v>360</v>
      </c>
      <c r="G1066" s="189" t="s">
        <v>94</v>
      </c>
    </row>
    <row r="1067" customFormat="false" ht="15" hidden="false" customHeight="false" outlineLevel="0" collapsed="false">
      <c r="A1067" s="197" t="n">
        <v>46023</v>
      </c>
      <c r="B1067" s="191"/>
      <c r="C1067" s="190" t="s">
        <v>68</v>
      </c>
      <c r="D1067" s="191" t="n">
        <v>559684194434</v>
      </c>
      <c r="F1067" s="192" t="n">
        <f aca="false">SUMIF(ENTRADAS!F:F,CLIENTES_PCBR[[#This Row],[TELEFONO]],ENTRADAS!C:C)</f>
        <v>147</v>
      </c>
      <c r="G1067" s="189" t="s">
        <v>94</v>
      </c>
    </row>
    <row r="1068" customFormat="false" ht="15" hidden="false" customHeight="false" outlineLevel="0" collapsed="false">
      <c r="A1068" s="197" t="n">
        <v>46023</v>
      </c>
      <c r="B1068" s="191"/>
      <c r="C1068" s="190" t="s">
        <v>72</v>
      </c>
      <c r="D1068" s="191" t="n">
        <v>559584286486</v>
      </c>
      <c r="F1068" s="192" t="n">
        <f aca="false">SUMIF(ENTRADAS!F:F,CLIENTES_PCBR[[#This Row],[TELEFONO]],ENTRADAS!C:C)</f>
        <v>187</v>
      </c>
      <c r="G1068" s="189" t="s">
        <v>94</v>
      </c>
    </row>
    <row r="1069" customFormat="false" ht="15" hidden="false" customHeight="false" outlineLevel="0" collapsed="false">
      <c r="A1069" s="197" t="n">
        <v>46023</v>
      </c>
      <c r="B1069" s="191"/>
      <c r="C1069" s="190" t="s">
        <v>73</v>
      </c>
      <c r="D1069" s="191" t="n">
        <v>5548991237049</v>
      </c>
      <c r="E1069" s="190" t="s">
        <v>74</v>
      </c>
      <c r="F1069" s="192" t="n">
        <f aca="false">SUMIF(ENTRADAS!F:F,CLIENTES_PCBR[[#This Row],[TELEFONO]],ENTRADAS!C:C)</f>
        <v>80</v>
      </c>
      <c r="G1069" s="189" t="s">
        <v>94</v>
      </c>
    </row>
    <row r="1070" customFormat="false" ht="15" hidden="false" customHeight="false" outlineLevel="0" collapsed="false">
      <c r="A1070" s="197" t="n">
        <v>46023</v>
      </c>
      <c r="B1070" s="191"/>
      <c r="C1070" s="190" t="s">
        <v>81</v>
      </c>
      <c r="D1070" s="191" t="n">
        <v>554195022066</v>
      </c>
      <c r="F1070" s="192" t="n">
        <f aca="false">SUMIF(ENTRADAS!F:F,CLIENTES_PCBR[[#This Row],[TELEFONO]],ENTRADAS!C:C)</f>
        <v>150</v>
      </c>
      <c r="G1070" s="189" t="s">
        <v>94</v>
      </c>
    </row>
    <row r="1071" customFormat="false" ht="15" hidden="false" customHeight="false" outlineLevel="0" collapsed="false">
      <c r="A1071" s="197" t="n">
        <v>46023</v>
      </c>
      <c r="B1071" s="191"/>
      <c r="C1071" s="190" t="s">
        <v>82</v>
      </c>
      <c r="D1071" s="191" t="n">
        <v>554591148411</v>
      </c>
      <c r="F1071" s="192" t="n">
        <f aca="false">SUMIF(ENTRADAS!F:F,CLIENTES_PCBR[[#This Row],[TELEFONO]],ENTRADAS!C:C)</f>
        <v>150</v>
      </c>
      <c r="G1071" s="189" t="s">
        <v>94</v>
      </c>
    </row>
    <row r="1072" customFormat="false" ht="15" hidden="false" customHeight="false" outlineLevel="0" collapsed="false">
      <c r="A1072" s="197" t="n">
        <v>46023</v>
      </c>
      <c r="B1072" s="191"/>
      <c r="C1072" s="190" t="s">
        <v>86</v>
      </c>
      <c r="D1072" s="191" t="n">
        <v>5353274916</v>
      </c>
      <c r="E1072" s="190" t="s">
        <v>87</v>
      </c>
      <c r="F1072" s="192" t="n">
        <f aca="false">SUMIF(ENTRADAS!F:F,CLIENTES_PCBR[[#This Row],[TELEFONO]],ENTRADAS!C:C)</f>
        <v>80</v>
      </c>
      <c r="G1072" s="189" t="s">
        <v>94</v>
      </c>
    </row>
    <row r="1073" customFormat="false" ht="15" hidden="false" customHeight="false" outlineLevel="0" collapsed="false">
      <c r="A1073" s="197" t="n">
        <v>46023</v>
      </c>
      <c r="B1073" s="191"/>
      <c r="C1073" s="190" t="s">
        <v>88</v>
      </c>
      <c r="D1073" s="191" t="n">
        <v>5511920484500</v>
      </c>
      <c r="F1073" s="192" t="n">
        <f aca="false">SUMIF(ENTRADAS!F:F,CLIENTES_PCBR[[#This Row],[TELEFONO]],ENTRADAS!C:C)</f>
        <v>140</v>
      </c>
      <c r="G1073" s="189" t="s">
        <v>94</v>
      </c>
    </row>
    <row r="1074" customFormat="false" ht="15" hidden="false" customHeight="false" outlineLevel="0" collapsed="false">
      <c r="A1074" s="197" t="n">
        <v>46023</v>
      </c>
      <c r="B1074" s="191"/>
      <c r="C1074" s="190" t="s">
        <v>90</v>
      </c>
      <c r="D1074" s="191" t="n">
        <v>554891410061</v>
      </c>
      <c r="E1074" s="190" t="s">
        <v>91</v>
      </c>
      <c r="F1074" s="192" t="n">
        <f aca="false">SUMIF(ENTRADAS!F:F,CLIENTES_PCBR[[#This Row],[TELEFONO]],ENTRADAS!C:C)</f>
        <v>300</v>
      </c>
      <c r="G1074" s="189" t="s">
        <v>94</v>
      </c>
    </row>
    <row r="1075" customFormat="false" ht="15" hidden="false" customHeight="false" outlineLevel="0" collapsed="false">
      <c r="A1075" s="197" t="n">
        <v>46023</v>
      </c>
      <c r="B1075" s="191"/>
      <c r="C1075" s="190" t="s">
        <v>95</v>
      </c>
      <c r="D1075" s="191" t="n">
        <v>554797595855</v>
      </c>
      <c r="E1075" s="190" t="s">
        <v>96</v>
      </c>
      <c r="F1075" s="192" t="n">
        <f aca="false">SUMIF(ENTRADAS!F:F,CLIENTES_PCBR[[#This Row],[TELEFONO]],ENTRADAS!C:C)</f>
        <v>180</v>
      </c>
      <c r="G1075" s="189" t="s">
        <v>94</v>
      </c>
    </row>
    <row r="1076" customFormat="false" ht="15" hidden="false" customHeight="false" outlineLevel="0" collapsed="false">
      <c r="A1076" s="197" t="n">
        <v>46023</v>
      </c>
      <c r="B1076" s="191"/>
      <c r="C1076" s="190" t="s">
        <v>100</v>
      </c>
      <c r="D1076" s="191" t="n">
        <v>554184654238</v>
      </c>
      <c r="E1076" s="190" t="s">
        <v>101</v>
      </c>
      <c r="F1076" s="192" t="n">
        <f aca="false">SUMIF(ENTRADAS!F:F,CLIENTES_PCBR[[#This Row],[TELEFONO]],ENTRADAS!C:C)</f>
        <v>491</v>
      </c>
      <c r="G1076" s="189" t="s">
        <v>94</v>
      </c>
    </row>
    <row r="1077" customFormat="false" ht="15" hidden="false" customHeight="false" outlineLevel="0" collapsed="false">
      <c r="A1077" s="197" t="n">
        <v>46023</v>
      </c>
      <c r="B1077" s="191"/>
      <c r="C1077" s="190" t="s">
        <v>104</v>
      </c>
      <c r="D1077" s="191" t="n">
        <v>554888124202</v>
      </c>
      <c r="F1077" s="192" t="n">
        <f aca="false">SUMIF(ENTRADAS!F:F,CLIENTES_PCBR[[#This Row],[TELEFONO]],ENTRADAS!C:C)</f>
        <v>2230</v>
      </c>
      <c r="G1077" s="189" t="s">
        <v>94</v>
      </c>
    </row>
    <row r="1078" customFormat="false" ht="15" hidden="false" customHeight="false" outlineLevel="0" collapsed="false">
      <c r="A1078" s="197" t="n">
        <v>46023</v>
      </c>
      <c r="B1078" s="191"/>
      <c r="C1078" s="190" t="s">
        <v>105</v>
      </c>
      <c r="D1078" s="191" t="n">
        <v>5358746935</v>
      </c>
      <c r="F1078" s="192" t="n">
        <f aca="false">SUMIF(ENTRADAS!F:F,CLIENTES_PCBR[[#This Row],[TELEFONO]],ENTRADAS!C:C)</f>
        <v>2000</v>
      </c>
      <c r="G1078" s="189" t="s">
        <v>94</v>
      </c>
    </row>
    <row r="1079" customFormat="false" ht="15" hidden="false" customHeight="false" outlineLevel="0" collapsed="false">
      <c r="A1079" s="197" t="n">
        <v>46023</v>
      </c>
      <c r="B1079" s="191"/>
      <c r="C1079" s="190" t="s">
        <v>109</v>
      </c>
      <c r="D1079" s="191" t="n">
        <v>559584374439</v>
      </c>
      <c r="E1079" s="190" t="s">
        <v>110</v>
      </c>
      <c r="F1079" s="192" t="n">
        <f aca="false">SUMIF(ENTRADAS!F:F,CLIENTES_PCBR[[#This Row],[TELEFONO]],ENTRADAS!C:C)</f>
        <v>90</v>
      </c>
      <c r="G1079" s="189" t="s">
        <v>94</v>
      </c>
    </row>
    <row r="1080" customFormat="false" ht="15" hidden="false" customHeight="false" outlineLevel="0" collapsed="false">
      <c r="A1080" s="197" t="n">
        <v>46023</v>
      </c>
      <c r="B1080" s="191"/>
      <c r="C1080" s="190" t="s">
        <v>111</v>
      </c>
      <c r="D1080" s="191" t="n">
        <v>554199701770</v>
      </c>
      <c r="E1080" s="190" t="s">
        <v>112</v>
      </c>
      <c r="F1080" s="192" t="n">
        <f aca="false">SUMIF(ENTRADAS!F:F,CLIENTES_PCBR[[#This Row],[TELEFONO]],ENTRADAS!C:C)</f>
        <v>80</v>
      </c>
      <c r="G1080" s="189" t="s">
        <v>94</v>
      </c>
    </row>
    <row r="1081" customFormat="false" ht="15" hidden="false" customHeight="false" outlineLevel="0" collapsed="false">
      <c r="A1081" s="197" t="n">
        <v>46023</v>
      </c>
      <c r="B1081" s="191"/>
      <c r="C1081" s="190" t="s">
        <v>113</v>
      </c>
      <c r="D1081" s="191" t="n">
        <v>554999696825</v>
      </c>
      <c r="F1081" s="192" t="n">
        <f aca="false">SUMIF(ENTRADAS!F:F,CLIENTES_PCBR[[#This Row],[TELEFONO]],ENTRADAS!C:C)</f>
        <v>120</v>
      </c>
      <c r="G1081" s="189" t="s">
        <v>94</v>
      </c>
    </row>
    <row r="1082" customFormat="false" ht="15" hidden="false" customHeight="false" outlineLevel="0" collapsed="false">
      <c r="A1082" s="197" t="n">
        <v>46023</v>
      </c>
      <c r="B1082" s="191"/>
      <c r="C1082" s="190" t="s">
        <v>117</v>
      </c>
      <c r="D1082" s="191" t="n">
        <v>5511945187117</v>
      </c>
      <c r="E1082" s="190" t="s">
        <v>118</v>
      </c>
      <c r="F1082" s="192" t="n">
        <f aca="false">SUMIF(ENTRADAS!F:F,CLIENTES_PCBR[[#This Row],[TELEFONO]],ENTRADAS!C:C)</f>
        <v>485</v>
      </c>
      <c r="G1082" s="189" t="s">
        <v>94</v>
      </c>
    </row>
    <row r="1083" customFormat="false" ht="15" hidden="false" customHeight="false" outlineLevel="0" collapsed="false">
      <c r="A1083" s="197" t="n">
        <v>46023</v>
      </c>
      <c r="B1083" s="191"/>
      <c r="C1083" s="190" t="s">
        <v>119</v>
      </c>
      <c r="D1083" s="191" t="n">
        <v>5595984143873</v>
      </c>
      <c r="E1083" s="190" t="s">
        <v>120</v>
      </c>
      <c r="F1083" s="192" t="n">
        <f aca="false">SUMIF(ENTRADAS!F:F,CLIENTES_PCBR[[#This Row],[TELEFONO]],ENTRADAS!C:C)</f>
        <v>90</v>
      </c>
      <c r="G1083" s="189" t="s">
        <v>94</v>
      </c>
    </row>
    <row r="1084" customFormat="false" ht="15" hidden="false" customHeight="false" outlineLevel="0" collapsed="false">
      <c r="A1084" s="197" t="n">
        <v>46023</v>
      </c>
      <c r="B1084" s="191"/>
      <c r="C1084" s="190" t="s">
        <v>123</v>
      </c>
      <c r="D1084" s="191" t="n">
        <v>5511915444004</v>
      </c>
      <c r="E1084" s="190" t="s">
        <v>124</v>
      </c>
      <c r="F1084" s="192" t="n">
        <f aca="false">SUMIF(ENTRADAS!F:F,CLIENTES_PCBR[[#This Row],[TELEFONO]],ENTRADAS!C:C)</f>
        <v>300</v>
      </c>
      <c r="G1084" s="189" t="s">
        <v>94</v>
      </c>
    </row>
    <row r="1085" customFormat="false" ht="15" hidden="false" customHeight="false" outlineLevel="0" collapsed="false">
      <c r="A1085" s="197" t="n">
        <v>46023</v>
      </c>
      <c r="B1085" s="191"/>
      <c r="C1085" s="190" t="s">
        <v>125</v>
      </c>
      <c r="D1085" s="191" t="n">
        <v>558699496132</v>
      </c>
      <c r="E1085" s="190" t="s">
        <v>126</v>
      </c>
      <c r="F1085" s="192" t="n">
        <f aca="false">SUMIF(ENTRADAS!F:F,CLIENTES_PCBR[[#This Row],[TELEFONO]],ENTRADAS!C:C)</f>
        <v>180</v>
      </c>
      <c r="G1085" s="189" t="s">
        <v>94</v>
      </c>
    </row>
    <row r="1086" customFormat="false" ht="15" hidden="false" customHeight="false" outlineLevel="0" collapsed="false">
      <c r="A1086" s="197" t="n">
        <v>46023</v>
      </c>
      <c r="B1086" s="191"/>
      <c r="C1086" s="190" t="s">
        <v>127</v>
      </c>
      <c r="D1086" s="191" t="n">
        <v>557499429575</v>
      </c>
      <c r="E1086" s="190" t="s">
        <v>128</v>
      </c>
      <c r="F1086" s="192" t="n">
        <f aca="false">SUMIF(ENTRADAS!F:F,CLIENTES_PCBR[[#This Row],[TELEFONO]],ENTRADAS!C:C)</f>
        <v>90</v>
      </c>
      <c r="G1086" s="189" t="s">
        <v>94</v>
      </c>
    </row>
    <row r="1087" customFormat="false" ht="15" hidden="false" customHeight="false" outlineLevel="0" collapsed="false">
      <c r="A1087" s="197" t="n">
        <v>46023</v>
      </c>
      <c r="B1087" s="191"/>
      <c r="C1087" s="190" t="s">
        <v>129</v>
      </c>
      <c r="D1087" s="191" t="n">
        <v>554199713028</v>
      </c>
      <c r="F1087" s="192" t="n">
        <f aca="false">SUMIF(ENTRADAS!F:F,CLIENTES_PCBR[[#This Row],[TELEFONO]],ENTRADAS!C:C)</f>
        <v>150</v>
      </c>
      <c r="G1087" s="189" t="s">
        <v>94</v>
      </c>
    </row>
    <row r="1088" customFormat="false" ht="15" hidden="false" customHeight="false" outlineLevel="0" collapsed="false">
      <c r="A1088" s="197" t="n">
        <v>46023</v>
      </c>
      <c r="B1088" s="191"/>
      <c r="C1088" s="190" t="s">
        <v>132</v>
      </c>
      <c r="D1088" s="191" t="n">
        <v>559591119749</v>
      </c>
      <c r="E1088" s="190" t="s">
        <v>133</v>
      </c>
      <c r="F1088" s="192" t="n">
        <f aca="false">SUMIF(ENTRADAS!F:F,CLIENTES_PCBR[[#This Row],[TELEFONO]],ENTRADAS!C:C)</f>
        <v>457</v>
      </c>
      <c r="G1088" s="189" t="s">
        <v>94</v>
      </c>
    </row>
    <row r="1089" customFormat="false" ht="15" hidden="false" customHeight="false" outlineLevel="0" collapsed="false">
      <c r="A1089" s="197" t="n">
        <v>46023</v>
      </c>
      <c r="B1089" s="191"/>
      <c r="C1089" s="190" t="s">
        <v>135</v>
      </c>
      <c r="D1089" s="191" t="n">
        <v>554184708349</v>
      </c>
      <c r="E1089" s="190" t="s">
        <v>136</v>
      </c>
      <c r="F1089" s="192" t="n">
        <f aca="false">SUMIF(ENTRADAS!F:F,CLIENTES_PCBR[[#This Row],[TELEFONO]],ENTRADAS!C:C)</f>
        <v>949</v>
      </c>
      <c r="G1089" s="189" t="s">
        <v>94</v>
      </c>
    </row>
    <row r="1090" customFormat="false" ht="15" hidden="false" customHeight="false" outlineLevel="0" collapsed="false">
      <c r="A1090" s="197" t="n">
        <v>46023</v>
      </c>
      <c r="B1090" s="191"/>
      <c r="C1090" s="190" t="s">
        <v>139</v>
      </c>
      <c r="D1090" s="191" t="n">
        <v>557996814334</v>
      </c>
      <c r="F1090" s="192" t="n">
        <f aca="false">SUMIF(ENTRADAS!F:F,CLIENTES_PCBR[[#This Row],[TELEFONO]],ENTRADAS!C:C)</f>
        <v>60</v>
      </c>
      <c r="G1090" s="189" t="s">
        <v>94</v>
      </c>
    </row>
    <row r="1091" customFormat="false" ht="15" hidden="false" customHeight="false" outlineLevel="0" collapsed="false">
      <c r="A1091" s="197" t="n">
        <v>46023</v>
      </c>
      <c r="B1091" s="191"/>
      <c r="C1091" s="190" t="s">
        <v>143</v>
      </c>
      <c r="D1091" s="191" t="n">
        <v>5519989668621</v>
      </c>
      <c r="E1091" s="190" t="s">
        <v>144</v>
      </c>
      <c r="F1091" s="192" t="n">
        <f aca="false">SUMIF(ENTRADAS!F:F,CLIENTES_PCBR[[#This Row],[TELEFONO]],ENTRADAS!C:C)</f>
        <v>500</v>
      </c>
      <c r="G1091" s="189" t="s">
        <v>94</v>
      </c>
    </row>
    <row r="1092" customFormat="false" ht="15" hidden="false" customHeight="false" outlineLevel="0" collapsed="false">
      <c r="A1092" s="197" t="n">
        <v>46023</v>
      </c>
      <c r="B1092" s="191"/>
      <c r="C1092" s="190" t="s">
        <v>152</v>
      </c>
      <c r="D1092" s="191" t="n">
        <v>5358849134</v>
      </c>
      <c r="F1092" s="192" t="n">
        <f aca="false">SUMIF(ENTRADAS!F:F,CLIENTES_PCBR[[#This Row],[TELEFONO]],ENTRADAS!C:C)</f>
        <v>320</v>
      </c>
      <c r="G1092" s="189" t="s">
        <v>94</v>
      </c>
    </row>
    <row r="1093" customFormat="false" ht="15" hidden="false" customHeight="false" outlineLevel="0" collapsed="false">
      <c r="A1093" s="197" t="n">
        <v>46023</v>
      </c>
      <c r="B1093" s="191"/>
      <c r="C1093" s="190" t="s">
        <v>154</v>
      </c>
      <c r="D1093" s="191" t="n">
        <v>5548991753053</v>
      </c>
      <c r="E1093" s="190" t="s">
        <v>155</v>
      </c>
      <c r="F1093" s="192" t="n">
        <f aca="false">SUMIF(ENTRADAS!F:F,CLIENTES_PCBR[[#This Row],[TELEFONO]],ENTRADAS!C:C)</f>
        <v>284.51</v>
      </c>
      <c r="G1093" s="189" t="s">
        <v>94</v>
      </c>
    </row>
    <row r="1094" customFormat="false" ht="15" hidden="false" customHeight="false" outlineLevel="0" collapsed="false">
      <c r="A1094" s="197" t="n">
        <v>46023</v>
      </c>
      <c r="B1094" s="191"/>
      <c r="C1094" s="190" t="s">
        <v>156</v>
      </c>
      <c r="D1094" s="191" t="n">
        <v>5352428007</v>
      </c>
      <c r="E1094" s="190" t="s">
        <v>157</v>
      </c>
      <c r="F1094" s="192" t="n">
        <f aca="false">SUMIF(ENTRADAS!F:F,CLIENTES_PCBR[[#This Row],[TELEFONO]],ENTRADAS!C:C)</f>
        <v>180</v>
      </c>
      <c r="G1094" s="189" t="s">
        <v>94</v>
      </c>
    </row>
    <row r="1095" customFormat="false" ht="15" hidden="false" customHeight="false" outlineLevel="0" collapsed="false">
      <c r="A1095" s="197" t="n">
        <v>46023</v>
      </c>
      <c r="B1095" s="191"/>
      <c r="C1095" s="190" t="s">
        <v>163</v>
      </c>
      <c r="D1095" s="191" t="n">
        <v>555499593428</v>
      </c>
      <c r="F1095" s="192" t="n">
        <f aca="false">SUMIF(ENTRADAS!F:F,CLIENTES_PCBR[[#This Row],[TELEFONO]],ENTRADAS!C:C)</f>
        <v>150</v>
      </c>
      <c r="G1095" s="189" t="s">
        <v>94</v>
      </c>
    </row>
    <row r="1096" customFormat="false" ht="15" hidden="false" customHeight="false" outlineLevel="0" collapsed="false">
      <c r="A1096" s="197" t="n">
        <v>46023</v>
      </c>
      <c r="B1096" s="191"/>
      <c r="C1096" s="190" t="s">
        <v>167</v>
      </c>
      <c r="D1096" s="191" t="n">
        <v>5595920007750</v>
      </c>
      <c r="E1096" s="190" t="s">
        <v>168</v>
      </c>
      <c r="F1096" s="192" t="n">
        <f aca="false">SUMIF(ENTRADAS!F:F,CLIENTES_PCBR[[#This Row],[TELEFONO]],ENTRADAS!C:C)</f>
        <v>570</v>
      </c>
      <c r="G1096" s="189" t="s">
        <v>94</v>
      </c>
    </row>
    <row r="1097" customFormat="false" ht="15" hidden="false" customHeight="false" outlineLevel="0" collapsed="false">
      <c r="A1097" s="197" t="n">
        <v>46023</v>
      </c>
      <c r="B1097" s="191"/>
      <c r="C1097" s="190" t="s">
        <v>169</v>
      </c>
      <c r="D1097" s="191" t="n">
        <v>554899523485</v>
      </c>
      <c r="E1097" s="190" t="s">
        <v>170</v>
      </c>
      <c r="F1097" s="192" t="n">
        <f aca="false">SUMIF(ENTRADAS!F:F,CLIENTES_PCBR[[#This Row],[TELEFONO]],ENTRADAS!C:C)</f>
        <v>150</v>
      </c>
      <c r="G1097" s="189" t="s">
        <v>94</v>
      </c>
    </row>
    <row r="1098" customFormat="false" ht="15" hidden="false" customHeight="false" outlineLevel="0" collapsed="false">
      <c r="A1098" s="197" t="n">
        <v>46023</v>
      </c>
      <c r="B1098" s="191"/>
      <c r="C1098" s="190" t="s">
        <v>175</v>
      </c>
      <c r="D1098" s="191" t="n">
        <v>5527999533616</v>
      </c>
      <c r="E1098" s="190" t="s">
        <v>176</v>
      </c>
      <c r="F1098" s="192" t="n">
        <f aca="false">SUMIF(ENTRADAS!F:F,CLIENTES_PCBR[[#This Row],[TELEFONO]],ENTRADAS!C:C)</f>
        <v>1313</v>
      </c>
      <c r="G1098" s="189" t="s">
        <v>94</v>
      </c>
    </row>
    <row r="1099" customFormat="false" ht="15" hidden="false" customHeight="false" outlineLevel="0" collapsed="false">
      <c r="A1099" s="197" t="n">
        <v>46023</v>
      </c>
      <c r="B1099" s="191"/>
      <c r="C1099" s="190" t="s">
        <v>177</v>
      </c>
      <c r="D1099" s="191" t="n">
        <v>554197020243</v>
      </c>
      <c r="E1099" s="190" t="s">
        <v>178</v>
      </c>
      <c r="F1099" s="192" t="n">
        <f aca="false">SUMIF(ENTRADAS!F:F,CLIENTES_PCBR[[#This Row],[TELEFONO]],ENTRADAS!C:C)</f>
        <v>150</v>
      </c>
      <c r="G1099" s="189" t="s">
        <v>94</v>
      </c>
    </row>
    <row r="1100" customFormat="false" ht="15" hidden="false" customHeight="false" outlineLevel="0" collapsed="false">
      <c r="A1100" s="197" t="n">
        <v>46023</v>
      </c>
      <c r="B1100" s="191"/>
      <c r="C1100" s="190" t="s">
        <v>179</v>
      </c>
      <c r="D1100" s="191" t="n">
        <v>555496404223</v>
      </c>
      <c r="E1100" s="190" t="s">
        <v>180</v>
      </c>
      <c r="F1100" s="192" t="n">
        <f aca="false">SUMIF(ENTRADAS!F:F,CLIENTES_PCBR[[#This Row],[TELEFONO]],ENTRADAS!C:C)</f>
        <v>985</v>
      </c>
      <c r="G1100" s="189" t="s">
        <v>94</v>
      </c>
    </row>
    <row r="1101" customFormat="false" ht="15" hidden="false" customHeight="false" outlineLevel="0" collapsed="false">
      <c r="A1101" s="197" t="n">
        <v>46023</v>
      </c>
      <c r="B1101" s="191"/>
      <c r="C1101" s="190" t="s">
        <v>181</v>
      </c>
      <c r="D1101" s="191" t="n">
        <v>556499427827</v>
      </c>
      <c r="E1101" s="190" t="s">
        <v>182</v>
      </c>
      <c r="F1101" s="192" t="n">
        <f aca="false">SUMIF(ENTRADAS!F:F,CLIENTES_PCBR[[#This Row],[TELEFONO]],ENTRADAS!C:C)</f>
        <v>140</v>
      </c>
      <c r="G1101" s="189" t="s">
        <v>94</v>
      </c>
    </row>
    <row r="1102" customFormat="false" ht="15" hidden="false" customHeight="false" outlineLevel="0" collapsed="false">
      <c r="A1102" s="197" t="n">
        <v>46023</v>
      </c>
      <c r="B1102" s="191"/>
      <c r="C1102" s="190" t="s">
        <v>185</v>
      </c>
      <c r="D1102" s="191" t="n">
        <v>556293190449</v>
      </c>
      <c r="E1102" s="190" t="s">
        <v>186</v>
      </c>
      <c r="F1102" s="192" t="n">
        <f aca="false">SUMIF(ENTRADAS!F:F,CLIENTES_PCBR[[#This Row],[TELEFONO]],ENTRADAS!C:C)</f>
        <v>150</v>
      </c>
      <c r="G1102" s="189" t="s">
        <v>94</v>
      </c>
    </row>
    <row r="1103" customFormat="false" ht="15" hidden="false" customHeight="false" outlineLevel="0" collapsed="false">
      <c r="A1103" s="197" t="n">
        <v>46023</v>
      </c>
      <c r="B1103" s="191"/>
      <c r="C1103" s="190" t="s">
        <v>187</v>
      </c>
      <c r="D1103" s="191" t="n">
        <v>559292295665</v>
      </c>
      <c r="E1103" s="190" t="s">
        <v>188</v>
      </c>
      <c r="F1103" s="192" t="n">
        <f aca="false">SUMIF(ENTRADAS!F:F,CLIENTES_PCBR[[#This Row],[TELEFONO]],ENTRADAS!C:C)</f>
        <v>140</v>
      </c>
      <c r="G1103" s="189" t="s">
        <v>94</v>
      </c>
    </row>
    <row r="1104" customFormat="false" ht="15" hidden="false" customHeight="false" outlineLevel="0" collapsed="false">
      <c r="A1104" s="197" t="n">
        <v>46023</v>
      </c>
      <c r="B1104" s="191"/>
      <c r="C1104" s="190" t="s">
        <v>191</v>
      </c>
      <c r="D1104" s="191" t="n">
        <v>5519981147822</v>
      </c>
      <c r="E1104" s="190" t="s">
        <v>192</v>
      </c>
      <c r="F1104" s="192" t="n">
        <f aca="false">SUMIF(ENTRADAS!F:F,CLIENTES_PCBR[[#This Row],[TELEFONO]],ENTRADAS!C:C)</f>
        <v>150</v>
      </c>
      <c r="G1104" s="189" t="s">
        <v>94</v>
      </c>
    </row>
    <row r="1105" customFormat="false" ht="15" hidden="false" customHeight="false" outlineLevel="0" collapsed="false">
      <c r="A1105" s="197" t="n">
        <v>46023</v>
      </c>
      <c r="B1105" s="191"/>
      <c r="C1105" s="190" t="s">
        <v>194</v>
      </c>
      <c r="D1105" s="191" t="n">
        <v>559584033434</v>
      </c>
      <c r="E1105" s="190" t="s">
        <v>195</v>
      </c>
      <c r="F1105" s="192" t="n">
        <f aca="false">SUMIF(ENTRADAS!F:F,CLIENTES_PCBR[[#This Row],[TELEFONO]],ENTRADAS!C:C)</f>
        <v>900</v>
      </c>
      <c r="G1105" s="189" t="s">
        <v>94</v>
      </c>
    </row>
    <row r="1106" customFormat="false" ht="15" hidden="false" customHeight="false" outlineLevel="0" collapsed="false">
      <c r="A1106" s="197" t="n">
        <v>46023</v>
      </c>
      <c r="B1106" s="191"/>
      <c r="C1106" s="190" t="s">
        <v>196</v>
      </c>
      <c r="D1106" s="191" t="n">
        <v>556291727502</v>
      </c>
      <c r="E1106" s="190" t="s">
        <v>197</v>
      </c>
      <c r="F1106" s="192" t="n">
        <f aca="false">SUMIF(ENTRADAS!F:F,CLIENTES_PCBR[[#This Row],[TELEFONO]],ENTRADAS!C:C)</f>
        <v>400</v>
      </c>
      <c r="G1106" s="189" t="s">
        <v>94</v>
      </c>
    </row>
    <row r="1107" customFormat="false" ht="15" hidden="false" customHeight="false" outlineLevel="0" collapsed="false">
      <c r="A1107" s="197" t="n">
        <v>46023</v>
      </c>
      <c r="B1107" s="191"/>
      <c r="C1107" s="190" t="s">
        <v>198</v>
      </c>
      <c r="D1107" s="191" t="n">
        <v>554399109161</v>
      </c>
      <c r="E1107" s="190" t="s">
        <v>199</v>
      </c>
      <c r="F1107" s="192" t="n">
        <f aca="false">SUMIF(ENTRADAS!F:F,CLIENTES_PCBR[[#This Row],[TELEFONO]],ENTRADAS!C:C)</f>
        <v>90</v>
      </c>
      <c r="G1107" s="189" t="s">
        <v>94</v>
      </c>
    </row>
    <row r="1108" customFormat="false" ht="15" hidden="false" customHeight="false" outlineLevel="0" collapsed="false">
      <c r="A1108" s="197" t="n">
        <v>46023</v>
      </c>
      <c r="B1108" s="191"/>
      <c r="C1108" s="190" t="s">
        <v>200</v>
      </c>
      <c r="D1108" s="191" t="n">
        <v>554891043169</v>
      </c>
      <c r="E1108" s="190" t="s">
        <v>201</v>
      </c>
      <c r="F1108" s="192" t="n">
        <f aca="false">SUMIF(ENTRADAS!F:F,CLIENTES_PCBR[[#This Row],[TELEFONO]],ENTRADAS!C:C)</f>
        <v>200</v>
      </c>
      <c r="G1108" s="189" t="s">
        <v>94</v>
      </c>
    </row>
    <row r="1109" customFormat="false" ht="15" hidden="false" customHeight="false" outlineLevel="0" collapsed="false">
      <c r="A1109" s="197" t="n">
        <v>46023</v>
      </c>
      <c r="B1109" s="191"/>
      <c r="C1109" s="190" t="s">
        <v>205</v>
      </c>
      <c r="D1109" s="191" t="n">
        <v>5511972143364</v>
      </c>
      <c r="E1109" s="190" t="s">
        <v>206</v>
      </c>
      <c r="F1109" s="192" t="n">
        <f aca="false">SUMIF(ENTRADAS!F:F,CLIENTES_PCBR[[#This Row],[TELEFONO]],ENTRADAS!C:C)</f>
        <v>300</v>
      </c>
      <c r="G1109" s="189" t="s">
        <v>94</v>
      </c>
    </row>
    <row r="1110" customFormat="false" ht="15" hidden="false" customHeight="false" outlineLevel="0" collapsed="false">
      <c r="A1110" s="197" t="n">
        <v>46023</v>
      </c>
      <c r="B1110" s="191"/>
      <c r="C1110" s="190" t="s">
        <v>207</v>
      </c>
      <c r="D1110" s="191" t="n">
        <v>559684226988</v>
      </c>
      <c r="E1110" s="190" t="s">
        <v>208</v>
      </c>
      <c r="F1110" s="192" t="n">
        <f aca="false">SUMIF(ENTRADAS!F:F,CLIENTES_PCBR[[#This Row],[TELEFONO]],ENTRADAS!C:C)</f>
        <v>300</v>
      </c>
      <c r="G1110" s="189" t="s">
        <v>94</v>
      </c>
    </row>
    <row r="1111" customFormat="false" ht="15" hidden="false" customHeight="false" outlineLevel="0" collapsed="false">
      <c r="A1111" s="197" t="n">
        <v>46023</v>
      </c>
      <c r="B1111" s="191"/>
      <c r="C1111" s="190" t="s">
        <v>210</v>
      </c>
      <c r="D1111" s="191" t="n">
        <v>559584098028</v>
      </c>
      <c r="E1111" s="190" t="s">
        <v>211</v>
      </c>
      <c r="F1111" s="192" t="n">
        <f aca="false">SUMIF(ENTRADAS!F:F,CLIENTES_PCBR[[#This Row],[TELEFONO]],ENTRADAS!C:C)</f>
        <v>360</v>
      </c>
      <c r="G1111" s="189" t="s">
        <v>94</v>
      </c>
    </row>
    <row r="1112" customFormat="false" ht="15" hidden="false" customHeight="false" outlineLevel="0" collapsed="false">
      <c r="A1112" s="197" t="n">
        <v>46023</v>
      </c>
      <c r="B1112" s="191"/>
      <c r="C1112" s="190" t="s">
        <v>212</v>
      </c>
      <c r="D1112" s="191" t="n">
        <v>554884400484</v>
      </c>
      <c r="E1112" s="190" t="s">
        <v>213</v>
      </c>
      <c r="F1112" s="192" t="n">
        <f aca="false">SUMIF(ENTRADAS!F:F,CLIENTES_PCBR[[#This Row],[TELEFONO]],ENTRADAS!C:C)</f>
        <v>150</v>
      </c>
      <c r="G1112" s="189" t="s">
        <v>94</v>
      </c>
    </row>
    <row r="1113" customFormat="false" ht="15" hidden="false" customHeight="false" outlineLevel="0" collapsed="false">
      <c r="A1113" s="197" t="n">
        <v>46023</v>
      </c>
      <c r="B1113" s="191"/>
      <c r="C1113" s="190" t="s">
        <v>214</v>
      </c>
      <c r="D1113" s="191" t="n">
        <v>5595920012313</v>
      </c>
      <c r="E1113" s="190" t="s">
        <v>215</v>
      </c>
      <c r="F1113" s="192" t="n">
        <f aca="false">SUMIF(ENTRADAS!F:F,CLIENTES_PCBR[[#This Row],[TELEFONO]],ENTRADAS!C:C)</f>
        <v>160</v>
      </c>
      <c r="G1113" s="189" t="s">
        <v>94</v>
      </c>
    </row>
    <row r="1114" customFormat="false" ht="15" hidden="false" customHeight="false" outlineLevel="0" collapsed="false">
      <c r="A1114" s="197" t="n">
        <v>46023</v>
      </c>
      <c r="B1114" s="191"/>
      <c r="C1114" s="190" t="s">
        <v>217</v>
      </c>
      <c r="D1114" s="191" t="n">
        <v>559584217378</v>
      </c>
      <c r="E1114" s="190" t="s">
        <v>218</v>
      </c>
      <c r="F1114" s="192" t="n">
        <f aca="false">SUMIF(ENTRADAS!F:F,CLIENTES_PCBR[[#This Row],[TELEFONO]],ENTRADAS!C:C)</f>
        <v>150</v>
      </c>
      <c r="G1114" s="189" t="s">
        <v>94</v>
      </c>
    </row>
    <row r="1115" customFormat="false" ht="15" hidden="false" customHeight="false" outlineLevel="0" collapsed="false">
      <c r="A1115" s="197" t="n">
        <v>46023</v>
      </c>
      <c r="B1115" s="191"/>
      <c r="C1115" s="190" t="s">
        <v>219</v>
      </c>
      <c r="D1115" s="191" t="n">
        <v>556291953437</v>
      </c>
      <c r="E1115" s="190" t="s">
        <v>220</v>
      </c>
      <c r="F1115" s="192" t="n">
        <f aca="false">SUMIF(ENTRADAS!F:F,CLIENTES_PCBR[[#This Row],[TELEFONO]],ENTRADAS!C:C)</f>
        <v>90</v>
      </c>
      <c r="G1115" s="189" t="s">
        <v>94</v>
      </c>
    </row>
    <row r="1116" customFormat="false" ht="15" hidden="false" customHeight="false" outlineLevel="0" collapsed="false">
      <c r="A1116" s="197" t="n">
        <v>46023</v>
      </c>
      <c r="B1116" s="191"/>
      <c r="C1116" s="190" t="s">
        <v>223</v>
      </c>
      <c r="D1116" s="191" t="n">
        <v>555491573911</v>
      </c>
      <c r="E1116" s="190" t="s">
        <v>224</v>
      </c>
      <c r="F1116" s="192" t="n">
        <f aca="false">SUMIF(ENTRADAS!F:F,CLIENTES_PCBR[[#This Row],[TELEFONO]],ENTRADAS!C:C)</f>
        <v>97</v>
      </c>
      <c r="G1116" s="189" t="s">
        <v>94</v>
      </c>
    </row>
    <row r="1117" customFormat="false" ht="15" hidden="false" customHeight="false" outlineLevel="0" collapsed="false">
      <c r="A1117" s="197" t="n">
        <v>46023</v>
      </c>
      <c r="B1117" s="191"/>
      <c r="C1117" s="190" t="s">
        <v>225</v>
      </c>
      <c r="D1117" s="191" t="n">
        <v>5511981103520</v>
      </c>
      <c r="E1117" s="190" t="s">
        <v>226</v>
      </c>
      <c r="F1117" s="192" t="n">
        <f aca="false">SUMIF(ENTRADAS!F:F,CLIENTES_PCBR[[#This Row],[TELEFONO]],ENTRADAS!C:C)</f>
        <v>150</v>
      </c>
      <c r="G1117" s="189" t="s">
        <v>94</v>
      </c>
    </row>
    <row r="1118" customFormat="false" ht="15" hidden="false" customHeight="false" outlineLevel="0" collapsed="false">
      <c r="A1118" s="197" t="n">
        <v>46023</v>
      </c>
      <c r="B1118" s="191"/>
      <c r="C1118" s="190" t="s">
        <v>228</v>
      </c>
      <c r="D1118" s="191" t="n">
        <v>559584224624</v>
      </c>
      <c r="E1118" s="190" t="s">
        <v>229</v>
      </c>
      <c r="F1118" s="192" t="n">
        <f aca="false">SUMIF(ENTRADAS!F:F,CLIENTES_PCBR[[#This Row],[TELEFONO]],ENTRADAS!C:C)</f>
        <v>90</v>
      </c>
      <c r="G1118" s="189" t="s">
        <v>94</v>
      </c>
    </row>
    <row r="1119" customFormat="false" ht="15" hidden="false" customHeight="false" outlineLevel="0" collapsed="false">
      <c r="A1119" s="197" t="n">
        <v>46023</v>
      </c>
      <c r="B1119" s="191"/>
      <c r="C1119" s="190" t="s">
        <v>233</v>
      </c>
      <c r="D1119" s="191" t="n">
        <v>554888710492</v>
      </c>
      <c r="E1119" s="190" t="s">
        <v>234</v>
      </c>
      <c r="F1119" s="192" t="n">
        <f aca="false">SUMIF(ENTRADAS!F:F,CLIENTES_PCBR[[#This Row],[TELEFONO]],ENTRADAS!C:C)</f>
        <v>150</v>
      </c>
      <c r="G1119" s="189" t="s">
        <v>94</v>
      </c>
    </row>
    <row r="1120" customFormat="false" ht="15" hidden="false" customHeight="false" outlineLevel="0" collapsed="false">
      <c r="A1120" s="197" t="n">
        <v>46023</v>
      </c>
      <c r="B1120" s="191"/>
      <c r="C1120" s="190" t="s">
        <v>235</v>
      </c>
      <c r="D1120" s="191" t="n">
        <v>559584069889</v>
      </c>
      <c r="E1120" s="190" t="s">
        <v>236</v>
      </c>
      <c r="F1120" s="192" t="n">
        <f aca="false">SUMIF(ENTRADAS!F:F,CLIENTES_PCBR[[#This Row],[TELEFONO]],ENTRADAS!C:C)</f>
        <v>150</v>
      </c>
      <c r="G1120" s="189" t="s">
        <v>94</v>
      </c>
    </row>
    <row r="1121" customFormat="false" ht="15" hidden="false" customHeight="false" outlineLevel="0" collapsed="false">
      <c r="A1121" s="197" t="n">
        <v>46023</v>
      </c>
      <c r="B1121" s="191"/>
      <c r="C1121" s="190" t="s">
        <v>238</v>
      </c>
      <c r="D1121" s="191" t="n">
        <v>554892223404</v>
      </c>
      <c r="E1121" s="190" t="s">
        <v>239</v>
      </c>
      <c r="F1121" s="192" t="n">
        <f aca="false">SUMIF(ENTRADAS!F:F,CLIENTES_PCBR[[#This Row],[TELEFONO]],ENTRADAS!C:C)</f>
        <v>80</v>
      </c>
      <c r="G1121" s="189" t="s">
        <v>94</v>
      </c>
    </row>
    <row r="1122" customFormat="false" ht="15" hidden="false" customHeight="false" outlineLevel="0" collapsed="false">
      <c r="A1122" s="197" t="n">
        <v>46023</v>
      </c>
      <c r="B1122" s="191"/>
      <c r="C1122" s="190" t="s">
        <v>241</v>
      </c>
      <c r="D1122" s="191" t="n">
        <v>559591699534</v>
      </c>
      <c r="F1122" s="192" t="n">
        <f aca="false">SUMIF(ENTRADAS!F:F,CLIENTES_PCBR[[#This Row],[TELEFONO]],ENTRADAS!C:C)</f>
        <v>150</v>
      </c>
      <c r="G1122" s="189" t="s">
        <v>94</v>
      </c>
    </row>
    <row r="1123" customFormat="false" ht="15" hidden="false" customHeight="false" outlineLevel="0" collapsed="false">
      <c r="A1123" s="197" t="n">
        <v>46023</v>
      </c>
      <c r="B1123" s="191"/>
      <c r="C1123" s="190" t="s">
        <v>243</v>
      </c>
      <c r="D1123" s="191" t="n">
        <v>553591616260</v>
      </c>
      <c r="E1123" s="190" t="s">
        <v>244</v>
      </c>
      <c r="F1123" s="192" t="n">
        <f aca="false">SUMIF(ENTRADAS!F:F,CLIENTES_PCBR[[#This Row],[TELEFONO]],ENTRADAS!C:C)</f>
        <v>430</v>
      </c>
      <c r="G1123" s="189" t="s">
        <v>94</v>
      </c>
    </row>
    <row r="1124" customFormat="false" ht="15" hidden="false" customHeight="false" outlineLevel="0" collapsed="false">
      <c r="A1124" s="197" t="n">
        <v>46023</v>
      </c>
      <c r="B1124" s="191"/>
      <c r="C1124" s="190" t="s">
        <v>245</v>
      </c>
      <c r="D1124" s="191" t="n">
        <v>554892221060</v>
      </c>
      <c r="E1124" s="190" t="s">
        <v>246</v>
      </c>
      <c r="F1124" s="192" t="n">
        <f aca="false">SUMIF(ENTRADAS!F:F,CLIENTES_PCBR[[#This Row],[TELEFONO]],ENTRADAS!C:C)</f>
        <v>150</v>
      </c>
      <c r="G1124" s="189" t="s">
        <v>94</v>
      </c>
    </row>
    <row r="1125" customFormat="false" ht="15" hidden="false" customHeight="false" outlineLevel="0" collapsed="false">
      <c r="A1125" s="197" t="n">
        <v>46023</v>
      </c>
      <c r="B1125" s="191"/>
      <c r="C1125" s="190" t="s">
        <v>247</v>
      </c>
      <c r="D1125" s="191" t="n">
        <v>554195677826</v>
      </c>
      <c r="F1125" s="192" t="n">
        <f aca="false">SUMIF(ENTRADAS!F:F,CLIENTES_PCBR[[#This Row],[TELEFONO]],ENTRADAS!C:C)</f>
        <v>150</v>
      </c>
      <c r="G1125" s="189" t="s">
        <v>94</v>
      </c>
    </row>
    <row r="1126" customFormat="false" ht="15" hidden="false" customHeight="false" outlineLevel="0" collapsed="false">
      <c r="A1126" s="197" t="n">
        <v>46023</v>
      </c>
      <c r="B1126" s="191"/>
      <c r="C1126" s="190" t="s">
        <v>248</v>
      </c>
      <c r="D1126" s="191" t="n">
        <v>5511976465945</v>
      </c>
      <c r="E1126" s="190" t="s">
        <v>249</v>
      </c>
      <c r="F1126" s="192" t="n">
        <f aca="false">SUMIF(ENTRADAS!F:F,CLIENTES_PCBR[[#This Row],[TELEFONO]],ENTRADAS!C:C)</f>
        <v>267</v>
      </c>
      <c r="G1126" s="189" t="s">
        <v>94</v>
      </c>
    </row>
    <row r="1127" customFormat="false" ht="15" hidden="false" customHeight="false" outlineLevel="0" collapsed="false">
      <c r="A1127" s="197" t="n">
        <v>46023</v>
      </c>
      <c r="B1127" s="191"/>
      <c r="C1127" s="190" t="s">
        <v>250</v>
      </c>
      <c r="D1127" s="191" t="n">
        <v>559684076463</v>
      </c>
      <c r="F1127" s="192" t="n">
        <f aca="false">SUMIF(ENTRADAS!F:F,CLIENTES_PCBR[[#This Row],[TELEFONO]],ENTRADAS!C:C)</f>
        <v>150</v>
      </c>
      <c r="G1127" s="189" t="s">
        <v>94</v>
      </c>
    </row>
    <row r="1128" customFormat="false" ht="15" hidden="false" customHeight="false" outlineLevel="0" collapsed="false">
      <c r="A1128" s="197" t="n">
        <v>46023</v>
      </c>
      <c r="B1128" s="191"/>
      <c r="C1128" s="190" t="s">
        <v>251</v>
      </c>
      <c r="D1128" s="191" t="n">
        <v>5358232839</v>
      </c>
      <c r="F1128" s="192" t="n">
        <f aca="false">SUMIF(ENTRADAS!F:F,CLIENTES_PCBR[[#This Row],[TELEFONO]],ENTRADAS!C:C)</f>
        <v>150</v>
      </c>
      <c r="G1128" s="189" t="s">
        <v>94</v>
      </c>
    </row>
    <row r="1129" customFormat="false" ht="15" hidden="false" customHeight="false" outlineLevel="0" collapsed="false">
      <c r="A1129" s="197" t="n">
        <v>46023</v>
      </c>
      <c r="B1129" s="191"/>
      <c r="C1129" s="190" t="s">
        <v>252</v>
      </c>
      <c r="D1129" s="191" t="n">
        <v>5511938011568</v>
      </c>
      <c r="E1129" s="190" t="s">
        <v>253</v>
      </c>
      <c r="F1129" s="192" t="n">
        <f aca="false">SUMIF(ENTRADAS!F:F,CLIENTES_PCBR[[#This Row],[TELEFONO]],ENTRADAS!C:C)</f>
        <v>392</v>
      </c>
      <c r="G1129" s="189" t="s">
        <v>94</v>
      </c>
    </row>
    <row r="1130" customFormat="false" ht="15" hidden="false" customHeight="false" outlineLevel="0" collapsed="false">
      <c r="A1130" s="197" t="n">
        <v>46023</v>
      </c>
      <c r="B1130" s="191"/>
      <c r="C1130" s="190" t="s">
        <v>254</v>
      </c>
      <c r="D1130" s="191" t="n">
        <v>553898460938</v>
      </c>
      <c r="E1130" s="190" t="s">
        <v>255</v>
      </c>
      <c r="F1130" s="192" t="n">
        <f aca="false">SUMIF(ENTRADAS!F:F,CLIENTES_PCBR[[#This Row],[TELEFONO]],ENTRADAS!C:C)</f>
        <v>294</v>
      </c>
      <c r="G1130" s="189" t="s">
        <v>94</v>
      </c>
    </row>
    <row r="1131" customFormat="false" ht="15" hidden="false" customHeight="false" outlineLevel="0" collapsed="false">
      <c r="A1131" s="197" t="n">
        <v>46023</v>
      </c>
      <c r="B1131" s="191"/>
      <c r="C1131" s="190" t="s">
        <v>256</v>
      </c>
      <c r="D1131" s="191" t="n">
        <v>559581022640</v>
      </c>
      <c r="F1131" s="192" t="n">
        <f aca="false">SUMIF(ENTRADAS!F:F,CLIENTES_PCBR[[#This Row],[TELEFONO]],ENTRADAS!C:C)</f>
        <v>180</v>
      </c>
      <c r="G1131" s="189" t="s">
        <v>94</v>
      </c>
    </row>
    <row r="1132" customFormat="false" ht="15" hidden="false" customHeight="false" outlineLevel="0" collapsed="false">
      <c r="A1132" s="197" t="n">
        <v>46023</v>
      </c>
      <c r="B1132" s="191"/>
      <c r="C1132" s="190" t="s">
        <v>258</v>
      </c>
      <c r="D1132" s="191" t="n">
        <v>5548988254427</v>
      </c>
      <c r="F1132" s="192" t="n">
        <f aca="false">SUMIF(ENTRADAS!F:F,CLIENTES_PCBR[[#This Row],[TELEFONO]],ENTRADAS!C:C)</f>
        <v>150</v>
      </c>
      <c r="G1132" s="189" t="s">
        <v>94</v>
      </c>
    </row>
    <row r="1133" customFormat="false" ht="15" hidden="false" customHeight="false" outlineLevel="0" collapsed="false">
      <c r="A1133" s="197" t="n">
        <v>46023</v>
      </c>
      <c r="B1133" s="191"/>
      <c r="C1133" s="190" t="s">
        <v>260</v>
      </c>
      <c r="D1133" s="191" t="n">
        <v>554791370820</v>
      </c>
      <c r="E1133" s="190" t="s">
        <v>261</v>
      </c>
      <c r="F1133" s="192" t="n">
        <f aca="false">SUMIF(ENTRADAS!F:F,CLIENTES_PCBR[[#This Row],[TELEFONO]],ENTRADAS!C:C)</f>
        <v>240</v>
      </c>
      <c r="G1133" s="189" t="s">
        <v>94</v>
      </c>
    </row>
    <row r="1134" customFormat="false" ht="15" hidden="false" customHeight="false" outlineLevel="0" collapsed="false">
      <c r="A1134" s="197" t="n">
        <v>46023</v>
      </c>
      <c r="B1134" s="191"/>
      <c r="C1134" s="190" t="s">
        <v>262</v>
      </c>
      <c r="D1134" s="191" t="n">
        <v>559584297991</v>
      </c>
      <c r="E1134" s="190" t="s">
        <v>263</v>
      </c>
      <c r="F1134" s="192" t="n">
        <f aca="false">SUMIF(ENTRADAS!F:F,CLIENTES_PCBR[[#This Row],[TELEFONO]],ENTRADAS!C:C)</f>
        <v>1000</v>
      </c>
      <c r="G1134" s="189" t="s">
        <v>94</v>
      </c>
    </row>
    <row r="1135" customFormat="false" ht="15" hidden="false" customHeight="false" outlineLevel="0" collapsed="false">
      <c r="A1135" s="197" t="n">
        <v>46023</v>
      </c>
      <c r="B1135" s="191"/>
      <c r="C1135" s="190" t="s">
        <v>265</v>
      </c>
      <c r="D1135" s="191" t="n">
        <v>5219986579643</v>
      </c>
      <c r="E1135" s="190" t="s">
        <v>266</v>
      </c>
      <c r="F1135" s="192" t="n">
        <f aca="false">SUMIF(ENTRADAS!F:F,CLIENTES_PCBR[[#This Row],[TELEFONO]],ENTRADAS!C:C)</f>
        <v>100</v>
      </c>
      <c r="G1135" s="189" t="s">
        <v>94</v>
      </c>
    </row>
    <row r="1136" customFormat="false" ht="15" hidden="false" customHeight="false" outlineLevel="0" collapsed="false">
      <c r="A1136" s="197" t="n">
        <v>46023</v>
      </c>
      <c r="B1136" s="191"/>
      <c r="C1136" s="190" t="s">
        <v>268</v>
      </c>
      <c r="D1136" s="191" t="n">
        <v>554195149904</v>
      </c>
      <c r="E1136" s="190" t="s">
        <v>269</v>
      </c>
      <c r="F1136" s="192" t="n">
        <f aca="false">SUMIF(ENTRADAS!F:F,CLIENTES_PCBR[[#This Row],[TELEFONO]],ENTRADAS!C:C)</f>
        <v>200</v>
      </c>
      <c r="G1136" s="189" t="s">
        <v>94</v>
      </c>
    </row>
    <row r="1137" customFormat="false" ht="15" hidden="false" customHeight="false" outlineLevel="0" collapsed="false">
      <c r="A1137" s="197" t="n">
        <v>46023</v>
      </c>
      <c r="B1137" s="191"/>
      <c r="C1137" s="190" t="s">
        <v>270</v>
      </c>
      <c r="D1137" s="191" t="n">
        <v>554185082889</v>
      </c>
      <c r="E1137" s="190" t="s">
        <v>271</v>
      </c>
      <c r="F1137" s="192" t="n">
        <f aca="false">SUMIF(ENTRADAS!F:F,CLIENTES_PCBR[[#This Row],[TELEFONO]],ENTRADAS!C:C)</f>
        <v>90</v>
      </c>
      <c r="G1137" s="189" t="s">
        <v>94</v>
      </c>
    </row>
    <row r="1138" customFormat="false" ht="15" hidden="false" customHeight="false" outlineLevel="0" collapsed="false">
      <c r="A1138" s="197" t="n">
        <v>46023</v>
      </c>
      <c r="B1138" s="191"/>
      <c r="C1138" s="190" t="s">
        <v>277</v>
      </c>
      <c r="D1138" s="191" t="n">
        <v>559584218547</v>
      </c>
      <c r="E1138" s="190" t="s">
        <v>278</v>
      </c>
      <c r="F1138" s="192" t="n">
        <f aca="false">SUMIF(ENTRADAS!F:F,CLIENTES_PCBR[[#This Row],[TELEFONO]],ENTRADAS!C:C)</f>
        <v>225</v>
      </c>
      <c r="G1138" s="189" t="s">
        <v>94</v>
      </c>
    </row>
    <row r="1139" customFormat="false" ht="15" hidden="false" customHeight="false" outlineLevel="0" collapsed="false">
      <c r="A1139" s="197" t="n">
        <v>46023</v>
      </c>
      <c r="B1139" s="191"/>
      <c r="C1139" s="190" t="s">
        <v>279</v>
      </c>
      <c r="D1139" s="191" t="n">
        <v>554197358577</v>
      </c>
      <c r="E1139" s="190" t="s">
        <v>280</v>
      </c>
      <c r="F1139" s="192" t="n">
        <f aca="false">SUMIF(ENTRADAS!F:F,CLIENTES_PCBR[[#This Row],[TELEFONO]],ENTRADAS!C:C)</f>
        <v>150</v>
      </c>
      <c r="G1139" s="189" t="s">
        <v>94</v>
      </c>
    </row>
    <row r="1140" customFormat="false" ht="15" hidden="false" customHeight="false" outlineLevel="0" collapsed="false">
      <c r="A1140" s="197" t="n">
        <v>46023</v>
      </c>
      <c r="B1140" s="191"/>
      <c r="C1140" s="190" t="s">
        <v>281</v>
      </c>
      <c r="D1140" s="191" t="n">
        <v>559584239520</v>
      </c>
      <c r="E1140" s="190" t="s">
        <v>282</v>
      </c>
      <c r="F1140" s="192" t="n">
        <f aca="false">SUMIF(ENTRADAS!F:F,CLIENTES_PCBR[[#This Row],[TELEFONO]],ENTRADAS!C:C)</f>
        <v>294</v>
      </c>
      <c r="G1140" s="189" t="s">
        <v>94</v>
      </c>
    </row>
    <row r="1141" customFormat="false" ht="15" hidden="false" customHeight="false" outlineLevel="0" collapsed="false">
      <c r="A1141" s="197" t="n">
        <v>46023</v>
      </c>
      <c r="B1141" s="191"/>
      <c r="C1141" s="190" t="s">
        <v>283</v>
      </c>
      <c r="D1141" s="191" t="n">
        <v>5511919505742</v>
      </c>
      <c r="F1141" s="192" t="n">
        <f aca="false">SUMIF(ENTRADAS!F:F,CLIENTES_PCBR[[#This Row],[TELEFONO]],ENTRADAS!C:C)</f>
        <v>230</v>
      </c>
      <c r="G1141" s="189" t="s">
        <v>94</v>
      </c>
    </row>
    <row r="1142" customFormat="false" ht="15" hidden="false" customHeight="false" outlineLevel="0" collapsed="false">
      <c r="A1142" s="197" t="n">
        <v>46023</v>
      </c>
      <c r="B1142" s="191"/>
      <c r="C1142" s="190" t="s">
        <v>284</v>
      </c>
      <c r="D1142" s="191" t="n">
        <v>5545984032301</v>
      </c>
      <c r="E1142" s="190" t="s">
        <v>285</v>
      </c>
      <c r="F1142" s="192" t="n">
        <f aca="false">SUMIF(ENTRADAS!F:F,CLIENTES_PCBR[[#This Row],[TELEFONO]],ENTRADAS!C:C)</f>
        <v>267</v>
      </c>
      <c r="G1142" s="189" t="s">
        <v>94</v>
      </c>
    </row>
    <row r="1143" customFormat="false" ht="15" hidden="false" customHeight="false" outlineLevel="0" collapsed="false">
      <c r="A1143" s="197" t="n">
        <v>46023</v>
      </c>
      <c r="B1143" s="191"/>
      <c r="C1143" s="190" t="s">
        <v>288</v>
      </c>
      <c r="D1143" s="191" t="n">
        <v>554891592085</v>
      </c>
      <c r="E1143" s="190" t="s">
        <v>289</v>
      </c>
      <c r="F1143" s="192" t="n">
        <f aca="false">SUMIF(ENTRADAS!F:F,CLIENTES_PCBR[[#This Row],[TELEFONO]],ENTRADAS!C:C)</f>
        <v>300</v>
      </c>
      <c r="G1143" s="189" t="s">
        <v>94</v>
      </c>
    </row>
    <row r="1144" customFormat="false" ht="15" hidden="false" customHeight="false" outlineLevel="0" collapsed="false">
      <c r="A1144" s="197" t="n">
        <v>46023</v>
      </c>
      <c r="B1144" s="191"/>
      <c r="C1144" s="190" t="s">
        <v>290</v>
      </c>
      <c r="D1144" s="191" t="n">
        <v>556592781023</v>
      </c>
      <c r="E1144" s="190" t="s">
        <v>291</v>
      </c>
      <c r="F1144" s="192" t="n">
        <f aca="false">SUMIF(ENTRADAS!F:F,CLIENTES_PCBR[[#This Row],[TELEFONO]],ENTRADAS!C:C)</f>
        <v>147</v>
      </c>
      <c r="G1144" s="189" t="s">
        <v>94</v>
      </c>
    </row>
    <row r="1145" customFormat="false" ht="15" hidden="false" customHeight="false" outlineLevel="0" collapsed="false">
      <c r="A1145" s="197" t="n">
        <v>46023</v>
      </c>
      <c r="B1145" s="191"/>
      <c r="C1145" s="190" t="s">
        <v>292</v>
      </c>
      <c r="D1145" s="191" t="n">
        <v>5515997610656</v>
      </c>
      <c r="E1145" s="190" t="s">
        <v>293</v>
      </c>
      <c r="F1145" s="192" t="n">
        <f aca="false">SUMIF(ENTRADAS!F:F,CLIENTES_PCBR[[#This Row],[TELEFONO]],ENTRADAS!C:C)</f>
        <v>147</v>
      </c>
      <c r="G1145" s="189" t="s">
        <v>94</v>
      </c>
    </row>
    <row r="1146" customFormat="false" ht="15" hidden="false" customHeight="false" outlineLevel="0" collapsed="false">
      <c r="A1146" s="197" t="n">
        <v>46023</v>
      </c>
      <c r="B1146" s="191"/>
      <c r="C1146" s="190" t="s">
        <v>296</v>
      </c>
      <c r="D1146" s="191" t="n">
        <v>559584273585</v>
      </c>
      <c r="E1146" s="190" t="s">
        <v>297</v>
      </c>
      <c r="F1146" s="192" t="n">
        <f aca="false">SUMIF(ENTRADAS!F:F,CLIENTES_PCBR[[#This Row],[TELEFONO]],ENTRADAS!C:C)</f>
        <v>237</v>
      </c>
      <c r="G1146" s="189" t="s">
        <v>94</v>
      </c>
    </row>
    <row r="1147" customFormat="false" ht="15" hidden="false" customHeight="false" outlineLevel="0" collapsed="false">
      <c r="A1147" s="197" t="n">
        <v>46023</v>
      </c>
      <c r="B1147" s="191"/>
      <c r="C1147" s="190" t="s">
        <v>300</v>
      </c>
      <c r="D1147" s="191" t="n">
        <v>5519998985969</v>
      </c>
      <c r="E1147" s="190" t="s">
        <v>301</v>
      </c>
      <c r="F1147" s="192" t="n">
        <f aca="false">SUMIF(ENTRADAS!F:F,CLIENTES_PCBR[[#This Row],[TELEFONO]],ENTRADAS!C:C)</f>
        <v>291</v>
      </c>
      <c r="G1147" s="189" t="s">
        <v>94</v>
      </c>
    </row>
    <row r="1148" customFormat="false" ht="15" hidden="false" customHeight="false" outlineLevel="0" collapsed="false">
      <c r="A1148" s="197" t="n">
        <v>46023</v>
      </c>
      <c r="B1148" s="191"/>
      <c r="C1148" s="190" t="s">
        <v>307</v>
      </c>
      <c r="D1148" s="191" t="n">
        <v>557183600311</v>
      </c>
      <c r="E1148" s="190" t="s">
        <v>308</v>
      </c>
      <c r="F1148" s="192" t="n">
        <f aca="false">SUMIF(ENTRADAS!F:F,CLIENTES_PCBR[[#This Row],[TELEFONO]],ENTRADAS!C:C)</f>
        <v>225</v>
      </c>
      <c r="G1148" s="189" t="s">
        <v>94</v>
      </c>
    </row>
    <row r="1149" customFormat="false" ht="15" hidden="false" customHeight="false" outlineLevel="0" collapsed="false">
      <c r="A1149" s="197" t="n">
        <v>46023</v>
      </c>
      <c r="B1149" s="191"/>
      <c r="C1149" s="190" t="s">
        <v>310</v>
      </c>
      <c r="D1149" s="191" t="n">
        <v>556282267165</v>
      </c>
      <c r="E1149" s="190" t="s">
        <v>311</v>
      </c>
      <c r="F1149" s="192" t="n">
        <f aca="false">SUMIF(ENTRADAS!F:F,CLIENTES_PCBR[[#This Row],[TELEFONO]],ENTRADAS!C:C)</f>
        <v>300</v>
      </c>
      <c r="G1149" s="189" t="s">
        <v>94</v>
      </c>
    </row>
    <row r="1150" customFormat="false" ht="15" hidden="false" customHeight="false" outlineLevel="0" collapsed="false">
      <c r="A1150" s="197" t="n">
        <v>46023</v>
      </c>
      <c r="B1150" s="191"/>
      <c r="C1150" s="190" t="s">
        <v>312</v>
      </c>
      <c r="D1150" s="191" t="n">
        <v>5511930845594</v>
      </c>
      <c r="E1150" s="198"/>
      <c r="F1150" s="192" t="n">
        <f aca="false">SUMIF(ENTRADAS!F:F,CLIENTES_PCBR[[#This Row],[TELEFONO]],ENTRADAS!C:C)</f>
        <v>150</v>
      </c>
      <c r="G1150" s="189" t="s">
        <v>94</v>
      </c>
    </row>
    <row r="1151" customFormat="false" ht="15" hidden="false" customHeight="false" outlineLevel="0" collapsed="false">
      <c r="A1151" s="197" t="n">
        <v>46023</v>
      </c>
      <c r="B1151" s="191"/>
      <c r="C1151" s="190" t="s">
        <v>313</v>
      </c>
      <c r="D1151" s="191" t="n">
        <v>554991857313</v>
      </c>
      <c r="E1151" s="190" t="s">
        <v>314</v>
      </c>
      <c r="F1151" s="192" t="n">
        <f aca="false">SUMIF(ENTRADAS!F:F,CLIENTES_PCBR[[#This Row],[TELEFONO]],ENTRADAS!C:C)</f>
        <v>267</v>
      </c>
      <c r="G1151" s="189" t="s">
        <v>94</v>
      </c>
    </row>
    <row r="1152" customFormat="false" ht="15" hidden="false" customHeight="false" outlineLevel="0" collapsed="false">
      <c r="A1152" s="197" t="n">
        <v>46023</v>
      </c>
      <c r="B1152" s="191"/>
      <c r="C1152" s="190" t="s">
        <v>315</v>
      </c>
      <c r="D1152" s="191" t="n">
        <v>559591212862</v>
      </c>
      <c r="E1152" s="190" t="s">
        <v>316</v>
      </c>
      <c r="F1152" s="192" t="n">
        <f aca="false">SUMIF(ENTRADAS!F:F,CLIENTES_PCBR[[#This Row],[TELEFONO]],ENTRADAS!C:C)</f>
        <v>290</v>
      </c>
      <c r="G1152" s="189" t="s">
        <v>94</v>
      </c>
    </row>
    <row r="1153" customFormat="false" ht="15" hidden="false" customHeight="false" outlineLevel="0" collapsed="false">
      <c r="A1153" s="197" t="n">
        <v>46023</v>
      </c>
      <c r="B1153" s="191"/>
      <c r="C1153" s="190" t="s">
        <v>320</v>
      </c>
      <c r="D1153" s="191" t="n">
        <v>559574004024</v>
      </c>
      <c r="E1153" s="190" t="s">
        <v>321</v>
      </c>
      <c r="F1153" s="192" t="n">
        <f aca="false">SUMIF(ENTRADAS!F:F,CLIENTES_PCBR[[#This Row],[TELEFONO]],ENTRADAS!C:C)</f>
        <v>240</v>
      </c>
      <c r="G1153" s="189" t="s">
        <v>94</v>
      </c>
    </row>
    <row r="1154" customFormat="false" ht="15" hidden="false" customHeight="false" outlineLevel="0" collapsed="false">
      <c r="A1154" s="197" t="n">
        <v>46023</v>
      </c>
      <c r="B1154" s="191"/>
      <c r="C1154" s="190" t="s">
        <v>322</v>
      </c>
      <c r="D1154" s="191" t="n">
        <v>554591410925</v>
      </c>
      <c r="E1154" s="190" t="s">
        <v>323</v>
      </c>
      <c r="F1154" s="192" t="n">
        <f aca="false">SUMIF(ENTRADAS!F:F,CLIENTES_PCBR[[#This Row],[TELEFONO]],ENTRADAS!C:C)</f>
        <v>150</v>
      </c>
      <c r="G1154" s="189" t="s">
        <v>94</v>
      </c>
    </row>
    <row r="1155" customFormat="false" ht="15" hidden="false" customHeight="false" outlineLevel="0" collapsed="false">
      <c r="A1155" s="197" t="n">
        <v>46023</v>
      </c>
      <c r="B1155" s="191"/>
      <c r="C1155" s="190" t="s">
        <v>325</v>
      </c>
      <c r="D1155" s="191" t="n">
        <v>5541995438489</v>
      </c>
      <c r="E1155" s="190" t="s">
        <v>326</v>
      </c>
      <c r="F1155" s="192" t="n">
        <f aca="false">SUMIF(ENTRADAS!F:F,CLIENTES_PCBR[[#This Row],[TELEFONO]],ENTRADAS!C:C)</f>
        <v>90</v>
      </c>
      <c r="G1155" s="189" t="s">
        <v>94</v>
      </c>
    </row>
    <row r="1156" customFormat="false" ht="15" hidden="false" customHeight="false" outlineLevel="0" collapsed="false">
      <c r="A1156" s="197" t="n">
        <v>46023</v>
      </c>
      <c r="B1156" s="191"/>
      <c r="C1156" s="190" t="s">
        <v>330</v>
      </c>
      <c r="D1156" s="191" t="n">
        <v>5511994901726</v>
      </c>
      <c r="E1156" s="190" t="s">
        <v>331</v>
      </c>
      <c r="F1156" s="192" t="n">
        <f aca="false">SUMIF(ENTRADAS!F:F,CLIENTES_PCBR[[#This Row],[TELEFONO]],ENTRADAS!C:C)</f>
        <v>315</v>
      </c>
      <c r="G1156" s="189" t="s">
        <v>94</v>
      </c>
    </row>
    <row r="1157" customFormat="false" ht="15" hidden="false" customHeight="false" outlineLevel="0" collapsed="false">
      <c r="A1157" s="197" t="n">
        <v>46055</v>
      </c>
      <c r="B1157" s="191"/>
      <c r="C1157" s="190" t="s">
        <v>333</v>
      </c>
      <c r="D1157" s="191" t="n">
        <v>5541995345890</v>
      </c>
      <c r="E1157" s="190" t="s">
        <v>334</v>
      </c>
      <c r="F1157" s="192" t="n">
        <f aca="false">SUMIF(ENTRADAS!F:F,CLIENTES_PCBR[[#This Row],[TELEFONO]],ENTRADAS!C:C)</f>
        <v>135</v>
      </c>
      <c r="G1157" s="189" t="s">
        <v>94</v>
      </c>
    </row>
    <row r="1158" customFormat="false" ht="15" hidden="false" customHeight="false" outlineLevel="0" collapsed="false">
      <c r="A1158" s="197" t="n">
        <v>46055</v>
      </c>
      <c r="B1158" s="191"/>
      <c r="C1158" s="190" t="s">
        <v>336</v>
      </c>
      <c r="D1158" s="191" t="n">
        <v>5511991061427</v>
      </c>
      <c r="E1158" s="190" t="s">
        <v>337</v>
      </c>
      <c r="F1158" s="192" t="n">
        <f aca="false">SUMIF(ENTRADAS!F:F,CLIENTES_PCBR[[#This Row],[TELEFONO]],ENTRADAS!C:C)</f>
        <v>300</v>
      </c>
      <c r="G1158" s="189" t="s">
        <v>94</v>
      </c>
    </row>
    <row r="1159" customFormat="false" ht="15" hidden="false" customHeight="false" outlineLevel="0" collapsed="false">
      <c r="A1159" s="197" t="n">
        <v>46055</v>
      </c>
      <c r="B1159" s="191"/>
      <c r="C1159" s="190" t="s">
        <v>339</v>
      </c>
      <c r="D1159" s="191" t="n">
        <v>559584409492</v>
      </c>
      <c r="E1159" s="190" t="s">
        <v>340</v>
      </c>
      <c r="F1159" s="192" t="n">
        <f aca="false">SUMIF(ENTRADAS!F:F,CLIENTES_PCBR[[#This Row],[TELEFONO]],ENTRADAS!C:C)</f>
        <v>150</v>
      </c>
      <c r="G1159" s="189" t="s">
        <v>94</v>
      </c>
    </row>
    <row r="1160" customFormat="false" ht="15" hidden="false" customHeight="false" outlineLevel="0" collapsed="false">
      <c r="A1160" s="197" t="n">
        <v>46055</v>
      </c>
      <c r="B1160" s="191"/>
      <c r="C1160" s="190" t="s">
        <v>341</v>
      </c>
      <c r="D1160" s="191" t="n">
        <v>5521969875829</v>
      </c>
      <c r="E1160" s="190" t="s">
        <v>342</v>
      </c>
      <c r="F1160" s="192" t="n">
        <f aca="false">SUMIF(ENTRADAS!F:F,CLIENTES_PCBR[[#This Row],[TELEFONO]],ENTRADAS!C:C)</f>
        <v>247</v>
      </c>
      <c r="G1160" s="189" t="s">
        <v>94</v>
      </c>
    </row>
    <row r="1161" customFormat="false" ht="15" hidden="false" customHeight="false" outlineLevel="0" collapsed="false">
      <c r="A1161" s="197" t="n">
        <v>46055</v>
      </c>
      <c r="B1161" s="191"/>
      <c r="C1161" s="190" t="s">
        <v>343</v>
      </c>
      <c r="D1161" s="191" t="n">
        <v>559584157754</v>
      </c>
      <c r="E1161" s="190" t="s">
        <v>344</v>
      </c>
      <c r="F1161" s="192" t="n">
        <f aca="false">SUMIF(ENTRADAS!F:F,CLIENTES_PCBR[[#This Row],[TELEFONO]],ENTRADAS!C:C)</f>
        <v>194</v>
      </c>
      <c r="G1161" s="189" t="s">
        <v>94</v>
      </c>
    </row>
    <row r="1162" customFormat="false" ht="15" hidden="false" customHeight="false" outlineLevel="0" collapsed="false">
      <c r="A1162" s="197" t="n">
        <v>46055</v>
      </c>
      <c r="B1162" s="191"/>
      <c r="C1162" s="190" t="s">
        <v>346</v>
      </c>
      <c r="D1162" s="191" t="n">
        <v>559591552964</v>
      </c>
      <c r="E1162" s="190" t="s">
        <v>347</v>
      </c>
      <c r="F1162" s="192" t="n">
        <f aca="false">SUMIF(ENTRADAS!F:F,CLIENTES_PCBR[[#This Row],[TELEFONO]],ENTRADAS!C:C)</f>
        <v>150</v>
      </c>
      <c r="G1162" s="189" t="s">
        <v>94</v>
      </c>
    </row>
    <row r="1163" customFormat="false" ht="15" hidden="false" customHeight="false" outlineLevel="0" collapsed="false">
      <c r="A1163" s="197" t="n">
        <v>46055</v>
      </c>
      <c r="B1163" s="191"/>
      <c r="C1163" s="190" t="s">
        <v>350</v>
      </c>
      <c r="D1163" s="191" t="n">
        <v>559591631140</v>
      </c>
      <c r="E1163" s="190" t="s">
        <v>351</v>
      </c>
      <c r="F1163" s="192" t="n">
        <f aca="false">SUMIF(ENTRADAS!F:F,CLIENTES_PCBR[[#This Row],[TELEFONO]],ENTRADAS!C:C)</f>
        <v>97</v>
      </c>
      <c r="G1163" s="189" t="s">
        <v>94</v>
      </c>
    </row>
    <row r="1164" customFormat="false" ht="15" hidden="false" customHeight="false" outlineLevel="0" collapsed="false">
      <c r="A1164" s="197" t="n">
        <v>46055</v>
      </c>
      <c r="B1164" s="191"/>
      <c r="C1164" s="190" t="s">
        <v>353</v>
      </c>
      <c r="D1164" s="191" t="n">
        <v>554196335415</v>
      </c>
      <c r="E1164" s="190" t="s">
        <v>354</v>
      </c>
      <c r="F1164" s="192" t="n">
        <f aca="false">SUMIF(ENTRADAS!F:F,CLIENTES_PCBR[[#This Row],[TELEFONO]],ENTRADAS!C:C)</f>
        <v>194</v>
      </c>
      <c r="G1164" s="189" t="s">
        <v>94</v>
      </c>
    </row>
    <row r="1165" customFormat="false" ht="15" hidden="false" customHeight="false" outlineLevel="0" collapsed="false">
      <c r="A1165" s="197" t="n">
        <v>46054</v>
      </c>
      <c r="B1165" s="191"/>
      <c r="C1165" s="190" t="s">
        <v>361</v>
      </c>
      <c r="D1165" s="191" t="n">
        <v>559584285608</v>
      </c>
      <c r="E1165" s="190" t="s">
        <v>362</v>
      </c>
      <c r="F1165" s="192" t="n">
        <f aca="false">SUMIF(ENTRADAS!F:F,CLIENTES_PCBR[[#This Row],[TELEFONO]],ENTRADAS!C:C)</f>
        <v>90</v>
      </c>
      <c r="G1165" s="189" t="s">
        <v>94</v>
      </c>
    </row>
    <row r="1166" customFormat="false" ht="15" hidden="false" customHeight="false" outlineLevel="0" collapsed="false">
      <c r="A1166" s="197" t="n">
        <v>46055</v>
      </c>
      <c r="B1166" s="191"/>
      <c r="C1166" s="190" t="s">
        <v>364</v>
      </c>
      <c r="D1166" s="191" t="n">
        <v>554198700879</v>
      </c>
      <c r="F1166" s="192" t="n">
        <f aca="false">SUMIF(ENTRADAS!F:F,CLIENTES_PCBR[[#This Row],[TELEFONO]],ENTRADAS!C:C)</f>
        <v>500</v>
      </c>
      <c r="G1166" s="189" t="s">
        <v>94</v>
      </c>
    </row>
    <row r="1167" customFormat="false" ht="15" hidden="false" customHeight="false" outlineLevel="0" collapsed="false">
      <c r="A1167" s="197" t="n">
        <v>46055</v>
      </c>
      <c r="B1167" s="191"/>
      <c r="C1167" s="190" t="s">
        <v>367</v>
      </c>
      <c r="D1167" s="191" t="n">
        <v>556992121074</v>
      </c>
      <c r="F1167" s="192" t="n">
        <f aca="false">SUMIF(ENTRADAS!F:F,CLIENTES_PCBR[[#This Row],[TELEFONO]],ENTRADAS!C:C)</f>
        <v>500</v>
      </c>
      <c r="G1167" s="189" t="s">
        <v>94</v>
      </c>
    </row>
    <row r="1168" customFormat="false" ht="15" hidden="false" customHeight="false" outlineLevel="0" collapsed="false">
      <c r="A1168" s="197" t="n">
        <v>46056</v>
      </c>
      <c r="B1168" s="191"/>
      <c r="C1168" s="190" t="s">
        <v>370</v>
      </c>
      <c r="D1168" s="191" t="n">
        <v>559591206341</v>
      </c>
      <c r="E1168" s="190" t="s">
        <v>371</v>
      </c>
      <c r="F1168" s="192" t="n">
        <f aca="false">SUMIF(ENTRADAS!F:F,CLIENTES_PCBR[[#This Row],[TELEFONO]],ENTRADAS!C:C)</f>
        <v>147</v>
      </c>
      <c r="G1168" s="189" t="s">
        <v>94</v>
      </c>
    </row>
    <row r="1169" customFormat="false" ht="15" hidden="false" customHeight="false" outlineLevel="0" collapsed="false">
      <c r="A1169" s="197" t="n">
        <v>46056</v>
      </c>
      <c r="B1169" s="191"/>
      <c r="C1169" s="190" t="s">
        <v>373</v>
      </c>
      <c r="D1169" s="191" t="n">
        <v>554888249508</v>
      </c>
      <c r="E1169" s="190" t="s">
        <v>374</v>
      </c>
      <c r="F1169" s="192" t="n">
        <f aca="false">SUMIF(ENTRADAS!F:F,CLIENTES_PCBR[[#This Row],[TELEFONO]],ENTRADAS!C:C)</f>
        <v>390</v>
      </c>
      <c r="G1169" s="189" t="s">
        <v>94</v>
      </c>
    </row>
    <row r="1170" customFormat="false" ht="15" hidden="false" customHeight="false" outlineLevel="0" collapsed="false">
      <c r="A1170" s="197" t="n">
        <v>46056</v>
      </c>
      <c r="B1170" s="191"/>
      <c r="C1170" s="190" t="s">
        <v>375</v>
      </c>
      <c r="D1170" s="191" t="n">
        <v>554891876579</v>
      </c>
      <c r="E1170" s="190" t="s">
        <v>376</v>
      </c>
      <c r="F1170" s="192" t="n">
        <f aca="false">SUMIF(ENTRADAS!F:F,CLIENTES_PCBR[[#This Row],[TELEFONO]],ENTRADAS!C:C)</f>
        <v>120</v>
      </c>
      <c r="G1170" s="189" t="s">
        <v>94</v>
      </c>
    </row>
    <row r="1171" customFormat="false" ht="15" hidden="false" customHeight="false" outlineLevel="0" collapsed="false">
      <c r="A1171" s="197" t="n">
        <v>46056</v>
      </c>
      <c r="B1171" s="191"/>
      <c r="C1171" s="190" t="s">
        <v>377</v>
      </c>
      <c r="D1171" s="191" t="n">
        <v>5511950286989</v>
      </c>
      <c r="E1171" s="190" t="s">
        <v>378</v>
      </c>
      <c r="F1171" s="192" t="n">
        <f aca="false">SUMIF(ENTRADAS!F:F,CLIENTES_PCBR[[#This Row],[TELEFONO]],ENTRADAS!C:C)</f>
        <v>267</v>
      </c>
      <c r="G1171" s="189" t="s">
        <v>94</v>
      </c>
    </row>
    <row r="1172" customFormat="false" ht="15" hidden="false" customHeight="false" outlineLevel="0" collapsed="false">
      <c r="A1172" s="197" t="n">
        <v>46056</v>
      </c>
      <c r="B1172" s="191"/>
      <c r="C1172" s="190" t="s">
        <v>386</v>
      </c>
      <c r="D1172" s="191" t="n">
        <v>554796822290</v>
      </c>
      <c r="E1172" s="190" t="s">
        <v>387</v>
      </c>
      <c r="F1172" s="192" t="n">
        <f aca="false">SUMIF(ENTRADAS!F:F,CLIENTES_PCBR[[#This Row],[TELEFONO]],ENTRADAS!C:C)</f>
        <v>120</v>
      </c>
      <c r="G1172" s="189" t="s">
        <v>94</v>
      </c>
    </row>
    <row r="1173" customFormat="false" ht="15" hidden="false" customHeight="false" outlineLevel="0" collapsed="false">
      <c r="A1173" s="197" t="n">
        <v>46055</v>
      </c>
      <c r="B1173" s="191"/>
      <c r="C1173" s="190" t="s">
        <v>393</v>
      </c>
      <c r="D1173" s="191" t="n">
        <v>554891393292</v>
      </c>
      <c r="E1173" s="190" t="s">
        <v>394</v>
      </c>
      <c r="F1173" s="192" t="n">
        <f aca="false">SUMIF(ENTRADAS!F:F,CLIENTES_PCBR[[#This Row],[TELEFONO]],ENTRADAS!C:C)</f>
        <v>480</v>
      </c>
      <c r="G1173" s="189" t="s">
        <v>94</v>
      </c>
    </row>
    <row r="1174" customFormat="false" ht="15" hidden="false" customHeight="false" outlineLevel="0" collapsed="false">
      <c r="A1174" s="197" t="n">
        <v>46055</v>
      </c>
      <c r="B1174" s="191"/>
      <c r="C1174" s="190" t="s">
        <v>396</v>
      </c>
      <c r="D1174" s="191" t="n">
        <v>559295035429</v>
      </c>
      <c r="E1174" s="190" t="s">
        <v>397</v>
      </c>
      <c r="F1174" s="192" t="n">
        <f aca="false">SUMIF(ENTRADAS!F:F,CLIENTES_PCBR[[#This Row],[TELEFONO]],ENTRADAS!C:C)</f>
        <v>120</v>
      </c>
      <c r="G1174" s="189" t="s">
        <v>94</v>
      </c>
    </row>
    <row r="1175" customFormat="false" ht="15" hidden="false" customHeight="false" outlineLevel="0" collapsed="false">
      <c r="A1175" s="197" t="n">
        <v>46055</v>
      </c>
      <c r="B1175" s="191"/>
      <c r="C1175" s="190" t="s">
        <v>398</v>
      </c>
      <c r="D1175" s="191" t="n">
        <v>554199529757</v>
      </c>
      <c r="E1175" s="190" t="s">
        <v>399</v>
      </c>
      <c r="F1175" s="192" t="n">
        <f aca="false">SUMIF(ENTRADAS!F:F,CLIENTES_PCBR[[#This Row],[TELEFONO]],ENTRADAS!C:C)</f>
        <v>97</v>
      </c>
      <c r="G1175" s="189" t="s">
        <v>94</v>
      </c>
    </row>
    <row r="1176" customFormat="false" ht="15" hidden="false" customHeight="false" outlineLevel="0" collapsed="false">
      <c r="A1176" s="197" t="n">
        <v>46056</v>
      </c>
      <c r="B1176" s="191"/>
      <c r="C1176" s="190" t="s">
        <v>400</v>
      </c>
      <c r="D1176" s="191" t="n">
        <v>554198065234</v>
      </c>
      <c r="F1176" s="192" t="n">
        <f aca="false">SUMIF(ENTRADAS!F:F,CLIENTES_PCBR[[#This Row],[TELEFONO]],ENTRADAS!C:C)</f>
        <v>950</v>
      </c>
      <c r="G1176" s="189" t="s">
        <v>94</v>
      </c>
    </row>
    <row r="1177" customFormat="false" ht="15" hidden="false" customHeight="false" outlineLevel="0" collapsed="false">
      <c r="A1177" s="197" t="n">
        <v>46056</v>
      </c>
      <c r="B1177" s="191"/>
      <c r="C1177" s="190" t="s">
        <v>401</v>
      </c>
      <c r="D1177" s="191" t="n">
        <v>559584270638</v>
      </c>
      <c r="E1177" s="190" t="s">
        <v>402</v>
      </c>
      <c r="F1177" s="192" t="n">
        <f aca="false">SUMIF(ENTRADAS!F:F,CLIENTES_PCBR[[#This Row],[TELEFONO]],ENTRADAS!C:C)</f>
        <v>120</v>
      </c>
      <c r="G1177" s="189" t="s">
        <v>94</v>
      </c>
    </row>
    <row r="1178" customFormat="false" ht="15" hidden="false" customHeight="false" outlineLevel="0" collapsed="false">
      <c r="A1178" s="197" t="n">
        <v>46057</v>
      </c>
      <c r="B1178" s="191"/>
      <c r="C1178" s="190" t="s">
        <v>404</v>
      </c>
      <c r="D1178" s="191" t="n">
        <v>5562982116925</v>
      </c>
      <c r="F1178" s="192" t="n">
        <f aca="false">SUMIF(ENTRADAS!F:F,CLIENTES_PCBR[[#This Row],[TELEFONO]],ENTRADAS!C:C)</f>
        <v>150</v>
      </c>
      <c r="G1178" s="189" t="s">
        <v>94</v>
      </c>
    </row>
    <row r="1179" customFormat="false" ht="15" hidden="false" customHeight="false" outlineLevel="0" collapsed="false">
      <c r="A1179" s="197" t="n">
        <v>46057</v>
      </c>
      <c r="B1179" s="191"/>
      <c r="C1179" s="190" t="s">
        <v>405</v>
      </c>
      <c r="D1179" s="191" t="n">
        <v>555493624207</v>
      </c>
      <c r="F1179" s="192" t="n">
        <f aca="false">SUMIF(ENTRADAS!F:F,CLIENTES_PCBR[[#This Row],[TELEFONO]],ENTRADAS!C:C)</f>
        <v>140</v>
      </c>
      <c r="G1179" s="189" t="s">
        <v>94</v>
      </c>
    </row>
    <row r="1180" customFormat="false" ht="15" hidden="false" customHeight="false" outlineLevel="0" collapsed="false">
      <c r="A1180" s="197" t="n">
        <v>46057</v>
      </c>
      <c r="B1180" s="191"/>
      <c r="C1180" s="190" t="s">
        <v>407</v>
      </c>
      <c r="D1180" s="191" t="n">
        <v>5352578161</v>
      </c>
      <c r="E1180" s="190" t="s">
        <v>408</v>
      </c>
      <c r="F1180" s="192" t="n">
        <f aca="false">SUMIF(ENTRADAS!F:F,CLIENTES_PCBR[[#This Row],[TELEFONO]],ENTRADAS!C:C)</f>
        <v>180</v>
      </c>
      <c r="G1180" s="189" t="s">
        <v>94</v>
      </c>
    </row>
    <row r="1181" customFormat="false" ht="15" hidden="false" customHeight="false" outlineLevel="0" collapsed="false">
      <c r="A1181" s="197" t="n">
        <v>46057</v>
      </c>
      <c r="B1181" s="191"/>
      <c r="C1181" s="190" t="s">
        <v>410</v>
      </c>
      <c r="D1181" s="191" t="n">
        <v>556182203911</v>
      </c>
      <c r="E1181" s="190" t="s">
        <v>411</v>
      </c>
      <c r="F1181" s="192" t="n">
        <f aca="false">SUMIF(ENTRADAS!F:F,CLIENTES_PCBR[[#This Row],[TELEFONO]],ENTRADAS!C:C)</f>
        <v>97</v>
      </c>
      <c r="G1181" s="189" t="s">
        <v>94</v>
      </c>
    </row>
    <row r="1182" customFormat="false" ht="15" hidden="false" customHeight="false" outlineLevel="0" collapsed="false">
      <c r="A1182" s="197" t="n">
        <v>46057</v>
      </c>
      <c r="B1182" s="191"/>
      <c r="C1182" s="190" t="s">
        <v>413</v>
      </c>
      <c r="D1182" s="191" t="n">
        <v>555496030412</v>
      </c>
      <c r="E1182" s="190" t="s">
        <v>414</v>
      </c>
      <c r="F1182" s="192" t="n">
        <f aca="false">SUMIF(ENTRADAS!F:F,CLIENTES_PCBR[[#This Row],[TELEFONO]],ENTRADAS!C:C)</f>
        <v>360</v>
      </c>
      <c r="G1182" s="189" t="s">
        <v>94</v>
      </c>
    </row>
    <row r="1183" customFormat="false" ht="15" hidden="false" customHeight="false" outlineLevel="0" collapsed="false">
      <c r="A1183" s="197" t="n">
        <v>46057</v>
      </c>
      <c r="B1183" s="191"/>
      <c r="C1183" s="190" t="s">
        <v>415</v>
      </c>
      <c r="D1183" s="191" t="n">
        <v>555497130115</v>
      </c>
      <c r="F1183" s="192" t="n">
        <f aca="false">SUMIF(ENTRADAS!F:F,CLIENTES_PCBR[[#This Row],[TELEFONO]],ENTRADAS!C:C)</f>
        <v>147</v>
      </c>
      <c r="G1183" s="189" t="s">
        <v>94</v>
      </c>
    </row>
    <row r="1184" customFormat="false" ht="15" hidden="false" customHeight="false" outlineLevel="0" collapsed="false">
      <c r="A1184" s="197" t="n">
        <v>46057</v>
      </c>
      <c r="B1184" s="191"/>
      <c r="C1184" s="190" t="s">
        <v>419</v>
      </c>
      <c r="D1184" s="191" t="n">
        <v>554791936352</v>
      </c>
      <c r="E1184" s="190" t="s">
        <v>420</v>
      </c>
      <c r="F1184" s="192" t="n">
        <f aca="false">SUMIF(ENTRADAS!F:F,CLIENTES_PCBR[[#This Row],[TELEFONO]],ENTRADAS!C:C)</f>
        <v>1197</v>
      </c>
      <c r="G1184" s="189" t="s">
        <v>94</v>
      </c>
    </row>
    <row r="1185" customFormat="false" ht="15" hidden="false" customHeight="false" outlineLevel="0" collapsed="false">
      <c r="A1185" s="197" t="n">
        <v>46057</v>
      </c>
      <c r="B1185" s="191"/>
      <c r="C1185" s="190" t="s">
        <v>424</v>
      </c>
      <c r="D1185" s="191" t="n">
        <v>559684379823</v>
      </c>
      <c r="F1185" s="192" t="n">
        <f aca="false">SUMIF(ENTRADAS!F:F,CLIENTES_PCBR[[#This Row],[TELEFONO]],ENTRADAS!C:C)</f>
        <v>120</v>
      </c>
      <c r="G1185" s="189" t="s">
        <v>94</v>
      </c>
    </row>
    <row r="1186" customFormat="false" ht="15" hidden="false" customHeight="false" outlineLevel="0" collapsed="false">
      <c r="A1186" s="197" t="n">
        <v>46057</v>
      </c>
      <c r="B1186" s="191"/>
      <c r="C1186" s="190" t="s">
        <v>425</v>
      </c>
      <c r="D1186" s="191" t="n">
        <v>559185551838</v>
      </c>
      <c r="E1186" s="190" t="s">
        <v>426</v>
      </c>
      <c r="F1186" s="192" t="n">
        <f aca="false">SUMIF(ENTRADAS!F:F,CLIENTES_PCBR[[#This Row],[TELEFONO]],ENTRADAS!C:C)</f>
        <v>150</v>
      </c>
      <c r="G1186" s="189" t="s">
        <v>94</v>
      </c>
    </row>
    <row r="1187" customFormat="false" ht="15" hidden="false" customHeight="false" outlineLevel="0" collapsed="false">
      <c r="A1187" s="197" t="n">
        <v>46057</v>
      </c>
      <c r="B1187" s="191"/>
      <c r="C1187" s="190" t="s">
        <v>430</v>
      </c>
      <c r="D1187" s="191" t="n">
        <v>554195465524</v>
      </c>
      <c r="E1187" s="190" t="s">
        <v>431</v>
      </c>
      <c r="F1187" s="192" t="n">
        <f aca="false">SUMIF(ENTRADAS!F:F,CLIENTES_PCBR[[#This Row],[TELEFONO]],ENTRADAS!C:C)</f>
        <v>97</v>
      </c>
      <c r="G1187" s="189" t="s">
        <v>94</v>
      </c>
    </row>
    <row r="1188" customFormat="false" ht="15" hidden="false" customHeight="false" outlineLevel="0" collapsed="false">
      <c r="A1188" s="197" t="n">
        <v>46058</v>
      </c>
      <c r="B1188" s="191"/>
      <c r="C1188" s="190" t="s">
        <v>436</v>
      </c>
      <c r="D1188" s="191" t="n">
        <v>554796394436</v>
      </c>
      <c r="E1188" s="190" t="s">
        <v>437</v>
      </c>
      <c r="F1188" s="192" t="n">
        <f aca="false">SUMIF(ENTRADAS!F:F,CLIENTES_PCBR[[#This Row],[TELEFONO]],ENTRADAS!C:C)</f>
        <v>147</v>
      </c>
      <c r="G1188" s="189" t="s">
        <v>94</v>
      </c>
    </row>
    <row r="1189" customFormat="false" ht="15" hidden="false" customHeight="false" outlineLevel="0" collapsed="false">
      <c r="A1189" s="197" t="n">
        <v>46058</v>
      </c>
      <c r="B1189" s="191"/>
      <c r="C1189" s="190" t="s">
        <v>438</v>
      </c>
      <c r="D1189" s="191" t="n">
        <v>556182281409</v>
      </c>
      <c r="F1189" s="192" t="n">
        <f aca="false">SUMIF(ENTRADAS!F:F,CLIENTES_PCBR[[#This Row],[TELEFONO]],ENTRADAS!C:C)</f>
        <v>150</v>
      </c>
      <c r="G1189" s="189" t="s">
        <v>94</v>
      </c>
    </row>
    <row r="1190" customFormat="false" ht="15" hidden="false" customHeight="false" outlineLevel="0" collapsed="false">
      <c r="A1190" s="197" t="n">
        <v>46058</v>
      </c>
      <c r="B1190" s="191"/>
      <c r="C1190" s="190" t="s">
        <v>440</v>
      </c>
      <c r="D1190" s="191" t="n">
        <v>556191246670</v>
      </c>
      <c r="E1190" s="190" t="s">
        <v>441</v>
      </c>
      <c r="F1190" s="192" t="n">
        <f aca="false">SUMIF(ENTRADAS!F:F,CLIENTES_PCBR[[#This Row],[TELEFONO]],ENTRADAS!C:C)</f>
        <v>150</v>
      </c>
      <c r="G1190" s="189" t="s">
        <v>94</v>
      </c>
    </row>
    <row r="1191" customFormat="false" ht="15" hidden="false" customHeight="false" outlineLevel="0" collapsed="false">
      <c r="A1191" s="197" t="n">
        <v>46058</v>
      </c>
      <c r="B1191" s="191"/>
      <c r="C1191" s="190" t="s">
        <v>442</v>
      </c>
      <c r="D1191" s="191" t="n">
        <v>5519981574706</v>
      </c>
      <c r="E1191" s="190" t="s">
        <v>443</v>
      </c>
      <c r="F1191" s="192" t="n">
        <f aca="false">SUMIF(ENTRADAS!F:F,CLIENTES_PCBR[[#This Row],[TELEFONO]],ENTRADAS!C:C)</f>
        <v>140</v>
      </c>
      <c r="G1191" s="189" t="s">
        <v>94</v>
      </c>
    </row>
    <row r="1192" customFormat="false" ht="15" hidden="false" customHeight="false" outlineLevel="0" collapsed="false">
      <c r="A1192" s="197" t="n">
        <v>46058</v>
      </c>
      <c r="B1192" s="191"/>
      <c r="C1192" s="190" t="s">
        <v>444</v>
      </c>
      <c r="D1192" s="191" t="n">
        <v>559584301375</v>
      </c>
      <c r="F1192" s="192" t="n">
        <f aca="false">SUMIF(ENTRADAS!F:F,CLIENTES_PCBR[[#This Row],[TELEFONO]],ENTRADAS!C:C)</f>
        <v>150</v>
      </c>
      <c r="G1192" s="189" t="s">
        <v>94</v>
      </c>
    </row>
    <row r="1193" customFormat="false" ht="15" hidden="false" customHeight="false" outlineLevel="0" collapsed="false">
      <c r="A1193" s="197" t="n">
        <v>46058</v>
      </c>
      <c r="B1193" s="191"/>
      <c r="C1193" s="190" t="s">
        <v>445</v>
      </c>
      <c r="D1193" s="191" t="n">
        <v>5978206983</v>
      </c>
      <c r="E1193" s="190" t="s">
        <v>446</v>
      </c>
      <c r="F1193" s="192" t="n">
        <f aca="false">SUMIF(ENTRADAS!F:F,CLIENTES_PCBR[[#This Row],[TELEFONO]],ENTRADAS!C:C)</f>
        <v>150</v>
      </c>
      <c r="G1193" s="189" t="s">
        <v>94</v>
      </c>
    </row>
    <row r="1194" customFormat="false" ht="15" hidden="false" customHeight="false" outlineLevel="0" collapsed="false">
      <c r="A1194" s="197" t="n">
        <v>46058</v>
      </c>
      <c r="B1194" s="191"/>
      <c r="C1194" s="190" t="s">
        <v>448</v>
      </c>
      <c r="D1194" s="191" t="n">
        <v>555180467608</v>
      </c>
      <c r="E1194" s="190" t="s">
        <v>449</v>
      </c>
      <c r="F1194" s="192" t="n">
        <f aca="false">SUMIF(ENTRADAS!F:F,CLIENTES_PCBR[[#This Row],[TELEFONO]],ENTRADAS!C:C)</f>
        <v>90</v>
      </c>
      <c r="G1194" s="189" t="s">
        <v>94</v>
      </c>
    </row>
    <row r="1195" customFormat="false" ht="15" hidden="false" customHeight="false" outlineLevel="0" collapsed="false">
      <c r="A1195" s="197" t="n">
        <v>46058</v>
      </c>
      <c r="B1195" s="191"/>
      <c r="C1195" s="190" t="s">
        <v>450</v>
      </c>
      <c r="D1195" s="191" t="n">
        <v>556796990362</v>
      </c>
      <c r="E1195" s="190" t="s">
        <v>451</v>
      </c>
      <c r="F1195" s="192" t="n">
        <f aca="false">SUMIF(ENTRADAS!F:F,CLIENTES_PCBR[[#This Row],[TELEFONO]],ENTRADAS!C:C)</f>
        <v>150</v>
      </c>
      <c r="G1195" s="189" t="s">
        <v>94</v>
      </c>
    </row>
    <row r="1196" customFormat="false" ht="15" hidden="false" customHeight="false" outlineLevel="0" collapsed="false">
      <c r="A1196" s="197" t="n">
        <v>46058</v>
      </c>
      <c r="B1196" s="191"/>
      <c r="C1196" s="190" t="s">
        <v>452</v>
      </c>
      <c r="D1196" s="191" t="n">
        <v>554188940578</v>
      </c>
      <c r="E1196" s="190" t="s">
        <v>453</v>
      </c>
      <c r="F1196" s="192" t="n">
        <f aca="false">SUMIF(ENTRADAS!F:F,CLIENTES_PCBR[[#This Row],[TELEFONO]],ENTRADAS!C:C)</f>
        <v>147</v>
      </c>
      <c r="G1196" s="189" t="s">
        <v>94</v>
      </c>
    </row>
    <row r="1197" customFormat="false" ht="15" hidden="false" customHeight="false" outlineLevel="0" collapsed="false">
      <c r="A1197" s="197" t="n">
        <v>46058</v>
      </c>
      <c r="B1197" s="191"/>
      <c r="C1197" s="190" t="s">
        <v>454</v>
      </c>
      <c r="D1197" s="191" t="n">
        <v>559584150760</v>
      </c>
      <c r="E1197" s="190" t="s">
        <v>455</v>
      </c>
      <c r="F1197" s="192" t="n">
        <f aca="false">SUMIF(ENTRADAS!F:F,CLIENTES_PCBR[[#This Row],[TELEFONO]],ENTRADAS!C:C)</f>
        <v>150</v>
      </c>
      <c r="G1197" s="189" t="s">
        <v>94</v>
      </c>
    </row>
    <row r="1198" customFormat="false" ht="15" hidden="false" customHeight="false" outlineLevel="0" collapsed="false">
      <c r="A1198" s="197" t="n">
        <v>46058</v>
      </c>
      <c r="B1198" s="191"/>
      <c r="C1198" s="190" t="s">
        <v>456</v>
      </c>
      <c r="D1198" s="191" t="n">
        <v>554899373488</v>
      </c>
      <c r="E1198" s="190" t="s">
        <v>457</v>
      </c>
      <c r="F1198" s="192" t="n">
        <f aca="false">SUMIF(ENTRADAS!F:F,CLIENTES_PCBR[[#This Row],[TELEFONO]],ENTRADAS!C:C)</f>
        <v>480</v>
      </c>
      <c r="G1198" s="189" t="s">
        <v>94</v>
      </c>
    </row>
    <row r="1199" customFormat="false" ht="15" hidden="false" customHeight="false" outlineLevel="0" collapsed="false">
      <c r="A1199" s="197" t="n">
        <v>46058</v>
      </c>
      <c r="B1199" s="191"/>
      <c r="C1199" s="190" t="s">
        <v>458</v>
      </c>
      <c r="D1199" s="191" t="n">
        <v>558481672392</v>
      </c>
      <c r="F1199" s="192" t="n">
        <f aca="false">SUMIF(ENTRADAS!F:F,CLIENTES_PCBR[[#This Row],[TELEFONO]],ENTRADAS!C:C)</f>
        <v>200</v>
      </c>
      <c r="G1199" s="189" t="s">
        <v>94</v>
      </c>
    </row>
    <row r="1200" customFormat="false" ht="15" hidden="false" customHeight="false" outlineLevel="0" collapsed="false">
      <c r="A1200" s="197" t="n">
        <v>46058</v>
      </c>
      <c r="B1200" s="191"/>
      <c r="C1200" s="190" t="s">
        <v>459</v>
      </c>
      <c r="D1200" s="191" t="n">
        <v>554184546223</v>
      </c>
      <c r="E1200" s="190" t="s">
        <v>460</v>
      </c>
      <c r="F1200" s="192" t="n">
        <f aca="false">SUMIF(ENTRADAS!F:F,CLIENTES_PCBR[[#This Row],[TELEFONO]],ENTRADAS!C:C)</f>
        <v>60</v>
      </c>
      <c r="G1200" s="189" t="s">
        <v>94</v>
      </c>
    </row>
    <row r="1201" customFormat="false" ht="15" hidden="false" customHeight="false" outlineLevel="0" collapsed="false">
      <c r="A1201" s="197" t="n">
        <v>46059</v>
      </c>
      <c r="B1201" s="191"/>
      <c r="C1201" s="190" t="s">
        <v>462</v>
      </c>
      <c r="D1201" s="191" t="n">
        <v>554891355259</v>
      </c>
      <c r="E1201" s="190" t="s">
        <v>463</v>
      </c>
      <c r="F1201" s="192" t="n">
        <f aca="false">SUMIF(ENTRADAS!F:F,CLIENTES_PCBR[[#This Row],[TELEFONO]],ENTRADAS!C:C)</f>
        <v>120</v>
      </c>
      <c r="G1201" s="189" t="s">
        <v>94</v>
      </c>
    </row>
    <row r="1202" customFormat="false" ht="15" hidden="false" customHeight="false" outlineLevel="0" collapsed="false">
      <c r="A1202" s="197" t="n">
        <v>46059</v>
      </c>
      <c r="B1202" s="191"/>
      <c r="C1202" s="190" t="s">
        <v>464</v>
      </c>
      <c r="D1202" s="191" t="n">
        <v>554199077538</v>
      </c>
      <c r="E1202" s="190" t="s">
        <v>465</v>
      </c>
      <c r="F1202" s="192" t="n">
        <f aca="false">SUMIF(ENTRADAS!F:F,CLIENTES_PCBR[[#This Row],[TELEFONO]],ENTRADAS!C:C)</f>
        <v>97</v>
      </c>
      <c r="G1202" s="189" t="s">
        <v>94</v>
      </c>
    </row>
    <row r="1203" customFormat="false" ht="15" hidden="false" customHeight="false" outlineLevel="0" collapsed="false">
      <c r="A1203" s="197" t="n">
        <v>46058</v>
      </c>
      <c r="B1203" s="191"/>
      <c r="C1203" s="190" t="s">
        <v>466</v>
      </c>
      <c r="D1203" s="191" t="n">
        <v>5519981715481</v>
      </c>
      <c r="E1203" s="190" t="s">
        <v>467</v>
      </c>
      <c r="F1203" s="192" t="n">
        <f aca="false">SUMIF(ENTRADAS!F:F,CLIENTES_PCBR[[#This Row],[TELEFONO]],ENTRADAS!C:C)</f>
        <v>97</v>
      </c>
      <c r="G1203" s="189" t="s">
        <v>94</v>
      </c>
    </row>
    <row r="1204" customFormat="false" ht="15" hidden="false" customHeight="false" outlineLevel="0" collapsed="false">
      <c r="A1204" s="197" t="n">
        <v>46059</v>
      </c>
      <c r="B1204" s="191"/>
      <c r="C1204" s="190" t="s">
        <v>468</v>
      </c>
      <c r="D1204" s="191" t="n">
        <v>559574000950</v>
      </c>
      <c r="F1204" s="192" t="n">
        <f aca="false">SUMIF(ENTRADAS!F:F,CLIENTES_PCBR[[#This Row],[TELEFONO]],ENTRADAS!C:C)</f>
        <v>97</v>
      </c>
      <c r="G1204" s="189" t="s">
        <v>94</v>
      </c>
    </row>
    <row r="1205" customFormat="false" ht="15" hidden="false" customHeight="false" outlineLevel="0" collapsed="false">
      <c r="A1205" s="197" t="n">
        <v>46059</v>
      </c>
      <c r="B1205" s="191"/>
      <c r="C1205" s="190" t="s">
        <v>470</v>
      </c>
      <c r="D1205" s="191" t="n">
        <v>5554999456197</v>
      </c>
      <c r="F1205" s="192" t="n">
        <f aca="false">SUMIF(ENTRADAS!F:F,CLIENTES_PCBR[[#This Row],[TELEFONO]],ENTRADAS!C:C)</f>
        <v>850</v>
      </c>
      <c r="G1205" s="189" t="s">
        <v>94</v>
      </c>
    </row>
    <row r="1206" customFormat="false" ht="15" hidden="false" customHeight="false" outlineLevel="0" collapsed="false">
      <c r="A1206" s="197" t="n">
        <v>46059</v>
      </c>
      <c r="B1206" s="191"/>
      <c r="C1206" s="190" t="s">
        <v>471</v>
      </c>
      <c r="D1206" s="191" t="n">
        <v>5511981656902</v>
      </c>
      <c r="E1206" s="190" t="s">
        <v>472</v>
      </c>
      <c r="F1206" s="192" t="n">
        <f aca="false">SUMIF(ENTRADAS!F:F,CLIENTES_PCBR[[#This Row],[TELEFONO]],ENTRADAS!C:C)</f>
        <v>720</v>
      </c>
      <c r="G1206" s="189" t="s">
        <v>94</v>
      </c>
    </row>
    <row r="1207" customFormat="false" ht="15" hidden="false" customHeight="false" outlineLevel="0" collapsed="false">
      <c r="A1207" s="197" t="n">
        <v>46059</v>
      </c>
      <c r="B1207" s="191"/>
      <c r="C1207" s="190" t="s">
        <v>473</v>
      </c>
      <c r="D1207" s="191" t="n">
        <v>559691115942</v>
      </c>
      <c r="E1207" s="190" t="s">
        <v>475</v>
      </c>
      <c r="F1207" s="192" t="n">
        <f aca="false">SUMIF(ENTRADAS!F:F,CLIENTES_PCBR[[#This Row],[TELEFONO]],ENTRADAS!C:C)</f>
        <v>150</v>
      </c>
      <c r="G1207" s="189" t="s">
        <v>94</v>
      </c>
    </row>
    <row r="1208" customFormat="false" ht="15" hidden="false" customHeight="false" outlineLevel="0" collapsed="false">
      <c r="A1208" s="197" t="n">
        <v>46059</v>
      </c>
      <c r="B1208" s="191"/>
      <c r="C1208" s="190" t="s">
        <v>476</v>
      </c>
      <c r="D1208" s="191" t="n">
        <v>5515988353024</v>
      </c>
      <c r="E1208" s="190" t="s">
        <v>477</v>
      </c>
      <c r="F1208" s="192" t="n">
        <f aca="false">SUMIF(ENTRADAS!F:F,CLIENTES_PCBR[[#This Row],[TELEFONO]],ENTRADAS!C:C)</f>
        <v>150</v>
      </c>
      <c r="G1208" s="189" t="s">
        <v>94</v>
      </c>
    </row>
    <row r="1209" customFormat="false" ht="15" hidden="false" customHeight="false" outlineLevel="0" collapsed="false">
      <c r="A1209" s="197" t="n">
        <v>46059</v>
      </c>
      <c r="B1209" s="191"/>
      <c r="C1209" s="190" t="s">
        <v>479</v>
      </c>
      <c r="D1209" s="191" t="n">
        <v>556892494439</v>
      </c>
      <c r="E1209" s="190" t="s">
        <v>480</v>
      </c>
      <c r="F1209" s="192" t="n">
        <f aca="false">SUMIF(ENTRADAS!F:F,CLIENTES_PCBR[[#This Row],[TELEFONO]],ENTRADAS!C:C)</f>
        <v>147</v>
      </c>
      <c r="G1209" s="189" t="s">
        <v>94</v>
      </c>
    </row>
    <row r="1210" customFormat="false" ht="15" hidden="false" customHeight="false" outlineLevel="0" collapsed="false">
      <c r="A1210" s="197" t="n">
        <v>46059</v>
      </c>
      <c r="B1210" s="191"/>
      <c r="C1210" s="190" t="s">
        <v>481</v>
      </c>
      <c r="D1210" s="191" t="n">
        <v>554799469458</v>
      </c>
      <c r="E1210" s="190" t="s">
        <v>482</v>
      </c>
      <c r="F1210" s="192" t="n">
        <f aca="false">SUMIF(ENTRADAS!F:F,CLIENTES_PCBR[[#This Row],[TELEFONO]],ENTRADAS!C:C)</f>
        <v>194</v>
      </c>
      <c r="G1210" s="189" t="s">
        <v>94</v>
      </c>
    </row>
    <row r="1211" customFormat="false" ht="15" hidden="false" customHeight="false" outlineLevel="0" collapsed="false">
      <c r="A1211" s="197" t="n">
        <v>46059</v>
      </c>
      <c r="B1211" s="191"/>
      <c r="C1211" s="190" t="s">
        <v>484</v>
      </c>
      <c r="D1211" s="191" t="n">
        <v>5515998719885</v>
      </c>
      <c r="E1211" s="190" t="s">
        <v>485</v>
      </c>
      <c r="F1211" s="192" t="n">
        <f aca="false">SUMIF(ENTRADAS!F:F,CLIENTES_PCBR[[#This Row],[TELEFONO]],ENTRADAS!C:C)</f>
        <v>450</v>
      </c>
      <c r="G1211" s="189" t="s">
        <v>94</v>
      </c>
    </row>
    <row r="1212" customFormat="false" ht="15" hidden="false" customHeight="false" outlineLevel="0" collapsed="false">
      <c r="A1212" s="197" t="n">
        <v>46059</v>
      </c>
      <c r="B1212" s="191"/>
      <c r="C1212" s="190" t="s">
        <v>486</v>
      </c>
      <c r="D1212" s="191" t="n">
        <v>555491051058</v>
      </c>
      <c r="E1212" s="190" t="s">
        <v>487</v>
      </c>
      <c r="F1212" s="192" t="n">
        <f aca="false">SUMIF(ENTRADAS!F:F,CLIENTES_PCBR[[#This Row],[TELEFONO]],ENTRADAS!C:C)</f>
        <v>150</v>
      </c>
      <c r="G1212" s="189" t="s">
        <v>94</v>
      </c>
    </row>
    <row r="1213" customFormat="false" ht="15" hidden="false" customHeight="false" outlineLevel="0" collapsed="false">
      <c r="A1213" s="197" t="n">
        <v>46059</v>
      </c>
      <c r="B1213" s="191"/>
      <c r="C1213" s="190" t="s">
        <v>488</v>
      </c>
      <c r="D1213" s="191" t="n">
        <v>554888148413</v>
      </c>
      <c r="E1213" s="190" t="s">
        <v>489</v>
      </c>
      <c r="F1213" s="192" t="n">
        <f aca="false">SUMIF(ENTRADAS!F:F,CLIENTES_PCBR[[#This Row],[TELEFONO]],ENTRADAS!C:C)</f>
        <v>180</v>
      </c>
      <c r="G1213" s="189" t="s">
        <v>94</v>
      </c>
    </row>
    <row r="1214" customFormat="false" ht="15" hidden="false" customHeight="false" outlineLevel="0" collapsed="false">
      <c r="A1214" s="197" t="n">
        <v>46059</v>
      </c>
      <c r="B1214" s="191"/>
      <c r="C1214" s="190" t="s">
        <v>490</v>
      </c>
      <c r="D1214" s="191" t="n">
        <v>554899546712</v>
      </c>
      <c r="E1214" s="190" t="s">
        <v>491</v>
      </c>
      <c r="F1214" s="192" t="n">
        <f aca="false">SUMIF(ENTRADAS!F:F,CLIENTES_PCBR[[#This Row],[TELEFONO]],ENTRADAS!C:C)</f>
        <v>97</v>
      </c>
      <c r="G1214" s="189" t="s">
        <v>94</v>
      </c>
    </row>
    <row r="1215" customFormat="false" ht="15" hidden="false" customHeight="false" outlineLevel="0" collapsed="false">
      <c r="A1215" s="197" t="n">
        <v>46059</v>
      </c>
      <c r="B1215" s="191"/>
      <c r="C1215" s="190" t="s">
        <v>493</v>
      </c>
      <c r="D1215" s="191" t="n">
        <v>559591515615</v>
      </c>
      <c r="F1215" s="192" t="n">
        <f aca="false">SUMIF(ENTRADAS!F:F,CLIENTES_PCBR[[#This Row],[TELEFONO]],ENTRADAS!C:C)</f>
        <v>150</v>
      </c>
      <c r="G1215" s="189" t="s">
        <v>94</v>
      </c>
    </row>
    <row r="1216" customFormat="false" ht="15" hidden="false" customHeight="false" outlineLevel="0" collapsed="false">
      <c r="A1216" s="197" t="n">
        <v>46059</v>
      </c>
      <c r="B1216" s="191"/>
      <c r="C1216" s="190" t="s">
        <v>495</v>
      </c>
      <c r="D1216" s="191" t="n">
        <v>553799589574</v>
      </c>
      <c r="E1216" s="190" t="s">
        <v>496</v>
      </c>
      <c r="F1216" s="192" t="n">
        <f aca="false">SUMIF(ENTRADAS!F:F,CLIENTES_PCBR[[#This Row],[TELEFONO]],ENTRADAS!C:C)</f>
        <v>1441</v>
      </c>
      <c r="G1216" s="189" t="s">
        <v>94</v>
      </c>
    </row>
    <row r="1217" customFormat="false" ht="15" hidden="false" customHeight="false" outlineLevel="0" collapsed="false">
      <c r="A1217" s="197" t="n">
        <v>46059</v>
      </c>
      <c r="B1217" s="191"/>
      <c r="C1217" s="190" t="s">
        <v>498</v>
      </c>
      <c r="D1217" s="191" t="n">
        <v>559574003780</v>
      </c>
      <c r="E1217" s="190" t="s">
        <v>499</v>
      </c>
      <c r="F1217" s="192" t="n">
        <f aca="false">SUMIF(ENTRADAS!F:F,CLIENTES_PCBR[[#This Row],[TELEFONO]],ENTRADAS!C:C)</f>
        <v>90</v>
      </c>
      <c r="G1217" s="189" t="s">
        <v>94</v>
      </c>
    </row>
    <row r="1218" customFormat="false" ht="15" hidden="false" customHeight="false" outlineLevel="0" collapsed="false">
      <c r="A1218" s="197" t="n">
        <v>46059</v>
      </c>
      <c r="B1218" s="191"/>
      <c r="C1218" s="190" t="s">
        <v>502</v>
      </c>
      <c r="D1218" s="191" t="n">
        <v>556184883893</v>
      </c>
      <c r="F1218" s="192" t="n">
        <f aca="false">SUMIF(ENTRADAS!F:F,CLIENTES_PCBR[[#This Row],[TELEFONO]],ENTRADAS!C:C)</f>
        <v>300</v>
      </c>
      <c r="G1218" s="189" t="s">
        <v>94</v>
      </c>
    </row>
    <row r="1219" customFormat="false" ht="15" hidden="false" customHeight="false" outlineLevel="0" collapsed="false">
      <c r="A1219" s="197" t="n">
        <v>46062</v>
      </c>
      <c r="B1219" s="191"/>
      <c r="C1219" s="190" t="s">
        <v>518</v>
      </c>
      <c r="D1219" s="191" t="n">
        <v>5511914109545</v>
      </c>
      <c r="F1219" s="192" t="n">
        <f aca="false">SUMIF(ENTRADAS!F:F,CLIENTES_PCBR[[#This Row],[TELEFONO]],ENTRADAS!C:C)</f>
        <v>150</v>
      </c>
      <c r="G1219" s="189" t="s">
        <v>94</v>
      </c>
    </row>
    <row r="1220" customFormat="false" ht="15" hidden="false" customHeight="false" outlineLevel="0" collapsed="false">
      <c r="A1220" s="197" t="n">
        <v>46062</v>
      </c>
      <c r="B1220" s="191"/>
      <c r="C1220" s="190" t="s">
        <v>520</v>
      </c>
      <c r="D1220" s="191" t="n">
        <v>5548988118678</v>
      </c>
      <c r="E1220" s="190" t="s">
        <v>521</v>
      </c>
      <c r="F1220" s="192" t="n">
        <f aca="false">SUMIF(ENTRADAS!F:F,CLIENTES_PCBR[[#This Row],[TELEFONO]],ENTRADAS!C:C)</f>
        <v>147</v>
      </c>
      <c r="G1220" s="189" t="s">
        <v>94</v>
      </c>
    </row>
    <row r="1221" customFormat="false" ht="15" hidden="false" customHeight="false" outlineLevel="0" collapsed="false">
      <c r="A1221" s="197" t="n">
        <v>46061</v>
      </c>
      <c r="B1221" s="191"/>
      <c r="C1221" s="190" t="s">
        <v>526</v>
      </c>
      <c r="D1221" s="191" t="n">
        <v>5355278360</v>
      </c>
      <c r="E1221" s="190" t="s">
        <v>527</v>
      </c>
      <c r="F1221" s="192" t="n">
        <f aca="false">SUMIF(ENTRADAS!F:F,CLIENTES_PCBR[[#This Row],[TELEFONO]],ENTRADAS!C:C)</f>
        <v>120</v>
      </c>
      <c r="G1221" s="189" t="s">
        <v>94</v>
      </c>
    </row>
    <row r="1222" customFormat="false" ht="15" hidden="false" customHeight="false" outlineLevel="0" collapsed="false">
      <c r="A1222" s="197" t="n">
        <v>46060</v>
      </c>
      <c r="B1222" s="191"/>
      <c r="C1222" s="190" t="s">
        <v>532</v>
      </c>
      <c r="D1222" s="191" t="n">
        <v>554195731097</v>
      </c>
      <c r="E1222" s="190" t="s">
        <v>533</v>
      </c>
      <c r="F1222" s="192" t="n">
        <f aca="false">SUMIF(ENTRADAS!F:F,CLIENTES_PCBR[[#This Row],[TELEFONO]],ENTRADAS!C:C)</f>
        <v>97</v>
      </c>
      <c r="G1222" s="189" t="s">
        <v>94</v>
      </c>
    </row>
    <row r="1223" customFormat="false" ht="15" hidden="false" customHeight="false" outlineLevel="0" collapsed="false">
      <c r="A1223" s="197" t="n">
        <v>46062</v>
      </c>
      <c r="B1223" s="191"/>
      <c r="C1223" s="190" t="s">
        <v>535</v>
      </c>
      <c r="D1223" s="191" t="n">
        <v>554184341753</v>
      </c>
      <c r="E1223" s="190" t="s">
        <v>536</v>
      </c>
      <c r="F1223" s="192" t="n">
        <f aca="false">SUMIF(ENTRADAS!F:F,CLIENTES_PCBR[[#This Row],[TELEFONO]],ENTRADAS!C:C)</f>
        <v>147</v>
      </c>
      <c r="G1223" s="189" t="s">
        <v>94</v>
      </c>
    </row>
    <row r="1224" customFormat="false" ht="15" hidden="false" customHeight="false" outlineLevel="0" collapsed="false">
      <c r="A1224" s="197" t="n">
        <v>46062</v>
      </c>
      <c r="B1224" s="191"/>
      <c r="C1224" s="190" t="s">
        <v>538</v>
      </c>
      <c r="D1224" s="191" t="n">
        <v>559591413889</v>
      </c>
      <c r="E1224" s="190" t="s">
        <v>533</v>
      </c>
      <c r="F1224" s="192" t="n">
        <f aca="false">SUMIF(ENTRADAS!F:F,CLIENTES_PCBR[[#This Row],[TELEFONO]],ENTRADAS!C:C)</f>
        <v>120</v>
      </c>
      <c r="G1224" s="189" t="s">
        <v>94</v>
      </c>
    </row>
    <row r="1225" customFormat="false" ht="15" hidden="false" customHeight="false" outlineLevel="0" collapsed="false">
      <c r="A1225" s="197" t="n">
        <v>46062</v>
      </c>
      <c r="B1225" s="191"/>
      <c r="C1225" s="190" t="s">
        <v>540</v>
      </c>
      <c r="D1225" s="191" t="n">
        <v>559581257313</v>
      </c>
      <c r="E1225" s="199"/>
      <c r="F1225" s="192" t="n">
        <f aca="false">SUMIF(ENTRADAS!F:F,CLIENTES_PCBR[[#This Row],[TELEFONO]],ENTRADAS!C:C)</f>
        <v>600</v>
      </c>
      <c r="G1225" s="189" t="s">
        <v>94</v>
      </c>
    </row>
    <row r="1226" customFormat="false" ht="16.4" hidden="false" customHeight="false" outlineLevel="0" collapsed="false">
      <c r="A1226" s="197" t="n">
        <v>46062</v>
      </c>
      <c r="B1226" s="191"/>
      <c r="C1226" s="190" t="s">
        <v>541</v>
      </c>
      <c r="D1226" s="191" t="n">
        <v>559584259372</v>
      </c>
      <c r="E1226" s="200" t="s">
        <v>5519</v>
      </c>
      <c r="F1226" s="192" t="n">
        <f aca="false">SUMIF(ENTRADAS!F:F,CLIENTES_PCBR[[#This Row],[TELEFONO]],ENTRADAS!C:C)</f>
        <v>440</v>
      </c>
      <c r="G1226" s="189" t="s">
        <v>94</v>
      </c>
    </row>
    <row r="1227" customFormat="false" ht="15" hidden="false" customHeight="false" outlineLevel="0" collapsed="false">
      <c r="A1227" s="197" t="n">
        <v>46062</v>
      </c>
      <c r="B1227" s="191"/>
      <c r="C1227" s="190" t="s">
        <v>544</v>
      </c>
      <c r="D1227" s="191" t="n">
        <v>555496221711</v>
      </c>
      <c r="E1227" s="190" t="s">
        <v>545</v>
      </c>
      <c r="F1227" s="192" t="n">
        <f aca="false">SUMIF(ENTRADAS!F:F,CLIENTES_PCBR[[#This Row],[TELEFONO]],ENTRADAS!C:C)</f>
        <v>60</v>
      </c>
      <c r="G1227" s="189" t="s">
        <v>94</v>
      </c>
    </row>
    <row r="1228" customFormat="false" ht="15" hidden="false" customHeight="false" outlineLevel="0" collapsed="false">
      <c r="A1228" s="197" t="n">
        <v>46062</v>
      </c>
      <c r="B1228" s="191"/>
      <c r="C1228" s="190" t="s">
        <v>546</v>
      </c>
      <c r="D1228" s="191" t="n">
        <v>556296100124</v>
      </c>
      <c r="E1228" s="190" t="s">
        <v>547</v>
      </c>
      <c r="F1228" s="192" t="n">
        <f aca="false">SUMIF(ENTRADAS!F:F,CLIENTES_PCBR[[#This Row],[TELEFONO]],ENTRADAS!C:C)</f>
        <v>97</v>
      </c>
      <c r="G1228" s="189" t="s">
        <v>94</v>
      </c>
    </row>
    <row r="1229" customFormat="false" ht="15" hidden="false" customHeight="false" outlineLevel="0" collapsed="false">
      <c r="A1229" s="197" t="n">
        <v>46060</v>
      </c>
      <c r="B1229" s="191"/>
      <c r="C1229" s="190" t="s">
        <v>549</v>
      </c>
      <c r="D1229" s="191" t="n">
        <v>5511996128658</v>
      </c>
      <c r="E1229" s="190" t="s">
        <v>550</v>
      </c>
      <c r="F1229" s="192" t="n">
        <f aca="false">SUMIF(ENTRADAS!F:F,CLIENTES_PCBR[[#This Row],[TELEFONO]],ENTRADAS!C:C)</f>
        <v>100</v>
      </c>
      <c r="G1229" s="189" t="s">
        <v>94</v>
      </c>
    </row>
    <row r="1230" customFormat="false" ht="15" hidden="false" customHeight="false" outlineLevel="0" collapsed="false">
      <c r="A1230" s="197" t="n">
        <v>46062</v>
      </c>
      <c r="B1230" s="191"/>
      <c r="C1230" s="190" t="s">
        <v>552</v>
      </c>
      <c r="D1230" s="191" t="n">
        <v>5512997171486</v>
      </c>
      <c r="F1230" s="192" t="n">
        <f aca="false">SUMIF(ENTRADAS!F:F,CLIENTES_PCBR[[#This Row],[TELEFONO]],ENTRADAS!C:C)</f>
        <v>150</v>
      </c>
      <c r="G1230" s="189" t="s">
        <v>94</v>
      </c>
    </row>
    <row r="1231" customFormat="false" ht="15" hidden="false" customHeight="false" outlineLevel="0" collapsed="false">
      <c r="A1231" s="197" t="n">
        <v>46062</v>
      </c>
      <c r="B1231" s="191"/>
      <c r="C1231" s="190" t="s">
        <v>553</v>
      </c>
      <c r="D1231" s="191" t="n">
        <v>559684137851</v>
      </c>
      <c r="E1231" s="190" t="s">
        <v>554</v>
      </c>
      <c r="F1231" s="192" t="n">
        <f aca="false">SUMIF(ENTRADAS!F:F,CLIENTES_PCBR[[#This Row],[TELEFONO]],ENTRADAS!C:C)</f>
        <v>150</v>
      </c>
      <c r="G1231" s="189" t="s">
        <v>94</v>
      </c>
    </row>
    <row r="1232" customFormat="false" ht="15" hidden="false" customHeight="false" outlineLevel="0" collapsed="false">
      <c r="A1232" s="197" t="n">
        <v>46062</v>
      </c>
      <c r="B1232" s="191"/>
      <c r="C1232" s="190" t="s">
        <v>555</v>
      </c>
      <c r="D1232" s="191" t="n">
        <v>554195245057</v>
      </c>
      <c r="E1232" s="190" t="s">
        <v>556</v>
      </c>
      <c r="F1232" s="192" t="n">
        <f aca="false">SUMIF(ENTRADAS!F:F,CLIENTES_PCBR[[#This Row],[TELEFONO]],ENTRADAS!C:C)</f>
        <v>242</v>
      </c>
      <c r="G1232" s="189" t="s">
        <v>94</v>
      </c>
    </row>
    <row r="1233" customFormat="false" ht="15" hidden="false" customHeight="false" outlineLevel="0" collapsed="false">
      <c r="A1233" s="197" t="n">
        <v>46062</v>
      </c>
      <c r="B1233" s="191"/>
      <c r="C1233" s="190" t="s">
        <v>558</v>
      </c>
      <c r="D1233" s="191" t="n">
        <v>559584374405</v>
      </c>
      <c r="E1233" s="190" t="s">
        <v>559</v>
      </c>
      <c r="F1233" s="192" t="n">
        <f aca="false">SUMIF(ENTRADAS!F:F,CLIENTES_PCBR[[#This Row],[TELEFONO]],ENTRADAS!C:C)</f>
        <v>197</v>
      </c>
      <c r="G1233" s="189" t="s">
        <v>94</v>
      </c>
    </row>
    <row r="1234" customFormat="false" ht="15" hidden="false" customHeight="false" outlineLevel="0" collapsed="false">
      <c r="A1234" s="197" t="n">
        <v>46062</v>
      </c>
      <c r="B1234" s="191"/>
      <c r="C1234" s="190" t="s">
        <v>560</v>
      </c>
      <c r="D1234" s="191" t="n">
        <v>5511989492611</v>
      </c>
      <c r="E1234" s="190" t="s">
        <v>561</v>
      </c>
      <c r="F1234" s="192" t="n">
        <f aca="false">SUMIF(ENTRADAS!F:F,CLIENTES_PCBR[[#This Row],[TELEFONO]],ENTRADAS!C:C)</f>
        <v>150</v>
      </c>
      <c r="G1234" s="189" t="s">
        <v>94</v>
      </c>
    </row>
    <row r="1235" customFormat="false" ht="15" hidden="false" customHeight="false" outlineLevel="0" collapsed="false">
      <c r="A1235" s="197" t="n">
        <v>46059</v>
      </c>
      <c r="B1235" s="191"/>
      <c r="C1235" s="190" t="s">
        <v>562</v>
      </c>
      <c r="D1235" s="191" t="n">
        <v>554797276206</v>
      </c>
      <c r="E1235" s="190" t="s">
        <v>563</v>
      </c>
      <c r="F1235" s="192" t="n">
        <f aca="false">SUMIF(ENTRADAS!F:F,CLIENTES_PCBR[[#This Row],[TELEFONO]],ENTRADAS!C:C)</f>
        <v>140</v>
      </c>
      <c r="G1235" s="189" t="s">
        <v>94</v>
      </c>
    </row>
    <row r="1236" customFormat="false" ht="15" hidden="false" customHeight="false" outlineLevel="0" collapsed="false">
      <c r="A1236" s="197" t="n">
        <v>46059</v>
      </c>
      <c r="B1236" s="191"/>
      <c r="C1236" s="190" t="s">
        <v>564</v>
      </c>
      <c r="D1236" s="191" t="n">
        <v>554184536785</v>
      </c>
      <c r="E1236" s="190" t="s">
        <v>565</v>
      </c>
      <c r="F1236" s="192" t="n">
        <f aca="false">SUMIF(ENTRADAS!F:F,CLIENTES_PCBR[[#This Row],[TELEFONO]],ENTRADAS!C:C)</f>
        <v>300</v>
      </c>
      <c r="G1236" s="189" t="s">
        <v>94</v>
      </c>
    </row>
    <row r="1237" customFormat="false" ht="15" hidden="false" customHeight="false" outlineLevel="0" collapsed="false">
      <c r="A1237" s="197" t="n">
        <v>46059</v>
      </c>
      <c r="B1237" s="191"/>
      <c r="C1237" s="190" t="s">
        <v>566</v>
      </c>
      <c r="D1237" s="191" t="n">
        <v>554792283713</v>
      </c>
      <c r="E1237" s="190" t="s">
        <v>567</v>
      </c>
      <c r="F1237" s="192" t="n">
        <f aca="false">SUMIF(ENTRADAS!F:F,CLIENTES_PCBR[[#This Row],[TELEFONO]],ENTRADAS!C:C)</f>
        <v>267</v>
      </c>
      <c r="G1237" s="189" t="s">
        <v>94</v>
      </c>
    </row>
    <row r="1238" customFormat="false" ht="15" hidden="false" customHeight="false" outlineLevel="0" collapsed="false">
      <c r="A1238" s="197" t="n">
        <v>46062</v>
      </c>
      <c r="B1238" s="191"/>
      <c r="C1238" s="190" t="s">
        <v>571</v>
      </c>
      <c r="D1238" s="191" t="n">
        <v>553796633849</v>
      </c>
      <c r="E1238" s="190" t="s">
        <v>572</v>
      </c>
      <c r="F1238" s="192" t="n">
        <f aca="false">SUMIF(ENTRADAS!F:F,CLIENTES_PCBR[[#This Row],[TELEFONO]],ENTRADAS!C:C)</f>
        <v>147</v>
      </c>
      <c r="G1238" s="189" t="s">
        <v>94</v>
      </c>
    </row>
    <row r="1239" customFormat="false" ht="15" hidden="false" customHeight="false" outlineLevel="0" collapsed="false">
      <c r="A1239" s="197" t="n">
        <v>46063</v>
      </c>
      <c r="B1239" s="191"/>
      <c r="C1239" s="190" t="s">
        <v>575</v>
      </c>
      <c r="D1239" s="191" t="n">
        <v>5511992304927</v>
      </c>
      <c r="E1239" s="190" t="s">
        <v>576</v>
      </c>
      <c r="F1239" s="192" t="n">
        <f aca="false">SUMIF(ENTRADAS!F:F,CLIENTES_PCBR[[#This Row],[TELEFONO]],ENTRADAS!C:C)</f>
        <v>294</v>
      </c>
      <c r="G1239" s="189" t="s">
        <v>94</v>
      </c>
    </row>
    <row r="1240" customFormat="false" ht="15" hidden="false" customHeight="false" outlineLevel="0" collapsed="false">
      <c r="A1240" s="197" t="n">
        <v>46063</v>
      </c>
      <c r="B1240" s="191"/>
      <c r="C1240" s="190" t="s">
        <v>577</v>
      </c>
      <c r="D1240" s="191" t="n">
        <v>559584288985</v>
      </c>
      <c r="E1240" s="190" t="s">
        <v>578</v>
      </c>
      <c r="F1240" s="192" t="n">
        <f aca="false">SUMIF(ENTRADAS!F:F,CLIENTES_PCBR[[#This Row],[TELEFONO]],ENTRADAS!C:C)</f>
        <v>140</v>
      </c>
      <c r="G1240" s="189" t="s">
        <v>94</v>
      </c>
    </row>
    <row r="1241" customFormat="false" ht="15" hidden="false" customHeight="false" outlineLevel="0" collapsed="false">
      <c r="A1241" s="197" t="n">
        <v>46062</v>
      </c>
      <c r="B1241" s="191"/>
      <c r="C1241" s="190" t="s">
        <v>580</v>
      </c>
      <c r="D1241" s="191" t="n">
        <v>554891604682</v>
      </c>
      <c r="F1241" s="192" t="n">
        <f aca="false">SUMIF(ENTRADAS!F:F,CLIENTES_PCBR[[#This Row],[TELEFONO]],ENTRADAS!C:C)</f>
        <v>150</v>
      </c>
      <c r="G1241" s="189" t="s">
        <v>94</v>
      </c>
    </row>
    <row r="1242" customFormat="false" ht="15" hidden="false" customHeight="false" outlineLevel="0" collapsed="false">
      <c r="A1242" s="197" t="n">
        <v>46063</v>
      </c>
      <c r="B1242" s="191"/>
      <c r="C1242" s="190" t="s">
        <v>582</v>
      </c>
      <c r="D1242" s="191" t="n">
        <v>554198227019</v>
      </c>
      <c r="F1242" s="192" t="n">
        <f aca="false">SUMIF(ENTRADAS!F:F,CLIENTES_PCBR[[#This Row],[TELEFONO]],ENTRADAS!C:C)</f>
        <v>750</v>
      </c>
      <c r="G1242" s="189" t="s">
        <v>94</v>
      </c>
    </row>
    <row r="1243" customFormat="false" ht="15" hidden="false" customHeight="false" outlineLevel="0" collapsed="false">
      <c r="A1243" s="197" t="n">
        <v>46062</v>
      </c>
      <c r="B1243" s="191"/>
      <c r="C1243" s="190" t="s">
        <v>584</v>
      </c>
      <c r="D1243" s="191" t="n">
        <v>554888273081</v>
      </c>
      <c r="E1243" s="190" t="s">
        <v>585</v>
      </c>
      <c r="F1243" s="192" t="n">
        <f aca="false">SUMIF(ENTRADAS!F:F,CLIENTES_PCBR[[#This Row],[TELEFONO]],ENTRADAS!C:C)</f>
        <v>150</v>
      </c>
      <c r="G1243" s="189" t="s">
        <v>94</v>
      </c>
    </row>
    <row r="1244" customFormat="false" ht="15" hidden="false" customHeight="false" outlineLevel="0" collapsed="false">
      <c r="A1244" s="197" t="n">
        <v>46063</v>
      </c>
      <c r="B1244" s="191"/>
      <c r="C1244" s="190" t="s">
        <v>587</v>
      </c>
      <c r="D1244" s="191" t="n">
        <v>5511947417866</v>
      </c>
      <c r="E1244" s="190" t="s">
        <v>588</v>
      </c>
      <c r="F1244" s="192" t="n">
        <f aca="false">SUMIF(ENTRADAS!F:F,CLIENTES_PCBR[[#This Row],[TELEFONO]],ENTRADAS!C:C)</f>
        <v>97</v>
      </c>
      <c r="G1244" s="189" t="s">
        <v>94</v>
      </c>
    </row>
    <row r="1245" customFormat="false" ht="15" hidden="false" customHeight="false" outlineLevel="0" collapsed="false">
      <c r="A1245" s="197" t="n">
        <v>46062</v>
      </c>
      <c r="B1245" s="191"/>
      <c r="C1245" s="190" t="s">
        <v>589</v>
      </c>
      <c r="D1245" s="191" t="n">
        <v>559584303596</v>
      </c>
      <c r="E1245" s="190" t="s">
        <v>590</v>
      </c>
      <c r="F1245" s="192" t="n">
        <f aca="false">SUMIF(ENTRADAS!F:F,CLIENTES_PCBR[[#This Row],[TELEFONO]],ENTRADAS!C:C)</f>
        <v>120</v>
      </c>
      <c r="G1245" s="189" t="s">
        <v>94</v>
      </c>
    </row>
    <row r="1246" customFormat="false" ht="15" hidden="false" customHeight="false" outlineLevel="0" collapsed="false">
      <c r="A1246" s="197" t="n">
        <v>46063</v>
      </c>
      <c r="B1246" s="191"/>
      <c r="C1246" s="190" t="s">
        <v>592</v>
      </c>
      <c r="D1246" s="191" t="n">
        <v>559584159812</v>
      </c>
      <c r="F1246" s="192" t="n">
        <f aca="false">SUMIF(ENTRADAS!F:F,CLIENTES_PCBR[[#This Row],[TELEFONO]],ENTRADAS!C:C)</f>
        <v>300</v>
      </c>
      <c r="G1246" s="189" t="s">
        <v>94</v>
      </c>
    </row>
    <row r="1247" customFormat="false" ht="15" hidden="false" customHeight="false" outlineLevel="0" collapsed="false">
      <c r="A1247" s="197" t="n">
        <v>46063</v>
      </c>
      <c r="B1247" s="191"/>
      <c r="C1247" s="190" t="s">
        <v>593</v>
      </c>
      <c r="D1247" s="191" t="n">
        <v>559681212077</v>
      </c>
      <c r="E1247" s="190" t="s">
        <v>594</v>
      </c>
      <c r="F1247" s="192" t="n">
        <f aca="false">SUMIF(ENTRADAS!F:F,CLIENTES_PCBR[[#This Row],[TELEFONO]],ENTRADAS!C:C)</f>
        <v>147</v>
      </c>
      <c r="G1247" s="189" t="s">
        <v>94</v>
      </c>
    </row>
    <row r="1248" customFormat="false" ht="15" hidden="false" customHeight="false" outlineLevel="0" collapsed="false">
      <c r="A1248" s="197" t="n">
        <v>46063</v>
      </c>
      <c r="B1248" s="191"/>
      <c r="C1248" s="190" t="s">
        <v>596</v>
      </c>
      <c r="D1248" s="191" t="n">
        <v>559584049437</v>
      </c>
      <c r="F1248" s="192" t="n">
        <f aca="false">SUMIF(ENTRADAS!F:F,CLIENTES_PCBR[[#This Row],[TELEFONO]],ENTRADAS!C:C)</f>
        <v>140</v>
      </c>
      <c r="G1248" s="189" t="s">
        <v>94</v>
      </c>
    </row>
    <row r="1249" customFormat="false" ht="15" hidden="false" customHeight="false" outlineLevel="0" collapsed="false">
      <c r="A1249" s="197" t="n">
        <v>46063</v>
      </c>
      <c r="B1249" s="191"/>
      <c r="C1249" s="190" t="s">
        <v>598</v>
      </c>
      <c r="D1249" s="191" t="n">
        <v>554888678530</v>
      </c>
      <c r="E1249" s="190" t="s">
        <v>599</v>
      </c>
      <c r="F1249" s="192" t="n">
        <f aca="false">SUMIF(ENTRADAS!F:F,CLIENTES_PCBR[[#This Row],[TELEFONO]],ENTRADAS!C:C)</f>
        <v>300</v>
      </c>
      <c r="G1249" s="189" t="s">
        <v>94</v>
      </c>
    </row>
    <row r="1250" customFormat="false" ht="15" hidden="false" customHeight="false" outlineLevel="0" collapsed="false">
      <c r="A1250" s="197" t="n">
        <v>46062</v>
      </c>
      <c r="B1250" s="191"/>
      <c r="C1250" s="190" t="s">
        <v>602</v>
      </c>
      <c r="D1250" s="191" t="n">
        <v>5354714239</v>
      </c>
      <c r="E1250" s="190" t="s">
        <v>603</v>
      </c>
      <c r="F1250" s="192" t="n">
        <f aca="false">SUMIF(ENTRADAS!F:F,CLIENTES_PCBR[[#This Row],[TELEFONO]],ENTRADAS!C:C)</f>
        <v>300</v>
      </c>
      <c r="G1250" s="189" t="s">
        <v>94</v>
      </c>
    </row>
    <row r="1251" customFormat="false" ht="15" hidden="false" customHeight="false" outlineLevel="0" collapsed="false">
      <c r="A1251" s="197" t="n">
        <v>46063</v>
      </c>
      <c r="B1251" s="191"/>
      <c r="C1251" s="190" t="s">
        <v>605</v>
      </c>
      <c r="D1251" s="191" t="n">
        <v>554396374743</v>
      </c>
      <c r="F1251" s="192" t="n">
        <f aca="false">SUMIF(ENTRADAS!F:F,CLIENTES_PCBR[[#This Row],[TELEFONO]],ENTRADAS!C:C)</f>
        <v>500</v>
      </c>
      <c r="G1251" s="189" t="s">
        <v>94</v>
      </c>
    </row>
    <row r="1252" customFormat="false" ht="15" hidden="false" customHeight="false" outlineLevel="0" collapsed="false">
      <c r="A1252" s="197" t="n">
        <v>46063</v>
      </c>
      <c r="B1252" s="191"/>
      <c r="C1252" s="190" t="s">
        <v>607</v>
      </c>
      <c r="D1252" s="191" t="n">
        <v>554191664435</v>
      </c>
      <c r="E1252" s="190" t="s">
        <v>608</v>
      </c>
      <c r="F1252" s="192" t="n">
        <f aca="false">SUMIF(ENTRADAS!F:F,CLIENTES_PCBR[[#This Row],[TELEFONO]],ENTRADAS!C:C)</f>
        <v>300</v>
      </c>
      <c r="G1252" s="189" t="s">
        <v>94</v>
      </c>
    </row>
    <row r="1253" customFormat="false" ht="15" hidden="false" customHeight="false" outlineLevel="0" collapsed="false">
      <c r="A1253" s="197" t="n">
        <v>46063</v>
      </c>
      <c r="B1253" s="191"/>
      <c r="C1253" s="190" t="s">
        <v>609</v>
      </c>
      <c r="D1253" s="191" t="n">
        <v>554896730405</v>
      </c>
      <c r="E1253" s="190" t="s">
        <v>610</v>
      </c>
      <c r="F1253" s="192" t="n">
        <f aca="false">SUMIF(ENTRADAS!F:F,CLIENTES_PCBR[[#This Row],[TELEFONO]],ENTRADAS!C:C)</f>
        <v>120</v>
      </c>
      <c r="G1253" s="189" t="s">
        <v>94</v>
      </c>
    </row>
    <row r="1254" customFormat="false" ht="15" hidden="false" customHeight="false" outlineLevel="0" collapsed="false">
      <c r="A1254" s="197" t="n">
        <v>46063</v>
      </c>
      <c r="B1254" s="191"/>
      <c r="C1254" s="190" t="s">
        <v>611</v>
      </c>
      <c r="D1254" s="191" t="n">
        <v>554598428190</v>
      </c>
      <c r="E1254" s="190" t="s">
        <v>612</v>
      </c>
      <c r="F1254" s="192" t="n">
        <f aca="false">SUMIF(ENTRADAS!F:F,CLIENTES_PCBR[[#This Row],[TELEFONO]],ENTRADAS!C:C)</f>
        <v>267</v>
      </c>
      <c r="G1254" s="189" t="s">
        <v>94</v>
      </c>
    </row>
    <row r="1255" customFormat="false" ht="15" hidden="false" customHeight="false" outlineLevel="0" collapsed="false">
      <c r="A1255" s="197" t="n">
        <v>46062</v>
      </c>
      <c r="B1255" s="191"/>
      <c r="C1255" s="190" t="s">
        <v>613</v>
      </c>
      <c r="D1255" s="191" t="n">
        <v>554891328250</v>
      </c>
      <c r="F1255" s="192" t="n">
        <f aca="false">SUMIF(ENTRADAS!F:F,CLIENTES_PCBR[[#This Row],[TELEFONO]],ENTRADAS!C:C)</f>
        <v>400</v>
      </c>
      <c r="G1255" s="189" t="s">
        <v>94</v>
      </c>
    </row>
    <row r="1256" customFormat="false" ht="15" hidden="false" customHeight="false" outlineLevel="0" collapsed="false">
      <c r="A1256" s="197" t="n">
        <v>46063</v>
      </c>
      <c r="B1256" s="191"/>
      <c r="C1256" s="190" t="s">
        <v>615</v>
      </c>
      <c r="D1256" s="191" t="n">
        <v>559584242837</v>
      </c>
      <c r="E1256" s="190" t="s">
        <v>616</v>
      </c>
      <c r="F1256" s="192" t="n">
        <f aca="false">SUMIF(ENTRADAS!F:F,CLIENTES_PCBR[[#This Row],[TELEFONO]],ENTRADAS!C:C)</f>
        <v>90</v>
      </c>
      <c r="G1256" s="189" t="s">
        <v>94</v>
      </c>
    </row>
    <row r="1257" customFormat="false" ht="15" hidden="false" customHeight="false" outlineLevel="0" collapsed="false">
      <c r="A1257" s="197" t="n">
        <v>46063</v>
      </c>
      <c r="B1257" s="191"/>
      <c r="C1257" s="190" t="s">
        <v>617</v>
      </c>
      <c r="D1257" s="191" t="n">
        <v>554999284093</v>
      </c>
      <c r="E1257" s="190" t="s">
        <v>618</v>
      </c>
      <c r="F1257" s="192" t="n">
        <f aca="false">SUMIF(ENTRADAS!F:F,CLIENTES_PCBR[[#This Row],[TELEFONO]],ENTRADAS!C:C)</f>
        <v>147</v>
      </c>
      <c r="G1257" s="189" t="s">
        <v>94</v>
      </c>
    </row>
    <row r="1258" customFormat="false" ht="15" hidden="false" customHeight="false" outlineLevel="0" collapsed="false">
      <c r="A1258" s="197" t="n">
        <v>46064</v>
      </c>
      <c r="B1258" s="191"/>
      <c r="C1258" s="190" t="s">
        <v>623</v>
      </c>
      <c r="D1258" s="191" t="n">
        <v>559584377249</v>
      </c>
      <c r="E1258" s="190" t="s">
        <v>624</v>
      </c>
      <c r="F1258" s="192" t="n">
        <f aca="false">SUMIF(ENTRADAS!F:F,CLIENTES_PCBR[[#This Row],[TELEFONO]],ENTRADAS!C:C)</f>
        <v>150</v>
      </c>
      <c r="G1258" s="189" t="s">
        <v>94</v>
      </c>
    </row>
    <row r="1259" customFormat="false" ht="15" hidden="false" customHeight="false" outlineLevel="0" collapsed="false">
      <c r="A1259" s="197" t="n">
        <v>46063</v>
      </c>
      <c r="B1259" s="191"/>
      <c r="C1259" s="190" t="s">
        <v>626</v>
      </c>
      <c r="D1259" s="191" t="n">
        <v>554192270407</v>
      </c>
      <c r="E1259" s="190" t="s">
        <v>627</v>
      </c>
      <c r="F1259" s="192" t="n">
        <f aca="false">SUMIF(ENTRADAS!F:F,CLIENTES_PCBR[[#This Row],[TELEFONO]],ENTRADAS!C:C)</f>
        <v>150</v>
      </c>
      <c r="G1259" s="189" t="s">
        <v>94</v>
      </c>
    </row>
    <row r="1260" customFormat="false" ht="15" hidden="false" customHeight="false" outlineLevel="0" collapsed="false">
      <c r="A1260" s="197" t="n">
        <v>46063</v>
      </c>
      <c r="B1260" s="191"/>
      <c r="C1260" s="190" t="s">
        <v>630</v>
      </c>
      <c r="D1260" s="191" t="n">
        <v>5518996452405</v>
      </c>
      <c r="E1260" s="190" t="s">
        <v>631</v>
      </c>
      <c r="F1260" s="192" t="n">
        <f aca="false">SUMIF(ENTRADAS!F:F,CLIENTES_PCBR[[#This Row],[TELEFONO]],ENTRADAS!C:C)</f>
        <v>244</v>
      </c>
      <c r="G1260" s="189" t="s">
        <v>94</v>
      </c>
    </row>
    <row r="1261" customFormat="false" ht="15" hidden="false" customHeight="false" outlineLevel="0" collapsed="false">
      <c r="A1261" s="197" t="n">
        <v>46060</v>
      </c>
      <c r="B1261" s="191"/>
      <c r="C1261" s="190" t="s">
        <v>633</v>
      </c>
      <c r="D1261" s="191" t="n">
        <v>554896396962</v>
      </c>
      <c r="E1261" s="190" t="s">
        <v>634</v>
      </c>
      <c r="F1261" s="192" t="n">
        <f aca="false">SUMIF(ENTRADAS!F:F,CLIENTES_PCBR[[#This Row],[TELEFONO]],ENTRADAS!C:C)</f>
        <v>47</v>
      </c>
      <c r="G1261" s="189" t="s">
        <v>94</v>
      </c>
    </row>
    <row r="1262" customFormat="false" ht="15" hidden="false" customHeight="false" outlineLevel="0" collapsed="false">
      <c r="A1262" s="197" t="n">
        <v>46060</v>
      </c>
      <c r="B1262" s="191"/>
      <c r="C1262" s="190" t="s">
        <v>635</v>
      </c>
      <c r="D1262" s="191" t="n">
        <v>5511992965364</v>
      </c>
      <c r="E1262" s="190" t="s">
        <v>636</v>
      </c>
      <c r="F1262" s="192" t="n">
        <f aca="false">SUMIF(ENTRADAS!F:F,CLIENTES_PCBR[[#This Row],[TELEFONO]],ENTRADAS!C:C)</f>
        <v>300</v>
      </c>
      <c r="G1262" s="189" t="s">
        <v>94</v>
      </c>
    </row>
    <row r="1263" customFormat="false" ht="15" hidden="false" customHeight="false" outlineLevel="0" collapsed="false">
      <c r="A1263" s="197" t="n">
        <v>46061</v>
      </c>
      <c r="B1263" s="191"/>
      <c r="C1263" s="190" t="s">
        <v>637</v>
      </c>
      <c r="D1263" s="191" t="n">
        <v>559584230858</v>
      </c>
      <c r="E1263" s="190" t="s">
        <v>638</v>
      </c>
      <c r="F1263" s="192" t="n">
        <f aca="false">SUMIF(ENTRADAS!F:F,CLIENTES_PCBR[[#This Row],[TELEFONO]],ENTRADAS!C:C)</f>
        <v>390</v>
      </c>
      <c r="G1263" s="189" t="s">
        <v>94</v>
      </c>
    </row>
    <row r="1264" customFormat="false" ht="15" hidden="false" customHeight="false" outlineLevel="0" collapsed="false">
      <c r="A1264" s="197" t="n">
        <v>46063</v>
      </c>
      <c r="B1264" s="191"/>
      <c r="C1264" s="190" t="s">
        <v>642</v>
      </c>
      <c r="D1264" s="191" t="n">
        <v>554791577539</v>
      </c>
      <c r="E1264" s="190" t="s">
        <v>643</v>
      </c>
      <c r="F1264" s="192" t="n">
        <f aca="false">SUMIF(ENTRADAS!F:F,CLIENTES_PCBR[[#This Row],[TELEFONO]],ENTRADAS!C:C)</f>
        <v>150</v>
      </c>
      <c r="G1264" s="189" t="s">
        <v>94</v>
      </c>
    </row>
    <row r="1265" customFormat="false" ht="15" hidden="false" customHeight="false" outlineLevel="0" collapsed="false">
      <c r="A1265" s="197" t="n">
        <v>46063</v>
      </c>
      <c r="B1265" s="191"/>
      <c r="C1265" s="190" t="s">
        <v>644</v>
      </c>
      <c r="D1265" s="191" t="n">
        <v>554184753747</v>
      </c>
      <c r="E1265" s="190" t="s">
        <v>645</v>
      </c>
      <c r="F1265" s="192" t="n">
        <f aca="false">SUMIF(ENTRADAS!F:F,CLIENTES_PCBR[[#This Row],[TELEFONO]],ENTRADAS!C:C)</f>
        <v>1000</v>
      </c>
      <c r="G1265" s="189" t="s">
        <v>94</v>
      </c>
    </row>
    <row r="1266" customFormat="false" ht="15" hidden="false" customHeight="false" outlineLevel="0" collapsed="false">
      <c r="A1266" s="197" t="n">
        <v>46064</v>
      </c>
      <c r="B1266" s="191"/>
      <c r="C1266" s="190" t="s">
        <v>651</v>
      </c>
      <c r="D1266" s="191" t="n">
        <v>556181448094</v>
      </c>
      <c r="E1266" s="190" t="s">
        <v>652</v>
      </c>
      <c r="F1266" s="192" t="n">
        <f aca="false">SUMIF(ENTRADAS!F:F,CLIENTES_PCBR[[#This Row],[TELEFONO]],ENTRADAS!C:C)</f>
        <v>150</v>
      </c>
      <c r="G1266" s="189" t="s">
        <v>94</v>
      </c>
    </row>
    <row r="1267" customFormat="false" ht="15" hidden="false" customHeight="false" outlineLevel="0" collapsed="false">
      <c r="A1267" s="197" t="n">
        <v>46064</v>
      </c>
      <c r="B1267" s="191"/>
      <c r="C1267" s="190" t="s">
        <v>653</v>
      </c>
      <c r="D1267" s="191" t="n">
        <v>5519998862857</v>
      </c>
      <c r="E1267" s="190" t="s">
        <v>654</v>
      </c>
      <c r="F1267" s="192" t="n">
        <f aca="false">SUMIF(ENTRADAS!F:F,CLIENTES_PCBR[[#This Row],[TELEFONO]],ENTRADAS!C:C)</f>
        <v>120</v>
      </c>
      <c r="G1267" s="189" t="s">
        <v>94</v>
      </c>
    </row>
    <row r="1268" customFormat="false" ht="15" hidden="false" customHeight="false" outlineLevel="0" collapsed="false">
      <c r="A1268" s="197" t="n">
        <v>46064</v>
      </c>
      <c r="B1268" s="191"/>
      <c r="C1268" s="190" t="s">
        <v>309</v>
      </c>
      <c r="D1268" s="191" t="n">
        <v>554195652015</v>
      </c>
      <c r="E1268" s="190" t="s">
        <v>655</v>
      </c>
      <c r="F1268" s="192" t="n">
        <f aca="false">SUMIF(ENTRADAS!F:F,CLIENTES_PCBR[[#This Row],[TELEFONO]],ENTRADAS!C:C)</f>
        <v>60</v>
      </c>
      <c r="G1268" s="189" t="s">
        <v>94</v>
      </c>
    </row>
    <row r="1269" customFormat="false" ht="15" hidden="false" customHeight="false" outlineLevel="0" collapsed="false">
      <c r="A1269" s="197" t="n">
        <v>46064</v>
      </c>
      <c r="B1269" s="191"/>
      <c r="C1269" s="190" t="s">
        <v>657</v>
      </c>
      <c r="D1269" s="191" t="n">
        <v>5548988805800</v>
      </c>
      <c r="E1269" s="190" t="s">
        <v>658</v>
      </c>
      <c r="F1269" s="192" t="n">
        <f aca="false">SUMIF(ENTRADAS!F:F,CLIENTES_PCBR[[#This Row],[TELEFONO]],ENTRADAS!C:C)</f>
        <v>217</v>
      </c>
      <c r="G1269" s="189" t="s">
        <v>94</v>
      </c>
    </row>
    <row r="1270" customFormat="false" ht="15" hidden="false" customHeight="false" outlineLevel="0" collapsed="false">
      <c r="A1270" s="197" t="n">
        <v>46064</v>
      </c>
      <c r="B1270" s="191"/>
      <c r="C1270" s="190" t="s">
        <v>659</v>
      </c>
      <c r="D1270" s="191" t="n">
        <v>559591133364</v>
      </c>
      <c r="E1270" s="190" t="s">
        <v>660</v>
      </c>
      <c r="F1270" s="192" t="n">
        <f aca="false">SUMIF(ENTRADAS!F:F,CLIENTES_PCBR[[#This Row],[TELEFONO]],ENTRADAS!C:C)</f>
        <v>120</v>
      </c>
      <c r="G1270" s="189" t="s">
        <v>94</v>
      </c>
    </row>
    <row r="1271" customFormat="false" ht="15" hidden="false" customHeight="false" outlineLevel="0" collapsed="false">
      <c r="A1271" s="197" t="n">
        <v>46064</v>
      </c>
      <c r="B1271" s="191"/>
      <c r="C1271" s="190" t="s">
        <v>661</v>
      </c>
      <c r="D1271" s="191" t="n">
        <v>554174031174</v>
      </c>
      <c r="E1271" s="190" t="s">
        <v>662</v>
      </c>
      <c r="F1271" s="192" t="n">
        <f aca="false">SUMIF(ENTRADAS!F:F,CLIENTES_PCBR[[#This Row],[TELEFONO]],ENTRADAS!C:C)</f>
        <v>120</v>
      </c>
      <c r="G1271" s="189" t="s">
        <v>94</v>
      </c>
    </row>
    <row r="1272" customFormat="false" ht="15" hidden="false" customHeight="false" outlineLevel="0" collapsed="false">
      <c r="A1272" s="197" t="n">
        <v>46064</v>
      </c>
      <c r="B1272" s="191"/>
      <c r="C1272" s="190" t="s">
        <v>667</v>
      </c>
      <c r="D1272" s="191" t="n">
        <v>5355398812</v>
      </c>
      <c r="E1272" s="190" t="s">
        <v>668</v>
      </c>
      <c r="F1272" s="192" t="n">
        <f aca="false">SUMIF(ENTRADAS!F:F,CLIENTES_PCBR[[#This Row],[TELEFONO]],ENTRADAS!C:C)</f>
        <v>150</v>
      </c>
      <c r="G1272" s="189" t="s">
        <v>94</v>
      </c>
    </row>
    <row r="1273" customFormat="false" ht="15" hidden="false" customHeight="false" outlineLevel="0" collapsed="false">
      <c r="A1273" s="197" t="n">
        <v>46064</v>
      </c>
      <c r="B1273" s="191"/>
      <c r="C1273" s="190" t="s">
        <v>669</v>
      </c>
      <c r="D1273" s="191" t="n">
        <v>554187122977</v>
      </c>
      <c r="E1273" s="190" t="s">
        <v>670</v>
      </c>
      <c r="F1273" s="192" t="n">
        <f aca="false">SUMIF(ENTRADAS!F:F,CLIENTES_PCBR[[#This Row],[TELEFONO]],ENTRADAS!C:C)</f>
        <v>120</v>
      </c>
      <c r="G1273" s="189" t="s">
        <v>94</v>
      </c>
    </row>
    <row r="1274" customFormat="false" ht="15" hidden="false" customHeight="false" outlineLevel="0" collapsed="false">
      <c r="A1274" s="197" t="n">
        <v>46064</v>
      </c>
      <c r="B1274" s="191"/>
      <c r="C1274" s="190" t="s">
        <v>671</v>
      </c>
      <c r="D1274" s="191" t="n">
        <v>554199038220</v>
      </c>
      <c r="E1274" s="190" t="s">
        <v>672</v>
      </c>
      <c r="F1274" s="192" t="n">
        <f aca="false">SUMIF(ENTRADAS!F:F,CLIENTES_PCBR[[#This Row],[TELEFONO]],ENTRADAS!C:C)</f>
        <v>75</v>
      </c>
      <c r="G1274" s="189" t="s">
        <v>94</v>
      </c>
    </row>
    <row r="1275" customFormat="false" ht="15" hidden="false" customHeight="false" outlineLevel="0" collapsed="false">
      <c r="A1275" s="197" t="n">
        <v>46064</v>
      </c>
      <c r="B1275" s="191"/>
      <c r="C1275" s="190" t="s">
        <v>673</v>
      </c>
      <c r="D1275" s="191" t="n">
        <v>554195612956</v>
      </c>
      <c r="E1275" s="190" t="s">
        <v>674</v>
      </c>
      <c r="F1275" s="192" t="n">
        <f aca="false">SUMIF(ENTRADAS!F:F,CLIENTES_PCBR[[#This Row],[TELEFONO]],ENTRADAS!C:C)</f>
        <v>150</v>
      </c>
      <c r="G1275" s="189" t="s">
        <v>94</v>
      </c>
    </row>
    <row r="1276" customFormat="false" ht="15" hidden="false" customHeight="false" outlineLevel="0" collapsed="false">
      <c r="A1276" s="197" t="n">
        <v>46064</v>
      </c>
      <c r="B1276" s="191"/>
      <c r="C1276" s="190" t="s">
        <v>675</v>
      </c>
      <c r="D1276" s="191" t="n">
        <v>556793206551</v>
      </c>
      <c r="E1276" s="190" t="s">
        <v>676</v>
      </c>
      <c r="F1276" s="192" t="n">
        <f aca="false">SUMIF(ENTRADAS!F:F,CLIENTES_PCBR[[#This Row],[TELEFONO]],ENTRADAS!C:C)</f>
        <v>194</v>
      </c>
      <c r="G1276" s="189" t="s">
        <v>94</v>
      </c>
    </row>
    <row r="1277" customFormat="false" ht="15" hidden="false" customHeight="false" outlineLevel="0" collapsed="false">
      <c r="A1277" s="197" t="n">
        <v>46064</v>
      </c>
      <c r="B1277" s="191"/>
      <c r="C1277" s="190" t="s">
        <v>680</v>
      </c>
      <c r="D1277" s="191" t="n">
        <v>554891899926</v>
      </c>
      <c r="F1277" s="192" t="n">
        <f aca="false">SUMIF(ENTRADAS!F:F,CLIENTES_PCBR[[#This Row],[TELEFONO]],ENTRADAS!C:C)</f>
        <v>480</v>
      </c>
      <c r="G1277" s="189" t="s">
        <v>94</v>
      </c>
    </row>
    <row r="1278" customFormat="false" ht="15" hidden="false" customHeight="false" outlineLevel="0" collapsed="false">
      <c r="A1278" s="197" t="n">
        <v>46065</v>
      </c>
      <c r="B1278" s="191"/>
      <c r="C1278" s="190" t="s">
        <v>682</v>
      </c>
      <c r="D1278" s="191" t="n">
        <v>5561933008118</v>
      </c>
      <c r="E1278" s="190" t="s">
        <v>683</v>
      </c>
      <c r="F1278" s="192" t="n">
        <f aca="false">SUMIF(ENTRADAS!F:F,CLIENTES_PCBR[[#This Row],[TELEFONO]],ENTRADAS!C:C)</f>
        <v>150</v>
      </c>
      <c r="G1278" s="189" t="s">
        <v>94</v>
      </c>
    </row>
    <row r="1279" customFormat="false" ht="15" hidden="false" customHeight="false" outlineLevel="0" collapsed="false">
      <c r="A1279" s="197" t="n">
        <v>46064</v>
      </c>
      <c r="B1279" s="191"/>
      <c r="C1279" s="190" t="s">
        <v>685</v>
      </c>
      <c r="D1279" s="191" t="n">
        <v>555926440647</v>
      </c>
      <c r="E1279" s="190" t="s">
        <v>686</v>
      </c>
      <c r="F1279" s="192" t="n">
        <f aca="false">SUMIF(ENTRADAS!F:F,CLIENTES_PCBR[[#This Row],[TELEFONO]],ENTRADAS!C:C)</f>
        <v>0</v>
      </c>
      <c r="G1279" s="189" t="s">
        <v>94</v>
      </c>
    </row>
    <row r="1280" customFormat="false" ht="15" hidden="false" customHeight="false" outlineLevel="0" collapsed="false">
      <c r="A1280" s="197" t="n">
        <v>46065</v>
      </c>
      <c r="B1280" s="191"/>
      <c r="C1280" s="190" t="s">
        <v>687</v>
      </c>
      <c r="D1280" s="191" t="n">
        <v>5549999696825</v>
      </c>
      <c r="E1280" s="190" t="s">
        <v>688</v>
      </c>
      <c r="F1280" s="192" t="n">
        <f aca="false">SUMIF(ENTRADAS!F:F,CLIENTES_PCBR[[#This Row],[TELEFONO]],ENTRADAS!C:C)</f>
        <v>240</v>
      </c>
      <c r="G1280" s="189" t="s">
        <v>94</v>
      </c>
    </row>
    <row r="1281" customFormat="false" ht="15" hidden="false" customHeight="false" outlineLevel="0" collapsed="false">
      <c r="A1281" s="197" t="n">
        <v>46063</v>
      </c>
      <c r="B1281" s="191"/>
      <c r="C1281" s="190" t="s">
        <v>689</v>
      </c>
      <c r="D1281" s="191" t="n">
        <v>559591197182</v>
      </c>
      <c r="E1281" s="190" t="s">
        <v>690</v>
      </c>
      <c r="F1281" s="192" t="n">
        <f aca="false">SUMIF(ENTRADAS!F:F,CLIENTES_PCBR[[#This Row],[TELEFONO]],ENTRADAS!C:C)</f>
        <v>240</v>
      </c>
      <c r="G1281" s="189" t="s">
        <v>94</v>
      </c>
    </row>
    <row r="1282" customFormat="false" ht="15" hidden="false" customHeight="false" outlineLevel="0" collapsed="false">
      <c r="A1282" s="197" t="n">
        <v>46066</v>
      </c>
      <c r="B1282" s="191"/>
      <c r="C1282" s="190" t="s">
        <v>694</v>
      </c>
      <c r="D1282" s="191" t="n">
        <v>5511948466849</v>
      </c>
      <c r="E1282" s="190" t="s">
        <v>695</v>
      </c>
      <c r="F1282" s="192" t="n">
        <f aca="false">SUMIF(ENTRADAS!F:F,CLIENTES_PCBR[[#This Row],[TELEFONO]],ENTRADAS!C:C)</f>
        <v>150</v>
      </c>
      <c r="G1282" s="189" t="s">
        <v>94</v>
      </c>
    </row>
    <row r="1283" customFormat="false" ht="15" hidden="false" customHeight="false" outlineLevel="0" collapsed="false">
      <c r="A1283" s="197" t="n">
        <v>46065</v>
      </c>
      <c r="B1283" s="191"/>
      <c r="C1283" s="190" t="s">
        <v>699</v>
      </c>
      <c r="D1283" s="191" t="n">
        <v>554899744413</v>
      </c>
      <c r="E1283" s="190" t="s">
        <v>700</v>
      </c>
      <c r="F1283" s="192" t="n">
        <f aca="false">SUMIF(ENTRADAS!F:F,CLIENTES_PCBR[[#This Row],[TELEFONO]],ENTRADAS!C:C)</f>
        <v>300</v>
      </c>
      <c r="G1283" s="189" t="s">
        <v>94</v>
      </c>
    </row>
    <row r="1284" customFormat="false" ht="15" hidden="false" customHeight="false" outlineLevel="0" collapsed="false">
      <c r="A1284" s="197" t="n">
        <v>46065</v>
      </c>
      <c r="B1284" s="191"/>
      <c r="C1284" s="190" t="s">
        <v>701</v>
      </c>
      <c r="D1284" s="191" t="n">
        <v>554896872910</v>
      </c>
      <c r="E1284" s="190" t="s">
        <v>702</v>
      </c>
      <c r="F1284" s="192" t="n">
        <f aca="false">SUMIF(ENTRADAS!F:F,CLIENTES_PCBR[[#This Row],[TELEFONO]],ENTRADAS!C:C)</f>
        <v>145</v>
      </c>
      <c r="G1284" s="189" t="s">
        <v>94</v>
      </c>
    </row>
    <row r="1285" customFormat="false" ht="15" hidden="false" customHeight="false" outlineLevel="0" collapsed="false">
      <c r="A1285" s="197" t="n">
        <v>46065</v>
      </c>
      <c r="B1285" s="191"/>
      <c r="C1285" s="190" t="s">
        <v>703</v>
      </c>
      <c r="D1285" s="191" t="n">
        <v>5548920008175</v>
      </c>
      <c r="E1285" s="190" t="s">
        <v>704</v>
      </c>
      <c r="F1285" s="192" t="n">
        <f aca="false">SUMIF(ENTRADAS!F:F,CLIENTES_PCBR[[#This Row],[TELEFONO]],ENTRADAS!C:C)</f>
        <v>150</v>
      </c>
      <c r="G1285" s="189" t="s">
        <v>94</v>
      </c>
    </row>
    <row r="1286" customFormat="false" ht="15" hidden="false" customHeight="false" outlineLevel="0" collapsed="false">
      <c r="A1286" s="197" t="n">
        <v>46065</v>
      </c>
      <c r="B1286" s="191"/>
      <c r="C1286" s="190" t="s">
        <v>708</v>
      </c>
      <c r="D1286" s="191" t="n">
        <v>554288290435</v>
      </c>
      <c r="E1286" s="190" t="s">
        <v>709</v>
      </c>
      <c r="F1286" s="192" t="n">
        <f aca="false">SUMIF(ENTRADAS!F:F,CLIENTES_PCBR[[#This Row],[TELEFONO]],ENTRADAS!C:C)</f>
        <v>120</v>
      </c>
      <c r="G1286" s="189" t="s">
        <v>94</v>
      </c>
    </row>
    <row r="1287" customFormat="false" ht="15" hidden="false" customHeight="false" outlineLevel="0" collapsed="false">
      <c r="A1287" s="197" t="n">
        <v>46066</v>
      </c>
      <c r="B1287" s="191"/>
      <c r="C1287" s="190" t="s">
        <v>710</v>
      </c>
      <c r="D1287" s="191" t="n">
        <v>556593533998</v>
      </c>
      <c r="E1287" s="190" t="s">
        <v>711</v>
      </c>
      <c r="F1287" s="192" t="n">
        <f aca="false">SUMIF(ENTRADAS!F:F,CLIENTES_PCBR[[#This Row],[TELEFONO]],ENTRADAS!C:C)</f>
        <v>150</v>
      </c>
      <c r="G1287" s="189" t="s">
        <v>94</v>
      </c>
    </row>
    <row r="1288" customFormat="false" ht="15" hidden="false" customHeight="false" outlineLevel="0" collapsed="false">
      <c r="A1288" s="197" t="n">
        <v>46066</v>
      </c>
      <c r="B1288" s="191"/>
      <c r="C1288" s="190" t="s">
        <v>713</v>
      </c>
      <c r="D1288" s="191" t="n">
        <v>554892191781</v>
      </c>
      <c r="E1288" s="190" t="s">
        <v>714</v>
      </c>
      <c r="F1288" s="192" t="n">
        <f aca="false">SUMIF(ENTRADAS!F:F,CLIENTES_PCBR[[#This Row],[TELEFONO]],ENTRADAS!C:C)</f>
        <v>600</v>
      </c>
      <c r="G1288" s="189" t="s">
        <v>94</v>
      </c>
    </row>
    <row r="1289" customFormat="false" ht="15" hidden="false" customHeight="false" outlineLevel="0" collapsed="false">
      <c r="A1289" s="197" t="n">
        <v>46066</v>
      </c>
      <c r="B1289" s="191"/>
      <c r="C1289" s="190" t="s">
        <v>715</v>
      </c>
      <c r="D1289" s="191" t="n">
        <v>554195570306</v>
      </c>
      <c r="E1289" s="190" t="s">
        <v>716</v>
      </c>
      <c r="F1289" s="192" t="n">
        <f aca="false">SUMIF(ENTRADAS!F:F,CLIENTES_PCBR[[#This Row],[TELEFONO]],ENTRADAS!C:C)</f>
        <v>150</v>
      </c>
      <c r="G1289" s="189" t="s">
        <v>94</v>
      </c>
    </row>
    <row r="1290" customFormat="false" ht="15" hidden="false" customHeight="false" outlineLevel="0" collapsed="false">
      <c r="A1290" s="197" t="n">
        <v>46067</v>
      </c>
      <c r="B1290" s="191"/>
      <c r="C1290" s="190" t="s">
        <v>718</v>
      </c>
      <c r="D1290" s="191" t="n">
        <v>5511915678356</v>
      </c>
      <c r="F1290" s="192" t="n">
        <f aca="false">SUMIF(ENTRADAS!F:F,CLIENTES_PCBR[[#This Row],[TELEFONO]],ENTRADAS!C:C)</f>
        <v>60</v>
      </c>
      <c r="G1290" s="189" t="s">
        <v>94</v>
      </c>
    </row>
    <row r="1291" customFormat="false" ht="15" hidden="false" customHeight="false" outlineLevel="0" collapsed="false">
      <c r="A1291" s="197" t="n">
        <v>46066</v>
      </c>
      <c r="B1291" s="191"/>
      <c r="C1291" s="190" t="s">
        <v>719</v>
      </c>
      <c r="D1291" s="191" t="n">
        <v>554792923533</v>
      </c>
      <c r="F1291" s="192" t="n">
        <f aca="false">SUMIF(ENTRADAS!F:F,CLIENTES_PCBR[[#This Row],[TELEFONO]],ENTRADAS!C:C)</f>
        <v>187</v>
      </c>
      <c r="G1291" s="189" t="s">
        <v>94</v>
      </c>
    </row>
    <row r="1292" customFormat="false" ht="15" hidden="false" customHeight="false" outlineLevel="0" collapsed="false">
      <c r="A1292" s="197" t="n">
        <v>46067</v>
      </c>
      <c r="B1292" s="191"/>
      <c r="C1292" s="190" t="s">
        <v>721</v>
      </c>
      <c r="D1292" s="191" t="n">
        <v>559584129734</v>
      </c>
      <c r="E1292" s="190" t="s">
        <v>722</v>
      </c>
      <c r="F1292" s="192" t="n">
        <f aca="false">SUMIF(ENTRADAS!F:F,CLIENTES_PCBR[[#This Row],[TELEFONO]],ENTRADAS!C:C)</f>
        <v>240</v>
      </c>
      <c r="G1292" s="189" t="s">
        <v>94</v>
      </c>
    </row>
    <row r="1293" customFormat="false" ht="15" hidden="false" customHeight="false" outlineLevel="0" collapsed="false">
      <c r="A1293" s="197" t="n">
        <v>46067</v>
      </c>
      <c r="B1293" s="191"/>
      <c r="C1293" s="190" t="s">
        <v>723</v>
      </c>
      <c r="D1293" s="191" t="n">
        <v>559584274508</v>
      </c>
      <c r="E1293" s="190" t="s">
        <v>724</v>
      </c>
      <c r="F1293" s="192" t="n">
        <f aca="false">SUMIF(ENTRADAS!F:F,CLIENTES_PCBR[[#This Row],[TELEFONO]],ENTRADAS!C:C)</f>
        <v>150</v>
      </c>
      <c r="G1293" s="189" t="s">
        <v>94</v>
      </c>
    </row>
    <row r="1294" customFormat="false" ht="15" hidden="false" customHeight="false" outlineLevel="0" collapsed="false">
      <c r="A1294" s="197" t="n">
        <v>46067</v>
      </c>
      <c r="B1294" s="191"/>
      <c r="C1294" s="190" t="s">
        <v>725</v>
      </c>
      <c r="D1294" s="191" t="n">
        <v>5511996490310</v>
      </c>
      <c r="F1294" s="192" t="n">
        <f aca="false">SUMIF(ENTRADAS!F:F,CLIENTES_PCBR[[#This Row],[TELEFONO]],ENTRADAS!C:C)</f>
        <v>270</v>
      </c>
      <c r="G1294" s="189" t="s">
        <v>94</v>
      </c>
    </row>
    <row r="1295" customFormat="false" ht="15" hidden="false" customHeight="false" outlineLevel="0" collapsed="false">
      <c r="A1295" s="197" t="n">
        <v>46067</v>
      </c>
      <c r="B1295" s="191"/>
      <c r="C1295" s="190" t="s">
        <v>726</v>
      </c>
      <c r="D1295" s="191" t="n">
        <v>554799607160</v>
      </c>
      <c r="E1295" s="190" t="s">
        <v>727</v>
      </c>
      <c r="F1295" s="192" t="n">
        <f aca="false">SUMIF(ENTRADAS!F:F,CLIENTES_PCBR[[#This Row],[TELEFONO]],ENTRADAS!C:C)</f>
        <v>150</v>
      </c>
      <c r="G1295" s="189" t="s">
        <v>94</v>
      </c>
    </row>
    <row r="1296" customFormat="false" ht="15" hidden="false" customHeight="false" outlineLevel="0" collapsed="false">
      <c r="A1296" s="197" t="n">
        <v>46069</v>
      </c>
      <c r="B1296" s="191"/>
      <c r="C1296" s="190" t="s">
        <v>730</v>
      </c>
      <c r="D1296" s="191" t="n">
        <v>554196158416</v>
      </c>
      <c r="E1296" s="190" t="s">
        <v>731</v>
      </c>
      <c r="F1296" s="192" t="n">
        <f aca="false">SUMIF(ENTRADAS!F:F,CLIENTES_PCBR[[#This Row],[TELEFONO]],ENTRADAS!C:C)</f>
        <v>120</v>
      </c>
      <c r="G1296" s="189" t="s">
        <v>94</v>
      </c>
    </row>
    <row r="1297" customFormat="false" ht="15" hidden="false" customHeight="false" outlineLevel="0" collapsed="false">
      <c r="A1297" s="197" t="n">
        <v>46069</v>
      </c>
      <c r="B1297" s="191"/>
      <c r="C1297" s="190" t="s">
        <v>732</v>
      </c>
      <c r="D1297" s="191" t="n">
        <v>5354075225</v>
      </c>
      <c r="F1297" s="192" t="n">
        <f aca="false">SUMIF(ENTRADAS!F:F,CLIENTES_PCBR[[#This Row],[TELEFONO]],ENTRADAS!C:C)</f>
        <v>120</v>
      </c>
      <c r="G1297" s="189" t="s">
        <v>94</v>
      </c>
    </row>
    <row r="1298" customFormat="false" ht="15" hidden="false" customHeight="false" outlineLevel="0" collapsed="false">
      <c r="A1298" s="197" t="n">
        <v>46069</v>
      </c>
      <c r="B1298" s="191"/>
      <c r="C1298" s="190" t="s">
        <v>733</v>
      </c>
      <c r="D1298" s="191" t="n">
        <v>559584122441</v>
      </c>
      <c r="F1298" s="192" t="n">
        <f aca="false">SUMIF(ENTRADAS!F:F,CLIENTES_PCBR[[#This Row],[TELEFONO]],ENTRADAS!C:C)</f>
        <v>150</v>
      </c>
      <c r="G1298" s="189" t="s">
        <v>94</v>
      </c>
    </row>
    <row r="1299" customFormat="false" ht="15" hidden="false" customHeight="false" outlineLevel="0" collapsed="false">
      <c r="A1299" s="197" t="n">
        <v>46067</v>
      </c>
      <c r="B1299" s="191"/>
      <c r="C1299" s="190" t="s">
        <v>734</v>
      </c>
      <c r="D1299" s="191" t="n">
        <v>556292588139</v>
      </c>
      <c r="E1299" s="190" t="s">
        <v>735</v>
      </c>
      <c r="F1299" s="192" t="n">
        <f aca="false">SUMIF(ENTRADAS!F:F,CLIENTES_PCBR[[#This Row],[TELEFONO]],ENTRADAS!C:C)</f>
        <v>130</v>
      </c>
      <c r="G1299" s="189" t="s">
        <v>94</v>
      </c>
    </row>
    <row r="1300" customFormat="false" ht="15" hidden="false" customHeight="false" outlineLevel="0" collapsed="false">
      <c r="A1300" s="197" t="n">
        <v>46070</v>
      </c>
      <c r="B1300" s="191"/>
      <c r="C1300" s="190" t="s">
        <v>744</v>
      </c>
      <c r="D1300" s="191" t="n">
        <v>554896112864</v>
      </c>
      <c r="E1300" s="190" t="s">
        <v>745</v>
      </c>
      <c r="F1300" s="192" t="n">
        <f aca="false">SUMIF(ENTRADAS!F:F,CLIENTES_PCBR[[#This Row],[TELEFONO]],ENTRADAS!C:C)</f>
        <v>267</v>
      </c>
      <c r="G1300" s="189" t="s">
        <v>94</v>
      </c>
    </row>
    <row r="1301" customFormat="false" ht="15" hidden="false" customHeight="false" outlineLevel="0" collapsed="false">
      <c r="A1301" s="197" t="n">
        <v>46070</v>
      </c>
      <c r="B1301" s="191"/>
      <c r="C1301" s="190" t="s">
        <v>747</v>
      </c>
      <c r="D1301" s="191" t="n">
        <v>559574004938</v>
      </c>
      <c r="F1301" s="192" t="n">
        <f aca="false">SUMIF(ENTRADAS!F:F,CLIENTES_PCBR[[#This Row],[TELEFONO]],ENTRADAS!C:C)</f>
        <v>140</v>
      </c>
      <c r="G1301" s="189" t="s">
        <v>94</v>
      </c>
    </row>
    <row r="1302" customFormat="false" ht="15" hidden="false" customHeight="false" outlineLevel="0" collapsed="false">
      <c r="A1302" s="197" t="n">
        <v>46070</v>
      </c>
      <c r="B1302" s="191"/>
      <c r="C1302" s="190" t="s">
        <v>748</v>
      </c>
      <c r="D1302" s="191" t="n">
        <v>5352772934</v>
      </c>
      <c r="E1302" s="190" t="s">
        <v>749</v>
      </c>
      <c r="F1302" s="192" t="n">
        <f aca="false">SUMIF(ENTRADAS!F:F,CLIENTES_PCBR[[#This Row],[TELEFONO]],ENTRADAS!C:C)</f>
        <v>60</v>
      </c>
      <c r="G1302" s="189" t="s">
        <v>94</v>
      </c>
    </row>
    <row r="1303" customFormat="false" ht="15" hidden="false" customHeight="false" outlineLevel="0" collapsed="false">
      <c r="A1303" s="197" t="n">
        <v>46070</v>
      </c>
      <c r="B1303" s="191"/>
      <c r="C1303" s="190" t="s">
        <v>751</v>
      </c>
      <c r="D1303" s="191" t="n">
        <v>554989075796</v>
      </c>
      <c r="E1303" s="199" t="s">
        <v>752</v>
      </c>
      <c r="F1303" s="192" t="n">
        <f aca="false">SUMIF(ENTRADAS!F:F,CLIENTES_PCBR[[#This Row],[TELEFONO]],ENTRADAS!C:C)</f>
        <v>300</v>
      </c>
      <c r="G1303" s="189" t="s">
        <v>94</v>
      </c>
    </row>
    <row r="1304" customFormat="false" ht="16.4" hidden="false" customHeight="false" outlineLevel="0" collapsed="false">
      <c r="A1304" s="197" t="n">
        <v>46070</v>
      </c>
      <c r="B1304" s="191"/>
      <c r="C1304" s="190" t="s">
        <v>753</v>
      </c>
      <c r="D1304" s="191" t="n">
        <v>554185030431</v>
      </c>
      <c r="E1304" s="200" t="s">
        <v>5520</v>
      </c>
      <c r="F1304" s="192" t="n">
        <f aca="false">SUMIF(ENTRADAS!F:F,CLIENTES_PCBR[[#This Row],[TELEFONO]],ENTRADAS!C:C)</f>
        <v>240</v>
      </c>
      <c r="G1304" s="189" t="s">
        <v>94</v>
      </c>
    </row>
    <row r="1305" customFormat="false" ht="15" hidden="false" customHeight="false" outlineLevel="0" collapsed="false">
      <c r="A1305" s="197" t="n">
        <v>46070</v>
      </c>
      <c r="B1305" s="191"/>
      <c r="C1305" s="190" t="s">
        <v>755</v>
      </c>
      <c r="D1305" s="191" t="n">
        <v>559674008127</v>
      </c>
      <c r="E1305" s="190" t="s">
        <v>756</v>
      </c>
      <c r="F1305" s="192" t="n">
        <f aca="false">SUMIF(ENTRADAS!F:F,CLIENTES_PCBR[[#This Row],[TELEFONO]],ENTRADAS!C:C)</f>
        <v>150</v>
      </c>
      <c r="G1305" s="189" t="s">
        <v>94</v>
      </c>
    </row>
    <row r="1306" customFormat="false" ht="15" hidden="false" customHeight="false" outlineLevel="0" collapsed="false">
      <c r="A1306" s="197" t="n">
        <v>46070</v>
      </c>
      <c r="B1306" s="191"/>
      <c r="C1306" s="190" t="s">
        <v>758</v>
      </c>
      <c r="D1306" s="191" t="n">
        <v>559584126524</v>
      </c>
      <c r="F1306" s="192" t="n">
        <f aca="false">SUMIF(ENTRADAS!F:F,CLIENTES_PCBR[[#This Row],[TELEFONO]],ENTRADAS!C:C)</f>
        <v>630</v>
      </c>
      <c r="G1306" s="189" t="s">
        <v>94</v>
      </c>
    </row>
    <row r="1307" customFormat="false" ht="15" hidden="false" customHeight="false" outlineLevel="0" collapsed="false">
      <c r="A1307" s="197" t="n">
        <v>46070</v>
      </c>
      <c r="B1307" s="191"/>
      <c r="C1307" s="190" t="s">
        <v>760</v>
      </c>
      <c r="D1307" s="191" t="n">
        <v>5521998053023</v>
      </c>
      <c r="E1307" s="199" t="s">
        <v>761</v>
      </c>
      <c r="F1307" s="192" t="n">
        <f aca="false">SUMIF(ENTRADAS!F:F,CLIENTES_PCBR[[#This Row],[TELEFONO]],ENTRADAS!C:C)</f>
        <v>97</v>
      </c>
      <c r="G1307" s="189" t="s">
        <v>94</v>
      </c>
    </row>
    <row r="1308" customFormat="false" ht="16.4" hidden="false" customHeight="false" outlineLevel="0" collapsed="false">
      <c r="A1308" s="197" t="n">
        <v>46070</v>
      </c>
      <c r="B1308" s="191"/>
      <c r="C1308" s="190" t="s">
        <v>762</v>
      </c>
      <c r="D1308" s="191" t="n">
        <v>554899679695</v>
      </c>
      <c r="E1308" s="200" t="s">
        <v>5521</v>
      </c>
      <c r="F1308" s="192" t="n">
        <f aca="false">SUMIF(ENTRADAS!F:F,CLIENTES_PCBR[[#This Row],[TELEFONO]],ENTRADAS!C:C)</f>
        <v>665</v>
      </c>
      <c r="G1308" s="189" t="s">
        <v>94</v>
      </c>
    </row>
    <row r="1309" customFormat="false" ht="15" hidden="false" customHeight="false" outlineLevel="0" collapsed="false">
      <c r="A1309" s="197" t="n">
        <v>46071</v>
      </c>
      <c r="B1309" s="191"/>
      <c r="C1309" s="190" t="s">
        <v>765</v>
      </c>
      <c r="D1309" s="191" t="n">
        <v>559684243786</v>
      </c>
      <c r="E1309" s="199"/>
      <c r="F1309" s="192" t="n">
        <f aca="false">SUMIF(ENTRADAS!F:F,CLIENTES_PCBR[[#This Row],[TELEFONO]],ENTRADAS!C:C)</f>
        <v>120</v>
      </c>
      <c r="G1309" s="189" t="s">
        <v>94</v>
      </c>
    </row>
    <row r="1310" customFormat="false" ht="15" hidden="false" customHeight="false" outlineLevel="0" collapsed="false">
      <c r="A1310" s="197" t="n">
        <v>46071</v>
      </c>
      <c r="B1310" s="191"/>
      <c r="C1310" s="190" t="s">
        <v>767</v>
      </c>
      <c r="D1310" s="191" t="n">
        <v>558596624436</v>
      </c>
      <c r="E1310" s="190" t="s">
        <v>768</v>
      </c>
      <c r="F1310" s="192" t="n">
        <f aca="false">SUMIF(ENTRADAS!F:F,CLIENTES_PCBR[[#This Row],[TELEFONO]],ENTRADAS!C:C)</f>
        <v>150</v>
      </c>
      <c r="G1310" s="189" t="s">
        <v>94</v>
      </c>
    </row>
    <row r="1311" customFormat="false" ht="16.4" hidden="false" customHeight="false" outlineLevel="0" collapsed="false">
      <c r="A1311" s="197" t="n">
        <v>46071</v>
      </c>
      <c r="B1311" s="191"/>
      <c r="C1311" s="190" t="s">
        <v>769</v>
      </c>
      <c r="D1311" s="191" t="n">
        <v>5565992235073</v>
      </c>
      <c r="E1311" s="200" t="s">
        <v>5522</v>
      </c>
      <c r="F1311" s="192" t="n">
        <f aca="false">SUMIF(ENTRADAS!F:F,CLIENTES_PCBR[[#This Row],[TELEFONO]],ENTRADAS!C:C)</f>
        <v>290</v>
      </c>
      <c r="G1311" s="189" t="s">
        <v>94</v>
      </c>
    </row>
    <row r="1312" customFormat="false" ht="15" hidden="false" customHeight="false" outlineLevel="0" collapsed="false">
      <c r="A1312" s="197" t="n">
        <v>46071</v>
      </c>
      <c r="B1312" s="191"/>
      <c r="C1312" s="190" t="s">
        <v>771</v>
      </c>
      <c r="D1312" s="191" t="n">
        <v>5594920005243</v>
      </c>
      <c r="E1312" s="190" t="s">
        <v>772</v>
      </c>
      <c r="F1312" s="192" t="n">
        <f aca="false">SUMIF(ENTRADAS!F:F,CLIENTES_PCBR[[#This Row],[TELEFONO]],ENTRADAS!C:C)</f>
        <v>95</v>
      </c>
      <c r="G1312" s="189" t="s">
        <v>94</v>
      </c>
    </row>
    <row r="1313" customFormat="false" ht="15" hidden="false" customHeight="false" outlineLevel="0" collapsed="false">
      <c r="A1313" s="197" t="n">
        <v>46071</v>
      </c>
      <c r="B1313" s="191"/>
      <c r="C1313" s="190" t="s">
        <v>773</v>
      </c>
      <c r="D1313" s="191" t="n">
        <v>5595984061138</v>
      </c>
      <c r="E1313" s="199" t="s">
        <v>774</v>
      </c>
      <c r="F1313" s="192" t="n">
        <f aca="false">SUMIF(ENTRADAS!F:F,CLIENTES_PCBR[[#This Row],[TELEFONO]],ENTRADAS!C:C)</f>
        <v>147</v>
      </c>
      <c r="G1313" s="189" t="s">
        <v>94</v>
      </c>
    </row>
    <row r="1314" customFormat="false" ht="16.4" hidden="false" customHeight="false" outlineLevel="0" collapsed="false">
      <c r="A1314" s="197" t="n">
        <v>46071</v>
      </c>
      <c r="B1314" s="191"/>
      <c r="C1314" s="190" t="s">
        <v>775</v>
      </c>
      <c r="D1314" s="191" t="n">
        <v>5511995352903</v>
      </c>
      <c r="E1314" s="200" t="s">
        <v>5523</v>
      </c>
      <c r="F1314" s="192" t="n">
        <f aca="false">SUMIF(ENTRADAS!F:F,CLIENTES_PCBR[[#This Row],[TELEFONO]],ENTRADAS!C:C)</f>
        <v>436</v>
      </c>
      <c r="G1314" s="189" t="s">
        <v>94</v>
      </c>
    </row>
    <row r="1315" customFormat="false" ht="15" hidden="false" customHeight="false" outlineLevel="0" collapsed="false">
      <c r="A1315" s="197" t="n">
        <v>46071</v>
      </c>
      <c r="B1315" s="191"/>
      <c r="C1315" s="190" t="s">
        <v>777</v>
      </c>
      <c r="D1315" s="191" t="n">
        <v>5541998997071</v>
      </c>
      <c r="E1315" s="190" t="s">
        <v>778</v>
      </c>
      <c r="F1315" s="192" t="n">
        <f aca="false">SUMIF(ENTRADAS!F:F,CLIENTES_PCBR[[#This Row],[TELEFONO]],ENTRADAS!C:C)</f>
        <v>147</v>
      </c>
      <c r="G1315" s="189" t="s">
        <v>94</v>
      </c>
    </row>
    <row r="1316" customFormat="false" ht="15" hidden="false" customHeight="false" outlineLevel="0" collapsed="false">
      <c r="A1316" s="197" t="n">
        <v>46071</v>
      </c>
      <c r="B1316" s="191"/>
      <c r="C1316" s="190" t="s">
        <v>779</v>
      </c>
      <c r="D1316" s="191" t="n">
        <v>554196224290</v>
      </c>
      <c r="E1316" s="190" t="s">
        <v>780</v>
      </c>
      <c r="F1316" s="192" t="n">
        <f aca="false">SUMIF(ENTRADAS!F:F,CLIENTES_PCBR[[#This Row],[TELEFONO]],ENTRADAS!C:C)</f>
        <v>100</v>
      </c>
      <c r="G1316" s="189" t="s">
        <v>94</v>
      </c>
    </row>
    <row r="1317" customFormat="false" ht="15" hidden="false" customHeight="false" outlineLevel="0" collapsed="false">
      <c r="A1317" s="197" t="n">
        <v>46071</v>
      </c>
      <c r="B1317" s="191"/>
      <c r="C1317" s="190" t="s">
        <v>781</v>
      </c>
      <c r="D1317" s="191" t="n">
        <v>554588318080</v>
      </c>
      <c r="E1317" s="190" t="s">
        <v>782</v>
      </c>
      <c r="F1317" s="192" t="n">
        <f aca="false">SUMIF(ENTRADAS!F:F,CLIENTES_PCBR[[#This Row],[TELEFONO]],ENTRADAS!C:C)</f>
        <v>150</v>
      </c>
      <c r="G1317" s="189" t="s">
        <v>94</v>
      </c>
    </row>
    <row r="1318" customFormat="false" ht="15" hidden="false" customHeight="false" outlineLevel="0" collapsed="false">
      <c r="A1318" s="197" t="n">
        <v>46070</v>
      </c>
      <c r="B1318" s="191"/>
      <c r="C1318" s="190" t="s">
        <v>649</v>
      </c>
      <c r="D1318" s="191" t="n">
        <v>5595981257313</v>
      </c>
      <c r="E1318" s="190" t="s">
        <v>785</v>
      </c>
      <c r="F1318" s="192" t="n">
        <f aca="false">SUMIF(ENTRADAS!F:F,CLIENTES_PCBR[[#This Row],[TELEFONO]],ENTRADAS!C:C)</f>
        <v>300</v>
      </c>
      <c r="G1318" s="189" t="s">
        <v>94</v>
      </c>
    </row>
    <row r="1319" customFormat="false" ht="15" hidden="false" customHeight="false" outlineLevel="0" collapsed="false">
      <c r="A1319" s="197" t="n">
        <v>46071</v>
      </c>
      <c r="B1319" s="191"/>
      <c r="C1319" s="190" t="s">
        <v>786</v>
      </c>
      <c r="D1319" s="191" t="n">
        <v>5548988189377</v>
      </c>
      <c r="E1319" s="190" t="s">
        <v>787</v>
      </c>
      <c r="F1319" s="192" t="n">
        <f aca="false">SUMIF(ENTRADAS!F:F,CLIENTES_PCBR[[#This Row],[TELEFONO]],ENTRADAS!C:C)</f>
        <v>120</v>
      </c>
      <c r="G1319" s="189" t="s">
        <v>94</v>
      </c>
    </row>
    <row r="1320" customFormat="false" ht="15" hidden="false" customHeight="false" outlineLevel="0" collapsed="false">
      <c r="A1320" s="197" t="n">
        <v>46072</v>
      </c>
      <c r="B1320" s="191"/>
      <c r="C1320" s="190" t="s">
        <v>790</v>
      </c>
      <c r="D1320" s="191" t="n">
        <v>554199753797</v>
      </c>
      <c r="E1320" s="190" t="s">
        <v>791</v>
      </c>
      <c r="F1320" s="192" t="n">
        <f aca="false">SUMIF(ENTRADAS!F:F,CLIENTES_PCBR[[#This Row],[TELEFONO]],ENTRADAS!C:C)</f>
        <v>97</v>
      </c>
      <c r="G1320" s="189" t="s">
        <v>94</v>
      </c>
    </row>
    <row r="1321" customFormat="false" ht="15" hidden="false" customHeight="false" outlineLevel="0" collapsed="false">
      <c r="A1321" s="197" t="n">
        <v>46072</v>
      </c>
      <c r="B1321" s="191"/>
      <c r="C1321" s="190" t="s">
        <v>793</v>
      </c>
      <c r="D1321" s="191" t="n">
        <v>555496612650</v>
      </c>
      <c r="F1321" s="192" t="n">
        <f aca="false">SUMIF(ENTRADAS!F:F,CLIENTES_PCBR[[#This Row],[TELEFONO]],ENTRADAS!C:C)</f>
        <v>354</v>
      </c>
      <c r="G1321" s="189" t="s">
        <v>94</v>
      </c>
    </row>
    <row r="1322" customFormat="false" ht="15" hidden="false" customHeight="false" outlineLevel="0" collapsed="false">
      <c r="A1322" s="197" t="n">
        <v>46071</v>
      </c>
      <c r="B1322" s="191"/>
      <c r="C1322" s="190" t="s">
        <v>794</v>
      </c>
      <c r="D1322" s="191" t="n">
        <v>554198738275</v>
      </c>
      <c r="E1322" s="190" t="s">
        <v>794</v>
      </c>
      <c r="F1322" s="192" t="n">
        <f aca="false">SUMIF(ENTRADAS!F:F,CLIENTES_PCBR[[#This Row],[TELEFONO]],ENTRADAS!C:C)</f>
        <v>1200</v>
      </c>
      <c r="G1322" s="189" t="s">
        <v>94</v>
      </c>
    </row>
    <row r="1323" customFormat="false" ht="15" hidden="false" customHeight="false" outlineLevel="0" collapsed="false">
      <c r="A1323" s="197" t="n">
        <v>46072</v>
      </c>
      <c r="B1323" s="191"/>
      <c r="C1323" s="190" t="s">
        <v>796</v>
      </c>
      <c r="D1323" s="191" t="n">
        <v>5547996027323</v>
      </c>
      <c r="E1323" s="190" t="s">
        <v>797</v>
      </c>
      <c r="F1323" s="192" t="n">
        <f aca="false">SUMIF(ENTRADAS!F:F,CLIENTES_PCBR[[#This Row],[TELEFONO]],ENTRADAS!C:C)</f>
        <v>294</v>
      </c>
      <c r="G1323" s="189" t="s">
        <v>94</v>
      </c>
    </row>
    <row r="1324" customFormat="false" ht="15" hidden="false" customHeight="false" outlineLevel="0" collapsed="false">
      <c r="A1324" s="197" t="n">
        <v>46072</v>
      </c>
      <c r="B1324" s="191"/>
      <c r="C1324" s="190" t="s">
        <v>799</v>
      </c>
      <c r="D1324" s="191" t="n">
        <v>559584121787</v>
      </c>
      <c r="E1324" s="190" t="s">
        <v>800</v>
      </c>
      <c r="F1324" s="192" t="n">
        <f aca="false">SUMIF(ENTRADAS!F:F,CLIENTES_PCBR[[#This Row],[TELEFONO]],ENTRADAS!C:C)</f>
        <v>514</v>
      </c>
      <c r="G1324" s="189" t="s">
        <v>94</v>
      </c>
    </row>
    <row r="1325" customFormat="false" ht="15" hidden="false" customHeight="false" outlineLevel="0" collapsed="false">
      <c r="A1325" s="197" t="n">
        <v>46073</v>
      </c>
      <c r="B1325" s="191"/>
      <c r="C1325" s="190" t="s">
        <v>803</v>
      </c>
      <c r="D1325" s="191" t="n">
        <v>559684165897</v>
      </c>
      <c r="E1325" s="190" t="s">
        <v>804</v>
      </c>
      <c r="F1325" s="192" t="n">
        <f aca="false">SUMIF(ENTRADAS!F:F,CLIENTES_PCBR[[#This Row],[TELEFONO]],ENTRADAS!C:C)</f>
        <v>240</v>
      </c>
      <c r="G1325" s="189" t="s">
        <v>94</v>
      </c>
    </row>
    <row r="1326" customFormat="false" ht="15" hidden="false" customHeight="false" outlineLevel="0" collapsed="false">
      <c r="A1326" s="197" t="n">
        <v>46073</v>
      </c>
      <c r="B1326" s="191"/>
      <c r="C1326" s="190" t="s">
        <v>806</v>
      </c>
      <c r="D1326" s="191" t="n">
        <v>559584033004</v>
      </c>
      <c r="F1326" s="192" t="n">
        <f aca="false">SUMIF(ENTRADAS!F:F,CLIENTES_PCBR[[#This Row],[TELEFONO]],ENTRADAS!C:C)</f>
        <v>450</v>
      </c>
      <c r="G1326" s="189" t="s">
        <v>94</v>
      </c>
    </row>
    <row r="1327" customFormat="false" ht="15" hidden="false" customHeight="false" outlineLevel="0" collapsed="false">
      <c r="A1327" s="197" t="n">
        <v>46073</v>
      </c>
      <c r="B1327" s="191"/>
      <c r="C1327" s="190" t="s">
        <v>813</v>
      </c>
      <c r="D1327" s="191" t="n">
        <v>559584398079</v>
      </c>
      <c r="E1327" s="190" t="s">
        <v>814</v>
      </c>
      <c r="F1327" s="192" t="n">
        <f aca="false">SUMIF(ENTRADAS!F:F,CLIENTES_PCBR[[#This Row],[TELEFONO]],ENTRADAS!C:C)</f>
        <v>390</v>
      </c>
      <c r="G1327" s="189" t="s">
        <v>94</v>
      </c>
    </row>
    <row r="1328" customFormat="false" ht="15" hidden="false" customHeight="false" outlineLevel="0" collapsed="false">
      <c r="A1328" s="197" t="n">
        <v>46073</v>
      </c>
      <c r="B1328" s="191"/>
      <c r="C1328" s="190" t="s">
        <v>818</v>
      </c>
      <c r="D1328" s="191" t="n">
        <v>554598459653</v>
      </c>
      <c r="F1328" s="192" t="n">
        <f aca="false">SUMIF(ENTRADAS!F:F,CLIENTES_PCBR[[#This Row],[TELEFONO]],ENTRADAS!C:C)</f>
        <v>150</v>
      </c>
      <c r="G1328" s="189" t="s">
        <v>94</v>
      </c>
    </row>
    <row r="1329" customFormat="false" ht="15" hidden="false" customHeight="false" outlineLevel="0" collapsed="false">
      <c r="A1329" s="197" t="n">
        <v>46073</v>
      </c>
      <c r="B1329" s="191"/>
      <c r="C1329" s="190" t="s">
        <v>820</v>
      </c>
      <c r="D1329" s="191" t="n">
        <v>555599169585</v>
      </c>
      <c r="E1329" s="190" t="s">
        <v>821</v>
      </c>
      <c r="F1329" s="192" t="n">
        <f aca="false">SUMIF(ENTRADAS!F:F,CLIENTES_PCBR[[#This Row],[TELEFONO]],ENTRADAS!C:C)</f>
        <v>150</v>
      </c>
      <c r="G1329" s="189" t="s">
        <v>94</v>
      </c>
    </row>
    <row r="1330" customFormat="false" ht="15" hidden="false" customHeight="false" outlineLevel="0" collapsed="false">
      <c r="A1330" s="197" t="n">
        <v>46074</v>
      </c>
      <c r="B1330" s="191"/>
      <c r="C1330" s="190" t="s">
        <v>823</v>
      </c>
      <c r="D1330" s="191" t="n">
        <v>554899686782</v>
      </c>
      <c r="E1330" s="190" t="s">
        <v>824</v>
      </c>
      <c r="F1330" s="192" t="n">
        <f aca="false">SUMIF(ENTRADAS!F:F,CLIENTES_PCBR[[#This Row],[TELEFONO]],ENTRADAS!C:C)</f>
        <v>225</v>
      </c>
      <c r="G1330" s="189" t="s">
        <v>94</v>
      </c>
    </row>
    <row r="1331" customFormat="false" ht="15" hidden="false" customHeight="false" outlineLevel="0" collapsed="false">
      <c r="A1331" s="197" t="n">
        <v>46074</v>
      </c>
      <c r="B1331" s="191"/>
      <c r="C1331" s="190" t="s">
        <v>826</v>
      </c>
      <c r="D1331" s="191" t="n">
        <v>5511965208670</v>
      </c>
      <c r="E1331" s="190" t="s">
        <v>827</v>
      </c>
      <c r="F1331" s="192" t="n">
        <f aca="false">SUMIF(ENTRADAS!F:F,CLIENTES_PCBR[[#This Row],[TELEFONO]],ENTRADAS!C:C)</f>
        <v>120</v>
      </c>
      <c r="G1331" s="189" t="s">
        <v>94</v>
      </c>
    </row>
    <row r="1332" customFormat="false" ht="15" hidden="false" customHeight="false" outlineLevel="0" collapsed="false">
      <c r="A1332" s="197" t="n">
        <v>46074</v>
      </c>
      <c r="B1332" s="191"/>
      <c r="C1332" s="190" t="s">
        <v>830</v>
      </c>
      <c r="D1332" s="191" t="n">
        <v>554792263213</v>
      </c>
      <c r="E1332" s="190" t="s">
        <v>831</v>
      </c>
      <c r="F1332" s="192" t="n">
        <f aca="false">SUMIF(ENTRADAS!F:F,CLIENTES_PCBR[[#This Row],[TELEFONO]],ENTRADAS!C:C)</f>
        <v>147</v>
      </c>
      <c r="G1332" s="189" t="s">
        <v>94</v>
      </c>
    </row>
    <row r="1333" customFormat="false" ht="15" hidden="false" customHeight="false" outlineLevel="0" collapsed="false">
      <c r="A1333" s="197" t="n">
        <v>46074</v>
      </c>
      <c r="B1333" s="191"/>
      <c r="C1333" s="190" t="s">
        <v>832</v>
      </c>
      <c r="D1333" s="191" t="n">
        <v>554896467877</v>
      </c>
      <c r="E1333" s="190" t="s">
        <v>833</v>
      </c>
      <c r="F1333" s="192" t="n">
        <f aca="false">SUMIF(ENTRADAS!F:F,CLIENTES_PCBR[[#This Row],[TELEFONO]],ENTRADAS!C:C)</f>
        <v>600</v>
      </c>
      <c r="G1333" s="189" t="s">
        <v>94</v>
      </c>
    </row>
    <row r="1334" customFormat="false" ht="15" hidden="false" customHeight="false" outlineLevel="0" collapsed="false">
      <c r="A1334" s="197" t="n">
        <v>46074</v>
      </c>
      <c r="B1334" s="191"/>
      <c r="C1334" s="190" t="s">
        <v>92</v>
      </c>
      <c r="D1334" s="191" t="s">
        <v>835</v>
      </c>
      <c r="E1334" s="190" t="s">
        <v>93</v>
      </c>
      <c r="F1334" s="192" t="n">
        <f aca="false">SUMIF(ENTRADAS!F:F,CLIENTES_PCBR[[#This Row],[TELEFONO]],ENTRADAS!C:C)</f>
        <v>1500</v>
      </c>
      <c r="G1334" s="189" t="s">
        <v>94</v>
      </c>
    </row>
    <row r="1335" customFormat="false" ht="15" hidden="false" customHeight="false" outlineLevel="0" collapsed="false">
      <c r="A1335" s="197" t="n">
        <v>46076</v>
      </c>
      <c r="B1335" s="191"/>
      <c r="C1335" s="190" t="s">
        <v>837</v>
      </c>
      <c r="D1335" s="191" t="n">
        <v>554185257686</v>
      </c>
      <c r="E1335" s="190" t="s">
        <v>838</v>
      </c>
      <c r="F1335" s="192" t="n">
        <f aca="false">SUMIF(ENTRADAS!F:F,CLIENTES_PCBR[[#This Row],[TELEFONO]],ENTRADAS!C:C)</f>
        <v>97</v>
      </c>
      <c r="G1335" s="189" t="s">
        <v>94</v>
      </c>
    </row>
    <row r="1336" customFormat="false" ht="15" hidden="false" customHeight="false" outlineLevel="0" collapsed="false">
      <c r="A1336" s="197" t="n">
        <v>46075</v>
      </c>
      <c r="B1336" s="191"/>
      <c r="C1336" s="190" t="s">
        <v>840</v>
      </c>
      <c r="D1336" s="191" t="n">
        <v>554291120985</v>
      </c>
      <c r="E1336" s="190" t="s">
        <v>841</v>
      </c>
      <c r="F1336" s="192" t="n">
        <f aca="false">SUMIF(ENTRADAS!F:F,CLIENTES_PCBR[[#This Row],[TELEFONO]],ENTRADAS!C:C)</f>
        <v>97</v>
      </c>
      <c r="G1336" s="189" t="s">
        <v>94</v>
      </c>
    </row>
    <row r="1337" customFormat="false" ht="15" hidden="false" customHeight="false" outlineLevel="0" collapsed="false">
      <c r="A1337" s="197" t="n">
        <v>46076</v>
      </c>
      <c r="B1337" s="191"/>
      <c r="C1337" s="190" t="s">
        <v>842</v>
      </c>
      <c r="D1337" s="191" t="n">
        <v>5511916718221</v>
      </c>
      <c r="E1337" s="190" t="s">
        <v>843</v>
      </c>
      <c r="F1337" s="192" t="n">
        <f aca="false">SUMIF(ENTRADAS!F:F,CLIENTES_PCBR[[#This Row],[TELEFONO]],ENTRADAS!C:C)</f>
        <v>1000</v>
      </c>
      <c r="G1337" s="189" t="s">
        <v>94</v>
      </c>
    </row>
    <row r="1338" customFormat="false" ht="15" hidden="false" customHeight="false" outlineLevel="0" collapsed="false">
      <c r="A1338" s="197" t="n">
        <v>46076</v>
      </c>
      <c r="B1338" s="191"/>
      <c r="C1338" s="190" t="s">
        <v>845</v>
      </c>
      <c r="D1338" s="191" t="n">
        <v>5511916892827</v>
      </c>
      <c r="E1338" s="190" t="s">
        <v>846</v>
      </c>
      <c r="F1338" s="192" t="n">
        <f aca="false">SUMIF(ENTRADAS!F:F,CLIENTES_PCBR[[#This Row],[TELEFONO]],ENTRADAS!C:C)</f>
        <v>150</v>
      </c>
      <c r="G1338" s="189" t="s">
        <v>94</v>
      </c>
    </row>
    <row r="1339" customFormat="false" ht="15" hidden="false" customHeight="false" outlineLevel="0" collapsed="false">
      <c r="A1339" s="197" t="n">
        <v>46076</v>
      </c>
      <c r="B1339" s="191"/>
      <c r="C1339" s="190" t="s">
        <v>847</v>
      </c>
      <c r="D1339" s="191" t="n">
        <v>5356796940</v>
      </c>
      <c r="E1339" s="190" t="s">
        <v>848</v>
      </c>
      <c r="F1339" s="192" t="n">
        <f aca="false">SUMIF(ENTRADAS!F:F,CLIENTES_PCBR[[#This Row],[TELEFONO]],ENTRADAS!C:C)</f>
        <v>147</v>
      </c>
      <c r="G1339" s="189" t="s">
        <v>94</v>
      </c>
    </row>
    <row r="1340" customFormat="false" ht="15" hidden="false" customHeight="false" outlineLevel="0" collapsed="false">
      <c r="A1340" s="197" t="n">
        <v>46076</v>
      </c>
      <c r="B1340" s="191"/>
      <c r="C1340" s="190" t="s">
        <v>850</v>
      </c>
      <c r="D1340" s="191" t="n">
        <v>559584121964</v>
      </c>
      <c r="E1340" s="190" t="s">
        <v>851</v>
      </c>
      <c r="F1340" s="192" t="n">
        <f aca="false">SUMIF(ENTRADAS!F:F,CLIENTES_PCBR[[#This Row],[TELEFONO]],ENTRADAS!C:C)</f>
        <v>140</v>
      </c>
      <c r="G1340" s="189" t="s">
        <v>94</v>
      </c>
    </row>
    <row r="1341" customFormat="false" ht="15" hidden="false" customHeight="false" outlineLevel="0" collapsed="false">
      <c r="A1341" s="197" t="n">
        <v>46076</v>
      </c>
      <c r="B1341" s="191"/>
      <c r="C1341" s="190" t="s">
        <v>852</v>
      </c>
      <c r="D1341" s="191" t="n">
        <v>554891103355</v>
      </c>
      <c r="E1341" s="190" t="s">
        <v>853</v>
      </c>
      <c r="F1341" s="192" t="n">
        <f aca="false">SUMIF(ENTRADAS!F:F,CLIENTES_PCBR[[#This Row],[TELEFONO]],ENTRADAS!C:C)</f>
        <v>240</v>
      </c>
      <c r="G1341" s="189" t="s">
        <v>94</v>
      </c>
    </row>
    <row r="1342" customFormat="false" ht="15" hidden="false" customHeight="false" outlineLevel="0" collapsed="false">
      <c r="A1342" s="197" t="n">
        <v>46076</v>
      </c>
      <c r="B1342" s="191"/>
      <c r="C1342" s="190" t="s">
        <v>857</v>
      </c>
      <c r="D1342" s="191" t="n">
        <v>12394467745</v>
      </c>
      <c r="F1342" s="192" t="n">
        <f aca="false">SUMIF(ENTRADAS!F:F,CLIENTES_PCBR[[#This Row],[TELEFONO]],ENTRADAS!C:C)</f>
        <v>194</v>
      </c>
      <c r="G1342" s="189" t="s">
        <v>94</v>
      </c>
    </row>
    <row r="1343" customFormat="false" ht="15" hidden="false" customHeight="false" outlineLevel="0" collapsed="false">
      <c r="A1343" s="197" t="n">
        <v>46076</v>
      </c>
      <c r="B1343" s="191"/>
      <c r="C1343" s="190" t="s">
        <v>858</v>
      </c>
      <c r="D1343" s="191" t="n">
        <v>15123166403</v>
      </c>
      <c r="F1343" s="192" t="n">
        <f aca="false">SUMIF(ENTRADAS!F:F,CLIENTES_PCBR[[#This Row],[TELEFONO]],ENTRADAS!C:C)</f>
        <v>250</v>
      </c>
      <c r="G1343" s="189" t="s">
        <v>94</v>
      </c>
    </row>
    <row r="1344" customFormat="false" ht="15" hidden="false" customHeight="false" outlineLevel="0" collapsed="false">
      <c r="A1344" s="197" t="n">
        <v>46076</v>
      </c>
      <c r="B1344" s="191"/>
      <c r="C1344" s="190" t="s">
        <v>865</v>
      </c>
      <c r="D1344" s="191" t="n">
        <v>554791920955</v>
      </c>
      <c r="E1344" s="190" t="s">
        <v>866</v>
      </c>
      <c r="F1344" s="192" t="n">
        <f aca="false">SUMIF(ENTRADAS!F:F,CLIENTES_PCBR[[#This Row],[TELEFONO]],ENTRADAS!C:C)</f>
        <v>267</v>
      </c>
      <c r="G1344" s="189" t="s">
        <v>94</v>
      </c>
    </row>
    <row r="1345" customFormat="false" ht="15" hidden="false" customHeight="false" outlineLevel="0" collapsed="false">
      <c r="A1345" s="197" t="n">
        <v>46076</v>
      </c>
      <c r="B1345" s="191"/>
      <c r="C1345" s="190" t="s">
        <v>867</v>
      </c>
      <c r="D1345" s="191" t="n">
        <v>556796027284</v>
      </c>
      <c r="E1345" s="190" t="s">
        <v>868</v>
      </c>
      <c r="F1345" s="192" t="n">
        <f aca="false">SUMIF(ENTRADAS!F:F,CLIENTES_PCBR[[#This Row],[TELEFONO]],ENTRADAS!C:C)</f>
        <v>294</v>
      </c>
      <c r="G1345" s="189" t="s">
        <v>94</v>
      </c>
    </row>
    <row r="1346" customFormat="false" ht="15" hidden="false" customHeight="false" outlineLevel="0" collapsed="false">
      <c r="A1346" s="197" t="n">
        <v>46076</v>
      </c>
      <c r="B1346" s="191"/>
      <c r="C1346" s="190" t="s">
        <v>869</v>
      </c>
      <c r="D1346" s="191" t="n">
        <v>559293407788</v>
      </c>
      <c r="E1346" s="190" t="s">
        <v>870</v>
      </c>
      <c r="F1346" s="192" t="n">
        <f aca="false">SUMIF(ENTRADAS!F:F,CLIENTES_PCBR[[#This Row],[TELEFONO]],ENTRADAS!C:C)</f>
        <v>150</v>
      </c>
      <c r="G1346" s="189" t="s">
        <v>94</v>
      </c>
    </row>
    <row r="1347" customFormat="false" ht="15" hidden="false" customHeight="false" outlineLevel="0" collapsed="false">
      <c r="A1347" s="197" t="n">
        <v>46074</v>
      </c>
      <c r="B1347" s="191"/>
      <c r="C1347" s="190" t="s">
        <v>871</v>
      </c>
      <c r="D1347" s="191" t="n">
        <v>554598357193</v>
      </c>
      <c r="E1347" s="190" t="s">
        <v>872</v>
      </c>
      <c r="F1347" s="192" t="n">
        <f aca="false">SUMIF(ENTRADAS!F:F,CLIENTES_PCBR[[#This Row],[TELEFONO]],ENTRADAS!C:C)</f>
        <v>267</v>
      </c>
      <c r="G1347" s="189" t="s">
        <v>94</v>
      </c>
    </row>
    <row r="1348" customFormat="false" ht="15" hidden="false" customHeight="false" outlineLevel="0" collapsed="false">
      <c r="A1348" s="197" t="n">
        <v>46076</v>
      </c>
      <c r="B1348" s="191"/>
      <c r="C1348" s="190" t="s">
        <v>873</v>
      </c>
      <c r="D1348" s="191" t="n">
        <v>559584137039</v>
      </c>
      <c r="E1348" s="190" t="s">
        <v>874</v>
      </c>
      <c r="F1348" s="192" t="n">
        <f aca="false">SUMIF(ENTRADAS!F:F,CLIENTES_PCBR[[#This Row],[TELEFONO]],ENTRADAS!C:C)</f>
        <v>447</v>
      </c>
      <c r="G1348" s="189" t="s">
        <v>94</v>
      </c>
    </row>
    <row r="1349" customFormat="false" ht="15" hidden="false" customHeight="false" outlineLevel="0" collapsed="false">
      <c r="A1349" s="197" t="n">
        <v>46077</v>
      </c>
      <c r="B1349" s="191"/>
      <c r="C1349" s="190" t="s">
        <v>876</v>
      </c>
      <c r="D1349" s="191" t="n">
        <v>559584297065</v>
      </c>
      <c r="E1349" s="190" t="s">
        <v>877</v>
      </c>
      <c r="F1349" s="192" t="n">
        <f aca="false">SUMIF(ENTRADAS!F:F,CLIENTES_PCBR[[#This Row],[TELEFONO]],ENTRADAS!C:C)</f>
        <v>150</v>
      </c>
      <c r="G1349" s="189" t="s">
        <v>94</v>
      </c>
    </row>
    <row r="1350" customFormat="false" ht="15" hidden="false" customHeight="false" outlineLevel="0" collapsed="false">
      <c r="A1350" s="197" t="n">
        <v>46077</v>
      </c>
      <c r="B1350" s="191"/>
      <c r="C1350" s="190" t="s">
        <v>878</v>
      </c>
      <c r="D1350" s="191" t="n">
        <v>554195341173</v>
      </c>
      <c r="F1350" s="192" t="n">
        <f aca="false">SUMIF(ENTRADAS!F:F,CLIENTES_PCBR[[#This Row],[TELEFONO]],ENTRADAS!C:C)</f>
        <v>60</v>
      </c>
      <c r="G1350" s="189" t="s">
        <v>94</v>
      </c>
    </row>
    <row r="1351" customFormat="false" ht="15" hidden="false" customHeight="false" outlineLevel="0" collapsed="false">
      <c r="A1351" s="197" t="n">
        <v>46077</v>
      </c>
      <c r="B1351" s="191"/>
      <c r="C1351" s="190" t="s">
        <v>879</v>
      </c>
      <c r="D1351" s="191" t="n">
        <v>556199807330</v>
      </c>
      <c r="E1351" s="190" t="s">
        <v>880</v>
      </c>
      <c r="F1351" s="192" t="n">
        <f aca="false">SUMIF(ENTRADAS!F:F,CLIENTES_PCBR[[#This Row],[TELEFONO]],ENTRADAS!C:C)</f>
        <v>150</v>
      </c>
      <c r="G1351" s="189" t="s">
        <v>94</v>
      </c>
    </row>
    <row r="1352" customFormat="false" ht="15" hidden="false" customHeight="false" outlineLevel="0" collapsed="false">
      <c r="A1352" s="197" t="n">
        <v>46078</v>
      </c>
      <c r="B1352" s="191"/>
      <c r="C1352" s="190" t="s">
        <v>884</v>
      </c>
      <c r="D1352" s="191" t="n">
        <v>554192184353</v>
      </c>
      <c r="E1352" s="190" t="s">
        <v>885</v>
      </c>
      <c r="F1352" s="192" t="n">
        <f aca="false">SUMIF(ENTRADAS!F:F,CLIENTES_PCBR[[#This Row],[TELEFONO]],ENTRADAS!C:C)</f>
        <v>340</v>
      </c>
      <c r="G1352" s="189" t="s">
        <v>94</v>
      </c>
    </row>
    <row r="1353" customFormat="false" ht="15" hidden="false" customHeight="false" outlineLevel="0" collapsed="false">
      <c r="A1353" s="197" t="n">
        <v>46077</v>
      </c>
      <c r="B1353" s="191"/>
      <c r="C1353" s="190" t="s">
        <v>886</v>
      </c>
      <c r="D1353" s="191" t="n">
        <v>95984026581</v>
      </c>
      <c r="E1353" s="190" t="s">
        <v>887</v>
      </c>
      <c r="F1353" s="192" t="n">
        <f aca="false">SUMIF(ENTRADAS!F:F,CLIENTES_PCBR[[#This Row],[TELEFONO]],ENTRADAS!C:C)</f>
        <v>150</v>
      </c>
      <c r="G1353" s="189" t="s">
        <v>94</v>
      </c>
    </row>
    <row r="1354" customFormat="false" ht="16.4" hidden="false" customHeight="false" outlineLevel="0" collapsed="false">
      <c r="A1354" s="197" t="n">
        <v>46078</v>
      </c>
      <c r="B1354" s="191"/>
      <c r="C1354" s="190" t="s">
        <v>857</v>
      </c>
      <c r="D1354" s="191" t="n">
        <v>5512394467745</v>
      </c>
      <c r="E1354" s="200" t="s">
        <v>5524</v>
      </c>
      <c r="F1354" s="192" t="n">
        <f aca="false">SUMIF(ENTRADAS!F:F,CLIENTES_PCBR[[#This Row],[TELEFONO]],ENTRADAS!C:C)</f>
        <v>360</v>
      </c>
      <c r="G1354" s="189" t="s">
        <v>94</v>
      </c>
    </row>
    <row r="1355" customFormat="false" ht="15" hidden="false" customHeight="false" outlineLevel="0" collapsed="false">
      <c r="A1355" s="197" t="n">
        <v>46078</v>
      </c>
      <c r="B1355" s="191"/>
      <c r="C1355" s="190" t="s">
        <v>894</v>
      </c>
      <c r="D1355" s="191" t="n">
        <v>554988315310</v>
      </c>
      <c r="E1355" s="190" t="s">
        <v>895</v>
      </c>
      <c r="F1355" s="192" t="n">
        <f aca="false">SUMIF(ENTRADAS!F:F,CLIENTES_PCBR[[#This Row],[TELEFONO]],ENTRADAS!C:C)</f>
        <v>120</v>
      </c>
      <c r="G1355" s="189" t="s">
        <v>94</v>
      </c>
    </row>
    <row r="1356" customFormat="false" ht="15" hidden="false" customHeight="false" outlineLevel="0" collapsed="false">
      <c r="A1356" s="197" t="n">
        <v>46078</v>
      </c>
      <c r="B1356" s="191"/>
      <c r="C1356" s="190" t="s">
        <v>906</v>
      </c>
      <c r="D1356" s="191" t="n">
        <v>559584227041</v>
      </c>
      <c r="E1356" s="190" t="s">
        <v>907</v>
      </c>
      <c r="F1356" s="192" t="n">
        <f aca="false">SUMIF(ENTRADAS!F:F,CLIENTES_PCBR[[#This Row],[TELEFONO]],ENTRADAS!C:C)</f>
        <v>570</v>
      </c>
      <c r="G1356" s="189" t="s">
        <v>94</v>
      </c>
    </row>
    <row r="1357" customFormat="false" ht="15" hidden="false" customHeight="false" outlineLevel="0" collapsed="false">
      <c r="A1357" s="197" t="n">
        <v>46078</v>
      </c>
      <c r="B1357" s="191"/>
      <c r="C1357" s="190" t="s">
        <v>912</v>
      </c>
      <c r="D1357" s="191" t="n">
        <v>5353552585</v>
      </c>
      <c r="E1357" s="190" t="s">
        <v>913</v>
      </c>
      <c r="F1357" s="192" t="n">
        <f aca="false">SUMIF(ENTRADAS!F:F,CLIENTES_PCBR[[#This Row],[TELEFONO]],ENTRADAS!C:C)</f>
        <v>300</v>
      </c>
      <c r="G1357" s="189" t="s">
        <v>94</v>
      </c>
    </row>
    <row r="1358" customFormat="false" ht="15" hidden="false" customHeight="false" outlineLevel="0" collapsed="false">
      <c r="A1358" s="197" t="n">
        <v>46078</v>
      </c>
      <c r="B1358" s="191"/>
      <c r="C1358" s="190" t="s">
        <v>915</v>
      </c>
      <c r="D1358" s="191" t="n">
        <v>553897538058</v>
      </c>
      <c r="E1358" s="190" t="s">
        <v>916</v>
      </c>
      <c r="F1358" s="192" t="n">
        <f aca="false">SUMIF(ENTRADAS!F:F,CLIENTES_PCBR[[#This Row],[TELEFONO]],ENTRADAS!C:C)</f>
        <v>120</v>
      </c>
      <c r="G1358" s="189" t="s">
        <v>94</v>
      </c>
    </row>
    <row r="1359" customFormat="false" ht="16.4" hidden="false" customHeight="false" outlineLevel="0" collapsed="false">
      <c r="A1359" s="197" t="n">
        <v>46078</v>
      </c>
      <c r="B1359" s="191"/>
      <c r="C1359" s="190" t="s">
        <v>769</v>
      </c>
      <c r="D1359" s="191" t="n">
        <v>556592235073</v>
      </c>
      <c r="E1359" s="200" t="s">
        <v>5522</v>
      </c>
      <c r="F1359" s="192" t="n">
        <f aca="false">SUMIF(ENTRADAS!F:F,CLIENTES_PCBR[[#This Row],[TELEFONO]],ENTRADAS!C:C)</f>
        <v>240</v>
      </c>
      <c r="G1359" s="189" t="s">
        <v>94</v>
      </c>
    </row>
    <row r="1360" customFormat="false" ht="15" hidden="false" customHeight="false" outlineLevel="0" collapsed="false">
      <c r="A1360" s="197" t="n">
        <v>46078</v>
      </c>
      <c r="B1360" s="191"/>
      <c r="C1360" s="190" t="s">
        <v>919</v>
      </c>
      <c r="D1360" s="191" t="n">
        <v>5358105752</v>
      </c>
      <c r="E1360" s="190" t="s">
        <v>920</v>
      </c>
      <c r="F1360" s="192" t="n">
        <f aca="false">SUMIF(ENTRADAS!F:F,CLIENTES_PCBR[[#This Row],[TELEFONO]],ENTRADAS!C:C)</f>
        <v>200</v>
      </c>
      <c r="G1360" s="189" t="s">
        <v>94</v>
      </c>
    </row>
    <row r="1361" customFormat="false" ht="15" hidden="false" customHeight="false" outlineLevel="0" collapsed="false">
      <c r="A1361" s="197" t="n">
        <v>46076</v>
      </c>
      <c r="B1361" s="191"/>
      <c r="C1361" s="190" t="s">
        <v>927</v>
      </c>
      <c r="D1361" s="191" t="n">
        <v>5551981880231</v>
      </c>
      <c r="E1361" s="190" t="s">
        <v>928</v>
      </c>
      <c r="F1361" s="192" t="n">
        <f aca="false">SUMIF(ENTRADAS!F:F,CLIENTES_PCBR[[#This Row],[TELEFONO]],ENTRADAS!C:C)</f>
        <v>80</v>
      </c>
      <c r="G1361" s="189" t="s">
        <v>94</v>
      </c>
    </row>
    <row r="1362" customFormat="false" ht="15" hidden="false" customHeight="false" outlineLevel="0" collapsed="false">
      <c r="A1362" s="197" t="n">
        <v>46077</v>
      </c>
      <c r="B1362" s="191"/>
      <c r="C1362" s="190" t="s">
        <v>930</v>
      </c>
      <c r="D1362" s="191" t="n">
        <v>555494826336</v>
      </c>
      <c r="E1362" s="190" t="s">
        <v>931</v>
      </c>
      <c r="F1362" s="192" t="n">
        <f aca="false">SUMIF(ENTRADAS!F:F,CLIENTES_PCBR[[#This Row],[TELEFONO]],ENTRADAS!C:C)</f>
        <v>240</v>
      </c>
      <c r="G1362" s="189" t="s">
        <v>94</v>
      </c>
    </row>
    <row r="1363" customFormat="false" ht="15" hidden="false" customHeight="false" outlineLevel="0" collapsed="false">
      <c r="A1363" s="197" t="n">
        <v>46078</v>
      </c>
      <c r="B1363" s="191"/>
      <c r="C1363" s="190" t="s">
        <v>937</v>
      </c>
      <c r="D1363" s="191" t="n">
        <v>554192565332</v>
      </c>
      <c r="E1363" s="190" t="s">
        <v>938</v>
      </c>
      <c r="F1363" s="192" t="n">
        <f aca="false">SUMIF(ENTRADAS!F:F,CLIENTES_PCBR[[#This Row],[TELEFONO]],ENTRADAS!C:C)</f>
        <v>100</v>
      </c>
      <c r="G1363" s="189" t="s">
        <v>94</v>
      </c>
    </row>
    <row r="1364" customFormat="false" ht="15" hidden="false" customHeight="false" outlineLevel="0" collapsed="false">
      <c r="A1364" s="197" t="n">
        <v>46078</v>
      </c>
      <c r="B1364" s="191"/>
      <c r="C1364" s="190" t="s">
        <v>941</v>
      </c>
      <c r="D1364" s="191" t="n">
        <v>5352483372</v>
      </c>
      <c r="E1364" s="190" t="s">
        <v>942</v>
      </c>
      <c r="F1364" s="192" t="n">
        <f aca="false">SUMIF(ENTRADAS!F:F,CLIENTES_PCBR[[#This Row],[TELEFONO]],ENTRADAS!C:C)</f>
        <v>140</v>
      </c>
      <c r="G1364" s="189" t="s">
        <v>94</v>
      </c>
    </row>
    <row r="1365" customFormat="false" ht="15" hidden="false" customHeight="false" outlineLevel="0" collapsed="false">
      <c r="A1365" s="197" t="n">
        <v>46078</v>
      </c>
      <c r="B1365" s="191"/>
      <c r="C1365" s="190" t="s">
        <v>945</v>
      </c>
      <c r="D1365" s="191" t="n">
        <v>554197483195</v>
      </c>
      <c r="F1365" s="192" t="n">
        <f aca="false">SUMIF(ENTRADAS!F:F,CLIENTES_PCBR[[#This Row],[TELEFONO]],ENTRADAS!C:C)</f>
        <v>177</v>
      </c>
      <c r="G1365" s="189" t="s">
        <v>94</v>
      </c>
    </row>
    <row r="1366" customFormat="false" ht="15" hidden="false" customHeight="false" outlineLevel="0" collapsed="false">
      <c r="A1366" s="197" t="n">
        <v>46078</v>
      </c>
      <c r="B1366" s="191"/>
      <c r="C1366" s="190" t="s">
        <v>950</v>
      </c>
      <c r="D1366" s="191" t="n">
        <v>559684329227</v>
      </c>
      <c r="E1366" s="190" t="s">
        <v>951</v>
      </c>
      <c r="F1366" s="192" t="n">
        <f aca="false">SUMIF(ENTRADAS!F:F,CLIENTES_PCBR[[#This Row],[TELEFONO]],ENTRADAS!C:C)</f>
        <v>80</v>
      </c>
      <c r="G1366" s="189" t="s">
        <v>94</v>
      </c>
    </row>
    <row r="1367" customFormat="false" ht="15" hidden="false" customHeight="false" outlineLevel="0" collapsed="false">
      <c r="A1367" s="197" t="n">
        <v>46079</v>
      </c>
      <c r="B1367" s="191"/>
      <c r="C1367" s="190" t="s">
        <v>954</v>
      </c>
      <c r="D1367" s="191" t="n">
        <v>5511912250930</v>
      </c>
      <c r="F1367" s="192" t="n">
        <f aca="false">SUMIF(ENTRADAS!F:F,CLIENTES_PCBR[[#This Row],[TELEFONO]],ENTRADAS!C:C)</f>
        <v>400</v>
      </c>
      <c r="G1367" s="189" t="s">
        <v>94</v>
      </c>
    </row>
    <row r="1368" customFormat="false" ht="15" hidden="false" customHeight="false" outlineLevel="0" collapsed="false">
      <c r="A1368" s="197" t="n">
        <v>46078</v>
      </c>
      <c r="B1368" s="191"/>
      <c r="C1368" s="190" t="s">
        <v>960</v>
      </c>
      <c r="D1368" s="191" t="n">
        <v>553491516413</v>
      </c>
      <c r="E1368" s="190" t="s">
        <v>961</v>
      </c>
      <c r="F1368" s="192" t="n">
        <f aca="false">SUMIF(ENTRADAS!F:F,CLIENTES_PCBR[[#This Row],[TELEFONO]],ENTRADAS!C:C)</f>
        <v>220</v>
      </c>
      <c r="G1368" s="189" t="s">
        <v>94</v>
      </c>
    </row>
    <row r="1369" customFormat="false" ht="15" hidden="false" customHeight="false" outlineLevel="0" collapsed="false">
      <c r="A1369" s="197" t="n">
        <v>46079</v>
      </c>
      <c r="B1369" s="191"/>
      <c r="C1369" s="190" t="s">
        <v>963</v>
      </c>
      <c r="D1369" s="191" t="n">
        <v>5521982245006</v>
      </c>
      <c r="E1369" s="190" t="s">
        <v>964</v>
      </c>
      <c r="F1369" s="192" t="n">
        <f aca="false">SUMIF(ENTRADAS!F:F,CLIENTES_PCBR[[#This Row],[TELEFONO]],ENTRADAS!C:C)</f>
        <v>369</v>
      </c>
      <c r="G1369" s="189" t="s">
        <v>94</v>
      </c>
    </row>
    <row r="1370" customFormat="false" ht="15" hidden="false" customHeight="false" outlineLevel="0" collapsed="false">
      <c r="A1370" s="197" t="n">
        <v>46080</v>
      </c>
      <c r="B1370" s="191"/>
      <c r="C1370" s="190" t="s">
        <v>969</v>
      </c>
      <c r="D1370" s="191" t="n">
        <v>5547933835549</v>
      </c>
      <c r="E1370" s="190" t="s">
        <v>970</v>
      </c>
      <c r="F1370" s="192" t="n">
        <f aca="false">SUMIF(ENTRADAS!F:F,CLIENTES_PCBR[[#This Row],[TELEFONO]],ENTRADAS!C:C)</f>
        <v>294</v>
      </c>
      <c r="G1370" s="189" t="s">
        <v>94</v>
      </c>
    </row>
    <row r="1371" customFormat="false" ht="15" hidden="false" customHeight="false" outlineLevel="0" collapsed="false">
      <c r="A1371" s="197" t="n">
        <v>46080</v>
      </c>
      <c r="B1371" s="191"/>
      <c r="C1371" s="190" t="s">
        <v>972</v>
      </c>
      <c r="D1371" s="191" t="n">
        <v>554788892712</v>
      </c>
      <c r="E1371" s="190" t="s">
        <v>973</v>
      </c>
      <c r="F1371" s="192" t="n">
        <f aca="false">SUMIF(ENTRADAS!F:F,CLIENTES_PCBR[[#This Row],[TELEFONO]],ENTRADAS!C:C)</f>
        <v>360</v>
      </c>
      <c r="G1371" s="189" t="s">
        <v>94</v>
      </c>
    </row>
    <row r="1372" customFormat="false" ht="15" hidden="false" customHeight="false" outlineLevel="0" collapsed="false">
      <c r="A1372" s="197" t="n">
        <v>46080</v>
      </c>
      <c r="B1372" s="191"/>
      <c r="C1372" s="190" t="s">
        <v>975</v>
      </c>
      <c r="D1372" s="191" t="n">
        <v>554198670387</v>
      </c>
      <c r="E1372" s="190" t="s">
        <v>976</v>
      </c>
      <c r="F1372" s="192" t="n">
        <f aca="false">SUMIF(ENTRADAS!F:F,CLIENTES_PCBR[[#This Row],[TELEFONO]],ENTRADAS!C:C)</f>
        <v>147</v>
      </c>
      <c r="G1372" s="189" t="s">
        <v>94</v>
      </c>
    </row>
    <row r="1373" customFormat="false" ht="15" hidden="false" customHeight="false" outlineLevel="0" collapsed="false">
      <c r="A1373" s="197" t="n">
        <v>46080</v>
      </c>
      <c r="B1373" s="191"/>
      <c r="C1373" s="190" t="s">
        <v>978</v>
      </c>
      <c r="D1373" s="191" t="n">
        <v>556881028303</v>
      </c>
      <c r="E1373" s="190" t="s">
        <v>979</v>
      </c>
      <c r="F1373" s="192" t="n">
        <f aca="false">SUMIF(ENTRADAS!F:F,CLIENTES_PCBR[[#This Row],[TELEFONO]],ENTRADAS!C:C)</f>
        <v>150</v>
      </c>
      <c r="G1373" s="189" t="s">
        <v>94</v>
      </c>
    </row>
    <row r="1374" customFormat="false" ht="15" hidden="false" customHeight="false" outlineLevel="0" collapsed="false">
      <c r="A1374" s="197" t="n">
        <v>46081</v>
      </c>
      <c r="B1374" s="191"/>
      <c r="C1374" s="190" t="s">
        <v>981</v>
      </c>
      <c r="D1374" s="191" t="n">
        <v>556294514130</v>
      </c>
      <c r="E1374" s="190" t="s">
        <v>982</v>
      </c>
      <c r="F1374" s="192" t="n">
        <f aca="false">SUMIF(ENTRADAS!F:F,CLIENTES_PCBR[[#This Row],[TELEFONO]],ENTRADAS!C:C)</f>
        <v>240</v>
      </c>
      <c r="G1374" s="189" t="s">
        <v>94</v>
      </c>
    </row>
    <row r="1375" customFormat="false" ht="15" hidden="false" customHeight="false" outlineLevel="0" collapsed="false">
      <c r="A1375" s="197" t="n">
        <v>46081</v>
      </c>
      <c r="B1375" s="191"/>
      <c r="C1375" s="190" t="s">
        <v>985</v>
      </c>
      <c r="D1375" s="191" t="n">
        <v>554888212591</v>
      </c>
      <c r="E1375" s="190" t="s">
        <v>986</v>
      </c>
      <c r="F1375" s="192" t="n">
        <f aca="false">SUMIF(ENTRADAS!F:F,CLIENTES_PCBR[[#This Row],[TELEFONO]],ENTRADAS!C:C)</f>
        <v>240</v>
      </c>
      <c r="G1375" s="189" t="s">
        <v>94</v>
      </c>
    </row>
    <row r="1376" customFormat="false" ht="15" hidden="false" customHeight="false" outlineLevel="0" collapsed="false">
      <c r="A1376" s="197" t="n">
        <v>46080</v>
      </c>
      <c r="B1376" s="191"/>
      <c r="C1376" s="190" t="s">
        <v>989</v>
      </c>
      <c r="D1376" s="191" t="n">
        <v>5352935154</v>
      </c>
      <c r="E1376" s="190" t="s">
        <v>990</v>
      </c>
      <c r="F1376" s="192" t="n">
        <f aca="false">SUMIF(ENTRADAS!F:F,CLIENTES_PCBR[[#This Row],[TELEFONO]],ENTRADAS!C:C)</f>
        <v>30</v>
      </c>
      <c r="G1376" s="189" t="s">
        <v>94</v>
      </c>
    </row>
    <row r="1377" customFormat="false" ht="15" hidden="false" customHeight="false" outlineLevel="0" collapsed="false">
      <c r="A1377" s="197" t="n">
        <v>46080</v>
      </c>
      <c r="B1377" s="191"/>
      <c r="C1377" s="190" t="s">
        <v>219</v>
      </c>
      <c r="D1377" s="191" t="n">
        <v>556284270683</v>
      </c>
      <c r="E1377" s="190" t="s">
        <v>220</v>
      </c>
      <c r="F1377" s="192" t="n">
        <f aca="false">SUMIF(ENTRADAS!F:F,CLIENTES_PCBR[[#This Row],[TELEFONO]],ENTRADAS!C:C)</f>
        <v>1600</v>
      </c>
      <c r="G1377" s="189" t="s">
        <v>94</v>
      </c>
    </row>
    <row r="1378" customFormat="false" ht="15" hidden="false" customHeight="false" outlineLevel="0" collapsed="false">
      <c r="A1378" s="197" t="n">
        <v>46081</v>
      </c>
      <c r="B1378" s="191"/>
      <c r="C1378" s="190" t="s">
        <v>996</v>
      </c>
      <c r="D1378" s="191" t="n">
        <v>554896062328</v>
      </c>
      <c r="E1378" s="190" t="s">
        <v>997</v>
      </c>
      <c r="F1378" s="192" t="n">
        <f aca="false">SUMIF(ENTRADAS!F:F,CLIENTES_PCBR[[#This Row],[TELEFONO]],ENTRADAS!C:C)</f>
        <v>140</v>
      </c>
      <c r="G1378" s="189" t="s">
        <v>94</v>
      </c>
    </row>
    <row r="1379" customFormat="false" ht="15" hidden="false" customHeight="false" outlineLevel="0" collapsed="false">
      <c r="A1379" s="197" t="n">
        <v>46081</v>
      </c>
      <c r="B1379" s="191"/>
      <c r="C1379" s="190" t="s">
        <v>1002</v>
      </c>
      <c r="D1379" s="191" t="n">
        <v>559584281951</v>
      </c>
      <c r="E1379" s="190" t="s">
        <v>1003</v>
      </c>
      <c r="F1379" s="192" t="n">
        <f aca="false">SUMIF(ENTRADAS!F:F,CLIENTES_PCBR[[#This Row],[TELEFONO]],ENTRADAS!C:C)</f>
        <v>150</v>
      </c>
      <c r="G1379" s="189" t="s">
        <v>94</v>
      </c>
    </row>
    <row r="1380" customFormat="false" ht="15" hidden="false" customHeight="false" outlineLevel="0" collapsed="false">
      <c r="A1380" s="197" t="n">
        <v>46081</v>
      </c>
      <c r="B1380" s="191"/>
      <c r="C1380" s="190" t="s">
        <v>1006</v>
      </c>
      <c r="D1380" s="191" t="n">
        <v>554195393903</v>
      </c>
      <c r="F1380" s="192" t="n">
        <f aca="false">SUMIF(ENTRADAS!F:F,CLIENTES_PCBR[[#This Row],[TELEFONO]],ENTRADAS!C:C)</f>
        <v>150</v>
      </c>
      <c r="G1380" s="189" t="s">
        <v>94</v>
      </c>
    </row>
    <row r="1381" customFormat="false" ht="15" hidden="false" customHeight="false" outlineLevel="0" collapsed="false">
      <c r="A1381" s="197" t="n">
        <v>46083</v>
      </c>
      <c r="B1381" s="191"/>
      <c r="C1381" s="190" t="s">
        <v>1008</v>
      </c>
      <c r="D1381" s="191" t="n">
        <v>554899107133</v>
      </c>
      <c r="E1381" s="190" t="s">
        <v>1009</v>
      </c>
      <c r="F1381" s="192" t="n">
        <f aca="false">SUMIF(ENTRADAS!F:F,CLIENTES_PCBR[[#This Row],[TELEFONO]],ENTRADAS!C:C)</f>
        <v>140</v>
      </c>
      <c r="G1381" s="189" t="s">
        <v>94</v>
      </c>
    </row>
    <row r="1382" customFormat="false" ht="16.4" hidden="false" customHeight="false" outlineLevel="0" collapsed="false">
      <c r="A1382" s="197" t="n">
        <v>46082</v>
      </c>
      <c r="B1382" s="191"/>
      <c r="C1382" s="190" t="s">
        <v>1011</v>
      </c>
      <c r="D1382" s="191" t="n">
        <v>558896038771</v>
      </c>
      <c r="E1382" s="200" t="s">
        <v>5525</v>
      </c>
      <c r="F1382" s="192" t="n">
        <f aca="false">SUMIF(ENTRADAS!F:F,CLIENTES_PCBR[[#This Row],[TELEFONO]],ENTRADAS!C:C)</f>
        <v>294</v>
      </c>
      <c r="G1382" s="189" t="s">
        <v>94</v>
      </c>
    </row>
    <row r="1383" customFormat="false" ht="15" hidden="false" customHeight="false" outlineLevel="0" collapsed="false">
      <c r="A1383" s="197" t="n">
        <v>46083</v>
      </c>
      <c r="B1383" s="191"/>
      <c r="C1383" s="190" t="s">
        <v>1014</v>
      </c>
      <c r="D1383" s="191" t="n">
        <v>5548996335616</v>
      </c>
      <c r="E1383" s="190" t="s">
        <v>1015</v>
      </c>
      <c r="F1383" s="192" t="n">
        <f aca="false">SUMIF(ENTRADAS!F:F,CLIENTES_PCBR[[#This Row],[TELEFONO]],ENTRADAS!C:C)</f>
        <v>120</v>
      </c>
      <c r="G1383" s="189" t="s">
        <v>94</v>
      </c>
    </row>
    <row r="1384" customFormat="false" ht="15" hidden="false" customHeight="false" outlineLevel="0" collapsed="false">
      <c r="A1384" s="197" t="n">
        <v>46083</v>
      </c>
      <c r="B1384" s="191"/>
      <c r="C1384" s="190" t="s">
        <v>1018</v>
      </c>
      <c r="D1384" s="191" t="n">
        <v>555193667337</v>
      </c>
      <c r="E1384" s="190" t="s">
        <v>1019</v>
      </c>
      <c r="F1384" s="192" t="n">
        <f aca="false">SUMIF(ENTRADAS!F:F,CLIENTES_PCBR[[#This Row],[TELEFONO]],ENTRADAS!C:C)</f>
        <v>97</v>
      </c>
      <c r="G1384" s="189" t="s">
        <v>94</v>
      </c>
    </row>
    <row r="1385" customFormat="false" ht="15" hidden="false" customHeight="false" outlineLevel="0" collapsed="false">
      <c r="A1385" s="197" t="n">
        <v>46084</v>
      </c>
      <c r="B1385" s="191"/>
      <c r="C1385" s="190" t="s">
        <v>1027</v>
      </c>
      <c r="D1385" s="191" t="n">
        <v>554195482482</v>
      </c>
      <c r="E1385" s="190" t="s">
        <v>1028</v>
      </c>
      <c r="F1385" s="192" t="n">
        <f aca="false">SUMIF(ENTRADAS!F:F,CLIENTES_PCBR[[#This Row],[TELEFONO]],ENTRADAS!C:C)</f>
        <v>194</v>
      </c>
      <c r="G1385" s="189" t="s">
        <v>94</v>
      </c>
    </row>
    <row r="1386" customFormat="false" ht="15" hidden="false" customHeight="false" outlineLevel="0" collapsed="false">
      <c r="A1386" s="197" t="n">
        <v>46083</v>
      </c>
      <c r="B1386" s="191"/>
      <c r="C1386" s="190" t="s">
        <v>1030</v>
      </c>
      <c r="D1386" s="191" t="n">
        <v>5519971704468</v>
      </c>
      <c r="E1386" s="190" t="s">
        <v>1031</v>
      </c>
      <c r="F1386" s="192" t="n">
        <f aca="false">SUMIF(ENTRADAS!F:F,CLIENTES_PCBR[[#This Row],[TELEFONO]],ENTRADAS!C:C)</f>
        <v>197</v>
      </c>
      <c r="G1386" s="189" t="s">
        <v>94</v>
      </c>
    </row>
    <row r="1387" customFormat="false" ht="15" hidden="false" customHeight="false" outlineLevel="0" collapsed="false">
      <c r="A1387" s="197" t="n">
        <v>46084</v>
      </c>
      <c r="B1387" s="191"/>
      <c r="C1387" s="190" t="s">
        <v>1035</v>
      </c>
      <c r="D1387" s="191" t="n">
        <v>5511966578758</v>
      </c>
      <c r="E1387" s="190" t="s">
        <v>1036</v>
      </c>
      <c r="F1387" s="192" t="n">
        <f aca="false">SUMIF(ENTRADAS!F:F,CLIENTES_PCBR[[#This Row],[TELEFONO]],ENTRADAS!C:C)</f>
        <v>147</v>
      </c>
      <c r="G1387" s="189" t="s">
        <v>94</v>
      </c>
    </row>
    <row r="1388" customFormat="false" ht="15" hidden="false" customHeight="false" outlineLevel="0" collapsed="false">
      <c r="A1388" s="197" t="n">
        <v>46084</v>
      </c>
      <c r="B1388" s="191"/>
      <c r="C1388" s="190" t="s">
        <v>1039</v>
      </c>
      <c r="D1388" s="191" t="n">
        <v>559286190187</v>
      </c>
      <c r="E1388" s="190" t="s">
        <v>1040</v>
      </c>
      <c r="F1388" s="192" t="n">
        <f aca="false">SUMIF(ENTRADAS!F:F,CLIENTES_PCBR[[#This Row],[TELEFONO]],ENTRADAS!C:C)</f>
        <v>317</v>
      </c>
      <c r="G1388" s="189" t="s">
        <v>94</v>
      </c>
    </row>
    <row r="1389" customFormat="false" ht="15" hidden="false" customHeight="false" outlineLevel="0" collapsed="false">
      <c r="A1389" s="197" t="n">
        <v>46084</v>
      </c>
      <c r="B1389" s="191"/>
      <c r="C1389" s="190" t="s">
        <v>1042</v>
      </c>
      <c r="D1389" s="191" t="n">
        <v>559584395827</v>
      </c>
      <c r="E1389" s="190" t="s">
        <v>1043</v>
      </c>
      <c r="F1389" s="192" t="n">
        <f aca="false">SUMIF(ENTRADAS!F:F,CLIENTES_PCBR[[#This Row],[TELEFONO]],ENTRADAS!C:C)</f>
        <v>150</v>
      </c>
      <c r="G1389" s="189" t="s">
        <v>94</v>
      </c>
    </row>
    <row r="1390" customFormat="false" ht="15" hidden="false" customHeight="false" outlineLevel="0" collapsed="false">
      <c r="A1390" s="197" t="n">
        <v>46084</v>
      </c>
      <c r="B1390" s="191"/>
      <c r="C1390" s="190" t="s">
        <v>1047</v>
      </c>
      <c r="D1390" s="191" t="n">
        <v>573106910116</v>
      </c>
      <c r="F1390" s="192" t="n">
        <f aca="false">SUMIF(ENTRADAS!F:F,CLIENTES_PCBR[[#This Row],[TELEFONO]],ENTRADAS!C:C)</f>
        <v>150</v>
      </c>
      <c r="G1390" s="189" t="s">
        <v>94</v>
      </c>
    </row>
    <row r="1391" customFormat="false" ht="15" hidden="false" customHeight="false" outlineLevel="0" collapsed="false">
      <c r="A1391" s="197" t="n">
        <v>46084</v>
      </c>
      <c r="B1391" s="191"/>
      <c r="C1391" s="190" t="s">
        <v>1049</v>
      </c>
      <c r="D1391" s="191" t="n">
        <v>5518997281568</v>
      </c>
      <c r="E1391" s="190" t="s">
        <v>1050</v>
      </c>
      <c r="F1391" s="192" t="n">
        <f aca="false">SUMIF(ENTRADAS!F:F,CLIENTES_PCBR[[#This Row],[TELEFONO]],ENTRADAS!C:C)</f>
        <v>147</v>
      </c>
      <c r="G1391" s="189" t="s">
        <v>94</v>
      </c>
    </row>
    <row r="1392" customFormat="false" ht="15" hidden="false" customHeight="false" outlineLevel="0" collapsed="false">
      <c r="A1392" s="197" t="n">
        <v>46084</v>
      </c>
      <c r="B1392" s="191"/>
      <c r="C1392" s="190" t="s">
        <v>1053</v>
      </c>
      <c r="D1392" s="191" t="n">
        <v>559584077552</v>
      </c>
      <c r="E1392" s="190" t="s">
        <v>1054</v>
      </c>
      <c r="F1392" s="192" t="n">
        <f aca="false">SUMIF(ENTRADAS!F:F,CLIENTES_PCBR[[#This Row],[TELEFONO]],ENTRADAS!C:C)</f>
        <v>194</v>
      </c>
      <c r="G1392" s="189" t="s">
        <v>94</v>
      </c>
    </row>
    <row r="1393" customFormat="false" ht="15" hidden="false" customHeight="false" outlineLevel="0" collapsed="false">
      <c r="A1393" s="197" t="n">
        <v>46084</v>
      </c>
      <c r="B1393" s="191"/>
      <c r="C1393" s="190" t="s">
        <v>1056</v>
      </c>
      <c r="D1393" s="191" t="n">
        <v>559681063104</v>
      </c>
      <c r="E1393" s="190" t="s">
        <v>1057</v>
      </c>
      <c r="F1393" s="192" t="n">
        <f aca="false">SUMIF(ENTRADAS!F:F,CLIENTES_PCBR[[#This Row],[TELEFONO]],ENTRADAS!C:C)</f>
        <v>60</v>
      </c>
      <c r="G1393" s="189" t="s">
        <v>94</v>
      </c>
    </row>
    <row r="1394" customFormat="false" ht="15" hidden="false" customHeight="false" outlineLevel="0" collapsed="false">
      <c r="A1394" s="197" t="n">
        <v>46084</v>
      </c>
      <c r="B1394" s="191"/>
      <c r="C1394" s="190" t="s">
        <v>1060</v>
      </c>
      <c r="D1394" s="191" t="n">
        <v>5511982228198</v>
      </c>
      <c r="E1394" s="190" t="s">
        <v>1061</v>
      </c>
      <c r="F1394" s="192" t="n">
        <f aca="false">SUMIF(ENTRADAS!F:F,CLIENTES_PCBR[[#This Row],[TELEFONO]],ENTRADAS!C:C)</f>
        <v>97</v>
      </c>
      <c r="G1394" s="189" t="s">
        <v>94</v>
      </c>
    </row>
    <row r="1395" customFormat="false" ht="15" hidden="false" customHeight="false" outlineLevel="0" collapsed="false">
      <c r="A1395" s="197" t="n">
        <v>46084</v>
      </c>
      <c r="B1395" s="191"/>
      <c r="C1395" s="190" t="s">
        <v>1063</v>
      </c>
      <c r="D1395" s="191" t="n">
        <v>5511933370691</v>
      </c>
      <c r="E1395" s="190" t="s">
        <v>1064</v>
      </c>
      <c r="F1395" s="192" t="n">
        <f aca="false">SUMIF(ENTRADAS!F:F,CLIENTES_PCBR[[#This Row],[TELEFONO]],ENTRADAS!C:C)</f>
        <v>120</v>
      </c>
      <c r="G1395" s="189" t="s">
        <v>94</v>
      </c>
    </row>
    <row r="1396" customFormat="false" ht="15" hidden="false" customHeight="false" outlineLevel="0" collapsed="false">
      <c r="A1396" s="197" t="n">
        <v>46084</v>
      </c>
      <c r="B1396" s="191"/>
      <c r="C1396" s="190" t="s">
        <v>1067</v>
      </c>
      <c r="D1396" s="191" t="n">
        <v>554797403502</v>
      </c>
      <c r="F1396" s="192" t="n">
        <f aca="false">SUMIF(ENTRADAS!F:F,CLIENTES_PCBR[[#This Row],[TELEFONO]],ENTRADAS!C:C)</f>
        <v>120</v>
      </c>
      <c r="G1396" s="189" t="s">
        <v>94</v>
      </c>
    </row>
    <row r="1397" customFormat="false" ht="15" hidden="false" customHeight="false" outlineLevel="0" collapsed="false">
      <c r="A1397" s="197" t="n">
        <v>46084</v>
      </c>
      <c r="B1397" s="191"/>
      <c r="C1397" s="190" t="s">
        <v>1071</v>
      </c>
      <c r="D1397" s="191" t="n">
        <v>5511951661862</v>
      </c>
      <c r="E1397" s="190" t="s">
        <v>1072</v>
      </c>
      <c r="F1397" s="192" t="n">
        <f aca="false">SUMIF(ENTRADAS!F:F,CLIENTES_PCBR[[#This Row],[TELEFONO]],ENTRADAS!C:C)</f>
        <v>150</v>
      </c>
      <c r="G1397" s="189" t="s">
        <v>94</v>
      </c>
    </row>
    <row r="1398" customFormat="false" ht="15" hidden="false" customHeight="false" outlineLevel="0" collapsed="false">
      <c r="A1398" s="197" t="n">
        <v>46084</v>
      </c>
      <c r="B1398" s="191"/>
      <c r="C1398" s="190" t="s">
        <v>1074</v>
      </c>
      <c r="D1398" s="191" t="n">
        <v>559591467720</v>
      </c>
      <c r="F1398" s="192" t="n">
        <f aca="false">SUMIF(ENTRADAS!F:F,CLIENTES_PCBR[[#This Row],[TELEFONO]],ENTRADAS!C:C)</f>
        <v>654</v>
      </c>
      <c r="G1398" s="189" t="s">
        <v>94</v>
      </c>
    </row>
    <row r="1399" customFormat="false" ht="15" hidden="false" customHeight="false" outlineLevel="0" collapsed="false">
      <c r="A1399" s="197" t="n">
        <v>46084</v>
      </c>
      <c r="B1399" s="191"/>
      <c r="C1399" s="190" t="s">
        <v>1076</v>
      </c>
      <c r="D1399" s="191" t="n">
        <v>555195558065</v>
      </c>
      <c r="E1399" s="190" t="s">
        <v>1077</v>
      </c>
      <c r="F1399" s="192" t="n">
        <f aca="false">SUMIF(ENTRADAS!F:F,CLIENTES_PCBR[[#This Row],[TELEFONO]],ENTRADAS!C:C)</f>
        <v>217</v>
      </c>
      <c r="G1399" s="189" t="s">
        <v>94</v>
      </c>
    </row>
    <row r="1400" customFormat="false" ht="15" hidden="false" customHeight="false" outlineLevel="0" collapsed="false">
      <c r="A1400" s="197" t="n">
        <v>46085</v>
      </c>
      <c r="B1400" s="191"/>
      <c r="C1400" s="190" t="s">
        <v>1082</v>
      </c>
      <c r="D1400" s="191" t="n">
        <v>554791259392</v>
      </c>
      <c r="F1400" s="192" t="n">
        <f aca="false">SUMIF(ENTRADAS!F:F,CLIENTES_PCBR[[#This Row],[TELEFONO]],ENTRADAS!C:C)</f>
        <v>150</v>
      </c>
      <c r="G1400" s="189" t="s">
        <v>94</v>
      </c>
    </row>
    <row r="1401" customFormat="false" ht="15" hidden="false" customHeight="false" outlineLevel="0" collapsed="false">
      <c r="A1401" s="197" t="n">
        <v>46085</v>
      </c>
      <c r="B1401" s="191"/>
      <c r="C1401" s="190" t="s">
        <v>1084</v>
      </c>
      <c r="D1401" s="191" t="n">
        <v>5521971476824</v>
      </c>
      <c r="E1401" s="190" t="s">
        <v>1085</v>
      </c>
      <c r="F1401" s="192" t="n">
        <f aca="false">SUMIF(ENTRADAS!F:F,CLIENTES_PCBR[[#This Row],[TELEFONO]],ENTRADAS!C:C)</f>
        <v>100</v>
      </c>
      <c r="G1401" s="189" t="s">
        <v>94</v>
      </c>
    </row>
    <row r="1402" customFormat="false" ht="15" hidden="false" customHeight="false" outlineLevel="0" collapsed="false">
      <c r="A1402" s="197" t="n">
        <v>46085</v>
      </c>
      <c r="B1402" s="191"/>
      <c r="C1402" s="190" t="s">
        <v>1087</v>
      </c>
      <c r="D1402" s="191" t="n">
        <v>17866539853</v>
      </c>
      <c r="E1402" s="190" t="s">
        <v>1088</v>
      </c>
      <c r="F1402" s="192" t="n">
        <f aca="false">SUMIF(ENTRADAS!F:F,CLIENTES_PCBR[[#This Row],[TELEFONO]],ENTRADAS!C:C)</f>
        <v>300</v>
      </c>
      <c r="G1402" s="189" t="s">
        <v>94</v>
      </c>
    </row>
    <row r="1403" customFormat="false" ht="15" hidden="false" customHeight="false" outlineLevel="0" collapsed="false">
      <c r="A1403" s="197" t="n">
        <v>46085</v>
      </c>
      <c r="B1403" s="191"/>
      <c r="C1403" s="190" t="s">
        <v>1090</v>
      </c>
      <c r="D1403" s="191" t="n">
        <v>559584003335</v>
      </c>
      <c r="E1403" s="190" t="s">
        <v>1091</v>
      </c>
      <c r="F1403" s="192" t="n">
        <f aca="false">SUMIF(ENTRADAS!F:F,CLIENTES_PCBR[[#This Row],[TELEFONO]],ENTRADAS!C:C)</f>
        <v>120</v>
      </c>
      <c r="G1403" s="189" t="s">
        <v>94</v>
      </c>
    </row>
    <row r="1404" customFormat="false" ht="15" hidden="false" customHeight="false" outlineLevel="0" collapsed="false">
      <c r="A1404" s="197" t="n">
        <v>46085</v>
      </c>
      <c r="B1404" s="191"/>
      <c r="C1404" s="190" t="s">
        <v>1094</v>
      </c>
      <c r="D1404" s="191" t="n">
        <v>555496212443</v>
      </c>
      <c r="E1404" s="190" t="s">
        <v>1095</v>
      </c>
      <c r="F1404" s="192" t="n">
        <f aca="false">SUMIF(ENTRADAS!F:F,CLIENTES_PCBR[[#This Row],[TELEFONO]],ENTRADAS!C:C)</f>
        <v>294</v>
      </c>
      <c r="G1404" s="189" t="s">
        <v>94</v>
      </c>
    </row>
    <row r="1405" customFormat="false" ht="16.4" hidden="false" customHeight="false" outlineLevel="0" collapsed="false">
      <c r="A1405" s="197" t="n">
        <v>46085</v>
      </c>
      <c r="B1405" s="191"/>
      <c r="C1405" s="190" t="s">
        <v>1100</v>
      </c>
      <c r="D1405" s="191" t="n">
        <v>554891726832</v>
      </c>
      <c r="E1405" s="200" t="s">
        <v>5526</v>
      </c>
      <c r="F1405" s="192" t="n">
        <f aca="false">SUMIF(ENTRADAS!F:F,CLIENTES_PCBR[[#This Row],[TELEFONO]],ENTRADAS!C:C)</f>
        <v>291</v>
      </c>
      <c r="G1405" s="189" t="s">
        <v>94</v>
      </c>
    </row>
    <row r="1406" customFormat="false" ht="15" hidden="false" customHeight="false" outlineLevel="0" collapsed="false">
      <c r="A1406" s="197" t="n">
        <v>46085</v>
      </c>
      <c r="B1406" s="191"/>
      <c r="C1406" s="190" t="s">
        <v>1103</v>
      </c>
      <c r="D1406" s="191" t="n">
        <v>553491649559</v>
      </c>
      <c r="E1406" s="190" t="s">
        <v>1104</v>
      </c>
      <c r="F1406" s="192" t="n">
        <f aca="false">SUMIF(ENTRADAS!F:F,CLIENTES_PCBR[[#This Row],[TELEFONO]],ENTRADAS!C:C)</f>
        <v>294</v>
      </c>
      <c r="G1406" s="189" t="s">
        <v>94</v>
      </c>
    </row>
    <row r="1407" customFormat="false" ht="15" hidden="false" customHeight="false" outlineLevel="0" collapsed="false">
      <c r="A1407" s="197" t="n">
        <v>46085</v>
      </c>
      <c r="B1407" s="191"/>
      <c r="C1407" s="190" t="s">
        <v>1107</v>
      </c>
      <c r="D1407" s="191" t="n">
        <v>554796460379</v>
      </c>
      <c r="E1407" s="190" t="s">
        <v>1108</v>
      </c>
      <c r="F1407" s="192" t="n">
        <f aca="false">SUMIF(ENTRADAS!F:F,CLIENTES_PCBR[[#This Row],[TELEFONO]],ENTRADAS!C:C)</f>
        <v>150</v>
      </c>
      <c r="G1407" s="189" t="s">
        <v>94</v>
      </c>
    </row>
    <row r="1408" customFormat="false" ht="15" hidden="false" customHeight="false" outlineLevel="0" collapsed="false">
      <c r="A1408" s="197" t="n">
        <v>46085</v>
      </c>
      <c r="B1408" s="191"/>
      <c r="C1408" s="190" t="s">
        <v>1110</v>
      </c>
      <c r="D1408" s="191" t="n">
        <v>554197483606</v>
      </c>
      <c r="E1408" s="190" t="s">
        <v>1111</v>
      </c>
      <c r="F1408" s="192" t="n">
        <f aca="false">SUMIF(ENTRADAS!F:F,CLIENTES_PCBR[[#This Row],[TELEFONO]],ENTRADAS!C:C)</f>
        <v>150</v>
      </c>
      <c r="G1408" s="189" t="s">
        <v>94</v>
      </c>
    </row>
    <row r="1409" customFormat="false" ht="15" hidden="false" customHeight="false" outlineLevel="0" collapsed="false">
      <c r="A1409" s="197" t="n">
        <v>46085</v>
      </c>
      <c r="B1409" s="191"/>
      <c r="C1409" s="190" t="s">
        <v>1119</v>
      </c>
      <c r="D1409" s="191" t="n">
        <v>554888294362</v>
      </c>
      <c r="E1409" s="190" t="s">
        <v>1120</v>
      </c>
      <c r="F1409" s="192" t="n">
        <f aca="false">SUMIF(ENTRADAS!F:F,CLIENTES_PCBR[[#This Row],[TELEFONO]],ENTRADAS!C:C)</f>
        <v>120</v>
      </c>
      <c r="G1409" s="189" t="s">
        <v>94</v>
      </c>
    </row>
    <row r="1410" customFormat="false" ht="15" hidden="false" customHeight="false" outlineLevel="0" collapsed="false">
      <c r="A1410" s="197" t="n">
        <v>46085</v>
      </c>
      <c r="B1410" s="191"/>
      <c r="C1410" s="190" t="s">
        <v>1123</v>
      </c>
      <c r="D1410" s="191" t="n">
        <v>555496415399</v>
      </c>
      <c r="E1410" s="190" t="s">
        <v>1124</v>
      </c>
      <c r="F1410" s="192" t="n">
        <f aca="false">SUMIF(ENTRADAS!F:F,CLIENTES_PCBR[[#This Row],[TELEFONO]],ENTRADAS!C:C)</f>
        <v>1200</v>
      </c>
      <c r="G1410" s="189" t="s">
        <v>94</v>
      </c>
    </row>
    <row r="1411" customFormat="false" ht="15" hidden="false" customHeight="false" outlineLevel="0" collapsed="false">
      <c r="A1411" s="197" t="n">
        <v>46085</v>
      </c>
      <c r="B1411" s="191"/>
      <c r="C1411" s="190" t="s">
        <v>1127</v>
      </c>
      <c r="D1411" s="191" t="n">
        <v>554199041813</v>
      </c>
      <c r="E1411" s="190" t="s">
        <v>1128</v>
      </c>
      <c r="F1411" s="192" t="n">
        <f aca="false">SUMIF(ENTRADAS!F:F,CLIENTES_PCBR[[#This Row],[TELEFONO]],ENTRADAS!C:C)</f>
        <v>150</v>
      </c>
      <c r="G1411" s="189" t="s">
        <v>94</v>
      </c>
    </row>
    <row r="1412" customFormat="false" ht="15" hidden="false" customHeight="false" outlineLevel="0" collapsed="false">
      <c r="A1412" s="197" t="n">
        <v>46085</v>
      </c>
      <c r="B1412" s="191"/>
      <c r="C1412" s="190" t="s">
        <v>1131</v>
      </c>
      <c r="D1412" s="191" t="n">
        <v>554796225595</v>
      </c>
      <c r="E1412" s="190" t="s">
        <v>1132</v>
      </c>
      <c r="F1412" s="192" t="n">
        <f aca="false">SUMIF(ENTRADAS!F:F,CLIENTES_PCBR[[#This Row],[TELEFONO]],ENTRADAS!C:C)</f>
        <v>147</v>
      </c>
      <c r="G1412" s="189" t="s">
        <v>94</v>
      </c>
    </row>
    <row r="1413" customFormat="false" ht="15" hidden="false" customHeight="false" outlineLevel="0" collapsed="false">
      <c r="A1413" s="197" t="n">
        <v>46085</v>
      </c>
      <c r="B1413" s="191"/>
      <c r="C1413" s="190" t="s">
        <v>1137</v>
      </c>
      <c r="D1413" s="191" t="n">
        <v>554199696560</v>
      </c>
      <c r="E1413" s="190" t="s">
        <v>1138</v>
      </c>
      <c r="F1413" s="192" t="n">
        <f aca="false">SUMIF(ENTRADAS!F:F,CLIENTES_PCBR[[#This Row],[TELEFONO]],ENTRADAS!C:C)</f>
        <v>147</v>
      </c>
      <c r="G1413" s="189" t="s">
        <v>94</v>
      </c>
    </row>
    <row r="1414" customFormat="false" ht="15" hidden="false" customHeight="false" outlineLevel="0" collapsed="false">
      <c r="A1414" s="197" t="n">
        <v>46085</v>
      </c>
      <c r="B1414" s="191"/>
      <c r="C1414" s="190" t="s">
        <v>1140</v>
      </c>
      <c r="D1414" s="191" t="n">
        <v>554891786304</v>
      </c>
      <c r="E1414" s="190" t="s">
        <v>1141</v>
      </c>
      <c r="F1414" s="192" t="n">
        <f aca="false">SUMIF(ENTRADAS!F:F,CLIENTES_PCBR[[#This Row],[TELEFONO]],ENTRADAS!C:C)</f>
        <v>147</v>
      </c>
      <c r="G1414" s="189" t="s">
        <v>94</v>
      </c>
    </row>
    <row r="1415" customFormat="false" ht="15" hidden="false" customHeight="false" outlineLevel="0" collapsed="false">
      <c r="A1415" s="197" t="n">
        <v>46085</v>
      </c>
      <c r="B1415" s="191"/>
      <c r="C1415" s="190" t="s">
        <v>1143</v>
      </c>
      <c r="D1415" s="191" t="n">
        <v>559591266145</v>
      </c>
      <c r="E1415" s="190" t="s">
        <v>1144</v>
      </c>
      <c r="F1415" s="192" t="n">
        <f aca="false">SUMIF(ENTRADAS!F:F,CLIENTES_PCBR[[#This Row],[TELEFONO]],ENTRADAS!C:C)</f>
        <v>120</v>
      </c>
      <c r="G1415" s="189" t="s">
        <v>94</v>
      </c>
    </row>
    <row r="1416" customFormat="false" ht="16.4" hidden="false" customHeight="false" outlineLevel="0" collapsed="false">
      <c r="A1416" s="197" t="n">
        <v>46085</v>
      </c>
      <c r="B1416" s="191"/>
      <c r="C1416" s="190" t="s">
        <v>1146</v>
      </c>
      <c r="D1416" s="191" t="n">
        <v>5596984192145</v>
      </c>
      <c r="E1416" s="200" t="s">
        <v>2534</v>
      </c>
      <c r="F1416" s="192" t="n">
        <f aca="false">SUMIF(ENTRADAS!F:F,CLIENTES_PCBR[[#This Row],[TELEFONO]],ENTRADAS!C:C)</f>
        <v>441</v>
      </c>
      <c r="G1416" s="189" t="s">
        <v>94</v>
      </c>
    </row>
    <row r="1417" customFormat="false" ht="15" hidden="false" customHeight="false" outlineLevel="0" collapsed="false">
      <c r="A1417" s="197" t="n">
        <v>46085</v>
      </c>
      <c r="B1417" s="191"/>
      <c r="C1417" s="190" t="s">
        <v>1150</v>
      </c>
      <c r="D1417" s="191" t="n">
        <v>5569992374587</v>
      </c>
      <c r="E1417" s="190" t="s">
        <v>1151</v>
      </c>
      <c r="F1417" s="192" t="n">
        <f aca="false">SUMIF(ENTRADAS!F:F,CLIENTES_PCBR[[#This Row],[TELEFONO]],ENTRADAS!C:C)</f>
        <v>120</v>
      </c>
      <c r="G1417" s="189" t="s">
        <v>94</v>
      </c>
    </row>
    <row r="1418" customFormat="false" ht="15" hidden="false" customHeight="false" outlineLevel="0" collapsed="false">
      <c r="A1418" s="197" t="n">
        <v>46086</v>
      </c>
      <c r="B1418" s="191"/>
      <c r="C1418" s="190" t="s">
        <v>1154</v>
      </c>
      <c r="D1418" s="191" t="n">
        <v>5519996916795</v>
      </c>
      <c r="E1418" s="190" t="s">
        <v>1155</v>
      </c>
      <c r="F1418" s="192" t="n">
        <f aca="false">SUMIF(ENTRADAS!F:F,CLIENTES_PCBR[[#This Row],[TELEFONO]],ENTRADAS!C:C)</f>
        <v>1050</v>
      </c>
      <c r="G1418" s="189" t="s">
        <v>94</v>
      </c>
    </row>
    <row r="1419" customFormat="false" ht="15" hidden="false" customHeight="false" outlineLevel="0" collapsed="false">
      <c r="A1419" s="197" t="n">
        <v>46086</v>
      </c>
      <c r="B1419" s="191"/>
      <c r="C1419" s="190" t="s">
        <v>1157</v>
      </c>
      <c r="D1419" s="191" t="n">
        <v>5511959302227</v>
      </c>
      <c r="E1419" s="190" t="s">
        <v>1158</v>
      </c>
      <c r="F1419" s="192" t="n">
        <f aca="false">SUMIF(ENTRADAS!F:F,CLIENTES_PCBR[[#This Row],[TELEFONO]],ENTRADAS!C:C)</f>
        <v>150</v>
      </c>
      <c r="G1419" s="189" t="s">
        <v>94</v>
      </c>
    </row>
    <row r="1420" customFormat="false" ht="15" hidden="false" customHeight="false" outlineLevel="0" collapsed="false">
      <c r="A1420" s="197" t="n">
        <v>46086</v>
      </c>
      <c r="B1420" s="191"/>
      <c r="C1420" s="190" t="s">
        <v>1160</v>
      </c>
      <c r="D1420" s="191" t="n">
        <v>554799527846</v>
      </c>
      <c r="E1420" s="190" t="s">
        <v>1161</v>
      </c>
      <c r="F1420" s="192" t="n">
        <f aca="false">SUMIF(ENTRADAS!F:F,CLIENTES_PCBR[[#This Row],[TELEFONO]],ENTRADAS!C:C)</f>
        <v>147</v>
      </c>
      <c r="G1420" s="189" t="s">
        <v>94</v>
      </c>
    </row>
    <row r="1421" customFormat="false" ht="15" hidden="false" customHeight="false" outlineLevel="0" collapsed="false">
      <c r="A1421" s="197" t="n">
        <v>46086</v>
      </c>
      <c r="B1421" s="191"/>
      <c r="C1421" s="190" t="s">
        <v>1165</v>
      </c>
      <c r="D1421" s="191" t="n">
        <v>5511939493328</v>
      </c>
      <c r="F1421" s="192" t="n">
        <f aca="false">SUMIF(ENTRADAS!F:F,CLIENTES_PCBR[[#This Row],[TELEFONO]],ENTRADAS!C:C)</f>
        <v>882</v>
      </c>
      <c r="G1421" s="189" t="s">
        <v>94</v>
      </c>
    </row>
    <row r="1422" customFormat="false" ht="15" hidden="false" customHeight="false" outlineLevel="0" collapsed="false">
      <c r="A1422" s="197" t="n">
        <v>46086</v>
      </c>
      <c r="B1422" s="191"/>
      <c r="C1422" s="190" t="s">
        <v>1167</v>
      </c>
      <c r="D1422" s="191" t="n">
        <v>559584143145</v>
      </c>
      <c r="E1422" s="190" t="s">
        <v>1168</v>
      </c>
      <c r="F1422" s="192" t="n">
        <f aca="false">SUMIF(ENTRADAS!F:F,CLIENTES_PCBR[[#This Row],[TELEFONO]],ENTRADAS!C:C)</f>
        <v>217</v>
      </c>
      <c r="G1422" s="189" t="s">
        <v>94</v>
      </c>
    </row>
    <row r="1423" customFormat="false" ht="15" hidden="false" customHeight="false" outlineLevel="0" collapsed="false">
      <c r="A1423" s="197" t="n">
        <v>46086</v>
      </c>
      <c r="B1423" s="191"/>
      <c r="C1423" s="190" t="s">
        <v>1171</v>
      </c>
      <c r="D1423" s="191" t="n">
        <v>555499975991</v>
      </c>
      <c r="E1423" s="190" t="s">
        <v>1172</v>
      </c>
      <c r="F1423" s="192" t="n">
        <f aca="false">SUMIF(ENTRADAS!F:F,CLIENTES_PCBR[[#This Row],[TELEFONO]],ENTRADAS!C:C)</f>
        <v>220</v>
      </c>
      <c r="G1423" s="189" t="s">
        <v>94</v>
      </c>
    </row>
    <row r="1424" customFormat="false" ht="15" hidden="false" customHeight="false" outlineLevel="0" collapsed="false">
      <c r="A1424" s="197" t="n">
        <v>46086</v>
      </c>
      <c r="B1424" s="191"/>
      <c r="C1424" s="190" t="s">
        <v>1174</v>
      </c>
      <c r="D1424" s="191" t="n">
        <v>5511974163807</v>
      </c>
      <c r="E1424" s="190" t="s">
        <v>1175</v>
      </c>
      <c r="F1424" s="192" t="n">
        <f aca="false">SUMIF(ENTRADAS!F:F,CLIENTES_PCBR[[#This Row],[TELEFONO]],ENTRADAS!C:C)</f>
        <v>150</v>
      </c>
      <c r="G1424" s="189" t="s">
        <v>94</v>
      </c>
    </row>
    <row r="1425" customFormat="false" ht="15" hidden="false" customHeight="false" outlineLevel="0" collapsed="false">
      <c r="A1425" s="197" t="n">
        <v>46087</v>
      </c>
      <c r="B1425" s="191"/>
      <c r="C1425" s="190" t="s">
        <v>1181</v>
      </c>
      <c r="D1425" s="191" t="n">
        <v>555493620297</v>
      </c>
      <c r="E1425" s="190" t="s">
        <v>1182</v>
      </c>
      <c r="F1425" s="192" t="n">
        <f aca="false">SUMIF(ENTRADAS!F:F,CLIENTES_PCBR[[#This Row],[TELEFONO]],ENTRADAS!C:C)</f>
        <v>140</v>
      </c>
      <c r="G1425" s="189" t="s">
        <v>94</v>
      </c>
    </row>
    <row r="1426" customFormat="false" ht="15" hidden="false" customHeight="false" outlineLevel="0" collapsed="false">
      <c r="A1426" s="197" t="n">
        <v>46086</v>
      </c>
      <c r="B1426" s="191"/>
      <c r="C1426" s="190" t="s">
        <v>1184</v>
      </c>
      <c r="D1426" s="191" t="n">
        <v>554184014887</v>
      </c>
      <c r="E1426" s="190" t="s">
        <v>1185</v>
      </c>
      <c r="F1426" s="192" t="n">
        <f aca="false">SUMIF(ENTRADAS!F:F,CLIENTES_PCBR[[#This Row],[TELEFONO]],ENTRADAS!C:C)</f>
        <v>550</v>
      </c>
      <c r="G1426" s="189" t="s">
        <v>94</v>
      </c>
    </row>
    <row r="1427" customFormat="false" ht="15" hidden="false" customHeight="false" outlineLevel="0" collapsed="false">
      <c r="A1427" s="197" t="n">
        <v>46086</v>
      </c>
      <c r="B1427" s="191"/>
      <c r="C1427" s="190" t="s">
        <v>1188</v>
      </c>
      <c r="D1427" s="191" t="n">
        <v>5514981372724</v>
      </c>
      <c r="E1427" s="190" t="s">
        <v>1189</v>
      </c>
      <c r="F1427" s="192" t="n">
        <f aca="false">SUMIF(ENTRADAS!F:F,CLIENTES_PCBR[[#This Row],[TELEFONO]],ENTRADAS!C:C)</f>
        <v>97</v>
      </c>
      <c r="G1427" s="189" t="s">
        <v>94</v>
      </c>
    </row>
    <row r="1428" customFormat="false" ht="15" hidden="false" customHeight="false" outlineLevel="0" collapsed="false">
      <c r="A1428" s="197" t="n">
        <v>46087</v>
      </c>
      <c r="B1428" s="191"/>
      <c r="C1428" s="190" t="s">
        <v>1192</v>
      </c>
      <c r="D1428" s="191" t="n">
        <v>5358366148</v>
      </c>
      <c r="E1428" s="190" t="s">
        <v>1193</v>
      </c>
      <c r="F1428" s="192" t="n">
        <f aca="false">SUMIF(ENTRADAS!F:F,CLIENTES_PCBR[[#This Row],[TELEFONO]],ENTRADAS!C:C)</f>
        <v>242</v>
      </c>
      <c r="G1428" s="189" t="s">
        <v>94</v>
      </c>
    </row>
    <row r="1429" customFormat="false" ht="15" hidden="false" customHeight="false" outlineLevel="0" collapsed="false">
      <c r="A1429" s="197" t="n">
        <v>46087</v>
      </c>
      <c r="B1429" s="191"/>
      <c r="C1429" s="190" t="s">
        <v>1200</v>
      </c>
      <c r="D1429" s="191" t="n">
        <v>554195365684</v>
      </c>
      <c r="E1429" s="190" t="s">
        <v>1201</v>
      </c>
      <c r="F1429" s="192" t="n">
        <f aca="false">SUMIF(ENTRADAS!F:F,CLIENTES_PCBR[[#This Row],[TELEFONO]],ENTRADAS!C:C)</f>
        <v>97</v>
      </c>
      <c r="G1429" s="189" t="s">
        <v>94</v>
      </c>
    </row>
    <row r="1430" customFormat="false" ht="15" hidden="false" customHeight="false" outlineLevel="0" collapsed="false">
      <c r="A1430" s="197" t="n">
        <v>46086</v>
      </c>
      <c r="B1430" s="191"/>
      <c r="C1430" s="190" t="s">
        <v>1204</v>
      </c>
      <c r="D1430" s="191" t="n">
        <v>554187270635</v>
      </c>
      <c r="E1430" s="190" t="s">
        <v>1205</v>
      </c>
      <c r="F1430" s="192" t="n">
        <f aca="false">SUMIF(ENTRADAS!F:F,CLIENTES_PCBR[[#This Row],[TELEFONO]],ENTRADAS!C:C)</f>
        <v>147</v>
      </c>
      <c r="G1430" s="189" t="s">
        <v>94</v>
      </c>
    </row>
    <row r="1431" customFormat="false" ht="15" hidden="false" customHeight="false" outlineLevel="0" collapsed="false">
      <c r="A1431" s="197" t="n">
        <v>46087</v>
      </c>
      <c r="B1431" s="191"/>
      <c r="C1431" s="190" t="s">
        <v>1207</v>
      </c>
      <c r="D1431" s="191" t="n">
        <v>5521959334195</v>
      </c>
      <c r="E1431" s="190" t="s">
        <v>1208</v>
      </c>
      <c r="F1431" s="192" t="n">
        <f aca="false">SUMIF(ENTRADAS!F:F,CLIENTES_PCBR[[#This Row],[TELEFONO]],ENTRADAS!C:C)</f>
        <v>150</v>
      </c>
      <c r="G1431" s="189" t="s">
        <v>94</v>
      </c>
    </row>
    <row r="1432" customFormat="false" ht="15" hidden="false" customHeight="false" outlineLevel="0" collapsed="false">
      <c r="A1432" s="197" t="n">
        <v>46087</v>
      </c>
      <c r="B1432" s="191"/>
      <c r="C1432" s="190" t="s">
        <v>1210</v>
      </c>
      <c r="D1432" s="191" t="n">
        <v>559584271257</v>
      </c>
      <c r="E1432" s="190" t="s">
        <v>1211</v>
      </c>
      <c r="F1432" s="192" t="n">
        <f aca="false">SUMIF(ENTRADAS!F:F,CLIENTES_PCBR[[#This Row],[TELEFONO]],ENTRADAS!C:C)</f>
        <v>194</v>
      </c>
      <c r="G1432" s="189" t="s">
        <v>94</v>
      </c>
    </row>
    <row r="1433" customFormat="false" ht="15" hidden="false" customHeight="false" outlineLevel="0" collapsed="false">
      <c r="A1433" s="197" t="n">
        <v>46087</v>
      </c>
      <c r="B1433" s="191"/>
      <c r="C1433" s="190" t="s">
        <v>1213</v>
      </c>
      <c r="D1433" s="191" t="n">
        <v>554884540636</v>
      </c>
      <c r="E1433" s="190" t="s">
        <v>1214</v>
      </c>
      <c r="F1433" s="192" t="n">
        <f aca="false">SUMIF(ENTRADAS!F:F,CLIENTES_PCBR[[#This Row],[TELEFONO]],ENTRADAS!C:C)</f>
        <v>120</v>
      </c>
      <c r="G1433" s="189" t="s">
        <v>94</v>
      </c>
    </row>
    <row r="1434" customFormat="false" ht="15" hidden="false" customHeight="false" outlineLevel="0" collapsed="false">
      <c r="A1434" s="197" t="n">
        <v>46087</v>
      </c>
      <c r="B1434" s="191"/>
      <c r="C1434" s="190" t="s">
        <v>1218</v>
      </c>
      <c r="D1434" s="191" t="n">
        <v>554199922513</v>
      </c>
      <c r="E1434" s="190" t="s">
        <v>1219</v>
      </c>
      <c r="F1434" s="192" t="n">
        <f aca="false">SUMIF(ENTRADAS!F:F,CLIENTES_PCBR[[#This Row],[TELEFONO]],ENTRADAS!C:C)</f>
        <v>150</v>
      </c>
      <c r="G1434" s="189" t="s">
        <v>94</v>
      </c>
    </row>
    <row r="1435" customFormat="false" ht="15" hidden="false" customHeight="false" outlineLevel="0" collapsed="false">
      <c r="A1435" s="197" t="n">
        <v>46087</v>
      </c>
      <c r="B1435" s="191"/>
      <c r="C1435" s="190" t="s">
        <v>1221</v>
      </c>
      <c r="D1435" s="191" t="n">
        <v>559584305924</v>
      </c>
      <c r="E1435" s="190" t="s">
        <v>1222</v>
      </c>
      <c r="F1435" s="192" t="n">
        <f aca="false">SUMIF(ENTRADAS!F:F,CLIENTES_PCBR[[#This Row],[TELEFONO]],ENTRADAS!C:C)</f>
        <v>300</v>
      </c>
      <c r="G1435" s="189" t="s">
        <v>94</v>
      </c>
    </row>
    <row r="1436" customFormat="false" ht="15" hidden="false" customHeight="false" outlineLevel="0" collapsed="false">
      <c r="A1436" s="197" t="n">
        <v>46087</v>
      </c>
      <c r="B1436" s="191"/>
      <c r="C1436" s="190" t="s">
        <v>1225</v>
      </c>
      <c r="D1436" s="191" t="n">
        <v>554184924912</v>
      </c>
      <c r="E1436" s="190" t="s">
        <v>1226</v>
      </c>
      <c r="F1436" s="192" t="n">
        <f aca="false">SUMIF(ENTRADAS!F:F,CLIENTES_PCBR[[#This Row],[TELEFONO]],ENTRADAS!C:C)</f>
        <v>97</v>
      </c>
      <c r="G1436" s="189" t="s">
        <v>94</v>
      </c>
    </row>
    <row r="1437" customFormat="false" ht="15" hidden="false" customHeight="false" outlineLevel="0" collapsed="false">
      <c r="A1437" s="197" t="n">
        <v>46087</v>
      </c>
      <c r="B1437" s="191"/>
      <c r="C1437" s="190" t="s">
        <v>1229</v>
      </c>
      <c r="D1437" s="191" t="n">
        <v>5511932216166</v>
      </c>
      <c r="E1437" s="190" t="s">
        <v>1230</v>
      </c>
      <c r="F1437" s="192" t="n">
        <f aca="false">SUMIF(ENTRADAS!F:F,CLIENTES_PCBR[[#This Row],[TELEFONO]],ENTRADAS!C:C)</f>
        <v>197</v>
      </c>
      <c r="G1437" s="189" t="s">
        <v>94</v>
      </c>
    </row>
    <row r="1438" customFormat="false" ht="15" hidden="false" customHeight="false" outlineLevel="0" collapsed="false">
      <c r="A1438" s="197" t="n">
        <v>46087</v>
      </c>
      <c r="B1438" s="191"/>
      <c r="C1438" s="190" t="s">
        <v>1232</v>
      </c>
      <c r="D1438" s="191" t="n">
        <v>554198218403</v>
      </c>
      <c r="E1438" s="190" t="s">
        <v>1233</v>
      </c>
      <c r="F1438" s="192" t="n">
        <f aca="false">SUMIF(ENTRADAS!F:F,CLIENTES_PCBR[[#This Row],[TELEFONO]],ENTRADAS!C:C)</f>
        <v>147</v>
      </c>
      <c r="G1438" s="189" t="s">
        <v>94</v>
      </c>
    </row>
    <row r="1439" customFormat="false" ht="15" hidden="false" customHeight="false" outlineLevel="0" collapsed="false">
      <c r="A1439" s="197" t="n">
        <v>46087</v>
      </c>
      <c r="B1439" s="191"/>
      <c r="C1439" s="190" t="s">
        <v>1235</v>
      </c>
      <c r="D1439" s="191" t="n">
        <v>554199744863</v>
      </c>
      <c r="E1439" s="190" t="s">
        <v>1236</v>
      </c>
      <c r="F1439" s="192" t="n">
        <f aca="false">SUMIF(ENTRADAS!F:F,CLIENTES_PCBR[[#This Row],[TELEFONO]],ENTRADAS!C:C)</f>
        <v>244</v>
      </c>
      <c r="G1439" s="189" t="s">
        <v>94</v>
      </c>
    </row>
    <row r="1440" customFormat="false" ht="15" hidden="false" customHeight="false" outlineLevel="0" collapsed="false">
      <c r="A1440" s="197" t="n">
        <v>46087</v>
      </c>
      <c r="B1440" s="191"/>
      <c r="C1440" s="190" t="s">
        <v>1238</v>
      </c>
      <c r="D1440" s="191" t="n">
        <v>557581266204</v>
      </c>
      <c r="F1440" s="192" t="n">
        <f aca="false">SUMIF(ENTRADAS!F:F,CLIENTES_PCBR[[#This Row],[TELEFONO]],ENTRADAS!C:C)</f>
        <v>367</v>
      </c>
      <c r="G1440" s="189" t="s">
        <v>94</v>
      </c>
    </row>
    <row r="1441" customFormat="false" ht="15" hidden="false" customHeight="false" outlineLevel="0" collapsed="false">
      <c r="A1441" s="197" t="n">
        <v>46087</v>
      </c>
      <c r="B1441" s="191"/>
      <c r="C1441" s="190" t="s">
        <v>1240</v>
      </c>
      <c r="D1441" s="191" t="n">
        <v>559584294505</v>
      </c>
      <c r="E1441" s="190" t="s">
        <v>1241</v>
      </c>
      <c r="F1441" s="192" t="n">
        <f aca="false">SUMIF(ENTRADAS!F:F,CLIENTES_PCBR[[#This Row],[TELEFONO]],ENTRADAS!C:C)</f>
        <v>150</v>
      </c>
      <c r="G1441" s="189" t="s">
        <v>94</v>
      </c>
    </row>
    <row r="1442" customFormat="false" ht="15" hidden="false" customHeight="false" outlineLevel="0" collapsed="false">
      <c r="A1442" s="197" t="n">
        <v>46087</v>
      </c>
      <c r="B1442" s="191"/>
      <c r="C1442" s="190" t="s">
        <v>1245</v>
      </c>
      <c r="D1442" s="191" t="n">
        <v>554797307888</v>
      </c>
      <c r="E1442" s="190" t="s">
        <v>1246</v>
      </c>
      <c r="F1442" s="192" t="n">
        <f aca="false">SUMIF(ENTRADAS!F:F,CLIENTES_PCBR[[#This Row],[TELEFONO]],ENTRADAS!C:C)</f>
        <v>150</v>
      </c>
      <c r="G1442" s="189" t="s">
        <v>94</v>
      </c>
    </row>
    <row r="1443" customFormat="false" ht="15" hidden="false" customHeight="false" outlineLevel="0" collapsed="false">
      <c r="A1443" s="197" t="n">
        <v>46087</v>
      </c>
      <c r="B1443" s="191"/>
      <c r="C1443" s="190" t="s">
        <v>1260</v>
      </c>
      <c r="D1443" s="191" t="n">
        <v>554197169992</v>
      </c>
      <c r="E1443" s="190" t="s">
        <v>1261</v>
      </c>
      <c r="F1443" s="192" t="n">
        <f aca="false">SUMIF(ENTRADAS!F:F,CLIENTES_PCBR[[#This Row],[TELEFONO]],ENTRADAS!C:C)</f>
        <v>2400</v>
      </c>
      <c r="G1443" s="189" t="s">
        <v>94</v>
      </c>
    </row>
    <row r="1444" customFormat="false" ht="15" hidden="false" customHeight="false" outlineLevel="0" collapsed="false">
      <c r="A1444" s="197" t="n">
        <v>46087</v>
      </c>
      <c r="B1444" s="191"/>
      <c r="C1444" s="190" t="s">
        <v>1263</v>
      </c>
      <c r="D1444" s="191" t="n">
        <v>5519992392675</v>
      </c>
      <c r="E1444" s="190" t="s">
        <v>1264</v>
      </c>
      <c r="F1444" s="192" t="n">
        <f aca="false">SUMIF(ENTRADAS!F:F,CLIENTES_PCBR[[#This Row],[TELEFONO]],ENTRADAS!C:C)</f>
        <v>464</v>
      </c>
      <c r="G1444" s="189" t="s">
        <v>94</v>
      </c>
    </row>
    <row r="1445" customFormat="false" ht="15" hidden="false" customHeight="false" outlineLevel="0" collapsed="false">
      <c r="A1445" s="197" t="n">
        <v>46087</v>
      </c>
      <c r="B1445" s="191"/>
      <c r="C1445" s="190" t="s">
        <v>1267</v>
      </c>
      <c r="D1445" s="191" t="n">
        <v>554198194655</v>
      </c>
      <c r="E1445" s="190" t="s">
        <v>1268</v>
      </c>
      <c r="F1445" s="192" t="n">
        <f aca="false">SUMIF(ENTRADAS!F:F,CLIENTES_PCBR[[#This Row],[TELEFONO]],ENTRADAS!C:C)</f>
        <v>147</v>
      </c>
      <c r="G1445" s="189" t="s">
        <v>94</v>
      </c>
    </row>
    <row r="1446" customFormat="false" ht="15" hidden="false" customHeight="false" outlineLevel="0" collapsed="false">
      <c r="A1446" s="197" t="n">
        <v>46087</v>
      </c>
      <c r="B1446" s="191"/>
      <c r="C1446" s="190" t="s">
        <v>1274</v>
      </c>
      <c r="D1446" s="191" t="n">
        <v>559191317072</v>
      </c>
      <c r="E1446" s="190" t="s">
        <v>1275</v>
      </c>
      <c r="F1446" s="192" t="n">
        <f aca="false">SUMIF(ENTRADAS!F:F,CLIENTES_PCBR[[#This Row],[TELEFONO]],ENTRADAS!C:C)</f>
        <v>222</v>
      </c>
      <c r="G1446" s="189" t="s">
        <v>94</v>
      </c>
    </row>
    <row r="1447" customFormat="false" ht="15" hidden="false" customHeight="false" outlineLevel="0" collapsed="false">
      <c r="A1447" s="197" t="n">
        <v>46088</v>
      </c>
      <c r="B1447" s="191"/>
      <c r="C1447" s="190" t="s">
        <v>1282</v>
      </c>
      <c r="D1447" s="191" t="n">
        <v>556281304277</v>
      </c>
      <c r="E1447" s="190" t="s">
        <v>1283</v>
      </c>
      <c r="F1447" s="192" t="n">
        <f aca="false">SUMIF(ENTRADAS!F:F,CLIENTES_PCBR[[#This Row],[TELEFONO]],ENTRADAS!C:C)</f>
        <v>150</v>
      </c>
      <c r="G1447" s="189" t="s">
        <v>94</v>
      </c>
    </row>
    <row r="1448" customFormat="false" ht="15" hidden="false" customHeight="false" outlineLevel="0" collapsed="false">
      <c r="A1448" s="197" t="n">
        <v>46088</v>
      </c>
      <c r="B1448" s="191"/>
      <c r="C1448" s="190" t="s">
        <v>1288</v>
      </c>
      <c r="D1448" s="191" t="n">
        <v>554892235520</v>
      </c>
      <c r="E1448" s="190" t="s">
        <v>1289</v>
      </c>
      <c r="F1448" s="192" t="n">
        <f aca="false">SUMIF(ENTRADAS!F:F,CLIENTES_PCBR[[#This Row],[TELEFONO]],ENTRADAS!C:C)</f>
        <v>97</v>
      </c>
      <c r="G1448" s="189" t="s">
        <v>94</v>
      </c>
    </row>
    <row r="1449" customFormat="false" ht="15" hidden="false" customHeight="false" outlineLevel="0" collapsed="false">
      <c r="A1449" s="197" t="n">
        <v>46088</v>
      </c>
      <c r="B1449" s="191"/>
      <c r="C1449" s="190" t="s">
        <v>1291</v>
      </c>
      <c r="D1449" s="191" t="n">
        <v>559684029500</v>
      </c>
      <c r="E1449" s="190" t="s">
        <v>1292</v>
      </c>
      <c r="F1449" s="192" t="n">
        <f aca="false">SUMIF(ENTRADAS!F:F,CLIENTES_PCBR[[#This Row],[TELEFONO]],ENTRADAS!C:C)</f>
        <v>147</v>
      </c>
      <c r="G1449" s="189" t="s">
        <v>94</v>
      </c>
    </row>
    <row r="1450" customFormat="false" ht="15" hidden="false" customHeight="false" outlineLevel="0" collapsed="false">
      <c r="A1450" s="197" t="n">
        <v>46088</v>
      </c>
      <c r="B1450" s="191"/>
      <c r="C1450" s="190" t="s">
        <v>1297</v>
      </c>
      <c r="D1450" s="191" t="n">
        <v>554820005875</v>
      </c>
      <c r="F1450" s="192" t="n">
        <f aca="false">SUMIF(ENTRADAS!F:F,CLIENTES_PCBR[[#This Row],[TELEFONO]],ENTRADAS!C:C)</f>
        <v>369</v>
      </c>
      <c r="G1450" s="189" t="s">
        <v>94</v>
      </c>
    </row>
    <row r="1451" customFormat="false" ht="15" hidden="false" customHeight="false" outlineLevel="0" collapsed="false">
      <c r="A1451" s="197" t="n">
        <v>46088</v>
      </c>
      <c r="B1451" s="191"/>
      <c r="C1451" s="190" t="s">
        <v>1300</v>
      </c>
      <c r="D1451" s="191" t="n">
        <v>553491539667</v>
      </c>
      <c r="E1451" s="190" t="s">
        <v>1301</v>
      </c>
      <c r="F1451" s="192" t="n">
        <f aca="false">SUMIF(ENTRADAS!F:F,CLIENTES_PCBR[[#This Row],[TELEFONO]],ENTRADAS!C:C)</f>
        <v>150</v>
      </c>
      <c r="G1451" s="189" t="s">
        <v>94</v>
      </c>
    </row>
    <row r="1452" customFormat="false" ht="15" hidden="false" customHeight="false" outlineLevel="0" collapsed="false">
      <c r="A1452" s="197" t="n">
        <v>46088</v>
      </c>
      <c r="B1452" s="191"/>
      <c r="C1452" s="190" t="s">
        <v>1303</v>
      </c>
      <c r="D1452" s="191" t="n">
        <v>556291721257</v>
      </c>
      <c r="F1452" s="192" t="n">
        <f aca="false">SUMIF(ENTRADAS!F:F,CLIENTES_PCBR[[#This Row],[TELEFONO]],ENTRADAS!C:C)</f>
        <v>150</v>
      </c>
      <c r="G1452" s="189" t="s">
        <v>94</v>
      </c>
    </row>
    <row r="1453" customFormat="false" ht="15" hidden="false" customHeight="false" outlineLevel="0" collapsed="false">
      <c r="A1453" s="197" t="n">
        <v>46088</v>
      </c>
      <c r="B1453" s="191"/>
      <c r="C1453" s="190" t="s">
        <v>1306</v>
      </c>
      <c r="D1453" s="191" t="n">
        <v>556599736852</v>
      </c>
      <c r="E1453" s="190" t="s">
        <v>1307</v>
      </c>
      <c r="F1453" s="192" t="n">
        <f aca="false">SUMIF(ENTRADAS!F:F,CLIENTES_PCBR[[#This Row],[TELEFONO]],ENTRADAS!C:C)</f>
        <v>597</v>
      </c>
      <c r="G1453" s="189" t="s">
        <v>94</v>
      </c>
    </row>
    <row r="1454" customFormat="false" ht="15" hidden="false" customHeight="false" outlineLevel="0" collapsed="false">
      <c r="A1454" s="197" t="n">
        <v>46088</v>
      </c>
      <c r="B1454" s="191"/>
      <c r="C1454" s="190" t="s">
        <v>1309</v>
      </c>
      <c r="D1454" s="191" t="n">
        <v>559584215058</v>
      </c>
      <c r="E1454" s="190" t="s">
        <v>1310</v>
      </c>
      <c r="F1454" s="192" t="n">
        <f aca="false">SUMIF(ENTRADAS!F:F,CLIENTES_PCBR[[#This Row],[TELEFONO]],ENTRADAS!C:C)</f>
        <v>97</v>
      </c>
      <c r="G1454" s="189" t="s">
        <v>94</v>
      </c>
    </row>
    <row r="1455" customFormat="false" ht="15" hidden="false" customHeight="false" outlineLevel="0" collapsed="false">
      <c r="A1455" s="197" t="n">
        <v>46088</v>
      </c>
      <c r="B1455" s="191"/>
      <c r="C1455" s="190" t="s">
        <v>1312</v>
      </c>
      <c r="D1455" s="191" t="n">
        <v>554799105471</v>
      </c>
      <c r="E1455" s="190" t="s">
        <v>1313</v>
      </c>
      <c r="F1455" s="192" t="n">
        <f aca="false">SUMIF(ENTRADAS!F:F,CLIENTES_PCBR[[#This Row],[TELEFONO]],ENTRADAS!C:C)</f>
        <v>388</v>
      </c>
      <c r="G1455" s="189" t="s">
        <v>94</v>
      </c>
    </row>
    <row r="1456" customFormat="false" ht="15" hidden="false" customHeight="false" outlineLevel="0" collapsed="false">
      <c r="A1456" s="197" t="n">
        <v>46089</v>
      </c>
      <c r="B1456" s="191"/>
      <c r="C1456" s="190" t="s">
        <v>1316</v>
      </c>
      <c r="D1456" s="191" t="n">
        <v>5358557775</v>
      </c>
      <c r="E1456" s="190" t="s">
        <v>1317</v>
      </c>
      <c r="F1456" s="192" t="n">
        <f aca="false">SUMIF(ENTRADAS!F:F,CLIENTES_PCBR[[#This Row],[TELEFONO]],ENTRADAS!C:C)</f>
        <v>244</v>
      </c>
      <c r="G1456" s="189" t="s">
        <v>94</v>
      </c>
    </row>
    <row r="1457" customFormat="false" ht="15" hidden="false" customHeight="false" outlineLevel="0" collapsed="false">
      <c r="A1457" s="197" t="n">
        <v>46089</v>
      </c>
      <c r="B1457" s="191"/>
      <c r="C1457" s="190" t="s">
        <v>1320</v>
      </c>
      <c r="D1457" s="191" t="n">
        <v>554898099771</v>
      </c>
      <c r="F1457" s="192" t="n">
        <f aca="false">SUMIF(ENTRADAS!F:F,CLIENTES_PCBR[[#This Row],[TELEFONO]],ENTRADAS!C:C)</f>
        <v>150</v>
      </c>
      <c r="G1457" s="189" t="s">
        <v>94</v>
      </c>
    </row>
    <row r="1458" customFormat="false" ht="15" hidden="false" customHeight="false" outlineLevel="0" collapsed="false">
      <c r="A1458" s="197" t="n">
        <v>46089</v>
      </c>
      <c r="B1458" s="191"/>
      <c r="C1458" s="190" t="s">
        <v>1322</v>
      </c>
      <c r="D1458" s="191" t="n">
        <v>554898064561</v>
      </c>
      <c r="E1458" s="190" t="s">
        <v>1323</v>
      </c>
      <c r="F1458" s="192" t="n">
        <f aca="false">SUMIF(ENTRADAS!F:F,CLIENTES_PCBR[[#This Row],[TELEFONO]],ENTRADAS!C:C)</f>
        <v>120</v>
      </c>
      <c r="G1458" s="189" t="s">
        <v>94</v>
      </c>
    </row>
    <row r="1459" customFormat="false" ht="15" hidden="false" customHeight="false" outlineLevel="0" collapsed="false">
      <c r="A1459" s="197" t="n">
        <v>46089</v>
      </c>
      <c r="B1459" s="191"/>
      <c r="C1459" s="190" t="s">
        <v>1326</v>
      </c>
      <c r="D1459" s="191" t="n">
        <v>554199416289</v>
      </c>
      <c r="E1459" s="190" t="s">
        <v>1327</v>
      </c>
      <c r="F1459" s="192" t="n">
        <f aca="false">SUMIF(ENTRADAS!F:F,CLIENTES_PCBR[[#This Row],[TELEFONO]],ENTRADAS!C:C)</f>
        <v>267</v>
      </c>
      <c r="G1459" s="189" t="s">
        <v>94</v>
      </c>
    </row>
    <row r="1460" customFormat="false" ht="15" hidden="false" customHeight="false" outlineLevel="0" collapsed="false">
      <c r="A1460" s="197" t="n">
        <v>46089</v>
      </c>
      <c r="B1460" s="191"/>
      <c r="C1460" s="190" t="s">
        <v>1330</v>
      </c>
      <c r="D1460" s="191" t="n">
        <v>556596713278</v>
      </c>
      <c r="E1460" s="190" t="s">
        <v>1331</v>
      </c>
      <c r="F1460" s="192" t="n">
        <f aca="false">SUMIF(ENTRADAS!F:F,CLIENTES_PCBR[[#This Row],[TELEFONO]],ENTRADAS!C:C)</f>
        <v>150</v>
      </c>
      <c r="G1460" s="189" t="s">
        <v>94</v>
      </c>
    </row>
    <row r="1461" customFormat="false" ht="15" hidden="false" customHeight="false" outlineLevel="0" collapsed="false">
      <c r="A1461" s="197" t="n">
        <v>46090</v>
      </c>
      <c r="B1461" s="191"/>
      <c r="C1461" s="190" t="s">
        <v>1334</v>
      </c>
      <c r="D1461" s="191" t="n">
        <v>559574003085</v>
      </c>
      <c r="E1461" s="190" t="s">
        <v>1335</v>
      </c>
      <c r="F1461" s="192" t="n">
        <f aca="false">SUMIF(ENTRADAS!F:F,CLIENTES_PCBR[[#This Row],[TELEFONO]],ENTRADAS!C:C)</f>
        <v>120</v>
      </c>
      <c r="G1461" s="189" t="s">
        <v>94</v>
      </c>
    </row>
    <row r="1462" customFormat="false" ht="15" hidden="false" customHeight="false" outlineLevel="0" collapsed="false">
      <c r="A1462" s="197" t="n">
        <v>46090</v>
      </c>
      <c r="B1462" s="191"/>
      <c r="C1462" s="190" t="s">
        <v>1337</v>
      </c>
      <c r="D1462" s="191" t="n">
        <v>554195298746</v>
      </c>
      <c r="E1462" s="190" t="s">
        <v>1338</v>
      </c>
      <c r="F1462" s="192" t="n">
        <f aca="false">SUMIF(ENTRADAS!F:F,CLIENTES_PCBR[[#This Row],[TELEFONO]],ENTRADAS!C:C)</f>
        <v>150</v>
      </c>
      <c r="G1462" s="189" t="s">
        <v>94</v>
      </c>
    </row>
    <row r="1463" customFormat="false" ht="15" hidden="false" customHeight="false" outlineLevel="0" collapsed="false">
      <c r="A1463" s="197" t="n">
        <v>46089</v>
      </c>
      <c r="B1463" s="191"/>
      <c r="C1463" s="190" t="s">
        <v>1340</v>
      </c>
      <c r="D1463" s="191" t="n">
        <v>554198341911</v>
      </c>
      <c r="E1463" s="190" t="s">
        <v>1341</v>
      </c>
      <c r="F1463" s="192" t="n">
        <f aca="false">SUMIF(ENTRADAS!F:F,CLIENTES_PCBR[[#This Row],[TELEFONO]],ENTRADAS!C:C)</f>
        <v>147</v>
      </c>
      <c r="G1463" s="189" t="s">
        <v>94</v>
      </c>
    </row>
    <row r="1464" customFormat="false" ht="15" hidden="false" customHeight="false" outlineLevel="0" collapsed="false">
      <c r="A1464" s="197" t="n">
        <v>46088</v>
      </c>
      <c r="B1464" s="191"/>
      <c r="C1464" s="190" t="s">
        <v>1343</v>
      </c>
      <c r="D1464" s="191" t="n">
        <v>554888233617</v>
      </c>
      <c r="E1464" s="190" t="s">
        <v>1344</v>
      </c>
      <c r="F1464" s="192" t="n">
        <f aca="false">SUMIF(ENTRADAS!F:F,CLIENTES_PCBR[[#This Row],[TELEFONO]],ENTRADAS!C:C)</f>
        <v>147</v>
      </c>
      <c r="G1464" s="189" t="s">
        <v>94</v>
      </c>
    </row>
    <row r="1465" customFormat="false" ht="15" hidden="false" customHeight="false" outlineLevel="0" collapsed="false">
      <c r="A1465" s="197" t="n">
        <v>46090</v>
      </c>
      <c r="B1465" s="191"/>
      <c r="C1465" s="190" t="s">
        <v>1346</v>
      </c>
      <c r="D1465" s="191" t="n">
        <v>559584377071</v>
      </c>
      <c r="E1465" s="190" t="s">
        <v>1347</v>
      </c>
      <c r="F1465" s="192" t="n">
        <f aca="false">SUMIF(ENTRADAS!F:F,CLIENTES_PCBR[[#This Row],[TELEFONO]],ENTRADAS!C:C)</f>
        <v>120</v>
      </c>
      <c r="G1465" s="189" t="s">
        <v>94</v>
      </c>
    </row>
    <row r="1466" customFormat="false" ht="15" hidden="false" customHeight="false" outlineLevel="0" collapsed="false">
      <c r="A1466" s="197" t="n">
        <v>46090</v>
      </c>
      <c r="B1466" s="191"/>
      <c r="C1466" s="190" t="s">
        <v>1349</v>
      </c>
      <c r="D1466" s="191" t="n">
        <v>554184117770</v>
      </c>
      <c r="E1466" s="190" t="s">
        <v>1350</v>
      </c>
      <c r="F1466" s="192" t="n">
        <f aca="false">SUMIF(ENTRADAS!F:F,CLIENTES_PCBR[[#This Row],[TELEFONO]],ENTRADAS!C:C)</f>
        <v>150</v>
      </c>
      <c r="G1466" s="189" t="s">
        <v>94</v>
      </c>
    </row>
    <row r="1467" customFormat="false" ht="15" hidden="false" customHeight="false" outlineLevel="0" collapsed="false">
      <c r="A1467" s="197" t="n">
        <v>46090</v>
      </c>
      <c r="B1467" s="191"/>
      <c r="C1467" s="190" t="s">
        <v>1357</v>
      </c>
      <c r="D1467" s="191" t="n">
        <v>554191126913</v>
      </c>
      <c r="E1467" s="190" t="s">
        <v>1358</v>
      </c>
      <c r="F1467" s="192" t="n">
        <f aca="false">SUMIF(ENTRADAS!F:F,CLIENTES_PCBR[[#This Row],[TELEFONO]],ENTRADAS!C:C)</f>
        <v>145</v>
      </c>
      <c r="G1467" s="189" t="s">
        <v>94</v>
      </c>
    </row>
    <row r="1468" customFormat="false" ht="15" hidden="false" customHeight="false" outlineLevel="0" collapsed="false">
      <c r="A1468" s="197" t="n">
        <v>46090</v>
      </c>
      <c r="B1468" s="191"/>
      <c r="C1468" s="190" t="s">
        <v>1360</v>
      </c>
      <c r="D1468" s="191" t="n">
        <v>5511988036255</v>
      </c>
      <c r="E1468" s="190" t="s">
        <v>1361</v>
      </c>
      <c r="F1468" s="192" t="n">
        <f aca="false">SUMIF(ENTRADAS!F:F,CLIENTES_PCBR[[#This Row],[TELEFONO]],ENTRADAS!C:C)</f>
        <v>150</v>
      </c>
      <c r="G1468" s="189" t="s">
        <v>94</v>
      </c>
    </row>
    <row r="1469" customFormat="false" ht="15" hidden="false" customHeight="false" outlineLevel="0" collapsed="false">
      <c r="A1469" s="197" t="n">
        <v>46090</v>
      </c>
      <c r="B1469" s="191"/>
      <c r="C1469" s="190" t="s">
        <v>1363</v>
      </c>
      <c r="D1469" s="191" t="n">
        <v>554998144215</v>
      </c>
      <c r="E1469" s="190" t="s">
        <v>1363</v>
      </c>
      <c r="F1469" s="192" t="n">
        <f aca="false">SUMIF(ENTRADAS!F:F,CLIENTES_PCBR[[#This Row],[TELEFONO]],ENTRADAS!C:C)</f>
        <v>150</v>
      </c>
      <c r="G1469" s="189" t="s">
        <v>94</v>
      </c>
    </row>
    <row r="1470" customFormat="false" ht="15" hidden="false" customHeight="false" outlineLevel="0" collapsed="false">
      <c r="A1470" s="197" t="n">
        <v>46090</v>
      </c>
      <c r="B1470" s="191"/>
      <c r="C1470" s="190" t="s">
        <v>1366</v>
      </c>
      <c r="D1470" s="191" t="n">
        <v>555496705292</v>
      </c>
      <c r="E1470" s="190" t="s">
        <v>1367</v>
      </c>
      <c r="F1470" s="192" t="n">
        <f aca="false">SUMIF(ENTRADAS!F:F,CLIENTES_PCBR[[#This Row],[TELEFONO]],ENTRADAS!C:C)</f>
        <v>294</v>
      </c>
      <c r="G1470" s="189" t="s">
        <v>94</v>
      </c>
    </row>
    <row r="1471" customFormat="false" ht="15" hidden="false" customHeight="false" outlineLevel="0" collapsed="false">
      <c r="A1471" s="197" t="n">
        <v>46090</v>
      </c>
      <c r="B1471" s="191"/>
      <c r="C1471" s="190" t="s">
        <v>1370</v>
      </c>
      <c r="D1471" s="191" t="n">
        <v>18135737867</v>
      </c>
      <c r="E1471" s="190" t="s">
        <v>1371</v>
      </c>
      <c r="F1471" s="192" t="n">
        <f aca="false">SUMIF(ENTRADAS!F:F,CLIENTES_PCBR[[#This Row],[TELEFONO]],ENTRADAS!C:C)</f>
        <v>147</v>
      </c>
      <c r="G1471" s="189" t="s">
        <v>94</v>
      </c>
    </row>
    <row r="1472" customFormat="false" ht="15" hidden="false" customHeight="false" outlineLevel="0" collapsed="false">
      <c r="A1472" s="197" t="n">
        <v>46090</v>
      </c>
      <c r="B1472" s="191"/>
      <c r="C1472" s="190" t="s">
        <v>1374</v>
      </c>
      <c r="D1472" s="191" t="n">
        <v>59892373641</v>
      </c>
      <c r="E1472" s="190" t="s">
        <v>1375</v>
      </c>
      <c r="F1472" s="192" t="n">
        <f aca="false">SUMIF(ENTRADAS!F:F,CLIENTES_PCBR[[#This Row],[TELEFONO]],ENTRADAS!C:C)</f>
        <v>711</v>
      </c>
      <c r="G1472" s="189" t="s">
        <v>94</v>
      </c>
    </row>
    <row r="1473" customFormat="false" ht="15" hidden="false" customHeight="false" outlineLevel="0" collapsed="false">
      <c r="A1473" s="197" t="n">
        <v>46090</v>
      </c>
      <c r="B1473" s="191"/>
      <c r="C1473" s="190" t="s">
        <v>1378</v>
      </c>
      <c r="D1473" s="191" t="n">
        <v>554199549345</v>
      </c>
      <c r="E1473" s="190" t="s">
        <v>1379</v>
      </c>
      <c r="F1473" s="192" t="n">
        <f aca="false">SUMIF(ENTRADAS!F:F,CLIENTES_PCBR[[#This Row],[TELEFONO]],ENTRADAS!C:C)</f>
        <v>150</v>
      </c>
      <c r="G1473" s="189" t="s">
        <v>94</v>
      </c>
    </row>
    <row r="1474" customFormat="false" ht="15" hidden="false" customHeight="false" outlineLevel="0" collapsed="false">
      <c r="A1474" s="197" t="n">
        <v>46090</v>
      </c>
      <c r="B1474" s="191"/>
      <c r="C1474" s="190" t="s">
        <v>1381</v>
      </c>
      <c r="D1474" s="191" t="n">
        <v>554196550828</v>
      </c>
      <c r="E1474" s="190" t="s">
        <v>1382</v>
      </c>
      <c r="F1474" s="192" t="n">
        <f aca="false">SUMIF(ENTRADAS!F:F,CLIENTES_PCBR[[#This Row],[TELEFONO]],ENTRADAS!C:C)</f>
        <v>300</v>
      </c>
      <c r="G1474" s="189" t="s">
        <v>94</v>
      </c>
    </row>
    <row r="1475" customFormat="false" ht="15" hidden="false" customHeight="false" outlineLevel="0" collapsed="false">
      <c r="A1475" s="197" t="n">
        <v>46090</v>
      </c>
      <c r="B1475" s="191"/>
      <c r="C1475" s="190" t="s">
        <v>1385</v>
      </c>
      <c r="D1475" s="191" t="n">
        <v>553497060180</v>
      </c>
      <c r="E1475" s="190" t="s">
        <v>1386</v>
      </c>
      <c r="F1475" s="192" t="n">
        <f aca="false">SUMIF(ENTRADAS!F:F,CLIENTES_PCBR[[#This Row],[TELEFONO]],ENTRADAS!C:C)</f>
        <v>550</v>
      </c>
      <c r="G1475" s="189" t="s">
        <v>94</v>
      </c>
    </row>
    <row r="1476" customFormat="false" ht="15" hidden="false" customHeight="false" outlineLevel="0" collapsed="false">
      <c r="A1476" s="197" t="n">
        <v>46089</v>
      </c>
      <c r="B1476" s="191"/>
      <c r="C1476" s="190" t="s">
        <v>1388</v>
      </c>
      <c r="D1476" s="191" t="n">
        <v>554891808764</v>
      </c>
      <c r="E1476" s="190" t="s">
        <v>1389</v>
      </c>
      <c r="F1476" s="192" t="n">
        <f aca="false">SUMIF(ENTRADAS!F:F,CLIENTES_PCBR[[#This Row],[TELEFONO]],ENTRADAS!C:C)</f>
        <v>147</v>
      </c>
      <c r="G1476" s="189" t="s">
        <v>94</v>
      </c>
    </row>
    <row r="1477" customFormat="false" ht="15" hidden="false" customHeight="false" outlineLevel="0" collapsed="false">
      <c r="A1477" s="197" t="n">
        <v>46088</v>
      </c>
      <c r="B1477" s="191"/>
      <c r="C1477" s="190" t="s">
        <v>1391</v>
      </c>
      <c r="D1477" s="191" t="n">
        <v>554197483033</v>
      </c>
      <c r="E1477" s="190" t="s">
        <v>1392</v>
      </c>
      <c r="F1477" s="192" t="n">
        <f aca="false">SUMIF(ENTRADAS!F:F,CLIENTES_PCBR[[#This Row],[TELEFONO]],ENTRADAS!C:C)</f>
        <v>97</v>
      </c>
      <c r="G1477" s="189" t="s">
        <v>94</v>
      </c>
    </row>
    <row r="1478" customFormat="false" ht="15" hidden="false" customHeight="false" outlineLevel="0" collapsed="false">
      <c r="A1478" s="197" t="n">
        <v>46090</v>
      </c>
      <c r="B1478" s="191"/>
      <c r="C1478" s="190" t="s">
        <v>1394</v>
      </c>
      <c r="D1478" s="191" t="n">
        <v>554198792302</v>
      </c>
      <c r="E1478" s="190" t="s">
        <v>1395</v>
      </c>
      <c r="F1478" s="192" t="n">
        <f aca="false">SUMIF(ENTRADAS!F:F,CLIENTES_PCBR[[#This Row],[TELEFONO]],ENTRADAS!C:C)</f>
        <v>147</v>
      </c>
      <c r="G1478" s="189" t="s">
        <v>94</v>
      </c>
    </row>
    <row r="1479" customFormat="false" ht="15" hidden="false" customHeight="false" outlineLevel="0" collapsed="false">
      <c r="A1479" s="197" t="n">
        <v>46090</v>
      </c>
      <c r="B1479" s="191"/>
      <c r="C1479" s="190" t="s">
        <v>1397</v>
      </c>
      <c r="D1479" s="191" t="n">
        <v>5354001951</v>
      </c>
      <c r="E1479" s="190" t="s">
        <v>1398</v>
      </c>
      <c r="F1479" s="192" t="n">
        <f aca="false">SUMIF(ENTRADAS!F:F,CLIENTES_PCBR[[#This Row],[TELEFONO]],ENTRADAS!C:C)</f>
        <v>120</v>
      </c>
      <c r="G1479" s="189" t="s">
        <v>94</v>
      </c>
    </row>
    <row r="1480" customFormat="false" ht="15" hidden="false" customHeight="false" outlineLevel="0" collapsed="false">
      <c r="A1480" s="197" t="n">
        <v>46091</v>
      </c>
      <c r="B1480" s="191"/>
      <c r="C1480" s="190" t="s">
        <v>1400</v>
      </c>
      <c r="D1480" s="191" t="n">
        <v>555195957069</v>
      </c>
      <c r="E1480" s="190" t="s">
        <v>1401</v>
      </c>
      <c r="F1480" s="192" t="n">
        <f aca="false">SUMIF(ENTRADAS!F:F,CLIENTES_PCBR[[#This Row],[TELEFONO]],ENTRADAS!C:C)</f>
        <v>150</v>
      </c>
      <c r="G1480" s="189" t="s">
        <v>94</v>
      </c>
    </row>
    <row r="1481" customFormat="false" ht="15" hidden="false" customHeight="false" outlineLevel="0" collapsed="false">
      <c r="A1481" s="197" t="n">
        <v>46091</v>
      </c>
      <c r="B1481" s="191"/>
      <c r="C1481" s="190" t="s">
        <v>1403</v>
      </c>
      <c r="D1481" s="191" t="n">
        <v>554891196924</v>
      </c>
      <c r="E1481" s="190" t="s">
        <v>1404</v>
      </c>
      <c r="F1481" s="192" t="n">
        <f aca="false">SUMIF(ENTRADAS!F:F,CLIENTES_PCBR[[#This Row],[TELEFONO]],ENTRADAS!C:C)</f>
        <v>360</v>
      </c>
      <c r="G1481" s="189" t="s">
        <v>94</v>
      </c>
    </row>
    <row r="1482" customFormat="false" ht="15" hidden="false" customHeight="false" outlineLevel="0" collapsed="false">
      <c r="A1482" s="197" t="n">
        <v>46091</v>
      </c>
      <c r="B1482" s="191"/>
      <c r="C1482" s="190" t="s">
        <v>1406</v>
      </c>
      <c r="D1482" s="191" t="n">
        <v>5595920012312</v>
      </c>
      <c r="E1482" s="190" t="s">
        <v>1407</v>
      </c>
      <c r="F1482" s="192" t="n">
        <f aca="false">SUMIF(ENTRADAS!F:F,CLIENTES_PCBR[[#This Row],[TELEFONO]],ENTRADAS!C:C)</f>
        <v>440</v>
      </c>
      <c r="G1482" s="189" t="s">
        <v>94</v>
      </c>
    </row>
    <row r="1483" customFormat="false" ht="15" hidden="false" customHeight="false" outlineLevel="0" collapsed="false">
      <c r="A1483" s="197" t="n">
        <v>46090</v>
      </c>
      <c r="B1483" s="191"/>
      <c r="C1483" s="190" t="s">
        <v>1410</v>
      </c>
      <c r="D1483" s="191" t="n">
        <v>5519993215719</v>
      </c>
      <c r="E1483" s="190" t="s">
        <v>1411</v>
      </c>
      <c r="F1483" s="192" t="n">
        <f aca="false">SUMIF(ENTRADAS!F:F,CLIENTES_PCBR[[#This Row],[TELEFONO]],ENTRADAS!C:C)</f>
        <v>120</v>
      </c>
      <c r="G1483" s="189" t="s">
        <v>94</v>
      </c>
    </row>
    <row r="1484" customFormat="false" ht="15" hidden="false" customHeight="false" outlineLevel="0" collapsed="false">
      <c r="A1484" s="197" t="n">
        <v>46090</v>
      </c>
      <c r="B1484" s="191"/>
      <c r="C1484" s="190" t="s">
        <v>1415</v>
      </c>
      <c r="D1484" s="191" t="n">
        <v>5511956063396</v>
      </c>
      <c r="F1484" s="192" t="n">
        <f aca="false">SUMIF(ENTRADAS!F:F,CLIENTES_PCBR[[#This Row],[TELEFONO]],ENTRADAS!C:C)</f>
        <v>150</v>
      </c>
      <c r="G1484" s="189" t="s">
        <v>94</v>
      </c>
    </row>
    <row r="1485" customFormat="false" ht="15" hidden="false" customHeight="false" outlineLevel="0" collapsed="false">
      <c r="A1485" s="197" t="n">
        <v>46091</v>
      </c>
      <c r="B1485" s="191"/>
      <c r="C1485" s="190" t="s">
        <v>1417</v>
      </c>
      <c r="D1485" s="191" t="n">
        <v>554899269382</v>
      </c>
      <c r="E1485" s="190" t="s">
        <v>1418</v>
      </c>
      <c r="F1485" s="192" t="n">
        <f aca="false">SUMIF(ENTRADAS!F:F,CLIENTES_PCBR[[#This Row],[TELEFONO]],ENTRADAS!C:C)</f>
        <v>294</v>
      </c>
      <c r="G1485" s="189" t="s">
        <v>94</v>
      </c>
    </row>
    <row r="1486" customFormat="false" ht="15" hidden="false" customHeight="false" outlineLevel="0" collapsed="false">
      <c r="A1486" s="197" t="n">
        <v>46091</v>
      </c>
      <c r="B1486" s="191"/>
      <c r="C1486" s="190" t="s">
        <v>1424</v>
      </c>
      <c r="D1486" s="191" t="n">
        <v>5541995096750</v>
      </c>
      <c r="E1486" s="190" t="s">
        <v>1425</v>
      </c>
      <c r="F1486" s="192" t="n">
        <f aca="false">SUMIF(ENTRADAS!F:F,CLIENTES_PCBR[[#This Row],[TELEFONO]],ENTRADAS!C:C)</f>
        <v>97</v>
      </c>
      <c r="G1486" s="189" t="s">
        <v>94</v>
      </c>
    </row>
    <row r="1487" customFormat="false" ht="15" hidden="false" customHeight="false" outlineLevel="0" collapsed="false">
      <c r="A1487" s="197" t="n">
        <v>46091</v>
      </c>
      <c r="B1487" s="191"/>
      <c r="C1487" s="190" t="s">
        <v>1428</v>
      </c>
      <c r="D1487" s="191" t="n">
        <v>559584374004</v>
      </c>
      <c r="E1487" s="190" t="s">
        <v>1429</v>
      </c>
      <c r="F1487" s="192" t="n">
        <f aca="false">SUMIF(ENTRADAS!F:F,CLIENTES_PCBR[[#This Row],[TELEFONO]],ENTRADAS!C:C)</f>
        <v>90</v>
      </c>
      <c r="G1487" s="189" t="s">
        <v>94</v>
      </c>
    </row>
    <row r="1488" customFormat="false" ht="15" hidden="false" customHeight="false" outlineLevel="0" collapsed="false">
      <c r="A1488" s="197" t="n">
        <v>46091</v>
      </c>
      <c r="B1488" s="191"/>
      <c r="C1488" s="190" t="s">
        <v>1431</v>
      </c>
      <c r="D1488" s="191" t="n">
        <v>554898153102</v>
      </c>
      <c r="E1488" s="190" t="s">
        <v>1432</v>
      </c>
      <c r="F1488" s="192" t="n">
        <f aca="false">SUMIF(ENTRADAS!F:F,CLIENTES_PCBR[[#This Row],[TELEFONO]],ENTRADAS!C:C)</f>
        <v>120</v>
      </c>
      <c r="G1488" s="189" t="s">
        <v>94</v>
      </c>
    </row>
    <row r="1489" customFormat="false" ht="15" hidden="false" customHeight="false" outlineLevel="0" collapsed="false">
      <c r="A1489" s="197" t="n">
        <v>46091</v>
      </c>
      <c r="B1489" s="191"/>
      <c r="C1489" s="190" t="s">
        <v>1434</v>
      </c>
      <c r="D1489" s="191" t="n">
        <v>554195835616</v>
      </c>
      <c r="E1489" s="190" t="s">
        <v>1435</v>
      </c>
      <c r="F1489" s="192" t="n">
        <f aca="false">SUMIF(ENTRADAS!F:F,CLIENTES_PCBR[[#This Row],[TELEFONO]],ENTRADAS!C:C)</f>
        <v>588</v>
      </c>
      <c r="G1489" s="189" t="s">
        <v>94</v>
      </c>
    </row>
    <row r="1490" customFormat="false" ht="15" hidden="false" customHeight="false" outlineLevel="0" collapsed="false">
      <c r="A1490" s="197" t="n">
        <v>46091</v>
      </c>
      <c r="B1490" s="191"/>
      <c r="C1490" s="190" t="s">
        <v>1438</v>
      </c>
      <c r="D1490" s="191" t="n">
        <v>553798069518</v>
      </c>
      <c r="E1490" s="190" t="s">
        <v>1439</v>
      </c>
      <c r="F1490" s="192" t="n">
        <f aca="false">SUMIF(ENTRADAS!F:F,CLIENTES_PCBR[[#This Row],[TELEFONO]],ENTRADAS!C:C)</f>
        <v>294</v>
      </c>
      <c r="G1490" s="189" t="s">
        <v>94</v>
      </c>
    </row>
    <row r="1491" customFormat="false" ht="15" hidden="false" customHeight="false" outlineLevel="0" collapsed="false">
      <c r="A1491" s="197" t="n">
        <v>46091</v>
      </c>
      <c r="B1491" s="191"/>
      <c r="C1491" s="190" t="s">
        <v>1448</v>
      </c>
      <c r="D1491" s="191" t="n">
        <v>555499000296</v>
      </c>
      <c r="F1491" s="192" t="n">
        <f aca="false">SUMIF(ENTRADAS!F:F,CLIENTES_PCBR[[#This Row],[TELEFONO]],ENTRADAS!C:C)</f>
        <v>150</v>
      </c>
      <c r="G1491" s="189" t="s">
        <v>94</v>
      </c>
    </row>
    <row r="1492" customFormat="false" ht="15" hidden="false" customHeight="false" outlineLevel="0" collapsed="false">
      <c r="A1492" s="197" t="n">
        <v>46091</v>
      </c>
      <c r="B1492" s="191"/>
      <c r="C1492" s="190" t="s">
        <v>1451</v>
      </c>
      <c r="D1492" s="191" t="n">
        <v>556196234251</v>
      </c>
      <c r="E1492" s="190" t="s">
        <v>1452</v>
      </c>
      <c r="F1492" s="192" t="n">
        <f aca="false">SUMIF(ENTRADAS!F:F,CLIENTES_PCBR[[#This Row],[TELEFONO]],ENTRADAS!C:C)</f>
        <v>120</v>
      </c>
      <c r="G1492" s="189" t="s">
        <v>94</v>
      </c>
    </row>
    <row r="1493" customFormat="false" ht="15" hidden="false" customHeight="false" outlineLevel="0" collapsed="false">
      <c r="A1493" s="197" t="n">
        <v>46092</v>
      </c>
      <c r="B1493" s="191"/>
      <c r="C1493" s="190" t="s">
        <v>1455</v>
      </c>
      <c r="D1493" s="191" t="n">
        <v>554691206930</v>
      </c>
      <c r="E1493" s="190" t="s">
        <v>1456</v>
      </c>
      <c r="F1493" s="192" t="n">
        <f aca="false">SUMIF(ENTRADAS!F:F,CLIENTES_PCBR[[#This Row],[TELEFONO]],ENTRADAS!C:C)</f>
        <v>150</v>
      </c>
      <c r="G1493" s="189" t="s">
        <v>94</v>
      </c>
    </row>
    <row r="1494" customFormat="false" ht="15" hidden="false" customHeight="false" outlineLevel="0" collapsed="false">
      <c r="A1494" s="197" t="n">
        <v>46091</v>
      </c>
      <c r="B1494" s="191"/>
      <c r="C1494" s="190" t="s">
        <v>1458</v>
      </c>
      <c r="D1494" s="191" t="n">
        <v>554796532166</v>
      </c>
      <c r="E1494" s="190" t="s">
        <v>1459</v>
      </c>
      <c r="F1494" s="192" t="n">
        <f aca="false">SUMIF(ENTRADAS!F:F,CLIENTES_PCBR[[#This Row],[TELEFONO]],ENTRADAS!C:C)</f>
        <v>150</v>
      </c>
      <c r="G1494" s="189" t="s">
        <v>94</v>
      </c>
    </row>
    <row r="1495" customFormat="false" ht="15" hidden="false" customHeight="false" outlineLevel="0" collapsed="false">
      <c r="A1495" s="197" t="n">
        <v>46092</v>
      </c>
      <c r="B1495" s="191"/>
      <c r="C1495" s="190" t="s">
        <v>1463</v>
      </c>
      <c r="D1495" s="191" t="n">
        <v>554196358252</v>
      </c>
      <c r="E1495" s="190" t="s">
        <v>1464</v>
      </c>
      <c r="F1495" s="192" t="n">
        <f aca="false">SUMIF(ENTRADAS!F:F,CLIENTES_PCBR[[#This Row],[TELEFONO]],ENTRADAS!C:C)</f>
        <v>147</v>
      </c>
      <c r="G1495" s="189" t="s">
        <v>94</v>
      </c>
    </row>
    <row r="1496" customFormat="false" ht="15" hidden="false" customHeight="false" outlineLevel="0" collapsed="false">
      <c r="A1496" s="197" t="n">
        <v>46091</v>
      </c>
      <c r="B1496" s="191"/>
      <c r="C1496" s="190" t="s">
        <v>1467</v>
      </c>
      <c r="D1496" s="191" t="n">
        <v>554187292927</v>
      </c>
      <c r="F1496" s="192" t="n">
        <f aca="false">SUMIF(ENTRADAS!F:F,CLIENTES_PCBR[[#This Row],[TELEFONO]],ENTRADAS!C:C)</f>
        <v>735</v>
      </c>
      <c r="G1496" s="189" t="s">
        <v>94</v>
      </c>
    </row>
    <row r="1497" customFormat="false" ht="15" hidden="false" customHeight="false" outlineLevel="0" collapsed="false">
      <c r="A1497" s="197" t="n">
        <v>46091</v>
      </c>
      <c r="B1497" s="191"/>
      <c r="C1497" s="190" t="s">
        <v>1470</v>
      </c>
      <c r="D1497" s="191" t="n">
        <v>5548988493540</v>
      </c>
      <c r="F1497" s="192" t="n">
        <f aca="false">SUMIF(ENTRADAS!F:F,CLIENTES_PCBR[[#This Row],[TELEFONO]],ENTRADAS!C:C)</f>
        <v>120</v>
      </c>
      <c r="G1497" s="189" t="s">
        <v>94</v>
      </c>
    </row>
    <row r="1498" customFormat="false" ht="15" hidden="false" customHeight="false" outlineLevel="0" collapsed="false">
      <c r="A1498" s="197" t="n">
        <v>46092</v>
      </c>
      <c r="B1498" s="191"/>
      <c r="C1498" s="190" t="s">
        <v>1474</v>
      </c>
      <c r="D1498" s="191" t="n">
        <v>555496483450</v>
      </c>
      <c r="F1498" s="192" t="n">
        <f aca="false">SUMIF(ENTRADAS!F:F,CLIENTES_PCBR[[#This Row],[TELEFONO]],ENTRADAS!C:C)</f>
        <v>488</v>
      </c>
      <c r="G1498" s="189" t="s">
        <v>94</v>
      </c>
    </row>
    <row r="1499" customFormat="false" ht="15" hidden="false" customHeight="false" outlineLevel="0" collapsed="false">
      <c r="A1499" s="197" t="n">
        <v>46092</v>
      </c>
      <c r="B1499" s="191"/>
      <c r="C1499" s="190" t="s">
        <v>1477</v>
      </c>
      <c r="D1499" s="191" t="n">
        <v>554196591179</v>
      </c>
      <c r="E1499" s="190" t="s">
        <v>1478</v>
      </c>
      <c r="F1499" s="192" t="n">
        <f aca="false">SUMIF(ENTRADAS!F:F,CLIENTES_PCBR[[#This Row],[TELEFONO]],ENTRADAS!C:C)</f>
        <v>147</v>
      </c>
      <c r="G1499" s="189" t="s">
        <v>94</v>
      </c>
    </row>
    <row r="1500" customFormat="false" ht="15" hidden="false" customHeight="false" outlineLevel="0" collapsed="false">
      <c r="A1500" s="197" t="n">
        <v>46092</v>
      </c>
      <c r="B1500" s="191"/>
      <c r="C1500" s="190" t="s">
        <v>1480</v>
      </c>
      <c r="D1500" s="191" t="n">
        <v>554891705244</v>
      </c>
      <c r="E1500" s="190" t="s">
        <v>1481</v>
      </c>
      <c r="F1500" s="192" t="n">
        <f aca="false">SUMIF(ENTRADAS!F:F,CLIENTES_PCBR[[#This Row],[TELEFONO]],ENTRADAS!C:C)</f>
        <v>294</v>
      </c>
      <c r="G1500" s="189" t="s">
        <v>94</v>
      </c>
    </row>
    <row r="1501" customFormat="false" ht="15" hidden="false" customHeight="false" outlineLevel="0" collapsed="false">
      <c r="A1501" s="197" t="n">
        <v>46092</v>
      </c>
      <c r="B1501" s="191"/>
      <c r="C1501" s="190" t="s">
        <v>1484</v>
      </c>
      <c r="D1501" s="191" t="n">
        <v>554195121320</v>
      </c>
      <c r="E1501" s="190" t="s">
        <v>1485</v>
      </c>
      <c r="F1501" s="192" t="n">
        <f aca="false">SUMIF(ENTRADAS!F:F,CLIENTES_PCBR[[#This Row],[TELEFONO]],ENTRADAS!C:C)</f>
        <v>194</v>
      </c>
      <c r="G1501" s="189" t="s">
        <v>94</v>
      </c>
    </row>
    <row r="1502" customFormat="false" ht="15" hidden="false" customHeight="false" outlineLevel="0" collapsed="false">
      <c r="A1502" s="197" t="n">
        <v>46092</v>
      </c>
      <c r="B1502" s="191"/>
      <c r="C1502" s="190" t="s">
        <v>1488</v>
      </c>
      <c r="D1502" s="191" t="n">
        <v>559591259323</v>
      </c>
      <c r="E1502" s="190" t="s">
        <v>1489</v>
      </c>
      <c r="F1502" s="192" t="n">
        <f aca="false">SUMIF(ENTRADAS!F:F,CLIENTES_PCBR[[#This Row],[TELEFONO]],ENTRADAS!C:C)</f>
        <v>147</v>
      </c>
      <c r="G1502" s="189" t="s">
        <v>94</v>
      </c>
    </row>
    <row r="1503" customFormat="false" ht="15" hidden="false" customHeight="false" outlineLevel="0" collapsed="false">
      <c r="A1503" s="197" t="n">
        <v>46092</v>
      </c>
      <c r="B1503" s="191"/>
      <c r="C1503" s="190" t="s">
        <v>1496</v>
      </c>
      <c r="D1503" s="191" t="n">
        <v>559591464074</v>
      </c>
      <c r="F1503" s="192" t="n">
        <f aca="false">SUMIF(ENTRADAS!F:F,CLIENTES_PCBR[[#This Row],[TELEFONO]],ENTRADAS!C:C)</f>
        <v>150</v>
      </c>
      <c r="G1503" s="189" t="s">
        <v>94</v>
      </c>
    </row>
    <row r="1504" customFormat="false" ht="15" hidden="false" customHeight="false" outlineLevel="0" collapsed="false">
      <c r="A1504" s="197" t="n">
        <v>46092</v>
      </c>
      <c r="B1504" s="191"/>
      <c r="C1504" s="190" t="s">
        <v>1500</v>
      </c>
      <c r="D1504" s="191" t="n">
        <v>554195504940</v>
      </c>
      <c r="E1504" s="190" t="s">
        <v>1501</v>
      </c>
      <c r="F1504" s="192" t="n">
        <f aca="false">SUMIF(ENTRADAS!F:F,CLIENTES_PCBR[[#This Row],[TELEFONO]],ENTRADAS!C:C)</f>
        <v>240</v>
      </c>
      <c r="G1504" s="189" t="s">
        <v>94</v>
      </c>
    </row>
    <row r="1505" customFormat="false" ht="15" hidden="false" customHeight="false" outlineLevel="0" collapsed="false">
      <c r="A1505" s="197" t="n">
        <v>46092</v>
      </c>
      <c r="B1505" s="191"/>
      <c r="C1505" s="190" t="s">
        <v>1503</v>
      </c>
      <c r="D1505" s="191" t="n">
        <v>5511954079148</v>
      </c>
      <c r="E1505" s="190" t="s">
        <v>1504</v>
      </c>
      <c r="F1505" s="192" t="n">
        <f aca="false">SUMIF(ENTRADAS!F:F,CLIENTES_PCBR[[#This Row],[TELEFONO]],ENTRADAS!C:C)</f>
        <v>240</v>
      </c>
      <c r="G1505" s="189" t="s">
        <v>94</v>
      </c>
    </row>
    <row r="1506" customFormat="false" ht="15" hidden="false" customHeight="false" outlineLevel="0" collapsed="false">
      <c r="A1506" s="197" t="n">
        <v>46092</v>
      </c>
      <c r="B1506" s="191"/>
      <c r="C1506" s="190" t="s">
        <v>1506</v>
      </c>
      <c r="D1506" s="191" t="n">
        <v>556298601358</v>
      </c>
      <c r="E1506" s="190" t="s">
        <v>1507</v>
      </c>
      <c r="F1506" s="192" t="n">
        <f aca="false">SUMIF(ENTRADAS!F:F,CLIENTES_PCBR[[#This Row],[TELEFONO]],ENTRADAS!C:C)</f>
        <v>150</v>
      </c>
      <c r="G1506" s="189" t="s">
        <v>94</v>
      </c>
    </row>
    <row r="1507" customFormat="false" ht="15" hidden="false" customHeight="false" outlineLevel="0" collapsed="false">
      <c r="A1507" s="197" t="n">
        <v>46093</v>
      </c>
      <c r="B1507" s="191"/>
      <c r="C1507" s="190" t="s">
        <v>1509</v>
      </c>
      <c r="D1507" s="191" t="n">
        <v>554598099536</v>
      </c>
      <c r="E1507" s="190" t="s">
        <v>1510</v>
      </c>
      <c r="F1507" s="192" t="n">
        <f aca="false">SUMIF(ENTRADAS!F:F,CLIENTES_PCBR[[#This Row],[TELEFONO]],ENTRADAS!C:C)</f>
        <v>150</v>
      </c>
      <c r="G1507" s="189" t="s">
        <v>94</v>
      </c>
    </row>
    <row r="1508" customFormat="false" ht="15" hidden="false" customHeight="false" outlineLevel="0" collapsed="false">
      <c r="A1508" s="197" t="n">
        <v>46092</v>
      </c>
      <c r="B1508" s="191"/>
      <c r="C1508" s="190" t="s">
        <v>1511</v>
      </c>
      <c r="D1508" s="191" t="n">
        <v>554796019207</v>
      </c>
      <c r="E1508" s="190" t="s">
        <v>1512</v>
      </c>
      <c r="F1508" s="192" t="n">
        <f aca="false">SUMIF(ENTRADAS!F:F,CLIENTES_PCBR[[#This Row],[TELEFONO]],ENTRADAS!C:C)</f>
        <v>197</v>
      </c>
      <c r="G1508" s="189" t="s">
        <v>94</v>
      </c>
    </row>
    <row r="1509" customFormat="false" ht="15" hidden="false" customHeight="false" outlineLevel="0" collapsed="false">
      <c r="A1509" s="197" t="n">
        <v>46093</v>
      </c>
      <c r="B1509" s="191"/>
      <c r="C1509" s="190" t="s">
        <v>1516</v>
      </c>
      <c r="D1509" s="191" t="n">
        <v>559584298986</v>
      </c>
      <c r="E1509" s="190" t="s">
        <v>1517</v>
      </c>
      <c r="F1509" s="192" t="n">
        <f aca="false">SUMIF(ENTRADAS!F:F,CLIENTES_PCBR[[#This Row],[TELEFONO]],ENTRADAS!C:C)</f>
        <v>291</v>
      </c>
      <c r="G1509" s="189" t="s">
        <v>94</v>
      </c>
    </row>
    <row r="1510" customFormat="false" ht="15" hidden="false" customHeight="false" outlineLevel="0" collapsed="false">
      <c r="A1510" s="197" t="n">
        <v>46093</v>
      </c>
      <c r="B1510" s="191"/>
      <c r="C1510" s="190" t="s">
        <v>1520</v>
      </c>
      <c r="D1510" s="191" t="n">
        <v>559591618846</v>
      </c>
      <c r="E1510" s="190" t="s">
        <v>1521</v>
      </c>
      <c r="F1510" s="192" t="n">
        <f aca="false">SUMIF(ENTRADAS!F:F,CLIENTES_PCBR[[#This Row],[TELEFONO]],ENTRADAS!C:C)</f>
        <v>420</v>
      </c>
      <c r="G1510" s="189" t="s">
        <v>94</v>
      </c>
    </row>
    <row r="1511" customFormat="false" ht="15" hidden="false" customHeight="false" outlineLevel="0" collapsed="false">
      <c r="A1511" s="197" t="n">
        <v>46093</v>
      </c>
      <c r="B1511" s="191"/>
      <c r="C1511" s="190" t="s">
        <v>1523</v>
      </c>
      <c r="D1511" s="191" t="n">
        <v>5353198044</v>
      </c>
      <c r="E1511" s="190" t="s">
        <v>1524</v>
      </c>
      <c r="F1511" s="192" t="n">
        <f aca="false">SUMIF(ENTRADAS!F:F,CLIENTES_PCBR[[#This Row],[TELEFONO]],ENTRADAS!C:C)</f>
        <v>150</v>
      </c>
      <c r="G1511" s="189" t="s">
        <v>94</v>
      </c>
    </row>
    <row r="1512" customFormat="false" ht="15" hidden="false" customHeight="false" outlineLevel="0" collapsed="false">
      <c r="A1512" s="197" t="n">
        <v>46092</v>
      </c>
      <c r="B1512" s="191"/>
      <c r="C1512" s="190" t="s">
        <v>1526</v>
      </c>
      <c r="D1512" s="191" t="n">
        <v>56972408728</v>
      </c>
      <c r="E1512" s="190" t="s">
        <v>1527</v>
      </c>
      <c r="F1512" s="192" t="n">
        <f aca="false">SUMIF(ENTRADAS!F:F,CLIENTES_PCBR[[#This Row],[TELEFONO]],ENTRADAS!C:C)</f>
        <v>147</v>
      </c>
      <c r="G1512" s="189" t="s">
        <v>94</v>
      </c>
    </row>
    <row r="1513" customFormat="false" ht="15" hidden="false" customHeight="false" outlineLevel="0" collapsed="false">
      <c r="A1513" s="197" t="n">
        <v>46093</v>
      </c>
      <c r="B1513" s="191"/>
      <c r="C1513" s="190" t="s">
        <v>1530</v>
      </c>
      <c r="D1513" s="191" t="n">
        <v>5355635519</v>
      </c>
      <c r="E1513" s="190" t="s">
        <v>1531</v>
      </c>
      <c r="F1513" s="192" t="n">
        <f aca="false">SUMIF(ENTRADAS!F:F,CLIENTES_PCBR[[#This Row],[TELEFONO]],ENTRADAS!C:C)</f>
        <v>240</v>
      </c>
      <c r="G1513" s="189" t="s">
        <v>94</v>
      </c>
    </row>
    <row r="1514" customFormat="false" ht="15" hidden="false" customHeight="false" outlineLevel="0" collapsed="false">
      <c r="A1514" s="197" t="n">
        <v>46093</v>
      </c>
      <c r="B1514" s="191"/>
      <c r="C1514" s="190" t="s">
        <v>1533</v>
      </c>
      <c r="D1514" s="191" t="n">
        <v>554188492542</v>
      </c>
      <c r="E1514" s="190" t="s">
        <v>1534</v>
      </c>
      <c r="F1514" s="192" t="n">
        <f aca="false">SUMIF(ENTRADAS!F:F,CLIENTES_PCBR[[#This Row],[TELEFONO]],ENTRADAS!C:C)</f>
        <v>150</v>
      </c>
      <c r="G1514" s="189" t="s">
        <v>94</v>
      </c>
    </row>
    <row r="1515" customFormat="false" ht="15" hidden="false" customHeight="false" outlineLevel="0" collapsed="false">
      <c r="A1515" s="197" t="n">
        <v>46093</v>
      </c>
      <c r="B1515" s="191"/>
      <c r="C1515" s="190" t="s">
        <v>1540</v>
      </c>
      <c r="D1515" s="191" t="n">
        <v>559591372343</v>
      </c>
      <c r="F1515" s="192" t="n">
        <f aca="false">SUMIF(ENTRADAS!F:F,CLIENTES_PCBR[[#This Row],[TELEFONO]],ENTRADAS!C:C)</f>
        <v>120</v>
      </c>
      <c r="G1515" s="189" t="s">
        <v>94</v>
      </c>
    </row>
    <row r="1516" customFormat="false" ht="15" hidden="false" customHeight="false" outlineLevel="0" collapsed="false">
      <c r="A1516" s="197" t="n">
        <v>46093</v>
      </c>
      <c r="B1516" s="191"/>
      <c r="C1516" s="190" t="s">
        <v>1542</v>
      </c>
      <c r="D1516" s="191" t="n">
        <v>5515997950933</v>
      </c>
      <c r="E1516" s="190" t="s">
        <v>1543</v>
      </c>
      <c r="F1516" s="192" t="n">
        <f aca="false">SUMIF(ENTRADAS!F:F,CLIENTES_PCBR[[#This Row],[TELEFONO]],ENTRADAS!C:C)</f>
        <v>147</v>
      </c>
      <c r="G1516" s="189" t="s">
        <v>94</v>
      </c>
    </row>
    <row r="1517" customFormat="false" ht="15" hidden="false" customHeight="false" outlineLevel="0" collapsed="false">
      <c r="A1517" s="197" t="n">
        <v>46093</v>
      </c>
      <c r="B1517" s="191"/>
      <c r="C1517" s="190" t="s">
        <v>1545</v>
      </c>
      <c r="D1517" s="191" t="n">
        <v>5519981530343</v>
      </c>
      <c r="E1517" s="190" t="s">
        <v>1546</v>
      </c>
      <c r="F1517" s="192" t="n">
        <f aca="false">SUMIF(ENTRADAS!F:F,CLIENTES_PCBR[[#This Row],[TELEFONO]],ENTRADAS!C:C)</f>
        <v>150</v>
      </c>
      <c r="G1517" s="189" t="s">
        <v>94</v>
      </c>
    </row>
    <row r="1518" customFormat="false" ht="15" hidden="false" customHeight="false" outlineLevel="0" collapsed="false">
      <c r="A1518" s="197" t="n">
        <v>46093</v>
      </c>
      <c r="B1518" s="191"/>
      <c r="C1518" s="190" t="s">
        <v>1550</v>
      </c>
      <c r="D1518" s="191" t="n">
        <v>559584382054</v>
      </c>
      <c r="E1518" s="190" t="s">
        <v>1551</v>
      </c>
      <c r="F1518" s="192" t="n">
        <f aca="false">SUMIF(ENTRADAS!F:F,CLIENTES_PCBR[[#This Row],[TELEFONO]],ENTRADAS!C:C)</f>
        <v>97</v>
      </c>
      <c r="G1518" s="189" t="s">
        <v>94</v>
      </c>
    </row>
    <row r="1519" customFormat="false" ht="15" hidden="false" customHeight="false" outlineLevel="0" collapsed="false">
      <c r="A1519" s="197" t="n">
        <v>46093</v>
      </c>
      <c r="B1519" s="191"/>
      <c r="C1519" s="190" t="s">
        <v>1553</v>
      </c>
      <c r="D1519" s="191" t="n">
        <v>554599647201</v>
      </c>
      <c r="F1519" s="192" t="n">
        <f aca="false">SUMIF(ENTRADAS!F:F,CLIENTES_PCBR[[#This Row],[TELEFONO]],ENTRADAS!C:C)</f>
        <v>150</v>
      </c>
      <c r="G1519" s="189" t="s">
        <v>94</v>
      </c>
    </row>
    <row r="1520" customFormat="false" ht="15" hidden="false" customHeight="false" outlineLevel="0" collapsed="false">
      <c r="A1520" s="197" t="n">
        <v>46093</v>
      </c>
      <c r="B1520" s="191"/>
      <c r="C1520" s="190" t="s">
        <v>1556</v>
      </c>
      <c r="D1520" s="191" t="n">
        <v>56990727434</v>
      </c>
      <c r="E1520" s="190" t="s">
        <v>1557</v>
      </c>
      <c r="F1520" s="192" t="n">
        <f aca="false">SUMIF(ENTRADAS!F:F,CLIENTES_PCBR[[#This Row],[TELEFONO]],ENTRADAS!C:C)</f>
        <v>150</v>
      </c>
      <c r="G1520" s="189" t="s">
        <v>94</v>
      </c>
    </row>
    <row r="1521" customFormat="false" ht="15" hidden="false" customHeight="false" outlineLevel="0" collapsed="false">
      <c r="A1521" s="197" t="n">
        <v>46093</v>
      </c>
      <c r="B1521" s="191"/>
      <c r="C1521" s="190" t="s">
        <v>1560</v>
      </c>
      <c r="D1521" s="191" t="n">
        <v>555197087967</v>
      </c>
      <c r="E1521" s="190" t="s">
        <v>1561</v>
      </c>
      <c r="F1521" s="192" t="n">
        <f aca="false">SUMIF(ENTRADAS!F:F,CLIENTES_PCBR[[#This Row],[TELEFONO]],ENTRADAS!C:C)</f>
        <v>750</v>
      </c>
      <c r="G1521" s="189" t="s">
        <v>94</v>
      </c>
    </row>
    <row r="1522" customFormat="false" ht="15" hidden="false" customHeight="false" outlineLevel="0" collapsed="false">
      <c r="A1522" s="197" t="n">
        <v>46093</v>
      </c>
      <c r="B1522" s="191"/>
      <c r="C1522" s="190" t="s">
        <v>1565</v>
      </c>
      <c r="D1522" s="191" t="n">
        <v>554899331747</v>
      </c>
      <c r="E1522" s="190" t="s">
        <v>1566</v>
      </c>
      <c r="F1522" s="192" t="n">
        <f aca="false">SUMIF(ENTRADAS!F:F,CLIENTES_PCBR[[#This Row],[TELEFONO]],ENTRADAS!C:C)</f>
        <v>147</v>
      </c>
      <c r="G1522" s="189" t="s">
        <v>94</v>
      </c>
    </row>
    <row r="1523" customFormat="false" ht="15" hidden="false" customHeight="false" outlineLevel="0" collapsed="false">
      <c r="A1523" s="197" t="n">
        <v>46093</v>
      </c>
      <c r="B1523" s="191"/>
      <c r="C1523" s="190" t="s">
        <v>1568</v>
      </c>
      <c r="D1523" s="191" t="n">
        <v>554192121651</v>
      </c>
      <c r="E1523" s="190" t="s">
        <v>1569</v>
      </c>
      <c r="F1523" s="192" t="n">
        <f aca="false">SUMIF(ENTRADAS!F:F,CLIENTES_PCBR[[#This Row],[TELEFONO]],ENTRADAS!C:C)</f>
        <v>90</v>
      </c>
      <c r="G1523" s="189" t="s">
        <v>94</v>
      </c>
    </row>
    <row r="1524" customFormat="false" ht="15" hidden="false" customHeight="false" outlineLevel="0" collapsed="false">
      <c r="A1524" s="197" t="n">
        <v>46093</v>
      </c>
      <c r="B1524" s="191"/>
      <c r="C1524" s="190" t="s">
        <v>1571</v>
      </c>
      <c r="D1524" s="191" t="n">
        <v>554198111746</v>
      </c>
      <c r="E1524" s="190" t="s">
        <v>1572</v>
      </c>
      <c r="F1524" s="192" t="n">
        <f aca="false">SUMIF(ENTRADAS!F:F,CLIENTES_PCBR[[#This Row],[TELEFONO]],ENTRADAS!C:C)</f>
        <v>294</v>
      </c>
      <c r="G1524" s="189" t="s">
        <v>94</v>
      </c>
    </row>
    <row r="1525" customFormat="false" ht="15" hidden="false" customHeight="false" outlineLevel="0" collapsed="false">
      <c r="A1525" s="197" t="n">
        <v>46093</v>
      </c>
      <c r="B1525" s="191"/>
      <c r="C1525" s="190" t="s">
        <v>1574</v>
      </c>
      <c r="D1525" s="191" t="n">
        <v>554796680782</v>
      </c>
      <c r="E1525" s="190" t="s">
        <v>1575</v>
      </c>
      <c r="F1525" s="192" t="n">
        <f aca="false">SUMIF(ENTRADAS!F:F,CLIENTES_PCBR[[#This Row],[TELEFONO]],ENTRADAS!C:C)</f>
        <v>150</v>
      </c>
      <c r="G1525" s="189" t="s">
        <v>94</v>
      </c>
    </row>
    <row r="1526" customFormat="false" ht="15" hidden="false" customHeight="false" outlineLevel="0" collapsed="false">
      <c r="A1526" s="197" t="n">
        <v>46093</v>
      </c>
      <c r="B1526" s="191"/>
      <c r="C1526" s="190" t="s">
        <v>1581</v>
      </c>
      <c r="D1526" s="191" t="n">
        <v>554591414688</v>
      </c>
      <c r="E1526" s="190" t="s">
        <v>1582</v>
      </c>
      <c r="F1526" s="192" t="n">
        <f aca="false">SUMIF(ENTRADAS!F:F,CLIENTES_PCBR[[#This Row],[TELEFONO]],ENTRADAS!C:C)</f>
        <v>691</v>
      </c>
      <c r="G1526" s="189" t="s">
        <v>94</v>
      </c>
    </row>
    <row r="1527" customFormat="false" ht="15" hidden="false" customHeight="false" outlineLevel="0" collapsed="false">
      <c r="A1527" s="197" t="n">
        <v>46094</v>
      </c>
      <c r="B1527" s="191"/>
      <c r="C1527" s="190" t="s">
        <v>1585</v>
      </c>
      <c r="D1527" s="191" t="n">
        <v>554199794689</v>
      </c>
      <c r="E1527" s="190" t="s">
        <v>1586</v>
      </c>
      <c r="F1527" s="192" t="n">
        <f aca="false">SUMIF(ENTRADAS!F:F,CLIENTES_PCBR[[#This Row],[TELEFONO]],ENTRADAS!C:C)</f>
        <v>150</v>
      </c>
      <c r="G1527" s="189" t="s">
        <v>94</v>
      </c>
    </row>
    <row r="1528" customFormat="false" ht="15" hidden="false" customHeight="false" outlineLevel="0" collapsed="false">
      <c r="A1528" s="197" t="n">
        <v>46094</v>
      </c>
      <c r="B1528" s="191"/>
      <c r="C1528" s="190" t="s">
        <v>1589</v>
      </c>
      <c r="D1528" s="191" t="n">
        <v>556592567596</v>
      </c>
      <c r="E1528" s="190" t="s">
        <v>1590</v>
      </c>
      <c r="F1528" s="192" t="n">
        <f aca="false">SUMIF(ENTRADAS!F:F,CLIENTES_PCBR[[#This Row],[TELEFONO]],ENTRADAS!C:C)</f>
        <v>147</v>
      </c>
      <c r="G1528" s="189" t="s">
        <v>94</v>
      </c>
    </row>
    <row r="1529" customFormat="false" ht="15" hidden="false" customHeight="false" outlineLevel="0" collapsed="false">
      <c r="A1529" s="197" t="n">
        <v>46094</v>
      </c>
      <c r="B1529" s="191"/>
      <c r="C1529" s="190" t="s">
        <v>1593</v>
      </c>
      <c r="D1529" s="191" t="n">
        <v>5351902311</v>
      </c>
      <c r="E1529" s="190" t="s">
        <v>1594</v>
      </c>
      <c r="F1529" s="192" t="n">
        <f aca="false">SUMIF(ENTRADAS!F:F,CLIENTES_PCBR[[#This Row],[TELEFONO]],ENTRADAS!C:C)</f>
        <v>120</v>
      </c>
      <c r="G1529" s="189" t="s">
        <v>94</v>
      </c>
    </row>
    <row r="1530" customFormat="false" ht="15" hidden="false" customHeight="false" outlineLevel="0" collapsed="false">
      <c r="A1530" s="197" t="n">
        <v>46094</v>
      </c>
      <c r="B1530" s="191"/>
      <c r="C1530" s="190" t="s">
        <v>1600</v>
      </c>
      <c r="D1530" s="191" t="n">
        <v>5511919074749</v>
      </c>
      <c r="E1530" s="190" t="s">
        <v>1601</v>
      </c>
      <c r="F1530" s="192" t="n">
        <f aca="false">SUMIF(ENTRADAS!F:F,CLIENTES_PCBR[[#This Row],[TELEFONO]],ENTRADAS!C:C)</f>
        <v>430</v>
      </c>
      <c r="G1530" s="189" t="s">
        <v>94</v>
      </c>
    </row>
    <row r="1531" customFormat="false" ht="15" hidden="false" customHeight="false" outlineLevel="0" collapsed="false">
      <c r="A1531" s="197" t="n">
        <v>46094</v>
      </c>
      <c r="B1531" s="191"/>
      <c r="C1531" s="190" t="s">
        <v>1603</v>
      </c>
      <c r="D1531" s="191" t="n">
        <v>559484201567</v>
      </c>
      <c r="E1531" s="190" t="s">
        <v>1604</v>
      </c>
      <c r="F1531" s="192" t="n">
        <f aca="false">SUMIF(ENTRADAS!F:F,CLIENTES_PCBR[[#This Row],[TELEFONO]],ENTRADAS!C:C)</f>
        <v>150</v>
      </c>
      <c r="G1531" s="189" t="s">
        <v>94</v>
      </c>
    </row>
    <row r="1532" customFormat="false" ht="15" hidden="false" customHeight="false" outlineLevel="0" collapsed="false">
      <c r="A1532" s="197" t="n">
        <v>46094</v>
      </c>
      <c r="B1532" s="191"/>
      <c r="C1532" s="190" t="s">
        <v>1606</v>
      </c>
      <c r="D1532" s="191" t="n">
        <v>554192047427</v>
      </c>
      <c r="F1532" s="192" t="n">
        <f aca="false">SUMIF(ENTRADAS!F:F,CLIENTES_PCBR[[#This Row],[TELEFONO]],ENTRADAS!C:C)</f>
        <v>197</v>
      </c>
      <c r="G1532" s="189" t="s">
        <v>94</v>
      </c>
    </row>
    <row r="1533" customFormat="false" ht="15" hidden="false" customHeight="false" outlineLevel="0" collapsed="false">
      <c r="A1533" s="197" t="n">
        <v>46094</v>
      </c>
      <c r="B1533" s="191"/>
      <c r="C1533" s="190" t="s">
        <v>1609</v>
      </c>
      <c r="D1533" s="191" t="n">
        <v>559581046851</v>
      </c>
      <c r="F1533" s="192" t="n">
        <f aca="false">SUMIF(ENTRADAS!F:F,CLIENTES_PCBR[[#This Row],[TELEFONO]],ENTRADAS!C:C)</f>
        <v>150</v>
      </c>
      <c r="G1533" s="189" t="s">
        <v>94</v>
      </c>
    </row>
    <row r="1534" customFormat="false" ht="15" hidden="false" customHeight="false" outlineLevel="0" collapsed="false">
      <c r="A1534" s="197" t="n">
        <v>46094</v>
      </c>
      <c r="B1534" s="191"/>
      <c r="C1534" s="190" t="s">
        <v>1614</v>
      </c>
      <c r="D1534" s="191" t="n">
        <v>554199684888</v>
      </c>
      <c r="E1534" s="190" t="s">
        <v>1615</v>
      </c>
      <c r="F1534" s="192" t="n">
        <f aca="false">SUMIF(ENTRADAS!F:F,CLIENTES_PCBR[[#This Row],[TELEFONO]],ENTRADAS!C:C)</f>
        <v>294</v>
      </c>
      <c r="G1534" s="189" t="s">
        <v>94</v>
      </c>
    </row>
    <row r="1535" customFormat="false" ht="15" hidden="false" customHeight="false" outlineLevel="0" collapsed="false">
      <c r="A1535" s="197" t="n">
        <v>46094</v>
      </c>
      <c r="B1535" s="191"/>
      <c r="C1535" s="190" t="s">
        <v>1618</v>
      </c>
      <c r="D1535" s="191" t="n">
        <v>559684135194</v>
      </c>
      <c r="E1535" s="190" t="s">
        <v>1619</v>
      </c>
      <c r="F1535" s="192" t="n">
        <f aca="false">SUMIF(ENTRADAS!F:F,CLIENTES_PCBR[[#This Row],[TELEFONO]],ENTRADAS!C:C)</f>
        <v>150</v>
      </c>
      <c r="G1535" s="189" t="s">
        <v>94</v>
      </c>
    </row>
    <row r="1536" customFormat="false" ht="15" hidden="false" customHeight="false" outlineLevel="0" collapsed="false">
      <c r="A1536" s="197" t="n">
        <v>46094</v>
      </c>
      <c r="B1536" s="191"/>
      <c r="C1536" s="190" t="s">
        <v>1622</v>
      </c>
      <c r="D1536" s="191" t="n">
        <v>5353645608</v>
      </c>
      <c r="E1536" s="190" t="s">
        <v>1623</v>
      </c>
      <c r="F1536" s="192" t="n">
        <f aca="false">SUMIF(ENTRADAS!F:F,CLIENTES_PCBR[[#This Row],[TELEFONO]],ENTRADAS!C:C)</f>
        <v>120</v>
      </c>
      <c r="G1536" s="189" t="s">
        <v>94</v>
      </c>
    </row>
    <row r="1537" customFormat="false" ht="15" hidden="false" customHeight="false" outlineLevel="0" collapsed="false">
      <c r="A1537" s="197" t="n">
        <v>46094</v>
      </c>
      <c r="B1537" s="191"/>
      <c r="C1537" s="190" t="s">
        <v>1624</v>
      </c>
      <c r="D1537" s="191" t="n">
        <v>554197024987</v>
      </c>
      <c r="E1537" s="190" t="s">
        <v>1625</v>
      </c>
      <c r="F1537" s="192" t="n">
        <f aca="false">SUMIF(ENTRADAS!F:F,CLIENTES_PCBR[[#This Row],[TELEFONO]],ENTRADAS!C:C)</f>
        <v>120</v>
      </c>
      <c r="G1537" s="189" t="s">
        <v>94</v>
      </c>
    </row>
    <row r="1538" customFormat="false" ht="15" hidden="false" customHeight="false" outlineLevel="0" collapsed="false">
      <c r="A1538" s="197" t="n">
        <v>46094</v>
      </c>
      <c r="B1538" s="191"/>
      <c r="C1538" s="190" t="s">
        <v>1628</v>
      </c>
      <c r="D1538" s="191" t="n">
        <v>5511962853945</v>
      </c>
      <c r="F1538" s="192" t="n">
        <f aca="false">SUMIF(ENTRADAS!F:F,CLIENTES_PCBR[[#This Row],[TELEFONO]],ENTRADAS!C:C)</f>
        <v>150</v>
      </c>
      <c r="G1538" s="189" t="s">
        <v>94</v>
      </c>
    </row>
    <row r="1539" customFormat="false" ht="15" hidden="false" customHeight="false" outlineLevel="0" collapsed="false">
      <c r="A1539" s="197" t="n">
        <v>46094</v>
      </c>
      <c r="B1539" s="191"/>
      <c r="C1539" s="190" t="s">
        <v>1631</v>
      </c>
      <c r="D1539" s="191" t="n">
        <v>553397017278</v>
      </c>
      <c r="F1539" s="192" t="n">
        <f aca="false">SUMIF(ENTRADAS!F:F,CLIENTES_PCBR[[#This Row],[TELEFONO]],ENTRADAS!C:C)</f>
        <v>150</v>
      </c>
      <c r="G1539" s="189" t="s">
        <v>94</v>
      </c>
    </row>
    <row r="1540" customFormat="false" ht="15" hidden="false" customHeight="false" outlineLevel="0" collapsed="false">
      <c r="A1540" s="197" t="n">
        <v>46094</v>
      </c>
      <c r="B1540" s="191"/>
      <c r="C1540" s="190" t="s">
        <v>1634</v>
      </c>
      <c r="D1540" s="191" t="n">
        <v>554797946128</v>
      </c>
      <c r="E1540" s="190" t="s">
        <v>1635</v>
      </c>
      <c r="F1540" s="192" t="n">
        <f aca="false">SUMIF(ENTRADAS!F:F,CLIENTES_PCBR[[#This Row],[TELEFONO]],ENTRADAS!C:C)</f>
        <v>687</v>
      </c>
      <c r="G1540" s="189" t="s">
        <v>94</v>
      </c>
    </row>
    <row r="1541" customFormat="false" ht="15" hidden="false" customHeight="false" outlineLevel="0" collapsed="false">
      <c r="A1541" s="197" t="n">
        <v>46094</v>
      </c>
      <c r="B1541" s="191"/>
      <c r="C1541" s="190" t="s">
        <v>1642</v>
      </c>
      <c r="D1541" s="191" t="n">
        <v>554195873308</v>
      </c>
      <c r="E1541" s="190" t="s">
        <v>1643</v>
      </c>
      <c r="F1541" s="192" t="n">
        <f aca="false">SUMIF(ENTRADAS!F:F,CLIENTES_PCBR[[#This Row],[TELEFONO]],ENTRADAS!C:C)</f>
        <v>60</v>
      </c>
      <c r="G1541" s="189" t="s">
        <v>94</v>
      </c>
    </row>
    <row r="1542" customFormat="false" ht="15" hidden="false" customHeight="false" outlineLevel="0" collapsed="false">
      <c r="A1542" s="197" t="n">
        <v>46095</v>
      </c>
      <c r="B1542" s="191"/>
      <c r="C1542" s="190" t="s">
        <v>1646</v>
      </c>
      <c r="D1542" s="191" t="n">
        <v>5514997514747</v>
      </c>
      <c r="E1542" s="190" t="s">
        <v>1647</v>
      </c>
      <c r="F1542" s="192" t="n">
        <f aca="false">SUMIF(ENTRADAS!F:F,CLIENTES_PCBR[[#This Row],[TELEFONO]],ENTRADAS!C:C)</f>
        <v>480</v>
      </c>
      <c r="G1542" s="189" t="s">
        <v>94</v>
      </c>
    </row>
    <row r="1543" customFormat="false" ht="15" hidden="false" customHeight="false" outlineLevel="0" collapsed="false">
      <c r="A1543" s="197" t="n">
        <v>46094</v>
      </c>
      <c r="B1543" s="191"/>
      <c r="C1543" s="190" t="s">
        <v>1649</v>
      </c>
      <c r="D1543" s="191" t="n">
        <v>554188195394</v>
      </c>
      <c r="E1543" s="190" t="s">
        <v>1650</v>
      </c>
      <c r="F1543" s="192" t="n">
        <f aca="false">SUMIF(ENTRADAS!F:F,CLIENTES_PCBR[[#This Row],[TELEFONO]],ENTRADAS!C:C)</f>
        <v>147</v>
      </c>
      <c r="G1543" s="189" t="s">
        <v>94</v>
      </c>
    </row>
    <row r="1544" customFormat="false" ht="15" hidden="false" customHeight="false" outlineLevel="0" collapsed="false">
      <c r="A1544" s="197" t="n">
        <v>46094</v>
      </c>
      <c r="B1544" s="191"/>
      <c r="C1544" s="190" t="s">
        <v>1652</v>
      </c>
      <c r="D1544" s="191" t="n">
        <v>556281066019</v>
      </c>
      <c r="E1544" s="190" t="s">
        <v>1653</v>
      </c>
      <c r="F1544" s="192" t="n">
        <f aca="false">SUMIF(ENTRADAS!F:F,CLIENTES_PCBR[[#This Row],[TELEFONO]],ENTRADAS!C:C)</f>
        <v>642</v>
      </c>
      <c r="G1544" s="189" t="s">
        <v>94</v>
      </c>
    </row>
    <row r="1545" customFormat="false" ht="15" hidden="false" customHeight="false" outlineLevel="0" collapsed="false">
      <c r="A1545" s="197" t="n">
        <v>46094</v>
      </c>
      <c r="B1545" s="191"/>
      <c r="C1545" s="190" t="s">
        <v>1655</v>
      </c>
      <c r="D1545" s="191" t="n">
        <v>5554933002353</v>
      </c>
      <c r="E1545" s="190" t="s">
        <v>1656</v>
      </c>
      <c r="F1545" s="192" t="n">
        <f aca="false">SUMIF(ENTRADAS!F:F,CLIENTES_PCBR[[#This Row],[TELEFONO]],ENTRADAS!C:C)</f>
        <v>147</v>
      </c>
      <c r="G1545" s="189" t="s">
        <v>94</v>
      </c>
    </row>
    <row r="1546" customFormat="false" ht="15" hidden="false" customHeight="false" outlineLevel="0" collapsed="false">
      <c r="A1546" s="197" t="n">
        <v>46095</v>
      </c>
      <c r="B1546" s="191"/>
      <c r="C1546" s="190" t="s">
        <v>1658</v>
      </c>
      <c r="D1546" s="191" t="n">
        <v>554196154328</v>
      </c>
      <c r="E1546" s="190" t="s">
        <v>1659</v>
      </c>
      <c r="F1546" s="192" t="n">
        <f aca="false">SUMIF(ENTRADAS!F:F,CLIENTES_PCBR[[#This Row],[TELEFONO]],ENTRADAS!C:C)</f>
        <v>150</v>
      </c>
      <c r="G1546" s="189" t="s">
        <v>94</v>
      </c>
    </row>
    <row r="1547" customFormat="false" ht="15" hidden="false" customHeight="false" outlineLevel="0" collapsed="false">
      <c r="A1547" s="197" t="n">
        <v>46095</v>
      </c>
      <c r="B1547" s="191"/>
      <c r="C1547" s="190" t="s">
        <v>1662</v>
      </c>
      <c r="D1547" s="191" t="n">
        <v>553499432464</v>
      </c>
      <c r="E1547" s="190" t="s">
        <v>1663</v>
      </c>
      <c r="F1547" s="192" t="n">
        <f aca="false">SUMIF(ENTRADAS!F:F,CLIENTES_PCBR[[#This Row],[TELEFONO]],ENTRADAS!C:C)</f>
        <v>620</v>
      </c>
      <c r="G1547" s="189" t="s">
        <v>94</v>
      </c>
    </row>
    <row r="1548" customFormat="false" ht="15" hidden="false" customHeight="false" outlineLevel="0" collapsed="false">
      <c r="A1548" s="197" t="n">
        <v>46097</v>
      </c>
      <c r="B1548" s="191"/>
      <c r="C1548" s="190" t="s">
        <v>1667</v>
      </c>
      <c r="D1548" s="191" t="n">
        <v>555181489643</v>
      </c>
      <c r="E1548" s="190" t="s">
        <v>1668</v>
      </c>
      <c r="F1548" s="192" t="n">
        <f aca="false">SUMIF(ENTRADAS!F:F,CLIENTES_PCBR[[#This Row],[TELEFONO]],ENTRADAS!C:C)</f>
        <v>150</v>
      </c>
      <c r="G1548" s="189" t="s">
        <v>94</v>
      </c>
    </row>
    <row r="1549" customFormat="false" ht="15" hidden="false" customHeight="false" outlineLevel="0" collapsed="false">
      <c r="A1549" s="197" t="n">
        <v>46097</v>
      </c>
      <c r="B1549" s="191"/>
      <c r="C1549" s="190" t="s">
        <v>1670</v>
      </c>
      <c r="D1549" s="191" t="n">
        <v>554896146544</v>
      </c>
      <c r="E1549" s="190" t="s">
        <v>1671</v>
      </c>
      <c r="F1549" s="192" t="n">
        <f aca="false">SUMIF(ENTRADAS!F:F,CLIENTES_PCBR[[#This Row],[TELEFONO]],ENTRADAS!C:C)</f>
        <v>147</v>
      </c>
      <c r="G1549" s="189" t="s">
        <v>94</v>
      </c>
    </row>
    <row r="1550" customFormat="false" ht="15" hidden="false" customHeight="false" outlineLevel="0" collapsed="false">
      <c r="A1550" s="197" t="n">
        <v>46097</v>
      </c>
      <c r="B1550" s="191"/>
      <c r="C1550" s="190" t="s">
        <v>1673</v>
      </c>
      <c r="D1550" s="191" t="n">
        <v>559591232996</v>
      </c>
      <c r="E1550" s="190" t="s">
        <v>1674</v>
      </c>
      <c r="F1550" s="192" t="n">
        <f aca="false">SUMIF(ENTRADAS!F:F,CLIENTES_PCBR[[#This Row],[TELEFONO]],ENTRADAS!C:C)</f>
        <v>852</v>
      </c>
      <c r="G1550" s="189" t="s">
        <v>94</v>
      </c>
    </row>
    <row r="1551" customFormat="false" ht="15" hidden="false" customHeight="false" outlineLevel="0" collapsed="false">
      <c r="A1551" s="197" t="n">
        <v>46095</v>
      </c>
      <c r="B1551" s="191"/>
      <c r="C1551" s="190" t="s">
        <v>1676</v>
      </c>
      <c r="D1551" s="191" t="n">
        <v>556799952165</v>
      </c>
      <c r="F1551" s="192" t="n">
        <f aca="false">SUMIF(ENTRADAS!F:F,CLIENTES_PCBR[[#This Row],[TELEFONO]],ENTRADAS!C:C)</f>
        <v>330</v>
      </c>
      <c r="G1551" s="189" t="s">
        <v>94</v>
      </c>
    </row>
    <row r="1552" customFormat="false" ht="15" hidden="false" customHeight="false" outlineLevel="0" collapsed="false">
      <c r="A1552" s="197" t="n">
        <v>46096</v>
      </c>
      <c r="B1552" s="191"/>
      <c r="C1552" s="190" t="s">
        <v>1678</v>
      </c>
      <c r="D1552" s="191" t="n">
        <v>554591459833</v>
      </c>
      <c r="E1552" s="190" t="s">
        <v>1679</v>
      </c>
      <c r="F1552" s="192" t="n">
        <f aca="false">SUMIF(ENTRADAS!F:F,CLIENTES_PCBR[[#This Row],[TELEFONO]],ENTRADAS!C:C)</f>
        <v>267</v>
      </c>
      <c r="G1552" s="189" t="s">
        <v>94</v>
      </c>
    </row>
    <row r="1553" customFormat="false" ht="15" hidden="false" customHeight="false" outlineLevel="0" collapsed="false">
      <c r="A1553" s="197" t="n">
        <v>46097</v>
      </c>
      <c r="B1553" s="191"/>
      <c r="C1553" s="190" t="s">
        <v>1681</v>
      </c>
      <c r="D1553" s="191" t="n">
        <v>5512981378624</v>
      </c>
      <c r="E1553" s="190" t="s">
        <v>1682</v>
      </c>
      <c r="F1553" s="192" t="n">
        <f aca="false">SUMIF(ENTRADAS!F:F,CLIENTES_PCBR[[#This Row],[TELEFONO]],ENTRADAS!C:C)</f>
        <v>750</v>
      </c>
      <c r="G1553" s="189" t="s">
        <v>94</v>
      </c>
    </row>
    <row r="1554" customFormat="false" ht="15" hidden="false" customHeight="false" outlineLevel="0" collapsed="false">
      <c r="A1554" s="197" t="n">
        <v>46097</v>
      </c>
      <c r="B1554" s="191"/>
      <c r="C1554" s="190" t="s">
        <v>1685</v>
      </c>
      <c r="D1554" s="191" t="n">
        <v>556281656833</v>
      </c>
      <c r="E1554" s="190" t="s">
        <v>1686</v>
      </c>
      <c r="F1554" s="192" t="n">
        <f aca="false">SUMIF(ENTRADAS!F:F,CLIENTES_PCBR[[#This Row],[TELEFONO]],ENTRADAS!C:C)</f>
        <v>600</v>
      </c>
      <c r="G1554" s="189" t="s">
        <v>94</v>
      </c>
    </row>
    <row r="1555" customFormat="false" ht="15" hidden="false" customHeight="false" outlineLevel="0" collapsed="false">
      <c r="A1555" s="197" t="n">
        <v>46097</v>
      </c>
      <c r="B1555" s="191"/>
      <c r="C1555" s="190" t="s">
        <v>1692</v>
      </c>
      <c r="D1555" s="191" t="n">
        <v>5511981375920</v>
      </c>
      <c r="E1555" s="190" t="s">
        <v>1693</v>
      </c>
      <c r="F1555" s="192" t="n">
        <f aca="false">SUMIF(ENTRADAS!F:F,CLIENTES_PCBR[[#This Row],[TELEFONO]],ENTRADAS!C:C)</f>
        <v>240</v>
      </c>
      <c r="G1555" s="189" t="s">
        <v>94</v>
      </c>
    </row>
    <row r="1556" customFormat="false" ht="15" hidden="false" customHeight="false" outlineLevel="0" collapsed="false">
      <c r="A1556" s="197" t="n">
        <v>46097</v>
      </c>
      <c r="B1556" s="191"/>
      <c r="C1556" s="190" t="s">
        <v>1695</v>
      </c>
      <c r="D1556" s="191" t="n">
        <v>554197259591</v>
      </c>
      <c r="E1556" s="190" t="s">
        <v>1696</v>
      </c>
      <c r="F1556" s="192" t="n">
        <f aca="false">SUMIF(ENTRADAS!F:F,CLIENTES_PCBR[[#This Row],[TELEFONO]],ENTRADAS!C:C)</f>
        <v>240</v>
      </c>
      <c r="G1556" s="189" t="s">
        <v>94</v>
      </c>
    </row>
    <row r="1557" customFormat="false" ht="15" hidden="false" customHeight="false" outlineLevel="0" collapsed="false">
      <c r="A1557" s="197" t="n">
        <v>46097</v>
      </c>
      <c r="B1557" s="191"/>
      <c r="C1557" s="190" t="s">
        <v>1702</v>
      </c>
      <c r="D1557" s="191" t="n">
        <v>559584406992</v>
      </c>
      <c r="E1557" s="190" t="s">
        <v>1703</v>
      </c>
      <c r="F1557" s="192" t="n">
        <f aca="false">SUMIF(ENTRADAS!F:F,CLIENTES_PCBR[[#This Row],[TELEFONO]],ENTRADAS!C:C)</f>
        <v>97</v>
      </c>
      <c r="G1557" s="189" t="s">
        <v>94</v>
      </c>
    </row>
    <row r="1558" customFormat="false" ht="15" hidden="false" customHeight="false" outlineLevel="0" collapsed="false">
      <c r="A1558" s="197" t="n">
        <v>46097</v>
      </c>
      <c r="B1558" s="191"/>
      <c r="C1558" s="190" t="s">
        <v>1710</v>
      </c>
      <c r="D1558" s="191" t="n">
        <v>554196168782</v>
      </c>
      <c r="E1558" s="190" t="s">
        <v>1711</v>
      </c>
      <c r="F1558" s="192" t="n">
        <f aca="false">SUMIF(ENTRADAS!F:F,CLIENTES_PCBR[[#This Row],[TELEFONO]],ENTRADAS!C:C)</f>
        <v>150</v>
      </c>
      <c r="G1558" s="189" t="s">
        <v>94</v>
      </c>
    </row>
    <row r="1559" customFormat="false" ht="15" hidden="false" customHeight="false" outlineLevel="0" collapsed="false">
      <c r="A1559" s="197" t="n">
        <v>46097</v>
      </c>
      <c r="B1559" s="191"/>
      <c r="C1559" s="190" t="s">
        <v>1714</v>
      </c>
      <c r="D1559" s="191" t="n">
        <v>555481044944</v>
      </c>
      <c r="E1559" s="190" t="s">
        <v>1715</v>
      </c>
      <c r="F1559" s="192" t="n">
        <f aca="false">SUMIF(ENTRADAS!F:F,CLIENTES_PCBR[[#This Row],[TELEFONO]],ENTRADAS!C:C)</f>
        <v>300</v>
      </c>
      <c r="G1559" s="189" t="s">
        <v>94</v>
      </c>
    </row>
    <row r="1560" customFormat="false" ht="15" hidden="false" customHeight="false" outlineLevel="0" collapsed="false">
      <c r="A1560" s="197" t="n">
        <v>46097</v>
      </c>
      <c r="B1560" s="191"/>
      <c r="C1560" s="190" t="s">
        <v>1718</v>
      </c>
      <c r="D1560" s="191" t="n">
        <v>5354629954</v>
      </c>
      <c r="E1560" s="190" t="s">
        <v>1719</v>
      </c>
      <c r="F1560" s="192" t="n">
        <f aca="false">SUMIF(ENTRADAS!F:F,CLIENTES_PCBR[[#This Row],[TELEFONO]],ENTRADAS!C:C)</f>
        <v>150</v>
      </c>
      <c r="G1560" s="189" t="s">
        <v>94</v>
      </c>
    </row>
    <row r="1561" customFormat="false" ht="15" hidden="false" customHeight="false" outlineLevel="0" collapsed="false">
      <c r="A1561" s="197" t="n">
        <v>46097</v>
      </c>
      <c r="B1561" s="191"/>
      <c r="C1561" s="190" t="s">
        <v>1728</v>
      </c>
      <c r="D1561" s="191" t="n">
        <v>554199071114</v>
      </c>
      <c r="E1561" s="190" t="s">
        <v>1729</v>
      </c>
      <c r="F1561" s="192" t="n">
        <f aca="false">SUMIF(ENTRADAS!F:F,CLIENTES_PCBR[[#This Row],[TELEFONO]],ENTRADAS!C:C)</f>
        <v>150</v>
      </c>
      <c r="G1561" s="189" t="s">
        <v>94</v>
      </c>
    </row>
    <row r="1562" customFormat="false" ht="15" hidden="false" customHeight="false" outlineLevel="0" collapsed="false">
      <c r="A1562" s="197" t="n">
        <v>46097</v>
      </c>
      <c r="B1562" s="191"/>
      <c r="C1562" s="190" t="s">
        <v>1731</v>
      </c>
      <c r="D1562" s="191" t="n">
        <v>554198690517</v>
      </c>
      <c r="E1562" s="190" t="s">
        <v>1732</v>
      </c>
      <c r="F1562" s="192" t="n">
        <f aca="false">SUMIF(ENTRADAS!F:F,CLIENTES_PCBR[[#This Row],[TELEFONO]],ENTRADAS!C:C)</f>
        <v>294</v>
      </c>
      <c r="G1562" s="189" t="s">
        <v>94</v>
      </c>
    </row>
    <row r="1563" customFormat="false" ht="15" hidden="false" customHeight="false" outlineLevel="0" collapsed="false">
      <c r="A1563" s="197" t="n">
        <v>46098</v>
      </c>
      <c r="B1563" s="191"/>
      <c r="C1563" s="190" t="s">
        <v>1734</v>
      </c>
      <c r="D1563" s="191" t="n">
        <v>556692637187</v>
      </c>
      <c r="E1563" s="190" t="s">
        <v>1735</v>
      </c>
      <c r="F1563" s="192" t="n">
        <f aca="false">SUMIF(ENTRADAS!F:F,CLIENTES_PCBR[[#This Row],[TELEFONO]],ENTRADAS!C:C)</f>
        <v>450</v>
      </c>
      <c r="G1563" s="189" t="s">
        <v>94</v>
      </c>
    </row>
    <row r="1564" customFormat="false" ht="15" hidden="false" customHeight="false" outlineLevel="0" collapsed="false">
      <c r="A1564" s="197" t="n">
        <v>46098</v>
      </c>
      <c r="B1564" s="191"/>
      <c r="C1564" s="190" t="s">
        <v>1738</v>
      </c>
      <c r="D1564" s="191" t="n">
        <v>554195831409</v>
      </c>
      <c r="E1564" s="190" t="s">
        <v>1739</v>
      </c>
      <c r="F1564" s="192" t="n">
        <f aca="false">SUMIF(ENTRADAS!F:F,CLIENTES_PCBR[[#This Row],[TELEFONO]],ENTRADAS!C:C)</f>
        <v>150</v>
      </c>
      <c r="G1564" s="189" t="s">
        <v>94</v>
      </c>
    </row>
    <row r="1565" customFormat="false" ht="15" hidden="false" customHeight="false" outlineLevel="0" collapsed="false">
      <c r="A1565" s="197" t="n">
        <v>46098</v>
      </c>
      <c r="B1565" s="191"/>
      <c r="C1565" s="190" t="s">
        <v>1741</v>
      </c>
      <c r="D1565" s="191" t="n">
        <v>554187387956</v>
      </c>
      <c r="E1565" s="190" t="s">
        <v>1742</v>
      </c>
      <c r="F1565" s="192" t="n">
        <f aca="false">SUMIF(ENTRADAS!F:F,CLIENTES_PCBR[[#This Row],[TELEFONO]],ENTRADAS!C:C)</f>
        <v>270</v>
      </c>
      <c r="G1565" s="189" t="s">
        <v>94</v>
      </c>
    </row>
    <row r="1566" customFormat="false" ht="15" hidden="false" customHeight="false" outlineLevel="0" collapsed="false">
      <c r="A1566" s="197" t="n">
        <v>46098</v>
      </c>
      <c r="B1566" s="191"/>
      <c r="C1566" s="190" t="s">
        <v>1745</v>
      </c>
      <c r="D1566" s="191" t="n">
        <v>553173657197</v>
      </c>
      <c r="E1566" s="190" t="s">
        <v>1746</v>
      </c>
      <c r="F1566" s="192" t="n">
        <f aca="false">SUMIF(ENTRADAS!F:F,CLIENTES_PCBR[[#This Row],[TELEFONO]],ENTRADAS!C:C)</f>
        <v>150</v>
      </c>
      <c r="G1566" s="189" t="s">
        <v>94</v>
      </c>
    </row>
    <row r="1567" customFormat="false" ht="15" hidden="false" customHeight="false" outlineLevel="0" collapsed="false">
      <c r="A1567" s="197" t="n">
        <v>46098</v>
      </c>
      <c r="B1567" s="191"/>
      <c r="C1567" s="190" t="s">
        <v>1748</v>
      </c>
      <c r="D1567" s="191" t="n">
        <v>559584093409</v>
      </c>
      <c r="E1567" s="190" t="s">
        <v>1749</v>
      </c>
      <c r="F1567" s="192" t="n">
        <f aca="false">SUMIF(ENTRADAS!F:F,CLIENTES_PCBR[[#This Row],[TELEFONO]],ENTRADAS!C:C)</f>
        <v>120</v>
      </c>
      <c r="G1567" s="189" t="s">
        <v>94</v>
      </c>
    </row>
    <row r="1568" customFormat="false" ht="15" hidden="false" customHeight="false" outlineLevel="0" collapsed="false">
      <c r="A1568" s="197" t="n">
        <v>46098</v>
      </c>
      <c r="B1568" s="191"/>
      <c r="C1568" s="190" t="s">
        <v>1751</v>
      </c>
      <c r="D1568" s="191" t="n">
        <v>554197054059</v>
      </c>
      <c r="F1568" s="192" t="n">
        <f aca="false">SUMIF(ENTRADAS!F:F,CLIENTES_PCBR[[#This Row],[TELEFONO]],ENTRADAS!C:C)</f>
        <v>50</v>
      </c>
      <c r="G1568" s="189" t="s">
        <v>94</v>
      </c>
    </row>
    <row r="1569" customFormat="false" ht="15" hidden="false" customHeight="false" outlineLevel="0" collapsed="false">
      <c r="A1569" s="197" t="n">
        <v>46098</v>
      </c>
      <c r="B1569" s="191"/>
      <c r="C1569" s="190" t="s">
        <v>1755</v>
      </c>
      <c r="D1569" s="191" t="n">
        <v>556182059813</v>
      </c>
      <c r="E1569" s="190" t="s">
        <v>1756</v>
      </c>
      <c r="F1569" s="192" t="n">
        <f aca="false">SUMIF(ENTRADAS!F:F,CLIENTES_PCBR[[#This Row],[TELEFONO]],ENTRADAS!C:C)</f>
        <v>150</v>
      </c>
      <c r="G1569" s="189" t="s">
        <v>94</v>
      </c>
    </row>
    <row r="1570" customFormat="false" ht="15" hidden="false" customHeight="false" outlineLevel="0" collapsed="false">
      <c r="A1570" s="197" t="n">
        <v>46098</v>
      </c>
      <c r="B1570" s="191"/>
      <c r="C1570" s="190" t="s">
        <v>1762</v>
      </c>
      <c r="D1570" s="191" t="n">
        <v>5355629785</v>
      </c>
      <c r="E1570" s="190" t="s">
        <v>668</v>
      </c>
      <c r="F1570" s="192" t="n">
        <f aca="false">SUMIF(ENTRADAS!F:F,CLIENTES_PCBR[[#This Row],[TELEFONO]],ENTRADAS!C:C)</f>
        <v>60</v>
      </c>
      <c r="G1570" s="189" t="s">
        <v>94</v>
      </c>
    </row>
    <row r="1571" customFormat="false" ht="15" hidden="false" customHeight="false" outlineLevel="0" collapsed="false">
      <c r="A1571" s="197" t="n">
        <v>46098</v>
      </c>
      <c r="B1571" s="191"/>
      <c r="C1571" s="190" t="s">
        <v>1765</v>
      </c>
      <c r="D1571" s="191" t="n">
        <v>554195034361</v>
      </c>
      <c r="E1571" s="190" t="s">
        <v>1766</v>
      </c>
      <c r="F1571" s="192" t="n">
        <f aca="false">SUMIF(ENTRADAS!F:F,CLIENTES_PCBR[[#This Row],[TELEFONO]],ENTRADAS!C:C)</f>
        <v>197</v>
      </c>
      <c r="G1571" s="189" t="s">
        <v>94</v>
      </c>
    </row>
    <row r="1572" customFormat="false" ht="15" hidden="false" customHeight="false" outlineLevel="0" collapsed="false">
      <c r="A1572" s="197" t="n">
        <v>46099</v>
      </c>
      <c r="B1572" s="191"/>
      <c r="C1572" s="190" t="s">
        <v>1771</v>
      </c>
      <c r="D1572" s="191" t="n">
        <v>554185042577</v>
      </c>
      <c r="E1572" s="190" t="s">
        <v>1772</v>
      </c>
      <c r="F1572" s="192" t="n">
        <f aca="false">SUMIF(ENTRADAS!F:F,CLIENTES_PCBR[[#This Row],[TELEFONO]],ENTRADAS!C:C)</f>
        <v>150</v>
      </c>
      <c r="G1572" s="189" t="s">
        <v>94</v>
      </c>
    </row>
    <row r="1573" customFormat="false" ht="15" hidden="false" customHeight="false" outlineLevel="0" collapsed="false">
      <c r="A1573" s="197" t="n">
        <v>46099</v>
      </c>
      <c r="B1573" s="191"/>
      <c r="C1573" s="190" t="s">
        <v>1774</v>
      </c>
      <c r="D1573" s="191" t="n">
        <v>5515997985942</v>
      </c>
      <c r="E1573" s="190" t="s">
        <v>1775</v>
      </c>
      <c r="F1573" s="192" t="n">
        <f aca="false">SUMIF(ENTRADAS!F:F,CLIENTES_PCBR[[#This Row],[TELEFONO]],ENTRADAS!C:C)</f>
        <v>357</v>
      </c>
      <c r="G1573" s="189" t="s">
        <v>94</v>
      </c>
    </row>
    <row r="1574" customFormat="false" ht="15" hidden="false" customHeight="false" outlineLevel="0" collapsed="false">
      <c r="A1574" s="197" t="n">
        <v>46099</v>
      </c>
      <c r="B1574" s="191"/>
      <c r="C1574" s="190" t="s">
        <v>1777</v>
      </c>
      <c r="D1574" s="191" t="n">
        <v>554191678109</v>
      </c>
      <c r="E1574" s="190" t="s">
        <v>1778</v>
      </c>
      <c r="F1574" s="192" t="n">
        <f aca="false">SUMIF(ENTRADAS!F:F,CLIENTES_PCBR[[#This Row],[TELEFONO]],ENTRADAS!C:C)</f>
        <v>120</v>
      </c>
      <c r="G1574" s="189" t="s">
        <v>94</v>
      </c>
    </row>
    <row r="1575" customFormat="false" ht="15" hidden="false" customHeight="false" outlineLevel="0" collapsed="false">
      <c r="A1575" s="197" t="n">
        <v>46099</v>
      </c>
      <c r="B1575" s="191"/>
      <c r="C1575" s="190" t="s">
        <v>1783</v>
      </c>
      <c r="D1575" s="191" t="n">
        <v>554988392769</v>
      </c>
      <c r="E1575" s="190" t="s">
        <v>1784</v>
      </c>
      <c r="F1575" s="192" t="n">
        <f aca="false">SUMIF(ENTRADAS!F:F,CLIENTES_PCBR[[#This Row],[TELEFONO]],ENTRADAS!C:C)</f>
        <v>240</v>
      </c>
      <c r="G1575" s="189" t="s">
        <v>94</v>
      </c>
    </row>
    <row r="1576" customFormat="false" ht="15" hidden="false" customHeight="false" outlineLevel="0" collapsed="false">
      <c r="A1576" s="197" t="n">
        <v>46097</v>
      </c>
      <c r="B1576" s="191"/>
      <c r="C1576" s="190" t="s">
        <v>1787</v>
      </c>
      <c r="D1576" s="191" t="n">
        <v>5515997938402</v>
      </c>
      <c r="E1576" s="190" t="s">
        <v>1788</v>
      </c>
      <c r="F1576" s="192" t="n">
        <f aca="false">SUMIF(ENTRADAS!F:F,CLIENTES_PCBR[[#This Row],[TELEFONO]],ENTRADAS!C:C)</f>
        <v>294</v>
      </c>
      <c r="G1576" s="189" t="s">
        <v>94</v>
      </c>
    </row>
    <row r="1577" customFormat="false" ht="15" hidden="false" customHeight="false" outlineLevel="0" collapsed="false">
      <c r="A1577" s="197" t="n">
        <v>46099</v>
      </c>
      <c r="B1577" s="191"/>
      <c r="C1577" s="190" t="s">
        <v>1791</v>
      </c>
      <c r="D1577" s="191" t="n">
        <v>554184537514</v>
      </c>
      <c r="E1577" s="190" t="s">
        <v>1792</v>
      </c>
      <c r="F1577" s="192" t="n">
        <f aca="false">SUMIF(ENTRADAS!F:F,CLIENTES_PCBR[[#This Row],[TELEFONO]],ENTRADAS!C:C)</f>
        <v>45</v>
      </c>
      <c r="G1577" s="189" t="s">
        <v>94</v>
      </c>
    </row>
    <row r="1578" customFormat="false" ht="15" hidden="false" customHeight="false" outlineLevel="0" collapsed="false">
      <c r="A1578" s="197" t="n">
        <v>46099</v>
      </c>
      <c r="B1578" s="191"/>
      <c r="C1578" s="190" t="s">
        <v>1794</v>
      </c>
      <c r="D1578" s="191" t="n">
        <v>554896192290</v>
      </c>
      <c r="E1578" s="190" t="s">
        <v>1795</v>
      </c>
      <c r="F1578" s="192" t="n">
        <f aca="false">SUMIF(ENTRADAS!F:F,CLIENTES_PCBR[[#This Row],[TELEFONO]],ENTRADAS!C:C)</f>
        <v>150</v>
      </c>
      <c r="G1578" s="189" t="s">
        <v>94</v>
      </c>
    </row>
    <row r="1579" customFormat="false" ht="15" hidden="false" customHeight="false" outlineLevel="0" collapsed="false">
      <c r="A1579" s="197" t="n">
        <v>46099</v>
      </c>
      <c r="B1579" s="191"/>
      <c r="C1579" s="190" t="s">
        <v>1799</v>
      </c>
      <c r="D1579" s="191" t="n">
        <v>5516993411002</v>
      </c>
      <c r="E1579" s="190" t="s">
        <v>1800</v>
      </c>
      <c r="F1579" s="192" t="n">
        <f aca="false">SUMIF(ENTRADAS!F:F,CLIENTES_PCBR[[#This Row],[TELEFONO]],ENTRADAS!C:C)</f>
        <v>150</v>
      </c>
      <c r="G1579" s="189" t="s">
        <v>94</v>
      </c>
    </row>
    <row r="1580" customFormat="false" ht="15" hidden="false" customHeight="false" outlineLevel="0" collapsed="false">
      <c r="A1580" s="197" t="n">
        <v>46099</v>
      </c>
      <c r="B1580" s="191"/>
      <c r="C1580" s="190" t="s">
        <v>1809</v>
      </c>
      <c r="D1580" s="191" t="n">
        <v>554196104209</v>
      </c>
      <c r="E1580" s="190" t="s">
        <v>1810</v>
      </c>
      <c r="F1580" s="192" t="n">
        <f aca="false">SUMIF(ENTRADAS!F:F,CLIENTES_PCBR[[#This Row],[TELEFONO]],ENTRADAS!C:C)</f>
        <v>240</v>
      </c>
      <c r="G1580" s="189" t="s">
        <v>94</v>
      </c>
    </row>
    <row r="1581" customFormat="false" ht="15" hidden="false" customHeight="false" outlineLevel="0" collapsed="false">
      <c r="A1581" s="197" t="n">
        <v>46100</v>
      </c>
      <c r="B1581" s="191"/>
      <c r="C1581" s="190" t="s">
        <v>1812</v>
      </c>
      <c r="D1581" s="191" t="n">
        <v>554195428908</v>
      </c>
      <c r="E1581" s="190" t="s">
        <v>1813</v>
      </c>
      <c r="F1581" s="192" t="n">
        <f aca="false">SUMIF(ENTRADAS!F:F,CLIENTES_PCBR[[#This Row],[TELEFONO]],ENTRADAS!C:C)</f>
        <v>267</v>
      </c>
      <c r="G1581" s="189" t="s">
        <v>94</v>
      </c>
    </row>
    <row r="1582" customFormat="false" ht="15" hidden="false" customHeight="false" outlineLevel="0" collapsed="false">
      <c r="A1582" s="197" t="n">
        <v>46100</v>
      </c>
      <c r="B1582" s="191"/>
      <c r="C1582" s="190" t="s">
        <v>1816</v>
      </c>
      <c r="D1582" s="191" t="n">
        <v>554891901581</v>
      </c>
      <c r="F1582" s="192" t="n">
        <f aca="false">SUMIF(ENTRADAS!F:F,CLIENTES_PCBR[[#This Row],[TELEFONO]],ENTRADAS!C:C)</f>
        <v>120</v>
      </c>
      <c r="G1582" s="189" t="s">
        <v>94</v>
      </c>
    </row>
    <row r="1583" customFormat="false" ht="15" hidden="false" customHeight="false" outlineLevel="0" collapsed="false">
      <c r="A1583" s="197" t="n">
        <v>46100</v>
      </c>
      <c r="B1583" s="191"/>
      <c r="C1583" s="190" t="s">
        <v>1819</v>
      </c>
      <c r="D1583" s="191" t="n">
        <v>5527998262615</v>
      </c>
      <c r="F1583" s="192" t="n">
        <f aca="false">SUMIF(ENTRADAS!F:F,CLIENTES_PCBR[[#This Row],[TELEFONO]],ENTRADAS!C:C)</f>
        <v>150</v>
      </c>
      <c r="G1583" s="189" t="s">
        <v>94</v>
      </c>
    </row>
    <row r="1584" customFormat="false" ht="15" hidden="false" customHeight="false" outlineLevel="0" collapsed="false">
      <c r="A1584" s="197" t="n">
        <v>46099</v>
      </c>
      <c r="B1584" s="191"/>
      <c r="C1584" s="190" t="s">
        <v>1827</v>
      </c>
      <c r="D1584" s="191" t="n">
        <v>554198853152</v>
      </c>
      <c r="F1584" s="192" t="n">
        <f aca="false">SUMIF(ENTRADAS!F:F,CLIENTES_PCBR[[#This Row],[TELEFONO]],ENTRADAS!C:C)</f>
        <v>120</v>
      </c>
      <c r="G1584" s="189" t="s">
        <v>94</v>
      </c>
    </row>
    <row r="1585" customFormat="false" ht="15" hidden="false" customHeight="false" outlineLevel="0" collapsed="false">
      <c r="A1585" s="197" t="n">
        <v>46100</v>
      </c>
      <c r="B1585" s="191"/>
      <c r="C1585" s="190" t="s">
        <v>1830</v>
      </c>
      <c r="D1585" s="191" t="n">
        <v>554599167180</v>
      </c>
      <c r="E1585" s="190" t="s">
        <v>1831</v>
      </c>
      <c r="F1585" s="192" t="n">
        <f aca="false">SUMIF(ENTRADAS!F:F,CLIENTES_PCBR[[#This Row],[TELEFONO]],ENTRADAS!C:C)</f>
        <v>300</v>
      </c>
      <c r="G1585" s="189" t="s">
        <v>94</v>
      </c>
    </row>
    <row r="1586" customFormat="false" ht="15" hidden="false" customHeight="false" outlineLevel="0" collapsed="false">
      <c r="A1586" s="197" t="n">
        <v>46100</v>
      </c>
      <c r="B1586" s="191"/>
      <c r="C1586" s="190" t="s">
        <v>1833</v>
      </c>
      <c r="D1586" s="191" t="n">
        <v>5511968360356</v>
      </c>
      <c r="E1586" s="190" t="s">
        <v>1834</v>
      </c>
      <c r="F1586" s="192" t="n">
        <f aca="false">SUMIF(ENTRADAS!F:F,CLIENTES_PCBR[[#This Row],[TELEFONO]],ENTRADAS!C:C)</f>
        <v>147</v>
      </c>
      <c r="G1586" s="189" t="s">
        <v>94</v>
      </c>
    </row>
    <row r="1587" customFormat="false" ht="15" hidden="false" customHeight="false" outlineLevel="0" collapsed="false">
      <c r="A1587" s="197" t="n">
        <v>46100</v>
      </c>
      <c r="B1587" s="191"/>
      <c r="C1587" s="190" t="s">
        <v>1837</v>
      </c>
      <c r="D1587" s="191" t="n">
        <v>5354081128</v>
      </c>
      <c r="E1587" s="190" t="s">
        <v>1838</v>
      </c>
      <c r="F1587" s="192" t="n">
        <f aca="false">SUMIF(ENTRADAS!F:F,CLIENTES_PCBR[[#This Row],[TELEFONO]],ENTRADAS!C:C)</f>
        <v>800</v>
      </c>
      <c r="G1587" s="189" t="s">
        <v>94</v>
      </c>
    </row>
    <row r="1588" customFormat="false" ht="15" hidden="false" customHeight="false" outlineLevel="0" collapsed="false">
      <c r="A1588" s="197" t="n">
        <v>46100</v>
      </c>
      <c r="B1588" s="191"/>
      <c r="C1588" s="190" t="s">
        <v>1841</v>
      </c>
      <c r="D1588" s="191" t="n">
        <v>554899666491</v>
      </c>
      <c r="E1588" s="190" t="s">
        <v>1842</v>
      </c>
      <c r="F1588" s="192" t="n">
        <f aca="false">SUMIF(ENTRADAS!F:F,CLIENTES_PCBR[[#This Row],[TELEFONO]],ENTRADAS!C:C)</f>
        <v>291</v>
      </c>
      <c r="G1588" s="189" t="s">
        <v>94</v>
      </c>
    </row>
    <row r="1589" customFormat="false" ht="15" hidden="false" customHeight="false" outlineLevel="0" collapsed="false">
      <c r="A1589" s="197" t="n">
        <v>46099</v>
      </c>
      <c r="B1589" s="191"/>
      <c r="C1589" s="190" t="s">
        <v>1845</v>
      </c>
      <c r="D1589" s="191" t="n">
        <v>554195716705</v>
      </c>
      <c r="E1589" s="190" t="s">
        <v>1846</v>
      </c>
      <c r="F1589" s="192" t="n">
        <f aca="false">SUMIF(ENTRADAS!F:F,CLIENTES_PCBR[[#This Row],[TELEFONO]],ENTRADAS!C:C)</f>
        <v>194</v>
      </c>
      <c r="G1589" s="189" t="s">
        <v>94</v>
      </c>
    </row>
    <row r="1590" customFormat="false" ht="15" hidden="false" customHeight="false" outlineLevel="0" collapsed="false">
      <c r="A1590" s="197" t="n">
        <v>46100</v>
      </c>
      <c r="B1590" s="191"/>
      <c r="C1590" s="190" t="s">
        <v>1850</v>
      </c>
      <c r="D1590" s="191" t="n">
        <v>554899597391</v>
      </c>
      <c r="E1590" s="190" t="s">
        <v>1851</v>
      </c>
      <c r="F1590" s="192" t="n">
        <f aca="false">SUMIF(ENTRADAS!F:F,CLIENTES_PCBR[[#This Row],[TELEFONO]],ENTRADAS!C:C)</f>
        <v>1200</v>
      </c>
      <c r="G1590" s="189" t="s">
        <v>94</v>
      </c>
    </row>
    <row r="1591" customFormat="false" ht="15" hidden="false" customHeight="false" outlineLevel="0" collapsed="false">
      <c r="A1591" s="197" t="n">
        <v>46100</v>
      </c>
      <c r="B1591" s="191"/>
      <c r="C1591" s="190" t="s">
        <v>1853</v>
      </c>
      <c r="D1591" s="191" t="n">
        <v>5595984045583</v>
      </c>
      <c r="E1591" s="190" t="s">
        <v>1854</v>
      </c>
      <c r="F1591" s="192" t="n">
        <f aca="false">SUMIF(ENTRADAS!F:F,CLIENTES_PCBR[[#This Row],[TELEFONO]],ENTRADAS!C:C)</f>
        <v>60</v>
      </c>
      <c r="G1591" s="189" t="s">
        <v>94</v>
      </c>
    </row>
    <row r="1592" customFormat="false" ht="15" hidden="false" customHeight="false" outlineLevel="0" collapsed="false">
      <c r="A1592" s="197" t="n">
        <v>46100</v>
      </c>
      <c r="B1592" s="191"/>
      <c r="C1592" s="190" t="s">
        <v>1856</v>
      </c>
      <c r="D1592" s="191" t="n">
        <v>554588019937</v>
      </c>
      <c r="E1592" s="190" t="s">
        <v>1857</v>
      </c>
      <c r="F1592" s="192" t="n">
        <f aca="false">SUMIF(ENTRADAS!F:F,CLIENTES_PCBR[[#This Row],[TELEFONO]],ENTRADAS!C:C)</f>
        <v>147</v>
      </c>
      <c r="G1592" s="189" t="s">
        <v>94</v>
      </c>
    </row>
    <row r="1593" customFormat="false" ht="15" hidden="false" customHeight="false" outlineLevel="0" collapsed="false">
      <c r="A1593" s="197" t="n">
        <v>46100</v>
      </c>
      <c r="B1593" s="191"/>
      <c r="C1593" s="190" t="s">
        <v>1859</v>
      </c>
      <c r="D1593" s="191" t="n">
        <v>5511951653484</v>
      </c>
      <c r="E1593" s="190" t="s">
        <v>1860</v>
      </c>
      <c r="F1593" s="192" t="n">
        <f aca="false">SUMIF(ENTRADAS!F:F,CLIENTES_PCBR[[#This Row],[TELEFONO]],ENTRADAS!C:C)</f>
        <v>147</v>
      </c>
      <c r="G1593" s="189" t="s">
        <v>94</v>
      </c>
    </row>
    <row r="1594" customFormat="false" ht="15" hidden="false" customHeight="false" outlineLevel="0" collapsed="false">
      <c r="A1594" s="197" t="n">
        <v>46100</v>
      </c>
      <c r="B1594" s="191"/>
      <c r="C1594" s="190" t="s">
        <v>1867</v>
      </c>
      <c r="D1594" s="191" t="n">
        <v>5519998144461</v>
      </c>
      <c r="E1594" s="190" t="s">
        <v>1868</v>
      </c>
      <c r="F1594" s="192" t="n">
        <f aca="false">SUMIF(ENTRADAS!F:F,CLIENTES_PCBR[[#This Row],[TELEFONO]],ENTRADAS!C:C)</f>
        <v>588</v>
      </c>
      <c r="G1594" s="189" t="s">
        <v>94</v>
      </c>
    </row>
    <row r="1595" customFormat="false" ht="15" hidden="false" customHeight="false" outlineLevel="0" collapsed="false">
      <c r="A1595" s="197" t="n">
        <v>46101</v>
      </c>
      <c r="B1595" s="191"/>
      <c r="C1595" s="190" t="s">
        <v>1874</v>
      </c>
      <c r="D1595" s="191" t="n">
        <v>559584381582</v>
      </c>
      <c r="E1595" s="190" t="s">
        <v>1875</v>
      </c>
      <c r="F1595" s="192" t="n">
        <f aca="false">SUMIF(ENTRADAS!F:F,CLIENTES_PCBR[[#This Row],[TELEFONO]],ENTRADAS!C:C)</f>
        <v>194</v>
      </c>
      <c r="G1595" s="189" t="s">
        <v>94</v>
      </c>
    </row>
    <row r="1596" customFormat="false" ht="15" hidden="false" customHeight="false" outlineLevel="0" collapsed="false">
      <c r="A1596" s="197" t="n">
        <v>46101</v>
      </c>
      <c r="B1596" s="191"/>
      <c r="C1596" s="190" t="s">
        <v>1878</v>
      </c>
      <c r="D1596" s="191" t="n">
        <v>554792009109</v>
      </c>
      <c r="E1596" s="190" t="s">
        <v>1879</v>
      </c>
      <c r="F1596" s="192" t="n">
        <f aca="false">SUMIF(ENTRADAS!F:F,CLIENTES_PCBR[[#This Row],[TELEFONO]],ENTRADAS!C:C)</f>
        <v>97</v>
      </c>
      <c r="G1596" s="189" t="s">
        <v>94</v>
      </c>
    </row>
    <row r="1597" customFormat="false" ht="15" hidden="false" customHeight="false" outlineLevel="0" collapsed="false">
      <c r="A1597" s="197" t="n">
        <v>46101</v>
      </c>
      <c r="B1597" s="191"/>
      <c r="C1597" s="190" t="s">
        <v>1885</v>
      </c>
      <c r="D1597" s="191" t="n">
        <v>559684078095</v>
      </c>
      <c r="E1597" s="190" t="s">
        <v>1886</v>
      </c>
      <c r="F1597" s="192" t="n">
        <f aca="false">SUMIF(ENTRADAS!F:F,CLIENTES_PCBR[[#This Row],[TELEFONO]],ENTRADAS!C:C)</f>
        <v>240</v>
      </c>
      <c r="G1597" s="189" t="s">
        <v>94</v>
      </c>
    </row>
    <row r="1598" customFormat="false" ht="15" hidden="false" customHeight="false" outlineLevel="0" collapsed="false">
      <c r="A1598" s="197" t="n">
        <v>46101</v>
      </c>
      <c r="B1598" s="191"/>
      <c r="C1598" s="190" t="s">
        <v>1889</v>
      </c>
      <c r="D1598" s="191" t="n">
        <v>559584148374</v>
      </c>
      <c r="E1598" s="190" t="s">
        <v>1890</v>
      </c>
      <c r="F1598" s="192" t="n">
        <f aca="false">SUMIF(ENTRADAS!F:F,CLIENTES_PCBR[[#This Row],[TELEFONO]],ENTRADAS!C:C)</f>
        <v>294</v>
      </c>
      <c r="G1598" s="189" t="s">
        <v>94</v>
      </c>
    </row>
    <row r="1599" customFormat="false" ht="15" hidden="false" customHeight="false" outlineLevel="0" collapsed="false">
      <c r="A1599" s="197" t="n">
        <v>46100</v>
      </c>
      <c r="B1599" s="191"/>
      <c r="C1599" s="190" t="s">
        <v>1892</v>
      </c>
      <c r="D1599" s="191" t="n">
        <v>559584149807</v>
      </c>
      <c r="E1599" s="190" t="s">
        <v>1893</v>
      </c>
      <c r="F1599" s="192" t="n">
        <f aca="false">SUMIF(ENTRADAS!F:F,CLIENTES_PCBR[[#This Row],[TELEFONO]],ENTRADAS!C:C)</f>
        <v>97</v>
      </c>
      <c r="G1599" s="189" t="s">
        <v>94</v>
      </c>
    </row>
    <row r="1600" customFormat="false" ht="15" hidden="false" customHeight="false" outlineLevel="0" collapsed="false">
      <c r="A1600" s="197" t="n">
        <v>46101</v>
      </c>
      <c r="B1600" s="191"/>
      <c r="C1600" s="190" t="s">
        <v>1895</v>
      </c>
      <c r="D1600" s="191" t="n">
        <v>554188980211</v>
      </c>
      <c r="E1600" s="190" t="s">
        <v>1896</v>
      </c>
      <c r="F1600" s="192" t="n">
        <f aca="false">SUMIF(ENTRADAS!F:F,CLIENTES_PCBR[[#This Row],[TELEFONO]],ENTRADAS!C:C)</f>
        <v>120</v>
      </c>
      <c r="G1600" s="189" t="s">
        <v>94</v>
      </c>
    </row>
    <row r="1601" customFormat="false" ht="15" hidden="false" customHeight="false" outlineLevel="0" collapsed="false">
      <c r="A1601" s="197" t="n">
        <v>46101</v>
      </c>
      <c r="B1601" s="191"/>
      <c r="C1601" s="190" t="s">
        <v>1900</v>
      </c>
      <c r="D1601" s="191" t="n">
        <v>559684163679</v>
      </c>
      <c r="E1601" s="190" t="s">
        <v>1901</v>
      </c>
      <c r="F1601" s="192" t="n">
        <f aca="false">SUMIF(ENTRADAS!F:F,CLIENTES_PCBR[[#This Row],[TELEFONO]],ENTRADAS!C:C)</f>
        <v>120</v>
      </c>
      <c r="G1601" s="189" t="s">
        <v>94</v>
      </c>
    </row>
    <row r="1602" customFormat="false" ht="15" hidden="false" customHeight="false" outlineLevel="0" collapsed="false">
      <c r="A1602" s="197" t="n">
        <v>46101</v>
      </c>
      <c r="B1602" s="191"/>
      <c r="C1602" s="190" t="s">
        <v>1904</v>
      </c>
      <c r="D1602" s="191" t="n">
        <v>559584297218</v>
      </c>
      <c r="E1602" s="190" t="s">
        <v>1905</v>
      </c>
      <c r="F1602" s="192" t="n">
        <f aca="false">SUMIF(ENTRADAS!F:F,CLIENTES_PCBR[[#This Row],[TELEFONO]],ENTRADAS!C:C)</f>
        <v>97</v>
      </c>
      <c r="G1602" s="189" t="s">
        <v>94</v>
      </c>
    </row>
    <row r="1603" customFormat="false" ht="15" hidden="false" customHeight="false" outlineLevel="0" collapsed="false">
      <c r="A1603" s="197" t="n">
        <v>46101</v>
      </c>
      <c r="B1603" s="191"/>
      <c r="C1603" s="190" t="s">
        <v>1907</v>
      </c>
      <c r="D1603" s="191" t="n">
        <v>554899484493</v>
      </c>
      <c r="E1603" s="190" t="s">
        <v>1908</v>
      </c>
      <c r="F1603" s="192" t="n">
        <f aca="false">SUMIF(ENTRADAS!F:F,CLIENTES_PCBR[[#This Row],[TELEFONO]],ENTRADAS!C:C)</f>
        <v>140</v>
      </c>
      <c r="G1603" s="189" t="s">
        <v>94</v>
      </c>
    </row>
    <row r="1604" customFormat="false" ht="15" hidden="false" customHeight="false" outlineLevel="0" collapsed="false">
      <c r="A1604" s="197" t="n">
        <v>46101</v>
      </c>
      <c r="B1604" s="191"/>
      <c r="C1604" s="190" t="s">
        <v>1910</v>
      </c>
      <c r="D1604" s="191" t="n">
        <v>5511947383448</v>
      </c>
      <c r="E1604" s="190" t="s">
        <v>1911</v>
      </c>
      <c r="F1604" s="192" t="n">
        <f aca="false">SUMIF(ENTRADAS!F:F,CLIENTES_PCBR[[#This Row],[TELEFONO]],ENTRADAS!C:C)</f>
        <v>585</v>
      </c>
      <c r="G1604" s="189" t="s">
        <v>94</v>
      </c>
    </row>
    <row r="1605" customFormat="false" ht="15" hidden="false" customHeight="false" outlineLevel="0" collapsed="false">
      <c r="A1605" s="197" t="n">
        <v>46101</v>
      </c>
      <c r="B1605" s="191"/>
      <c r="C1605" s="190" t="s">
        <v>1917</v>
      </c>
      <c r="D1605" s="191" t="n">
        <v>559591162047</v>
      </c>
      <c r="E1605" s="190" t="s">
        <v>1918</v>
      </c>
      <c r="F1605" s="192" t="n">
        <f aca="false">SUMIF(ENTRADAS!F:F,CLIENTES_PCBR[[#This Row],[TELEFONO]],ENTRADAS!C:C)</f>
        <v>294</v>
      </c>
      <c r="G1605" s="189" t="s">
        <v>94</v>
      </c>
    </row>
    <row r="1606" customFormat="false" ht="15" hidden="false" customHeight="false" outlineLevel="0" collapsed="false">
      <c r="A1606" s="197" t="n">
        <v>46101</v>
      </c>
      <c r="B1606" s="191"/>
      <c r="C1606" s="190" t="s">
        <v>1920</v>
      </c>
      <c r="D1606" s="191" t="s">
        <v>1921</v>
      </c>
      <c r="E1606" s="190" t="s">
        <v>1922</v>
      </c>
      <c r="F1606" s="192" t="n">
        <f aca="false">SUMIF(ENTRADAS!F:F,CLIENTES_PCBR[[#This Row],[TELEFONO]],ENTRADAS!C:C)</f>
        <v>150</v>
      </c>
      <c r="G1606" s="189" t="s">
        <v>94</v>
      </c>
    </row>
    <row r="1607" customFormat="false" ht="15" hidden="false" customHeight="false" outlineLevel="0" collapsed="false">
      <c r="A1607" s="197" t="n">
        <v>46101</v>
      </c>
      <c r="B1607" s="191"/>
      <c r="C1607" s="190" t="s">
        <v>1924</v>
      </c>
      <c r="D1607" s="191" t="n">
        <v>5516994306925</v>
      </c>
      <c r="E1607" s="190" t="s">
        <v>1925</v>
      </c>
      <c r="F1607" s="192" t="n">
        <f aca="false">SUMIF(ENTRADAS!F:F,CLIENTES_PCBR[[#This Row],[TELEFONO]],ENTRADAS!C:C)</f>
        <v>242</v>
      </c>
      <c r="G1607" s="189" t="s">
        <v>94</v>
      </c>
    </row>
    <row r="1608" customFormat="false" ht="15" hidden="false" customHeight="false" outlineLevel="0" collapsed="false">
      <c r="A1608" s="197" t="n">
        <v>46101</v>
      </c>
      <c r="B1608" s="191"/>
      <c r="C1608" s="190" t="s">
        <v>1927</v>
      </c>
      <c r="D1608" s="191" t="n">
        <v>559584229035</v>
      </c>
      <c r="E1608" s="190" t="s">
        <v>1928</v>
      </c>
      <c r="F1608" s="192" t="n">
        <f aca="false">SUMIF(ENTRADAS!F:F,CLIENTES_PCBR[[#This Row],[TELEFONO]],ENTRADAS!C:C)</f>
        <v>240</v>
      </c>
      <c r="G1608" s="189" t="s">
        <v>94</v>
      </c>
    </row>
    <row r="1609" customFormat="false" ht="15" hidden="false" customHeight="false" outlineLevel="0" collapsed="false">
      <c r="A1609" s="197" t="n">
        <v>46100</v>
      </c>
      <c r="B1609" s="191"/>
      <c r="C1609" s="190" t="s">
        <v>1930</v>
      </c>
      <c r="D1609" s="191" t="n">
        <v>559591538723</v>
      </c>
      <c r="E1609" s="190" t="s">
        <v>1931</v>
      </c>
      <c r="F1609" s="192" t="n">
        <f aca="false">SUMIF(ENTRADAS!F:F,CLIENTES_PCBR[[#This Row],[TELEFONO]],ENTRADAS!C:C)</f>
        <v>420</v>
      </c>
      <c r="G1609" s="189" t="s">
        <v>94</v>
      </c>
    </row>
    <row r="1610" customFormat="false" ht="15" hidden="false" customHeight="false" outlineLevel="0" collapsed="false">
      <c r="A1610" s="197" t="n">
        <v>46102</v>
      </c>
      <c r="B1610" s="191"/>
      <c r="C1610" s="190" t="s">
        <v>1937</v>
      </c>
      <c r="D1610" s="191" t="n">
        <v>555481420122</v>
      </c>
      <c r="E1610" s="190" t="s">
        <v>1938</v>
      </c>
      <c r="F1610" s="192" t="n">
        <f aca="false">SUMIF(ENTRADAS!F:F,CLIENTES_PCBR[[#This Row],[TELEFONO]],ENTRADAS!C:C)</f>
        <v>240</v>
      </c>
      <c r="G1610" s="189" t="s">
        <v>94</v>
      </c>
    </row>
    <row r="1611" customFormat="false" ht="15" hidden="false" customHeight="false" outlineLevel="0" collapsed="false">
      <c r="A1611" s="197" t="n">
        <v>46104</v>
      </c>
      <c r="B1611" s="191"/>
      <c r="C1611" s="190" t="s">
        <v>1940</v>
      </c>
      <c r="D1611" s="191" t="n">
        <v>556298141589</v>
      </c>
      <c r="E1611" s="190" t="s">
        <v>1941</v>
      </c>
      <c r="F1611" s="192" t="n">
        <f aca="false">SUMIF(ENTRADAS!F:F,CLIENTES_PCBR[[#This Row],[TELEFONO]],ENTRADAS!C:C)</f>
        <v>120</v>
      </c>
      <c r="G1611" s="189" t="s">
        <v>94</v>
      </c>
    </row>
    <row r="1612" customFormat="false" ht="15" hidden="false" customHeight="false" outlineLevel="0" collapsed="false">
      <c r="A1612" s="197" t="n">
        <v>46102</v>
      </c>
      <c r="B1612" s="191"/>
      <c r="C1612" s="190" t="s">
        <v>1944</v>
      </c>
      <c r="D1612" s="191" t="n">
        <v>5356671474</v>
      </c>
      <c r="E1612" s="190" t="s">
        <v>1945</v>
      </c>
      <c r="F1612" s="192" t="n">
        <f aca="false">SUMIF(ENTRADAS!F:F,CLIENTES_PCBR[[#This Row],[TELEFONO]],ENTRADAS!C:C)</f>
        <v>441</v>
      </c>
      <c r="G1612" s="189" t="s">
        <v>94</v>
      </c>
    </row>
    <row r="1613" customFormat="false" ht="15" hidden="false" customHeight="false" outlineLevel="0" collapsed="false">
      <c r="A1613" s="197" t="n">
        <v>46104</v>
      </c>
      <c r="B1613" s="191"/>
      <c r="C1613" s="190" t="s">
        <v>1953</v>
      </c>
      <c r="D1613" s="191" t="n">
        <v>559591526125</v>
      </c>
      <c r="E1613" s="190" t="s">
        <v>1954</v>
      </c>
      <c r="F1613" s="192" t="n">
        <f aca="false">SUMIF(ENTRADAS!F:F,CLIENTES_PCBR[[#This Row],[TELEFONO]],ENTRADAS!C:C)</f>
        <v>150</v>
      </c>
      <c r="G1613" s="189" t="s">
        <v>94</v>
      </c>
    </row>
    <row r="1614" customFormat="false" ht="15" hidden="false" customHeight="false" outlineLevel="0" collapsed="false">
      <c r="A1614" s="197" t="n">
        <v>46104</v>
      </c>
      <c r="B1614" s="191"/>
      <c r="C1614" s="190" t="s">
        <v>1959</v>
      </c>
      <c r="D1614" s="191" t="n">
        <v>5548920023448</v>
      </c>
      <c r="E1614" s="190" t="s">
        <v>1960</v>
      </c>
      <c r="F1614" s="192" t="n">
        <f aca="false">SUMIF(ENTRADAS!F:F,CLIENTES_PCBR[[#This Row],[TELEFONO]],ENTRADAS!C:C)</f>
        <v>120</v>
      </c>
      <c r="G1614" s="189" t="s">
        <v>94</v>
      </c>
    </row>
    <row r="1615" customFormat="false" ht="15" hidden="false" customHeight="false" outlineLevel="0" collapsed="false">
      <c r="A1615" s="197" t="n">
        <v>46104</v>
      </c>
      <c r="B1615" s="191"/>
      <c r="C1615" s="190" t="s">
        <v>1962</v>
      </c>
      <c r="D1615" s="191" t="n">
        <v>554796489301</v>
      </c>
      <c r="E1615" s="190" t="s">
        <v>1963</v>
      </c>
      <c r="F1615" s="192" t="n">
        <f aca="false">SUMIF(ENTRADAS!F:F,CLIENTES_PCBR[[#This Row],[TELEFONO]],ENTRADAS!C:C)</f>
        <v>150</v>
      </c>
      <c r="G1615" s="189" t="s">
        <v>94</v>
      </c>
    </row>
    <row r="1616" customFormat="false" ht="15" hidden="false" customHeight="false" outlineLevel="0" collapsed="false">
      <c r="A1616" s="197" t="n">
        <v>46104</v>
      </c>
      <c r="B1616" s="191"/>
      <c r="C1616" s="190" t="s">
        <v>1965</v>
      </c>
      <c r="D1616" s="191" t="n">
        <v>554591393777</v>
      </c>
      <c r="E1616" s="190" t="s">
        <v>1966</v>
      </c>
      <c r="F1616" s="192" t="n">
        <f aca="false">SUMIF(ENTRADAS!F:F,CLIENTES_PCBR[[#This Row],[TELEFONO]],ENTRADAS!C:C)</f>
        <v>150</v>
      </c>
      <c r="G1616" s="189" t="s">
        <v>94</v>
      </c>
    </row>
    <row r="1617" customFormat="false" ht="15" hidden="false" customHeight="false" outlineLevel="0" collapsed="false">
      <c r="A1617" s="197" t="n">
        <v>46104</v>
      </c>
      <c r="B1617" s="191"/>
      <c r="C1617" s="190" t="s">
        <v>1968</v>
      </c>
      <c r="D1617" s="191" t="n">
        <v>554999051886</v>
      </c>
      <c r="E1617" s="190" t="s">
        <v>1969</v>
      </c>
      <c r="F1617" s="192" t="n">
        <f aca="false">SUMIF(ENTRADAS!F:F,CLIENTES_PCBR[[#This Row],[TELEFONO]],ENTRADAS!C:C)</f>
        <v>147</v>
      </c>
      <c r="G1617" s="189" t="s">
        <v>94</v>
      </c>
    </row>
    <row r="1618" customFormat="false" ht="15" hidden="false" customHeight="false" outlineLevel="0" collapsed="false">
      <c r="A1618" s="197" t="n">
        <v>46104</v>
      </c>
      <c r="B1618" s="191"/>
      <c r="C1618" s="190" t="s">
        <v>1972</v>
      </c>
      <c r="D1618" s="191" t="n">
        <v>59892375350</v>
      </c>
      <c r="F1618" s="192" t="n">
        <f aca="false">SUMIF(ENTRADAS!F:F,CLIENTES_PCBR[[#This Row],[TELEFONO]],ENTRADAS!C:C)</f>
        <v>294</v>
      </c>
      <c r="G1618" s="189" t="s">
        <v>94</v>
      </c>
    </row>
    <row r="1619" customFormat="false" ht="15" hidden="false" customHeight="false" outlineLevel="0" collapsed="false">
      <c r="A1619" s="197" t="n">
        <v>46104</v>
      </c>
      <c r="B1619" s="191"/>
      <c r="C1619" s="190" t="s">
        <v>1976</v>
      </c>
      <c r="D1619" s="191" t="n">
        <v>5354639742</v>
      </c>
      <c r="E1619" s="190" t="s">
        <v>1977</v>
      </c>
      <c r="F1619" s="192" t="n">
        <f aca="false">SUMIF(ENTRADAS!F:F,CLIENTES_PCBR[[#This Row],[TELEFONO]],ENTRADAS!C:C)</f>
        <v>140</v>
      </c>
      <c r="G1619" s="189" t="s">
        <v>94</v>
      </c>
    </row>
    <row r="1620" customFormat="false" ht="15" hidden="false" customHeight="false" outlineLevel="0" collapsed="false">
      <c r="A1620" s="197" t="n">
        <v>46104</v>
      </c>
      <c r="B1620" s="191"/>
      <c r="C1620" s="190" t="s">
        <v>1979</v>
      </c>
      <c r="D1620" s="191" t="n">
        <v>5516981060788</v>
      </c>
      <c r="E1620" s="190" t="s">
        <v>1980</v>
      </c>
      <c r="F1620" s="192" t="n">
        <f aca="false">SUMIF(ENTRADAS!F:F,CLIENTES_PCBR[[#This Row],[TELEFONO]],ENTRADAS!C:C)</f>
        <v>97</v>
      </c>
      <c r="G1620" s="189" t="s">
        <v>94</v>
      </c>
    </row>
    <row r="1621" customFormat="false" ht="15" hidden="false" customHeight="false" outlineLevel="0" collapsed="false">
      <c r="A1621" s="197" t="n">
        <v>46104</v>
      </c>
      <c r="B1621" s="191"/>
      <c r="C1621" s="190" t="s">
        <v>1983</v>
      </c>
      <c r="D1621" s="191" t="n">
        <v>554196240699</v>
      </c>
      <c r="E1621" s="190" t="s">
        <v>1984</v>
      </c>
      <c r="F1621" s="192" t="n">
        <f aca="false">SUMIF(ENTRADAS!F:F,CLIENTES_PCBR[[#This Row],[TELEFONO]],ENTRADAS!C:C)</f>
        <v>150</v>
      </c>
      <c r="G1621" s="189" t="s">
        <v>94</v>
      </c>
    </row>
    <row r="1622" customFormat="false" ht="15" hidden="false" customHeight="false" outlineLevel="0" collapsed="false">
      <c r="A1622" s="197" t="n">
        <v>46104</v>
      </c>
      <c r="B1622" s="191"/>
      <c r="C1622" s="190" t="s">
        <v>1987</v>
      </c>
      <c r="D1622" s="191" t="n">
        <v>554896314101</v>
      </c>
      <c r="E1622" s="190" t="s">
        <v>1988</v>
      </c>
      <c r="F1622" s="192" t="n">
        <f aca="false">SUMIF(ENTRADAS!F:F,CLIENTES_PCBR[[#This Row],[TELEFONO]],ENTRADAS!C:C)</f>
        <v>340</v>
      </c>
      <c r="G1622" s="189" t="s">
        <v>94</v>
      </c>
    </row>
    <row r="1623" customFormat="false" ht="15" hidden="false" customHeight="false" outlineLevel="0" collapsed="false">
      <c r="A1623" s="197" t="n">
        <v>46104</v>
      </c>
      <c r="B1623" s="191"/>
      <c r="C1623" s="190" t="s">
        <v>1991</v>
      </c>
      <c r="D1623" s="191" t="n">
        <v>554584058903</v>
      </c>
      <c r="E1623" s="190" t="s">
        <v>1992</v>
      </c>
      <c r="F1623" s="192" t="n">
        <f aca="false">SUMIF(ENTRADAS!F:F,CLIENTES_PCBR[[#This Row],[TELEFONO]],ENTRADAS!C:C)</f>
        <v>360</v>
      </c>
      <c r="G1623" s="189" t="s">
        <v>94</v>
      </c>
    </row>
    <row r="1624" customFormat="false" ht="15" hidden="false" customHeight="false" outlineLevel="0" collapsed="false">
      <c r="A1624" s="197" t="n">
        <v>46104</v>
      </c>
      <c r="B1624" s="191"/>
      <c r="C1624" s="190" t="s">
        <v>1995</v>
      </c>
      <c r="D1624" s="191" t="n">
        <v>554784715632</v>
      </c>
      <c r="E1624" s="190" t="s">
        <v>1996</v>
      </c>
      <c r="F1624" s="192" t="n">
        <f aca="false">SUMIF(ENTRADAS!F:F,CLIENTES_PCBR[[#This Row],[TELEFONO]],ENTRADAS!C:C)</f>
        <v>120</v>
      </c>
      <c r="G1624" s="189" t="s">
        <v>94</v>
      </c>
    </row>
    <row r="1625" customFormat="false" ht="15" hidden="false" customHeight="false" outlineLevel="0" collapsed="false">
      <c r="A1625" s="197" t="n">
        <v>46104</v>
      </c>
      <c r="B1625" s="191"/>
      <c r="C1625" s="190" t="s">
        <v>2000</v>
      </c>
      <c r="D1625" s="191" t="n">
        <v>554196086817</v>
      </c>
      <c r="E1625" s="190" t="s">
        <v>2001</v>
      </c>
      <c r="F1625" s="192" t="n">
        <f aca="false">SUMIF(ENTRADAS!F:F,CLIENTES_PCBR[[#This Row],[TELEFONO]],ENTRADAS!C:C)</f>
        <v>80</v>
      </c>
      <c r="G1625" s="189" t="s">
        <v>94</v>
      </c>
    </row>
    <row r="1626" customFormat="false" ht="15" hidden="false" customHeight="false" outlineLevel="0" collapsed="false">
      <c r="A1626" s="197" t="n">
        <v>46104</v>
      </c>
      <c r="B1626" s="191"/>
      <c r="C1626" s="190" t="s">
        <v>2004</v>
      </c>
      <c r="D1626" s="191" t="n">
        <v>556596075375</v>
      </c>
      <c r="E1626" s="190" t="s">
        <v>2005</v>
      </c>
      <c r="F1626" s="192" t="n">
        <f aca="false">SUMIF(ENTRADAS!F:F,CLIENTES_PCBR[[#This Row],[TELEFONO]],ENTRADAS!C:C)</f>
        <v>194</v>
      </c>
      <c r="G1626" s="189" t="s">
        <v>94</v>
      </c>
    </row>
    <row r="1627" customFormat="false" ht="15" hidden="false" customHeight="false" outlineLevel="0" collapsed="false">
      <c r="A1627" s="197" t="n">
        <v>46104</v>
      </c>
      <c r="B1627" s="191"/>
      <c r="C1627" s="190" t="s">
        <v>2007</v>
      </c>
      <c r="D1627" s="191" t="n">
        <v>554797064604</v>
      </c>
      <c r="E1627" s="190" t="s">
        <v>2008</v>
      </c>
      <c r="F1627" s="192" t="n">
        <f aca="false">SUMIF(ENTRADAS!F:F,CLIENTES_PCBR[[#This Row],[TELEFONO]],ENTRADAS!C:C)</f>
        <v>294</v>
      </c>
      <c r="G1627" s="189" t="s">
        <v>94</v>
      </c>
    </row>
    <row r="1628" customFormat="false" ht="15" hidden="false" customHeight="false" outlineLevel="0" collapsed="false">
      <c r="A1628" s="197" t="n">
        <v>46105</v>
      </c>
      <c r="B1628" s="191"/>
      <c r="C1628" s="190" t="s">
        <v>2011</v>
      </c>
      <c r="D1628" s="191" t="n">
        <v>554195629454</v>
      </c>
      <c r="E1628" s="190" t="s">
        <v>2012</v>
      </c>
      <c r="F1628" s="192" t="n">
        <f aca="false">SUMIF(ENTRADAS!F:F,CLIENTES_PCBR[[#This Row],[TELEFONO]],ENTRADAS!C:C)</f>
        <v>120</v>
      </c>
      <c r="G1628" s="189" t="s">
        <v>94</v>
      </c>
    </row>
    <row r="1629" customFormat="false" ht="15" hidden="false" customHeight="false" outlineLevel="0" collapsed="false">
      <c r="A1629" s="197" t="n">
        <v>46104</v>
      </c>
      <c r="B1629" s="191"/>
      <c r="C1629" s="190" t="s">
        <v>2015</v>
      </c>
      <c r="D1629" s="191" t="n">
        <v>554192694545</v>
      </c>
      <c r="E1629" s="190" t="s">
        <v>2016</v>
      </c>
      <c r="F1629" s="192" t="n">
        <f aca="false">SUMIF(ENTRADAS!F:F,CLIENTES_PCBR[[#This Row],[TELEFONO]],ENTRADAS!C:C)</f>
        <v>120</v>
      </c>
      <c r="G1629" s="189" t="s">
        <v>94</v>
      </c>
    </row>
    <row r="1630" customFormat="false" ht="15" hidden="false" customHeight="false" outlineLevel="0" collapsed="false">
      <c r="A1630" s="197" t="n">
        <v>46105</v>
      </c>
      <c r="B1630" s="191"/>
      <c r="C1630" s="190" t="s">
        <v>2023</v>
      </c>
      <c r="D1630" s="191" t="n">
        <v>559591161397</v>
      </c>
      <c r="E1630" s="190" t="s">
        <v>2024</v>
      </c>
      <c r="F1630" s="192" t="n">
        <f aca="false">SUMIF(ENTRADAS!F:F,CLIENTES_PCBR[[#This Row],[TELEFONO]],ENTRADAS!C:C)</f>
        <v>220</v>
      </c>
      <c r="G1630" s="189" t="s">
        <v>94</v>
      </c>
    </row>
    <row r="1631" customFormat="false" ht="15" hidden="false" customHeight="false" outlineLevel="0" collapsed="false">
      <c r="A1631" s="197" t="n">
        <v>46105</v>
      </c>
      <c r="B1631" s="191"/>
      <c r="C1631" s="190" t="s">
        <v>2026</v>
      </c>
      <c r="D1631" s="191" t="n">
        <v>554991700503</v>
      </c>
      <c r="E1631" s="190" t="s">
        <v>2027</v>
      </c>
      <c r="F1631" s="192" t="n">
        <f aca="false">SUMIF(ENTRADAS!F:F,CLIENTES_PCBR[[#This Row],[TELEFONO]],ENTRADAS!C:C)</f>
        <v>600</v>
      </c>
      <c r="G1631" s="189" t="s">
        <v>94</v>
      </c>
    </row>
    <row r="1632" customFormat="false" ht="15" hidden="false" customHeight="false" outlineLevel="0" collapsed="false">
      <c r="A1632" s="197" t="n">
        <v>46105</v>
      </c>
      <c r="B1632" s="191"/>
      <c r="C1632" s="190" t="s">
        <v>2030</v>
      </c>
      <c r="D1632" s="191" t="n">
        <v>5511913031958</v>
      </c>
      <c r="E1632" s="190" t="s">
        <v>2031</v>
      </c>
      <c r="F1632" s="192" t="n">
        <f aca="false">SUMIF(ENTRADAS!F:F,CLIENTES_PCBR[[#This Row],[TELEFONO]],ENTRADAS!C:C)</f>
        <v>120</v>
      </c>
      <c r="G1632" s="189" t="s">
        <v>94</v>
      </c>
    </row>
    <row r="1633" customFormat="false" ht="15" hidden="false" customHeight="false" outlineLevel="0" collapsed="false">
      <c r="A1633" s="197" t="n">
        <v>46105</v>
      </c>
      <c r="B1633" s="191"/>
      <c r="C1633" s="190" t="s">
        <v>2048</v>
      </c>
      <c r="D1633" s="191" t="n">
        <v>555496045048</v>
      </c>
      <c r="E1633" s="190" t="s">
        <v>2049</v>
      </c>
      <c r="F1633" s="192" t="n">
        <f aca="false">SUMIF(ENTRADAS!F:F,CLIENTES_PCBR[[#This Row],[TELEFONO]],ENTRADAS!C:C)</f>
        <v>240</v>
      </c>
      <c r="G1633" s="189" t="s">
        <v>94</v>
      </c>
    </row>
    <row r="1634" customFormat="false" ht="15" hidden="false" customHeight="false" outlineLevel="0" collapsed="false">
      <c r="A1634" s="197" t="n">
        <v>46105</v>
      </c>
      <c r="B1634" s="191"/>
      <c r="C1634" s="190" t="s">
        <v>2053</v>
      </c>
      <c r="D1634" s="191" t="n">
        <v>554192055170</v>
      </c>
      <c r="E1634" s="190" t="s">
        <v>2054</v>
      </c>
      <c r="F1634" s="192" t="n">
        <f aca="false">SUMIF(ENTRADAS!F:F,CLIENTES_PCBR[[#This Row],[TELEFONO]],ENTRADAS!C:C)</f>
        <v>97</v>
      </c>
      <c r="G1634" s="189" t="s">
        <v>94</v>
      </c>
    </row>
    <row r="1635" customFormat="false" ht="15" hidden="false" customHeight="false" outlineLevel="0" collapsed="false">
      <c r="A1635" s="197" t="n">
        <v>46105</v>
      </c>
      <c r="B1635" s="191"/>
      <c r="C1635" s="190" t="s">
        <v>2059</v>
      </c>
      <c r="D1635" s="191" t="n">
        <v>554187671962</v>
      </c>
      <c r="E1635" s="190" t="s">
        <v>2060</v>
      </c>
      <c r="F1635" s="192" t="n">
        <f aca="false">SUMIF(ENTRADAS!F:F,CLIENTES_PCBR[[#This Row],[TELEFONO]],ENTRADAS!C:C)</f>
        <v>147</v>
      </c>
      <c r="G1635" s="189" t="s">
        <v>94</v>
      </c>
    </row>
    <row r="1636" customFormat="false" ht="15" hidden="false" customHeight="false" outlineLevel="0" collapsed="false">
      <c r="A1636" s="197" t="n">
        <v>46105</v>
      </c>
      <c r="B1636" s="191"/>
      <c r="C1636" s="190" t="s">
        <v>2063</v>
      </c>
      <c r="D1636" s="191" t="n">
        <v>554891730563</v>
      </c>
      <c r="E1636" s="190" t="s">
        <v>2064</v>
      </c>
      <c r="F1636" s="192" t="n">
        <f aca="false">SUMIF(ENTRADAS!F:F,CLIENTES_PCBR[[#This Row],[TELEFONO]],ENTRADAS!C:C)</f>
        <v>337</v>
      </c>
      <c r="G1636" s="189" t="s">
        <v>94</v>
      </c>
    </row>
    <row r="1637" customFormat="false" ht="15" hidden="false" customHeight="false" outlineLevel="0" collapsed="false">
      <c r="A1637" s="197" t="n">
        <v>46105</v>
      </c>
      <c r="B1637" s="191"/>
      <c r="C1637" s="190" t="s">
        <v>2067</v>
      </c>
      <c r="D1637" s="191" t="n">
        <v>554198637077</v>
      </c>
      <c r="E1637" s="190" t="s">
        <v>2068</v>
      </c>
      <c r="F1637" s="192" t="n">
        <f aca="false">SUMIF(ENTRADAS!F:F,CLIENTES_PCBR[[#This Row],[TELEFONO]],ENTRADAS!C:C)</f>
        <v>120</v>
      </c>
      <c r="G1637" s="189" t="s">
        <v>94</v>
      </c>
    </row>
    <row r="1638" customFormat="false" ht="15" hidden="false" customHeight="false" outlineLevel="0" collapsed="false">
      <c r="A1638" s="197" t="n">
        <v>46105</v>
      </c>
      <c r="B1638" s="191"/>
      <c r="C1638" s="190" t="s">
        <v>2073</v>
      </c>
      <c r="D1638" s="191" t="n">
        <v>5519981269940</v>
      </c>
      <c r="E1638" s="190" t="s">
        <v>2074</v>
      </c>
      <c r="F1638" s="192" t="n">
        <f aca="false">SUMIF(ENTRADAS!F:F,CLIENTES_PCBR[[#This Row],[TELEFONO]],ENTRADAS!C:C)</f>
        <v>147</v>
      </c>
      <c r="G1638" s="189" t="s">
        <v>94</v>
      </c>
    </row>
    <row r="1639" customFormat="false" ht="15" hidden="false" customHeight="false" outlineLevel="0" collapsed="false">
      <c r="A1639" s="197" t="n">
        <v>46106</v>
      </c>
      <c r="B1639" s="191"/>
      <c r="C1639" s="190" t="s">
        <v>2076</v>
      </c>
      <c r="D1639" s="191" t="n">
        <v>5511984238459</v>
      </c>
      <c r="E1639" s="190" t="s">
        <v>2077</v>
      </c>
      <c r="F1639" s="192" t="n">
        <f aca="false">SUMIF(ENTRADAS!F:F,CLIENTES_PCBR[[#This Row],[TELEFONO]],ENTRADAS!C:C)</f>
        <v>120</v>
      </c>
      <c r="G1639" s="189" t="s">
        <v>94</v>
      </c>
    </row>
    <row r="1640" customFormat="false" ht="15" hidden="false" customHeight="false" outlineLevel="0" collapsed="false">
      <c r="A1640" s="197" t="n">
        <v>46106</v>
      </c>
      <c r="B1640" s="191"/>
      <c r="C1640" s="190" t="s">
        <v>2080</v>
      </c>
      <c r="D1640" s="191" t="n">
        <v>553898364580</v>
      </c>
      <c r="E1640" s="190" t="s">
        <v>2081</v>
      </c>
      <c r="F1640" s="192" t="n">
        <f aca="false">SUMIF(ENTRADAS!F:F,CLIENTES_PCBR[[#This Row],[TELEFONO]],ENTRADAS!C:C)</f>
        <v>295</v>
      </c>
      <c r="G1640" s="189" t="s">
        <v>94</v>
      </c>
    </row>
    <row r="1641" customFormat="false" ht="15" hidden="false" customHeight="false" outlineLevel="0" collapsed="false">
      <c r="A1641" s="197" t="n">
        <v>46106</v>
      </c>
      <c r="B1641" s="191"/>
      <c r="C1641" s="190" t="s">
        <v>2084</v>
      </c>
      <c r="D1641" s="191" t="n">
        <v>556199420044</v>
      </c>
      <c r="F1641" s="192" t="n">
        <f aca="false">SUMIF(ENTRADAS!F:F,CLIENTES_PCBR[[#This Row],[TELEFONO]],ENTRADAS!C:C)</f>
        <v>147</v>
      </c>
      <c r="G1641" s="189" t="s">
        <v>94</v>
      </c>
    </row>
    <row r="1642" customFormat="false" ht="15" hidden="false" customHeight="false" outlineLevel="0" collapsed="false">
      <c r="A1642" s="197" t="n">
        <v>46107</v>
      </c>
      <c r="B1642" s="191"/>
      <c r="C1642" s="190" t="s">
        <v>2087</v>
      </c>
      <c r="D1642" s="191" t="n">
        <v>554195688649</v>
      </c>
      <c r="F1642" s="192" t="n">
        <f aca="false">SUMIF(ENTRADAS!F:F,CLIENTES_PCBR[[#This Row],[TELEFONO]],ENTRADAS!C:C)</f>
        <v>388</v>
      </c>
      <c r="G1642" s="189" t="s">
        <v>94</v>
      </c>
    </row>
    <row r="1643" customFormat="false" ht="15" hidden="false" customHeight="false" outlineLevel="0" collapsed="false">
      <c r="A1643" s="197" t="n">
        <v>46107</v>
      </c>
      <c r="B1643" s="191"/>
      <c r="C1643" s="190" t="s">
        <v>2091</v>
      </c>
      <c r="D1643" s="191" t="n">
        <v>554187657319</v>
      </c>
      <c r="E1643" s="190" t="s">
        <v>2092</v>
      </c>
      <c r="F1643" s="192" t="n">
        <f aca="false">SUMIF(ENTRADAS!F:F,CLIENTES_PCBR[[#This Row],[TELEFONO]],ENTRADAS!C:C)</f>
        <v>600</v>
      </c>
      <c r="G1643" s="189" t="s">
        <v>94</v>
      </c>
    </row>
    <row r="1644" customFormat="false" ht="15" hidden="false" customHeight="false" outlineLevel="0" collapsed="false">
      <c r="A1644" s="197" t="n">
        <v>46107</v>
      </c>
      <c r="B1644" s="191"/>
      <c r="C1644" s="190" t="s">
        <v>2094</v>
      </c>
      <c r="D1644" s="191" t="n">
        <v>554196609704</v>
      </c>
      <c r="E1644" s="190" t="s">
        <v>2095</v>
      </c>
      <c r="F1644" s="192" t="n">
        <f aca="false">SUMIF(ENTRADAS!F:F,CLIENTES_PCBR[[#This Row],[TELEFONO]],ENTRADAS!C:C)</f>
        <v>150</v>
      </c>
      <c r="G1644" s="189" t="s">
        <v>94</v>
      </c>
    </row>
    <row r="1645" customFormat="false" ht="15" hidden="false" customHeight="false" outlineLevel="0" collapsed="false">
      <c r="A1645" s="197" t="n">
        <v>46107</v>
      </c>
      <c r="B1645" s="191"/>
      <c r="C1645" s="190" t="s">
        <v>2097</v>
      </c>
      <c r="D1645" s="191" t="n">
        <v>554192137912</v>
      </c>
      <c r="E1645" s="190" t="s">
        <v>2098</v>
      </c>
      <c r="F1645" s="192" t="n">
        <f aca="false">SUMIF(ENTRADAS!F:F,CLIENTES_PCBR[[#This Row],[TELEFONO]],ENTRADAS!C:C)</f>
        <v>100</v>
      </c>
      <c r="G1645" s="189" t="s">
        <v>94</v>
      </c>
    </row>
    <row r="1646" customFormat="false" ht="15" hidden="false" customHeight="false" outlineLevel="0" collapsed="false">
      <c r="A1646" s="197" t="n">
        <v>46107</v>
      </c>
      <c r="B1646" s="191"/>
      <c r="C1646" s="190" t="s">
        <v>2100</v>
      </c>
      <c r="D1646" s="191" t="n">
        <v>559584407722</v>
      </c>
      <c r="E1646" s="190" t="s">
        <v>2101</v>
      </c>
      <c r="F1646" s="192" t="n">
        <f aca="false">SUMIF(ENTRADAS!F:F,CLIENTES_PCBR[[#This Row],[TELEFONO]],ENTRADAS!C:C)</f>
        <v>120</v>
      </c>
      <c r="G1646" s="189" t="s">
        <v>94</v>
      </c>
    </row>
    <row r="1647" customFormat="false" ht="15" hidden="false" customHeight="false" outlineLevel="0" collapsed="false">
      <c r="A1647" s="197" t="n">
        <v>46107</v>
      </c>
      <c r="B1647" s="191"/>
      <c r="C1647" s="190" t="s">
        <v>2105</v>
      </c>
      <c r="D1647" s="191" t="n">
        <v>554192511990</v>
      </c>
      <c r="E1647" s="190" t="s">
        <v>2106</v>
      </c>
      <c r="F1647" s="192" t="n">
        <f aca="false">SUMIF(ENTRADAS!F:F,CLIENTES_PCBR[[#This Row],[TELEFONO]],ENTRADAS!C:C)</f>
        <v>147</v>
      </c>
      <c r="G1647" s="189" t="s">
        <v>94</v>
      </c>
    </row>
    <row r="1648" customFormat="false" ht="15" hidden="false" customHeight="false" outlineLevel="0" collapsed="false">
      <c r="A1648" s="197" t="n">
        <v>46107</v>
      </c>
      <c r="B1648" s="191"/>
      <c r="C1648" s="190" t="s">
        <v>2110</v>
      </c>
      <c r="D1648" s="191" t="n">
        <v>554598292823</v>
      </c>
      <c r="E1648" s="190" t="s">
        <v>2111</v>
      </c>
      <c r="F1648" s="192" t="n">
        <f aca="false">SUMIF(ENTRADAS!F:F,CLIENTES_PCBR[[#This Row],[TELEFONO]],ENTRADAS!C:C)</f>
        <v>97</v>
      </c>
      <c r="G1648" s="189" t="s">
        <v>94</v>
      </c>
    </row>
    <row r="1649" customFormat="false" ht="15" hidden="false" customHeight="false" outlineLevel="0" collapsed="false">
      <c r="A1649" s="197" t="n">
        <v>46106</v>
      </c>
      <c r="B1649" s="191"/>
      <c r="C1649" s="190" t="s">
        <v>2113</v>
      </c>
      <c r="D1649" s="191" t="n">
        <v>554899355449</v>
      </c>
      <c r="F1649" s="192" t="n">
        <f aca="false">SUMIF(ENTRADAS!F:F,CLIENTES_PCBR[[#This Row],[TELEFONO]],ENTRADAS!C:C)</f>
        <v>147</v>
      </c>
      <c r="G1649" s="189" t="s">
        <v>94</v>
      </c>
    </row>
    <row r="1650" customFormat="false" ht="15" hidden="false" customHeight="false" outlineLevel="0" collapsed="false">
      <c r="A1650" s="197" t="n">
        <v>46106</v>
      </c>
      <c r="B1650" s="191"/>
      <c r="C1650" s="190" t="s">
        <v>2115</v>
      </c>
      <c r="D1650" s="191" t="n">
        <v>5541997175695</v>
      </c>
      <c r="F1650" s="192" t="n">
        <f aca="false">SUMIF(ENTRADAS!F:F,CLIENTES_PCBR[[#This Row],[TELEFONO]],ENTRADAS!C:C)</f>
        <v>220</v>
      </c>
      <c r="G1650" s="189" t="s">
        <v>94</v>
      </c>
    </row>
    <row r="1651" customFormat="false" ht="15" hidden="false" customHeight="false" outlineLevel="0" collapsed="false">
      <c r="A1651" s="197" t="n">
        <v>46107</v>
      </c>
      <c r="B1651" s="191"/>
      <c r="C1651" s="190" t="s">
        <v>2118</v>
      </c>
      <c r="D1651" s="191" t="n">
        <v>555499527909</v>
      </c>
      <c r="E1651" s="190" t="s">
        <v>2119</v>
      </c>
      <c r="F1651" s="192" t="n">
        <f aca="false">SUMIF(ENTRADAS!F:F,CLIENTES_PCBR[[#This Row],[TELEFONO]],ENTRADAS!C:C)</f>
        <v>150</v>
      </c>
      <c r="G1651" s="189" t="s">
        <v>94</v>
      </c>
    </row>
    <row r="1652" customFormat="false" ht="15" hidden="false" customHeight="false" outlineLevel="0" collapsed="false">
      <c r="A1652" s="197" t="n">
        <v>46107</v>
      </c>
      <c r="B1652" s="191"/>
      <c r="C1652" s="190" t="s">
        <v>2124</v>
      </c>
      <c r="D1652" s="191" t="n">
        <v>555491818668</v>
      </c>
      <c r="E1652" s="190" t="s">
        <v>2125</v>
      </c>
      <c r="F1652" s="192" t="n">
        <f aca="false">SUMIF(ENTRADAS!F:F,CLIENTES_PCBR[[#This Row],[TELEFONO]],ENTRADAS!C:C)</f>
        <v>120</v>
      </c>
      <c r="G1652" s="189" t="s">
        <v>94</v>
      </c>
    </row>
    <row r="1653" customFormat="false" ht="15" hidden="false" customHeight="false" outlineLevel="0" collapsed="false">
      <c r="A1653" s="197" t="n">
        <v>46108</v>
      </c>
      <c r="B1653" s="191"/>
      <c r="C1653" s="190" t="s">
        <v>2132</v>
      </c>
      <c r="D1653" s="191" t="n">
        <v>5511992231257</v>
      </c>
      <c r="E1653" s="190" t="s">
        <v>2133</v>
      </c>
      <c r="F1653" s="192" t="n">
        <f aca="false">SUMIF(ENTRADAS!F:F,CLIENTES_PCBR[[#This Row],[TELEFONO]],ENTRADAS!C:C)</f>
        <v>60</v>
      </c>
      <c r="G1653" s="189" t="s">
        <v>94</v>
      </c>
    </row>
    <row r="1654" customFormat="false" ht="15" hidden="false" customHeight="false" outlineLevel="0" collapsed="false">
      <c r="A1654" s="197" t="n">
        <v>46108</v>
      </c>
      <c r="B1654" s="191"/>
      <c r="C1654" s="190" t="s">
        <v>2137</v>
      </c>
      <c r="D1654" s="191" t="n">
        <v>5511941916855</v>
      </c>
      <c r="E1654" s="190" t="s">
        <v>2138</v>
      </c>
      <c r="F1654" s="192" t="n">
        <f aca="false">SUMIF(ENTRADAS!F:F,CLIENTES_PCBR[[#This Row],[TELEFONO]],ENTRADAS!C:C)</f>
        <v>267</v>
      </c>
      <c r="G1654" s="189" t="s">
        <v>94</v>
      </c>
    </row>
    <row r="1655" customFormat="false" ht="15" hidden="false" customHeight="false" outlineLevel="0" collapsed="false">
      <c r="A1655" s="197" t="n">
        <v>46108</v>
      </c>
      <c r="B1655" s="191"/>
      <c r="C1655" s="190" t="s">
        <v>2145</v>
      </c>
      <c r="D1655" s="191" t="n">
        <v>553172099905</v>
      </c>
      <c r="E1655" s="190" t="s">
        <v>2146</v>
      </c>
      <c r="F1655" s="192" t="n">
        <f aca="false">SUMIF(ENTRADAS!F:F,CLIENTES_PCBR[[#This Row],[TELEFONO]],ENTRADAS!C:C)</f>
        <v>120</v>
      </c>
      <c r="G1655" s="189" t="s">
        <v>94</v>
      </c>
    </row>
    <row r="1656" customFormat="false" ht="15" hidden="false" customHeight="false" outlineLevel="0" collapsed="false">
      <c r="A1656" s="197" t="n">
        <v>46108</v>
      </c>
      <c r="B1656" s="191"/>
      <c r="C1656" s="190" t="s">
        <v>2149</v>
      </c>
      <c r="D1656" s="191" t="n">
        <v>554199074412</v>
      </c>
      <c r="E1656" s="190" t="s">
        <v>2150</v>
      </c>
      <c r="F1656" s="192" t="n">
        <f aca="false">SUMIF(ENTRADAS!F:F,CLIENTES_PCBR[[#This Row],[TELEFONO]],ENTRADAS!C:C)</f>
        <v>150</v>
      </c>
      <c r="G1656" s="189" t="s">
        <v>94</v>
      </c>
    </row>
    <row r="1657" customFormat="false" ht="15" hidden="false" customHeight="false" outlineLevel="0" collapsed="false">
      <c r="A1657" s="197" t="n">
        <v>46108</v>
      </c>
      <c r="B1657" s="191"/>
      <c r="C1657" s="190" t="s">
        <v>2153</v>
      </c>
      <c r="D1657" s="191" t="n">
        <v>554896871939</v>
      </c>
      <c r="E1657" s="190" t="s">
        <v>2154</v>
      </c>
      <c r="F1657" s="192" t="n">
        <f aca="false">SUMIF(ENTRADAS!F:F,CLIENTES_PCBR[[#This Row],[TELEFONO]],ENTRADAS!C:C)</f>
        <v>414</v>
      </c>
      <c r="G1657" s="189" t="s">
        <v>94</v>
      </c>
    </row>
    <row r="1658" customFormat="false" ht="15" hidden="false" customHeight="false" outlineLevel="0" collapsed="false">
      <c r="A1658" s="197" t="n">
        <v>46108</v>
      </c>
      <c r="B1658" s="191"/>
      <c r="C1658" s="190" t="s">
        <v>2157</v>
      </c>
      <c r="D1658" s="191" t="n">
        <v>554196975586</v>
      </c>
      <c r="E1658" s="190" t="s">
        <v>2158</v>
      </c>
      <c r="F1658" s="192" t="n">
        <f aca="false">SUMIF(ENTRADAS!F:F,CLIENTES_PCBR[[#This Row],[TELEFONO]],ENTRADAS!C:C)</f>
        <v>147</v>
      </c>
      <c r="G1658" s="189" t="s">
        <v>94</v>
      </c>
    </row>
    <row r="1659" customFormat="false" ht="15" hidden="false" customHeight="false" outlineLevel="0" collapsed="false">
      <c r="A1659" s="197" t="n">
        <v>46107</v>
      </c>
      <c r="B1659" s="191"/>
      <c r="C1659" s="190" t="s">
        <v>2163</v>
      </c>
      <c r="D1659" s="191" t="n">
        <v>5511961328620</v>
      </c>
      <c r="F1659" s="192" t="n">
        <f aca="false">SUMIF(ENTRADAS!F:F,CLIENTES_PCBR[[#This Row],[TELEFONO]],ENTRADAS!C:C)</f>
        <v>120</v>
      </c>
      <c r="G1659" s="189" t="s">
        <v>94</v>
      </c>
    </row>
    <row r="1660" customFormat="false" ht="15" hidden="false" customHeight="false" outlineLevel="0" collapsed="false">
      <c r="A1660" s="197" t="n">
        <v>46109</v>
      </c>
      <c r="B1660" s="191"/>
      <c r="C1660" s="190" t="s">
        <v>2175</v>
      </c>
      <c r="D1660" s="191" t="n">
        <v>559584217382</v>
      </c>
      <c r="F1660" s="192" t="n">
        <f aca="false">SUMIF(ENTRADAS!F:F,CLIENTES_PCBR[[#This Row],[TELEFONO]],ENTRADAS!C:C)</f>
        <v>97</v>
      </c>
      <c r="G1660" s="189" t="s">
        <v>94</v>
      </c>
    </row>
    <row r="1661" customFormat="false" ht="15" hidden="false" customHeight="false" outlineLevel="0" collapsed="false">
      <c r="A1661" s="197" t="n">
        <v>46109</v>
      </c>
      <c r="B1661" s="191"/>
      <c r="C1661" s="190" t="s">
        <v>2180</v>
      </c>
      <c r="D1661" s="191" t="n">
        <v>558888460284</v>
      </c>
      <c r="F1661" s="192" t="n">
        <f aca="false">SUMIF(ENTRADAS!F:F,CLIENTES_PCBR[[#This Row],[TELEFONO]],ENTRADAS!C:C)</f>
        <v>210</v>
      </c>
      <c r="G1661" s="189" t="s">
        <v>94</v>
      </c>
    </row>
    <row r="1662" customFormat="false" ht="15" hidden="false" customHeight="false" outlineLevel="0" collapsed="false">
      <c r="A1662" s="197" t="n">
        <v>46110</v>
      </c>
      <c r="B1662" s="191"/>
      <c r="C1662" s="190" t="s">
        <v>2182</v>
      </c>
      <c r="D1662" s="191" t="n">
        <v>5515998541153</v>
      </c>
      <c r="E1662" s="190" t="s">
        <v>485</v>
      </c>
      <c r="F1662" s="192" t="n">
        <f aca="false">SUMIF(ENTRADAS!F:F,CLIENTES_PCBR[[#This Row],[TELEFONO]],ENTRADAS!C:C)</f>
        <v>1310</v>
      </c>
      <c r="G1662" s="189" t="s">
        <v>94</v>
      </c>
    </row>
    <row r="1663" customFormat="false" ht="15" hidden="false" customHeight="false" outlineLevel="0" collapsed="false">
      <c r="A1663" s="197" t="n">
        <v>46110</v>
      </c>
      <c r="B1663" s="191"/>
      <c r="C1663" s="190" t="s">
        <v>2186</v>
      </c>
      <c r="D1663" s="191" t="n">
        <v>5511989087179</v>
      </c>
      <c r="E1663" s="190" t="s">
        <v>2187</v>
      </c>
      <c r="F1663" s="192" t="n">
        <f aca="false">SUMIF(ENTRADAS!F:F,CLIENTES_PCBR[[#This Row],[TELEFONO]],ENTRADAS!C:C)</f>
        <v>297</v>
      </c>
      <c r="G1663" s="189" t="s">
        <v>94</v>
      </c>
    </row>
    <row r="1664" customFormat="false" ht="15" hidden="false" customHeight="false" outlineLevel="0" collapsed="false">
      <c r="A1664" s="197" t="n">
        <v>46110</v>
      </c>
      <c r="B1664" s="191"/>
      <c r="C1664" s="190" t="s">
        <v>2191</v>
      </c>
      <c r="D1664" s="191" t="n">
        <v>554192839942</v>
      </c>
      <c r="E1664" s="190" t="s">
        <v>2192</v>
      </c>
      <c r="F1664" s="192" t="n">
        <f aca="false">SUMIF(ENTRADAS!F:F,CLIENTES_PCBR[[#This Row],[TELEFONO]],ENTRADAS!C:C)</f>
        <v>120</v>
      </c>
      <c r="G1664" s="189" t="s">
        <v>94</v>
      </c>
    </row>
    <row r="1665" customFormat="false" ht="15" hidden="false" customHeight="false" outlineLevel="0" collapsed="false">
      <c r="A1665" s="197" t="n">
        <v>46109</v>
      </c>
      <c r="B1665" s="191"/>
      <c r="C1665" s="190" t="s">
        <v>2196</v>
      </c>
      <c r="D1665" s="191" t="n">
        <v>558599840325</v>
      </c>
      <c r="E1665" s="190" t="s">
        <v>2197</v>
      </c>
      <c r="F1665" s="192" t="n">
        <f aca="false">SUMIF(ENTRADAS!F:F,CLIENTES_PCBR[[#This Row],[TELEFONO]],ENTRADAS!C:C)</f>
        <v>222</v>
      </c>
      <c r="G1665" s="189" t="s">
        <v>94</v>
      </c>
    </row>
    <row r="1666" customFormat="false" ht="15" hidden="false" customHeight="false" outlineLevel="0" collapsed="false">
      <c r="A1666" s="197" t="n">
        <v>46109</v>
      </c>
      <c r="B1666" s="191"/>
      <c r="C1666" s="190" t="s">
        <v>2200</v>
      </c>
      <c r="D1666" s="191" t="n">
        <v>556696363433</v>
      </c>
      <c r="F1666" s="192" t="n">
        <f aca="false">SUMIF(ENTRADAS!F:F,CLIENTES_PCBR[[#This Row],[TELEFONO]],ENTRADAS!C:C)</f>
        <v>150</v>
      </c>
      <c r="G1666" s="189" t="s">
        <v>94</v>
      </c>
    </row>
    <row r="1667" customFormat="false" ht="15" hidden="false" customHeight="false" outlineLevel="0" collapsed="false">
      <c r="A1667" s="197" t="n">
        <v>46110</v>
      </c>
      <c r="B1667" s="191"/>
      <c r="C1667" s="190" t="s">
        <v>2202</v>
      </c>
      <c r="D1667" s="191" t="n">
        <v>559591143897</v>
      </c>
      <c r="E1667" s="190" t="s">
        <v>2203</v>
      </c>
      <c r="F1667" s="192" t="n">
        <f aca="false">SUMIF(ENTRADAS!F:F,CLIENTES_PCBR[[#This Row],[TELEFONO]],ENTRADAS!C:C)</f>
        <v>430</v>
      </c>
      <c r="G1667" s="189" t="s">
        <v>94</v>
      </c>
    </row>
    <row r="1668" customFormat="false" ht="15" hidden="false" customHeight="false" outlineLevel="0" collapsed="false">
      <c r="A1668" s="197" t="n">
        <v>46111</v>
      </c>
      <c r="B1668" s="191"/>
      <c r="C1668" s="190" t="s">
        <v>2207</v>
      </c>
      <c r="D1668" s="191" t="n">
        <v>554791101878</v>
      </c>
      <c r="E1668" s="190" t="s">
        <v>2208</v>
      </c>
      <c r="F1668" s="192" t="n">
        <f aca="false">SUMIF(ENTRADAS!F:F,CLIENTES_PCBR[[#This Row],[TELEFONO]],ENTRADAS!C:C)</f>
        <v>150</v>
      </c>
      <c r="G1668" s="189" t="s">
        <v>94</v>
      </c>
    </row>
    <row r="1669" customFormat="false" ht="15" hidden="false" customHeight="false" outlineLevel="0" collapsed="false">
      <c r="A1669" s="197" t="n">
        <v>46111</v>
      </c>
      <c r="B1669" s="191"/>
      <c r="C1669" s="190" t="s">
        <v>2213</v>
      </c>
      <c r="D1669" s="191" t="n">
        <v>559584205495</v>
      </c>
      <c r="E1669" s="190" t="s">
        <v>2215</v>
      </c>
      <c r="F1669" s="192" t="n">
        <f aca="false">SUMIF(ENTRADAS!F:F,CLIENTES_PCBR[[#This Row],[TELEFONO]],ENTRADAS!C:C)</f>
        <v>120</v>
      </c>
      <c r="G1669" s="189" t="s">
        <v>94</v>
      </c>
    </row>
    <row r="1670" customFormat="false" ht="15" hidden="false" customHeight="false" outlineLevel="0" collapsed="false">
      <c r="A1670" s="197" t="n">
        <v>46111</v>
      </c>
      <c r="B1670" s="191"/>
      <c r="C1670" s="190" t="s">
        <v>2217</v>
      </c>
      <c r="D1670" s="191" t="n">
        <v>554184549679</v>
      </c>
      <c r="E1670" s="190" t="s">
        <v>2218</v>
      </c>
      <c r="F1670" s="192" t="n">
        <f aca="false">SUMIF(ENTRADAS!F:F,CLIENTES_PCBR[[#This Row],[TELEFONO]],ENTRADAS!C:C)</f>
        <v>147</v>
      </c>
      <c r="G1670" s="189" t="s">
        <v>94</v>
      </c>
    </row>
    <row r="1671" customFormat="false" ht="16.4" hidden="false" customHeight="false" outlineLevel="0" collapsed="false">
      <c r="A1671" s="197" t="n">
        <v>46111</v>
      </c>
      <c r="B1671" s="191"/>
      <c r="C1671" s="190" t="s">
        <v>2221</v>
      </c>
      <c r="D1671" s="191" t="n">
        <v>5352754834</v>
      </c>
      <c r="E1671" s="200" t="s">
        <v>5527</v>
      </c>
      <c r="F1671" s="192" t="n">
        <f aca="false">SUMIF(ENTRADAS!F:F,CLIENTES_PCBR[[#This Row],[TELEFONO]],ENTRADAS!C:C)</f>
        <v>240</v>
      </c>
      <c r="G1671" s="189" t="s">
        <v>94</v>
      </c>
    </row>
    <row r="1672" customFormat="false" ht="15" hidden="false" customHeight="false" outlineLevel="0" collapsed="false">
      <c r="A1672" s="197" t="n">
        <v>46111</v>
      </c>
      <c r="B1672" s="191"/>
      <c r="C1672" s="190" t="s">
        <v>2224</v>
      </c>
      <c r="D1672" s="191" t="n">
        <v>555499152221</v>
      </c>
      <c r="E1672" s="190" t="s">
        <v>2225</v>
      </c>
      <c r="F1672" s="192" t="n">
        <f aca="false">SUMIF(ENTRADAS!F:F,CLIENTES_PCBR[[#This Row],[TELEFONO]],ENTRADAS!C:C)</f>
        <v>150</v>
      </c>
      <c r="G1672" s="189" t="s">
        <v>94</v>
      </c>
    </row>
    <row r="1673" customFormat="false" ht="15" hidden="false" customHeight="false" outlineLevel="0" collapsed="false">
      <c r="A1673" s="197" t="n">
        <v>46111</v>
      </c>
      <c r="B1673" s="191"/>
      <c r="C1673" s="190" t="s">
        <v>2228</v>
      </c>
      <c r="D1673" s="191" t="n">
        <v>559584197916</v>
      </c>
      <c r="E1673" s="190" t="s">
        <v>2229</v>
      </c>
      <c r="F1673" s="192" t="n">
        <f aca="false">SUMIF(ENTRADAS!F:F,CLIENTES_PCBR[[#This Row],[TELEFONO]],ENTRADAS!C:C)</f>
        <v>120</v>
      </c>
      <c r="G1673" s="189" t="s">
        <v>94</v>
      </c>
    </row>
    <row r="1674" customFormat="false" ht="15" hidden="false" customHeight="false" outlineLevel="0" collapsed="false">
      <c r="A1674" s="197" t="n">
        <v>46111</v>
      </c>
      <c r="B1674" s="191"/>
      <c r="C1674" s="190" t="s">
        <v>2232</v>
      </c>
      <c r="D1674" s="191" t="n">
        <v>5511994261080</v>
      </c>
      <c r="F1674" s="192" t="n">
        <f aca="false">SUMIF(ENTRADAS!F:F,CLIENTES_PCBR[[#This Row],[TELEFONO]],ENTRADAS!C:C)</f>
        <v>150</v>
      </c>
      <c r="G1674" s="189" t="s">
        <v>94</v>
      </c>
    </row>
    <row r="1675" customFormat="false" ht="15" hidden="false" customHeight="false" outlineLevel="0" collapsed="false">
      <c r="A1675" s="197" t="n">
        <v>46111</v>
      </c>
      <c r="B1675" s="191"/>
      <c r="C1675" s="190" t="s">
        <v>2234</v>
      </c>
      <c r="D1675" s="191" t="n">
        <v>5595920012132</v>
      </c>
      <c r="E1675" s="190" t="s">
        <v>2235</v>
      </c>
      <c r="F1675" s="192" t="n">
        <f aca="false">SUMIF(ENTRADAS!F:F,CLIENTES_PCBR[[#This Row],[TELEFONO]],ENTRADAS!C:C)</f>
        <v>194</v>
      </c>
      <c r="G1675" s="189" t="s">
        <v>94</v>
      </c>
    </row>
    <row r="1676" customFormat="false" ht="15" hidden="false" customHeight="false" outlineLevel="0" collapsed="false">
      <c r="A1676" s="197" t="n">
        <v>46112</v>
      </c>
      <c r="B1676" s="191"/>
      <c r="C1676" s="190" t="s">
        <v>2238</v>
      </c>
      <c r="D1676" s="191" t="n">
        <v>554891467653</v>
      </c>
      <c r="E1676" s="190" t="s">
        <v>2239</v>
      </c>
      <c r="F1676" s="192" t="n">
        <f aca="false">SUMIF(ENTRADAS!F:F,CLIENTES_PCBR[[#This Row],[TELEFONO]],ENTRADAS!C:C)</f>
        <v>97</v>
      </c>
      <c r="G1676" s="189" t="s">
        <v>94</v>
      </c>
    </row>
    <row r="1677" customFormat="false" ht="15" hidden="false" customHeight="false" outlineLevel="0" collapsed="false">
      <c r="A1677" s="197" t="n">
        <v>46112</v>
      </c>
      <c r="B1677" s="191"/>
      <c r="C1677" s="190" t="s">
        <v>2241</v>
      </c>
      <c r="D1677" s="191" t="n">
        <v>5511915214646</v>
      </c>
      <c r="F1677" s="192" t="n">
        <f aca="false">SUMIF(ENTRADAS!F:F,CLIENTES_PCBR[[#This Row],[TELEFONO]],ENTRADAS!C:C)</f>
        <v>150</v>
      </c>
      <c r="G1677" s="189" t="s">
        <v>94</v>
      </c>
    </row>
    <row r="1678" customFormat="false" ht="15" hidden="false" customHeight="false" outlineLevel="0" collapsed="false">
      <c r="A1678" s="197" t="n">
        <v>46112</v>
      </c>
      <c r="B1678" s="191"/>
      <c r="C1678" s="190" t="s">
        <v>2244</v>
      </c>
      <c r="D1678" s="191" t="n">
        <v>559584297885</v>
      </c>
      <c r="F1678" s="192" t="n">
        <f aca="false">SUMIF(ENTRADAS!F:F,CLIENTES_PCBR[[#This Row],[TELEFONO]],ENTRADAS!C:C)</f>
        <v>240</v>
      </c>
      <c r="G1678" s="189" t="s">
        <v>94</v>
      </c>
    </row>
    <row r="1679" customFormat="false" ht="15" hidden="false" customHeight="false" outlineLevel="0" collapsed="false">
      <c r="A1679" s="197" t="n">
        <v>46112</v>
      </c>
      <c r="B1679" s="191"/>
      <c r="C1679" s="190" t="s">
        <v>2246</v>
      </c>
      <c r="D1679" s="191" t="n">
        <v>554195433912</v>
      </c>
      <c r="E1679" s="190" t="s">
        <v>2247</v>
      </c>
      <c r="F1679" s="192" t="n">
        <f aca="false">SUMIF(ENTRADAS!F:F,CLIENTES_PCBR[[#This Row],[TELEFONO]],ENTRADAS!C:C)</f>
        <v>240</v>
      </c>
      <c r="G1679" s="189" t="s">
        <v>94</v>
      </c>
    </row>
    <row r="1680" customFormat="false" ht="15" hidden="false" customHeight="false" outlineLevel="0" collapsed="false">
      <c r="A1680" s="197" t="n">
        <v>46112</v>
      </c>
      <c r="B1680" s="191"/>
      <c r="C1680" s="190" t="s">
        <v>1888</v>
      </c>
      <c r="D1680" s="191" t="n">
        <v>5595984028971</v>
      </c>
      <c r="E1680" s="190" t="s">
        <v>2249</v>
      </c>
      <c r="F1680" s="192" t="n">
        <f aca="false">SUMIF(ENTRADAS!F:F,CLIENTES_PCBR[[#This Row],[TELEFONO]],ENTRADAS!C:C)</f>
        <v>580</v>
      </c>
      <c r="G1680" s="189" t="s">
        <v>94</v>
      </c>
    </row>
    <row r="1681" customFormat="false" ht="15" hidden="false" customHeight="false" outlineLevel="0" collapsed="false">
      <c r="A1681" s="197" t="n">
        <v>46112</v>
      </c>
      <c r="B1681" s="191"/>
      <c r="C1681" s="190" t="s">
        <v>2251</v>
      </c>
      <c r="D1681" s="191" t="n">
        <v>559584288624</v>
      </c>
      <c r="F1681" s="192" t="n">
        <f aca="false">SUMIF(ENTRADAS!F:F,CLIENTES_PCBR[[#This Row],[TELEFONO]],ENTRADAS!C:C)</f>
        <v>900</v>
      </c>
      <c r="G1681" s="189" t="s">
        <v>94</v>
      </c>
    </row>
    <row r="1682" customFormat="false" ht="15" hidden="false" customHeight="false" outlineLevel="0" collapsed="false">
      <c r="A1682" s="197" t="n">
        <v>46112</v>
      </c>
      <c r="B1682" s="191"/>
      <c r="C1682" s="190" t="s">
        <v>2255</v>
      </c>
      <c r="D1682" s="191" t="n">
        <v>554185081260</v>
      </c>
      <c r="F1682" s="192" t="n">
        <f aca="false">SUMIF(ENTRADAS!F:F,CLIENTES_PCBR[[#This Row],[TELEFONO]],ENTRADAS!C:C)</f>
        <v>600</v>
      </c>
      <c r="G1682" s="189" t="s">
        <v>94</v>
      </c>
    </row>
    <row r="1683" customFormat="false" ht="15" hidden="false" customHeight="false" outlineLevel="0" collapsed="false">
      <c r="A1683" s="197" t="n">
        <v>46112</v>
      </c>
      <c r="B1683" s="191"/>
      <c r="C1683" s="190" t="s">
        <v>2259</v>
      </c>
      <c r="D1683" s="191" t="n">
        <v>554888205225</v>
      </c>
      <c r="E1683" s="199" t="s">
        <v>2392</v>
      </c>
      <c r="F1683" s="192" t="n">
        <f aca="false">SUMIF(ENTRADAS!F:F,CLIENTES_PCBR[[#This Row],[TELEFONO]],ENTRADAS!C:C)</f>
        <v>535</v>
      </c>
      <c r="G1683" s="189" t="s">
        <v>94</v>
      </c>
    </row>
    <row r="1684" customFormat="false" ht="15" hidden="false" customHeight="false" outlineLevel="0" collapsed="false">
      <c r="A1684" s="197" t="n">
        <v>46112</v>
      </c>
      <c r="B1684" s="191"/>
      <c r="C1684" s="190" t="s">
        <v>2264</v>
      </c>
      <c r="D1684" s="191" t="n">
        <v>554799009126</v>
      </c>
      <c r="E1684" s="190" t="s">
        <v>2265</v>
      </c>
      <c r="F1684" s="192" t="n">
        <f aca="false">SUMIF(ENTRADAS!F:F,CLIENTES_PCBR[[#This Row],[TELEFONO]],ENTRADAS!C:C)</f>
        <v>147</v>
      </c>
      <c r="G1684" s="189" t="s">
        <v>94</v>
      </c>
    </row>
    <row r="1685" customFormat="false" ht="15" hidden="false" customHeight="false" outlineLevel="0" collapsed="false">
      <c r="A1685" s="197" t="n">
        <v>46076</v>
      </c>
      <c r="B1685" s="191"/>
      <c r="C1685" s="190" t="s">
        <v>2267</v>
      </c>
      <c r="D1685" s="191" t="n">
        <v>554888213118</v>
      </c>
      <c r="F1685" s="192" t="n">
        <f aca="false">SUMIF(ENTRADAS!F:F,CLIENTES_PCBR[[#This Row],[TELEFONO]],ENTRADAS!C:C)</f>
        <v>314</v>
      </c>
      <c r="G1685" s="189" t="s">
        <v>94</v>
      </c>
    </row>
    <row r="1686" customFormat="false" ht="15" hidden="false" customHeight="false" outlineLevel="0" collapsed="false">
      <c r="A1686" s="197" t="n">
        <v>46112</v>
      </c>
      <c r="B1686" s="191"/>
      <c r="C1686" s="190" t="s">
        <v>2271</v>
      </c>
      <c r="D1686" s="191" t="n">
        <v>559584107398</v>
      </c>
      <c r="E1686" s="190" t="s">
        <v>2272</v>
      </c>
      <c r="F1686" s="192" t="n">
        <f aca="false">SUMIF(ENTRADAS!F:F,CLIENTES_PCBR[[#This Row],[TELEFONO]],ENTRADAS!C:C)</f>
        <v>120</v>
      </c>
      <c r="G1686" s="189" t="s">
        <v>94</v>
      </c>
    </row>
    <row r="1687" customFormat="false" ht="15" hidden="false" customHeight="false" outlineLevel="0" collapsed="false">
      <c r="A1687" s="197" t="n">
        <v>46112</v>
      </c>
      <c r="B1687" s="191"/>
      <c r="C1687" s="190" t="s">
        <v>2284</v>
      </c>
      <c r="D1687" s="191" t="n">
        <v>5513974230688</v>
      </c>
      <c r="E1687" s="190" t="s">
        <v>2285</v>
      </c>
      <c r="F1687" s="192" t="n">
        <f aca="false">SUMIF(ENTRADAS!F:F,CLIENTES_PCBR[[#This Row],[TELEFONO]],ENTRADAS!C:C)</f>
        <v>120</v>
      </c>
      <c r="G1687" s="189" t="s">
        <v>94</v>
      </c>
    </row>
    <row r="1688" customFormat="false" ht="15" hidden="false" customHeight="false" outlineLevel="0" collapsed="false">
      <c r="A1688" s="197" t="n">
        <v>46113</v>
      </c>
      <c r="B1688" s="191"/>
      <c r="C1688" s="190" t="s">
        <v>2291</v>
      </c>
      <c r="D1688" s="191" t="n">
        <v>555496390051</v>
      </c>
      <c r="E1688" s="190" t="s">
        <v>2292</v>
      </c>
      <c r="F1688" s="192" t="n">
        <f aca="false">SUMIF(ENTRADAS!F:F,CLIENTES_PCBR[[#This Row],[TELEFONO]],ENTRADAS!C:C)</f>
        <v>150</v>
      </c>
      <c r="G1688" s="189" t="s">
        <v>94</v>
      </c>
      <c r="H1688" s="189" t="s">
        <v>2288</v>
      </c>
      <c r="I1688" s="189" t="s">
        <v>2129</v>
      </c>
    </row>
    <row r="1689" customFormat="false" ht="15" hidden="false" customHeight="false" outlineLevel="0" collapsed="false">
      <c r="A1689" s="197" t="n">
        <v>46113</v>
      </c>
      <c r="B1689" s="191"/>
      <c r="C1689" s="190" t="s">
        <v>2294</v>
      </c>
      <c r="D1689" s="191" t="n">
        <v>554197159485</v>
      </c>
      <c r="E1689" s="190" t="s">
        <v>2295</v>
      </c>
      <c r="F1689" s="192" t="n">
        <f aca="false">SUMIF(ENTRADAS!F:F,CLIENTES_PCBR[[#This Row],[TELEFONO]],ENTRADAS!C:C)</f>
        <v>267</v>
      </c>
      <c r="G1689" s="189" t="s">
        <v>94</v>
      </c>
      <c r="H1689" s="189" t="s">
        <v>2107</v>
      </c>
      <c r="I1689" s="189" t="s">
        <v>862</v>
      </c>
      <c r="J1689" s="189" t="s">
        <v>1176</v>
      </c>
      <c r="K1689" s="201"/>
    </row>
    <row r="1690" customFormat="false" ht="15" hidden="false" customHeight="false" outlineLevel="0" collapsed="false">
      <c r="A1690" s="197" t="n">
        <v>46113</v>
      </c>
      <c r="B1690" s="191" t="n">
        <v>11571517286</v>
      </c>
      <c r="C1690" s="190" t="s">
        <v>2298</v>
      </c>
      <c r="D1690" s="191" t="n">
        <v>554184731481</v>
      </c>
      <c r="E1690" s="190" t="s">
        <v>2299</v>
      </c>
      <c r="F1690" s="192" t="n">
        <f aca="false">SUMIF(ENTRADAS!F:F,CLIENTES_PCBR[[#This Row],[TELEFONO]],ENTRADAS!C:C)</f>
        <v>294</v>
      </c>
      <c r="G1690" s="189" t="s">
        <v>94</v>
      </c>
      <c r="H1690" s="189" t="s">
        <v>2128</v>
      </c>
      <c r="I1690" s="189" t="s">
        <v>2129</v>
      </c>
      <c r="K1690" s="201"/>
    </row>
    <row r="1691" customFormat="false" ht="15" hidden="false" customHeight="false" outlineLevel="0" collapsed="false">
      <c r="A1691" s="197" t="n">
        <v>46113</v>
      </c>
      <c r="B1691" s="191"/>
      <c r="C1691" s="190" t="s">
        <v>2302</v>
      </c>
      <c r="D1691" s="191" t="n">
        <v>559584019799</v>
      </c>
      <c r="E1691" s="190" t="s">
        <v>2303</v>
      </c>
      <c r="F1691" s="192" t="n">
        <f aca="false">SUMIF(ENTRADAS!F:F,CLIENTES_PCBR[[#This Row],[TELEFONO]],ENTRADAS!C:C)</f>
        <v>120</v>
      </c>
      <c r="G1691" s="189" t="s">
        <v>94</v>
      </c>
      <c r="H1691" s="189" t="s">
        <v>2159</v>
      </c>
      <c r="I1691" s="189" t="s">
        <v>2089</v>
      </c>
      <c r="K1691" s="201"/>
    </row>
    <row r="1692" customFormat="false" ht="15" hidden="false" customHeight="false" outlineLevel="0" collapsed="false">
      <c r="A1692" s="197" t="n">
        <v>46113</v>
      </c>
      <c r="B1692" s="191"/>
      <c r="C1692" s="190" t="s">
        <v>2305</v>
      </c>
      <c r="D1692" s="191" t="n">
        <v>5519989545325</v>
      </c>
      <c r="E1692" s="190" t="s">
        <v>2306</v>
      </c>
      <c r="F1692" s="192" t="n">
        <f aca="false">SUMIF(ENTRADAS!F:F,CLIENTES_PCBR[[#This Row],[TELEFONO]],ENTRADAS!C:C)</f>
        <v>120</v>
      </c>
      <c r="G1692" s="189" t="s">
        <v>94</v>
      </c>
      <c r="H1692" s="189" t="s">
        <v>2280</v>
      </c>
      <c r="I1692" s="189" t="s">
        <v>2281</v>
      </c>
      <c r="K1692" s="201"/>
    </row>
    <row r="1693" customFormat="false" ht="15" hidden="false" customHeight="false" outlineLevel="0" collapsed="false">
      <c r="A1693" s="197" t="n">
        <v>46113</v>
      </c>
      <c r="B1693" s="191"/>
      <c r="C1693" s="190" t="s">
        <v>2308</v>
      </c>
      <c r="D1693" s="191" t="n">
        <v>5511940232561</v>
      </c>
      <c r="E1693" s="190" t="s">
        <v>2309</v>
      </c>
      <c r="F1693" s="192" t="n">
        <f aca="false">SUMIF(ENTRADAS!F:F,CLIENTES_PCBR[[#This Row],[TELEFONO]],ENTRADAS!C:C)</f>
        <v>300</v>
      </c>
      <c r="G1693" s="189" t="s">
        <v>94</v>
      </c>
      <c r="H1693" s="189" t="s">
        <v>2276</v>
      </c>
      <c r="I1693" s="189" t="s">
        <v>2135</v>
      </c>
      <c r="K1693" s="201"/>
    </row>
    <row r="1694" customFormat="false" ht="15" hidden="false" customHeight="false" outlineLevel="0" collapsed="false">
      <c r="A1694" s="197" t="n">
        <v>46113</v>
      </c>
      <c r="B1694" s="191"/>
      <c r="C1694" s="190" t="s">
        <v>2311</v>
      </c>
      <c r="D1694" s="191" t="n">
        <v>555496205451</v>
      </c>
      <c r="E1694" s="190" t="s">
        <v>2312</v>
      </c>
      <c r="F1694" s="192" t="n">
        <f aca="false">SUMIF(ENTRADAS!F:F,CLIENTES_PCBR[[#This Row],[TELEFONO]],ENTRADAS!C:C)</f>
        <v>97</v>
      </c>
      <c r="G1694" s="189" t="s">
        <v>94</v>
      </c>
      <c r="H1694" s="189" t="s">
        <v>2280</v>
      </c>
      <c r="I1694" s="189" t="s">
        <v>2281</v>
      </c>
      <c r="J1694" s="189" t="s">
        <v>1176</v>
      </c>
      <c r="K1694" s="201"/>
    </row>
    <row r="1695" customFormat="false" ht="15" hidden="false" customHeight="false" outlineLevel="0" collapsed="false">
      <c r="A1695" s="197" t="n">
        <v>46114</v>
      </c>
      <c r="B1695" s="191" t="n">
        <v>11475548206</v>
      </c>
      <c r="C1695" s="190" t="s">
        <v>2324</v>
      </c>
      <c r="D1695" s="191" t="n">
        <v>556182201243</v>
      </c>
      <c r="E1695" s="190" t="s">
        <v>2326</v>
      </c>
      <c r="F1695" s="192" t="n">
        <f aca="false">SUMIF(ENTRADAS!F:F,CLIENTES_PCBR[[#This Row],[TELEFONO]],ENTRADAS!C:C)</f>
        <v>150</v>
      </c>
      <c r="G1695" s="189" t="s">
        <v>94</v>
      </c>
      <c r="H1695" s="189" t="s">
        <v>2313</v>
      </c>
      <c r="I1695" s="189" t="s">
        <v>2121</v>
      </c>
      <c r="K1695" s="201"/>
    </row>
    <row r="1696" customFormat="false" ht="15" hidden="false" customHeight="false" outlineLevel="0" collapsed="false">
      <c r="A1696" s="197" t="n">
        <v>46113</v>
      </c>
      <c r="B1696" s="191"/>
      <c r="C1696" s="190" t="s">
        <v>2329</v>
      </c>
      <c r="D1696" s="191" t="n">
        <v>5354824405</v>
      </c>
      <c r="E1696" s="190" t="s">
        <v>2330</v>
      </c>
      <c r="F1696" s="192" t="n">
        <f aca="false">SUMIF(ENTRADAS!F:F,CLIENTES_PCBR[[#This Row],[TELEFONO]],ENTRADAS!C:C)</f>
        <v>441</v>
      </c>
      <c r="G1696" s="189" t="s">
        <v>94</v>
      </c>
      <c r="H1696" s="189" t="s">
        <v>2280</v>
      </c>
      <c r="I1696" s="189" t="s">
        <v>2281</v>
      </c>
      <c r="K1696" s="201"/>
    </row>
    <row r="1697" customFormat="false" ht="15" hidden="false" customHeight="false" outlineLevel="0" collapsed="false">
      <c r="A1697" s="197" t="n">
        <v>46113</v>
      </c>
      <c r="B1697" s="191"/>
      <c r="C1697" s="190" t="s">
        <v>2332</v>
      </c>
      <c r="D1697" s="191" t="n">
        <v>5350748276</v>
      </c>
      <c r="E1697" s="190" t="s">
        <v>2334</v>
      </c>
      <c r="F1697" s="192" t="n">
        <f aca="false">SUMIF(ENTRADAS!F:F,CLIENTES_PCBR[[#This Row],[TELEFONO]],ENTRADAS!C:C)</f>
        <v>245</v>
      </c>
      <c r="G1697" s="189" t="s">
        <v>94</v>
      </c>
      <c r="H1697" s="189" t="s">
        <v>2183</v>
      </c>
      <c r="I1697" s="189" t="s">
        <v>2135</v>
      </c>
      <c r="K1697" s="201"/>
    </row>
    <row r="1698" customFormat="false" ht="15" hidden="false" customHeight="false" outlineLevel="0" collapsed="false">
      <c r="A1698" s="197" t="n">
        <v>46113</v>
      </c>
      <c r="B1698" s="191"/>
      <c r="C1698" s="190" t="s">
        <v>2336</v>
      </c>
      <c r="D1698" s="191" t="n">
        <v>556481189667</v>
      </c>
      <c r="E1698" s="190" t="s">
        <v>2337</v>
      </c>
      <c r="F1698" s="192" t="n">
        <f aca="false">SUMIF(ENTRADAS!F:F,CLIENTES_PCBR[[#This Row],[TELEFONO]],ENTRADAS!C:C)</f>
        <v>150</v>
      </c>
      <c r="G1698" s="189" t="s">
        <v>94</v>
      </c>
      <c r="H1698" s="189" t="s">
        <v>2107</v>
      </c>
      <c r="I1698" s="189" t="s">
        <v>2320</v>
      </c>
      <c r="J1698" s="189" t="s">
        <v>1176</v>
      </c>
      <c r="K1698" s="201"/>
    </row>
    <row r="1699" customFormat="false" ht="15" hidden="false" customHeight="false" outlineLevel="0" collapsed="false">
      <c r="A1699" s="197" t="n">
        <v>46114</v>
      </c>
      <c r="B1699" s="191"/>
      <c r="C1699" s="190" t="s">
        <v>2343</v>
      </c>
      <c r="D1699" s="191" t="n">
        <v>554792221708</v>
      </c>
      <c r="E1699" s="190" t="s">
        <v>2344</v>
      </c>
      <c r="F1699" s="192" t="n">
        <f aca="false">SUMIF(ENTRADAS!F:F,CLIENTES_PCBR[[#This Row],[TELEFONO]],ENTRADAS!C:C)</f>
        <v>150</v>
      </c>
      <c r="G1699" s="189" t="s">
        <v>94</v>
      </c>
      <c r="H1699" s="189" t="s">
        <v>2107</v>
      </c>
      <c r="I1699" s="189" t="s">
        <v>2281</v>
      </c>
      <c r="K1699" s="201"/>
    </row>
    <row r="1700" customFormat="false" ht="15" hidden="false" customHeight="false" outlineLevel="0" collapsed="false">
      <c r="A1700" s="197" t="n">
        <v>46113</v>
      </c>
      <c r="B1700" s="191"/>
      <c r="C1700" s="190" t="s">
        <v>2348</v>
      </c>
      <c r="D1700" s="191" t="n">
        <v>559492892477</v>
      </c>
      <c r="E1700" s="190" t="s">
        <v>43</v>
      </c>
      <c r="F1700" s="192" t="n">
        <f aca="false">SUMIF(ENTRADAS!F:F,CLIENTES_PCBR[[#This Row],[TELEFONO]],ENTRADAS!C:C)</f>
        <v>147</v>
      </c>
      <c r="G1700" s="189" t="s">
        <v>94</v>
      </c>
      <c r="H1700" s="189" t="s">
        <v>2107</v>
      </c>
      <c r="I1700" s="189" t="s">
        <v>862</v>
      </c>
      <c r="J1700" s="189" t="s">
        <v>1176</v>
      </c>
      <c r="K1700" s="201"/>
    </row>
    <row r="1701" customFormat="false" ht="15" hidden="false" customHeight="false" outlineLevel="0" collapsed="false">
      <c r="A1701" s="197" t="n">
        <v>46114</v>
      </c>
      <c r="B1701" s="191"/>
      <c r="C1701" s="190" t="s">
        <v>2353</v>
      </c>
      <c r="D1701" s="191" t="n">
        <v>554185049202</v>
      </c>
      <c r="E1701" s="190" t="s">
        <v>2354</v>
      </c>
      <c r="F1701" s="192" t="n">
        <f aca="false">SUMIF(ENTRADAS!F:F,CLIENTES_PCBR[[#This Row],[TELEFONO]],ENTRADAS!C:C)</f>
        <v>147</v>
      </c>
      <c r="G1701" s="189" t="s">
        <v>94</v>
      </c>
      <c r="H1701" s="189" t="s">
        <v>2236</v>
      </c>
      <c r="I1701" s="189" t="s">
        <v>2129</v>
      </c>
      <c r="K1701" s="201"/>
    </row>
    <row r="1702" customFormat="false" ht="15" hidden="false" customHeight="false" outlineLevel="0" collapsed="false">
      <c r="A1702" s="197" t="n">
        <v>46114</v>
      </c>
      <c r="B1702" s="191"/>
      <c r="C1702" s="190" t="s">
        <v>2357</v>
      </c>
      <c r="D1702" s="191" t="n">
        <v>5548999792387</v>
      </c>
      <c r="E1702" s="190" t="s">
        <v>2358</v>
      </c>
      <c r="F1702" s="192" t="n">
        <f aca="false">SUMIF(ENTRADAS!F:F,CLIENTES_PCBR[[#This Row],[TELEFONO]],ENTRADAS!C:C)</f>
        <v>240</v>
      </c>
      <c r="G1702" s="189" t="s">
        <v>94</v>
      </c>
      <c r="H1702" s="189" t="s">
        <v>2107</v>
      </c>
      <c r="I1702" s="189" t="s">
        <v>862</v>
      </c>
      <c r="J1702" s="189" t="s">
        <v>1176</v>
      </c>
      <c r="K1702" s="201"/>
    </row>
    <row r="1703" customFormat="false" ht="15" hidden="false" customHeight="false" outlineLevel="0" collapsed="false">
      <c r="A1703" s="197" t="n">
        <v>46114</v>
      </c>
      <c r="B1703" s="191"/>
      <c r="C1703" s="190" t="s">
        <v>2360</v>
      </c>
      <c r="D1703" s="191" t="n">
        <v>5358091217</v>
      </c>
      <c r="E1703" s="190" t="s">
        <v>2361</v>
      </c>
      <c r="F1703" s="192" t="n">
        <f aca="false">SUMIF(ENTRADAS!F:F,CLIENTES_PCBR[[#This Row],[TELEFONO]],ENTRADAS!C:C)</f>
        <v>554</v>
      </c>
      <c r="G1703" s="189" t="s">
        <v>94</v>
      </c>
      <c r="H1703" s="189" t="s">
        <v>2107</v>
      </c>
      <c r="I1703" s="189" t="s">
        <v>862</v>
      </c>
      <c r="J1703" s="189" t="s">
        <v>1176</v>
      </c>
      <c r="K1703" s="201"/>
    </row>
    <row r="1704" customFormat="false" ht="15" hidden="false" customHeight="false" outlineLevel="0" collapsed="false">
      <c r="A1704" s="197" t="n">
        <v>46115</v>
      </c>
      <c r="B1704" s="191"/>
      <c r="C1704" s="190" t="s">
        <v>2365</v>
      </c>
      <c r="D1704" s="191" t="n">
        <v>554891223863</v>
      </c>
      <c r="E1704" s="190" t="s">
        <v>2366</v>
      </c>
      <c r="F1704" s="192" t="n">
        <f aca="false">SUMIF(ENTRADAS!F:F,CLIENTES_PCBR[[#This Row],[TELEFONO]],ENTRADAS!C:C)</f>
        <v>97</v>
      </c>
      <c r="G1704" s="189" t="s">
        <v>94</v>
      </c>
      <c r="H1704" s="189" t="s">
        <v>2236</v>
      </c>
      <c r="I1704" s="189" t="s">
        <v>2129</v>
      </c>
      <c r="K1704" s="201"/>
    </row>
    <row r="1705" customFormat="false" ht="15" hidden="false" customHeight="false" outlineLevel="0" collapsed="false">
      <c r="A1705" s="197" t="n">
        <v>46115</v>
      </c>
      <c r="B1705" s="191"/>
      <c r="C1705" s="190" t="s">
        <v>2369</v>
      </c>
      <c r="D1705" s="191" t="n">
        <v>59895930973</v>
      </c>
      <c r="E1705" s="190" t="s">
        <v>2370</v>
      </c>
      <c r="F1705" s="192" t="n">
        <f aca="false">SUMIF(ENTRADAS!F:F,CLIENTES_PCBR[[#This Row],[TELEFONO]],ENTRADAS!C:C)</f>
        <v>1600</v>
      </c>
      <c r="G1705" s="189" t="s">
        <v>94</v>
      </c>
      <c r="H1705" s="189" t="s">
        <v>2341</v>
      </c>
      <c r="I1705" s="189" t="s">
        <v>2245</v>
      </c>
      <c r="K1705" s="201"/>
    </row>
    <row r="1706" customFormat="false" ht="15" hidden="false" customHeight="false" outlineLevel="0" collapsed="false">
      <c r="A1706" s="197" t="n">
        <v>46114</v>
      </c>
      <c r="B1706" s="191"/>
      <c r="C1706" s="190" t="s">
        <v>2373</v>
      </c>
      <c r="D1706" s="191" t="n">
        <v>554699784263</v>
      </c>
      <c r="E1706" s="190" t="s">
        <v>2374</v>
      </c>
      <c r="F1706" s="192" t="n">
        <f aca="false">SUMIF(ENTRADAS!F:F,CLIENTES_PCBR[[#This Row],[TELEFONO]],ENTRADAS!C:C)</f>
        <v>97</v>
      </c>
      <c r="G1706" s="189" t="s">
        <v>94</v>
      </c>
      <c r="H1706" s="189" t="s">
        <v>2345</v>
      </c>
      <c r="I1706" s="189" t="s">
        <v>2129</v>
      </c>
      <c r="J1706" s="189" t="s">
        <v>1176</v>
      </c>
      <c r="K1706" s="201"/>
    </row>
    <row r="1707" customFormat="false" ht="15" hidden="false" customHeight="false" outlineLevel="0" collapsed="false">
      <c r="A1707" s="197" t="n">
        <v>46115</v>
      </c>
      <c r="B1707" s="191"/>
      <c r="C1707" s="190" t="s">
        <v>2380</v>
      </c>
      <c r="D1707" s="191" t="n">
        <v>554884510279</v>
      </c>
      <c r="E1707" s="190" t="s">
        <v>2381</v>
      </c>
      <c r="F1707" s="192" t="n">
        <f aca="false">SUMIF(ENTRADAS!F:F,CLIENTES_PCBR[[#This Row],[TELEFONO]],ENTRADAS!C:C)</f>
        <v>420</v>
      </c>
      <c r="G1707" s="189" t="s">
        <v>94</v>
      </c>
      <c r="H1707" s="189" t="s">
        <v>2349</v>
      </c>
      <c r="I1707" s="189" t="s">
        <v>2350</v>
      </c>
      <c r="J1707" s="189" t="s">
        <v>1176</v>
      </c>
      <c r="K1707" s="201"/>
    </row>
    <row r="1708" customFormat="false" ht="15" hidden="false" customHeight="false" outlineLevel="0" collapsed="false">
      <c r="A1708" s="197" t="n">
        <v>46115</v>
      </c>
      <c r="B1708" s="191"/>
      <c r="C1708" s="190" t="s">
        <v>2386</v>
      </c>
      <c r="D1708" s="191" t="n">
        <v>554899074401</v>
      </c>
      <c r="E1708" s="190" t="s">
        <v>519</v>
      </c>
      <c r="F1708" s="192" t="n">
        <f aca="false">SUMIF(ENTRADAS!F:F,CLIENTES_PCBR[[#This Row],[TELEFONO]],ENTRADAS!C:C)</f>
        <v>700</v>
      </c>
      <c r="G1708" s="189" t="s">
        <v>94</v>
      </c>
      <c r="J1708" s="189" t="s">
        <v>1176</v>
      </c>
      <c r="K1708" s="201"/>
    </row>
    <row r="1709" customFormat="false" ht="15" hidden="false" customHeight="false" outlineLevel="0" collapsed="false">
      <c r="A1709" s="197" t="n">
        <v>46115</v>
      </c>
      <c r="B1709" s="191"/>
      <c r="C1709" s="190" t="s">
        <v>2388</v>
      </c>
      <c r="D1709" s="191" t="n">
        <v>5547933811978</v>
      </c>
      <c r="E1709" s="190" t="s">
        <v>2389</v>
      </c>
      <c r="F1709" s="192" t="n">
        <f aca="false">SUMIF(ENTRADAS!F:F,CLIENTES_PCBR[[#This Row],[TELEFONO]],ENTRADAS!C:C)</f>
        <v>150</v>
      </c>
      <c r="G1709" s="189" t="s">
        <v>94</v>
      </c>
      <c r="K1709" s="201"/>
    </row>
    <row r="1710" customFormat="false" ht="15" hidden="false" customHeight="false" outlineLevel="0" collapsed="false">
      <c r="A1710" s="197" t="n">
        <v>46115</v>
      </c>
      <c r="B1710" s="191"/>
      <c r="C1710" s="190" t="s">
        <v>2396</v>
      </c>
      <c r="D1710" s="191" t="n">
        <v>559584019185</v>
      </c>
      <c r="E1710" s="190" t="s">
        <v>43</v>
      </c>
      <c r="F1710" s="192" t="n">
        <f aca="false">SUMIF(ENTRADAS!F:F,CLIENTES_PCBR[[#This Row],[TELEFONO]],ENTRADAS!C:C)</f>
        <v>150</v>
      </c>
      <c r="G1710" s="189" t="s">
        <v>94</v>
      </c>
      <c r="H1710" s="189" t="s">
        <v>2159</v>
      </c>
      <c r="I1710" s="189" t="s">
        <v>2089</v>
      </c>
      <c r="J1710" s="189" t="s">
        <v>1176</v>
      </c>
      <c r="K1710" s="201"/>
    </row>
    <row r="1711" customFormat="false" ht="15" hidden="false" customHeight="false" outlineLevel="0" collapsed="false">
      <c r="A1711" s="197" t="n">
        <v>46116</v>
      </c>
      <c r="B1711" s="191"/>
      <c r="C1711" s="190" t="s">
        <v>2399</v>
      </c>
      <c r="D1711" s="191" t="n">
        <v>5511948563300</v>
      </c>
      <c r="E1711" s="190" t="s">
        <v>519</v>
      </c>
      <c r="F1711" s="192" t="n">
        <f aca="false">SUMIF(ENTRADAS!F:F,CLIENTES_PCBR[[#This Row],[TELEFONO]],ENTRADAS!C:C)</f>
        <v>150</v>
      </c>
      <c r="G1711" s="189" t="s">
        <v>94</v>
      </c>
      <c r="H1711" s="189" t="s">
        <v>2128</v>
      </c>
      <c r="I1711" s="189" t="s">
        <v>2129</v>
      </c>
      <c r="K1711" s="201"/>
    </row>
    <row r="1712" customFormat="false" ht="15" hidden="false" customHeight="false" outlineLevel="0" collapsed="false">
      <c r="A1712" s="197" t="n">
        <v>46114</v>
      </c>
      <c r="B1712" s="191"/>
      <c r="C1712" s="190" t="s">
        <v>2401</v>
      </c>
      <c r="D1712" s="191" t="n">
        <v>5595984025752</v>
      </c>
      <c r="E1712" s="190" t="s">
        <v>2402</v>
      </c>
      <c r="F1712" s="192" t="n">
        <f aca="false">SUMIF(ENTRADAS!F:F,CLIENTES_PCBR[[#This Row],[TELEFONO]],ENTRADAS!C:C)</f>
        <v>600</v>
      </c>
      <c r="G1712" s="189" t="s">
        <v>94</v>
      </c>
      <c r="H1712" s="189" t="s">
        <v>2107</v>
      </c>
      <c r="I1712" s="189" t="s">
        <v>2129</v>
      </c>
      <c r="K1712" s="201"/>
    </row>
    <row r="1713" customFormat="false" ht="15" hidden="false" customHeight="false" outlineLevel="0" collapsed="false">
      <c r="A1713" s="197" t="n">
        <v>46115</v>
      </c>
      <c r="B1713" s="191"/>
      <c r="C1713" s="190" t="s">
        <v>2406</v>
      </c>
      <c r="D1713" s="191" t="n">
        <v>554188277050</v>
      </c>
      <c r="E1713" s="190" t="s">
        <v>2407</v>
      </c>
      <c r="F1713" s="192" t="n">
        <f aca="false">SUMIF(ENTRADAS!F:F,CLIENTES_PCBR[[#This Row],[TELEFONO]],ENTRADAS!C:C)</f>
        <v>97</v>
      </c>
      <c r="G1713" s="189" t="s">
        <v>94</v>
      </c>
      <c r="H1713" s="189" t="s">
        <v>2107</v>
      </c>
      <c r="I1713" s="189" t="s">
        <v>2129</v>
      </c>
      <c r="J1713" s="189" t="s">
        <v>1176</v>
      </c>
      <c r="K1713" s="201"/>
    </row>
    <row r="1714" customFormat="false" ht="15" hidden="false" customHeight="false" outlineLevel="0" collapsed="false">
      <c r="A1714" s="197" t="n">
        <v>46115</v>
      </c>
      <c r="B1714" s="191"/>
      <c r="C1714" s="190" t="s">
        <v>2417</v>
      </c>
      <c r="D1714" s="191" t="n">
        <v>554191036564</v>
      </c>
      <c r="E1714" s="190" t="s">
        <v>2418</v>
      </c>
      <c r="F1714" s="192" t="n">
        <f aca="false">SUMIF(ENTRADAS!F:F,CLIENTES_PCBR[[#This Row],[TELEFONO]],ENTRADAS!C:C)</f>
        <v>147</v>
      </c>
      <c r="G1714" s="189" t="s">
        <v>94</v>
      </c>
      <c r="H1714" s="189" t="s">
        <v>2159</v>
      </c>
      <c r="I1714" s="189" t="s">
        <v>2089</v>
      </c>
      <c r="K1714" s="201"/>
    </row>
    <row r="1715" customFormat="false" ht="15" hidden="false" customHeight="false" outlineLevel="0" collapsed="false">
      <c r="A1715" s="197" t="n">
        <v>46116</v>
      </c>
      <c r="B1715" s="191"/>
      <c r="C1715" s="190" t="s">
        <v>2421</v>
      </c>
      <c r="D1715" s="191" t="n">
        <v>556281570618</v>
      </c>
      <c r="E1715" s="190" t="s">
        <v>43</v>
      </c>
      <c r="F1715" s="192" t="n">
        <f aca="false">SUMIF(ENTRADAS!F:F,CLIENTES_PCBR[[#This Row],[TELEFONO]],ENTRADAS!C:C)</f>
        <v>600</v>
      </c>
      <c r="G1715" s="189" t="s">
        <v>94</v>
      </c>
      <c r="H1715" s="189" t="s">
        <v>2367</v>
      </c>
      <c r="I1715" s="189" t="s">
        <v>2129</v>
      </c>
      <c r="J1715" s="189" t="s">
        <v>1176</v>
      </c>
      <c r="K1715" s="201"/>
    </row>
    <row r="1716" customFormat="false" ht="15" hidden="false" customHeight="false" outlineLevel="0" collapsed="false">
      <c r="A1716" s="197" t="s">
        <v>2424</v>
      </c>
      <c r="B1716" s="191"/>
      <c r="C1716" s="190" t="s">
        <v>2426</v>
      </c>
      <c r="D1716" s="191" t="n">
        <v>559584038633</v>
      </c>
      <c r="E1716" s="190" t="s">
        <v>43</v>
      </c>
      <c r="F1716" s="192" t="n">
        <f aca="false">SUMIF(ENTRADAS!F:F,CLIENTES_PCBR[[#This Row],[TELEFONO]],ENTRADAS!C:C)</f>
        <v>450</v>
      </c>
      <c r="G1716" s="189" t="s">
        <v>94</v>
      </c>
      <c r="H1716" s="189" t="s">
        <v>2427</v>
      </c>
      <c r="I1716" s="189" t="s">
        <v>2428</v>
      </c>
      <c r="K1716" s="201"/>
    </row>
    <row r="1717" customFormat="false" ht="15" hidden="false" customHeight="false" outlineLevel="0" collapsed="false">
      <c r="A1717" s="197" t="s">
        <v>2429</v>
      </c>
      <c r="B1717" s="191" t="n">
        <v>11194032273</v>
      </c>
      <c r="C1717" s="190" t="s">
        <v>2430</v>
      </c>
      <c r="D1717" s="191" t="n">
        <v>554599849949</v>
      </c>
      <c r="E1717" s="190" t="s">
        <v>2431</v>
      </c>
      <c r="F1717" s="192" t="n">
        <f aca="false">SUMIF(ENTRADAS!F:F,CLIENTES_PCBR[[#This Row],[TELEFONO]],ENTRADAS!C:C)</f>
        <v>150</v>
      </c>
      <c r="G1717" s="189" t="s">
        <v>94</v>
      </c>
      <c r="H1717" s="189" t="s">
        <v>2432</v>
      </c>
      <c r="I1717" s="189" t="s">
        <v>2089</v>
      </c>
      <c r="J1717" s="189" t="s">
        <v>1176</v>
      </c>
      <c r="K1717" s="201"/>
    </row>
    <row r="1718" customFormat="false" ht="15" hidden="false" customHeight="false" outlineLevel="0" collapsed="false">
      <c r="A1718" s="197" t="s">
        <v>5528</v>
      </c>
      <c r="B1718" s="191"/>
      <c r="C1718" s="190" t="s">
        <v>2436</v>
      </c>
      <c r="D1718" s="191" t="n">
        <v>559392429984</v>
      </c>
      <c r="E1718" s="190" t="s">
        <v>43</v>
      </c>
      <c r="F1718" s="192" t="n">
        <f aca="false">SUMIF(ENTRADAS!F:F,CLIENTES_PCBR[[#This Row],[TELEFONO]],ENTRADAS!C:C)</f>
        <v>120</v>
      </c>
      <c r="G1718" s="189" t="s">
        <v>94</v>
      </c>
      <c r="H1718" s="189" t="s">
        <v>2107</v>
      </c>
      <c r="I1718" s="189" t="s">
        <v>2350</v>
      </c>
      <c r="K1718" s="201"/>
    </row>
    <row r="1719" customFormat="false" ht="15" hidden="false" customHeight="false" outlineLevel="0" collapsed="false">
      <c r="A1719" s="197" t="s">
        <v>2437</v>
      </c>
      <c r="B1719" s="191"/>
      <c r="C1719" s="190" t="s">
        <v>2438</v>
      </c>
      <c r="D1719" s="191" t="n">
        <v>5511950684877</v>
      </c>
      <c r="E1719" s="190" t="s">
        <v>5529</v>
      </c>
      <c r="F1719" s="192" t="n">
        <f aca="false">SUMIF(ENTRADAS!F:F,CLIENTES_PCBR[[#This Row],[TELEFONO]],ENTRADAS!C:C)</f>
        <v>194</v>
      </c>
      <c r="G1719" s="189" t="s">
        <v>94</v>
      </c>
      <c r="H1719" s="189" t="s">
        <v>2107</v>
      </c>
      <c r="I1719" s="189" t="s">
        <v>2135</v>
      </c>
      <c r="J1719" s="189" t="s">
        <v>1176</v>
      </c>
      <c r="K1719" s="201"/>
    </row>
    <row r="1720" customFormat="false" ht="15" hidden="false" customHeight="false" outlineLevel="0" collapsed="false">
      <c r="A1720" s="197" t="s">
        <v>2442</v>
      </c>
      <c r="B1720" s="191"/>
      <c r="C1720" s="190" t="s">
        <v>1042</v>
      </c>
      <c r="D1720" s="191" t="n">
        <v>556593630827</v>
      </c>
      <c r="E1720" s="190" t="s">
        <v>1043</v>
      </c>
      <c r="F1720" s="192" t="n">
        <f aca="false">SUMIF(ENTRADAS!F:F,CLIENTES_PCBR[[#This Row],[TELEFONO]],ENTRADAS!C:C)</f>
        <v>390</v>
      </c>
      <c r="G1720" s="189" t="s">
        <v>94</v>
      </c>
      <c r="H1720" s="189" t="s">
        <v>2443</v>
      </c>
      <c r="I1720" s="189" t="s">
        <v>2281</v>
      </c>
      <c r="K1720" s="201"/>
    </row>
    <row r="1721" customFormat="false" ht="15" hidden="false" customHeight="false" outlineLevel="0" collapsed="false">
      <c r="A1721" s="197" t="s">
        <v>2444</v>
      </c>
      <c r="B1721" s="191"/>
      <c r="C1721" s="190" t="s">
        <v>2445</v>
      </c>
      <c r="D1721" s="191" t="n">
        <v>559584275470</v>
      </c>
      <c r="E1721" s="190" t="s">
        <v>2446</v>
      </c>
      <c r="F1721" s="192" t="n">
        <f aca="false">SUMIF(ENTRADAS!F:F,CLIENTES_PCBR[[#This Row],[TELEFONO]],ENTRADAS!C:C)</f>
        <v>120</v>
      </c>
      <c r="G1721" s="189" t="s">
        <v>94</v>
      </c>
      <c r="H1721" s="189" t="s">
        <v>2280</v>
      </c>
      <c r="I1721" s="189" t="s">
        <v>2281</v>
      </c>
      <c r="J1721" s="189" t="s">
        <v>1176</v>
      </c>
      <c r="K1721" s="201"/>
    </row>
    <row r="1722" customFormat="false" ht="15" hidden="false" customHeight="false" outlineLevel="0" collapsed="false">
      <c r="A1722" s="197" t="s">
        <v>2450</v>
      </c>
      <c r="B1722" s="191"/>
      <c r="C1722" s="190" t="s">
        <v>2452</v>
      </c>
      <c r="D1722" s="191" t="n">
        <v>554184901771</v>
      </c>
      <c r="E1722" s="190" t="s">
        <v>519</v>
      </c>
      <c r="F1722" s="192" t="n">
        <f aca="false">SUMIF(ENTRADAS!F:F,CLIENTES_PCBR[[#This Row],[TELEFONO]],ENTRADAS!C:C)</f>
        <v>600</v>
      </c>
      <c r="G1722" s="189" t="s">
        <v>94</v>
      </c>
      <c r="H1722" s="189" t="s">
        <v>2159</v>
      </c>
      <c r="I1722" s="189" t="s">
        <v>2089</v>
      </c>
      <c r="K1722" s="201"/>
    </row>
    <row r="1723" customFormat="false" ht="15" hidden="false" customHeight="false" outlineLevel="0" collapsed="false">
      <c r="A1723" s="197" t="s">
        <v>2458</v>
      </c>
      <c r="B1723" s="191"/>
      <c r="C1723" s="190" t="s">
        <v>2459</v>
      </c>
      <c r="D1723" s="191" t="n">
        <v>556992398228</v>
      </c>
      <c r="E1723" s="190" t="s">
        <v>2460</v>
      </c>
      <c r="F1723" s="192" t="n">
        <f aca="false">SUMIF(ENTRADAS!F:F,CLIENTES_PCBR[[#This Row],[TELEFONO]],ENTRADAS!C:C)</f>
        <v>150</v>
      </c>
      <c r="G1723" s="189" t="s">
        <v>94</v>
      </c>
      <c r="H1723" s="189" t="s">
        <v>2107</v>
      </c>
      <c r="I1723" s="189" t="s">
        <v>862</v>
      </c>
      <c r="K1723" s="201"/>
    </row>
    <row r="1724" customFormat="false" ht="15" hidden="false" customHeight="false" outlineLevel="0" collapsed="false">
      <c r="A1724" s="197" t="s">
        <v>2461</v>
      </c>
      <c r="B1724" s="191" t="n">
        <v>12610735170</v>
      </c>
      <c r="C1724" s="190" t="s">
        <v>2462</v>
      </c>
      <c r="D1724" s="191" t="n">
        <v>556599813011</v>
      </c>
      <c r="E1724" s="190" t="s">
        <v>2463</v>
      </c>
      <c r="F1724" s="192" t="n">
        <f aca="false">SUMIF(ENTRADAS!F:F,CLIENTES_PCBR[[#This Row],[TELEFONO]],ENTRADAS!C:C)</f>
        <v>300</v>
      </c>
      <c r="G1724" s="189" t="s">
        <v>94</v>
      </c>
      <c r="H1724" s="189" t="s">
        <v>2107</v>
      </c>
      <c r="I1724" s="189" t="s">
        <v>2320</v>
      </c>
      <c r="J1724" s="189" t="s">
        <v>1176</v>
      </c>
      <c r="K1724" s="201"/>
    </row>
    <row r="1725" customFormat="false" ht="15" hidden="false" customHeight="false" outlineLevel="0" collapsed="false">
      <c r="A1725" s="197" t="s">
        <v>2464</v>
      </c>
      <c r="B1725" s="191" t="n">
        <v>7245296081</v>
      </c>
      <c r="C1725" s="190" t="s">
        <v>2466</v>
      </c>
      <c r="D1725" s="191" t="n">
        <v>555494900026</v>
      </c>
      <c r="E1725" s="190" t="s">
        <v>2467</v>
      </c>
      <c r="F1725" s="192" t="n">
        <f aca="false">SUMIF(ENTRADAS!F:F,CLIENTES_PCBR[[#This Row],[TELEFONO]],ENTRADAS!C:C)</f>
        <v>240</v>
      </c>
      <c r="G1725" s="189" t="s">
        <v>94</v>
      </c>
      <c r="H1725" s="189" t="s">
        <v>2120</v>
      </c>
      <c r="I1725" s="189" t="s">
        <v>2121</v>
      </c>
      <c r="K1725" s="201"/>
    </row>
    <row r="1726" customFormat="false" ht="15" hidden="false" customHeight="false" outlineLevel="0" collapsed="false">
      <c r="A1726" s="197" t="s">
        <v>5530</v>
      </c>
      <c r="B1726" s="191" t="n">
        <v>12490090143</v>
      </c>
      <c r="C1726" s="190" t="s">
        <v>2469</v>
      </c>
      <c r="D1726" s="191" t="n">
        <v>555491253833</v>
      </c>
      <c r="E1726" s="190" t="s">
        <v>2470</v>
      </c>
      <c r="F1726" s="192" t="n">
        <f aca="false">SUMIF(ENTRADAS!F:F,CLIENTES_PCBR[[#This Row],[TELEFONO]],ENTRADAS!C:C)</f>
        <v>97</v>
      </c>
      <c r="G1726" s="189" t="s">
        <v>94</v>
      </c>
      <c r="H1726" s="189" t="s">
        <v>2107</v>
      </c>
      <c r="I1726" s="189" t="s">
        <v>2121</v>
      </c>
      <c r="J1726" s="189" t="s">
        <v>1176</v>
      </c>
      <c r="K1726" s="201"/>
    </row>
    <row r="1727" customFormat="false" ht="15" hidden="false" customHeight="false" outlineLevel="0" collapsed="false">
      <c r="A1727" s="197" t="s">
        <v>2471</v>
      </c>
      <c r="B1727" s="191"/>
      <c r="C1727" s="190" t="s">
        <v>2473</v>
      </c>
      <c r="D1727" s="191" t="n">
        <v>559584187020</v>
      </c>
      <c r="E1727" s="190" t="s">
        <v>519</v>
      </c>
      <c r="F1727" s="192" t="n">
        <f aca="false">SUMIF(ENTRADAS!F:F,CLIENTES_PCBR[[#This Row],[TELEFONO]],ENTRADAS!C:C)</f>
        <v>300</v>
      </c>
      <c r="G1727" s="189" t="s">
        <v>94</v>
      </c>
      <c r="H1727" s="189" t="s">
        <v>2107</v>
      </c>
      <c r="I1727" s="189" t="s">
        <v>862</v>
      </c>
      <c r="J1727" s="189" t="s">
        <v>1176</v>
      </c>
      <c r="K1727" s="201"/>
    </row>
    <row r="1728" customFormat="false" ht="15" hidden="false" customHeight="false" outlineLevel="0" collapsed="false">
      <c r="A1728" s="197" t="s">
        <v>2474</v>
      </c>
      <c r="B1728" s="191"/>
      <c r="C1728" s="190" t="s">
        <v>2475</v>
      </c>
      <c r="D1728" s="191" t="n">
        <v>556195290537</v>
      </c>
      <c r="E1728" s="190" t="s">
        <v>43</v>
      </c>
      <c r="F1728" s="192" t="n">
        <f aca="false">SUMIF(ENTRADAS!F:F,CLIENTES_PCBR[[#This Row],[TELEFONO]],ENTRADAS!C:C)</f>
        <v>150</v>
      </c>
      <c r="G1728" s="189" t="s">
        <v>94</v>
      </c>
      <c r="H1728" s="189" t="s">
        <v>2107</v>
      </c>
      <c r="I1728" s="189" t="s">
        <v>862</v>
      </c>
      <c r="J1728" s="189" t="s">
        <v>1176</v>
      </c>
      <c r="K1728" s="201"/>
    </row>
    <row r="1729" customFormat="false" ht="15" hidden="false" customHeight="false" outlineLevel="0" collapsed="false">
      <c r="A1729" s="197" t="s">
        <v>2476</v>
      </c>
      <c r="B1729" s="191" t="n">
        <v>11611357233</v>
      </c>
      <c r="C1729" s="190" t="s">
        <v>2477</v>
      </c>
      <c r="D1729" s="191" t="n">
        <v>559584187791</v>
      </c>
      <c r="E1729" s="190" t="s">
        <v>2478</v>
      </c>
      <c r="F1729" s="192" t="n">
        <f aca="false">SUMIF(ENTRADAS!F:F,CLIENTES_PCBR[[#This Row],[TELEFONO]],ENTRADAS!C:C)</f>
        <v>300</v>
      </c>
      <c r="G1729" s="189" t="s">
        <v>94</v>
      </c>
      <c r="H1729" s="189" t="s">
        <v>2120</v>
      </c>
      <c r="I1729" s="189" t="s">
        <v>862</v>
      </c>
      <c r="J1729" s="189" t="s">
        <v>1176</v>
      </c>
      <c r="K1729" s="201"/>
    </row>
    <row r="1730" customFormat="false" ht="15" hidden="false" customHeight="false" outlineLevel="0" collapsed="false">
      <c r="A1730" s="197" t="s">
        <v>2479</v>
      </c>
      <c r="B1730" s="191"/>
      <c r="C1730" s="190" t="s">
        <v>2480</v>
      </c>
      <c r="D1730" s="191" t="n">
        <v>554195365537</v>
      </c>
      <c r="E1730" s="190" t="s">
        <v>519</v>
      </c>
      <c r="F1730" s="192" t="n">
        <f aca="false">SUMIF(ENTRADAS!F:F,CLIENTES_PCBR[[#This Row],[TELEFONO]],ENTRADAS!C:C)</f>
        <v>147</v>
      </c>
      <c r="G1730" s="189" t="s">
        <v>94</v>
      </c>
      <c r="H1730" s="189" t="s">
        <v>2159</v>
      </c>
      <c r="I1730" s="189" t="s">
        <v>2089</v>
      </c>
      <c r="K1730" s="201"/>
    </row>
    <row r="1731" customFormat="false" ht="15" hidden="false" customHeight="false" outlineLevel="0" collapsed="false">
      <c r="A1731" s="197" t="s">
        <v>2483</v>
      </c>
      <c r="B1731" s="191"/>
      <c r="C1731" s="190" t="s">
        <v>2485</v>
      </c>
      <c r="D1731" s="191" t="n">
        <v>5511968730004</v>
      </c>
      <c r="E1731" s="190" t="s">
        <v>2486</v>
      </c>
      <c r="F1731" s="192" t="n">
        <f aca="false">SUMIF(ENTRADAS!F:F,CLIENTES_PCBR[[#This Row],[TELEFONO]],ENTRADAS!C:C)</f>
        <v>240</v>
      </c>
      <c r="G1731" s="189" t="s">
        <v>94</v>
      </c>
      <c r="H1731" s="189" t="s">
        <v>2487</v>
      </c>
      <c r="I1731" s="189" t="s">
        <v>2135</v>
      </c>
      <c r="K1731" s="201"/>
    </row>
    <row r="1732" customFormat="false" ht="15" hidden="false" customHeight="false" outlineLevel="0" collapsed="false">
      <c r="A1732" s="197" t="s">
        <v>2492</v>
      </c>
      <c r="B1732" s="191"/>
      <c r="C1732" s="190" t="s">
        <v>2494</v>
      </c>
      <c r="D1732" s="191" t="n">
        <v>554198706895</v>
      </c>
      <c r="E1732" s="190" t="s">
        <v>2495</v>
      </c>
      <c r="F1732" s="192" t="n">
        <f aca="false">SUMIF(ENTRADAS!F:F,CLIENTES_PCBR[[#This Row],[TELEFONO]],ENTRADAS!C:C)</f>
        <v>675</v>
      </c>
      <c r="G1732" s="189" t="s">
        <v>94</v>
      </c>
      <c r="H1732" s="189" t="s">
        <v>2159</v>
      </c>
      <c r="I1732" s="189" t="s">
        <v>2089</v>
      </c>
      <c r="K1732" s="201"/>
    </row>
    <row r="1733" customFormat="false" ht="15" hidden="false" customHeight="false" outlineLevel="0" collapsed="false">
      <c r="A1733" s="197" t="s">
        <v>2496</v>
      </c>
      <c r="B1733" s="191"/>
      <c r="C1733" s="190" t="s">
        <v>2497</v>
      </c>
      <c r="D1733" s="191" t="n">
        <v>554888655936</v>
      </c>
      <c r="E1733" s="190" t="s">
        <v>2498</v>
      </c>
      <c r="F1733" s="192" t="n">
        <f aca="false">SUMIF(ENTRADAS!F:F,CLIENTES_PCBR[[#This Row],[TELEFONO]],ENTRADAS!C:C)</f>
        <v>150</v>
      </c>
      <c r="G1733" s="189" t="s">
        <v>94</v>
      </c>
      <c r="H1733" s="189" t="s">
        <v>2128</v>
      </c>
      <c r="I1733" s="189" t="s">
        <v>2129</v>
      </c>
      <c r="J1733" s="189" t="s">
        <v>1176</v>
      </c>
      <c r="K1733" s="201"/>
    </row>
    <row r="1734" customFormat="false" ht="15" hidden="false" customHeight="false" outlineLevel="0" collapsed="false">
      <c r="A1734" s="197" t="s">
        <v>2499</v>
      </c>
      <c r="B1734" s="191"/>
      <c r="C1734" s="190" t="s">
        <v>2500</v>
      </c>
      <c r="D1734" s="191" t="n">
        <v>554195674753</v>
      </c>
      <c r="E1734" s="190" t="s">
        <v>2501</v>
      </c>
      <c r="F1734" s="192" t="n">
        <f aca="false">SUMIF(ENTRADAS!F:F,CLIENTES_PCBR[[#This Row],[TELEFONO]],ENTRADAS!C:C)</f>
        <v>194</v>
      </c>
      <c r="G1734" s="189" t="s">
        <v>94</v>
      </c>
      <c r="H1734" s="189" t="s">
        <v>2088</v>
      </c>
      <c r="I1734" s="189" t="s">
        <v>2089</v>
      </c>
      <c r="J1734" s="189" t="s">
        <v>35</v>
      </c>
      <c r="K1734" s="201"/>
    </row>
    <row r="1735" customFormat="false" ht="15" hidden="false" customHeight="false" outlineLevel="0" collapsed="false">
      <c r="A1735" s="197" t="s">
        <v>2502</v>
      </c>
      <c r="B1735" s="191"/>
      <c r="C1735" s="190" t="s">
        <v>2503</v>
      </c>
      <c r="D1735" s="191" t="n">
        <v>555499426873</v>
      </c>
      <c r="E1735" s="190" t="s">
        <v>2504</v>
      </c>
      <c r="F1735" s="192" t="n">
        <f aca="false">SUMIF(ENTRADAS!F:F,CLIENTES_PCBR[[#This Row],[TELEFONO]],ENTRADAS!C:C)</f>
        <v>147</v>
      </c>
      <c r="G1735" s="189" t="s">
        <v>94</v>
      </c>
      <c r="H1735" s="189" t="s">
        <v>2120</v>
      </c>
      <c r="I1735" s="189" t="s">
        <v>2121</v>
      </c>
      <c r="J1735" s="189" t="s">
        <v>1176</v>
      </c>
      <c r="K1735" s="201"/>
    </row>
    <row r="1736" customFormat="false" ht="15" hidden="false" customHeight="false" outlineLevel="0" collapsed="false">
      <c r="A1736" s="197" t="s">
        <v>2505</v>
      </c>
      <c r="B1736" s="191"/>
      <c r="C1736" s="190" t="s">
        <v>2507</v>
      </c>
      <c r="D1736" s="191" t="n">
        <v>5978274291</v>
      </c>
      <c r="E1736" s="190" t="s">
        <v>2508</v>
      </c>
      <c r="F1736" s="192" t="n">
        <f aca="false">SUMIF(ENTRADAS!F:F,CLIENTES_PCBR[[#This Row],[TELEFONO]],ENTRADAS!C:C)</f>
        <v>510</v>
      </c>
      <c r="G1736" s="189" t="s">
        <v>94</v>
      </c>
      <c r="H1736" s="189" t="s">
        <v>2159</v>
      </c>
      <c r="I1736" s="189" t="s">
        <v>2089</v>
      </c>
      <c r="K1736" s="201"/>
    </row>
    <row r="1737" customFormat="false" ht="15" hidden="false" customHeight="false" outlineLevel="0" collapsed="false">
      <c r="A1737" s="197" t="s">
        <v>2516</v>
      </c>
      <c r="B1737" s="191"/>
      <c r="C1737" s="190" t="s">
        <v>2517</v>
      </c>
      <c r="D1737" s="191" t="n">
        <v>5511951668733</v>
      </c>
      <c r="E1737" s="190" t="s">
        <v>2518</v>
      </c>
      <c r="F1737" s="192" t="n">
        <f aca="false">SUMIF(ENTRADAS!F:F,CLIENTES_PCBR[[#This Row],[TELEFONO]],ENTRADAS!C:C)</f>
        <v>150</v>
      </c>
      <c r="G1737" s="189" t="s">
        <v>94</v>
      </c>
      <c r="H1737" s="189" t="s">
        <v>2107</v>
      </c>
      <c r="I1737" s="189" t="s">
        <v>862</v>
      </c>
      <c r="K1737" s="201"/>
    </row>
    <row r="1738" customFormat="false" ht="15" hidden="false" customHeight="false" outlineLevel="0" collapsed="false">
      <c r="A1738" s="197" t="s">
        <v>2526</v>
      </c>
      <c r="B1738" s="191" t="n">
        <v>17632984</v>
      </c>
      <c r="C1738" s="190" t="s">
        <v>2527</v>
      </c>
      <c r="D1738" s="191" t="n">
        <v>554197435481</v>
      </c>
      <c r="E1738" s="190" t="s">
        <v>2528</v>
      </c>
      <c r="F1738" s="192" t="n">
        <f aca="false">SUMIF(ENTRADAS!F:F,CLIENTES_PCBR[[#This Row],[TELEFONO]],ENTRADAS!C:C)</f>
        <v>147</v>
      </c>
      <c r="G1738" s="189" t="s">
        <v>94</v>
      </c>
      <c r="H1738" s="189" t="s">
        <v>2159</v>
      </c>
      <c r="I1738" s="189" t="s">
        <v>2089</v>
      </c>
      <c r="J1738" s="189" t="s">
        <v>35</v>
      </c>
      <c r="K1738" s="201"/>
    </row>
    <row r="1739" customFormat="false" ht="15" hidden="false" customHeight="false" outlineLevel="0" collapsed="false">
      <c r="A1739" s="197" t="s">
        <v>2529</v>
      </c>
      <c r="B1739" s="191" t="n">
        <v>7223595272</v>
      </c>
      <c r="C1739" s="190" t="s">
        <v>2530</v>
      </c>
      <c r="D1739" s="191" t="s">
        <v>5531</v>
      </c>
      <c r="E1739" s="190" t="s">
        <v>2531</v>
      </c>
      <c r="F1739" s="192" t="n">
        <f aca="false">SUMIF(ENTRADAS!F:F,CLIENTES_PCBR[[#This Row],[TELEFONO]],ENTRADAS!C:C)</f>
        <v>0</v>
      </c>
      <c r="G1739" s="189" t="s">
        <v>94</v>
      </c>
      <c r="H1739" s="189" t="s">
        <v>2107</v>
      </c>
      <c r="I1739" s="189" t="s">
        <v>862</v>
      </c>
      <c r="K1739" s="201"/>
    </row>
    <row r="1740" customFormat="false" ht="15" hidden="false" customHeight="false" outlineLevel="0" collapsed="false">
      <c r="A1740" s="197" t="s">
        <v>2535</v>
      </c>
      <c r="B1740" s="191" t="n">
        <v>4862384900</v>
      </c>
      <c r="C1740" s="190" t="s">
        <v>2537</v>
      </c>
      <c r="D1740" s="191" t="n">
        <v>554198337434</v>
      </c>
      <c r="E1740" s="190" t="s">
        <v>2538</v>
      </c>
      <c r="F1740" s="192" t="n">
        <f aca="false">SUMIF(ENTRADAS!F:F,CLIENTES_PCBR[[#This Row],[TELEFONO]],ENTRADAS!C:C)</f>
        <v>420</v>
      </c>
      <c r="G1740" s="189" t="s">
        <v>94</v>
      </c>
      <c r="H1740" s="189" t="s">
        <v>2088</v>
      </c>
      <c r="I1740" s="189" t="s">
        <v>2089</v>
      </c>
      <c r="K1740" s="201"/>
    </row>
    <row r="1741" customFormat="false" ht="15" hidden="false" customHeight="false" outlineLevel="0" collapsed="false">
      <c r="A1741" s="197" t="s">
        <v>2539</v>
      </c>
      <c r="B1741" s="191" t="n">
        <v>11796446203</v>
      </c>
      <c r="C1741" s="190" t="s">
        <v>2541</v>
      </c>
      <c r="D1741" s="191" t="n">
        <v>554192511762</v>
      </c>
      <c r="E1741" s="190" t="s">
        <v>2542</v>
      </c>
      <c r="F1741" s="192" t="n">
        <f aca="false">SUMIF(ENTRADAS!F:F,CLIENTES_PCBR[[#This Row],[TELEFONO]],ENTRADAS!C:C)</f>
        <v>97</v>
      </c>
      <c r="G1741" s="189" t="s">
        <v>94</v>
      </c>
      <c r="H1741" s="189" t="s">
        <v>2159</v>
      </c>
      <c r="I1741" s="189" t="s">
        <v>2089</v>
      </c>
      <c r="J1741" s="189" t="s">
        <v>35</v>
      </c>
      <c r="K1741" s="201"/>
    </row>
    <row r="1742" customFormat="false" ht="15" hidden="false" customHeight="false" outlineLevel="0" collapsed="false">
      <c r="A1742" s="197" t="s">
        <v>2539</v>
      </c>
      <c r="B1742" s="191" t="n">
        <v>9711970</v>
      </c>
      <c r="C1742" s="190" t="s">
        <v>2543</v>
      </c>
      <c r="D1742" s="191" t="n">
        <v>554195298798</v>
      </c>
      <c r="E1742" s="190" t="s">
        <v>2544</v>
      </c>
      <c r="F1742" s="192" t="n">
        <f aca="false">SUMIF(ENTRADAS!F:F,CLIENTES_PCBR[[#This Row],[TELEFONO]],ENTRADAS!C:C)</f>
        <v>147</v>
      </c>
      <c r="G1742" s="189" t="s">
        <v>94</v>
      </c>
      <c r="H1742" s="189" t="s">
        <v>2107</v>
      </c>
      <c r="I1742" s="189" t="s">
        <v>862</v>
      </c>
      <c r="J1742" s="189" t="s">
        <v>1176</v>
      </c>
      <c r="K1742" s="201"/>
    </row>
    <row r="1743" customFormat="false" ht="15" hidden="false" customHeight="false" outlineLevel="0" collapsed="false">
      <c r="A1743" s="197" t="s">
        <v>2545</v>
      </c>
      <c r="B1743" s="191" t="n">
        <v>0</v>
      </c>
      <c r="C1743" s="190" t="s">
        <v>2547</v>
      </c>
      <c r="D1743" s="191" t="n">
        <v>5927498912</v>
      </c>
      <c r="E1743" s="190" t="s">
        <v>2548</v>
      </c>
      <c r="F1743" s="192" t="n">
        <f aca="false">SUMIF(ENTRADAS!F:F,CLIENTES_PCBR[[#This Row],[TELEFONO]],ENTRADAS!C:C)</f>
        <v>150</v>
      </c>
      <c r="G1743" s="189" t="s">
        <v>94</v>
      </c>
      <c r="H1743" s="189" t="s">
        <v>2107</v>
      </c>
      <c r="I1743" s="189" t="s">
        <v>862</v>
      </c>
      <c r="K1743" s="201"/>
    </row>
    <row r="1744" customFormat="false" ht="15" hidden="false" customHeight="false" outlineLevel="0" collapsed="false">
      <c r="A1744" s="197" t="s">
        <v>2549</v>
      </c>
      <c r="B1744" s="191" t="n">
        <v>-1</v>
      </c>
      <c r="C1744" s="190" t="s">
        <v>2551</v>
      </c>
      <c r="D1744" s="191" t="n">
        <v>554184816184</v>
      </c>
      <c r="E1744" s="190" t="s">
        <v>2552</v>
      </c>
      <c r="F1744" s="192" t="n">
        <f aca="false">SUMIF(ENTRADAS!F:F,CLIENTES_PCBR[[#This Row],[TELEFONO]],ENTRADAS!C:C)</f>
        <v>930</v>
      </c>
      <c r="G1744" s="189" t="s">
        <v>94</v>
      </c>
      <c r="H1744" s="189" t="s">
        <v>2107</v>
      </c>
      <c r="I1744" s="189" t="s">
        <v>862</v>
      </c>
      <c r="K1744" s="201"/>
    </row>
    <row r="1745" customFormat="false" ht="15" hidden="false" customHeight="false" outlineLevel="0" collapsed="false">
      <c r="A1745" s="197" t="s">
        <v>2556</v>
      </c>
      <c r="B1745" s="191" t="n">
        <v>-1</v>
      </c>
      <c r="C1745" s="190" t="s">
        <v>2558</v>
      </c>
      <c r="D1745" s="191" t="n">
        <v>5595920008541</v>
      </c>
      <c r="E1745" s="190" t="s">
        <v>43</v>
      </c>
      <c r="F1745" s="192" t="n">
        <f aca="false">SUMIF(ENTRADAS!F:F,CLIENTES_PCBR[[#This Row],[TELEFONO]],ENTRADAS!C:C)</f>
        <v>150</v>
      </c>
      <c r="G1745" s="189" t="s">
        <v>94</v>
      </c>
      <c r="H1745" s="189" t="s">
        <v>2107</v>
      </c>
      <c r="I1745" s="189" t="s">
        <v>2135</v>
      </c>
      <c r="K1745" s="201"/>
    </row>
    <row r="1746" customFormat="false" ht="15" hidden="false" customHeight="false" outlineLevel="0" collapsed="false">
      <c r="A1746" s="197" t="s">
        <v>2559</v>
      </c>
      <c r="B1746" s="191" t="n">
        <v>11650080255</v>
      </c>
      <c r="C1746" s="190" t="s">
        <v>2560</v>
      </c>
      <c r="D1746" s="191" t="n">
        <v>559584291424</v>
      </c>
      <c r="E1746" s="190" t="s">
        <v>2561</v>
      </c>
      <c r="F1746" s="192" t="n">
        <f aca="false">SUMIF(ENTRADAS!F:F,CLIENTES_PCBR[[#This Row],[TELEFONO]],ENTRADAS!C:C)</f>
        <v>120</v>
      </c>
      <c r="G1746" s="189" t="s">
        <v>94</v>
      </c>
      <c r="H1746" s="189" t="s">
        <v>2562</v>
      </c>
      <c r="I1746" s="189" t="s">
        <v>2129</v>
      </c>
      <c r="K1746" s="201"/>
    </row>
    <row r="1747" customFormat="false" ht="15" hidden="false" customHeight="false" outlineLevel="0" collapsed="false">
      <c r="A1747" s="197" t="s">
        <v>2563</v>
      </c>
      <c r="B1747" s="191" t="n">
        <v>-1</v>
      </c>
      <c r="C1747" s="190" t="s">
        <v>2564</v>
      </c>
      <c r="D1747" s="191" t="n">
        <v>5511981288679</v>
      </c>
      <c r="E1747" s="190" t="s">
        <v>2565</v>
      </c>
      <c r="F1747" s="192" t="n">
        <f aca="false">SUMIF(ENTRADAS!F:F,CLIENTES_PCBR[[#This Row],[TELEFONO]],ENTRADAS!C:C)</f>
        <v>479</v>
      </c>
      <c r="G1747" s="189" t="s">
        <v>94</v>
      </c>
      <c r="H1747" s="189" t="s">
        <v>2142</v>
      </c>
      <c r="I1747" s="189" t="s">
        <v>2129</v>
      </c>
      <c r="K1747" s="201"/>
    </row>
    <row r="1748" customFormat="false" ht="15" hidden="false" customHeight="false" outlineLevel="0" collapsed="false">
      <c r="A1748" s="197" t="s">
        <v>2568</v>
      </c>
      <c r="B1748" s="191" t="n">
        <v>-1</v>
      </c>
      <c r="C1748" s="190" t="s">
        <v>2570</v>
      </c>
      <c r="D1748" s="191" t="n">
        <v>559581036890</v>
      </c>
      <c r="E1748" s="190" t="s">
        <v>2571</v>
      </c>
      <c r="F1748" s="192" t="n">
        <f aca="false">SUMIF(ENTRADAS!F:F,CLIENTES_PCBR[[#This Row],[TELEFONO]],ENTRADAS!C:C)</f>
        <v>360</v>
      </c>
      <c r="G1748" s="189" t="s">
        <v>94</v>
      </c>
      <c r="H1748" s="189" t="s">
        <v>2107</v>
      </c>
      <c r="I1748" s="189" t="s">
        <v>2135</v>
      </c>
      <c r="K1748" s="201"/>
    </row>
    <row r="1749" customFormat="false" ht="15" hidden="false" customHeight="false" outlineLevel="0" collapsed="false">
      <c r="A1749" s="197" t="s">
        <v>5532</v>
      </c>
      <c r="B1749" s="191" t="n">
        <v>0</v>
      </c>
      <c r="C1749" s="190" t="s">
        <v>2575</v>
      </c>
      <c r="D1749" s="191" t="n">
        <v>559591343034</v>
      </c>
      <c r="E1749" s="190" t="s">
        <v>2576</v>
      </c>
      <c r="F1749" s="192" t="n">
        <f aca="false">SUMIF(ENTRADAS!F:F,CLIENTES_PCBR[[#This Row],[TELEFONO]],ENTRADAS!C:C)</f>
        <v>600</v>
      </c>
      <c r="G1749" s="189" t="s">
        <v>94</v>
      </c>
      <c r="H1749" s="189" t="s">
        <v>2159</v>
      </c>
      <c r="I1749" s="189" t="s">
        <v>2089</v>
      </c>
      <c r="K1749" s="201"/>
    </row>
    <row r="1750" customFormat="false" ht="15" hidden="false" customHeight="false" outlineLevel="0" collapsed="false">
      <c r="A1750" s="197" t="s">
        <v>5533</v>
      </c>
      <c r="B1750" s="191" t="n">
        <v>3612457934</v>
      </c>
      <c r="C1750" s="190" t="s">
        <v>2578</v>
      </c>
      <c r="D1750" s="191" t="n">
        <v>554187657458</v>
      </c>
      <c r="E1750" s="190" t="s">
        <v>2579</v>
      </c>
      <c r="F1750" s="192" t="n">
        <f aca="false">SUMIF(ENTRADAS!F:F,CLIENTES_PCBR[[#This Row],[TELEFONO]],ENTRADAS!C:C)</f>
        <v>294</v>
      </c>
      <c r="G1750" s="189" t="s">
        <v>94</v>
      </c>
      <c r="H1750" s="189" t="s">
        <v>2088</v>
      </c>
      <c r="I1750" s="189" t="s">
        <v>2089</v>
      </c>
      <c r="J1750" s="189" t="s">
        <v>35</v>
      </c>
      <c r="K1750" s="201"/>
    </row>
    <row r="1751" customFormat="false" ht="15" hidden="false" customHeight="false" outlineLevel="0" collapsed="false">
      <c r="A1751" s="197" t="s">
        <v>2580</v>
      </c>
      <c r="B1751" s="191" t="n">
        <v>-1</v>
      </c>
      <c r="C1751" s="190" t="s">
        <v>2581</v>
      </c>
      <c r="D1751" s="191" t="n">
        <v>5511988137960</v>
      </c>
      <c r="E1751" s="190" t="s">
        <v>2582</v>
      </c>
      <c r="F1751" s="192" t="n">
        <f aca="false">SUMIF(ENTRADAS!F:F,CLIENTES_PCBR[[#This Row],[TELEFONO]],ENTRADAS!C:C)</f>
        <v>120</v>
      </c>
      <c r="G1751" s="189" t="s">
        <v>94</v>
      </c>
      <c r="H1751" s="189" t="s">
        <v>2134</v>
      </c>
      <c r="I1751" s="189" t="s">
        <v>2135</v>
      </c>
      <c r="K1751" s="201"/>
    </row>
    <row r="1752" customFormat="false" ht="15" hidden="false" customHeight="false" outlineLevel="0" collapsed="false">
      <c r="A1752" s="197" t="s">
        <v>5534</v>
      </c>
      <c r="B1752" s="191" t="n">
        <v>-1</v>
      </c>
      <c r="C1752" s="190" t="s">
        <v>2584</v>
      </c>
      <c r="D1752" s="191" t="n">
        <v>5511963130113</v>
      </c>
      <c r="E1752" s="190" t="s">
        <v>43</v>
      </c>
      <c r="F1752" s="192" t="n">
        <f aca="false">SUMIF(ENTRADAS!F:F,CLIENTES_PCBR[[#This Row],[TELEFONO]],ENTRADAS!C:C)</f>
        <v>120</v>
      </c>
      <c r="G1752" s="189" t="s">
        <v>94</v>
      </c>
      <c r="H1752" s="189" t="s">
        <v>2107</v>
      </c>
      <c r="I1752" s="189" t="s">
        <v>862</v>
      </c>
      <c r="K1752" s="201"/>
    </row>
    <row r="1753" customFormat="false" ht="15" hidden="false" customHeight="false" outlineLevel="0" collapsed="false">
      <c r="A1753" s="197" t="s">
        <v>2588</v>
      </c>
      <c r="B1753" s="191" t="n">
        <v>11548490237</v>
      </c>
      <c r="C1753" s="190" t="s">
        <v>2589</v>
      </c>
      <c r="D1753" s="191" t="n">
        <v>559574001949</v>
      </c>
      <c r="E1753" s="190" t="s">
        <v>2590</v>
      </c>
      <c r="F1753" s="192" t="n">
        <f aca="false">SUMIF(ENTRADAS!F:F,CLIENTES_PCBR[[#This Row],[TELEFONO]],ENTRADAS!C:C)</f>
        <v>120</v>
      </c>
      <c r="G1753" s="189" t="s">
        <v>94</v>
      </c>
      <c r="H1753" s="189" t="s">
        <v>2128</v>
      </c>
      <c r="I1753" s="189" t="s">
        <v>2129</v>
      </c>
      <c r="J1753" s="189" t="s">
        <v>1176</v>
      </c>
      <c r="K1753" s="201"/>
    </row>
    <row r="1754" customFormat="false" ht="15" hidden="false" customHeight="false" outlineLevel="0" collapsed="false">
      <c r="A1754" s="197" t="s">
        <v>5535</v>
      </c>
      <c r="B1754" s="191" t="n">
        <v>-1</v>
      </c>
      <c r="C1754" s="190" t="s">
        <v>2592</v>
      </c>
      <c r="D1754" s="191" t="n">
        <v>554691346097</v>
      </c>
      <c r="E1754" s="190" t="s">
        <v>43</v>
      </c>
      <c r="F1754" s="192" t="n">
        <f aca="false">SUMIF(ENTRADAS!F:F,CLIENTES_PCBR[[#This Row],[TELEFONO]],ENTRADAS!C:C)</f>
        <v>147</v>
      </c>
      <c r="G1754" s="189" t="s">
        <v>94</v>
      </c>
      <c r="H1754" s="189" t="s">
        <v>2276</v>
      </c>
      <c r="I1754" s="189" t="s">
        <v>2135</v>
      </c>
      <c r="K1754" s="201"/>
    </row>
    <row r="1755" customFormat="false" ht="15" hidden="false" customHeight="false" outlineLevel="0" collapsed="false">
      <c r="A1755" s="197" t="s">
        <v>5536</v>
      </c>
      <c r="B1755" s="191" t="n">
        <v>11598761269</v>
      </c>
      <c r="C1755" s="190" t="s">
        <v>2593</v>
      </c>
      <c r="D1755" s="191" t="n">
        <v>559599774507</v>
      </c>
      <c r="E1755" s="190" t="s">
        <v>2594</v>
      </c>
      <c r="F1755" s="192" t="n">
        <f aca="false">SUMIF(ENTRADAS!F:F,CLIENTES_PCBR[[#This Row],[TELEFONO]],ENTRADAS!C:C)</f>
        <v>120</v>
      </c>
      <c r="G1755" s="189" t="s">
        <v>94</v>
      </c>
      <c r="H1755" s="189" t="s">
        <v>2107</v>
      </c>
      <c r="I1755" s="189" t="s">
        <v>862</v>
      </c>
      <c r="J1755" s="189" t="s">
        <v>35</v>
      </c>
      <c r="K1755" s="201"/>
    </row>
    <row r="1756" customFormat="false" ht="15" hidden="false" customHeight="false" outlineLevel="0" collapsed="false">
      <c r="A1756" s="197" t="s">
        <v>2596</v>
      </c>
      <c r="B1756" s="191" t="n">
        <v>0</v>
      </c>
      <c r="C1756" s="190" t="s">
        <v>2598</v>
      </c>
      <c r="D1756" s="191" t="n">
        <v>559584085211</v>
      </c>
      <c r="E1756" s="190" t="s">
        <v>2599</v>
      </c>
      <c r="F1756" s="192" t="n">
        <f aca="false">SUMIF(ENTRADAS!F:F,CLIENTES_PCBR[[#This Row],[TELEFONO]],ENTRADAS!C:C)</f>
        <v>120</v>
      </c>
      <c r="G1756" s="189" t="s">
        <v>94</v>
      </c>
      <c r="H1756" s="189" t="s">
        <v>2159</v>
      </c>
      <c r="I1756" s="189" t="s">
        <v>2089</v>
      </c>
      <c r="K1756" s="201"/>
    </row>
    <row r="1757" customFormat="false" ht="15" hidden="false" customHeight="false" outlineLevel="0" collapsed="false">
      <c r="A1757" s="197" t="s">
        <v>2600</v>
      </c>
      <c r="B1757" s="191" t="n">
        <v>-1</v>
      </c>
      <c r="C1757" s="190" t="s">
        <v>2601</v>
      </c>
      <c r="D1757" s="191" t="n">
        <v>5511982597796</v>
      </c>
      <c r="E1757" s="190" t="s">
        <v>43</v>
      </c>
      <c r="F1757" s="192" t="n">
        <f aca="false">SUMIF(ENTRADAS!F:F,CLIENTES_PCBR[[#This Row],[TELEFONO]],ENTRADAS!C:C)</f>
        <v>97</v>
      </c>
      <c r="G1757" s="189" t="s">
        <v>94</v>
      </c>
      <c r="H1757" s="189" t="s">
        <v>2107</v>
      </c>
      <c r="I1757" s="189" t="s">
        <v>2245</v>
      </c>
      <c r="K1757" s="201"/>
    </row>
    <row r="1758" customFormat="false" ht="15" hidden="false" customHeight="false" outlineLevel="0" collapsed="false">
      <c r="A1758" s="197" t="s">
        <v>2604</v>
      </c>
      <c r="B1758" s="191" t="n">
        <v>0</v>
      </c>
      <c r="C1758" s="190" t="s">
        <v>2605</v>
      </c>
      <c r="D1758" s="191" t="n">
        <v>555499335401</v>
      </c>
      <c r="E1758" s="190" t="s">
        <v>2606</v>
      </c>
      <c r="F1758" s="192" t="n">
        <f aca="false">SUMIF(ENTRADAS!F:F,CLIENTES_PCBR[[#This Row],[TELEFONO]],ENTRADAS!C:C)</f>
        <v>150</v>
      </c>
      <c r="G1758" s="189" t="s">
        <v>94</v>
      </c>
      <c r="H1758" s="189" t="s">
        <v>2126</v>
      </c>
      <c r="I1758" s="189" t="s">
        <v>2121</v>
      </c>
      <c r="J1758" s="189" t="s">
        <v>1176</v>
      </c>
      <c r="K1758" s="201"/>
    </row>
    <row r="1759" customFormat="false" ht="15" hidden="false" customHeight="false" outlineLevel="0" collapsed="false">
      <c r="A1759" s="197" t="s">
        <v>2607</v>
      </c>
      <c r="B1759" s="191" t="n">
        <v>11971989207</v>
      </c>
      <c r="C1759" s="190" t="s">
        <v>2608</v>
      </c>
      <c r="D1759" s="191" t="n">
        <v>554884391398</v>
      </c>
      <c r="E1759" s="190" t="s">
        <v>2609</v>
      </c>
      <c r="F1759" s="192" t="n">
        <f aca="false">SUMIF(ENTRADAS!F:F,CLIENTES_PCBR[[#This Row],[TELEFONO]],ENTRADAS!C:C)</f>
        <v>660</v>
      </c>
      <c r="G1759" s="189" t="s">
        <v>94</v>
      </c>
      <c r="H1759" s="189" t="s">
        <v>2252</v>
      </c>
      <c r="I1759" s="189" t="s">
        <v>2129</v>
      </c>
      <c r="K1759" s="201"/>
    </row>
    <row r="1760" customFormat="false" ht="15" hidden="false" customHeight="false" outlineLevel="0" collapsed="false">
      <c r="A1760" s="197" t="s">
        <v>2610</v>
      </c>
      <c r="B1760" s="191" t="n">
        <v>0</v>
      </c>
      <c r="C1760" s="190" t="s">
        <v>969</v>
      </c>
      <c r="D1760" s="191" t="n">
        <v>554199765508</v>
      </c>
      <c r="E1760" s="190" t="s">
        <v>2612</v>
      </c>
      <c r="F1760" s="192" t="n">
        <f aca="false">SUMIF(ENTRADAS!F:F,CLIENTES_PCBR[[#This Row],[TELEFONO]],ENTRADAS!C:C)</f>
        <v>294</v>
      </c>
      <c r="G1760" s="189" t="s">
        <v>94</v>
      </c>
      <c r="H1760" s="189" t="s">
        <v>2159</v>
      </c>
      <c r="I1760" s="189" t="s">
        <v>2089</v>
      </c>
      <c r="J1760" s="189" t="s">
        <v>1176</v>
      </c>
      <c r="K1760" s="201"/>
    </row>
    <row r="1761" customFormat="false" ht="15" hidden="false" customHeight="false" outlineLevel="0" collapsed="false">
      <c r="A1761" s="197" t="s">
        <v>2613</v>
      </c>
      <c r="B1761" s="191" t="n">
        <v>-1</v>
      </c>
      <c r="C1761" s="190" t="s">
        <v>2614</v>
      </c>
      <c r="D1761" s="191" t="n">
        <v>554187182858</v>
      </c>
      <c r="E1761" s="190" t="s">
        <v>43</v>
      </c>
      <c r="F1761" s="192" t="n">
        <f aca="false">SUMIF(ENTRADAS!F:F,CLIENTES_PCBR[[#This Row],[TELEFONO]],ENTRADAS!C:C)</f>
        <v>300</v>
      </c>
      <c r="G1761" s="189" t="s">
        <v>94</v>
      </c>
      <c r="H1761" s="189" t="s">
        <v>2107</v>
      </c>
      <c r="I1761" s="189" t="s">
        <v>862</v>
      </c>
      <c r="K1761" s="201"/>
    </row>
    <row r="1762" customFormat="false" ht="15" hidden="false" customHeight="false" outlineLevel="0" collapsed="false">
      <c r="A1762" s="197" t="s">
        <v>2616</v>
      </c>
      <c r="B1762" s="191" t="n">
        <v>-1</v>
      </c>
      <c r="C1762" s="190" t="s">
        <v>2618</v>
      </c>
      <c r="D1762" s="191" t="n">
        <v>559584399049</v>
      </c>
      <c r="E1762" s="190" t="s">
        <v>2619</v>
      </c>
      <c r="F1762" s="192" t="n">
        <f aca="false">SUMIF(ENTRADAS!F:F,CLIENTES_PCBR[[#This Row],[TELEFONO]],ENTRADAS!C:C)</f>
        <v>120</v>
      </c>
      <c r="G1762" s="189" t="s">
        <v>94</v>
      </c>
      <c r="H1762" s="189" t="s">
        <v>2276</v>
      </c>
      <c r="I1762" s="189" t="s">
        <v>2135</v>
      </c>
      <c r="J1762" s="189" t="s">
        <v>35</v>
      </c>
      <c r="K1762" s="201"/>
    </row>
    <row r="1763" customFormat="false" ht="15" hidden="false" customHeight="false" outlineLevel="0" collapsed="false">
      <c r="A1763" s="197" t="s">
        <v>2620</v>
      </c>
      <c r="B1763" s="191" t="n">
        <v>11338823230</v>
      </c>
      <c r="C1763" s="190" t="s">
        <v>2622</v>
      </c>
      <c r="D1763" s="191" t="n">
        <v>554892089032</v>
      </c>
      <c r="E1763" s="190" t="s">
        <v>2623</v>
      </c>
      <c r="F1763" s="192" t="n">
        <f aca="false">SUMIF(ENTRADAS!F:F,CLIENTES_PCBR[[#This Row],[TELEFONO]],ENTRADAS!C:C)</f>
        <v>688</v>
      </c>
      <c r="G1763" s="189" t="s">
        <v>94</v>
      </c>
      <c r="H1763" s="189" t="s">
        <v>2128</v>
      </c>
      <c r="I1763" s="189" t="s">
        <v>2129</v>
      </c>
      <c r="J1763" s="189" t="s">
        <v>35</v>
      </c>
      <c r="K1763" s="201"/>
    </row>
    <row r="1764" customFormat="false" ht="15" hidden="false" customHeight="false" outlineLevel="0" collapsed="false">
      <c r="A1764" s="197" t="s">
        <v>2627</v>
      </c>
      <c r="B1764" s="191" t="n">
        <v>-1</v>
      </c>
      <c r="C1764" s="190" t="s">
        <v>2629</v>
      </c>
      <c r="D1764" s="191" t="n">
        <v>573337148051</v>
      </c>
      <c r="E1764" s="190" t="s">
        <v>2630</v>
      </c>
      <c r="F1764" s="192" t="n">
        <f aca="false">SUMIF(ENTRADAS!F:F,CLIENTES_PCBR[[#This Row],[TELEFONO]],ENTRADAS!C:C)</f>
        <v>150</v>
      </c>
      <c r="G1764" s="189" t="s">
        <v>94</v>
      </c>
      <c r="H1764" s="189" t="s">
        <v>2107</v>
      </c>
      <c r="I1764" s="189" t="s">
        <v>862</v>
      </c>
      <c r="J1764" s="189" t="s">
        <v>1176</v>
      </c>
      <c r="K1764" s="201"/>
    </row>
    <row r="1765" customFormat="false" ht="15" hidden="false" customHeight="false" outlineLevel="0" collapsed="false">
      <c r="A1765" s="197" t="s">
        <v>5537</v>
      </c>
      <c r="B1765" s="191" t="n">
        <v>-1</v>
      </c>
      <c r="C1765" s="190" t="s">
        <v>2633</v>
      </c>
      <c r="D1765" s="191" t="n">
        <v>555496355996</v>
      </c>
      <c r="E1765" s="190" t="s">
        <v>2634</v>
      </c>
      <c r="F1765" s="192" t="n">
        <f aca="false">SUMIF(ENTRADAS!F:F,CLIENTES_PCBR[[#This Row],[TELEFONO]],ENTRADAS!C:C)</f>
        <v>420</v>
      </c>
      <c r="G1765" s="189" t="s">
        <v>94</v>
      </c>
      <c r="H1765" s="189" t="s">
        <v>2126</v>
      </c>
      <c r="I1765" s="189" t="s">
        <v>2121</v>
      </c>
      <c r="J1765" s="189" t="s">
        <v>35</v>
      </c>
      <c r="K1765" s="201"/>
    </row>
    <row r="1766" customFormat="false" ht="15" hidden="false" customHeight="false" outlineLevel="0" collapsed="false">
      <c r="A1766" s="197" t="s">
        <v>5538</v>
      </c>
      <c r="B1766" s="191" t="n">
        <v>4818917818</v>
      </c>
      <c r="C1766" s="190" t="s">
        <v>2637</v>
      </c>
      <c r="D1766" s="191" t="n">
        <v>5511944895016</v>
      </c>
      <c r="E1766" s="190" t="s">
        <v>2638</v>
      </c>
      <c r="F1766" s="192" t="n">
        <f aca="false">SUMIF(ENTRADAS!F:F,CLIENTES_PCBR[[#This Row],[TELEFONO]],ENTRADAS!C:C)</f>
        <v>937</v>
      </c>
      <c r="G1766" s="189" t="s">
        <v>94</v>
      </c>
      <c r="H1766" s="189" t="s">
        <v>2107</v>
      </c>
      <c r="I1766" s="189" t="s">
        <v>2135</v>
      </c>
      <c r="K1766" s="201"/>
    </row>
    <row r="1767" customFormat="false" ht="15" hidden="false" customHeight="false" outlineLevel="0" collapsed="false">
      <c r="A1767" s="197" t="s">
        <v>5539</v>
      </c>
      <c r="B1767" s="191" t="n">
        <v>0</v>
      </c>
      <c r="C1767" s="190" t="s">
        <v>2641</v>
      </c>
      <c r="D1767" s="191" t="n">
        <v>5519988335383</v>
      </c>
      <c r="E1767" s="190" t="s">
        <v>2642</v>
      </c>
      <c r="F1767" s="192" t="n">
        <f aca="false">SUMIF(ENTRADAS!F:F,CLIENTES_PCBR[[#This Row],[TELEFONO]],ENTRADAS!C:C)</f>
        <v>240</v>
      </c>
      <c r="G1767" s="189" t="s">
        <v>94</v>
      </c>
      <c r="H1767" s="189" t="s">
        <v>2643</v>
      </c>
      <c r="I1767" s="189" t="s">
        <v>2135</v>
      </c>
      <c r="K1767" s="201"/>
    </row>
    <row r="1768" customFormat="false" ht="15" hidden="false" customHeight="false" outlineLevel="0" collapsed="false">
      <c r="A1768" s="197" t="s">
        <v>5540</v>
      </c>
      <c r="B1768" s="191" t="n">
        <v>-1</v>
      </c>
      <c r="C1768" s="190" t="s">
        <v>2646</v>
      </c>
      <c r="D1768" s="191" t="n">
        <v>556481168509</v>
      </c>
      <c r="E1768" s="190" t="s">
        <v>2647</v>
      </c>
      <c r="F1768" s="192" t="n">
        <f aca="false">SUMIF(ENTRADAS!F:F,CLIENTES_PCBR[[#This Row],[TELEFONO]],ENTRADAS!C:C)</f>
        <v>120</v>
      </c>
      <c r="G1768" s="189" t="s">
        <v>94</v>
      </c>
      <c r="H1768" s="189" t="s">
        <v>2648</v>
      </c>
      <c r="I1768" s="189" t="s">
        <v>862</v>
      </c>
      <c r="J1768" s="189" t="s">
        <v>35</v>
      </c>
      <c r="K1768" s="201"/>
    </row>
    <row r="1769" customFormat="false" ht="15" hidden="false" customHeight="false" outlineLevel="0" collapsed="false">
      <c r="A1769" s="197" t="s">
        <v>5541</v>
      </c>
      <c r="B1769" s="191" t="n">
        <v>11344978223</v>
      </c>
      <c r="C1769" s="190" t="s">
        <v>2651</v>
      </c>
      <c r="D1769" s="191" t="n">
        <v>559681082485</v>
      </c>
      <c r="E1769" s="190" t="s">
        <v>2652</v>
      </c>
      <c r="F1769" s="192" t="n">
        <f aca="false">SUMIF(ENTRADAS!F:F,CLIENTES_PCBR[[#This Row],[TELEFONO]],ENTRADAS!C:C)</f>
        <v>147</v>
      </c>
      <c r="G1769" s="189" t="s">
        <v>94</v>
      </c>
      <c r="H1769" s="189" t="s">
        <v>2159</v>
      </c>
      <c r="I1769" s="189" t="s">
        <v>2089</v>
      </c>
      <c r="K1769" s="201"/>
    </row>
    <row r="1770" customFormat="false" ht="15" hidden="false" customHeight="false" outlineLevel="0" collapsed="false">
      <c r="A1770" s="197" t="s">
        <v>5542</v>
      </c>
      <c r="B1770" s="191" t="n">
        <v>-1</v>
      </c>
      <c r="C1770" s="190" t="s">
        <v>2654</v>
      </c>
      <c r="D1770" s="191" t="n">
        <v>559584107108</v>
      </c>
      <c r="E1770" s="190" t="s">
        <v>2655</v>
      </c>
      <c r="F1770" s="192" t="n">
        <f aca="false">SUMIF(ENTRADAS!F:F,CLIENTES_PCBR[[#This Row],[TELEFONO]],ENTRADAS!C:C)</f>
        <v>150</v>
      </c>
      <c r="G1770" s="189" t="s">
        <v>94</v>
      </c>
      <c r="H1770" s="189" t="s">
        <v>2107</v>
      </c>
      <c r="I1770" s="189" t="s">
        <v>862</v>
      </c>
      <c r="K1770" s="201"/>
    </row>
    <row r="1771" customFormat="false" ht="15" hidden="false" customHeight="false" outlineLevel="0" collapsed="false">
      <c r="A1771" s="197" t="s">
        <v>5543</v>
      </c>
      <c r="B1771" s="191" t="n">
        <v>0</v>
      </c>
      <c r="C1771" s="190" t="s">
        <v>2657</v>
      </c>
      <c r="D1771" s="191" t="n">
        <v>18562664691</v>
      </c>
      <c r="E1771" s="190" t="s">
        <v>2658</v>
      </c>
      <c r="F1771" s="192" t="n">
        <f aca="false">SUMIF(ENTRADAS!F:F,CLIENTES_PCBR[[#This Row],[TELEFONO]],ENTRADAS!C:C)</f>
        <v>147</v>
      </c>
      <c r="G1771" s="189" t="s">
        <v>94</v>
      </c>
      <c r="H1771" s="189" t="s">
        <v>2659</v>
      </c>
      <c r="I1771" s="189" t="s">
        <v>2245</v>
      </c>
      <c r="K1771" s="201"/>
    </row>
    <row r="1772" customFormat="false" ht="15" hidden="false" customHeight="false" outlineLevel="0" collapsed="false">
      <c r="A1772" s="197" t="s">
        <v>5544</v>
      </c>
      <c r="B1772" s="191" t="n">
        <v>0</v>
      </c>
      <c r="C1772" s="190" t="s">
        <v>2657</v>
      </c>
      <c r="D1772" s="191" t="n">
        <v>559684162886</v>
      </c>
      <c r="E1772" s="190" t="s">
        <v>5545</v>
      </c>
      <c r="F1772" s="192" t="n">
        <f aca="false">SUMIF(ENTRADAS!F:F,CLIENTES_PCBR[[#This Row],[TELEFONO]],ENTRADAS!C:C)</f>
        <v>120</v>
      </c>
      <c r="G1772" s="189" t="s">
        <v>94</v>
      </c>
      <c r="H1772" s="189" t="s">
        <v>2659</v>
      </c>
      <c r="I1772" s="189" t="s">
        <v>2245</v>
      </c>
      <c r="K1772" s="201"/>
    </row>
    <row r="1773" customFormat="false" ht="15" hidden="false" customHeight="false" outlineLevel="0" collapsed="false">
      <c r="A1773" s="197" t="s">
        <v>5546</v>
      </c>
      <c r="B1773" s="191" t="n">
        <v>0</v>
      </c>
      <c r="C1773" s="190" t="s">
        <v>2661</v>
      </c>
      <c r="D1773" s="191" t="n">
        <v>553182986802</v>
      </c>
      <c r="E1773" s="190" t="s">
        <v>2662</v>
      </c>
      <c r="F1773" s="192" t="n">
        <f aca="false">SUMIF(ENTRADAS!F:F,CLIENTES_PCBR[[#This Row],[TELEFONO]],ENTRADAS!C:C)</f>
        <v>267</v>
      </c>
      <c r="G1773" s="189" t="s">
        <v>94</v>
      </c>
      <c r="H1773" s="189" t="s">
        <v>2659</v>
      </c>
      <c r="I1773" s="189" t="s">
        <v>2245</v>
      </c>
      <c r="K1773" s="201"/>
    </row>
    <row r="1774" customFormat="false" ht="15" hidden="false" customHeight="false" outlineLevel="0" collapsed="false">
      <c r="A1774" s="197" t="s">
        <v>2667</v>
      </c>
      <c r="B1774" s="191" t="n">
        <v>-1</v>
      </c>
      <c r="C1774" s="190" t="s">
        <v>2668</v>
      </c>
      <c r="D1774" s="191" t="n">
        <v>5511910622660</v>
      </c>
      <c r="E1774" s="190" t="s">
        <v>2669</v>
      </c>
      <c r="F1774" s="192" t="n">
        <f aca="false">SUMIF(ENTRADAS!F:F,CLIENTES_PCBR[[#This Row],[TELEFONO]],ENTRADAS!C:C)</f>
        <v>480</v>
      </c>
      <c r="G1774" s="189" t="s">
        <v>94</v>
      </c>
      <c r="H1774" s="189" t="s">
        <v>2135</v>
      </c>
      <c r="I1774" s="189" t="s">
        <v>2135</v>
      </c>
      <c r="K1774" s="201"/>
    </row>
    <row r="1775" customFormat="false" ht="15" hidden="false" customHeight="false" outlineLevel="0" collapsed="false">
      <c r="A1775" s="197" t="s">
        <v>2663</v>
      </c>
      <c r="B1775" s="191" t="n">
        <v>0</v>
      </c>
      <c r="C1775" s="190" t="s">
        <v>2665</v>
      </c>
      <c r="D1775" s="191" t="n">
        <v>554891344683</v>
      </c>
      <c r="E1775" s="190" t="s">
        <v>2666</v>
      </c>
      <c r="F1775" s="192" t="n">
        <f aca="false">SUMIF(ENTRADAS!F:F,CLIENTES_PCBR[[#This Row],[TELEFONO]],ENTRADAS!C:C)</f>
        <v>150</v>
      </c>
      <c r="G1775" s="189" t="s">
        <v>94</v>
      </c>
      <c r="H1775" s="189" t="s">
        <v>2128</v>
      </c>
      <c r="I1775" s="189" t="s">
        <v>2129</v>
      </c>
      <c r="K1775" s="201"/>
    </row>
    <row r="1776" customFormat="false" ht="15" hidden="false" customHeight="false" outlineLevel="0" collapsed="false">
      <c r="A1776" s="197" t="s">
        <v>5547</v>
      </c>
      <c r="B1776" s="191" t="n">
        <v>-1</v>
      </c>
      <c r="C1776" s="190" t="s">
        <v>2671</v>
      </c>
      <c r="D1776" s="191" t="n">
        <v>554788347947</v>
      </c>
      <c r="E1776" s="190" t="s">
        <v>2672</v>
      </c>
      <c r="F1776" s="192" t="n">
        <f aca="false">SUMIF(ENTRADAS!F:F,CLIENTES_PCBR[[#This Row],[TELEFONO]],ENTRADAS!C:C)</f>
        <v>150</v>
      </c>
      <c r="G1776" s="189" t="s">
        <v>94</v>
      </c>
      <c r="H1776" s="189" t="s">
        <v>2107</v>
      </c>
      <c r="I1776" s="189" t="s">
        <v>862</v>
      </c>
      <c r="K1776" s="201"/>
    </row>
    <row r="1777" customFormat="false" ht="15" hidden="false" customHeight="false" outlineLevel="0" collapsed="false">
      <c r="A1777" s="197" t="s">
        <v>2677</v>
      </c>
      <c r="B1777" s="191" t="n">
        <v>0</v>
      </c>
      <c r="C1777" s="190" t="s">
        <v>2678</v>
      </c>
      <c r="D1777" s="191" t="n">
        <v>554888798345</v>
      </c>
      <c r="E1777" s="190" t="s">
        <v>2679</v>
      </c>
      <c r="F1777" s="192" t="n">
        <f aca="false">SUMIF(ENTRADAS!F:F,CLIENTES_PCBR[[#This Row],[TELEFONO]],ENTRADAS!C:C)</f>
        <v>900</v>
      </c>
      <c r="G1777" s="189" t="s">
        <v>94</v>
      </c>
      <c r="H1777" s="189" t="s">
        <v>2128</v>
      </c>
      <c r="I1777" s="189" t="s">
        <v>2129</v>
      </c>
      <c r="K1777" s="201"/>
    </row>
    <row r="1778" customFormat="false" ht="15" hidden="false" customHeight="false" outlineLevel="0" collapsed="false">
      <c r="A1778" s="197" t="s">
        <v>2680</v>
      </c>
      <c r="B1778" s="191" t="n">
        <v>0</v>
      </c>
      <c r="C1778" s="190" t="s">
        <v>2681</v>
      </c>
      <c r="D1778" s="191" t="n">
        <v>554791489195</v>
      </c>
      <c r="E1778" s="190" t="s">
        <v>2682</v>
      </c>
      <c r="F1778" s="192" t="n">
        <f aca="false">SUMIF(ENTRADAS!F:F,CLIENTES_PCBR[[#This Row],[TELEFONO]],ENTRADAS!C:C)</f>
        <v>150</v>
      </c>
      <c r="G1778" s="189" t="s">
        <v>94</v>
      </c>
      <c r="H1778" s="189" t="s">
        <v>2107</v>
      </c>
      <c r="I1778" s="189" t="s">
        <v>2129</v>
      </c>
      <c r="J1778" s="189" t="s">
        <v>1176</v>
      </c>
      <c r="K1778" s="201"/>
    </row>
    <row r="1779" customFormat="false" ht="15" hidden="false" customHeight="false" outlineLevel="0" collapsed="false">
      <c r="A1779" s="197" t="s">
        <v>2685</v>
      </c>
      <c r="B1779" s="191" t="n">
        <v>11481124218</v>
      </c>
      <c r="C1779" s="190" t="s">
        <v>2687</v>
      </c>
      <c r="D1779" s="191" t="n">
        <v>5516993929176</v>
      </c>
      <c r="E1779" s="190" t="s">
        <v>2688</v>
      </c>
      <c r="F1779" s="192" t="n">
        <f aca="false">SUMIF(ENTRADAS!F:F,CLIENTES_PCBR[[#This Row],[TELEFONO]],ENTRADAS!C:C)</f>
        <v>194</v>
      </c>
      <c r="G1779" s="189" t="s">
        <v>94</v>
      </c>
      <c r="H1779" s="189" t="s">
        <v>2689</v>
      </c>
      <c r="I1779" s="189" t="s">
        <v>2135</v>
      </c>
      <c r="J1779" s="189" t="s">
        <v>35</v>
      </c>
      <c r="K1779" s="201"/>
    </row>
    <row r="1780" customFormat="false" ht="15" hidden="false" customHeight="false" outlineLevel="0" collapsed="false">
      <c r="A1780" s="197" t="s">
        <v>2691</v>
      </c>
      <c r="B1780" s="191" t="n">
        <v>-1</v>
      </c>
      <c r="C1780" s="190" t="s">
        <v>2692</v>
      </c>
      <c r="D1780" s="191" t="n">
        <v>5927379604</v>
      </c>
      <c r="E1780" s="190" t="s">
        <v>2693</v>
      </c>
      <c r="F1780" s="192" t="n">
        <f aca="false">SUMIF(ENTRADAS!F:F,CLIENTES_PCBR[[#This Row],[TELEFONO]],ENTRADAS!C:C)</f>
        <v>150</v>
      </c>
      <c r="G1780" s="189" t="s">
        <v>94</v>
      </c>
      <c r="H1780" s="189" t="s">
        <v>2107</v>
      </c>
      <c r="I1780" s="189" t="s">
        <v>862</v>
      </c>
      <c r="K1780" s="201"/>
    </row>
    <row r="1781" customFormat="false" ht="15" hidden="false" customHeight="false" outlineLevel="0" collapsed="false">
      <c r="A1781" s="197" t="s">
        <v>2694</v>
      </c>
      <c r="B1781" s="191" t="n">
        <v>-1</v>
      </c>
      <c r="C1781" s="190" t="s">
        <v>2696</v>
      </c>
      <c r="D1781" s="191" t="n">
        <v>559584096367</v>
      </c>
      <c r="E1781" s="190" t="s">
        <v>2697</v>
      </c>
      <c r="F1781" s="192" t="n">
        <f aca="false">SUMIF(ENTRADAS!F:F,CLIENTES_PCBR[[#This Row],[TELEFONO]],ENTRADAS!C:C)</f>
        <v>294</v>
      </c>
      <c r="G1781" s="189" t="s">
        <v>94</v>
      </c>
      <c r="H1781" s="189" t="s">
        <v>2128</v>
      </c>
      <c r="I1781" s="189" t="s">
        <v>2129</v>
      </c>
      <c r="K1781" s="201"/>
    </row>
    <row r="1782" customFormat="false" ht="15" hidden="false" customHeight="false" outlineLevel="0" collapsed="false">
      <c r="A1782" s="197" t="s">
        <v>2698</v>
      </c>
      <c r="B1782" s="191" t="n">
        <v>3260836934</v>
      </c>
      <c r="C1782" s="190" t="s">
        <v>2700</v>
      </c>
      <c r="D1782" s="191" t="n">
        <v>554187708060</v>
      </c>
      <c r="E1782" s="190" t="s">
        <v>2701</v>
      </c>
      <c r="F1782" s="192" t="n">
        <f aca="false">SUMIF(ENTRADAS!F:F,CLIENTES_PCBR[[#This Row],[TELEFONO]],ENTRADAS!C:C)</f>
        <v>300</v>
      </c>
      <c r="G1782" s="189" t="s">
        <v>94</v>
      </c>
      <c r="H1782" s="189" t="s">
        <v>2088</v>
      </c>
      <c r="I1782" s="189" t="s">
        <v>2089</v>
      </c>
      <c r="K1782" s="201"/>
    </row>
    <row r="1783" customFormat="false" ht="15" hidden="false" customHeight="false" outlineLevel="0" collapsed="false">
      <c r="A1783" s="197" t="s">
        <v>2702</v>
      </c>
      <c r="B1783" s="191" t="n">
        <v>11760658235</v>
      </c>
      <c r="C1783" s="190" t="s">
        <v>2703</v>
      </c>
      <c r="D1783" s="191" t="n">
        <v>554195773334</v>
      </c>
      <c r="E1783" s="190" t="s">
        <v>2704</v>
      </c>
      <c r="F1783" s="192" t="n">
        <f aca="false">SUMIF(ENTRADAS!F:F,CLIENTES_PCBR[[#This Row],[TELEFONO]],ENTRADAS!C:C)</f>
        <v>97</v>
      </c>
      <c r="G1783" s="189" t="s">
        <v>94</v>
      </c>
      <c r="H1783" s="189" t="s">
        <v>2088</v>
      </c>
      <c r="I1783" s="189" t="s">
        <v>2089</v>
      </c>
      <c r="J1783" s="189" t="s">
        <v>97</v>
      </c>
      <c r="K1783" s="201"/>
    </row>
    <row r="1784" customFormat="false" ht="15" hidden="false" customHeight="false" outlineLevel="0" collapsed="false">
      <c r="A1784" s="197" t="s">
        <v>2705</v>
      </c>
      <c r="B1784" s="191" t="n">
        <v>11982961279</v>
      </c>
      <c r="C1784" s="190" t="s">
        <v>2706</v>
      </c>
      <c r="D1784" s="191" t="n">
        <v>559584407526</v>
      </c>
      <c r="E1784" s="190" t="s">
        <v>2707</v>
      </c>
      <c r="F1784" s="192" t="n">
        <f aca="false">SUMIF(ENTRADAS!F:F,CLIENTES_PCBR[[#This Row],[TELEFONO]],ENTRADAS!C:C)</f>
        <v>330</v>
      </c>
      <c r="G1784" s="189" t="s">
        <v>94</v>
      </c>
      <c r="H1784" s="189" t="s">
        <v>2708</v>
      </c>
      <c r="I1784" s="189" t="s">
        <v>2089</v>
      </c>
      <c r="J1784" s="189" t="s">
        <v>1176</v>
      </c>
      <c r="K1784" s="201"/>
    </row>
    <row r="1785" customFormat="false" ht="15" hidden="false" customHeight="false" outlineLevel="0" collapsed="false">
      <c r="A1785" s="197" t="s">
        <v>2709</v>
      </c>
      <c r="B1785" s="191" t="n">
        <v>-1</v>
      </c>
      <c r="C1785" s="190" t="s">
        <v>2711</v>
      </c>
      <c r="D1785" s="191" t="s">
        <v>5548</v>
      </c>
      <c r="E1785" s="190" t="s">
        <v>2712</v>
      </c>
      <c r="F1785" s="192" t="n">
        <f aca="false">SUMIF(ENTRADAS!F:F,CLIENTES_PCBR[[#This Row],[TELEFONO]],ENTRADAS!C:C)</f>
        <v>0</v>
      </c>
      <c r="G1785" s="189" t="s">
        <v>94</v>
      </c>
      <c r="H1785" s="189" t="s">
        <v>2159</v>
      </c>
      <c r="I1785" s="189" t="s">
        <v>2089</v>
      </c>
      <c r="K1785" s="201"/>
    </row>
    <row r="1786" customFormat="false" ht="15" hidden="false" customHeight="false" outlineLevel="0" collapsed="false">
      <c r="A1786" s="197" t="s">
        <v>2713</v>
      </c>
      <c r="B1786" s="191" t="n">
        <v>-1</v>
      </c>
      <c r="C1786" s="190" t="s">
        <v>2715</v>
      </c>
      <c r="D1786" s="191" t="n">
        <v>559284719334</v>
      </c>
      <c r="E1786" s="190" t="s">
        <v>2716</v>
      </c>
      <c r="F1786" s="192" t="n">
        <f aca="false">SUMIF(ENTRADAS!F:F,CLIENTES_PCBR[[#This Row],[TELEFONO]],ENTRADAS!C:C)</f>
        <v>210</v>
      </c>
      <c r="G1786" s="189" t="s">
        <v>94</v>
      </c>
      <c r="H1786" s="189" t="s">
        <v>2139</v>
      </c>
      <c r="I1786" s="189" t="s">
        <v>2089</v>
      </c>
      <c r="J1786" s="189" t="s">
        <v>35</v>
      </c>
      <c r="K1786" s="201"/>
    </row>
    <row r="1787" customFormat="false" ht="15" hidden="false" customHeight="false" outlineLevel="0" collapsed="false">
      <c r="A1787" s="197" t="s">
        <v>2720</v>
      </c>
      <c r="B1787" s="191" t="n">
        <v>11771951273</v>
      </c>
      <c r="C1787" s="190" t="s">
        <v>2721</v>
      </c>
      <c r="D1787" s="191" t="n">
        <v>555491558430</v>
      </c>
      <c r="E1787" s="190" t="s">
        <v>2722</v>
      </c>
      <c r="F1787" s="192" t="n">
        <f aca="false">SUMIF(ENTRADAS!F:F,CLIENTES_PCBR[[#This Row],[TELEFONO]],ENTRADAS!C:C)</f>
        <v>180</v>
      </c>
      <c r="G1787" s="189" t="s">
        <v>94</v>
      </c>
      <c r="H1787" s="189" t="s">
        <v>2107</v>
      </c>
      <c r="I1787" s="189" t="s">
        <v>2121</v>
      </c>
      <c r="K1787" s="201"/>
    </row>
    <row r="1788" customFormat="false" ht="15" hidden="false" customHeight="false" outlineLevel="0" collapsed="false">
      <c r="A1788" s="197" t="s">
        <v>2723</v>
      </c>
      <c r="B1788" s="191" t="n">
        <v>-1</v>
      </c>
      <c r="C1788" s="190" t="s">
        <v>2724</v>
      </c>
      <c r="D1788" s="191" t="n">
        <v>553499098215</v>
      </c>
      <c r="E1788" s="190" t="s">
        <v>43</v>
      </c>
      <c r="F1788" s="192" t="n">
        <f aca="false">SUMIF(ENTRADAS!F:F,CLIENTES_PCBR[[#This Row],[TELEFONO]],ENTRADAS!C:C)</f>
        <v>120</v>
      </c>
      <c r="G1788" s="189" t="s">
        <v>94</v>
      </c>
      <c r="H1788" s="189" t="s">
        <v>2107</v>
      </c>
      <c r="I1788" s="189" t="s">
        <v>862</v>
      </c>
      <c r="J1788" s="189" t="s">
        <v>35</v>
      </c>
      <c r="K1788" s="201"/>
    </row>
    <row r="1789" customFormat="false" ht="15" hidden="false" customHeight="false" outlineLevel="0" collapsed="false">
      <c r="A1789" s="197" t="s">
        <v>2725</v>
      </c>
      <c r="B1789" s="191" t="n">
        <v>-1</v>
      </c>
      <c r="C1789" s="190" t="s">
        <v>2726</v>
      </c>
      <c r="D1789" s="191" t="n">
        <v>554899673194</v>
      </c>
      <c r="E1789" s="190" t="s">
        <v>2727</v>
      </c>
      <c r="F1789" s="192" t="n">
        <f aca="false">SUMIF(ENTRADAS!F:F,CLIENTES_PCBR[[#This Row],[TELEFONO]],ENTRADAS!C:C)</f>
        <v>330</v>
      </c>
      <c r="G1789" s="189" t="s">
        <v>94</v>
      </c>
      <c r="H1789" s="189" t="s">
        <v>2107</v>
      </c>
      <c r="I1789" s="189" t="s">
        <v>862</v>
      </c>
      <c r="J1789" s="189" t="s">
        <v>35</v>
      </c>
      <c r="K1789" s="201"/>
    </row>
    <row r="1790" customFormat="false" ht="15" hidden="false" customHeight="false" outlineLevel="0" collapsed="false">
      <c r="A1790" s="197" t="s">
        <v>2728</v>
      </c>
      <c r="B1790" s="191" t="n">
        <v>-1</v>
      </c>
      <c r="C1790" s="190" t="s">
        <v>2729</v>
      </c>
      <c r="D1790" s="191" t="n">
        <v>559584297376</v>
      </c>
      <c r="E1790" s="190" t="s">
        <v>2730</v>
      </c>
      <c r="F1790" s="192" t="n">
        <f aca="false">SUMIF(ENTRADAS!F:F,CLIENTES_PCBR[[#This Row],[TELEFONO]],ENTRADAS!C:C)</f>
        <v>120</v>
      </c>
      <c r="G1790" s="189" t="s">
        <v>94</v>
      </c>
      <c r="H1790" s="189" t="s">
        <v>2159</v>
      </c>
      <c r="I1790" s="189" t="s">
        <v>2089</v>
      </c>
      <c r="J1790" s="189" t="s">
        <v>35</v>
      </c>
      <c r="K1790" s="201"/>
    </row>
    <row r="1791" customFormat="false" ht="15" hidden="false" customHeight="false" outlineLevel="0" collapsed="false">
      <c r="A1791" s="197" t="s">
        <v>2731</v>
      </c>
      <c r="B1791" s="191" t="n">
        <v>-1</v>
      </c>
      <c r="C1791" s="190" t="s">
        <v>2732</v>
      </c>
      <c r="D1791" s="191" t="n">
        <v>559584214940</v>
      </c>
      <c r="E1791" s="190" t="s">
        <v>2733</v>
      </c>
      <c r="F1791" s="192" t="n">
        <f aca="false">SUMIF(ENTRADAS!F:F,CLIENTES_PCBR[[#This Row],[TELEFONO]],ENTRADAS!C:C)</f>
        <v>150</v>
      </c>
      <c r="G1791" s="189" t="s">
        <v>94</v>
      </c>
      <c r="H1791" s="189" t="s">
        <v>2427</v>
      </c>
      <c r="I1791" s="189" t="s">
        <v>2734</v>
      </c>
      <c r="J1791" s="189" t="s">
        <v>1176</v>
      </c>
      <c r="K1791" s="201"/>
    </row>
    <row r="1792" customFormat="false" ht="15" hidden="false" customHeight="false" outlineLevel="0" collapsed="false">
      <c r="A1792" s="197" t="s">
        <v>2737</v>
      </c>
      <c r="B1792" s="191" t="n">
        <v>-1</v>
      </c>
      <c r="C1792" s="190" t="s">
        <v>2738</v>
      </c>
      <c r="D1792" s="191" t="n">
        <v>556296899164</v>
      </c>
      <c r="E1792" s="190" t="s">
        <v>2739</v>
      </c>
      <c r="F1792" s="192" t="n">
        <f aca="false">SUMIF(ENTRADAS!F:F,CLIENTES_PCBR[[#This Row],[TELEFONO]],ENTRADAS!C:C)</f>
        <v>294</v>
      </c>
      <c r="G1792" s="189" t="s">
        <v>94</v>
      </c>
      <c r="H1792" s="189" t="s">
        <v>2280</v>
      </c>
      <c r="I1792" s="189" t="s">
        <v>2281</v>
      </c>
      <c r="J1792" s="189" t="s">
        <v>35</v>
      </c>
      <c r="K1792" s="201"/>
    </row>
    <row r="1793" customFormat="false" ht="15" hidden="false" customHeight="false" outlineLevel="0" collapsed="false">
      <c r="A1793" s="197" t="s">
        <v>2741</v>
      </c>
      <c r="B1793" s="191" t="n">
        <v>-1</v>
      </c>
      <c r="C1793" s="190" t="s">
        <v>2742</v>
      </c>
      <c r="D1793" s="191" t="n">
        <v>554888036597</v>
      </c>
      <c r="E1793" s="190" t="s">
        <v>2743</v>
      </c>
      <c r="F1793" s="192" t="n">
        <f aca="false">SUMIF(ENTRADAS!F:F,CLIENTES_PCBR[[#This Row],[TELEFONO]],ENTRADAS!C:C)</f>
        <v>441</v>
      </c>
      <c r="G1793" s="189" t="s">
        <v>94</v>
      </c>
      <c r="H1793" s="189" t="s">
        <v>2107</v>
      </c>
      <c r="I1793" s="189" t="s">
        <v>862</v>
      </c>
      <c r="J1793" s="189" t="s">
        <v>35</v>
      </c>
      <c r="K1793" s="201"/>
    </row>
    <row r="1794" customFormat="false" ht="15" hidden="false" customHeight="false" outlineLevel="0" collapsed="false">
      <c r="A1794" s="197" t="s">
        <v>2751</v>
      </c>
      <c r="B1794" s="191" t="n">
        <v>-1</v>
      </c>
      <c r="C1794" s="190" t="s">
        <v>2752</v>
      </c>
      <c r="D1794" s="191" t="n">
        <v>554198735582</v>
      </c>
      <c r="E1794" s="190" t="s">
        <v>2753</v>
      </c>
      <c r="F1794" s="192" t="n">
        <f aca="false">SUMIF(ENTRADAS!F:F,CLIENTES_PCBR[[#This Row],[TELEFONO]],ENTRADAS!C:C)</f>
        <v>514</v>
      </c>
      <c r="G1794" s="189" t="s">
        <v>94</v>
      </c>
      <c r="H1794" s="189" t="s">
        <v>2159</v>
      </c>
      <c r="I1794" s="189" t="s">
        <v>2089</v>
      </c>
      <c r="K1794" s="201"/>
    </row>
    <row r="1795" customFormat="false" ht="15" hidden="false" customHeight="false" outlineLevel="0" collapsed="false">
      <c r="A1795" s="197" t="s">
        <v>2757</v>
      </c>
      <c r="B1795" s="191" t="n">
        <v>-1</v>
      </c>
      <c r="C1795" s="190" t="s">
        <v>2758</v>
      </c>
      <c r="D1795" s="191" t="n">
        <v>559584295833</v>
      </c>
      <c r="E1795" s="190" t="s">
        <v>2759</v>
      </c>
      <c r="F1795" s="192" t="n">
        <f aca="false">SUMIF(ENTRADAS!F:F,CLIENTES_PCBR[[#This Row],[TELEFONO]],ENTRADAS!C:C)</f>
        <v>150</v>
      </c>
      <c r="G1795" s="189" t="s">
        <v>94</v>
      </c>
      <c r="H1795" s="189" t="s">
        <v>2760</v>
      </c>
      <c r="I1795" s="189" t="s">
        <v>2121</v>
      </c>
      <c r="K1795" s="201"/>
    </row>
    <row r="1796" customFormat="false" ht="15" hidden="false" customHeight="false" outlineLevel="0" collapsed="false">
      <c r="A1796" s="197" t="s">
        <v>2764</v>
      </c>
      <c r="B1796" s="191" t="n">
        <v>-1</v>
      </c>
      <c r="C1796" s="190" t="s">
        <v>2765</v>
      </c>
      <c r="D1796" s="191" t="n">
        <v>559584229364</v>
      </c>
      <c r="E1796" s="190" t="s">
        <v>43</v>
      </c>
      <c r="F1796" s="192" t="n">
        <f aca="false">SUMIF(ENTRADAS!F:F,CLIENTES_PCBR[[#This Row],[TELEFONO]],ENTRADAS!C:C)</f>
        <v>240</v>
      </c>
      <c r="G1796" s="189" t="s">
        <v>94</v>
      </c>
      <c r="H1796" s="189" t="s">
        <v>2749</v>
      </c>
      <c r="I1796" s="189" t="s">
        <v>2320</v>
      </c>
      <c r="K1796" s="201"/>
    </row>
    <row r="1797" customFormat="false" ht="15" hidden="false" customHeight="false" outlineLevel="0" collapsed="false">
      <c r="A1797" s="197" t="s">
        <v>2767</v>
      </c>
      <c r="B1797" s="191" t="n">
        <v>-1</v>
      </c>
      <c r="C1797" s="190" t="s">
        <v>2769</v>
      </c>
      <c r="D1797" s="191" t="n">
        <v>556681034055</v>
      </c>
      <c r="E1797" s="190" t="s">
        <v>2770</v>
      </c>
      <c r="F1797" s="192" t="n">
        <f aca="false">SUMIF(ENTRADAS!F:F,CLIENTES_PCBR[[#This Row],[TELEFONO]],ENTRADAS!C:C)</f>
        <v>150</v>
      </c>
      <c r="G1797" s="189" t="s">
        <v>94</v>
      </c>
      <c r="H1797" s="189" t="s">
        <v>2107</v>
      </c>
      <c r="I1797" s="189" t="s">
        <v>2320</v>
      </c>
      <c r="J1797" s="189" t="s">
        <v>908</v>
      </c>
      <c r="K1797" s="201"/>
    </row>
    <row r="1798" customFormat="false" ht="15" hidden="false" customHeight="false" outlineLevel="0" collapsed="false">
      <c r="A1798" s="197" t="s">
        <v>2774</v>
      </c>
      <c r="B1798" s="191" t="n">
        <v>-1</v>
      </c>
      <c r="C1798" s="190" t="s">
        <v>2775</v>
      </c>
      <c r="D1798" s="191" t="n">
        <v>556294446991</v>
      </c>
      <c r="E1798" s="190" t="s">
        <v>519</v>
      </c>
      <c r="F1798" s="192" t="n">
        <f aca="false">SUMIF(ENTRADAS!F:F,CLIENTES_PCBR[[#This Row],[TELEFONO]],ENTRADAS!C:C)</f>
        <v>150</v>
      </c>
      <c r="G1798" s="189" t="s">
        <v>94</v>
      </c>
      <c r="H1798" s="189" t="s">
        <v>2085</v>
      </c>
      <c r="I1798" s="189" t="s">
        <v>862</v>
      </c>
      <c r="J1798" s="189" t="s">
        <v>35</v>
      </c>
      <c r="K1798" s="201"/>
    </row>
    <row r="1799" customFormat="false" ht="15" hidden="false" customHeight="false" outlineLevel="0" collapsed="false">
      <c r="A1799" s="197" t="s">
        <v>2776</v>
      </c>
      <c r="B1799" s="191" t="n">
        <v>-1</v>
      </c>
      <c r="C1799" s="190" t="s">
        <v>2778</v>
      </c>
      <c r="D1799" s="191" t="s">
        <v>2782</v>
      </c>
      <c r="E1799" s="190" t="s">
        <v>43</v>
      </c>
      <c r="F1799" s="192" t="n">
        <f aca="false">SUMIF(ENTRADAS!F:F,CLIENTES_PCBR[[#This Row],[TELEFONO]],ENTRADAS!C:C)</f>
        <v>266</v>
      </c>
      <c r="G1799" s="189" t="s">
        <v>94</v>
      </c>
      <c r="H1799" s="189" t="s">
        <v>2760</v>
      </c>
      <c r="I1799" s="189" t="s">
        <v>2121</v>
      </c>
      <c r="K1799" s="201"/>
    </row>
    <row r="1800" customFormat="false" ht="15" hidden="false" customHeight="false" outlineLevel="0" collapsed="false">
      <c r="A1800" s="197" t="s">
        <v>2783</v>
      </c>
      <c r="B1800" s="191" t="n">
        <v>0</v>
      </c>
      <c r="C1800" s="190" t="s">
        <v>2784</v>
      </c>
      <c r="D1800" s="191" t="n">
        <v>554191076146</v>
      </c>
      <c r="E1800" s="190" t="s">
        <v>2587</v>
      </c>
      <c r="F1800" s="192" t="n">
        <f aca="false">SUMIF(ENTRADAS!F:F,CLIENTES_PCBR[[#This Row],[TELEFONO]],ENTRADAS!C:C)</f>
        <v>300</v>
      </c>
      <c r="G1800" s="189" t="s">
        <v>94</v>
      </c>
      <c r="H1800" s="189" t="s">
        <v>2107</v>
      </c>
      <c r="I1800" s="189" t="s">
        <v>862</v>
      </c>
      <c r="K1800" s="201"/>
    </row>
    <row r="1801" customFormat="false" ht="15" hidden="false" customHeight="false" outlineLevel="0" collapsed="false">
      <c r="A1801" s="197" t="s">
        <v>2785</v>
      </c>
      <c r="B1801" s="191" t="n">
        <v>-1</v>
      </c>
      <c r="C1801" s="190" t="s">
        <v>2786</v>
      </c>
      <c r="D1801" s="191" t="n">
        <v>559584018059</v>
      </c>
      <c r="E1801" s="190" t="s">
        <v>2787</v>
      </c>
      <c r="F1801" s="192" t="n">
        <f aca="false">SUMIF(ENTRADAS!F:F,CLIENTES_PCBR[[#This Row],[TELEFONO]],ENTRADAS!C:C)</f>
        <v>147</v>
      </c>
      <c r="G1801" s="189" t="s">
        <v>94</v>
      </c>
      <c r="H1801" s="189" t="s">
        <v>2280</v>
      </c>
      <c r="I1801" s="189" t="s">
        <v>2281</v>
      </c>
      <c r="K1801" s="201"/>
    </row>
    <row r="1802" customFormat="false" ht="15" hidden="false" customHeight="false" outlineLevel="0" collapsed="false">
      <c r="A1802" s="197" t="s">
        <v>2789</v>
      </c>
      <c r="B1802" s="191" t="n">
        <v>0</v>
      </c>
      <c r="C1802" s="190" t="s">
        <v>2790</v>
      </c>
      <c r="D1802" s="191" t="n">
        <v>5547999879884</v>
      </c>
      <c r="E1802" s="190" t="s">
        <v>2791</v>
      </c>
      <c r="F1802" s="192" t="n">
        <f aca="false">SUMIF(ENTRADAS!F:F,CLIENTES_PCBR[[#This Row],[TELEFONO]],ENTRADAS!C:C)</f>
        <v>240</v>
      </c>
      <c r="G1802" s="189" t="s">
        <v>94</v>
      </c>
      <c r="H1802" s="189" t="s">
        <v>2345</v>
      </c>
      <c r="I1802" s="189" t="s">
        <v>2129</v>
      </c>
      <c r="K1802" s="201"/>
    </row>
    <row r="1803" customFormat="false" ht="15" hidden="false" customHeight="false" outlineLevel="0" collapsed="false">
      <c r="A1803" s="197" t="s">
        <v>2792</v>
      </c>
      <c r="B1803" s="191" t="n">
        <v>3934853900</v>
      </c>
      <c r="C1803" s="190" t="s">
        <v>2794</v>
      </c>
      <c r="D1803" s="191" t="n">
        <v>554799296245</v>
      </c>
      <c r="E1803" s="190" t="s">
        <v>2795</v>
      </c>
      <c r="F1803" s="192" t="n">
        <f aca="false">SUMIF(ENTRADAS!F:F,CLIENTES_PCBR[[#This Row],[TELEFONO]],ENTRADAS!C:C)</f>
        <v>300</v>
      </c>
      <c r="G1803" s="189" t="s">
        <v>94</v>
      </c>
      <c r="H1803" s="189" t="s">
        <v>2236</v>
      </c>
      <c r="I1803" s="189" t="s">
        <v>2129</v>
      </c>
      <c r="K1803" s="201"/>
    </row>
    <row r="1804" customFormat="false" ht="15" hidden="false" customHeight="false" outlineLevel="0" collapsed="false">
      <c r="A1804" s="197" t="s">
        <v>2796</v>
      </c>
      <c r="B1804" s="191" t="n">
        <v>-1</v>
      </c>
      <c r="C1804" s="190" t="s">
        <v>2797</v>
      </c>
      <c r="D1804" s="191" t="n">
        <v>554791530689</v>
      </c>
      <c r="E1804" s="190" t="s">
        <v>2798</v>
      </c>
      <c r="F1804" s="192" t="n">
        <f aca="false">SUMIF(ENTRADAS!F:F,CLIENTES_PCBR[[#This Row],[TELEFONO]],ENTRADAS!C:C)</f>
        <v>150</v>
      </c>
      <c r="G1804" s="189" t="s">
        <v>94</v>
      </c>
      <c r="H1804" s="189" t="s">
        <v>2107</v>
      </c>
      <c r="I1804" s="189" t="s">
        <v>862</v>
      </c>
      <c r="K1804" s="201"/>
    </row>
    <row r="1805" customFormat="false" ht="15" hidden="false" customHeight="false" outlineLevel="0" collapsed="false">
      <c r="A1805" s="197" t="s">
        <v>2801</v>
      </c>
      <c r="B1805" s="191" t="n">
        <v>-1</v>
      </c>
      <c r="C1805" s="190" t="s">
        <v>2803</v>
      </c>
      <c r="D1805" s="191" t="n">
        <v>554195389264</v>
      </c>
      <c r="E1805" s="190" t="s">
        <v>2804</v>
      </c>
      <c r="F1805" s="192" t="n">
        <f aca="false">SUMIF(ENTRADAS!F:F,CLIENTES_PCBR[[#This Row],[TELEFONO]],ENTRADAS!C:C)</f>
        <v>120</v>
      </c>
      <c r="G1805" s="189" t="s">
        <v>94</v>
      </c>
      <c r="H1805" s="189" t="s">
        <v>2159</v>
      </c>
      <c r="I1805" s="189" t="s">
        <v>2089</v>
      </c>
      <c r="K1805" s="201"/>
    </row>
    <row r="1806" customFormat="false" ht="15" hidden="false" customHeight="false" outlineLevel="0" collapsed="false">
      <c r="A1806" s="197" t="s">
        <v>2805</v>
      </c>
      <c r="B1806" s="191" t="n">
        <v>-1</v>
      </c>
      <c r="C1806" s="190" t="s">
        <v>2807</v>
      </c>
      <c r="D1806" s="191" t="n">
        <v>556294035268</v>
      </c>
      <c r="E1806" s="190" t="s">
        <v>2808</v>
      </c>
      <c r="F1806" s="192" t="n">
        <f aca="false">SUMIF(ENTRADAS!F:F,CLIENTES_PCBR[[#This Row],[TELEFONO]],ENTRADAS!C:C)</f>
        <v>300</v>
      </c>
      <c r="G1806" s="189" t="s">
        <v>94</v>
      </c>
      <c r="H1806" s="189" t="s">
        <v>2107</v>
      </c>
      <c r="I1806" s="189" t="s">
        <v>862</v>
      </c>
      <c r="K1806" s="201"/>
    </row>
    <row r="1807" customFormat="false" ht="15" hidden="false" customHeight="false" outlineLevel="0" collapsed="false">
      <c r="A1807" s="197" t="s">
        <v>2809</v>
      </c>
      <c r="B1807" s="191" t="n">
        <v>-1</v>
      </c>
      <c r="C1807" s="190" t="s">
        <v>2811</v>
      </c>
      <c r="D1807" s="191" t="n">
        <v>554191155690</v>
      </c>
      <c r="E1807" s="190" t="s">
        <v>2812</v>
      </c>
      <c r="F1807" s="192" t="n">
        <f aca="false">SUMIF(ENTRADAS!F:F,CLIENTES_PCBR[[#This Row],[TELEFONO]],ENTRADAS!C:C)</f>
        <v>150</v>
      </c>
      <c r="G1807" s="189" t="s">
        <v>94</v>
      </c>
      <c r="H1807" s="189" t="s">
        <v>2107</v>
      </c>
      <c r="I1807" s="189" t="s">
        <v>862</v>
      </c>
      <c r="J1807" s="189" t="s">
        <v>35</v>
      </c>
      <c r="K1807" s="201"/>
    </row>
    <row r="1808" customFormat="false" ht="15" hidden="false" customHeight="false" outlineLevel="0" collapsed="false">
      <c r="A1808" s="197" t="s">
        <v>2813</v>
      </c>
      <c r="B1808" s="191" t="n">
        <v>-1</v>
      </c>
      <c r="C1808" s="190" t="s">
        <v>2814</v>
      </c>
      <c r="D1808" s="191" t="n">
        <v>554197116202</v>
      </c>
      <c r="E1808" s="190" t="s">
        <v>2815</v>
      </c>
      <c r="F1808" s="192" t="n">
        <f aca="false">SUMIF(ENTRADAS!F:F,CLIENTES_PCBR[[#This Row],[TELEFONO]],ENTRADAS!C:C)</f>
        <v>150</v>
      </c>
      <c r="G1808" s="189" t="s">
        <v>94</v>
      </c>
      <c r="H1808" s="189" t="s">
        <v>2159</v>
      </c>
      <c r="I1808" s="189" t="s">
        <v>2089</v>
      </c>
      <c r="J1808" s="189" t="s">
        <v>35</v>
      </c>
      <c r="K1808" s="201"/>
    </row>
    <row r="1809" customFormat="false" ht="15" hidden="false" customHeight="false" outlineLevel="0" collapsed="false">
      <c r="A1809" s="197" t="s">
        <v>5549</v>
      </c>
      <c r="B1809" s="191" t="n">
        <v>0</v>
      </c>
      <c r="C1809" s="190" t="s">
        <v>5550</v>
      </c>
      <c r="D1809" s="191" t="n">
        <v>5511974977625</v>
      </c>
      <c r="E1809" s="190" t="s">
        <v>2819</v>
      </c>
      <c r="F1809" s="192" t="n">
        <f aca="false">SUMIF(ENTRADAS!F:F,CLIENTES_PCBR[[#This Row],[TELEFONO]],ENTRADAS!C:C)</f>
        <v>150</v>
      </c>
      <c r="G1809" s="189" t="s">
        <v>94</v>
      </c>
      <c r="H1809" s="189" t="s">
        <v>2107</v>
      </c>
      <c r="I1809" s="189" t="s">
        <v>862</v>
      </c>
      <c r="K1809" s="201"/>
    </row>
    <row r="1810" customFormat="false" ht="15" hidden="false" customHeight="false" outlineLevel="0" collapsed="false">
      <c r="A1810" s="197" t="s">
        <v>2820</v>
      </c>
      <c r="B1810" s="191" t="n">
        <v>0</v>
      </c>
      <c r="C1810" s="190" t="s">
        <v>2821</v>
      </c>
      <c r="D1810" s="191" t="n">
        <v>5511954715763</v>
      </c>
      <c r="E1810" s="190" t="s">
        <v>2822</v>
      </c>
      <c r="F1810" s="192" t="n">
        <f aca="false">SUMIF(ENTRADAS!F:F,CLIENTES_PCBR[[#This Row],[TELEFONO]],ENTRADAS!C:C)</f>
        <v>400</v>
      </c>
      <c r="G1810" s="189" t="s">
        <v>94</v>
      </c>
      <c r="H1810" s="189" t="s">
        <v>2823</v>
      </c>
      <c r="I1810" s="189" t="s">
        <v>2135</v>
      </c>
      <c r="K1810" s="201"/>
    </row>
    <row r="1811" customFormat="false" ht="15" hidden="false" customHeight="false" outlineLevel="0" collapsed="false">
      <c r="A1811" s="197" t="s">
        <v>2824</v>
      </c>
      <c r="B1811" s="191" t="n">
        <v>0</v>
      </c>
      <c r="C1811" s="190" t="s">
        <v>2826</v>
      </c>
      <c r="D1811" s="191" t="n">
        <v>553195677687</v>
      </c>
      <c r="E1811" s="190" t="s">
        <v>2827</v>
      </c>
      <c r="F1811" s="192" t="n">
        <f aca="false">SUMIF(ENTRADAS!F:F,CLIENTES_PCBR[[#This Row],[TELEFONO]],ENTRADAS!C:C)</f>
        <v>240</v>
      </c>
      <c r="G1811" s="189" t="s">
        <v>94</v>
      </c>
      <c r="H1811" s="189" t="s">
        <v>2659</v>
      </c>
      <c r="I1811" s="189" t="s">
        <v>2245</v>
      </c>
      <c r="J1811" s="189" t="s">
        <v>1176</v>
      </c>
      <c r="K1811" s="201"/>
    </row>
    <row r="1812" customFormat="false" ht="15" hidden="false" customHeight="false" outlineLevel="0" collapsed="false">
      <c r="A1812" s="197" t="s">
        <v>2829</v>
      </c>
      <c r="B1812" s="191" t="n">
        <v>11756732264</v>
      </c>
      <c r="C1812" s="190" t="s">
        <v>2830</v>
      </c>
      <c r="D1812" s="191" t="n">
        <v>559584156470</v>
      </c>
      <c r="E1812" s="190" t="s">
        <v>2831</v>
      </c>
      <c r="F1812" s="192" t="n">
        <f aca="false">SUMIF(ENTRADAS!F:F,CLIENTES_PCBR[[#This Row],[TELEFONO]],ENTRADAS!C:C)</f>
        <v>120</v>
      </c>
      <c r="G1812" s="189" t="s">
        <v>94</v>
      </c>
      <c r="H1812" s="189" t="s">
        <v>2139</v>
      </c>
      <c r="I1812" s="189" t="s">
        <v>2089</v>
      </c>
      <c r="K1812" s="201"/>
    </row>
    <row r="1813" customFormat="false" ht="15" hidden="false" customHeight="false" outlineLevel="0" collapsed="false">
      <c r="A1813" s="197" t="s">
        <v>2834</v>
      </c>
      <c r="B1813" s="191" t="n">
        <v>0</v>
      </c>
      <c r="C1813" s="190" t="s">
        <v>2836</v>
      </c>
      <c r="D1813" s="191" t="n">
        <v>5927501751</v>
      </c>
      <c r="E1813" s="190" t="s">
        <v>2837</v>
      </c>
      <c r="F1813" s="192" t="n">
        <f aca="false">SUMIF(ENTRADAS!F:F,CLIENTES_PCBR[[#This Row],[TELEFONO]],ENTRADAS!C:C)</f>
        <v>120</v>
      </c>
      <c r="G1813" s="189" t="s">
        <v>94</v>
      </c>
      <c r="H1813" s="189" t="s">
        <v>2107</v>
      </c>
      <c r="I1813" s="189" t="s">
        <v>862</v>
      </c>
      <c r="K1813" s="201"/>
    </row>
    <row r="1814" customFormat="false" ht="15" hidden="false" customHeight="false" outlineLevel="0" collapsed="false">
      <c r="A1814" s="197" t="s">
        <v>5551</v>
      </c>
      <c r="B1814" s="191" t="n">
        <v>-1</v>
      </c>
      <c r="C1814" s="190" t="s">
        <v>2840</v>
      </c>
      <c r="D1814" s="191" t="n">
        <v>17673171185</v>
      </c>
      <c r="E1814" s="190" t="s">
        <v>43</v>
      </c>
      <c r="F1814" s="192" t="n">
        <f aca="false">SUMIF(ENTRADAS!F:F,CLIENTES_PCBR[[#This Row],[TELEFONO]],ENTRADAS!C:C)</f>
        <v>194</v>
      </c>
      <c r="G1814" s="189" t="s">
        <v>94</v>
      </c>
      <c r="H1814" s="189" t="s">
        <v>2126</v>
      </c>
      <c r="I1814" s="189" t="s">
        <v>2121</v>
      </c>
      <c r="K1814" s="201"/>
    </row>
    <row r="1815" customFormat="false" ht="15" hidden="false" customHeight="false" outlineLevel="0" collapsed="false">
      <c r="A1815" s="197" t="s">
        <v>2846</v>
      </c>
      <c r="B1815" s="191" t="n">
        <v>0</v>
      </c>
      <c r="C1815" s="190" t="s">
        <v>2848</v>
      </c>
      <c r="D1815" s="191" t="n">
        <v>554199542433</v>
      </c>
      <c r="E1815" s="190" t="s">
        <v>2849</v>
      </c>
      <c r="F1815" s="192" t="n">
        <f aca="false">SUMIF(ENTRADAS!F:F,CLIENTES_PCBR[[#This Row],[TELEFONO]],ENTRADAS!C:C)</f>
        <v>147</v>
      </c>
      <c r="G1815" s="189" t="s">
        <v>94</v>
      </c>
      <c r="H1815" s="189" t="s">
        <v>2159</v>
      </c>
      <c r="I1815" s="189" t="s">
        <v>2089</v>
      </c>
      <c r="K1815" s="201"/>
    </row>
    <row r="1816" customFormat="false" ht="15" hidden="false" customHeight="false" outlineLevel="0" collapsed="false">
      <c r="A1816" s="197" t="s">
        <v>5552</v>
      </c>
      <c r="B1816" s="191" t="n">
        <v>7370502090</v>
      </c>
      <c r="C1816" s="190" t="s">
        <v>2851</v>
      </c>
      <c r="D1816" s="191" t="n">
        <v>555496941819</v>
      </c>
      <c r="E1816" s="190" t="s">
        <v>2852</v>
      </c>
      <c r="F1816" s="192" t="n">
        <f aca="false">SUMIF(ENTRADAS!F:F,CLIENTES_PCBR[[#This Row],[TELEFONO]],ENTRADAS!C:C)</f>
        <v>120</v>
      </c>
      <c r="G1816" s="189" t="s">
        <v>94</v>
      </c>
      <c r="H1816" s="189" t="s">
        <v>2126</v>
      </c>
      <c r="I1816" s="189" t="s">
        <v>2121</v>
      </c>
      <c r="K1816" s="201"/>
    </row>
    <row r="1817" customFormat="false" ht="15" hidden="false" customHeight="false" outlineLevel="0" collapsed="false">
      <c r="A1817" s="197" t="s">
        <v>2855</v>
      </c>
      <c r="B1817" s="191" t="n">
        <v>-1</v>
      </c>
      <c r="C1817" s="190" t="s">
        <v>2857</v>
      </c>
      <c r="D1817" s="191" t="n">
        <v>5491130059179</v>
      </c>
      <c r="E1817" s="190" t="s">
        <v>2858</v>
      </c>
      <c r="F1817" s="192" t="n">
        <f aca="false">SUMIF(ENTRADAS!F:F,CLIENTES_PCBR[[#This Row],[TELEFONO]],ENTRADAS!C:C)</f>
        <v>120</v>
      </c>
      <c r="G1817" s="189" t="s">
        <v>2859</v>
      </c>
      <c r="H1817" s="189" t="s">
        <v>2135</v>
      </c>
      <c r="I1817" s="189" t="s">
        <v>2135</v>
      </c>
      <c r="J1817" s="189" t="s">
        <v>35</v>
      </c>
      <c r="K1817" s="201"/>
    </row>
    <row r="1818" customFormat="false" ht="15" hidden="false" customHeight="false" outlineLevel="0" collapsed="false">
      <c r="A1818" s="197" t="s">
        <v>2860</v>
      </c>
      <c r="B1818" s="191" t="n">
        <v>0</v>
      </c>
      <c r="C1818" s="190" t="s">
        <v>2861</v>
      </c>
      <c r="D1818" s="191" t="n">
        <v>554187764013</v>
      </c>
      <c r="E1818" s="190" t="s">
        <v>2862</v>
      </c>
      <c r="F1818" s="192" t="n">
        <f aca="false">SUMIF(ENTRADAS!F:F,CLIENTES_PCBR[[#This Row],[TELEFONO]],ENTRADAS!C:C)</f>
        <v>150</v>
      </c>
      <c r="G1818" s="189" t="s">
        <v>94</v>
      </c>
      <c r="H1818" s="189" t="s">
        <v>2159</v>
      </c>
      <c r="I1818" s="189" t="s">
        <v>2089</v>
      </c>
      <c r="J1818" s="189" t="s">
        <v>1176</v>
      </c>
      <c r="K1818" s="201"/>
    </row>
    <row r="1819" customFormat="false" ht="15" hidden="false" customHeight="false" outlineLevel="0" collapsed="false">
      <c r="A1819" s="197" t="s">
        <v>2863</v>
      </c>
      <c r="B1819" s="191" t="n">
        <v>13225243949</v>
      </c>
      <c r="C1819" s="190" t="s">
        <v>2865</v>
      </c>
      <c r="D1819" s="191" t="n">
        <v>5511940418338</v>
      </c>
      <c r="E1819" s="190" t="s">
        <v>2866</v>
      </c>
      <c r="F1819" s="192" t="n">
        <f aca="false">SUMIF(ENTRADAS!F:F,CLIENTES_PCBR[[#This Row],[TELEFONO]],ENTRADAS!C:C)</f>
        <v>240</v>
      </c>
      <c r="G1819" s="189" t="s">
        <v>94</v>
      </c>
      <c r="H1819" s="189" t="s">
        <v>2867</v>
      </c>
      <c r="I1819" s="189" t="s">
        <v>2129</v>
      </c>
      <c r="K1819" s="201"/>
    </row>
    <row r="1820" customFormat="false" ht="15" hidden="false" customHeight="false" outlineLevel="0" collapsed="false">
      <c r="A1820" s="197" t="s">
        <v>2868</v>
      </c>
      <c r="B1820" s="191" t="n">
        <v>0</v>
      </c>
      <c r="C1820" s="190" t="s">
        <v>2870</v>
      </c>
      <c r="D1820" s="191" t="n">
        <v>554792542707</v>
      </c>
      <c r="E1820" s="190" t="s">
        <v>2871</v>
      </c>
      <c r="F1820" s="192" t="n">
        <f aca="false">SUMIF(ENTRADAS!F:F,CLIENTES_PCBR[[#This Row],[TELEFONO]],ENTRADAS!C:C)</f>
        <v>146</v>
      </c>
      <c r="G1820" s="189" t="s">
        <v>94</v>
      </c>
      <c r="H1820" s="189" t="s">
        <v>2236</v>
      </c>
      <c r="I1820" s="189" t="s">
        <v>2129</v>
      </c>
      <c r="K1820" s="201"/>
    </row>
    <row r="1821" customFormat="false" ht="15" hidden="false" customHeight="false" outlineLevel="0" collapsed="false">
      <c r="A1821" s="197" t="s">
        <v>2877</v>
      </c>
      <c r="B1821" s="191" t="n">
        <v>-1</v>
      </c>
      <c r="C1821" s="190" t="s">
        <v>2878</v>
      </c>
      <c r="D1821" s="191" t="n">
        <v>556799197437</v>
      </c>
      <c r="E1821" s="190" t="s">
        <v>43</v>
      </c>
      <c r="F1821" s="192" t="n">
        <f aca="false">SUMIF(ENTRADAS!F:F,CLIENTES_PCBR[[#This Row],[TELEFONO]],ENTRADAS!C:C)</f>
        <v>120</v>
      </c>
      <c r="G1821" s="189" t="s">
        <v>94</v>
      </c>
      <c r="H1821" s="189" t="s">
        <v>2209</v>
      </c>
      <c r="I1821" s="189" t="s">
        <v>2129</v>
      </c>
      <c r="K1821" s="201"/>
    </row>
    <row r="1822" customFormat="false" ht="15" hidden="false" customHeight="false" outlineLevel="0" collapsed="false">
      <c r="A1822" s="197" t="s">
        <v>2884</v>
      </c>
      <c r="B1822" s="191" t="n">
        <v>-1</v>
      </c>
      <c r="C1822" s="190" t="s">
        <v>2885</v>
      </c>
      <c r="D1822" s="191" t="n">
        <v>5511989205119</v>
      </c>
      <c r="E1822" s="190" t="s">
        <v>2886</v>
      </c>
      <c r="F1822" s="192" t="n">
        <f aca="false">SUMIF(ENTRADAS!F:F,CLIENTES_PCBR[[#This Row],[TELEFONO]],ENTRADAS!C:C)</f>
        <v>150</v>
      </c>
      <c r="G1822" s="189" t="s">
        <v>94</v>
      </c>
      <c r="H1822" s="189" t="s">
        <v>2159</v>
      </c>
      <c r="I1822" s="189" t="s">
        <v>2089</v>
      </c>
      <c r="K1822" s="201"/>
    </row>
    <row r="1823" customFormat="false" ht="15" hidden="false" customHeight="false" outlineLevel="0" collapsed="false">
      <c r="A1823" s="197" t="s">
        <v>5553</v>
      </c>
      <c r="B1823" s="191" t="n">
        <v>0</v>
      </c>
      <c r="C1823" s="190" t="s">
        <v>2888</v>
      </c>
      <c r="D1823" s="191" t="n">
        <v>554197203642</v>
      </c>
      <c r="E1823" s="190" t="s">
        <v>2890</v>
      </c>
      <c r="F1823" s="192" t="n">
        <f aca="false">SUMIF(ENTRADAS!F:F,CLIENTES_PCBR[[#This Row],[TELEFONO]],ENTRADAS!C:C)</f>
        <v>300</v>
      </c>
      <c r="G1823" s="189" t="s">
        <v>94</v>
      </c>
      <c r="H1823" s="189" t="s">
        <v>2159</v>
      </c>
      <c r="I1823" s="189" t="s">
        <v>2089</v>
      </c>
      <c r="J1823" s="189" t="s">
        <v>35</v>
      </c>
      <c r="K1823" s="201"/>
    </row>
    <row r="1824" customFormat="false" ht="15" hidden="false" customHeight="false" outlineLevel="0" collapsed="false">
      <c r="A1824" s="197" t="s">
        <v>2891</v>
      </c>
      <c r="B1824" s="191" t="n">
        <v>0</v>
      </c>
      <c r="C1824" s="190" t="s">
        <v>2892</v>
      </c>
      <c r="D1824" s="191" t="n">
        <v>554187832107</v>
      </c>
      <c r="E1824" s="190" t="s">
        <v>2893</v>
      </c>
      <c r="F1824" s="192" t="n">
        <f aca="false">SUMIF(ENTRADAS!F:F,CLIENTES_PCBR[[#This Row],[TELEFONO]],ENTRADAS!C:C)</f>
        <v>300</v>
      </c>
      <c r="G1824" s="189" t="s">
        <v>94</v>
      </c>
      <c r="H1824" s="189" t="s">
        <v>2159</v>
      </c>
      <c r="I1824" s="189" t="s">
        <v>2089</v>
      </c>
      <c r="J1824" s="189" t="s">
        <v>1176</v>
      </c>
      <c r="K1824" s="201"/>
    </row>
    <row r="1825" customFormat="false" ht="15" hidden="false" customHeight="false" outlineLevel="0" collapsed="false">
      <c r="A1825" s="197" t="s">
        <v>5554</v>
      </c>
      <c r="B1825" s="191" t="n">
        <v>-1</v>
      </c>
      <c r="C1825" s="190" t="s">
        <v>2896</v>
      </c>
      <c r="D1825" s="191" t="s">
        <v>5555</v>
      </c>
      <c r="E1825" s="190" t="s">
        <v>2897</v>
      </c>
      <c r="F1825" s="192" t="n">
        <f aca="false">SUMIF(ENTRADAS!F:F,CLIENTES_PCBR[[#This Row],[TELEFONO]],ENTRADAS!C:C)</f>
        <v>0</v>
      </c>
      <c r="G1825" s="189" t="s">
        <v>94</v>
      </c>
      <c r="H1825" s="189" t="s">
        <v>2898</v>
      </c>
      <c r="I1825" s="189" t="s">
        <v>2135</v>
      </c>
      <c r="K1825" s="201"/>
    </row>
    <row r="1826" customFormat="false" ht="15" hidden="false" customHeight="false" outlineLevel="0" collapsed="false">
      <c r="A1826" s="197" t="s">
        <v>2899</v>
      </c>
      <c r="B1826" s="191" t="n">
        <v>-1</v>
      </c>
      <c r="C1826" s="190" t="s">
        <v>2900</v>
      </c>
      <c r="D1826" s="191" t="n">
        <v>554420023673</v>
      </c>
      <c r="E1826" s="190" t="s">
        <v>2901</v>
      </c>
      <c r="F1826" s="192" t="n">
        <f aca="false">SUMIF(ENTRADAS!F:F,CLIENTES_PCBR[[#This Row],[TELEFONO]],ENTRADAS!C:C)</f>
        <v>150</v>
      </c>
      <c r="G1826" s="189" t="s">
        <v>94</v>
      </c>
      <c r="H1826" s="189" t="s">
        <v>2107</v>
      </c>
      <c r="I1826" s="189" t="s">
        <v>862</v>
      </c>
      <c r="J1826" s="189" t="s">
        <v>1176</v>
      </c>
      <c r="K1826" s="201"/>
    </row>
    <row r="1827" customFormat="false" ht="15" hidden="false" customHeight="false" outlineLevel="0" collapsed="false">
      <c r="A1827" s="197" t="s">
        <v>2902</v>
      </c>
      <c r="B1827" s="191" t="n">
        <v>-1</v>
      </c>
      <c r="C1827" s="190" t="s">
        <v>2903</v>
      </c>
      <c r="D1827" s="191" t="n">
        <v>554188170690</v>
      </c>
      <c r="E1827" s="190" t="s">
        <v>2904</v>
      </c>
      <c r="F1827" s="192" t="n">
        <f aca="false">SUMIF(ENTRADAS!F:F,CLIENTES_PCBR[[#This Row],[TELEFONO]],ENTRADAS!C:C)</f>
        <v>97</v>
      </c>
      <c r="G1827" s="189" t="s">
        <v>94</v>
      </c>
      <c r="H1827" s="189" t="s">
        <v>2088</v>
      </c>
      <c r="I1827" s="189" t="s">
        <v>2089</v>
      </c>
      <c r="K1827" s="201"/>
    </row>
    <row r="1828" customFormat="false" ht="15" hidden="false" customHeight="false" outlineLevel="0" collapsed="false">
      <c r="A1828" s="197" t="s">
        <v>2905</v>
      </c>
      <c r="B1828" s="191" t="n">
        <v>-1</v>
      </c>
      <c r="C1828" s="190" t="s">
        <v>2906</v>
      </c>
      <c r="D1828" s="191" t="n">
        <v>5521983506624</v>
      </c>
      <c r="E1828" s="190" t="s">
        <v>2907</v>
      </c>
      <c r="F1828" s="192" t="n">
        <f aca="false">SUMIF(ENTRADAS!F:F,CLIENTES_PCBR[[#This Row],[TELEFONO]],ENTRADAS!C:C)</f>
        <v>150</v>
      </c>
      <c r="G1828" s="189" t="s">
        <v>94</v>
      </c>
      <c r="H1828" s="189" t="s">
        <v>2107</v>
      </c>
      <c r="I1828" s="189" t="s">
        <v>862</v>
      </c>
      <c r="J1828" s="189" t="s">
        <v>35</v>
      </c>
      <c r="K1828" s="201"/>
    </row>
    <row r="1829" customFormat="false" ht="15" hidden="false" customHeight="false" outlineLevel="0" collapsed="false">
      <c r="A1829" s="197" t="s">
        <v>2910</v>
      </c>
      <c r="B1829" s="191" t="n">
        <v>0</v>
      </c>
      <c r="C1829" s="190" t="s">
        <v>2911</v>
      </c>
      <c r="D1829" s="191" t="n">
        <v>555496829535</v>
      </c>
      <c r="E1829" s="190" t="s">
        <v>2912</v>
      </c>
      <c r="F1829" s="192" t="n">
        <f aca="false">SUMIF(ENTRADAS!F:F,CLIENTES_PCBR[[#This Row],[TELEFONO]],ENTRADAS!C:C)</f>
        <v>300</v>
      </c>
      <c r="G1829" s="189" t="s">
        <v>94</v>
      </c>
      <c r="H1829" s="189" t="s">
        <v>2107</v>
      </c>
      <c r="I1829" s="189" t="s">
        <v>862</v>
      </c>
      <c r="K1829" s="201"/>
    </row>
    <row r="1830" customFormat="false" ht="15" hidden="false" customHeight="false" outlineLevel="0" collapsed="false">
      <c r="A1830" s="197" t="s">
        <v>2922</v>
      </c>
      <c r="B1830" s="191" t="n">
        <v>0</v>
      </c>
      <c r="C1830" s="190" t="s">
        <v>2924</v>
      </c>
      <c r="D1830" s="191" t="n">
        <v>554192858366</v>
      </c>
      <c r="E1830" s="190" t="s">
        <v>2925</v>
      </c>
      <c r="F1830" s="192" t="n">
        <f aca="false">SUMIF(ENTRADAS!F:F,CLIENTES_PCBR[[#This Row],[TELEFONO]],ENTRADAS!C:C)</f>
        <v>240</v>
      </c>
      <c r="G1830" s="189" t="s">
        <v>94</v>
      </c>
      <c r="H1830" s="189" t="s">
        <v>2159</v>
      </c>
      <c r="I1830" s="189" t="s">
        <v>2089</v>
      </c>
      <c r="J1830" s="189" t="s">
        <v>35</v>
      </c>
      <c r="K1830" s="201"/>
    </row>
    <row r="1831" customFormat="false" ht="15" hidden="false" customHeight="false" outlineLevel="0" collapsed="false">
      <c r="A1831" s="197" t="s">
        <v>2926</v>
      </c>
      <c r="B1831" s="191" t="n">
        <v>0</v>
      </c>
      <c r="C1831" s="190" t="s">
        <v>2927</v>
      </c>
      <c r="D1831" s="191" t="n">
        <v>554588413388</v>
      </c>
      <c r="E1831" s="190" t="s">
        <v>519</v>
      </c>
      <c r="F1831" s="192" t="n">
        <f aca="false">SUMIF(ENTRADAS!F:F,CLIENTES_PCBR[[#This Row],[TELEFONO]],ENTRADAS!C:C)</f>
        <v>147</v>
      </c>
      <c r="G1831" s="189" t="s">
        <v>94</v>
      </c>
      <c r="H1831" s="189" t="s">
        <v>2708</v>
      </c>
      <c r="I1831" s="189" t="s">
        <v>2089</v>
      </c>
      <c r="K1831" s="201"/>
    </row>
    <row r="1832" customFormat="false" ht="15" hidden="false" customHeight="false" outlineLevel="0" collapsed="false">
      <c r="A1832" s="197" t="s">
        <v>2929</v>
      </c>
      <c r="B1832" s="191" t="n">
        <v>5505550991</v>
      </c>
      <c r="C1832" s="190" t="s">
        <v>2930</v>
      </c>
      <c r="D1832" s="191" t="n">
        <v>5511926331610</v>
      </c>
      <c r="E1832" s="190" t="s">
        <v>2931</v>
      </c>
      <c r="F1832" s="192" t="n">
        <f aca="false">SUMIF(ENTRADAS!F:F,CLIENTES_PCBR[[#This Row],[TELEFONO]],ENTRADAS!C:C)</f>
        <v>120</v>
      </c>
      <c r="G1832" s="189" t="s">
        <v>94</v>
      </c>
      <c r="H1832" s="189" t="s">
        <v>2107</v>
      </c>
      <c r="I1832" s="189" t="s">
        <v>2135</v>
      </c>
      <c r="J1832" s="189" t="s">
        <v>1176</v>
      </c>
      <c r="K1832" s="201"/>
    </row>
    <row r="1833" customFormat="false" ht="15" hidden="false" customHeight="false" outlineLevel="0" collapsed="false">
      <c r="A1833" s="197" t="s">
        <v>2932</v>
      </c>
      <c r="B1833" s="191" t="n">
        <v>11604335262</v>
      </c>
      <c r="C1833" s="190" t="s">
        <v>2934</v>
      </c>
      <c r="D1833" s="191" t="n">
        <v>554892114578</v>
      </c>
      <c r="E1833" s="190" t="s">
        <v>2935</v>
      </c>
      <c r="F1833" s="192" t="n">
        <f aca="false">SUMIF(ENTRADAS!F:F,CLIENTES_PCBR[[#This Row],[TELEFONO]],ENTRADAS!C:C)</f>
        <v>150</v>
      </c>
      <c r="G1833" s="189" t="s">
        <v>94</v>
      </c>
      <c r="H1833" s="189" t="s">
        <v>2128</v>
      </c>
      <c r="I1833" s="189" t="s">
        <v>2129</v>
      </c>
      <c r="J1833" s="189" t="s">
        <v>35</v>
      </c>
      <c r="K1833" s="201"/>
    </row>
    <row r="1834" customFormat="false" ht="15" hidden="false" customHeight="false" outlineLevel="0" collapsed="false">
      <c r="A1834" s="197" t="s">
        <v>2936</v>
      </c>
      <c r="B1834" s="191" t="n">
        <v>-1</v>
      </c>
      <c r="C1834" s="190" t="s">
        <v>2937</v>
      </c>
      <c r="D1834" s="191" t="n">
        <v>559584066875</v>
      </c>
      <c r="E1834" s="190" t="s">
        <v>2938</v>
      </c>
      <c r="F1834" s="192" t="n">
        <f aca="false">SUMIF(ENTRADAS!F:F,CLIENTES_PCBR[[#This Row],[TELEFONO]],ENTRADAS!C:C)</f>
        <v>197</v>
      </c>
      <c r="G1834" s="189" t="s">
        <v>94</v>
      </c>
      <c r="H1834" s="189" t="s">
        <v>2939</v>
      </c>
      <c r="I1834" s="189" t="s">
        <v>2320</v>
      </c>
      <c r="K1834" s="201"/>
    </row>
    <row r="1835" customFormat="false" ht="15" hidden="false" customHeight="false" outlineLevel="0" collapsed="false">
      <c r="A1835" s="197" t="s">
        <v>2940</v>
      </c>
      <c r="B1835" s="191" t="n">
        <v>-1</v>
      </c>
      <c r="C1835" s="190" t="s">
        <v>2942</v>
      </c>
      <c r="D1835" s="191" t="n">
        <v>554991633193</v>
      </c>
      <c r="E1835" s="190" t="s">
        <v>2943</v>
      </c>
      <c r="F1835" s="192" t="n">
        <f aca="false">SUMIF(ENTRADAS!F:F,CLIENTES_PCBR[[#This Row],[TELEFONO]],ENTRADAS!C:C)</f>
        <v>120</v>
      </c>
      <c r="G1835" s="189" t="s">
        <v>94</v>
      </c>
      <c r="H1835" s="189" t="s">
        <v>2107</v>
      </c>
      <c r="I1835" s="189" t="s">
        <v>862</v>
      </c>
      <c r="J1835" s="189" t="s">
        <v>35</v>
      </c>
      <c r="K1835" s="201"/>
    </row>
    <row r="1836" customFormat="false" ht="15" hidden="false" customHeight="false" outlineLevel="0" collapsed="false">
      <c r="A1836" s="197" t="s">
        <v>5556</v>
      </c>
      <c r="B1836" s="191" t="n">
        <v>70776962</v>
      </c>
      <c r="C1836" s="190" t="s">
        <v>2946</v>
      </c>
      <c r="D1836" s="191" t="n">
        <v>554184534419</v>
      </c>
      <c r="E1836" s="190" t="s">
        <v>2947</v>
      </c>
      <c r="F1836" s="192" t="n">
        <f aca="false">SUMIF(ENTRADAS!F:F,CLIENTES_PCBR[[#This Row],[TELEFONO]],ENTRADAS!C:C)</f>
        <v>197</v>
      </c>
      <c r="G1836" s="189" t="s">
        <v>94</v>
      </c>
      <c r="H1836" s="189" t="s">
        <v>2159</v>
      </c>
      <c r="I1836" s="189" t="s">
        <v>2089</v>
      </c>
      <c r="K1836" s="201"/>
    </row>
    <row r="1837" customFormat="false" ht="15" hidden="false" customHeight="false" outlineLevel="0" collapsed="false">
      <c r="A1837" s="197" t="s">
        <v>5557</v>
      </c>
      <c r="B1837" s="191" t="n">
        <v>0</v>
      </c>
      <c r="C1837" s="190" t="s">
        <v>2951</v>
      </c>
      <c r="D1837" s="191" t="n">
        <v>555492173217</v>
      </c>
      <c r="E1837" s="190" t="s">
        <v>2952</v>
      </c>
      <c r="F1837" s="192" t="n">
        <f aca="false">SUMIF(ENTRADAS!F:F,CLIENTES_PCBR[[#This Row],[TELEFONO]],ENTRADAS!C:C)</f>
        <v>150</v>
      </c>
      <c r="G1837" s="189" t="s">
        <v>94</v>
      </c>
      <c r="H1837" s="189" t="s">
        <v>2107</v>
      </c>
      <c r="I1837" s="189" t="s">
        <v>862</v>
      </c>
      <c r="J1837" s="189" t="s">
        <v>1176</v>
      </c>
      <c r="K1837" s="201"/>
    </row>
    <row r="1838" customFormat="false" ht="15" hidden="false" customHeight="false" outlineLevel="0" collapsed="false">
      <c r="A1838" s="197" t="s">
        <v>2954</v>
      </c>
      <c r="B1838" s="191" t="n">
        <v>0</v>
      </c>
      <c r="C1838" s="190" t="s">
        <v>2956</v>
      </c>
      <c r="D1838" s="191" t="n">
        <v>559584077454</v>
      </c>
      <c r="E1838" s="190" t="s">
        <v>2957</v>
      </c>
      <c r="F1838" s="192" t="n">
        <f aca="false">SUMIF(ENTRADAS!F:F,CLIENTES_PCBR[[#This Row],[TELEFONO]],ENTRADAS!C:C)</f>
        <v>147</v>
      </c>
      <c r="G1838" s="189" t="s">
        <v>94</v>
      </c>
      <c r="H1838" s="189" t="s">
        <v>2345</v>
      </c>
      <c r="I1838" s="189" t="s">
        <v>2129</v>
      </c>
      <c r="J1838" s="189" t="s">
        <v>35</v>
      </c>
      <c r="K1838" s="201"/>
    </row>
    <row r="1839" customFormat="false" ht="15" hidden="false" customHeight="false" outlineLevel="0" collapsed="false">
      <c r="A1839" s="197" t="s">
        <v>5558</v>
      </c>
      <c r="B1839" s="191" t="n">
        <v>-1</v>
      </c>
      <c r="C1839" s="190" t="s">
        <v>2961</v>
      </c>
      <c r="D1839" s="191" t="n">
        <v>559584270895</v>
      </c>
      <c r="E1839" s="190" t="s">
        <v>2962</v>
      </c>
      <c r="F1839" s="192" t="n">
        <f aca="false">SUMIF(ENTRADAS!F:F,CLIENTES_PCBR[[#This Row],[TELEFONO]],ENTRADAS!C:C)</f>
        <v>150</v>
      </c>
      <c r="G1839" s="189" t="s">
        <v>94</v>
      </c>
      <c r="H1839" s="189" t="s">
        <v>2107</v>
      </c>
      <c r="I1839" s="189" t="s">
        <v>862</v>
      </c>
      <c r="K1839" s="201"/>
    </row>
    <row r="1840" customFormat="false" ht="15" hidden="false" customHeight="false" outlineLevel="0" collapsed="false">
      <c r="A1840" s="197" t="s">
        <v>2965</v>
      </c>
      <c r="B1840" s="191" t="n">
        <v>0</v>
      </c>
      <c r="C1840" s="190" t="s">
        <v>2967</v>
      </c>
      <c r="D1840" s="191" t="n">
        <v>554797187024</v>
      </c>
      <c r="E1840" s="190" t="s">
        <v>2968</v>
      </c>
      <c r="F1840" s="192" t="n">
        <f aca="false">SUMIF(ENTRADAS!F:F,CLIENTES_PCBR[[#This Row],[TELEFONO]],ENTRADAS!C:C)</f>
        <v>360</v>
      </c>
      <c r="G1840" s="189" t="s">
        <v>94</v>
      </c>
      <c r="H1840" s="189" t="s">
        <v>2345</v>
      </c>
      <c r="I1840" s="189" t="s">
        <v>2129</v>
      </c>
      <c r="K1840" s="201"/>
    </row>
    <row r="1841" customFormat="false" ht="15" hidden="false" customHeight="false" outlineLevel="0" collapsed="false">
      <c r="A1841" s="197" t="s">
        <v>2973</v>
      </c>
      <c r="B1841" s="191" t="n">
        <v>-1</v>
      </c>
      <c r="C1841" s="190" t="s">
        <v>2974</v>
      </c>
      <c r="D1841" s="191" t="n">
        <v>559584280086</v>
      </c>
      <c r="E1841" s="190" t="s">
        <v>2975</v>
      </c>
      <c r="F1841" s="192" t="n">
        <f aca="false">SUMIF(ENTRADAS!F:F,CLIENTES_PCBR[[#This Row],[TELEFONO]],ENTRADAS!C:C)</f>
        <v>480</v>
      </c>
      <c r="G1841" s="189" t="s">
        <v>94</v>
      </c>
      <c r="H1841" s="189" t="s">
        <v>2107</v>
      </c>
      <c r="I1841" s="189" t="s">
        <v>2135</v>
      </c>
      <c r="J1841" s="189" t="s">
        <v>1176</v>
      </c>
      <c r="K1841" s="201"/>
    </row>
    <row r="1842" customFormat="false" ht="15" hidden="false" customHeight="false" outlineLevel="0" collapsed="false">
      <c r="A1842" s="197" t="s">
        <v>5559</v>
      </c>
      <c r="B1842" s="191" t="n">
        <v>-1</v>
      </c>
      <c r="C1842" s="190" t="s">
        <v>2977</v>
      </c>
      <c r="D1842" s="191" t="n">
        <v>554896993334</v>
      </c>
      <c r="E1842" s="190" t="s">
        <v>2978</v>
      </c>
      <c r="F1842" s="192" t="n">
        <f aca="false">SUMIF(ENTRADAS!F:F,CLIENTES_PCBR[[#This Row],[TELEFONO]],ENTRADAS!C:C)</f>
        <v>450</v>
      </c>
      <c r="G1842" s="189" t="s">
        <v>94</v>
      </c>
      <c r="H1842" s="189" t="s">
        <v>2107</v>
      </c>
      <c r="I1842" s="189" t="s">
        <v>862</v>
      </c>
      <c r="J1842" s="189" t="s">
        <v>1176</v>
      </c>
      <c r="K1842" s="201"/>
    </row>
    <row r="1843" customFormat="false" ht="15" hidden="false" customHeight="false" outlineLevel="0" collapsed="false">
      <c r="A1843" s="197" t="s">
        <v>2979</v>
      </c>
      <c r="B1843" s="191" t="n">
        <v>-1</v>
      </c>
      <c r="C1843" s="190" t="s">
        <v>2981</v>
      </c>
      <c r="D1843" s="191" t="n">
        <v>559591121594</v>
      </c>
      <c r="E1843" s="190" t="s">
        <v>2982</v>
      </c>
      <c r="F1843" s="192" t="n">
        <f aca="false">SUMIF(ENTRADAS!F:F,CLIENTES_PCBR[[#This Row],[TELEFONO]],ENTRADAS!C:C)</f>
        <v>150</v>
      </c>
      <c r="G1843" s="189" t="s">
        <v>94</v>
      </c>
      <c r="H1843" s="189" t="s">
        <v>2107</v>
      </c>
      <c r="I1843" s="189" t="s">
        <v>862</v>
      </c>
      <c r="K1843" s="201"/>
    </row>
    <row r="1844" customFormat="false" ht="15" hidden="false" customHeight="false" outlineLevel="0" collapsed="false">
      <c r="A1844" s="197" t="s">
        <v>2983</v>
      </c>
      <c r="B1844" s="191" t="n">
        <v>-1</v>
      </c>
      <c r="C1844" s="190" t="s">
        <v>2984</v>
      </c>
      <c r="D1844" s="191" t="s">
        <v>5560</v>
      </c>
      <c r="E1844" s="190" t="s">
        <v>2985</v>
      </c>
      <c r="F1844" s="192" t="n">
        <f aca="false">SUMIF(ENTRADAS!F:F,CLIENTES_PCBR[[#This Row],[TELEFONO]],ENTRADAS!C:C)</f>
        <v>0</v>
      </c>
      <c r="G1844" s="189" t="s">
        <v>94</v>
      </c>
      <c r="H1844" s="189" t="s">
        <v>2986</v>
      </c>
      <c r="I1844" s="189" t="s">
        <v>2135</v>
      </c>
      <c r="K1844" s="201"/>
    </row>
    <row r="1845" customFormat="false" ht="15" hidden="false" customHeight="false" outlineLevel="0" collapsed="false">
      <c r="A1845" s="197" t="s">
        <v>2987</v>
      </c>
      <c r="B1845" s="191" t="n">
        <v>-1</v>
      </c>
      <c r="C1845" s="190" t="s">
        <v>2988</v>
      </c>
      <c r="D1845" s="191" t="n">
        <v>5358358101</v>
      </c>
      <c r="E1845" s="190" t="s">
        <v>2989</v>
      </c>
      <c r="F1845" s="192" t="n">
        <f aca="false">SUMIF(ENTRADAS!F:F,CLIENTES_PCBR[[#This Row],[TELEFONO]],ENTRADAS!C:C)</f>
        <v>150</v>
      </c>
      <c r="G1845" s="189" t="s">
        <v>94</v>
      </c>
      <c r="H1845" s="189" t="s">
        <v>2107</v>
      </c>
      <c r="I1845" s="189" t="s">
        <v>862</v>
      </c>
      <c r="K1845" s="201"/>
    </row>
    <row r="1846" customFormat="false" ht="15" hidden="false" customHeight="false" outlineLevel="0" collapsed="false">
      <c r="A1846" s="197" t="s">
        <v>2990</v>
      </c>
      <c r="B1846" s="191" t="n">
        <v>-1</v>
      </c>
      <c r="C1846" s="190" t="s">
        <v>2991</v>
      </c>
      <c r="D1846" s="191" t="n">
        <v>554899362867</v>
      </c>
      <c r="E1846" s="190" t="s">
        <v>2992</v>
      </c>
      <c r="F1846" s="192" t="n">
        <f aca="false">SUMIF(ENTRADAS!F:F,CLIENTES_PCBR[[#This Row],[TELEFONO]],ENTRADAS!C:C)</f>
        <v>147</v>
      </c>
      <c r="G1846" s="189" t="s">
        <v>94</v>
      </c>
      <c r="H1846" s="189" t="s">
        <v>2261</v>
      </c>
      <c r="I1846" s="189" t="s">
        <v>2129</v>
      </c>
      <c r="K1846" s="201"/>
    </row>
    <row r="1847" customFormat="false" ht="15" hidden="false" customHeight="false" outlineLevel="0" collapsed="false">
      <c r="A1847" s="197" t="s">
        <v>2993</v>
      </c>
      <c r="B1847" s="191" t="n">
        <v>-1</v>
      </c>
      <c r="C1847" s="190" t="s">
        <v>2994</v>
      </c>
      <c r="D1847" s="191" t="n">
        <v>555591460601</v>
      </c>
      <c r="E1847" s="190" t="s">
        <v>2995</v>
      </c>
      <c r="F1847" s="192" t="n">
        <f aca="false">SUMIF(ENTRADAS!F:F,CLIENTES_PCBR[[#This Row],[TELEFONO]],ENTRADAS!C:C)</f>
        <v>150</v>
      </c>
      <c r="G1847" s="189" t="s">
        <v>94</v>
      </c>
      <c r="H1847" s="189" t="s">
        <v>2107</v>
      </c>
      <c r="I1847" s="189" t="s">
        <v>862</v>
      </c>
      <c r="J1847" s="189" t="s">
        <v>35</v>
      </c>
      <c r="K1847" s="201"/>
    </row>
    <row r="1848" customFormat="false" ht="15" hidden="false" customHeight="false" outlineLevel="0" collapsed="false">
      <c r="A1848" s="197" t="s">
        <v>2996</v>
      </c>
      <c r="B1848" s="191" t="n">
        <v>-1</v>
      </c>
      <c r="C1848" s="190" t="s">
        <v>2997</v>
      </c>
      <c r="D1848" s="191" t="n">
        <v>554198217657</v>
      </c>
      <c r="E1848" s="190" t="s">
        <v>2998</v>
      </c>
      <c r="F1848" s="192" t="n">
        <f aca="false">SUMIF(ENTRADAS!F:F,CLIENTES_PCBR[[#This Row],[TELEFONO]],ENTRADAS!C:C)</f>
        <v>120</v>
      </c>
      <c r="G1848" s="189" t="s">
        <v>94</v>
      </c>
      <c r="H1848" s="189" t="s">
        <v>2128</v>
      </c>
      <c r="I1848" s="189" t="s">
        <v>2129</v>
      </c>
      <c r="K1848" s="201"/>
    </row>
    <row r="1849" customFormat="false" ht="15" hidden="false" customHeight="false" outlineLevel="0" collapsed="false">
      <c r="A1849" s="197" t="s">
        <v>3000</v>
      </c>
      <c r="B1849" s="191" t="n">
        <v>-1</v>
      </c>
      <c r="C1849" s="190" t="s">
        <v>3001</v>
      </c>
      <c r="D1849" s="191" t="n">
        <v>554184060700</v>
      </c>
      <c r="E1849" s="190" t="s">
        <v>43</v>
      </c>
      <c r="F1849" s="192" t="n">
        <f aca="false">SUMIF(ENTRADAS!F:F,CLIENTES_PCBR[[#This Row],[TELEFONO]],ENTRADAS!C:C)</f>
        <v>147</v>
      </c>
      <c r="G1849" s="189" t="s">
        <v>94</v>
      </c>
      <c r="H1849" s="189" t="s">
        <v>2159</v>
      </c>
      <c r="I1849" s="189" t="s">
        <v>2089</v>
      </c>
      <c r="J1849" s="189" t="s">
        <v>35</v>
      </c>
      <c r="K1849" s="201"/>
    </row>
    <row r="1850" customFormat="false" ht="15" hidden="false" customHeight="false" outlineLevel="0" collapsed="false">
      <c r="A1850" s="197" t="s">
        <v>3010</v>
      </c>
      <c r="B1850" s="191" t="n">
        <v>-1</v>
      </c>
      <c r="C1850" s="190" t="s">
        <v>3011</v>
      </c>
      <c r="D1850" s="191" t="s">
        <v>5561</v>
      </c>
      <c r="E1850" s="190" t="s">
        <v>3012</v>
      </c>
      <c r="F1850" s="192" t="n">
        <f aca="false">SUMIF(ENTRADAS!F:F,CLIENTES_PCBR[[#This Row],[TELEFONO]],ENTRADAS!C:C)</f>
        <v>0</v>
      </c>
      <c r="G1850" s="189" t="s">
        <v>94</v>
      </c>
      <c r="H1850" s="189" t="s">
        <v>2159</v>
      </c>
      <c r="I1850" s="189" t="s">
        <v>2089</v>
      </c>
      <c r="K1850" s="201"/>
    </row>
    <row r="1851" customFormat="false" ht="15" hidden="false" customHeight="false" outlineLevel="0" collapsed="false">
      <c r="A1851" s="197" t="s">
        <v>3013</v>
      </c>
      <c r="B1851" s="191" t="n">
        <v>12013426275</v>
      </c>
      <c r="C1851" s="190" t="s">
        <v>3015</v>
      </c>
      <c r="D1851" s="191" t="n">
        <v>554720039077</v>
      </c>
      <c r="E1851" s="190" t="s">
        <v>3016</v>
      </c>
      <c r="F1851" s="192" t="n">
        <f aca="false">SUMIF(ENTRADAS!F:F,CLIENTES_PCBR[[#This Row],[TELEFONO]],ENTRADAS!C:C)</f>
        <v>147</v>
      </c>
      <c r="G1851" s="189" t="s">
        <v>94</v>
      </c>
      <c r="H1851" s="189" t="s">
        <v>3017</v>
      </c>
      <c r="I1851" s="189" t="s">
        <v>2129</v>
      </c>
      <c r="K1851" s="201"/>
    </row>
    <row r="1852" customFormat="false" ht="15" hidden="false" customHeight="false" outlineLevel="0" collapsed="false">
      <c r="A1852" s="197" t="s">
        <v>3018</v>
      </c>
      <c r="B1852" s="191" t="n">
        <v>-1</v>
      </c>
      <c r="C1852" s="190" t="s">
        <v>3019</v>
      </c>
      <c r="D1852" s="191" t="n">
        <v>5541999436517</v>
      </c>
      <c r="E1852" s="190" t="s">
        <v>3020</v>
      </c>
      <c r="F1852" s="192" t="n">
        <f aca="false">SUMIF(ENTRADAS!F:F,CLIENTES_PCBR[[#This Row],[TELEFONO]],ENTRADAS!C:C)</f>
        <v>147</v>
      </c>
      <c r="G1852" s="189" t="s">
        <v>94</v>
      </c>
      <c r="H1852" s="189" t="s">
        <v>2159</v>
      </c>
      <c r="I1852" s="189" t="s">
        <v>2089</v>
      </c>
      <c r="J1852" s="189" t="s">
        <v>3021</v>
      </c>
      <c r="K1852" s="201"/>
    </row>
    <row r="1853" customFormat="false" ht="15" hidden="false" customHeight="false" outlineLevel="0" collapsed="false">
      <c r="A1853" s="197" t="s">
        <v>3022</v>
      </c>
      <c r="B1853" s="191" t="n">
        <v>-1</v>
      </c>
      <c r="C1853" s="190" t="s">
        <v>3024</v>
      </c>
      <c r="D1853" s="191" t="n">
        <v>5511922769090</v>
      </c>
      <c r="E1853" s="190" t="s">
        <v>43</v>
      </c>
      <c r="F1853" s="192" t="n">
        <f aca="false">SUMIF(ENTRADAS!F:F,CLIENTES_PCBR[[#This Row],[TELEFONO]],ENTRADAS!C:C)</f>
        <v>240</v>
      </c>
      <c r="G1853" s="189" t="s">
        <v>94</v>
      </c>
      <c r="H1853" s="189" t="s">
        <v>2135</v>
      </c>
      <c r="I1853" s="189" t="s">
        <v>2135</v>
      </c>
      <c r="K1853" s="201"/>
    </row>
    <row r="1854" customFormat="false" ht="15" hidden="false" customHeight="false" outlineLevel="0" collapsed="false">
      <c r="A1854" s="197" t="s">
        <v>5562</v>
      </c>
      <c r="B1854" s="191" t="n">
        <v>0</v>
      </c>
      <c r="C1854" s="190" t="s">
        <v>3026</v>
      </c>
      <c r="D1854" s="191" t="n">
        <v>559584145214</v>
      </c>
      <c r="E1854" s="190" t="s">
        <v>3027</v>
      </c>
      <c r="F1854" s="192" t="n">
        <f aca="false">SUMIF(ENTRADAS!F:F,CLIENTES_PCBR[[#This Row],[TELEFONO]],ENTRADAS!C:C)</f>
        <v>120</v>
      </c>
      <c r="G1854" s="189" t="s">
        <v>94</v>
      </c>
      <c r="H1854" s="189" t="s">
        <v>2159</v>
      </c>
      <c r="I1854" s="189" t="s">
        <v>2089</v>
      </c>
      <c r="J1854" s="189" t="s">
        <v>35</v>
      </c>
      <c r="K1854" s="201"/>
    </row>
    <row r="1855" customFormat="false" ht="15" hidden="false" customHeight="false" outlineLevel="0" collapsed="false">
      <c r="A1855" s="197" t="s">
        <v>3028</v>
      </c>
      <c r="B1855" s="191" t="n">
        <v>-1</v>
      </c>
      <c r="C1855" s="190" t="s">
        <v>3029</v>
      </c>
      <c r="D1855" s="191" t="n">
        <v>554796044414</v>
      </c>
      <c r="E1855" s="190" t="s">
        <v>3030</v>
      </c>
      <c r="F1855" s="192" t="n">
        <f aca="false">SUMIF(ENTRADAS!F:F,CLIENTES_PCBR[[#This Row],[TELEFONO]],ENTRADAS!C:C)</f>
        <v>147</v>
      </c>
      <c r="G1855" s="189" t="s">
        <v>94</v>
      </c>
      <c r="H1855" s="189" t="s">
        <v>2236</v>
      </c>
      <c r="I1855" s="189" t="s">
        <v>2129</v>
      </c>
      <c r="K1855" s="201"/>
    </row>
    <row r="1856" customFormat="false" ht="15" hidden="false" customHeight="false" outlineLevel="0" collapsed="false">
      <c r="A1856" s="197" t="s">
        <v>3031</v>
      </c>
      <c r="B1856" s="191" t="n">
        <v>0</v>
      </c>
      <c r="C1856" s="190" t="s">
        <v>3032</v>
      </c>
      <c r="D1856" s="191" t="n">
        <v>554198157513</v>
      </c>
      <c r="E1856" s="190" t="s">
        <v>3033</v>
      </c>
      <c r="F1856" s="192" t="n">
        <f aca="false">SUMIF(ENTRADAS!F:F,CLIENTES_PCBR[[#This Row],[TELEFONO]],ENTRADAS!C:C)</f>
        <v>294</v>
      </c>
      <c r="G1856" s="189" t="s">
        <v>94</v>
      </c>
      <c r="H1856" s="189" t="s">
        <v>2159</v>
      </c>
      <c r="I1856" s="189" t="s">
        <v>2089</v>
      </c>
      <c r="J1856" s="189" t="s">
        <v>35</v>
      </c>
      <c r="K1856" s="201"/>
    </row>
    <row r="1857" customFormat="false" ht="15" hidden="false" customHeight="false" outlineLevel="0" collapsed="false">
      <c r="A1857" s="197" t="s">
        <v>3034</v>
      </c>
      <c r="B1857" s="191" t="n">
        <v>-1</v>
      </c>
      <c r="C1857" s="190" t="s">
        <v>3036</v>
      </c>
      <c r="D1857" s="191" t="n">
        <v>556581378556</v>
      </c>
      <c r="E1857" s="190" t="s">
        <v>3037</v>
      </c>
      <c r="F1857" s="192" t="n">
        <f aca="false">SUMIF(ENTRADAS!F:F,CLIENTES_PCBR[[#This Row],[TELEFONO]],ENTRADAS!C:C)</f>
        <v>147</v>
      </c>
      <c r="G1857" s="189" t="s">
        <v>94</v>
      </c>
      <c r="H1857" s="189" t="s">
        <v>3038</v>
      </c>
      <c r="I1857" s="189" t="s">
        <v>2320</v>
      </c>
      <c r="J1857" s="189" t="s">
        <v>35</v>
      </c>
      <c r="K1857" s="201"/>
    </row>
    <row r="1858" customFormat="false" ht="15" hidden="false" customHeight="false" outlineLevel="0" collapsed="false">
      <c r="A1858" s="197" t="s">
        <v>3039</v>
      </c>
      <c r="B1858" s="191" t="n">
        <v>11683391209</v>
      </c>
      <c r="C1858" s="190" t="s">
        <v>3040</v>
      </c>
      <c r="D1858" s="191" t="n">
        <v>559584176828</v>
      </c>
      <c r="E1858" s="190" t="s">
        <v>3041</v>
      </c>
      <c r="F1858" s="192" t="n">
        <f aca="false">SUMIF(ENTRADAS!F:F,CLIENTES_PCBR[[#This Row],[TELEFONO]],ENTRADAS!C:C)</f>
        <v>240</v>
      </c>
      <c r="G1858" s="189" t="s">
        <v>94</v>
      </c>
      <c r="H1858" s="189" t="s">
        <v>2252</v>
      </c>
      <c r="I1858" s="189" t="s">
        <v>2129</v>
      </c>
      <c r="J1858" s="189" t="s">
        <v>35</v>
      </c>
      <c r="K1858" s="201"/>
    </row>
    <row r="1859" customFormat="false" ht="15" hidden="false" customHeight="false" outlineLevel="0" collapsed="false">
      <c r="A1859" s="197" t="s">
        <v>3042</v>
      </c>
      <c r="B1859" s="191" t="n">
        <v>0</v>
      </c>
      <c r="C1859" s="190" t="s">
        <v>3044</v>
      </c>
      <c r="D1859" s="191" t="n">
        <v>5511914950427</v>
      </c>
      <c r="E1859" s="190" t="s">
        <v>3045</v>
      </c>
      <c r="F1859" s="192" t="n">
        <f aca="false">SUMIF(ENTRADAS!F:F,CLIENTES_PCBR[[#This Row],[TELEFONO]],ENTRADAS!C:C)</f>
        <v>60</v>
      </c>
      <c r="G1859" s="189" t="s">
        <v>94</v>
      </c>
      <c r="H1859" s="189" t="s">
        <v>3046</v>
      </c>
      <c r="I1859" s="189" t="s">
        <v>2135</v>
      </c>
      <c r="K1859" s="201"/>
    </row>
    <row r="1860" customFormat="false" ht="15" hidden="false" customHeight="false" outlineLevel="0" collapsed="false">
      <c r="A1860" s="197" t="s">
        <v>3047</v>
      </c>
      <c r="B1860" s="191" t="n">
        <v>0</v>
      </c>
      <c r="C1860" s="190" t="s">
        <v>3048</v>
      </c>
      <c r="D1860" s="191" t="n">
        <v>5511914996906</v>
      </c>
      <c r="E1860" s="190" t="s">
        <v>3049</v>
      </c>
      <c r="F1860" s="192" t="n">
        <f aca="false">SUMIF(ENTRADAS!F:F,CLIENTES_PCBR[[#This Row],[TELEFONO]],ENTRADAS!C:C)</f>
        <v>60</v>
      </c>
      <c r="G1860" s="189" t="s">
        <v>94</v>
      </c>
      <c r="H1860" s="189" t="s">
        <v>2135</v>
      </c>
      <c r="I1860" s="189" t="s">
        <v>2135</v>
      </c>
      <c r="K1860" s="201"/>
    </row>
    <row r="1861" customFormat="false" ht="15" hidden="false" customHeight="false" outlineLevel="0" collapsed="false">
      <c r="A1861" s="197" t="s">
        <v>3050</v>
      </c>
      <c r="B1861" s="191" t="n">
        <v>-1</v>
      </c>
      <c r="C1861" s="190" t="s">
        <v>3052</v>
      </c>
      <c r="D1861" s="191" t="n">
        <v>554196222257</v>
      </c>
      <c r="E1861" s="190" t="s">
        <v>3053</v>
      </c>
      <c r="F1861" s="192" t="n">
        <f aca="false">SUMIF(ENTRADAS!F:F,CLIENTES_PCBR[[#This Row],[TELEFONO]],ENTRADAS!C:C)</f>
        <v>394</v>
      </c>
      <c r="G1861" s="189" t="s">
        <v>94</v>
      </c>
      <c r="H1861" s="189" t="s">
        <v>2159</v>
      </c>
      <c r="I1861" s="189" t="s">
        <v>2089</v>
      </c>
      <c r="J1861" s="189" t="s">
        <v>1176</v>
      </c>
      <c r="K1861" s="201"/>
    </row>
    <row r="1862" customFormat="false" ht="15" hidden="false" customHeight="false" outlineLevel="0" collapsed="false">
      <c r="A1862" s="197" t="s">
        <v>3058</v>
      </c>
      <c r="B1862" s="191" t="n">
        <v>0</v>
      </c>
      <c r="C1862" s="190" t="s">
        <v>3060</v>
      </c>
      <c r="D1862" s="191" t="n">
        <v>554196185150</v>
      </c>
      <c r="E1862" s="190" t="s">
        <v>3061</v>
      </c>
      <c r="F1862" s="192" t="n">
        <f aca="false">SUMIF(ENTRADAS!F:F,CLIENTES_PCBR[[#This Row],[TELEFONO]],ENTRADAS!C:C)</f>
        <v>150</v>
      </c>
      <c r="G1862" s="189" t="s">
        <v>94</v>
      </c>
      <c r="H1862" s="189" t="s">
        <v>2159</v>
      </c>
      <c r="I1862" s="189" t="s">
        <v>2089</v>
      </c>
      <c r="J1862" s="189" t="s">
        <v>1176</v>
      </c>
      <c r="K1862" s="201"/>
    </row>
    <row r="1863" customFormat="false" ht="15" hidden="false" customHeight="false" outlineLevel="0" collapsed="false">
      <c r="A1863" s="197" t="s">
        <v>3062</v>
      </c>
      <c r="B1863" s="191" t="n">
        <v>-1</v>
      </c>
      <c r="C1863" s="190" t="s">
        <v>3063</v>
      </c>
      <c r="D1863" s="191" t="n">
        <v>5511972698113</v>
      </c>
      <c r="E1863" s="190" t="s">
        <v>3064</v>
      </c>
      <c r="F1863" s="192" t="n">
        <f aca="false">SUMIF(ENTRADAS!F:F,CLIENTES_PCBR[[#This Row],[TELEFONO]],ENTRADAS!C:C)</f>
        <v>800</v>
      </c>
      <c r="G1863" s="189" t="s">
        <v>94</v>
      </c>
      <c r="H1863" s="189" t="s">
        <v>2135</v>
      </c>
      <c r="I1863" s="189" t="s">
        <v>2135</v>
      </c>
      <c r="J1863" s="189" t="s">
        <v>60</v>
      </c>
      <c r="K1863" s="201"/>
    </row>
    <row r="1864" customFormat="false" ht="15" hidden="false" customHeight="false" outlineLevel="0" collapsed="false">
      <c r="A1864" s="197" t="s">
        <v>3073</v>
      </c>
      <c r="B1864" s="191" t="n">
        <v>80266235921</v>
      </c>
      <c r="C1864" s="190" t="s">
        <v>3074</v>
      </c>
      <c r="D1864" s="191" t="n">
        <v>555199071192</v>
      </c>
      <c r="E1864" s="190" t="s">
        <v>3075</v>
      </c>
      <c r="F1864" s="192" t="n">
        <f aca="false">SUMIF(ENTRADAS!F:F,CLIENTES_PCBR[[#This Row],[TELEFONO]],ENTRADAS!C:C)</f>
        <v>249</v>
      </c>
      <c r="G1864" s="189" t="s">
        <v>94</v>
      </c>
      <c r="H1864" s="189" t="s">
        <v>2760</v>
      </c>
      <c r="I1864" s="189" t="s">
        <v>2121</v>
      </c>
      <c r="J1864" s="189" t="s">
        <v>1176</v>
      </c>
      <c r="K1864" s="201"/>
    </row>
    <row r="1865" customFormat="false" ht="15" hidden="false" customHeight="false" outlineLevel="0" collapsed="false">
      <c r="A1865" s="197" t="s">
        <v>3076</v>
      </c>
      <c r="B1865" s="191" t="n">
        <v>0</v>
      </c>
      <c r="C1865" s="190" t="s">
        <v>3078</v>
      </c>
      <c r="D1865" s="191" t="n">
        <v>5516993705903</v>
      </c>
      <c r="E1865" s="190" t="s">
        <v>3079</v>
      </c>
      <c r="F1865" s="192" t="n">
        <f aca="false">SUMIF(ENTRADAS!F:F,CLIENTES_PCBR[[#This Row],[TELEFONO]],ENTRADAS!C:C)</f>
        <v>500</v>
      </c>
      <c r="G1865" s="189" t="s">
        <v>94</v>
      </c>
      <c r="H1865" s="189" t="s">
        <v>2107</v>
      </c>
      <c r="I1865" s="189" t="s">
        <v>2135</v>
      </c>
      <c r="J1865" s="189" t="s">
        <v>1176</v>
      </c>
      <c r="K1865" s="201"/>
    </row>
    <row r="1866" customFormat="false" ht="15" hidden="false" customHeight="false" outlineLevel="0" collapsed="false">
      <c r="A1866" s="197" t="s">
        <v>3080</v>
      </c>
      <c r="B1866" s="191" t="n">
        <v>0</v>
      </c>
      <c r="C1866" s="190" t="s">
        <v>3081</v>
      </c>
      <c r="D1866" s="191" t="n">
        <v>555496712062</v>
      </c>
      <c r="E1866" s="190" t="s">
        <v>3082</v>
      </c>
      <c r="F1866" s="192" t="n">
        <f aca="false">SUMIF(ENTRADAS!F:F,CLIENTES_PCBR[[#This Row],[TELEFONO]],ENTRADAS!C:C)</f>
        <v>147</v>
      </c>
      <c r="G1866" s="189" t="s">
        <v>94</v>
      </c>
      <c r="H1866" s="189" t="s">
        <v>2107</v>
      </c>
      <c r="I1866" s="189" t="s">
        <v>2121</v>
      </c>
      <c r="J1866" s="189" t="s">
        <v>35</v>
      </c>
      <c r="K1866" s="201"/>
    </row>
    <row r="1867" customFormat="false" ht="15" hidden="false" customHeight="false" outlineLevel="0" collapsed="false">
      <c r="A1867" s="197" t="s">
        <v>3083</v>
      </c>
      <c r="B1867" s="191" t="n">
        <v>11953040217</v>
      </c>
      <c r="C1867" s="190" t="s">
        <v>3084</v>
      </c>
      <c r="D1867" s="191" t="n">
        <v>559584393882</v>
      </c>
      <c r="E1867" s="190" t="s">
        <v>3085</v>
      </c>
      <c r="F1867" s="192" t="n">
        <f aca="false">SUMIF(ENTRADAS!F:F,CLIENTES_PCBR[[#This Row],[TELEFONO]],ENTRADAS!C:C)</f>
        <v>120</v>
      </c>
      <c r="G1867" s="189" t="s">
        <v>94</v>
      </c>
      <c r="H1867" s="189" t="s">
        <v>2280</v>
      </c>
      <c r="I1867" s="189" t="s">
        <v>2281</v>
      </c>
      <c r="K1867" s="201"/>
    </row>
    <row r="1868" customFormat="false" ht="15" hidden="false" customHeight="false" outlineLevel="0" collapsed="false">
      <c r="A1868" s="197" t="s">
        <v>3086</v>
      </c>
      <c r="B1868" s="191" t="n">
        <v>-1</v>
      </c>
      <c r="C1868" s="190" t="s">
        <v>3087</v>
      </c>
      <c r="D1868" s="191" t="n">
        <v>554899757333</v>
      </c>
      <c r="E1868" s="190" t="s">
        <v>3088</v>
      </c>
      <c r="F1868" s="192" t="n">
        <f aca="false">SUMIF(ENTRADAS!F:F,CLIENTES_PCBR[[#This Row],[TELEFONO]],ENTRADAS!C:C)</f>
        <v>120</v>
      </c>
      <c r="G1868" s="189" t="s">
        <v>94</v>
      </c>
      <c r="H1868" s="189" t="s">
        <v>2128</v>
      </c>
      <c r="I1868" s="189" t="s">
        <v>2129</v>
      </c>
      <c r="J1868" s="189" t="s">
        <v>97</v>
      </c>
      <c r="K1868" s="201"/>
    </row>
    <row r="1869" customFormat="false" ht="15" hidden="false" customHeight="false" outlineLevel="0" collapsed="false">
      <c r="A1869" s="197" t="s">
        <v>3089</v>
      </c>
      <c r="B1869" s="191" t="n">
        <v>11888879203</v>
      </c>
      <c r="C1869" s="190" t="s">
        <v>3090</v>
      </c>
      <c r="D1869" s="191" t="n">
        <v>554892042767</v>
      </c>
      <c r="E1869" s="190" t="s">
        <v>3091</v>
      </c>
      <c r="F1869" s="192" t="n">
        <f aca="false">SUMIF(ENTRADAS!F:F,CLIENTES_PCBR[[#This Row],[TELEFONO]],ENTRADAS!C:C)</f>
        <v>240</v>
      </c>
      <c r="G1869" s="189" t="s">
        <v>94</v>
      </c>
      <c r="H1869" s="189" t="s">
        <v>3092</v>
      </c>
      <c r="I1869" s="189" t="s">
        <v>2129</v>
      </c>
      <c r="J1869" s="189" t="s">
        <v>97</v>
      </c>
      <c r="K1869" s="201"/>
    </row>
    <row r="1870" customFormat="false" ht="15" hidden="false" customHeight="false" outlineLevel="0" collapsed="false">
      <c r="A1870" s="197" t="s">
        <v>3093</v>
      </c>
      <c r="B1870" s="191" t="n">
        <v>-1</v>
      </c>
      <c r="C1870" s="190" t="s">
        <v>3094</v>
      </c>
      <c r="D1870" s="191" t="n">
        <v>559584293648</v>
      </c>
      <c r="E1870" s="190" t="s">
        <v>3095</v>
      </c>
      <c r="F1870" s="192" t="n">
        <f aca="false">SUMIF(ENTRADAS!F:F,CLIENTES_PCBR[[#This Row],[TELEFONO]],ENTRADAS!C:C)</f>
        <v>120</v>
      </c>
      <c r="G1870" s="189" t="s">
        <v>94</v>
      </c>
      <c r="H1870" s="189" t="s">
        <v>2107</v>
      </c>
      <c r="I1870" s="189" t="s">
        <v>2089</v>
      </c>
      <c r="J1870" s="189" t="s">
        <v>35</v>
      </c>
      <c r="K1870" s="201"/>
    </row>
    <row r="1871" customFormat="false" ht="15" hidden="false" customHeight="false" outlineLevel="0" collapsed="false">
      <c r="A1871" s="197" t="s">
        <v>3099</v>
      </c>
      <c r="B1871" s="191" t="n">
        <v>-1</v>
      </c>
      <c r="C1871" s="190" t="s">
        <v>3100</v>
      </c>
      <c r="D1871" s="191" t="n">
        <v>554196893842</v>
      </c>
      <c r="E1871" s="190" t="s">
        <v>43</v>
      </c>
      <c r="F1871" s="192" t="n">
        <f aca="false">SUMIF(ENTRADAS!F:F,CLIENTES_PCBR[[#This Row],[TELEFONO]],ENTRADAS!C:C)</f>
        <v>120</v>
      </c>
      <c r="G1871" s="189" t="s">
        <v>94</v>
      </c>
      <c r="H1871" s="189" t="s">
        <v>2107</v>
      </c>
      <c r="I1871" s="189" t="s">
        <v>862</v>
      </c>
      <c r="K1871" s="201"/>
    </row>
    <row r="1872" customFormat="false" ht="15" hidden="false" customHeight="false" outlineLevel="0" collapsed="false">
      <c r="A1872" s="197" t="s">
        <v>3101</v>
      </c>
      <c r="B1872" s="191" t="n">
        <v>0</v>
      </c>
      <c r="C1872" s="190" t="s">
        <v>3102</v>
      </c>
      <c r="D1872" s="191" t="n">
        <v>554197121323</v>
      </c>
      <c r="E1872" s="190" t="s">
        <v>3103</v>
      </c>
      <c r="F1872" s="192" t="n">
        <f aca="false">SUMIF(ENTRADAS!F:F,CLIENTES_PCBR[[#This Row],[TELEFONO]],ENTRADAS!C:C)</f>
        <v>120</v>
      </c>
      <c r="G1872" s="189" t="s">
        <v>94</v>
      </c>
      <c r="H1872" s="189" t="s">
        <v>2159</v>
      </c>
      <c r="I1872" s="189" t="s">
        <v>2089</v>
      </c>
      <c r="K1872" s="201"/>
    </row>
    <row r="1873" customFormat="false" ht="15" hidden="false" customHeight="false" outlineLevel="0" collapsed="false">
      <c r="A1873" s="197" t="s">
        <v>3107</v>
      </c>
      <c r="B1873" s="191" t="n">
        <v>0</v>
      </c>
      <c r="C1873" s="190" t="s">
        <v>3108</v>
      </c>
      <c r="D1873" s="191" t="n">
        <v>559584290986</v>
      </c>
      <c r="E1873" s="190" t="s">
        <v>3109</v>
      </c>
      <c r="F1873" s="192" t="n">
        <f aca="false">SUMIF(ENTRADAS!F:F,CLIENTES_PCBR[[#This Row],[TELEFONO]],ENTRADAS!C:C)</f>
        <v>120</v>
      </c>
      <c r="G1873" s="189" t="s">
        <v>94</v>
      </c>
      <c r="H1873" s="189" t="s">
        <v>2135</v>
      </c>
      <c r="I1873" s="189" t="s">
        <v>2135</v>
      </c>
      <c r="K1873" s="201"/>
    </row>
    <row r="1874" customFormat="false" ht="15" hidden="false" customHeight="false" outlineLevel="0" collapsed="false">
      <c r="A1874" s="197" t="s">
        <v>3110</v>
      </c>
      <c r="B1874" s="191" t="n">
        <v>0</v>
      </c>
      <c r="C1874" s="190" t="s">
        <v>3112</v>
      </c>
      <c r="D1874" s="191" t="n">
        <v>5511979682047</v>
      </c>
      <c r="E1874" s="190" t="s">
        <v>3113</v>
      </c>
      <c r="F1874" s="192" t="n">
        <f aca="false">SUMIF(ENTRADAS!F:F,CLIENTES_PCBR[[#This Row],[TELEFONO]],ENTRADAS!C:C)</f>
        <v>150</v>
      </c>
      <c r="G1874" s="189" t="s">
        <v>94</v>
      </c>
      <c r="H1874" s="189" t="s">
        <v>2107</v>
      </c>
      <c r="I1874" s="189" t="s">
        <v>862</v>
      </c>
      <c r="J1874" s="189" t="s">
        <v>35</v>
      </c>
      <c r="K1874" s="201"/>
    </row>
    <row r="1875" customFormat="false" ht="15" hidden="false" customHeight="false" outlineLevel="0" collapsed="false">
      <c r="A1875" s="197" t="s">
        <v>3115</v>
      </c>
      <c r="B1875" s="191" t="n">
        <v>0</v>
      </c>
      <c r="C1875" s="190" t="s">
        <v>3117</v>
      </c>
      <c r="D1875" s="191" t="n">
        <v>554195225216</v>
      </c>
      <c r="E1875" s="190" t="s">
        <v>3118</v>
      </c>
      <c r="F1875" s="192" t="n">
        <f aca="false">SUMIF(ENTRADAS!F:F,CLIENTES_PCBR[[#This Row],[TELEFONO]],ENTRADAS!C:C)</f>
        <v>120</v>
      </c>
      <c r="G1875" s="189" t="s">
        <v>94</v>
      </c>
      <c r="H1875" s="189" t="s">
        <v>2159</v>
      </c>
      <c r="I1875" s="189" t="s">
        <v>2089</v>
      </c>
      <c r="J1875" s="189" t="s">
        <v>35</v>
      </c>
      <c r="K1875" s="201"/>
    </row>
    <row r="1876" customFormat="false" ht="15" hidden="false" customHeight="false" outlineLevel="0" collapsed="false">
      <c r="A1876" s="197" t="s">
        <v>3121</v>
      </c>
      <c r="B1876" s="191" t="n">
        <v>-1</v>
      </c>
      <c r="C1876" s="190" t="s">
        <v>3123</v>
      </c>
      <c r="D1876" s="191" t="n">
        <v>559584229250</v>
      </c>
      <c r="E1876" s="190" t="s">
        <v>3124</v>
      </c>
      <c r="F1876" s="192" t="n">
        <f aca="false">SUMIF(ENTRADAS!F:F,CLIENTES_PCBR[[#This Row],[TELEFONO]],ENTRADAS!C:C)</f>
        <v>240</v>
      </c>
      <c r="G1876" s="189" t="s">
        <v>94</v>
      </c>
      <c r="H1876" s="189" t="s">
        <v>2128</v>
      </c>
      <c r="I1876" s="189" t="s">
        <v>2129</v>
      </c>
      <c r="K1876" s="201"/>
    </row>
    <row r="1877" customFormat="false" ht="15" hidden="false" customHeight="false" outlineLevel="0" collapsed="false">
      <c r="A1877" s="197" t="s">
        <v>3119</v>
      </c>
      <c r="B1877" s="191" t="n">
        <v>11463353260</v>
      </c>
      <c r="C1877" s="190" t="s">
        <v>3125</v>
      </c>
      <c r="D1877" s="191" t="n">
        <v>559591403308</v>
      </c>
      <c r="E1877" s="190" t="s">
        <v>3126</v>
      </c>
      <c r="F1877" s="192" t="n">
        <f aca="false">SUMIF(ENTRADAS!F:F,CLIENTES_PCBR[[#This Row],[TELEFONO]],ENTRADAS!C:C)</f>
        <v>197</v>
      </c>
      <c r="G1877" s="189" t="s">
        <v>94</v>
      </c>
      <c r="H1877" s="189" t="s">
        <v>2159</v>
      </c>
      <c r="I1877" s="189" t="s">
        <v>2089</v>
      </c>
      <c r="J1877" s="189" t="s">
        <v>97</v>
      </c>
      <c r="K1877" s="201"/>
    </row>
    <row r="1878" customFormat="false" ht="15" hidden="false" customHeight="false" outlineLevel="0" collapsed="false">
      <c r="A1878" s="197" t="s">
        <v>3127</v>
      </c>
      <c r="B1878" s="191" t="n">
        <v>-1</v>
      </c>
      <c r="C1878" s="190" t="s">
        <v>3128</v>
      </c>
      <c r="D1878" s="191" t="n">
        <v>5511947875395</v>
      </c>
      <c r="E1878" s="190" t="s">
        <v>43</v>
      </c>
      <c r="F1878" s="192" t="n">
        <f aca="false">SUMIF(ENTRADAS!F:F,CLIENTES_PCBR[[#This Row],[TELEFONO]],ENTRADAS!C:C)</f>
        <v>300</v>
      </c>
      <c r="G1878" s="189" t="s">
        <v>94</v>
      </c>
      <c r="H1878" s="189" t="s">
        <v>2898</v>
      </c>
      <c r="I1878" s="189" t="s">
        <v>2135</v>
      </c>
      <c r="J1878" s="189" t="s">
        <v>35</v>
      </c>
      <c r="K1878" s="201"/>
    </row>
    <row r="1879" customFormat="false" ht="15" hidden="false" customHeight="false" outlineLevel="0" collapsed="false">
      <c r="A1879" s="197" t="s">
        <v>3129</v>
      </c>
      <c r="B1879" s="191" t="n">
        <v>11891946277</v>
      </c>
      <c r="C1879" s="190" t="s">
        <v>3131</v>
      </c>
      <c r="D1879" s="191" t="s">
        <v>5563</v>
      </c>
      <c r="E1879" s="190" t="s">
        <v>3132</v>
      </c>
      <c r="F1879" s="192" t="n">
        <f aca="false">SUMIF(ENTRADAS!F:F,CLIENTES_PCBR[[#This Row],[TELEFONO]],ENTRADAS!C:C)</f>
        <v>0</v>
      </c>
      <c r="G1879" s="189" t="s">
        <v>94</v>
      </c>
      <c r="H1879" s="189" t="s">
        <v>2159</v>
      </c>
      <c r="I1879" s="189" t="s">
        <v>2089</v>
      </c>
      <c r="J1879" s="189" t="s">
        <v>1176</v>
      </c>
      <c r="K1879" s="201"/>
    </row>
    <row r="1880" customFormat="false" ht="15" hidden="false" customHeight="false" outlineLevel="0" collapsed="false">
      <c r="A1880" s="197" t="s">
        <v>3134</v>
      </c>
      <c r="B1880" s="191" t="n">
        <v>11606849280</v>
      </c>
      <c r="C1880" s="190" t="s">
        <v>3135</v>
      </c>
      <c r="D1880" s="191" t="n">
        <v>5519991928299</v>
      </c>
      <c r="E1880" s="190" t="s">
        <v>3136</v>
      </c>
      <c r="F1880" s="192" t="n">
        <f aca="false">SUMIF(ENTRADAS!F:F,CLIENTES_PCBR[[#This Row],[TELEFONO]],ENTRADAS!C:C)</f>
        <v>147</v>
      </c>
      <c r="G1880" s="189" t="s">
        <v>94</v>
      </c>
      <c r="H1880" s="189" t="s">
        <v>2236</v>
      </c>
      <c r="I1880" s="189" t="s">
        <v>2129</v>
      </c>
      <c r="K1880" s="201"/>
    </row>
    <row r="1881" customFormat="false" ht="15" hidden="false" customHeight="false" outlineLevel="0" collapsed="false">
      <c r="A1881" s="197" t="s">
        <v>3139</v>
      </c>
      <c r="B1881" s="191" t="n">
        <v>6648622687</v>
      </c>
      <c r="C1881" s="190" t="s">
        <v>3141</v>
      </c>
      <c r="D1881" s="191" t="n">
        <v>559581020941</v>
      </c>
      <c r="E1881" s="190" t="s">
        <v>3142</v>
      </c>
      <c r="F1881" s="192" t="n">
        <f aca="false">SUMIF(ENTRADAS!F:F,CLIENTES_PCBR[[#This Row],[TELEFONO]],ENTRADAS!C:C)</f>
        <v>147</v>
      </c>
      <c r="G1881" s="189" t="s">
        <v>94</v>
      </c>
      <c r="H1881" s="189" t="s">
        <v>3143</v>
      </c>
      <c r="I1881" s="189" t="s">
        <v>2129</v>
      </c>
      <c r="K1881" s="201"/>
    </row>
    <row r="1882" customFormat="false" ht="15" hidden="false" customHeight="false" outlineLevel="0" collapsed="false">
      <c r="A1882" s="197" t="s">
        <v>3144</v>
      </c>
      <c r="B1882" s="191" t="n">
        <v>1129537609</v>
      </c>
      <c r="C1882" s="190" t="s">
        <v>3145</v>
      </c>
      <c r="D1882" s="191" t="n">
        <v>553387028836</v>
      </c>
      <c r="E1882" s="190" t="s">
        <v>3146</v>
      </c>
      <c r="F1882" s="192" t="n">
        <f aca="false">SUMIF(ENTRADAS!F:F,CLIENTES_PCBR[[#This Row],[TELEFONO]],ENTRADAS!C:C)</f>
        <v>147</v>
      </c>
      <c r="G1882" s="189" t="s">
        <v>94</v>
      </c>
      <c r="H1882" s="189" t="s">
        <v>2107</v>
      </c>
      <c r="I1882" s="189" t="s">
        <v>862</v>
      </c>
      <c r="K1882" s="201"/>
    </row>
    <row r="1883" customFormat="false" ht="15" hidden="false" customHeight="false" outlineLevel="0" collapsed="false">
      <c r="A1883" s="197" t="s">
        <v>3147</v>
      </c>
      <c r="B1883" s="191" t="n">
        <v>0</v>
      </c>
      <c r="C1883" s="190" t="s">
        <v>3148</v>
      </c>
      <c r="D1883" s="191" t="n">
        <v>5511996897904</v>
      </c>
      <c r="E1883" s="190" t="s">
        <v>3149</v>
      </c>
      <c r="F1883" s="192" t="n">
        <f aca="false">SUMIF(ENTRADAS!F:F,CLIENTES_PCBR[[#This Row],[TELEFONO]],ENTRADAS!C:C)</f>
        <v>60</v>
      </c>
      <c r="G1883" s="189" t="s">
        <v>94</v>
      </c>
      <c r="H1883" s="189" t="s">
        <v>2139</v>
      </c>
      <c r="I1883" s="189" t="s">
        <v>2135</v>
      </c>
      <c r="K1883" s="201"/>
    </row>
    <row r="1884" customFormat="false" ht="15" hidden="false" customHeight="false" outlineLevel="0" collapsed="false">
      <c r="A1884" s="197" t="s">
        <v>3150</v>
      </c>
      <c r="B1884" s="191" t="n">
        <v>0</v>
      </c>
      <c r="C1884" s="190" t="s">
        <v>3151</v>
      </c>
      <c r="D1884" s="191" t="n">
        <v>556293420458</v>
      </c>
      <c r="E1884" s="190" t="s">
        <v>3152</v>
      </c>
      <c r="F1884" s="192" t="n">
        <f aca="false">SUMIF(ENTRADAS!F:F,CLIENTES_PCBR[[#This Row],[TELEFONO]],ENTRADAS!C:C)</f>
        <v>150</v>
      </c>
      <c r="G1884" s="189" t="s">
        <v>94</v>
      </c>
      <c r="H1884" s="189" t="s">
        <v>2107</v>
      </c>
      <c r="I1884" s="189" t="s">
        <v>862</v>
      </c>
      <c r="K1884" s="201"/>
    </row>
    <row r="1885" customFormat="false" ht="15" hidden="false" customHeight="false" outlineLevel="0" collapsed="false">
      <c r="A1885" s="197" t="s">
        <v>3153</v>
      </c>
      <c r="B1885" s="191" t="n">
        <v>0</v>
      </c>
      <c r="C1885" s="190" t="s">
        <v>3154</v>
      </c>
      <c r="D1885" s="191" t="n">
        <v>5595984107266</v>
      </c>
      <c r="E1885" s="190" t="s">
        <v>3155</v>
      </c>
      <c r="F1885" s="192" t="n">
        <f aca="false">SUMIF(ENTRADAS!F:F,CLIENTES_PCBR[[#This Row],[TELEFONO]],ENTRADAS!C:C)</f>
        <v>120</v>
      </c>
      <c r="G1885" s="189" t="s">
        <v>94</v>
      </c>
      <c r="H1885" s="189" t="s">
        <v>2107</v>
      </c>
      <c r="I1885" s="189" t="s">
        <v>862</v>
      </c>
      <c r="J1885" s="189" t="s">
        <v>3021</v>
      </c>
      <c r="K1885" s="201"/>
    </row>
    <row r="1886" customFormat="false" ht="15" hidden="false" customHeight="false" outlineLevel="0" collapsed="false">
      <c r="A1886" s="197" t="s">
        <v>3156</v>
      </c>
      <c r="B1886" s="191" t="n">
        <v>0</v>
      </c>
      <c r="C1886" s="190" t="s">
        <v>3157</v>
      </c>
      <c r="D1886" s="191" t="n">
        <v>559584091065</v>
      </c>
      <c r="E1886" s="190" t="s">
        <v>3158</v>
      </c>
      <c r="F1886" s="192" t="n">
        <f aca="false">SUMIF(ENTRADAS!F:F,CLIENTES_PCBR[[#This Row],[TELEFONO]],ENTRADAS!C:C)</f>
        <v>120</v>
      </c>
      <c r="G1886" s="189" t="s">
        <v>94</v>
      </c>
      <c r="H1886" s="189" t="s">
        <v>2659</v>
      </c>
      <c r="I1886" s="189" t="s">
        <v>2245</v>
      </c>
      <c r="J1886" s="189" t="s">
        <v>35</v>
      </c>
      <c r="K1886" s="201"/>
    </row>
    <row r="1887" customFormat="false" ht="15" hidden="false" customHeight="false" outlineLevel="0" collapsed="false">
      <c r="A1887" s="197" t="s">
        <v>3159</v>
      </c>
      <c r="B1887" s="191" t="n">
        <v>2058995953</v>
      </c>
      <c r="C1887" s="190" t="s">
        <v>3160</v>
      </c>
      <c r="D1887" s="191" t="n">
        <v>554896027847</v>
      </c>
      <c r="E1887" s="190" t="s">
        <v>3161</v>
      </c>
      <c r="F1887" s="192" t="n">
        <f aca="false">SUMIF(ENTRADAS!F:F,CLIENTES_PCBR[[#This Row],[TELEFONO]],ENTRADAS!C:C)</f>
        <v>147</v>
      </c>
      <c r="G1887" s="189" t="s">
        <v>94</v>
      </c>
      <c r="H1887" s="189" t="s">
        <v>3162</v>
      </c>
      <c r="I1887" s="189" t="s">
        <v>2129</v>
      </c>
      <c r="K1887" s="201"/>
    </row>
    <row r="1888" customFormat="false" ht="15" hidden="false" customHeight="false" outlineLevel="0" collapsed="false">
      <c r="A1888" s="197" t="s">
        <v>3165</v>
      </c>
      <c r="B1888" s="191" t="n">
        <v>-1</v>
      </c>
      <c r="C1888" s="190" t="s">
        <v>602</v>
      </c>
      <c r="D1888" s="191" t="n">
        <v>5541999687301</v>
      </c>
      <c r="E1888" s="190" t="s">
        <v>603</v>
      </c>
      <c r="F1888" s="192" t="n">
        <f aca="false">SUMIF(ENTRADAS!F:F,CLIENTES_PCBR[[#This Row],[TELEFONO]],ENTRADAS!C:C)</f>
        <v>0</v>
      </c>
      <c r="G1888" s="189" t="s">
        <v>94</v>
      </c>
      <c r="H1888" s="189" t="s">
        <v>2159</v>
      </c>
      <c r="I1888" s="189" t="s">
        <v>2089</v>
      </c>
      <c r="K1888" s="201"/>
    </row>
    <row r="1889" customFormat="false" ht="15" hidden="false" customHeight="false" outlineLevel="0" collapsed="false">
      <c r="A1889" s="197" t="s">
        <v>5564</v>
      </c>
      <c r="B1889" s="191" t="n">
        <v>12986585949</v>
      </c>
      <c r="C1889" s="190" t="s">
        <v>3169</v>
      </c>
      <c r="D1889" s="191" t="n">
        <v>5978331307</v>
      </c>
      <c r="E1889" s="190" t="s">
        <v>3170</v>
      </c>
      <c r="F1889" s="192" t="n">
        <f aca="false">SUMIF(ENTRADAS!F:F,CLIENTES_PCBR[[#This Row],[TELEFONO]],ENTRADAS!C:C)</f>
        <v>147</v>
      </c>
      <c r="G1889" s="189" t="s">
        <v>94</v>
      </c>
      <c r="H1889" s="189" t="s">
        <v>2236</v>
      </c>
      <c r="I1889" s="189" t="s">
        <v>2129</v>
      </c>
      <c r="K1889" s="201"/>
    </row>
    <row r="1890" customFormat="false" ht="15" hidden="false" customHeight="false" outlineLevel="0" collapsed="false">
      <c r="A1890" s="197" t="s">
        <v>5565</v>
      </c>
      <c r="B1890" s="191" t="n">
        <v>0</v>
      </c>
      <c r="C1890" s="190" t="s">
        <v>5566</v>
      </c>
      <c r="D1890" s="191" t="n">
        <v>554192657040</v>
      </c>
      <c r="E1890" s="190" t="s">
        <v>3174</v>
      </c>
      <c r="F1890" s="192" t="n">
        <f aca="false">SUMIF(ENTRADAS!F:F,CLIENTES_PCBR[[#This Row],[TELEFONO]],ENTRADAS!C:C)</f>
        <v>294</v>
      </c>
      <c r="G1890" s="189" t="s">
        <v>94</v>
      </c>
      <c r="H1890" s="189" t="s">
        <v>2159</v>
      </c>
      <c r="I1890" s="189" t="s">
        <v>2089</v>
      </c>
      <c r="J1890" s="189" t="s">
        <v>35</v>
      </c>
      <c r="K1890" s="201"/>
    </row>
    <row r="1891" customFormat="false" ht="15" hidden="false" customHeight="false" outlineLevel="0" collapsed="false">
      <c r="A1891" s="197" t="s">
        <v>5567</v>
      </c>
      <c r="B1891" s="191" t="n">
        <v>0</v>
      </c>
      <c r="C1891" s="190" t="s">
        <v>3176</v>
      </c>
      <c r="D1891" s="191" t="n">
        <v>554120006005</v>
      </c>
      <c r="E1891" s="190" t="s">
        <v>519</v>
      </c>
      <c r="F1891" s="192" t="n">
        <f aca="false">SUMIF(ENTRADAS!F:F,CLIENTES_PCBR[[#This Row],[TELEFONO]],ENTRADAS!C:C)</f>
        <v>150</v>
      </c>
      <c r="G1891" s="189" t="s">
        <v>94</v>
      </c>
      <c r="H1891" s="189" t="s">
        <v>2107</v>
      </c>
      <c r="I1891" s="189" t="s">
        <v>862</v>
      </c>
      <c r="K1891" s="201"/>
    </row>
    <row r="1892" customFormat="false" ht="15" hidden="false" customHeight="false" outlineLevel="0" collapsed="false">
      <c r="A1892" s="197" t="s">
        <v>3180</v>
      </c>
      <c r="B1892" s="191" t="n">
        <v>-1</v>
      </c>
      <c r="C1892" s="190" t="s">
        <v>3182</v>
      </c>
      <c r="D1892" s="191" t="n">
        <v>5977148130</v>
      </c>
      <c r="E1892" s="190" t="s">
        <v>43</v>
      </c>
      <c r="F1892" s="192" t="n">
        <f aca="false">SUMIF(ENTRADAS!F:F,CLIENTES_PCBR[[#This Row],[TELEFONO]],ENTRADAS!C:C)</f>
        <v>200</v>
      </c>
      <c r="G1892" s="189" t="s">
        <v>94</v>
      </c>
      <c r="H1892" s="189" t="s">
        <v>2107</v>
      </c>
      <c r="I1892" s="189" t="s">
        <v>862</v>
      </c>
      <c r="K1892" s="201"/>
    </row>
    <row r="1893" customFormat="false" ht="15" hidden="false" customHeight="false" outlineLevel="0" collapsed="false">
      <c r="A1893" s="197" t="s">
        <v>3183</v>
      </c>
      <c r="B1893" s="191" t="n">
        <v>-1</v>
      </c>
      <c r="C1893" s="190" t="s">
        <v>3184</v>
      </c>
      <c r="D1893" s="191" t="n">
        <v>556793272381</v>
      </c>
      <c r="E1893" s="190" t="s">
        <v>3185</v>
      </c>
      <c r="F1893" s="192" t="n">
        <f aca="false">SUMIF(ENTRADAS!F:F,CLIENTES_PCBR[[#This Row],[TELEFONO]],ENTRADAS!C:C)</f>
        <v>150</v>
      </c>
      <c r="G1893" s="189" t="s">
        <v>94</v>
      </c>
      <c r="H1893" s="189" t="s">
        <v>2107</v>
      </c>
      <c r="I1893" s="189" t="s">
        <v>862</v>
      </c>
      <c r="J1893" s="189" t="s">
        <v>35</v>
      </c>
      <c r="K1893" s="201"/>
    </row>
    <row r="1894" customFormat="false" ht="15" hidden="false" customHeight="false" outlineLevel="0" collapsed="false">
      <c r="A1894" s="197" t="s">
        <v>3186</v>
      </c>
      <c r="B1894" s="191" t="n">
        <v>-1</v>
      </c>
      <c r="C1894" s="190" t="s">
        <v>3188</v>
      </c>
      <c r="D1894" s="191" t="n">
        <v>5511915303477</v>
      </c>
      <c r="E1894" s="190" t="s">
        <v>3189</v>
      </c>
      <c r="F1894" s="192" t="n">
        <f aca="false">SUMIF(ENTRADAS!F:F,CLIENTES_PCBR[[#This Row],[TELEFONO]],ENTRADAS!C:C)</f>
        <v>300</v>
      </c>
      <c r="G1894" s="189" t="s">
        <v>94</v>
      </c>
      <c r="H1894" s="189" t="s">
        <v>2107</v>
      </c>
      <c r="I1894" s="189" t="s">
        <v>2135</v>
      </c>
      <c r="J1894" s="189" t="s">
        <v>35</v>
      </c>
      <c r="K1894" s="201"/>
    </row>
    <row r="1895" customFormat="false" ht="15" hidden="false" customHeight="false" outlineLevel="0" collapsed="false">
      <c r="A1895" s="197" t="s">
        <v>3193</v>
      </c>
      <c r="B1895" s="191" t="n">
        <v>-1</v>
      </c>
      <c r="C1895" s="190" t="s">
        <v>3194</v>
      </c>
      <c r="D1895" s="191" t="n">
        <v>554196630785</v>
      </c>
      <c r="E1895" s="190" t="s">
        <v>3195</v>
      </c>
      <c r="F1895" s="192" t="n">
        <f aca="false">SUMIF(ENTRADAS!F:F,CLIENTES_PCBR[[#This Row],[TELEFONO]],ENTRADAS!C:C)</f>
        <v>120</v>
      </c>
      <c r="G1895" s="189" t="s">
        <v>94</v>
      </c>
      <c r="H1895" s="189" t="s">
        <v>2135</v>
      </c>
      <c r="I1895" s="189" t="s">
        <v>2135</v>
      </c>
      <c r="K1895" s="201"/>
    </row>
    <row r="1896" customFormat="false" ht="15" hidden="false" customHeight="false" outlineLevel="0" collapsed="false">
      <c r="A1896" s="197" t="s">
        <v>3196</v>
      </c>
      <c r="B1896" s="191" t="n">
        <v>-1</v>
      </c>
      <c r="C1896" s="190" t="s">
        <v>3198</v>
      </c>
      <c r="D1896" s="191" t="n">
        <v>554192449900</v>
      </c>
      <c r="E1896" s="190" t="s">
        <v>3199</v>
      </c>
      <c r="F1896" s="192" t="n">
        <f aca="false">SUMIF(ENTRADAS!F:F,CLIENTES_PCBR[[#This Row],[TELEFONO]],ENTRADAS!C:C)</f>
        <v>120</v>
      </c>
      <c r="G1896" s="189" t="s">
        <v>94</v>
      </c>
      <c r="H1896" s="189" t="s">
        <v>2107</v>
      </c>
      <c r="I1896" s="189" t="s">
        <v>862</v>
      </c>
      <c r="J1896" s="189" t="s">
        <v>1176</v>
      </c>
      <c r="K1896" s="201"/>
    </row>
    <row r="1897" customFormat="false" ht="15" hidden="false" customHeight="false" outlineLevel="0" collapsed="false">
      <c r="A1897" s="197" t="s">
        <v>3201</v>
      </c>
      <c r="B1897" s="191" t="n">
        <v>11908589248</v>
      </c>
      <c r="C1897" s="190" t="s">
        <v>3203</v>
      </c>
      <c r="D1897" s="191" t="n">
        <v>554184391627</v>
      </c>
      <c r="E1897" s="190" t="s">
        <v>3204</v>
      </c>
      <c r="F1897" s="192" t="n">
        <f aca="false">SUMIF(ENTRADAS!F:F,CLIENTES_PCBR[[#This Row],[TELEFONO]],ENTRADAS!C:C)</f>
        <v>240</v>
      </c>
      <c r="G1897" s="189" t="s">
        <v>94</v>
      </c>
      <c r="H1897" s="189" t="s">
        <v>2236</v>
      </c>
      <c r="I1897" s="189" t="s">
        <v>2129</v>
      </c>
      <c r="J1897" s="189" t="s">
        <v>35</v>
      </c>
      <c r="K1897" s="201"/>
    </row>
    <row r="1898" customFormat="false" ht="15" hidden="false" customHeight="false" outlineLevel="0" collapsed="false">
      <c r="A1898" s="197" t="s">
        <v>3205</v>
      </c>
      <c r="B1898" s="191" t="n">
        <v>0</v>
      </c>
      <c r="C1898" s="190" t="s">
        <v>3207</v>
      </c>
      <c r="D1898" s="191" t="n">
        <v>5515997945687</v>
      </c>
      <c r="E1898" s="190" t="s">
        <v>3208</v>
      </c>
      <c r="F1898" s="192" t="n">
        <f aca="false">SUMIF(ENTRADAS!F:F,CLIENTES_PCBR[[#This Row],[TELEFONO]],ENTRADAS!C:C)</f>
        <v>300</v>
      </c>
      <c r="G1898" s="189" t="s">
        <v>94</v>
      </c>
      <c r="H1898" s="189" t="s">
        <v>2183</v>
      </c>
      <c r="I1898" s="189" t="s">
        <v>2135</v>
      </c>
      <c r="K1898" s="201"/>
    </row>
    <row r="1899" customFormat="false" ht="15" hidden="false" customHeight="false" outlineLevel="0" collapsed="false">
      <c r="A1899" s="197" t="s">
        <v>3209</v>
      </c>
      <c r="B1899" s="191"/>
      <c r="C1899" s="190" t="s">
        <v>2507</v>
      </c>
      <c r="D1899" s="191" t="s">
        <v>3210</v>
      </c>
      <c r="E1899" s="190" t="s">
        <v>2508</v>
      </c>
      <c r="F1899" s="192" t="n">
        <f aca="false">SUMIF(ENTRADAS!F:F,CLIENTES_PCBR[[#This Row],[TELEFONO]],ENTRADAS!C:C)</f>
        <v>150</v>
      </c>
      <c r="G1899" s="189" t="s">
        <v>94</v>
      </c>
      <c r="H1899" s="189" t="s">
        <v>2159</v>
      </c>
      <c r="I1899" s="189" t="s">
        <v>2089</v>
      </c>
      <c r="K1899" s="201"/>
    </row>
    <row r="1900" customFormat="false" ht="15" hidden="false" customHeight="false" outlineLevel="0" collapsed="false">
      <c r="A1900" s="197" t="s">
        <v>3212</v>
      </c>
      <c r="B1900" s="191"/>
      <c r="C1900" s="190" t="s">
        <v>3214</v>
      </c>
      <c r="D1900" s="191" t="n">
        <v>554896405461</v>
      </c>
      <c r="E1900" s="190" t="s">
        <v>3215</v>
      </c>
      <c r="F1900" s="192" t="n">
        <f aca="false">SUMIF(ENTRADAS!F:F,CLIENTES_PCBR[[#This Row],[TELEFONO]],ENTRADAS!C:C)</f>
        <v>120</v>
      </c>
      <c r="G1900" s="189" t="s">
        <v>94</v>
      </c>
      <c r="H1900" s="189" t="s">
        <v>2128</v>
      </c>
      <c r="I1900" s="189" t="s">
        <v>2129</v>
      </c>
      <c r="J1900" s="189" t="s">
        <v>35</v>
      </c>
      <c r="K1900" s="201"/>
    </row>
    <row r="1901" customFormat="false" ht="15" hidden="false" customHeight="false" outlineLevel="0" collapsed="false">
      <c r="A1901" s="197" t="s">
        <v>3216</v>
      </c>
      <c r="B1901" s="191"/>
      <c r="C1901" s="190" t="s">
        <v>3218</v>
      </c>
      <c r="D1901" s="191" t="n">
        <v>5511975322786</v>
      </c>
      <c r="E1901" s="190" t="s">
        <v>3219</v>
      </c>
      <c r="F1901" s="192" t="n">
        <f aca="false">SUMIF(ENTRADAS!F:F,CLIENTES_PCBR[[#This Row],[TELEFONO]],ENTRADAS!C:C)</f>
        <v>360</v>
      </c>
      <c r="G1901" s="189" t="s">
        <v>94</v>
      </c>
      <c r="H1901" s="189" t="s">
        <v>2135</v>
      </c>
      <c r="I1901" s="189" t="s">
        <v>2135</v>
      </c>
      <c r="K1901" s="201"/>
    </row>
    <row r="1902" customFormat="false" ht="15" hidden="false" customHeight="false" outlineLevel="0" collapsed="false">
      <c r="A1902" s="197" t="s">
        <v>3223</v>
      </c>
      <c r="B1902" s="191"/>
      <c r="C1902" s="190" t="s">
        <v>3225</v>
      </c>
      <c r="D1902" s="191" t="n">
        <v>5511914978143</v>
      </c>
      <c r="E1902" s="190" t="s">
        <v>3226</v>
      </c>
      <c r="F1902" s="192" t="n">
        <f aca="false">SUMIF(ENTRADAS!F:F,CLIENTES_PCBR[[#This Row],[TELEFONO]],ENTRADAS!C:C)</f>
        <v>147</v>
      </c>
      <c r="G1902" s="189" t="s">
        <v>94</v>
      </c>
      <c r="H1902" s="189" t="s">
        <v>2135</v>
      </c>
      <c r="I1902" s="189" t="s">
        <v>2135</v>
      </c>
      <c r="K1902" s="201"/>
    </row>
    <row r="1903" customFormat="false" ht="15" hidden="false" customHeight="false" outlineLevel="0" collapsed="false">
      <c r="A1903" s="197" t="s">
        <v>3227</v>
      </c>
      <c r="B1903" s="191"/>
      <c r="C1903" s="190" t="s">
        <v>3228</v>
      </c>
      <c r="D1903" s="191" t="n">
        <v>554196177288</v>
      </c>
      <c r="E1903" s="190" t="s">
        <v>3229</v>
      </c>
      <c r="F1903" s="192" t="n">
        <f aca="false">SUMIF(ENTRADAS!F:F,CLIENTES_PCBR[[#This Row],[TELEFONO]],ENTRADAS!C:C)</f>
        <v>1200</v>
      </c>
      <c r="G1903" s="189" t="s">
        <v>94</v>
      </c>
      <c r="H1903" s="189" t="s">
        <v>2159</v>
      </c>
      <c r="I1903" s="189" t="s">
        <v>2089</v>
      </c>
      <c r="K1903" s="201"/>
    </row>
    <row r="1904" customFormat="false" ht="15" hidden="false" customHeight="false" outlineLevel="0" collapsed="false">
      <c r="A1904" s="197" t="s">
        <v>3230</v>
      </c>
      <c r="B1904" s="191"/>
      <c r="C1904" s="190" t="s">
        <v>3231</v>
      </c>
      <c r="D1904" s="191" t="n">
        <v>555195167967</v>
      </c>
      <c r="E1904" s="190" t="s">
        <v>3232</v>
      </c>
      <c r="F1904" s="192" t="n">
        <f aca="false">SUMIF(ENTRADAS!F:F,CLIENTES_PCBR[[#This Row],[TELEFONO]],ENTRADAS!C:C)</f>
        <v>150</v>
      </c>
      <c r="G1904" s="189" t="s">
        <v>94</v>
      </c>
      <c r="H1904" s="189" t="s">
        <v>2107</v>
      </c>
      <c r="I1904" s="189" t="s">
        <v>2121</v>
      </c>
      <c r="K1904" s="201"/>
    </row>
    <row r="1905" customFormat="false" ht="15" hidden="false" customHeight="false" outlineLevel="0" collapsed="false">
      <c r="A1905" s="197" t="s">
        <v>3233</v>
      </c>
      <c r="B1905" s="191"/>
      <c r="C1905" s="190" t="s">
        <v>3234</v>
      </c>
      <c r="D1905" s="191" t="n">
        <v>5599984004588</v>
      </c>
      <c r="E1905" s="190" t="s">
        <v>3235</v>
      </c>
      <c r="F1905" s="192" t="n">
        <f aca="false">SUMIF(ENTRADAS!F:F,CLIENTES_PCBR[[#This Row],[TELEFONO]],ENTRADAS!C:C)</f>
        <v>197</v>
      </c>
      <c r="G1905" s="189" t="s">
        <v>94</v>
      </c>
      <c r="H1905" s="189" t="s">
        <v>2107</v>
      </c>
      <c r="I1905" s="189" t="s">
        <v>3236</v>
      </c>
      <c r="K1905" s="201"/>
    </row>
    <row r="1906" customFormat="false" ht="15" hidden="false" customHeight="false" outlineLevel="0" collapsed="false">
      <c r="A1906" s="197" t="s">
        <v>3237</v>
      </c>
      <c r="B1906" s="191"/>
      <c r="C1906" s="190" t="s">
        <v>3238</v>
      </c>
      <c r="D1906" s="191" t="n">
        <v>554396351109</v>
      </c>
      <c r="E1906" s="190" t="s">
        <v>3239</v>
      </c>
      <c r="F1906" s="192" t="n">
        <f aca="false">SUMIF(ENTRADAS!F:F,CLIENTES_PCBR[[#This Row],[TELEFONO]],ENTRADAS!C:C)</f>
        <v>400</v>
      </c>
      <c r="G1906" s="189" t="s">
        <v>94</v>
      </c>
      <c r="H1906" s="189" t="s">
        <v>2107</v>
      </c>
      <c r="I1906" s="189" t="s">
        <v>2089</v>
      </c>
      <c r="K1906" s="201"/>
    </row>
    <row r="1907" customFormat="false" ht="15" hidden="false" customHeight="false" outlineLevel="0" collapsed="false">
      <c r="A1907" s="197" t="s">
        <v>3243</v>
      </c>
      <c r="B1907" s="191"/>
      <c r="C1907" s="190" t="s">
        <v>3245</v>
      </c>
      <c r="D1907" s="191" t="n">
        <v>559584108420</v>
      </c>
      <c r="E1907" s="190" t="s">
        <v>3246</v>
      </c>
      <c r="F1907" s="192" t="n">
        <f aca="false">SUMIF(ENTRADAS!F:F,CLIENTES_PCBR[[#This Row],[TELEFONO]],ENTRADAS!C:C)</f>
        <v>194</v>
      </c>
      <c r="G1907" s="189" t="s">
        <v>94</v>
      </c>
      <c r="H1907" s="189" t="s">
        <v>2749</v>
      </c>
      <c r="I1907" s="189" t="s">
        <v>2320</v>
      </c>
      <c r="J1907" s="189" t="s">
        <v>35</v>
      </c>
      <c r="K1907" s="201"/>
    </row>
    <row r="1908" customFormat="false" ht="15" hidden="false" customHeight="false" outlineLevel="0" collapsed="false">
      <c r="A1908" s="197" t="s">
        <v>3247</v>
      </c>
      <c r="B1908" s="191"/>
      <c r="C1908" s="190" t="s">
        <v>3248</v>
      </c>
      <c r="D1908" s="191" t="n">
        <v>559591572378</v>
      </c>
      <c r="E1908" s="190" t="s">
        <v>3249</v>
      </c>
      <c r="F1908" s="192" t="n">
        <f aca="false">SUMIF(ENTRADAS!F:F,CLIENTES_PCBR[[#This Row],[TELEFONO]],ENTRADAS!C:C)</f>
        <v>120</v>
      </c>
      <c r="G1908" s="189" t="s">
        <v>94</v>
      </c>
      <c r="H1908" s="189" t="s">
        <v>2107</v>
      </c>
      <c r="I1908" s="189" t="s">
        <v>2135</v>
      </c>
      <c r="J1908" s="189" t="s">
        <v>35</v>
      </c>
      <c r="K1908" s="201"/>
    </row>
    <row r="1909" customFormat="false" ht="15" hidden="false" customHeight="false" outlineLevel="0" collapsed="false">
      <c r="A1909" s="197" t="s">
        <v>3250</v>
      </c>
      <c r="B1909" s="191"/>
      <c r="C1909" s="190" t="s">
        <v>3251</v>
      </c>
      <c r="D1909" s="191" t="n">
        <v>554733863796</v>
      </c>
      <c r="E1909" s="190" t="s">
        <v>3252</v>
      </c>
      <c r="F1909" s="192" t="n">
        <f aca="false">SUMIF(ENTRADAS!F:F,CLIENTES_PCBR[[#This Row],[TELEFONO]],ENTRADAS!C:C)</f>
        <v>240</v>
      </c>
      <c r="G1909" s="189" t="s">
        <v>94</v>
      </c>
      <c r="H1909" s="189" t="s">
        <v>2760</v>
      </c>
      <c r="I1909" s="189" t="s">
        <v>2121</v>
      </c>
      <c r="K1909" s="201"/>
    </row>
    <row r="1910" customFormat="false" ht="15" hidden="false" customHeight="false" outlineLevel="0" collapsed="false">
      <c r="A1910" s="197" t="s">
        <v>3253</v>
      </c>
      <c r="B1910" s="191"/>
      <c r="C1910" s="190" t="s">
        <v>3254</v>
      </c>
      <c r="D1910" s="191" t="n">
        <v>559584394421</v>
      </c>
      <c r="E1910" s="190" t="s">
        <v>3255</v>
      </c>
      <c r="F1910" s="192" t="n">
        <f aca="false">SUMIF(ENTRADAS!F:F,CLIENTES_PCBR[[#This Row],[TELEFONO]],ENTRADAS!C:C)</f>
        <v>294</v>
      </c>
      <c r="G1910" s="189" t="s">
        <v>94</v>
      </c>
      <c r="H1910" s="189" t="s">
        <v>2261</v>
      </c>
      <c r="I1910" s="189" t="s">
        <v>2129</v>
      </c>
      <c r="J1910" s="189" t="s">
        <v>35</v>
      </c>
      <c r="K1910" s="201"/>
    </row>
    <row r="1911" customFormat="false" ht="15" hidden="false" customHeight="false" outlineLevel="0" collapsed="false">
      <c r="A1911" s="197" t="s">
        <v>3260</v>
      </c>
      <c r="B1911" s="191"/>
      <c r="C1911" s="190" t="s">
        <v>3262</v>
      </c>
      <c r="D1911" s="191" t="n">
        <v>555191771677</v>
      </c>
      <c r="E1911" s="190" t="s">
        <v>3263</v>
      </c>
      <c r="F1911" s="192" t="n">
        <f aca="false">SUMIF(ENTRADAS!F:F,CLIENTES_PCBR[[#This Row],[TELEFONO]],ENTRADAS!C:C)</f>
        <v>120</v>
      </c>
      <c r="G1911" s="189" t="s">
        <v>94</v>
      </c>
      <c r="H1911" s="189" t="s">
        <v>2107</v>
      </c>
      <c r="I1911" s="189" t="s">
        <v>2121</v>
      </c>
      <c r="J1911" s="189" t="s">
        <v>35</v>
      </c>
      <c r="K1911" s="201"/>
    </row>
    <row r="1912" customFormat="false" ht="15" hidden="false" customHeight="false" outlineLevel="0" collapsed="false">
      <c r="A1912" s="197" t="s">
        <v>3265</v>
      </c>
      <c r="B1912" s="191"/>
      <c r="C1912" s="190" t="s">
        <v>3266</v>
      </c>
      <c r="D1912" s="191" t="n">
        <v>554896115041</v>
      </c>
      <c r="E1912" s="190" t="s">
        <v>3267</v>
      </c>
      <c r="F1912" s="192" t="n">
        <f aca="false">SUMIF(ENTRADAS!F:F,CLIENTES_PCBR[[#This Row],[TELEFONO]],ENTRADAS!C:C)</f>
        <v>150</v>
      </c>
      <c r="G1912" s="189" t="s">
        <v>94</v>
      </c>
      <c r="H1912" s="189" t="s">
        <v>2128</v>
      </c>
      <c r="I1912" s="189" t="s">
        <v>2129</v>
      </c>
      <c r="K1912" s="201"/>
    </row>
    <row r="1913" customFormat="false" ht="15" hidden="false" customHeight="false" outlineLevel="0" collapsed="false">
      <c r="A1913" s="197" t="s">
        <v>3268</v>
      </c>
      <c r="B1913" s="191"/>
      <c r="C1913" s="190" t="s">
        <v>3269</v>
      </c>
      <c r="D1913" s="191" t="n">
        <v>554896708679</v>
      </c>
      <c r="E1913" s="190" t="s">
        <v>3270</v>
      </c>
      <c r="F1913" s="192" t="n">
        <f aca="false">SUMIF(ENTRADAS!F:F,CLIENTES_PCBR[[#This Row],[TELEFONO]],ENTRADAS!C:C)</f>
        <v>300</v>
      </c>
      <c r="G1913" s="189" t="s">
        <v>94</v>
      </c>
      <c r="H1913" s="189" t="s">
        <v>3143</v>
      </c>
      <c r="I1913" s="189" t="s">
        <v>2129</v>
      </c>
      <c r="J1913" s="189" t="s">
        <v>35</v>
      </c>
      <c r="K1913" s="201"/>
    </row>
    <row r="1914" customFormat="false" ht="15" hidden="false" customHeight="false" outlineLevel="0" collapsed="false">
      <c r="A1914" s="197" t="s">
        <v>3271</v>
      </c>
      <c r="B1914" s="191"/>
      <c r="C1914" s="190" t="s">
        <v>3272</v>
      </c>
      <c r="D1914" s="191" t="n">
        <v>559684065516</v>
      </c>
      <c r="E1914" s="190" t="s">
        <v>3273</v>
      </c>
      <c r="F1914" s="192" t="n">
        <f aca="false">SUMIF(ENTRADAS!F:F,CLIENTES_PCBR[[#This Row],[TELEFONO]],ENTRADAS!C:C)</f>
        <v>394</v>
      </c>
      <c r="G1914" s="189" t="s">
        <v>94</v>
      </c>
      <c r="H1914" s="189" t="s">
        <v>2159</v>
      </c>
      <c r="I1914" s="189" t="s">
        <v>2089</v>
      </c>
      <c r="J1914" s="189" t="s">
        <v>35</v>
      </c>
      <c r="K1914" s="201"/>
    </row>
    <row r="1915" customFormat="false" ht="15" hidden="false" customHeight="false" outlineLevel="0" collapsed="false">
      <c r="A1915" s="197" t="s">
        <v>3274</v>
      </c>
      <c r="B1915" s="191"/>
      <c r="C1915" s="190" t="s">
        <v>3275</v>
      </c>
      <c r="D1915" s="191" t="n">
        <v>554197327053</v>
      </c>
      <c r="E1915" s="190" t="s">
        <v>3276</v>
      </c>
      <c r="F1915" s="192" t="n">
        <f aca="false">SUMIF(ENTRADAS!F:F,CLIENTES_PCBR[[#This Row],[TELEFONO]],ENTRADAS!C:C)</f>
        <v>150</v>
      </c>
      <c r="G1915" s="189" t="s">
        <v>94</v>
      </c>
      <c r="H1915" s="189" t="s">
        <v>2159</v>
      </c>
      <c r="I1915" s="189" t="s">
        <v>2089</v>
      </c>
      <c r="K1915" s="201"/>
    </row>
    <row r="1916" customFormat="false" ht="15" hidden="false" customHeight="false" outlineLevel="0" collapsed="false">
      <c r="A1916" s="197" t="s">
        <v>3277</v>
      </c>
      <c r="B1916" s="191"/>
      <c r="C1916" s="190" t="s">
        <v>3279</v>
      </c>
      <c r="D1916" s="191" t="n">
        <v>554374005439</v>
      </c>
      <c r="E1916" s="190" t="s">
        <v>43</v>
      </c>
      <c r="F1916" s="192" t="n">
        <f aca="false">SUMIF(ENTRADAS!F:F,CLIENTES_PCBR[[#This Row],[TELEFONO]],ENTRADAS!C:C)</f>
        <v>150</v>
      </c>
      <c r="G1916" s="189" t="s">
        <v>94</v>
      </c>
      <c r="H1916" s="189" t="s">
        <v>3280</v>
      </c>
      <c r="I1916" s="189" t="s">
        <v>2089</v>
      </c>
      <c r="J1916" s="189" t="s">
        <v>1176</v>
      </c>
      <c r="K1916" s="201"/>
    </row>
    <row r="1917" customFormat="false" ht="15" hidden="false" customHeight="false" outlineLevel="0" collapsed="false">
      <c r="A1917" s="197" t="s">
        <v>5568</v>
      </c>
      <c r="B1917" s="191"/>
      <c r="C1917" s="190" t="s">
        <v>3282</v>
      </c>
      <c r="D1917" s="191" t="n">
        <v>5517920006718</v>
      </c>
      <c r="E1917" s="190" t="s">
        <v>3283</v>
      </c>
      <c r="F1917" s="192" t="n">
        <f aca="false">SUMIF(ENTRADAS!F:F,CLIENTES_PCBR[[#This Row],[TELEFONO]],ENTRADAS!C:C)</f>
        <v>197</v>
      </c>
      <c r="G1917" s="189" t="s">
        <v>94</v>
      </c>
      <c r="H1917" s="189" t="s">
        <v>3284</v>
      </c>
      <c r="I1917" s="189" t="s">
        <v>2135</v>
      </c>
      <c r="J1917" s="189" t="s">
        <v>1176</v>
      </c>
      <c r="K1917" s="201"/>
    </row>
    <row r="1918" customFormat="false" ht="15" hidden="false" customHeight="false" outlineLevel="0" collapsed="false">
      <c r="A1918" s="197" t="s">
        <v>3285</v>
      </c>
      <c r="B1918" s="191"/>
      <c r="C1918" s="190" t="s">
        <v>3287</v>
      </c>
      <c r="D1918" s="191" t="n">
        <v>554299407537</v>
      </c>
      <c r="E1918" s="190" t="s">
        <v>3288</v>
      </c>
      <c r="F1918" s="192" t="n">
        <f aca="false">SUMIF(ENTRADAS!F:F,CLIENTES_PCBR[[#This Row],[TELEFONO]],ENTRADAS!C:C)</f>
        <v>800</v>
      </c>
      <c r="G1918" s="189" t="s">
        <v>94</v>
      </c>
      <c r="H1918" s="189" t="s">
        <v>2107</v>
      </c>
      <c r="I1918" s="189" t="s">
        <v>862</v>
      </c>
      <c r="K1918" s="201"/>
    </row>
    <row r="1919" customFormat="false" ht="15" hidden="false" customHeight="false" outlineLevel="0" collapsed="false">
      <c r="A1919" s="197" t="s">
        <v>3289</v>
      </c>
      <c r="B1919" s="191"/>
      <c r="C1919" s="190" t="s">
        <v>3291</v>
      </c>
      <c r="D1919" s="191" t="n">
        <v>554784251030</v>
      </c>
      <c r="E1919" s="190" t="s">
        <v>3292</v>
      </c>
      <c r="F1919" s="192" t="n">
        <f aca="false">SUMIF(ENTRADAS!F:F,CLIENTES_PCBR[[#This Row],[TELEFONO]],ENTRADAS!C:C)</f>
        <v>400</v>
      </c>
      <c r="G1919" s="189" t="s">
        <v>94</v>
      </c>
      <c r="H1919" s="189" t="s">
        <v>2107</v>
      </c>
      <c r="I1919" s="189" t="s">
        <v>862</v>
      </c>
      <c r="K1919" s="201"/>
    </row>
    <row r="1920" customFormat="false" ht="15" hidden="false" customHeight="false" outlineLevel="0" collapsed="false">
      <c r="A1920" s="197" t="s">
        <v>3293</v>
      </c>
      <c r="B1920" s="191"/>
      <c r="C1920" s="190" t="s">
        <v>3294</v>
      </c>
      <c r="D1920" s="191" t="n">
        <v>5511974300728</v>
      </c>
      <c r="E1920" s="190" t="s">
        <v>43</v>
      </c>
      <c r="F1920" s="192" t="n">
        <f aca="false">SUMIF(ENTRADAS!F:F,CLIENTES_PCBR[[#This Row],[TELEFONO]],ENTRADAS!C:C)</f>
        <v>120</v>
      </c>
      <c r="G1920" s="189" t="s">
        <v>94</v>
      </c>
      <c r="H1920" s="189" t="s">
        <v>2276</v>
      </c>
      <c r="I1920" s="189" t="s">
        <v>2135</v>
      </c>
      <c r="J1920" s="189" t="s">
        <v>1176</v>
      </c>
      <c r="K1920" s="201"/>
    </row>
    <row r="1921" customFormat="false" ht="15" hidden="false" customHeight="false" outlineLevel="0" collapsed="false">
      <c r="A1921" s="197" t="s">
        <v>5569</v>
      </c>
      <c r="B1921" s="191"/>
      <c r="C1921" s="190" t="s">
        <v>3296</v>
      </c>
      <c r="D1921" s="191" t="n">
        <v>554192524215</v>
      </c>
      <c r="E1921" s="190" t="s">
        <v>3297</v>
      </c>
      <c r="F1921" s="192" t="n">
        <f aca="false">SUMIF(ENTRADAS!F:F,CLIENTES_PCBR[[#This Row],[TELEFONO]],ENTRADAS!C:C)</f>
        <v>200</v>
      </c>
      <c r="G1921" s="189" t="s">
        <v>94</v>
      </c>
      <c r="H1921" s="189" t="s">
        <v>2159</v>
      </c>
      <c r="I1921" s="189" t="s">
        <v>2089</v>
      </c>
      <c r="K1921" s="201"/>
    </row>
    <row r="1922" customFormat="false" ht="15" hidden="false" customHeight="false" outlineLevel="0" collapsed="false">
      <c r="A1922" s="197" t="s">
        <v>5570</v>
      </c>
      <c r="B1922" s="191"/>
      <c r="C1922" s="190" t="s">
        <v>3296</v>
      </c>
      <c r="D1922" s="191" t="n">
        <v>554192524215</v>
      </c>
      <c r="E1922" s="190" t="s">
        <v>3297</v>
      </c>
      <c r="F1922" s="192" t="n">
        <f aca="false">SUMIF(ENTRADAS!F:F,CLIENTES_PCBR[[#This Row],[TELEFONO]],ENTRADAS!C:C)</f>
        <v>200</v>
      </c>
      <c r="G1922" s="189" t="s">
        <v>94</v>
      </c>
      <c r="H1922" s="189" t="s">
        <v>2159</v>
      </c>
      <c r="I1922" s="189" t="s">
        <v>2089</v>
      </c>
      <c r="K1922" s="201"/>
    </row>
    <row r="1923" customFormat="false" ht="15" hidden="false" customHeight="false" outlineLevel="0" collapsed="false">
      <c r="A1923" s="197" t="s">
        <v>3299</v>
      </c>
      <c r="B1923" s="191"/>
      <c r="C1923" s="190" t="s">
        <v>3301</v>
      </c>
      <c r="D1923" s="191" t="n">
        <v>558398148019</v>
      </c>
      <c r="E1923" s="190" t="s">
        <v>3302</v>
      </c>
      <c r="F1923" s="192" t="n">
        <f aca="false">SUMIF(ENTRADAS!F:F,CLIENTES_PCBR[[#This Row],[TELEFONO]],ENTRADAS!C:C)</f>
        <v>150</v>
      </c>
      <c r="G1923" s="189" t="s">
        <v>94</v>
      </c>
      <c r="H1923" s="189" t="s">
        <v>2107</v>
      </c>
      <c r="I1923" s="189" t="s">
        <v>862</v>
      </c>
      <c r="K1923" s="201"/>
    </row>
    <row r="1924" customFormat="false" ht="15" hidden="false" customHeight="false" outlineLevel="0" collapsed="false">
      <c r="A1924" s="197" t="s">
        <v>5571</v>
      </c>
      <c r="B1924" s="191"/>
      <c r="C1924" s="190" t="s">
        <v>3305</v>
      </c>
      <c r="D1924" s="191" t="n">
        <v>559584037292</v>
      </c>
      <c r="E1924" s="190" t="s">
        <v>3306</v>
      </c>
      <c r="F1924" s="192" t="n">
        <f aca="false">SUMIF(ENTRADAS!F:F,CLIENTES_PCBR[[#This Row],[TELEFONO]],ENTRADAS!C:C)</f>
        <v>437</v>
      </c>
      <c r="G1924" s="189" t="s">
        <v>94</v>
      </c>
      <c r="H1924" s="189" t="s">
        <v>2107</v>
      </c>
      <c r="I1924" s="189" t="s">
        <v>2135</v>
      </c>
      <c r="J1924" s="189" t="s">
        <v>97</v>
      </c>
      <c r="K1924" s="201"/>
    </row>
    <row r="1925" customFormat="false" ht="15" hidden="false" customHeight="false" outlineLevel="0" collapsed="false">
      <c r="A1925" s="197" t="s">
        <v>3307</v>
      </c>
      <c r="B1925" s="191"/>
      <c r="C1925" s="190" t="s">
        <v>3308</v>
      </c>
      <c r="D1925" s="191" t="n">
        <v>559584133906</v>
      </c>
      <c r="E1925" s="190" t="s">
        <v>3309</v>
      </c>
      <c r="F1925" s="192" t="n">
        <f aca="false">SUMIF(ENTRADAS!F:F,CLIENTES_PCBR[[#This Row],[TELEFONO]],ENTRADAS!C:C)</f>
        <v>150</v>
      </c>
      <c r="G1925" s="189" t="s">
        <v>94</v>
      </c>
      <c r="H1925" s="189" t="s">
        <v>2107</v>
      </c>
      <c r="I1925" s="189" t="s">
        <v>862</v>
      </c>
      <c r="K1925" s="201"/>
    </row>
    <row r="1926" customFormat="false" ht="15" hidden="false" customHeight="false" outlineLevel="0" collapsed="false">
      <c r="A1926" s="197" t="s">
        <v>3310</v>
      </c>
      <c r="B1926" s="191"/>
      <c r="C1926" s="190" t="s">
        <v>3312</v>
      </c>
      <c r="D1926" s="191" t="n">
        <v>559584381108</v>
      </c>
      <c r="E1926" s="190" t="s">
        <v>3313</v>
      </c>
      <c r="F1926" s="192" t="n">
        <f aca="false">SUMIF(ENTRADAS!F:F,CLIENTES_PCBR[[#This Row],[TELEFONO]],ENTRADAS!C:C)</f>
        <v>200</v>
      </c>
      <c r="G1926" s="189" t="s">
        <v>94</v>
      </c>
      <c r="H1926" s="189" t="s">
        <v>2288</v>
      </c>
      <c r="I1926" s="189" t="s">
        <v>2129</v>
      </c>
      <c r="J1926" s="189" t="s">
        <v>1176</v>
      </c>
      <c r="K1926" s="201"/>
    </row>
    <row r="1927" customFormat="false" ht="15" hidden="false" customHeight="false" outlineLevel="0" collapsed="false">
      <c r="A1927" s="197" t="s">
        <v>3314</v>
      </c>
      <c r="B1927" s="191"/>
      <c r="C1927" s="190" t="s">
        <v>3315</v>
      </c>
      <c r="D1927" s="191" t="n">
        <v>554196698636</v>
      </c>
      <c r="E1927" s="190" t="s">
        <v>3316</v>
      </c>
      <c r="F1927" s="192" t="n">
        <f aca="false">SUMIF(ENTRADAS!F:F,CLIENTES_PCBR[[#This Row],[TELEFONO]],ENTRADAS!C:C)</f>
        <v>394</v>
      </c>
      <c r="G1927" s="189" t="s">
        <v>94</v>
      </c>
      <c r="H1927" s="189" t="s">
        <v>2159</v>
      </c>
      <c r="I1927" s="189" t="s">
        <v>2089</v>
      </c>
      <c r="K1927" s="201"/>
    </row>
    <row r="1928" customFormat="false" ht="15" hidden="false" customHeight="false" outlineLevel="0" collapsed="false">
      <c r="A1928" s="197" t="s">
        <v>3317</v>
      </c>
      <c r="B1928" s="191"/>
      <c r="C1928" s="190" t="s">
        <v>3318</v>
      </c>
      <c r="D1928" s="191" t="n">
        <v>554796953769</v>
      </c>
      <c r="E1928" s="190" t="s">
        <v>3319</v>
      </c>
      <c r="F1928" s="192" t="n">
        <f aca="false">SUMIF(ENTRADAS!F:F,CLIENTES_PCBR[[#This Row],[TELEFONO]],ENTRADAS!C:C)</f>
        <v>150</v>
      </c>
      <c r="G1928" s="189" t="s">
        <v>1304</v>
      </c>
      <c r="H1928" s="189" t="s">
        <v>2128</v>
      </c>
      <c r="I1928" s="189" t="s">
        <v>2129</v>
      </c>
      <c r="K1928" s="201"/>
    </row>
    <row r="1929" customFormat="false" ht="15" hidden="false" customHeight="false" outlineLevel="0" collapsed="false">
      <c r="A1929" s="197" t="s">
        <v>3320</v>
      </c>
      <c r="B1929" s="191"/>
      <c r="C1929" s="190" t="s">
        <v>3321</v>
      </c>
      <c r="D1929" s="191" t="n">
        <v>555197095550</v>
      </c>
      <c r="E1929" s="190" t="s">
        <v>3322</v>
      </c>
      <c r="F1929" s="192" t="n">
        <f aca="false">SUMIF(ENTRADAS!F:F,CLIENTES_PCBR[[#This Row],[TELEFONO]],ENTRADAS!C:C)</f>
        <v>120</v>
      </c>
      <c r="G1929" s="189" t="s">
        <v>94</v>
      </c>
      <c r="H1929" s="189" t="s">
        <v>2107</v>
      </c>
      <c r="I1929" s="189" t="s">
        <v>2121</v>
      </c>
      <c r="K1929" s="201"/>
    </row>
    <row r="1930" customFormat="false" ht="15" hidden="false" customHeight="false" outlineLevel="0" collapsed="false">
      <c r="A1930" s="197" t="s">
        <v>3323</v>
      </c>
      <c r="B1930" s="191"/>
      <c r="C1930" s="190" t="s">
        <v>3324</v>
      </c>
      <c r="D1930" s="191" t="n">
        <v>554991718851</v>
      </c>
      <c r="E1930" s="190" t="s">
        <v>3325</v>
      </c>
      <c r="F1930" s="192" t="n">
        <f aca="false">SUMIF(ENTRADAS!F:F,CLIENTES_PCBR[[#This Row],[TELEFONO]],ENTRADAS!C:C)</f>
        <v>600</v>
      </c>
      <c r="G1930" s="189" t="s">
        <v>94</v>
      </c>
      <c r="H1930" s="189" t="s">
        <v>2107</v>
      </c>
      <c r="I1930" s="189" t="s">
        <v>862</v>
      </c>
      <c r="J1930" s="189" t="s">
        <v>908</v>
      </c>
      <c r="K1930" s="201"/>
    </row>
    <row r="1931" customFormat="false" ht="15" hidden="false" customHeight="false" outlineLevel="0" collapsed="false">
      <c r="A1931" s="197" t="s">
        <v>3326</v>
      </c>
      <c r="B1931" s="191"/>
      <c r="C1931" s="190" t="s">
        <v>3327</v>
      </c>
      <c r="D1931" s="191" t="n">
        <v>559584202265</v>
      </c>
      <c r="E1931" s="190" t="s">
        <v>3328</v>
      </c>
      <c r="F1931" s="192" t="n">
        <f aca="false">SUMIF(ENTRADAS!F:F,CLIENTES_PCBR[[#This Row],[TELEFONO]],ENTRADAS!C:C)</f>
        <v>-1</v>
      </c>
      <c r="G1931" s="189" t="s">
        <v>94</v>
      </c>
      <c r="H1931" s="189" t="s">
        <v>2159</v>
      </c>
      <c r="I1931" s="189" t="s">
        <v>2089</v>
      </c>
      <c r="K1931" s="201"/>
    </row>
    <row r="1932" customFormat="false" ht="15" hidden="false" customHeight="false" outlineLevel="0" collapsed="false">
      <c r="A1932" s="197" t="s">
        <v>3329</v>
      </c>
      <c r="B1932" s="191"/>
      <c r="C1932" s="190" t="s">
        <v>3330</v>
      </c>
      <c r="D1932" s="191" t="n">
        <v>559591384506</v>
      </c>
      <c r="E1932" s="190" t="s">
        <v>3331</v>
      </c>
      <c r="F1932" s="192" t="n">
        <f aca="false">SUMIF(ENTRADAS!F:F,CLIENTES_PCBR[[#This Row],[TELEFONO]],ENTRADAS!C:C)</f>
        <v>1250</v>
      </c>
      <c r="G1932" s="189" t="s">
        <v>94</v>
      </c>
      <c r="H1932" s="189" t="s">
        <v>2867</v>
      </c>
      <c r="I1932" s="189" t="s">
        <v>2129</v>
      </c>
      <c r="K1932" s="201"/>
    </row>
    <row r="1933" customFormat="false" ht="15" hidden="false" customHeight="false" outlineLevel="0" collapsed="false">
      <c r="A1933" s="197" t="s">
        <v>3332</v>
      </c>
      <c r="B1933" s="191"/>
      <c r="C1933" s="190" t="s">
        <v>3330</v>
      </c>
      <c r="D1933" s="191" t="n">
        <v>559591384506</v>
      </c>
      <c r="E1933" s="190" t="s">
        <v>3331</v>
      </c>
      <c r="F1933" s="192" t="n">
        <f aca="false">SUMIF(ENTRADAS!F:F,CLIENTES_PCBR[[#This Row],[TELEFONO]],ENTRADAS!C:C)</f>
        <v>1250</v>
      </c>
      <c r="G1933" s="189" t="s">
        <v>94</v>
      </c>
      <c r="H1933" s="189" t="s">
        <v>2867</v>
      </c>
      <c r="I1933" s="189" t="s">
        <v>2129</v>
      </c>
      <c r="K1933" s="201"/>
    </row>
    <row r="1934" customFormat="false" ht="15" hidden="false" customHeight="false" outlineLevel="0" collapsed="false">
      <c r="A1934" s="197" t="s">
        <v>3333</v>
      </c>
      <c r="B1934" s="191"/>
      <c r="C1934" s="190" t="s">
        <v>3335</v>
      </c>
      <c r="D1934" s="191" t="n">
        <v>554796725733</v>
      </c>
      <c r="E1934" s="190" t="s">
        <v>3336</v>
      </c>
      <c r="F1934" s="192" t="n">
        <f aca="false">SUMIF(ENTRADAS!F:F,CLIENTES_PCBR[[#This Row],[TELEFONO]],ENTRADAS!C:C)</f>
        <v>244</v>
      </c>
      <c r="G1934" s="189" t="s">
        <v>94</v>
      </c>
      <c r="H1934" s="189" t="s">
        <v>2288</v>
      </c>
      <c r="I1934" s="189" t="s">
        <v>2129</v>
      </c>
      <c r="K1934" s="201"/>
    </row>
    <row r="1935" customFormat="false" ht="15" hidden="false" customHeight="false" outlineLevel="0" collapsed="false">
      <c r="A1935" s="197" t="s">
        <v>3337</v>
      </c>
      <c r="B1935" s="191"/>
      <c r="C1935" s="190" t="s">
        <v>3335</v>
      </c>
      <c r="D1935" s="191" t="n">
        <v>554796725733</v>
      </c>
      <c r="E1935" s="190" t="s">
        <v>3336</v>
      </c>
      <c r="F1935" s="192" t="n">
        <f aca="false">SUMIF(ENTRADAS!F:F,CLIENTES_PCBR[[#This Row],[TELEFONO]],ENTRADAS!C:C)</f>
        <v>244</v>
      </c>
      <c r="G1935" s="189" t="s">
        <v>94</v>
      </c>
      <c r="H1935" s="189" t="s">
        <v>2288</v>
      </c>
      <c r="I1935" s="189" t="s">
        <v>2129</v>
      </c>
      <c r="K1935" s="201"/>
    </row>
    <row r="1936" customFormat="false" ht="15" hidden="false" customHeight="false" outlineLevel="0" collapsed="false">
      <c r="A1936" s="197" t="s">
        <v>3338</v>
      </c>
      <c r="B1936" s="191"/>
      <c r="C1936" s="190" t="s">
        <v>3339</v>
      </c>
      <c r="D1936" s="191" t="n">
        <v>559599773288</v>
      </c>
      <c r="E1936" s="190" t="s">
        <v>329</v>
      </c>
      <c r="F1936" s="192" t="n">
        <f aca="false">SUMIF(ENTRADAS!F:F,CLIENTES_PCBR[[#This Row],[TELEFONO]],ENTRADAS!C:C)</f>
        <v>3240</v>
      </c>
      <c r="G1936" s="189" t="s">
        <v>94</v>
      </c>
      <c r="H1936" s="189" t="s">
        <v>2159</v>
      </c>
      <c r="I1936" s="189" t="s">
        <v>2089</v>
      </c>
      <c r="K1936" s="201"/>
    </row>
    <row r="1937" customFormat="false" ht="15" hidden="false" customHeight="false" outlineLevel="0" collapsed="false">
      <c r="A1937" s="197" t="s">
        <v>5572</v>
      </c>
      <c r="B1937" s="191"/>
      <c r="C1937" s="190" t="s">
        <v>3342</v>
      </c>
      <c r="D1937" s="191" t="n">
        <v>59172330170</v>
      </c>
      <c r="E1937" s="190" t="s">
        <v>3343</v>
      </c>
      <c r="F1937" s="192" t="n">
        <f aca="false">SUMIF(ENTRADAS!F:F,CLIENTES_PCBR[[#This Row],[TELEFONO]],ENTRADAS!C:C)</f>
        <v>147</v>
      </c>
      <c r="G1937" s="189" t="s">
        <v>94</v>
      </c>
      <c r="H1937" s="189" t="s">
        <v>2159</v>
      </c>
      <c r="I1937" s="189" t="s">
        <v>2089</v>
      </c>
      <c r="K1937" s="201"/>
    </row>
    <row r="1938" customFormat="false" ht="15" hidden="false" customHeight="false" outlineLevel="0" collapsed="false">
      <c r="A1938" s="197" t="s">
        <v>5573</v>
      </c>
      <c r="B1938" s="191"/>
      <c r="C1938" s="190" t="s">
        <v>3345</v>
      </c>
      <c r="D1938" s="191" t="n">
        <v>5511925345059</v>
      </c>
      <c r="E1938" s="190" t="s">
        <v>3346</v>
      </c>
      <c r="F1938" s="192" t="n">
        <f aca="false">SUMIF(ENTRADAS!F:F,CLIENTES_PCBR[[#This Row],[TELEFONO]],ENTRADAS!C:C)</f>
        <v>950</v>
      </c>
      <c r="G1938" s="189" t="s">
        <v>94</v>
      </c>
      <c r="H1938" s="189" t="s">
        <v>2276</v>
      </c>
      <c r="I1938" s="189" t="s">
        <v>2135</v>
      </c>
      <c r="K1938" s="201"/>
    </row>
    <row r="1939" customFormat="false" ht="15" hidden="false" customHeight="false" outlineLevel="0" collapsed="false">
      <c r="A1939" s="197" t="s">
        <v>3347</v>
      </c>
      <c r="B1939" s="191"/>
      <c r="C1939" s="190" t="s">
        <v>3348</v>
      </c>
      <c r="D1939" s="191" t="n">
        <v>5519981160412</v>
      </c>
      <c r="E1939" s="190" t="s">
        <v>3349</v>
      </c>
      <c r="F1939" s="192" t="n">
        <f aca="false">SUMIF(ENTRADAS!F:F,CLIENTES_PCBR[[#This Row],[TELEFONO]],ENTRADAS!C:C)</f>
        <v>150</v>
      </c>
      <c r="G1939" s="189" t="s">
        <v>94</v>
      </c>
      <c r="H1939" s="189" t="s">
        <v>2107</v>
      </c>
      <c r="I1939" s="189" t="s">
        <v>2135</v>
      </c>
      <c r="K1939" s="201"/>
    </row>
    <row r="1940" customFormat="false" ht="15" hidden="false" customHeight="false" outlineLevel="0" collapsed="false">
      <c r="A1940" s="197" t="s">
        <v>3350</v>
      </c>
      <c r="B1940" s="191"/>
      <c r="C1940" s="190" t="s">
        <v>2462</v>
      </c>
      <c r="D1940" s="191" t="n">
        <v>556599813011</v>
      </c>
      <c r="E1940" s="190" t="s">
        <v>2463</v>
      </c>
      <c r="F1940" s="192" t="n">
        <f aca="false">SUMIF(ENTRADAS!F:F,CLIENTES_PCBR[[#This Row],[TELEFONO]],ENTRADAS!C:C)</f>
        <v>300</v>
      </c>
      <c r="G1940" s="189" t="s">
        <v>94</v>
      </c>
      <c r="H1940" s="189" t="s">
        <v>2107</v>
      </c>
      <c r="I1940" s="189" t="s">
        <v>2320</v>
      </c>
      <c r="K1940" s="201"/>
    </row>
    <row r="1941" customFormat="false" ht="15" hidden="false" customHeight="false" outlineLevel="0" collapsed="false">
      <c r="A1941" s="197" t="s">
        <v>3351</v>
      </c>
      <c r="B1941" s="191"/>
      <c r="C1941" s="190" t="s">
        <v>3352</v>
      </c>
      <c r="D1941" s="191" t="n">
        <v>554196250915</v>
      </c>
      <c r="E1941" s="190" t="s">
        <v>43</v>
      </c>
      <c r="F1941" s="192" t="n">
        <f aca="false">SUMIF(ENTRADAS!F:F,CLIENTES_PCBR[[#This Row],[TELEFONO]],ENTRADAS!C:C)</f>
        <v>150</v>
      </c>
      <c r="G1941" s="189" t="s">
        <v>94</v>
      </c>
      <c r="H1941" s="189" t="s">
        <v>2088</v>
      </c>
      <c r="I1941" s="189" t="s">
        <v>2089</v>
      </c>
      <c r="K1941" s="201"/>
    </row>
    <row r="1942" customFormat="false" ht="15" hidden="false" customHeight="false" outlineLevel="0" collapsed="false">
      <c r="A1942" s="197" t="s">
        <v>3353</v>
      </c>
      <c r="B1942" s="191"/>
      <c r="C1942" s="190" t="s">
        <v>3354</v>
      </c>
      <c r="D1942" s="191" t="n">
        <v>554899027196</v>
      </c>
      <c r="E1942" s="190" t="s">
        <v>3355</v>
      </c>
      <c r="F1942" s="192" t="n">
        <f aca="false">SUMIF(ENTRADAS!F:F,CLIENTES_PCBR[[#This Row],[TELEFONO]],ENTRADAS!C:C)</f>
        <v>110</v>
      </c>
      <c r="G1942" s="189" t="s">
        <v>94</v>
      </c>
      <c r="H1942" s="189" t="s">
        <v>2261</v>
      </c>
      <c r="I1942" s="189" t="s">
        <v>2129</v>
      </c>
      <c r="K1942" s="201"/>
    </row>
    <row r="1943" customFormat="false" ht="15" hidden="false" customHeight="false" outlineLevel="0" collapsed="false">
      <c r="A1943" s="197" t="s">
        <v>3356</v>
      </c>
      <c r="B1943" s="191"/>
      <c r="C1943" s="190" t="s">
        <v>2870</v>
      </c>
      <c r="D1943" s="191" t="n">
        <v>554792542707</v>
      </c>
      <c r="E1943" s="190" t="s">
        <v>2871</v>
      </c>
      <c r="F1943" s="192" t="n">
        <f aca="false">SUMIF(ENTRADAS!F:F,CLIENTES_PCBR[[#This Row],[TELEFONO]],ENTRADAS!C:C)</f>
        <v>146</v>
      </c>
      <c r="G1943" s="189" t="s">
        <v>94</v>
      </c>
      <c r="H1943" s="189" t="s">
        <v>2236</v>
      </c>
      <c r="I1943" s="189" t="s">
        <v>2129</v>
      </c>
      <c r="K1943" s="201"/>
    </row>
    <row r="1944" customFormat="false" ht="15" hidden="false" customHeight="false" outlineLevel="0" collapsed="false">
      <c r="A1944" s="197" t="s">
        <v>3357</v>
      </c>
      <c r="B1944" s="191"/>
      <c r="C1944" s="190" t="s">
        <v>3359</v>
      </c>
      <c r="D1944" s="191" t="n">
        <v>559285842268</v>
      </c>
      <c r="E1944" s="190" t="s">
        <v>3360</v>
      </c>
      <c r="F1944" s="192" t="n">
        <f aca="false">SUMIF(ENTRADAS!F:F,CLIENTES_PCBR[[#This Row],[TELEFONO]],ENTRADAS!C:C)</f>
        <v>120</v>
      </c>
      <c r="G1944" s="189" t="s">
        <v>94</v>
      </c>
      <c r="H1944" s="189" t="s">
        <v>3361</v>
      </c>
      <c r="I1944" s="189" t="s">
        <v>2428</v>
      </c>
      <c r="K1944" s="201"/>
    </row>
    <row r="1945" customFormat="false" ht="15" hidden="false" customHeight="false" outlineLevel="0" collapsed="false">
      <c r="A1945" s="197" t="s">
        <v>3362</v>
      </c>
      <c r="B1945" s="191"/>
      <c r="C1945" s="190" t="s">
        <v>495</v>
      </c>
      <c r="D1945" s="191" t="n">
        <v>553799589574</v>
      </c>
      <c r="E1945" s="190" t="s">
        <v>496</v>
      </c>
      <c r="F1945" s="192" t="n">
        <f aca="false">SUMIF(ENTRADAS!F:F,CLIENTES_PCBR[[#This Row],[TELEFONO]],ENTRADAS!C:C)</f>
        <v>1441</v>
      </c>
      <c r="G1945" s="189" t="s">
        <v>94</v>
      </c>
      <c r="H1945" s="189" t="s">
        <v>2763</v>
      </c>
      <c r="I1945" s="189" t="s">
        <v>2245</v>
      </c>
      <c r="K1945" s="201"/>
    </row>
    <row r="1946" customFormat="false" ht="15" hidden="false" customHeight="false" outlineLevel="0" collapsed="false">
      <c r="A1946" s="197" t="s">
        <v>3364</v>
      </c>
      <c r="B1946" s="191"/>
      <c r="C1946" s="190" t="s">
        <v>3365</v>
      </c>
      <c r="D1946" s="191" t="n">
        <v>555496939511</v>
      </c>
      <c r="E1946" s="190" t="s">
        <v>3366</v>
      </c>
      <c r="F1946" s="192" t="n">
        <f aca="false">SUMIF(ENTRADAS!F:F,CLIENTES_PCBR[[#This Row],[TELEFONO]],ENTRADAS!C:C)</f>
        <v>150</v>
      </c>
      <c r="G1946" s="189" t="s">
        <v>94</v>
      </c>
      <c r="H1946" s="189" t="s">
        <v>2107</v>
      </c>
      <c r="I1946" s="189" t="s">
        <v>862</v>
      </c>
      <c r="J1946" s="189" t="s">
        <v>1176</v>
      </c>
      <c r="K1946" s="201"/>
    </row>
    <row r="1947" customFormat="false" ht="15" hidden="false" customHeight="false" outlineLevel="0" collapsed="false">
      <c r="A1947" s="197" t="s">
        <v>3367</v>
      </c>
      <c r="B1947" s="191"/>
      <c r="C1947" s="190" t="s">
        <v>1184</v>
      </c>
      <c r="D1947" s="191" t="n">
        <v>554184014887</v>
      </c>
      <c r="E1947" s="190" t="s">
        <v>1185</v>
      </c>
      <c r="F1947" s="192" t="n">
        <f aca="false">SUMIF(ENTRADAS!F:F,CLIENTES_PCBR[[#This Row],[TELEFONO]],ENTRADAS!C:C)</f>
        <v>550</v>
      </c>
      <c r="G1947" s="189" t="s">
        <v>94</v>
      </c>
      <c r="H1947" s="189" t="s">
        <v>2159</v>
      </c>
      <c r="I1947" s="189" t="s">
        <v>2089</v>
      </c>
      <c r="K1947" s="201"/>
    </row>
    <row r="1948" customFormat="false" ht="15" hidden="false" customHeight="false" outlineLevel="0" collapsed="false">
      <c r="A1948" s="197" t="s">
        <v>3368</v>
      </c>
      <c r="B1948" s="191"/>
      <c r="C1948" s="190" t="s">
        <v>3369</v>
      </c>
      <c r="D1948" s="191" t="n">
        <v>554197344383</v>
      </c>
      <c r="E1948" s="190" t="s">
        <v>3370</v>
      </c>
      <c r="F1948" s="192" t="n">
        <f aca="false">SUMIF(ENTRADAS!F:F,CLIENTES_PCBR[[#This Row],[TELEFONO]],ENTRADAS!C:C)</f>
        <v>120</v>
      </c>
      <c r="G1948" s="189" t="s">
        <v>94</v>
      </c>
      <c r="H1948" s="189" t="s">
        <v>2088</v>
      </c>
      <c r="I1948" s="189" t="s">
        <v>2089</v>
      </c>
      <c r="K1948" s="201"/>
    </row>
    <row r="1949" customFormat="false" ht="15" hidden="false" customHeight="false" outlineLevel="0" collapsed="false">
      <c r="A1949" s="197" t="s">
        <v>3371</v>
      </c>
      <c r="B1949" s="191"/>
      <c r="C1949" s="190" t="s">
        <v>3373</v>
      </c>
      <c r="D1949" s="191" t="n">
        <v>559584408113</v>
      </c>
      <c r="E1949" s="190" t="s">
        <v>3374</v>
      </c>
      <c r="F1949" s="192" t="n">
        <f aca="false">SUMIF(ENTRADAS!F:F,CLIENTES_PCBR[[#This Row],[TELEFONO]],ENTRADAS!C:C)</f>
        <v>534</v>
      </c>
      <c r="G1949" s="189" t="s">
        <v>94</v>
      </c>
      <c r="H1949" s="189" t="s">
        <v>2128</v>
      </c>
      <c r="I1949" s="189" t="s">
        <v>2129</v>
      </c>
      <c r="J1949" s="189" t="s">
        <v>97</v>
      </c>
      <c r="K1949" s="201"/>
    </row>
    <row r="1950" customFormat="false" ht="15" hidden="false" customHeight="false" outlineLevel="0" collapsed="false">
      <c r="A1950" s="197" t="s">
        <v>3375</v>
      </c>
      <c r="B1950" s="191"/>
      <c r="C1950" s="190" t="s">
        <v>3373</v>
      </c>
      <c r="D1950" s="191" t="n">
        <v>559584408113</v>
      </c>
      <c r="E1950" s="190" t="s">
        <v>3374</v>
      </c>
      <c r="F1950" s="192" t="n">
        <f aca="false">SUMIF(ENTRADAS!F:F,CLIENTES_PCBR[[#This Row],[TELEFONO]],ENTRADAS!C:C)</f>
        <v>534</v>
      </c>
      <c r="G1950" s="189" t="s">
        <v>94</v>
      </c>
      <c r="H1950" s="189" t="s">
        <v>2128</v>
      </c>
      <c r="I1950" s="189" t="s">
        <v>2129</v>
      </c>
      <c r="K1950" s="201"/>
    </row>
    <row r="1951" customFormat="false" ht="15" hidden="false" customHeight="false" outlineLevel="0" collapsed="false">
      <c r="A1951" s="197" t="s">
        <v>3376</v>
      </c>
      <c r="B1951" s="191"/>
      <c r="C1951" s="190" t="s">
        <v>3377</v>
      </c>
      <c r="D1951" s="191" t="n">
        <v>559985281722</v>
      </c>
      <c r="E1951" s="190" t="s">
        <v>3378</v>
      </c>
      <c r="F1951" s="192" t="n">
        <f aca="false">SUMIF(ENTRADAS!F:F,CLIENTES_PCBR[[#This Row],[TELEFONO]],ENTRADAS!C:C)</f>
        <v>394</v>
      </c>
      <c r="G1951" s="189" t="s">
        <v>94</v>
      </c>
      <c r="H1951" s="189" t="s">
        <v>3379</v>
      </c>
      <c r="I1951" s="189" t="s">
        <v>3236</v>
      </c>
      <c r="K1951" s="201"/>
    </row>
    <row r="1952" customFormat="false" ht="15" hidden="false" customHeight="false" outlineLevel="0" collapsed="false">
      <c r="A1952" s="197" t="s">
        <v>3380</v>
      </c>
      <c r="B1952" s="191"/>
      <c r="C1952" s="190" t="s">
        <v>3382</v>
      </c>
      <c r="D1952" s="191" t="n">
        <v>5547997462797</v>
      </c>
      <c r="E1952" s="190" t="s">
        <v>3383</v>
      </c>
      <c r="F1952" s="192" t="n">
        <f aca="false">SUMIF(ENTRADAS!F:F,CLIENTES_PCBR[[#This Row],[TELEFONO]],ENTRADAS!C:C)</f>
        <v>150</v>
      </c>
      <c r="G1952" s="189" t="s">
        <v>94</v>
      </c>
      <c r="H1952" s="189" t="s">
        <v>3384</v>
      </c>
      <c r="I1952" s="189" t="s">
        <v>2129</v>
      </c>
      <c r="K1952" s="201"/>
    </row>
    <row r="1953" customFormat="false" ht="15" hidden="false" customHeight="false" outlineLevel="0" collapsed="false">
      <c r="A1953" s="197" t="s">
        <v>3385</v>
      </c>
      <c r="B1953" s="191"/>
      <c r="C1953" s="190" t="s">
        <v>3386</v>
      </c>
      <c r="D1953" s="191" t="n">
        <v>554796179219</v>
      </c>
      <c r="E1953" s="190" t="s">
        <v>3387</v>
      </c>
      <c r="F1953" s="192" t="n">
        <f aca="false">SUMIF(ENTRADAS!F:F,CLIENTES_PCBR[[#This Row],[TELEFONO]],ENTRADAS!C:C)</f>
        <v>147</v>
      </c>
      <c r="G1953" s="189" t="s">
        <v>94</v>
      </c>
      <c r="H1953" s="189" t="s">
        <v>2236</v>
      </c>
      <c r="I1953" s="189" t="s">
        <v>2129</v>
      </c>
      <c r="K1953" s="201"/>
    </row>
    <row r="1954" customFormat="false" ht="15" hidden="false" customHeight="false" outlineLevel="0" collapsed="false">
      <c r="A1954" s="197" t="s">
        <v>3388</v>
      </c>
      <c r="B1954" s="191"/>
      <c r="C1954" s="190" t="s">
        <v>3389</v>
      </c>
      <c r="D1954" s="191" t="n">
        <v>554184767483</v>
      </c>
      <c r="E1954" s="190" t="s">
        <v>43</v>
      </c>
      <c r="F1954" s="192" t="n">
        <f aca="false">SUMIF(ENTRADAS!F:F,CLIENTES_PCBR[[#This Row],[TELEFONO]],ENTRADAS!C:C)</f>
        <v>150</v>
      </c>
      <c r="G1954" s="189" t="s">
        <v>94</v>
      </c>
      <c r="H1954" s="189" t="s">
        <v>2107</v>
      </c>
      <c r="I1954" s="189" t="s">
        <v>862</v>
      </c>
      <c r="K1954" s="201"/>
    </row>
    <row r="1955" customFormat="false" ht="15" hidden="false" customHeight="false" outlineLevel="0" collapsed="false">
      <c r="A1955" s="197" t="s">
        <v>3390</v>
      </c>
      <c r="B1955" s="191"/>
      <c r="C1955" s="190" t="s">
        <v>3391</v>
      </c>
      <c r="D1955" s="191" t="n">
        <v>5511939074534</v>
      </c>
      <c r="E1955" s="190" t="s">
        <v>3392</v>
      </c>
      <c r="F1955" s="192" t="n">
        <f aca="false">SUMIF(ENTRADAS!F:F,CLIENTES_PCBR[[#This Row],[TELEFONO]],ENTRADAS!C:C)</f>
        <v>240</v>
      </c>
      <c r="G1955" s="189" t="s">
        <v>94</v>
      </c>
      <c r="H1955" s="189" t="s">
        <v>2135</v>
      </c>
      <c r="I1955" s="189" t="s">
        <v>2135</v>
      </c>
      <c r="J1955" s="189" t="s">
        <v>1176</v>
      </c>
      <c r="K1955" s="201"/>
    </row>
    <row r="1956" customFormat="false" ht="15" hidden="false" customHeight="false" outlineLevel="0" collapsed="false">
      <c r="A1956" s="197" t="s">
        <v>3393</v>
      </c>
      <c r="B1956" s="191"/>
      <c r="C1956" s="190" t="s">
        <v>3394</v>
      </c>
      <c r="D1956" s="191" t="n">
        <v>5511978322734</v>
      </c>
      <c r="E1956" s="190" t="s">
        <v>43</v>
      </c>
      <c r="F1956" s="192" t="n">
        <f aca="false">SUMIF(ENTRADAS!F:F,CLIENTES_PCBR[[#This Row],[TELEFONO]],ENTRADAS!C:C)</f>
        <v>120</v>
      </c>
      <c r="G1956" s="189" t="s">
        <v>94</v>
      </c>
      <c r="H1956" s="189" t="s">
        <v>2135</v>
      </c>
      <c r="I1956" s="189" t="s">
        <v>2135</v>
      </c>
      <c r="J1956" s="189" t="s">
        <v>35</v>
      </c>
      <c r="K1956" s="201"/>
    </row>
    <row r="1957" customFormat="false" ht="15" hidden="false" customHeight="false" outlineLevel="0" collapsed="false">
      <c r="A1957" s="197" t="s">
        <v>3395</v>
      </c>
      <c r="B1957" s="191"/>
      <c r="C1957" s="190" t="s">
        <v>1821</v>
      </c>
      <c r="D1957" s="191" t="n">
        <v>554888684882</v>
      </c>
      <c r="E1957" s="190" t="s">
        <v>1822</v>
      </c>
      <c r="F1957" s="192" t="n">
        <f aca="false">SUMIF(ENTRADAS!F:F,CLIENTES_PCBR[[#This Row],[TELEFONO]],ENTRADAS!C:C)</f>
        <v>750</v>
      </c>
      <c r="G1957" s="189" t="s">
        <v>94</v>
      </c>
      <c r="H1957" s="189" t="s">
        <v>2128</v>
      </c>
      <c r="I1957" s="189" t="s">
        <v>2129</v>
      </c>
      <c r="K1957" s="201"/>
    </row>
    <row r="1958" customFormat="false" ht="15" hidden="false" customHeight="false" outlineLevel="0" collapsed="false">
      <c r="A1958" s="197" t="s">
        <v>3396</v>
      </c>
      <c r="B1958" s="191"/>
      <c r="C1958" s="190" t="s">
        <v>3397</v>
      </c>
      <c r="D1958" s="191" t="n">
        <v>554888684882</v>
      </c>
      <c r="E1958" s="190" t="s">
        <v>1822</v>
      </c>
      <c r="F1958" s="192" t="n">
        <f aca="false">SUMIF(ENTRADAS!F:F,CLIENTES_PCBR[[#This Row],[TELEFONO]],ENTRADAS!C:C)</f>
        <v>750</v>
      </c>
      <c r="G1958" s="189" t="s">
        <v>94</v>
      </c>
      <c r="H1958" s="189" t="s">
        <v>2128</v>
      </c>
      <c r="I1958" s="189" t="s">
        <v>2129</v>
      </c>
      <c r="K1958" s="201"/>
    </row>
    <row r="1959" customFormat="false" ht="15" hidden="false" customHeight="false" outlineLevel="0" collapsed="false">
      <c r="A1959" s="197" t="s">
        <v>3399</v>
      </c>
      <c r="B1959" s="191"/>
      <c r="C1959" s="190" t="s">
        <v>3400</v>
      </c>
      <c r="D1959" s="191" t="n">
        <v>554198466712</v>
      </c>
      <c r="E1959" s="190" t="s">
        <v>3401</v>
      </c>
      <c r="F1959" s="192" t="n">
        <f aca="false">SUMIF(ENTRADAS!F:F,CLIENTES_PCBR[[#This Row],[TELEFONO]],ENTRADAS!C:C)</f>
        <v>120</v>
      </c>
      <c r="G1959" s="189" t="s">
        <v>94</v>
      </c>
      <c r="H1959" s="189" t="s">
        <v>2135</v>
      </c>
      <c r="I1959" s="189" t="s">
        <v>2135</v>
      </c>
      <c r="K1959" s="201"/>
    </row>
    <row r="1960" customFormat="false" ht="15" hidden="false" customHeight="false" outlineLevel="0" collapsed="false">
      <c r="A1960" s="197" t="s">
        <v>3402</v>
      </c>
      <c r="B1960" s="191"/>
      <c r="C1960" s="190" t="s">
        <v>3404</v>
      </c>
      <c r="D1960" s="191" t="n">
        <v>554195228608</v>
      </c>
      <c r="E1960" s="190" t="s">
        <v>33</v>
      </c>
      <c r="F1960" s="192" t="n">
        <f aca="false">SUMIF(ENTRADAS!F:F,CLIENTES_PCBR[[#This Row],[TELEFONO]],ENTRADAS!C:C)</f>
        <v>400</v>
      </c>
      <c r="G1960" s="189" t="s">
        <v>94</v>
      </c>
      <c r="H1960" s="189" t="s">
        <v>2159</v>
      </c>
      <c r="I1960" s="189" t="s">
        <v>2089</v>
      </c>
      <c r="K1960" s="201"/>
    </row>
    <row r="1961" customFormat="false" ht="15" hidden="false" customHeight="false" outlineLevel="0" collapsed="false">
      <c r="A1961" s="197" t="s">
        <v>3405</v>
      </c>
      <c r="B1961" s="191"/>
      <c r="C1961" s="190" t="s">
        <v>3407</v>
      </c>
      <c r="D1961" s="191" t="n">
        <v>554796694284</v>
      </c>
      <c r="E1961" s="190" t="s">
        <v>3408</v>
      </c>
      <c r="F1961" s="192" t="n">
        <f aca="false">SUMIF(ENTRADAS!F:F,CLIENTES_PCBR[[#This Row],[TELEFONO]],ENTRADAS!C:C)</f>
        <v>800</v>
      </c>
      <c r="G1961" s="189" t="s">
        <v>94</v>
      </c>
      <c r="H1961" s="189" t="s">
        <v>2159</v>
      </c>
      <c r="I1961" s="189" t="s">
        <v>2089</v>
      </c>
      <c r="K1961" s="201"/>
    </row>
    <row r="1962" customFormat="false" ht="15" hidden="false" customHeight="false" outlineLevel="0" collapsed="false">
      <c r="A1962" s="197" t="s">
        <v>3409</v>
      </c>
      <c r="B1962" s="191"/>
      <c r="C1962" s="190" t="s">
        <v>130</v>
      </c>
      <c r="D1962" s="191" t="n">
        <v>5519998932978</v>
      </c>
      <c r="E1962" s="190" t="s">
        <v>131</v>
      </c>
      <c r="F1962" s="192" t="n">
        <f aca="false">SUMIF(ENTRADAS!F:F,CLIENTES_PCBR[[#This Row],[TELEFONO]],ENTRADAS!C:C)</f>
        <v>477</v>
      </c>
      <c r="G1962" s="189" t="s">
        <v>94</v>
      </c>
      <c r="H1962" s="189" t="s">
        <v>2276</v>
      </c>
      <c r="I1962" s="189" t="s">
        <v>2135</v>
      </c>
      <c r="K1962" s="201"/>
    </row>
    <row r="1963" customFormat="false" ht="15" hidden="false" customHeight="false" outlineLevel="0" collapsed="false">
      <c r="A1963" s="197" t="s">
        <v>3410</v>
      </c>
      <c r="B1963" s="191"/>
      <c r="C1963" s="190" t="s">
        <v>3412</v>
      </c>
      <c r="D1963" s="191" t="n">
        <v>554888759979</v>
      </c>
      <c r="E1963" s="190" t="s">
        <v>43</v>
      </c>
      <c r="F1963" s="192" t="n">
        <f aca="false">SUMIF(ENTRADAS!F:F,CLIENTES_PCBR[[#This Row],[TELEFONO]],ENTRADAS!C:C)</f>
        <v>150</v>
      </c>
      <c r="G1963" s="189" t="s">
        <v>94</v>
      </c>
      <c r="H1963" s="189" t="s">
        <v>2128</v>
      </c>
      <c r="I1963" s="189" t="s">
        <v>2129</v>
      </c>
      <c r="K1963" s="201"/>
    </row>
    <row r="1964" customFormat="false" ht="15" hidden="false" customHeight="false" outlineLevel="0" collapsed="false">
      <c r="A1964" s="197" t="s">
        <v>3413</v>
      </c>
      <c r="B1964" s="191"/>
      <c r="C1964" s="190" t="s">
        <v>3414</v>
      </c>
      <c r="D1964" s="191" t="n">
        <v>5511913367912</v>
      </c>
      <c r="E1964" s="190" t="s">
        <v>3415</v>
      </c>
      <c r="F1964" s="192" t="n">
        <f aca="false">SUMIF(ENTRADAS!F:F,CLIENTES_PCBR[[#This Row],[TELEFONO]],ENTRADAS!C:C)</f>
        <v>120</v>
      </c>
      <c r="G1964" s="189" t="s">
        <v>94</v>
      </c>
      <c r="H1964" s="189" t="s">
        <v>3416</v>
      </c>
      <c r="I1964" s="189" t="s">
        <v>3417</v>
      </c>
      <c r="J1964" s="189" t="s">
        <v>35</v>
      </c>
      <c r="K1964" s="201"/>
    </row>
    <row r="1965" customFormat="false" ht="15" hidden="false" customHeight="false" outlineLevel="0" collapsed="false">
      <c r="A1965" s="197" t="s">
        <v>3418</v>
      </c>
      <c r="B1965" s="191"/>
      <c r="C1965" s="190" t="s">
        <v>1774</v>
      </c>
      <c r="D1965" s="191" t="n">
        <v>5515997985942</v>
      </c>
      <c r="E1965" s="190" t="s">
        <v>3419</v>
      </c>
      <c r="F1965" s="192" t="n">
        <f aca="false">SUMIF(ENTRADAS!F:F,CLIENTES_PCBR[[#This Row],[TELEFONO]],ENTRADAS!C:C)</f>
        <v>357</v>
      </c>
      <c r="G1965" s="189" t="s">
        <v>94</v>
      </c>
      <c r="H1965" s="189" t="s">
        <v>2183</v>
      </c>
      <c r="I1965" s="189" t="s">
        <v>2135</v>
      </c>
      <c r="K1965" s="201"/>
    </row>
    <row r="1966" customFormat="false" ht="15" hidden="false" customHeight="false" outlineLevel="0" collapsed="false">
      <c r="A1966" s="197" t="s">
        <v>3420</v>
      </c>
      <c r="B1966" s="191"/>
      <c r="C1966" s="190" t="s">
        <v>175</v>
      </c>
      <c r="D1966" s="191" t="n">
        <v>5527999533616</v>
      </c>
      <c r="E1966" s="190" t="s">
        <v>3421</v>
      </c>
      <c r="F1966" s="192" t="n">
        <f aca="false">SUMIF(ENTRADAS!F:F,CLIENTES_PCBR[[#This Row],[TELEFONO]],ENTRADAS!C:C)</f>
        <v>1313</v>
      </c>
      <c r="G1966" s="189" t="s">
        <v>94</v>
      </c>
      <c r="H1966" s="189" t="s">
        <v>3422</v>
      </c>
      <c r="I1966" s="189" t="s">
        <v>3423</v>
      </c>
      <c r="K1966" s="201"/>
    </row>
    <row r="1967" customFormat="false" ht="15" hidden="false" customHeight="false" outlineLevel="0" collapsed="false">
      <c r="A1967" s="197" t="s">
        <v>3424</v>
      </c>
      <c r="B1967" s="191"/>
      <c r="C1967" s="190" t="s">
        <v>175</v>
      </c>
      <c r="D1967" s="191" t="n">
        <v>5527999533616</v>
      </c>
      <c r="E1967" s="190" t="s">
        <v>3421</v>
      </c>
      <c r="F1967" s="192" t="n">
        <f aca="false">SUMIF(ENTRADAS!F:F,CLIENTES_PCBR[[#This Row],[TELEFONO]],ENTRADAS!C:C)</f>
        <v>1313</v>
      </c>
      <c r="G1967" s="189" t="s">
        <v>94</v>
      </c>
      <c r="H1967" s="189" t="s">
        <v>3422</v>
      </c>
      <c r="I1967" s="189" t="s">
        <v>3423</v>
      </c>
      <c r="K1967" s="201"/>
    </row>
    <row r="1968" customFormat="false" ht="15" hidden="false" customHeight="false" outlineLevel="0" collapsed="false">
      <c r="A1968" s="197" t="s">
        <v>3425</v>
      </c>
      <c r="B1968" s="191"/>
      <c r="C1968" s="190" t="s">
        <v>3426</v>
      </c>
      <c r="D1968" s="191" t="n">
        <v>556281696528</v>
      </c>
      <c r="E1968" s="190" t="s">
        <v>3427</v>
      </c>
      <c r="F1968" s="192" t="n">
        <f aca="false">SUMIF(ENTRADAS!F:F,CLIENTES_PCBR[[#This Row],[TELEFONO]],ENTRADAS!C:C)</f>
        <v>240</v>
      </c>
      <c r="G1968" s="189" t="s">
        <v>94</v>
      </c>
      <c r="H1968" s="189" t="s">
        <v>2280</v>
      </c>
      <c r="I1968" s="189" t="s">
        <v>2281</v>
      </c>
      <c r="K1968" s="201"/>
    </row>
    <row r="1969" customFormat="false" ht="15" hidden="false" customHeight="false" outlineLevel="0" collapsed="false">
      <c r="A1969" s="197" t="s">
        <v>3428</v>
      </c>
      <c r="B1969" s="191"/>
      <c r="C1969" s="190" t="s">
        <v>3429</v>
      </c>
      <c r="D1969" s="191" t="n">
        <v>553497063853</v>
      </c>
      <c r="E1969" s="190" t="s">
        <v>3430</v>
      </c>
      <c r="F1969" s="192" t="n">
        <f aca="false">SUMIF(ENTRADAS!F:F,CLIENTES_PCBR[[#This Row],[TELEFONO]],ENTRADAS!C:C)</f>
        <v>197</v>
      </c>
      <c r="G1969" s="189" t="s">
        <v>94</v>
      </c>
      <c r="H1969" s="189" t="s">
        <v>3431</v>
      </c>
      <c r="I1969" s="189" t="s">
        <v>2245</v>
      </c>
      <c r="J1969" s="189" t="s">
        <v>1176</v>
      </c>
      <c r="K1969" s="201"/>
    </row>
    <row r="1970" customFormat="false" ht="15" hidden="false" customHeight="false" outlineLevel="0" collapsed="false">
      <c r="A1970" s="197" t="s">
        <v>3432</v>
      </c>
      <c r="B1970" s="191"/>
      <c r="C1970" s="190" t="s">
        <v>3434</v>
      </c>
      <c r="D1970" s="191" t="n">
        <v>554892190656</v>
      </c>
      <c r="E1970" s="190" t="s">
        <v>3435</v>
      </c>
      <c r="F1970" s="192" t="n">
        <f aca="false">SUMIF(ENTRADAS!F:F,CLIENTES_PCBR[[#This Row],[TELEFONO]],ENTRADAS!C:C)</f>
        <v>294</v>
      </c>
      <c r="G1970" s="189" t="s">
        <v>94</v>
      </c>
      <c r="H1970" s="189" t="s">
        <v>2128</v>
      </c>
      <c r="I1970" s="189" t="s">
        <v>2129</v>
      </c>
      <c r="K1970" s="201"/>
    </row>
    <row r="1971" customFormat="false" ht="15" hidden="false" customHeight="false" outlineLevel="0" collapsed="false">
      <c r="A1971" s="197" t="s">
        <v>3436</v>
      </c>
      <c r="B1971" s="191"/>
      <c r="C1971" s="190" t="s">
        <v>3437</v>
      </c>
      <c r="D1971" s="191" t="n">
        <v>559581263433</v>
      </c>
      <c r="E1971" s="190" t="s">
        <v>33</v>
      </c>
      <c r="F1971" s="192" t="n">
        <f aca="false">SUMIF(ENTRADAS!F:F,CLIENTES_PCBR[[#This Row],[TELEFONO]],ENTRADAS!C:C)</f>
        <v>547</v>
      </c>
      <c r="G1971" s="189" t="s">
        <v>94</v>
      </c>
      <c r="H1971" s="189" t="s">
        <v>2159</v>
      </c>
      <c r="I1971" s="189" t="s">
        <v>2089</v>
      </c>
      <c r="J1971" s="189" t="s">
        <v>35</v>
      </c>
      <c r="K1971" s="201"/>
    </row>
    <row r="1972" customFormat="false" ht="15" hidden="false" customHeight="false" outlineLevel="0" collapsed="false">
      <c r="A1972" s="197" t="s">
        <v>3438</v>
      </c>
      <c r="B1972" s="191"/>
      <c r="C1972" s="190" t="s">
        <v>3434</v>
      </c>
      <c r="D1972" s="191" t="n">
        <v>554892190656</v>
      </c>
      <c r="E1972" s="190" t="s">
        <v>3435</v>
      </c>
      <c r="F1972" s="192" t="n">
        <f aca="false">SUMIF(ENTRADAS!F:F,CLIENTES_PCBR[[#This Row],[TELEFONO]],ENTRADAS!C:C)</f>
        <v>294</v>
      </c>
      <c r="G1972" s="189" t="s">
        <v>94</v>
      </c>
      <c r="H1972" s="189" t="s">
        <v>2107</v>
      </c>
      <c r="I1972" s="189" t="s">
        <v>2129</v>
      </c>
      <c r="K1972" s="201"/>
    </row>
    <row r="1973" customFormat="false" ht="15" hidden="false" customHeight="false" outlineLevel="0" collapsed="false">
      <c r="A1973" s="197" t="s">
        <v>3439</v>
      </c>
      <c r="B1973" s="191"/>
      <c r="C1973" s="190" t="s">
        <v>3437</v>
      </c>
      <c r="D1973" s="191" t="n">
        <v>559581263433</v>
      </c>
      <c r="E1973" s="190" t="s">
        <v>33</v>
      </c>
      <c r="F1973" s="192" t="n">
        <f aca="false">SUMIF(ENTRADAS!F:F,CLIENTES_PCBR[[#This Row],[TELEFONO]],ENTRADAS!C:C)</f>
        <v>547</v>
      </c>
      <c r="G1973" s="189" t="s">
        <v>94</v>
      </c>
      <c r="H1973" s="189" t="s">
        <v>2159</v>
      </c>
      <c r="I1973" s="189" t="s">
        <v>2089</v>
      </c>
      <c r="K1973" s="201"/>
    </row>
    <row r="1974" customFormat="false" ht="15" hidden="false" customHeight="false" outlineLevel="0" collapsed="false">
      <c r="A1974" s="197" t="s">
        <v>3440</v>
      </c>
      <c r="B1974" s="191"/>
      <c r="C1974" s="190" t="s">
        <v>3442</v>
      </c>
      <c r="D1974" s="191" t="n">
        <v>554196371137</v>
      </c>
      <c r="E1974" s="190" t="s">
        <v>3443</v>
      </c>
      <c r="F1974" s="192" t="n">
        <f aca="false">SUMIF(ENTRADAS!F:F,CLIENTES_PCBR[[#This Row],[TELEFONO]],ENTRADAS!C:C)</f>
        <v>120</v>
      </c>
      <c r="G1974" s="189" t="s">
        <v>94</v>
      </c>
      <c r="H1974" s="189" t="s">
        <v>2159</v>
      </c>
      <c r="I1974" s="189" t="s">
        <v>2089</v>
      </c>
      <c r="J1974" s="189" t="s">
        <v>97</v>
      </c>
      <c r="K1974" s="201"/>
    </row>
    <row r="1975" customFormat="false" ht="15" hidden="false" customHeight="false" outlineLevel="0" collapsed="false">
      <c r="A1975" s="197" t="s">
        <v>3444</v>
      </c>
      <c r="B1975" s="191"/>
      <c r="C1975" s="190" t="s">
        <v>2873</v>
      </c>
      <c r="D1975" s="191" t="n">
        <v>559584379233</v>
      </c>
      <c r="E1975" s="190" t="s">
        <v>2874</v>
      </c>
      <c r="F1975" s="192" t="n">
        <f aca="false">SUMIF(ENTRADAS!F:F,CLIENTES_PCBR[[#This Row],[TELEFONO]],ENTRADAS!C:C)</f>
        <v>694</v>
      </c>
      <c r="G1975" s="189" t="s">
        <v>94</v>
      </c>
      <c r="H1975" s="189" t="s">
        <v>2107</v>
      </c>
      <c r="I1975" s="189" t="s">
        <v>3417</v>
      </c>
      <c r="K1975" s="201"/>
    </row>
    <row r="1976" customFormat="false" ht="15" hidden="false" customHeight="false" outlineLevel="0" collapsed="false">
      <c r="A1976" s="197" t="s">
        <v>3445</v>
      </c>
      <c r="B1976" s="191"/>
      <c r="C1976" s="190" t="s">
        <v>2294</v>
      </c>
      <c r="D1976" s="191" t="n">
        <v>554197159485</v>
      </c>
      <c r="E1976" s="190" t="s">
        <v>2295</v>
      </c>
      <c r="F1976" s="192" t="n">
        <f aca="false">SUMIF(ENTRADAS!F:F,CLIENTES_PCBR[[#This Row],[TELEFONO]],ENTRADAS!C:C)</f>
        <v>267</v>
      </c>
      <c r="G1976" s="189" t="s">
        <v>94</v>
      </c>
      <c r="H1976" s="189" t="s">
        <v>2159</v>
      </c>
      <c r="I1976" s="189" t="s">
        <v>2089</v>
      </c>
      <c r="K1976" s="201"/>
    </row>
    <row r="1977" customFormat="false" ht="15" hidden="false" customHeight="false" outlineLevel="0" collapsed="false">
      <c r="A1977" s="197" t="s">
        <v>3446</v>
      </c>
      <c r="B1977" s="191"/>
      <c r="C1977" s="190" t="s">
        <v>3447</v>
      </c>
      <c r="D1977" s="191" t="n">
        <v>554791177858</v>
      </c>
      <c r="E1977" s="190" t="s">
        <v>1865</v>
      </c>
      <c r="F1977" s="192" t="n">
        <f aca="false">SUMIF(ENTRADAS!F:F,CLIENTES_PCBR[[#This Row],[TELEFONO]],ENTRADAS!C:C)</f>
        <v>294</v>
      </c>
      <c r="G1977" s="189" t="s">
        <v>94</v>
      </c>
      <c r="H1977" s="189" t="s">
        <v>2236</v>
      </c>
      <c r="I1977" s="189" t="s">
        <v>2129</v>
      </c>
      <c r="K1977" s="201"/>
    </row>
    <row r="1978" customFormat="false" ht="15" hidden="false" customHeight="false" outlineLevel="0" collapsed="false">
      <c r="A1978" s="197" t="s">
        <v>5574</v>
      </c>
      <c r="B1978" s="191"/>
      <c r="C1978" s="190" t="s">
        <v>3449</v>
      </c>
      <c r="D1978" s="191" t="n">
        <v>554799483157</v>
      </c>
      <c r="E1978" s="190" t="s">
        <v>3450</v>
      </c>
      <c r="F1978" s="192" t="n">
        <f aca="false">SUMIF(ENTRADAS!F:F,CLIENTES_PCBR[[#This Row],[TELEFONO]],ENTRADAS!C:C)</f>
        <v>150</v>
      </c>
      <c r="G1978" s="189" t="s">
        <v>94</v>
      </c>
      <c r="H1978" s="189" t="s">
        <v>2107</v>
      </c>
      <c r="I1978" s="189" t="s">
        <v>2129</v>
      </c>
      <c r="J1978" s="189" t="s">
        <v>1176</v>
      </c>
      <c r="K1978" s="201"/>
    </row>
    <row r="1979" customFormat="false" ht="15" hidden="false" customHeight="false" outlineLevel="0" collapsed="false">
      <c r="A1979" s="197" t="s">
        <v>3451</v>
      </c>
      <c r="B1979" s="191"/>
      <c r="C1979" s="190" t="s">
        <v>2641</v>
      </c>
      <c r="D1979" s="191" t="n">
        <v>5519988335383</v>
      </c>
      <c r="E1979" s="190" t="s">
        <v>2642</v>
      </c>
      <c r="F1979" s="192" t="n">
        <f aca="false">SUMIF(ENTRADAS!F:F,CLIENTES_PCBR[[#This Row],[TELEFONO]],ENTRADAS!C:C)</f>
        <v>240</v>
      </c>
      <c r="G1979" s="189" t="s">
        <v>94</v>
      </c>
      <c r="H1979" s="189" t="s">
        <v>2643</v>
      </c>
      <c r="I1979" s="189" t="s">
        <v>2135</v>
      </c>
      <c r="K1979" s="201"/>
    </row>
    <row r="1980" customFormat="false" ht="15" hidden="false" customHeight="false" outlineLevel="0" collapsed="false">
      <c r="A1980" s="197" t="s">
        <v>5575</v>
      </c>
      <c r="B1980" s="191"/>
      <c r="C1980" s="190" t="s">
        <v>3453</v>
      </c>
      <c r="D1980" s="191" t="n">
        <v>554891620095</v>
      </c>
      <c r="E1980" s="190" t="s">
        <v>3454</v>
      </c>
      <c r="F1980" s="192" t="n">
        <f aca="false">SUMIF(ENTRADAS!F:F,CLIENTES_PCBR[[#This Row],[TELEFONO]],ENTRADAS!C:C)</f>
        <v>294</v>
      </c>
      <c r="G1980" s="189" t="s">
        <v>94</v>
      </c>
      <c r="H1980" s="189" t="s">
        <v>2261</v>
      </c>
      <c r="I1980" s="189" t="s">
        <v>2129</v>
      </c>
      <c r="K1980" s="201"/>
    </row>
    <row r="1981" customFormat="false" ht="15" hidden="false" customHeight="false" outlineLevel="0" collapsed="false">
      <c r="A1981" s="197" t="s">
        <v>5576</v>
      </c>
      <c r="B1981" s="191"/>
      <c r="C1981" s="190" t="s">
        <v>3453</v>
      </c>
      <c r="D1981" s="191" t="n">
        <v>554891620095</v>
      </c>
      <c r="E1981" s="190" t="s">
        <v>3454</v>
      </c>
      <c r="F1981" s="192" t="n">
        <f aca="false">SUMIF(ENTRADAS!F:F,CLIENTES_PCBR[[#This Row],[TELEFONO]],ENTRADAS!C:C)</f>
        <v>294</v>
      </c>
      <c r="G1981" s="189" t="s">
        <v>94</v>
      </c>
      <c r="H1981" s="189" t="s">
        <v>2128</v>
      </c>
      <c r="I1981" s="189" t="s">
        <v>2129</v>
      </c>
      <c r="K1981" s="201"/>
    </row>
    <row r="1982" customFormat="false" ht="15" hidden="false" customHeight="false" outlineLevel="0" collapsed="false">
      <c r="A1982" s="197" t="s">
        <v>3455</v>
      </c>
      <c r="B1982" s="191"/>
      <c r="C1982" s="190" t="s">
        <v>3457</v>
      </c>
      <c r="D1982" s="191" t="n">
        <v>5511970838150</v>
      </c>
      <c r="E1982" s="190" t="s">
        <v>3458</v>
      </c>
      <c r="F1982" s="192" t="n">
        <f aca="false">SUMIF(ENTRADAS!F:F,CLIENTES_PCBR[[#This Row],[TELEFONO]],ENTRADAS!C:C)</f>
        <v>240</v>
      </c>
      <c r="G1982" s="189" t="s">
        <v>94</v>
      </c>
      <c r="H1982" s="189" t="s">
        <v>3459</v>
      </c>
      <c r="I1982" s="189" t="s">
        <v>2135</v>
      </c>
      <c r="J1982" s="189" t="s">
        <v>1176</v>
      </c>
      <c r="K1982" s="201"/>
    </row>
    <row r="1983" customFormat="false" ht="15" hidden="false" customHeight="false" outlineLevel="0" collapsed="false">
      <c r="A1983" s="197" t="s">
        <v>3460</v>
      </c>
      <c r="B1983" s="191"/>
      <c r="C1983" s="190" t="s">
        <v>3462</v>
      </c>
      <c r="D1983" s="191" t="n">
        <v>554196044273</v>
      </c>
      <c r="E1983" s="190" t="s">
        <v>3463</v>
      </c>
      <c r="F1983" s="192" t="n">
        <f aca="false">SUMIF(ENTRADAS!F:F,CLIENTES_PCBR[[#This Row],[TELEFONO]],ENTRADAS!C:C)</f>
        <v>150</v>
      </c>
      <c r="G1983" s="189" t="s">
        <v>94</v>
      </c>
      <c r="H1983" s="189" t="s">
        <v>2107</v>
      </c>
      <c r="I1983" s="189" t="s">
        <v>862</v>
      </c>
      <c r="K1983" s="201"/>
    </row>
    <row r="1984" customFormat="false" ht="15" hidden="false" customHeight="false" outlineLevel="0" collapsed="false">
      <c r="A1984" s="197" t="s">
        <v>3464</v>
      </c>
      <c r="B1984" s="191"/>
      <c r="C1984" s="190" t="s">
        <v>3466</v>
      </c>
      <c r="D1984" s="191" t="n">
        <v>5511969750717</v>
      </c>
      <c r="E1984" s="190" t="s">
        <v>3467</v>
      </c>
      <c r="F1984" s="192" t="n">
        <f aca="false">SUMIF(ENTRADAS!F:F,CLIENTES_PCBR[[#This Row],[TELEFONO]],ENTRADAS!C:C)</f>
        <v>120</v>
      </c>
      <c r="G1984" s="189" t="s">
        <v>94</v>
      </c>
      <c r="H1984" s="189" t="s">
        <v>2107</v>
      </c>
      <c r="I1984" s="189" t="s">
        <v>2135</v>
      </c>
      <c r="J1984" s="189" t="s">
        <v>35</v>
      </c>
      <c r="K1984" s="201"/>
    </row>
    <row r="1985" customFormat="false" ht="15" hidden="false" customHeight="false" outlineLevel="0" collapsed="false">
      <c r="A1985" s="197" t="s">
        <v>5577</v>
      </c>
      <c r="B1985" s="191"/>
      <c r="C1985" s="190" t="s">
        <v>3470</v>
      </c>
      <c r="D1985" s="191" t="s">
        <v>5578</v>
      </c>
      <c r="E1985" s="190" t="s">
        <v>3471</v>
      </c>
      <c r="F1985" s="192" t="n">
        <f aca="false">SUMIF(ENTRADAS!F:F,CLIENTES_PCBR[[#This Row],[TELEFONO]],ENTRADAS!C:C)</f>
        <v>0</v>
      </c>
      <c r="G1985" s="189" t="s">
        <v>94</v>
      </c>
      <c r="H1985" s="189" t="s">
        <v>3472</v>
      </c>
      <c r="I1985" s="189" t="s">
        <v>2089</v>
      </c>
      <c r="K1985" s="201"/>
    </row>
    <row r="1986" customFormat="false" ht="15" hidden="false" customHeight="false" outlineLevel="0" collapsed="false">
      <c r="A1986" s="197" t="s">
        <v>5579</v>
      </c>
      <c r="B1986" s="191"/>
      <c r="C1986" s="190" t="s">
        <v>3474</v>
      </c>
      <c r="D1986" s="191" t="s">
        <v>5578</v>
      </c>
      <c r="E1986" s="190" t="s">
        <v>3471</v>
      </c>
      <c r="F1986" s="192" t="n">
        <f aca="false">SUMIF(ENTRADAS!F:F,CLIENTES_PCBR[[#This Row],[TELEFONO]],ENTRADAS!C:C)</f>
        <v>0</v>
      </c>
      <c r="G1986" s="189" t="s">
        <v>94</v>
      </c>
      <c r="H1986" s="189" t="s">
        <v>3472</v>
      </c>
      <c r="I1986" s="189" t="s">
        <v>2089</v>
      </c>
      <c r="J1986" s="189" t="s">
        <v>35</v>
      </c>
      <c r="K1986" s="201"/>
    </row>
    <row r="1987" customFormat="false" ht="15" hidden="false" customHeight="false" outlineLevel="0" collapsed="false">
      <c r="A1987" s="197" t="s">
        <v>3475</v>
      </c>
      <c r="B1987" s="191"/>
      <c r="C1987" s="190" t="s">
        <v>3477</v>
      </c>
      <c r="D1987" s="191" t="n">
        <v>59893876880</v>
      </c>
      <c r="E1987" s="190" t="s">
        <v>3478</v>
      </c>
      <c r="F1987" s="192" t="n">
        <f aca="false">SUMIF(ENTRADAS!F:F,CLIENTES_PCBR[[#This Row],[TELEFONO]],ENTRADAS!C:C)</f>
        <v>588</v>
      </c>
      <c r="G1987" s="189" t="s">
        <v>94</v>
      </c>
      <c r="H1987" s="189" t="s">
        <v>2760</v>
      </c>
      <c r="I1987" s="189" t="s">
        <v>2121</v>
      </c>
      <c r="K1987" s="201"/>
    </row>
    <row r="1988" customFormat="false" ht="15" hidden="false" customHeight="false" outlineLevel="0" collapsed="false">
      <c r="A1988" s="197" t="s">
        <v>3479</v>
      </c>
      <c r="B1988" s="191"/>
      <c r="C1988" s="190" t="s">
        <v>3477</v>
      </c>
      <c r="D1988" s="191" t="n">
        <v>59893876880</v>
      </c>
      <c r="E1988" s="190" t="s">
        <v>3478</v>
      </c>
      <c r="F1988" s="192" t="n">
        <f aca="false">SUMIF(ENTRADAS!F:F,CLIENTES_PCBR[[#This Row],[TELEFONO]],ENTRADAS!C:C)</f>
        <v>588</v>
      </c>
      <c r="G1988" s="189" t="s">
        <v>94</v>
      </c>
      <c r="H1988" s="189" t="s">
        <v>2760</v>
      </c>
      <c r="I1988" s="189" t="s">
        <v>2121</v>
      </c>
      <c r="K1988" s="201"/>
    </row>
    <row r="1989" customFormat="false" ht="15" hidden="false" customHeight="false" outlineLevel="0" collapsed="false">
      <c r="A1989" s="197" t="s">
        <v>3480</v>
      </c>
      <c r="B1989" s="191"/>
      <c r="C1989" s="190" t="s">
        <v>3481</v>
      </c>
      <c r="D1989" s="191" t="n">
        <v>557998794174</v>
      </c>
      <c r="E1989" s="190" t="s">
        <v>3482</v>
      </c>
      <c r="F1989" s="192" t="n">
        <f aca="false">SUMIF(ENTRADAS!F:F,CLIENTES_PCBR[[#This Row],[TELEFONO]],ENTRADAS!C:C)</f>
        <v>147</v>
      </c>
      <c r="G1989" s="189" t="s">
        <v>94</v>
      </c>
      <c r="H1989" s="189" t="s">
        <v>2107</v>
      </c>
      <c r="I1989" s="189" t="s">
        <v>862</v>
      </c>
      <c r="K1989" s="201"/>
    </row>
    <row r="1990" customFormat="false" ht="15" hidden="false" customHeight="false" outlineLevel="0" collapsed="false">
      <c r="A1990" s="197" t="s">
        <v>3483</v>
      </c>
      <c r="B1990" s="191"/>
      <c r="C1990" s="190" t="s">
        <v>3485</v>
      </c>
      <c r="D1990" s="191" t="n">
        <v>556296184787</v>
      </c>
      <c r="E1990" s="190" t="s">
        <v>3486</v>
      </c>
      <c r="F1990" s="192" t="n">
        <f aca="false">SUMIF(ENTRADAS!F:F,CLIENTES_PCBR[[#This Row],[TELEFONO]],ENTRADAS!C:C)</f>
        <v>440</v>
      </c>
      <c r="G1990" s="189" t="s">
        <v>94</v>
      </c>
      <c r="H1990" s="189" t="s">
        <v>2280</v>
      </c>
      <c r="I1990" s="189" t="s">
        <v>2281</v>
      </c>
      <c r="K1990" s="201"/>
    </row>
    <row r="1991" customFormat="false" ht="15" hidden="false" customHeight="false" outlineLevel="0" collapsed="false">
      <c r="A1991" s="197" t="s">
        <v>3487</v>
      </c>
      <c r="B1991" s="191"/>
      <c r="C1991" s="190" t="s">
        <v>3489</v>
      </c>
      <c r="D1991" s="191" t="n">
        <v>559584223667</v>
      </c>
      <c r="E1991" s="190" t="s">
        <v>3490</v>
      </c>
      <c r="F1991" s="192" t="n">
        <f aca="false">SUMIF(ENTRADAS!F:F,CLIENTES_PCBR[[#This Row],[TELEFONO]],ENTRADAS!C:C)</f>
        <v>360</v>
      </c>
      <c r="G1991" s="189" t="s">
        <v>94</v>
      </c>
      <c r="H1991" s="189" t="s">
        <v>2708</v>
      </c>
      <c r="I1991" s="189" t="s">
        <v>2089</v>
      </c>
      <c r="J1991" s="189" t="s">
        <v>35</v>
      </c>
      <c r="K1991" s="201"/>
    </row>
    <row r="1992" customFormat="false" ht="15" hidden="false" customHeight="false" outlineLevel="0" collapsed="false">
      <c r="K1992" s="201"/>
    </row>
    <row r="1993" customFormat="false" ht="15" hidden="false" customHeight="false" outlineLevel="0" collapsed="false">
      <c r="K1993" s="201"/>
    </row>
    <row r="1994" customFormat="false" ht="15" hidden="false" customHeight="false" outlineLevel="0" collapsed="false">
      <c r="K1994" s="201"/>
    </row>
    <row r="1995" customFormat="false" ht="15" hidden="false" customHeight="false" outlineLevel="0" collapsed="false">
      <c r="K1995" s="201"/>
    </row>
    <row r="1996" customFormat="false" ht="15" hidden="false" customHeight="false" outlineLevel="0" collapsed="false">
      <c r="K1996" s="201"/>
    </row>
    <row r="1997" customFormat="false" ht="15" hidden="false" customHeight="false" outlineLevel="0" collapsed="false">
      <c r="K1997" s="201"/>
    </row>
    <row r="1998" customFormat="false" ht="15" hidden="false" customHeight="false" outlineLevel="0" collapsed="false">
      <c r="K1998" s="201"/>
    </row>
    <row r="1999" customFormat="false" ht="15" hidden="false" customHeight="false" outlineLevel="0" collapsed="false">
      <c r="K1999" s="201"/>
    </row>
    <row r="2000" customFormat="false" ht="15" hidden="false" customHeight="false" outlineLevel="0" collapsed="false">
      <c r="K2000" s="201"/>
    </row>
    <row r="2001" customFormat="false" ht="15" hidden="false" customHeight="false" outlineLevel="0" collapsed="false">
      <c r="K2001" s="201"/>
    </row>
    <row r="2002" customFormat="false" ht="15" hidden="false" customHeight="false" outlineLevel="0" collapsed="false">
      <c r="K2002" s="201"/>
    </row>
    <row r="2003" customFormat="false" ht="15" hidden="false" customHeight="false" outlineLevel="0" collapsed="false">
      <c r="K2003" s="201"/>
    </row>
    <row r="2004" customFormat="false" ht="15" hidden="false" customHeight="false" outlineLevel="0" collapsed="false">
      <c r="K2004" s="201"/>
    </row>
    <row r="2005" customFormat="false" ht="15" hidden="false" customHeight="false" outlineLevel="0" collapsed="false">
      <c r="K2005" s="201"/>
    </row>
    <row r="2006" customFormat="false" ht="15" hidden="false" customHeight="false" outlineLevel="0" collapsed="false">
      <c r="K2006" s="201"/>
    </row>
    <row r="2007" customFormat="false" ht="15" hidden="false" customHeight="false" outlineLevel="0" collapsed="false">
      <c r="K2007" s="201"/>
    </row>
    <row r="2008" customFormat="false" ht="15" hidden="false" customHeight="false" outlineLevel="0" collapsed="false">
      <c r="K2008" s="201"/>
    </row>
    <row r="2009" customFormat="false" ht="15" hidden="false" customHeight="false" outlineLevel="0" collapsed="false">
      <c r="K2009" s="201"/>
    </row>
    <row r="2010" customFormat="false" ht="15" hidden="false" customHeight="false" outlineLevel="0" collapsed="false">
      <c r="K2010" s="201"/>
    </row>
    <row r="2011" customFormat="false" ht="15" hidden="false" customHeight="false" outlineLevel="0" collapsed="false">
      <c r="K2011" s="201"/>
    </row>
    <row r="2012" customFormat="false" ht="15" hidden="false" customHeight="false" outlineLevel="0" collapsed="false">
      <c r="K2012" s="201"/>
    </row>
    <row r="2013" customFormat="false" ht="15" hidden="false" customHeight="false" outlineLevel="0" collapsed="false">
      <c r="K2013" s="201"/>
    </row>
    <row r="2014" customFormat="false" ht="15" hidden="false" customHeight="false" outlineLevel="0" collapsed="false">
      <c r="K2014" s="201"/>
    </row>
    <row r="2015" customFormat="false" ht="15" hidden="false" customHeight="false" outlineLevel="0" collapsed="false">
      <c r="K2015" s="201"/>
    </row>
    <row r="2016" customFormat="false" ht="15" hidden="false" customHeight="false" outlineLevel="0" collapsed="false">
      <c r="K2016" s="201"/>
    </row>
    <row r="2017" customFormat="false" ht="15" hidden="false" customHeight="false" outlineLevel="0" collapsed="false">
      <c r="K2017" s="201"/>
    </row>
    <row r="2018" customFormat="false" ht="15" hidden="false" customHeight="false" outlineLevel="0" collapsed="false">
      <c r="K2018" s="201"/>
    </row>
    <row r="2019" customFormat="false" ht="15" hidden="false" customHeight="false" outlineLevel="0" collapsed="false">
      <c r="K2019" s="201"/>
    </row>
    <row r="2020" customFormat="false" ht="15" hidden="false" customHeight="false" outlineLevel="0" collapsed="false">
      <c r="K2020" s="201"/>
    </row>
    <row r="2021" customFormat="false" ht="15" hidden="false" customHeight="false" outlineLevel="0" collapsed="false">
      <c r="K2021" s="201"/>
    </row>
    <row r="2022" customFormat="false" ht="15" hidden="false" customHeight="false" outlineLevel="0" collapsed="false">
      <c r="K2022" s="201"/>
    </row>
    <row r="2023" customFormat="false" ht="15" hidden="false" customHeight="false" outlineLevel="0" collapsed="false">
      <c r="K2023" s="201"/>
    </row>
    <row r="2024" customFormat="false" ht="15" hidden="false" customHeight="false" outlineLevel="0" collapsed="false">
      <c r="K2024" s="201"/>
    </row>
    <row r="2025" customFormat="false" ht="15" hidden="false" customHeight="false" outlineLevel="0" collapsed="false">
      <c r="K2025" s="201"/>
    </row>
    <row r="2026" customFormat="false" ht="15" hidden="false" customHeight="false" outlineLevel="0" collapsed="false">
      <c r="K2026" s="201"/>
    </row>
    <row r="2027" customFormat="false" ht="15" hidden="false" customHeight="false" outlineLevel="0" collapsed="false">
      <c r="K2027" s="201"/>
    </row>
    <row r="2028" customFormat="false" ht="15" hidden="false" customHeight="false" outlineLevel="0" collapsed="false">
      <c r="K2028" s="201"/>
    </row>
    <row r="2029" customFormat="false" ht="15" hidden="false" customHeight="false" outlineLevel="0" collapsed="false">
      <c r="K2029" s="201"/>
    </row>
    <row r="2030" customFormat="false" ht="15" hidden="false" customHeight="false" outlineLevel="0" collapsed="false">
      <c r="K2030" s="201"/>
    </row>
    <row r="2031" customFormat="false" ht="15" hidden="false" customHeight="false" outlineLevel="0" collapsed="false">
      <c r="K2031" s="201"/>
    </row>
    <row r="2032" customFormat="false" ht="15" hidden="false" customHeight="false" outlineLevel="0" collapsed="false">
      <c r="K2032" s="201"/>
    </row>
    <row r="2033" customFormat="false" ht="15" hidden="false" customHeight="false" outlineLevel="0" collapsed="false">
      <c r="K2033" s="201"/>
    </row>
    <row r="2034" customFormat="false" ht="15" hidden="false" customHeight="false" outlineLevel="0" collapsed="false">
      <c r="K2034" s="201"/>
    </row>
    <row r="2035" customFormat="false" ht="15" hidden="false" customHeight="false" outlineLevel="0" collapsed="false">
      <c r="K2035" s="201"/>
    </row>
    <row r="2036" customFormat="false" ht="15" hidden="false" customHeight="false" outlineLevel="0" collapsed="false">
      <c r="K2036" s="201"/>
    </row>
    <row r="2037" customFormat="false" ht="15" hidden="false" customHeight="false" outlineLevel="0" collapsed="false">
      <c r="K2037" s="201"/>
    </row>
    <row r="2038" customFormat="false" ht="15" hidden="false" customHeight="false" outlineLevel="0" collapsed="false">
      <c r="K2038" s="201"/>
    </row>
    <row r="2039" customFormat="false" ht="15" hidden="false" customHeight="false" outlineLevel="0" collapsed="false">
      <c r="K2039" s="201"/>
    </row>
    <row r="2040" customFormat="false" ht="15" hidden="false" customHeight="false" outlineLevel="0" collapsed="false">
      <c r="K2040" s="201"/>
    </row>
    <row r="2041" customFormat="false" ht="15" hidden="false" customHeight="false" outlineLevel="0" collapsed="false">
      <c r="K2041" s="201"/>
    </row>
    <row r="2042" customFormat="false" ht="15" hidden="false" customHeight="false" outlineLevel="0" collapsed="false">
      <c r="K2042" s="201"/>
    </row>
    <row r="2043" customFormat="false" ht="15" hidden="false" customHeight="false" outlineLevel="0" collapsed="false">
      <c r="K2043" s="201"/>
    </row>
    <row r="2044" customFormat="false" ht="15" hidden="false" customHeight="false" outlineLevel="0" collapsed="false">
      <c r="K2044" s="201"/>
    </row>
    <row r="2045" customFormat="false" ht="15" hidden="false" customHeight="false" outlineLevel="0" collapsed="false">
      <c r="K2045" s="201"/>
    </row>
    <row r="2046" customFormat="false" ht="15" hidden="false" customHeight="false" outlineLevel="0" collapsed="false">
      <c r="K2046" s="201"/>
    </row>
    <row r="2047" customFormat="false" ht="15" hidden="false" customHeight="false" outlineLevel="0" collapsed="false">
      <c r="K2047" s="201"/>
    </row>
    <row r="2048" customFormat="false" ht="15" hidden="false" customHeight="false" outlineLevel="0" collapsed="false">
      <c r="K2048" s="201"/>
    </row>
    <row r="2049" customFormat="false" ht="15" hidden="false" customHeight="false" outlineLevel="0" collapsed="false">
      <c r="K2049" s="201"/>
    </row>
    <row r="2050" customFormat="false" ht="15" hidden="false" customHeight="false" outlineLevel="0" collapsed="false">
      <c r="K2050" s="201"/>
    </row>
    <row r="2051" customFormat="false" ht="15" hidden="false" customHeight="false" outlineLevel="0" collapsed="false">
      <c r="K2051" s="201"/>
    </row>
    <row r="2052" customFormat="false" ht="15" hidden="false" customHeight="false" outlineLevel="0" collapsed="false">
      <c r="K2052" s="201"/>
    </row>
    <row r="2053" customFormat="false" ht="15" hidden="false" customHeight="false" outlineLevel="0" collapsed="false">
      <c r="K2053" s="201"/>
    </row>
    <row r="2054" customFormat="false" ht="15" hidden="false" customHeight="false" outlineLevel="0" collapsed="false">
      <c r="K2054" s="201"/>
    </row>
    <row r="2055" customFormat="false" ht="15" hidden="false" customHeight="false" outlineLevel="0" collapsed="false">
      <c r="K2055" s="201"/>
    </row>
    <row r="2056" customFormat="false" ht="15" hidden="false" customHeight="false" outlineLevel="0" collapsed="false">
      <c r="K2056" s="201"/>
    </row>
    <row r="2057" customFormat="false" ht="15" hidden="false" customHeight="false" outlineLevel="0" collapsed="false">
      <c r="K2057" s="201"/>
    </row>
    <row r="2058" customFormat="false" ht="15" hidden="false" customHeight="false" outlineLevel="0" collapsed="false">
      <c r="K2058" s="201"/>
    </row>
    <row r="2059" customFormat="false" ht="15" hidden="false" customHeight="false" outlineLevel="0" collapsed="false">
      <c r="K2059" s="201"/>
    </row>
    <row r="2060" customFormat="false" ht="15" hidden="false" customHeight="false" outlineLevel="0" collapsed="false">
      <c r="K2060" s="201"/>
    </row>
    <row r="2061" customFormat="false" ht="15" hidden="false" customHeight="false" outlineLevel="0" collapsed="false">
      <c r="K2061" s="201"/>
    </row>
    <row r="2062" customFormat="false" ht="15" hidden="false" customHeight="false" outlineLevel="0" collapsed="false">
      <c r="K2062" s="201"/>
    </row>
    <row r="2063" customFormat="false" ht="15" hidden="false" customHeight="false" outlineLevel="0" collapsed="false">
      <c r="K2063" s="201"/>
    </row>
    <row r="2064" customFormat="false" ht="15" hidden="false" customHeight="false" outlineLevel="0" collapsed="false">
      <c r="K2064" s="201"/>
    </row>
    <row r="2065" customFormat="false" ht="15" hidden="false" customHeight="false" outlineLevel="0" collapsed="false">
      <c r="K2065" s="201"/>
    </row>
    <row r="2066" customFormat="false" ht="15" hidden="false" customHeight="false" outlineLevel="0" collapsed="false">
      <c r="K2066" s="201"/>
    </row>
    <row r="2067" customFormat="false" ht="15" hidden="false" customHeight="false" outlineLevel="0" collapsed="false">
      <c r="K2067" s="201"/>
    </row>
    <row r="2068" customFormat="false" ht="15" hidden="false" customHeight="false" outlineLevel="0" collapsed="false">
      <c r="K2068" s="201"/>
    </row>
    <row r="2069" customFormat="false" ht="15" hidden="false" customHeight="false" outlineLevel="0" collapsed="false">
      <c r="K2069" s="201"/>
    </row>
    <row r="2070" customFormat="false" ht="15" hidden="false" customHeight="false" outlineLevel="0" collapsed="false">
      <c r="K2070" s="201"/>
    </row>
    <row r="2071" customFormat="false" ht="15" hidden="false" customHeight="false" outlineLevel="0" collapsed="false">
      <c r="K2071" s="201"/>
    </row>
    <row r="2072" customFormat="false" ht="15" hidden="false" customHeight="false" outlineLevel="0" collapsed="false">
      <c r="K2072" s="201"/>
    </row>
    <row r="2073" customFormat="false" ht="15" hidden="false" customHeight="false" outlineLevel="0" collapsed="false">
      <c r="K2073" s="201"/>
    </row>
    <row r="2074" customFormat="false" ht="15" hidden="false" customHeight="false" outlineLevel="0" collapsed="false">
      <c r="K2074" s="201"/>
    </row>
    <row r="2075" customFormat="false" ht="15" hidden="false" customHeight="false" outlineLevel="0" collapsed="false">
      <c r="K2075" s="201"/>
    </row>
    <row r="2076" customFormat="false" ht="15" hidden="false" customHeight="false" outlineLevel="0" collapsed="false">
      <c r="K2076" s="201"/>
    </row>
    <row r="2077" customFormat="false" ht="15" hidden="false" customHeight="false" outlineLevel="0" collapsed="false">
      <c r="K2077" s="201"/>
    </row>
    <row r="2078" customFormat="false" ht="15" hidden="false" customHeight="false" outlineLevel="0" collapsed="false">
      <c r="K2078" s="201"/>
    </row>
    <row r="2079" customFormat="false" ht="15" hidden="false" customHeight="false" outlineLevel="0" collapsed="false">
      <c r="K2079" s="201"/>
    </row>
    <row r="2080" customFormat="false" ht="15" hidden="false" customHeight="false" outlineLevel="0" collapsed="false">
      <c r="K2080" s="201"/>
    </row>
    <row r="2081" customFormat="false" ht="15" hidden="false" customHeight="false" outlineLevel="0" collapsed="false">
      <c r="K2081" s="201"/>
    </row>
    <row r="2082" customFormat="false" ht="15" hidden="false" customHeight="false" outlineLevel="0" collapsed="false">
      <c r="K2082" s="201"/>
    </row>
    <row r="2083" customFormat="false" ht="15" hidden="false" customHeight="false" outlineLevel="0" collapsed="false">
      <c r="K2083" s="201"/>
    </row>
    <row r="2084" customFormat="false" ht="15" hidden="false" customHeight="false" outlineLevel="0" collapsed="false">
      <c r="K2084" s="201"/>
    </row>
    <row r="2085" customFormat="false" ht="15" hidden="false" customHeight="false" outlineLevel="0" collapsed="false">
      <c r="K2085" s="201"/>
    </row>
    <row r="2086" customFormat="false" ht="15" hidden="false" customHeight="false" outlineLevel="0" collapsed="false">
      <c r="K2086" s="201"/>
    </row>
    <row r="2087" customFormat="false" ht="15" hidden="false" customHeight="false" outlineLevel="0" collapsed="false">
      <c r="K2087" s="201"/>
    </row>
    <row r="2088" customFormat="false" ht="15" hidden="false" customHeight="false" outlineLevel="0" collapsed="false">
      <c r="K2088" s="201"/>
    </row>
    <row r="2089" customFormat="false" ht="15" hidden="false" customHeight="false" outlineLevel="0" collapsed="false">
      <c r="K2089" s="201"/>
    </row>
    <row r="2090" customFormat="false" ht="15" hidden="false" customHeight="false" outlineLevel="0" collapsed="false">
      <c r="K2090" s="201"/>
    </row>
    <row r="2091" customFormat="false" ht="15" hidden="false" customHeight="false" outlineLevel="0" collapsed="false">
      <c r="K2091" s="201"/>
    </row>
    <row r="2092" customFormat="false" ht="15" hidden="false" customHeight="false" outlineLevel="0" collapsed="false">
      <c r="A2092" s="201"/>
      <c r="B2092" s="201"/>
      <c r="C2092" s="201"/>
      <c r="D2092" s="201"/>
      <c r="E2092" s="201"/>
      <c r="F2092" s="201"/>
      <c r="G2092" s="201"/>
      <c r="H2092" s="201"/>
      <c r="I2092" s="201"/>
      <c r="J2092" s="201"/>
      <c r="K2092" s="201"/>
    </row>
    <row r="2093" customFormat="false" ht="15" hidden="false" customHeight="false" outlineLevel="0" collapsed="false">
      <c r="A2093" s="201"/>
      <c r="B2093" s="201"/>
      <c r="C2093" s="201"/>
      <c r="D2093" s="201"/>
      <c r="E2093" s="201"/>
      <c r="F2093" s="201"/>
      <c r="G2093" s="201"/>
      <c r="H2093" s="201"/>
      <c r="I2093" s="201"/>
      <c r="J2093" s="201"/>
      <c r="K2093" s="201"/>
    </row>
    <row r="2094" customFormat="false" ht="15" hidden="false" customHeight="false" outlineLevel="0" collapsed="false">
      <c r="A2094" s="201"/>
      <c r="B2094" s="201"/>
      <c r="C2094" s="201"/>
      <c r="D2094" s="201"/>
      <c r="E2094" s="201"/>
      <c r="F2094" s="201"/>
      <c r="G2094" s="201"/>
      <c r="H2094" s="201"/>
      <c r="I2094" s="201"/>
      <c r="J2094" s="201"/>
      <c r="K2094" s="201"/>
    </row>
    <row r="2095" customFormat="false" ht="15" hidden="false" customHeight="false" outlineLevel="0" collapsed="false">
      <c r="A2095" s="201"/>
      <c r="B2095" s="201"/>
      <c r="C2095" s="201"/>
      <c r="D2095" s="201"/>
      <c r="E2095" s="201"/>
      <c r="F2095" s="201"/>
      <c r="G2095" s="201"/>
      <c r="H2095" s="201"/>
      <c r="I2095" s="201"/>
      <c r="J2095" s="201"/>
      <c r="K2095" s="201"/>
    </row>
    <row r="2096" customFormat="false" ht="15" hidden="false" customHeight="false" outlineLevel="0" collapsed="false">
      <c r="A2096" s="201"/>
      <c r="B2096" s="201"/>
      <c r="C2096" s="201"/>
      <c r="D2096" s="201"/>
      <c r="E2096" s="201"/>
      <c r="F2096" s="201"/>
      <c r="G2096" s="201"/>
      <c r="H2096" s="201"/>
      <c r="I2096" s="201"/>
      <c r="J2096" s="201"/>
      <c r="K2096" s="201"/>
    </row>
    <row r="2097" customFormat="false" ht="15" hidden="false" customHeight="false" outlineLevel="0" collapsed="false">
      <c r="A2097" s="201"/>
      <c r="B2097" s="201"/>
      <c r="C2097" s="201"/>
      <c r="D2097" s="201"/>
      <c r="E2097" s="201"/>
      <c r="F2097" s="201"/>
      <c r="G2097" s="201"/>
      <c r="H2097" s="201"/>
      <c r="I2097" s="201"/>
      <c r="J2097" s="201"/>
      <c r="K2097" s="201"/>
    </row>
    <row r="2098" customFormat="false" ht="15" hidden="false" customHeight="false" outlineLevel="0" collapsed="false">
      <c r="A2098" s="201"/>
      <c r="B2098" s="201"/>
      <c r="C2098" s="201"/>
      <c r="D2098" s="201"/>
      <c r="E2098" s="201"/>
      <c r="F2098" s="201"/>
      <c r="G2098" s="201"/>
      <c r="H2098" s="201"/>
      <c r="I2098" s="201"/>
      <c r="J2098" s="201"/>
      <c r="K2098" s="201"/>
    </row>
    <row r="2099" customFormat="false" ht="15" hidden="false" customHeight="false" outlineLevel="0" collapsed="false">
      <c r="A2099" s="201"/>
      <c r="B2099" s="201"/>
      <c r="C2099" s="201"/>
      <c r="D2099" s="201"/>
      <c r="E2099" s="201"/>
      <c r="F2099" s="201"/>
      <c r="G2099" s="201"/>
      <c r="H2099" s="201"/>
      <c r="I2099" s="201"/>
      <c r="J2099" s="201"/>
      <c r="K2099" s="201"/>
    </row>
    <row r="2100" customFormat="false" ht="15" hidden="false" customHeight="false" outlineLevel="0" collapsed="false">
      <c r="A2100" s="201"/>
      <c r="B2100" s="201"/>
      <c r="C2100" s="201"/>
      <c r="D2100" s="201"/>
      <c r="E2100" s="201"/>
      <c r="F2100" s="201"/>
      <c r="G2100" s="201"/>
      <c r="H2100" s="201"/>
      <c r="I2100" s="201"/>
      <c r="J2100" s="201"/>
      <c r="K2100" s="201"/>
    </row>
    <row r="2101" customFormat="false" ht="15" hidden="false" customHeight="false" outlineLevel="0" collapsed="false">
      <c r="A2101" s="201"/>
      <c r="B2101" s="201"/>
      <c r="C2101" s="201"/>
      <c r="D2101" s="201"/>
      <c r="E2101" s="201"/>
      <c r="F2101" s="201"/>
      <c r="G2101" s="201"/>
      <c r="H2101" s="201"/>
      <c r="I2101" s="201"/>
      <c r="J2101" s="201"/>
      <c r="K2101" s="201"/>
    </row>
    <row r="2102" customFormat="false" ht="15" hidden="false" customHeight="false" outlineLevel="0" collapsed="false">
      <c r="A2102" s="201"/>
      <c r="B2102" s="201"/>
      <c r="C2102" s="201"/>
      <c r="D2102" s="201"/>
      <c r="E2102" s="201"/>
      <c r="F2102" s="201"/>
      <c r="G2102" s="201"/>
      <c r="H2102" s="201"/>
      <c r="I2102" s="201"/>
      <c r="J2102" s="201"/>
      <c r="K2102" s="201"/>
    </row>
    <row r="2103" customFormat="false" ht="15" hidden="false" customHeight="false" outlineLevel="0" collapsed="false">
      <c r="A2103" s="201"/>
      <c r="B2103" s="201"/>
      <c r="C2103" s="201"/>
      <c r="D2103" s="201"/>
      <c r="E2103" s="201"/>
      <c r="F2103" s="201"/>
      <c r="G2103" s="201"/>
      <c r="H2103" s="201"/>
      <c r="I2103" s="201"/>
      <c r="J2103" s="201"/>
      <c r="K2103" s="201"/>
    </row>
    <row r="2104" customFormat="false" ht="15" hidden="false" customHeight="false" outlineLevel="0" collapsed="false">
      <c r="A2104" s="201"/>
      <c r="B2104" s="201"/>
      <c r="C2104" s="201"/>
      <c r="D2104" s="201"/>
      <c r="E2104" s="201"/>
      <c r="F2104" s="201"/>
      <c r="G2104" s="201"/>
      <c r="H2104" s="201"/>
      <c r="I2104" s="201"/>
      <c r="J2104" s="201"/>
      <c r="K2104" s="201"/>
    </row>
    <row r="2105" customFormat="false" ht="15" hidden="false" customHeight="false" outlineLevel="0" collapsed="false">
      <c r="A2105" s="201"/>
      <c r="B2105" s="201"/>
      <c r="C2105" s="201"/>
      <c r="D2105" s="201"/>
      <c r="E2105" s="201"/>
      <c r="F2105" s="201"/>
      <c r="G2105" s="201"/>
      <c r="H2105" s="201"/>
      <c r="I2105" s="201"/>
      <c r="J2105" s="201"/>
      <c r="K2105" s="201"/>
    </row>
    <row r="2106" customFormat="false" ht="15" hidden="false" customHeight="false" outlineLevel="0" collapsed="false">
      <c r="A2106" s="201"/>
      <c r="B2106" s="201"/>
      <c r="C2106" s="201"/>
      <c r="D2106" s="201"/>
      <c r="E2106" s="201"/>
      <c r="F2106" s="201"/>
      <c r="G2106" s="201"/>
      <c r="H2106" s="201"/>
      <c r="I2106" s="201"/>
      <c r="J2106" s="201"/>
      <c r="K2106" s="201"/>
    </row>
    <row r="2107" customFormat="false" ht="15" hidden="false" customHeight="false" outlineLevel="0" collapsed="false">
      <c r="A2107" s="201"/>
      <c r="B2107" s="201"/>
      <c r="C2107" s="201"/>
      <c r="D2107" s="201"/>
      <c r="E2107" s="201"/>
      <c r="F2107" s="201"/>
      <c r="G2107" s="201"/>
      <c r="H2107" s="201"/>
      <c r="I2107" s="201"/>
      <c r="J2107" s="201"/>
      <c r="K2107" s="201"/>
    </row>
    <row r="2108" customFormat="false" ht="15" hidden="false" customHeight="false" outlineLevel="0" collapsed="false">
      <c r="A2108" s="201"/>
      <c r="B2108" s="201"/>
      <c r="C2108" s="201"/>
      <c r="D2108" s="201"/>
      <c r="E2108" s="201"/>
      <c r="F2108" s="201"/>
      <c r="G2108" s="201"/>
      <c r="H2108" s="201"/>
      <c r="I2108" s="201"/>
      <c r="J2108" s="201"/>
      <c r="K2108" s="201"/>
    </row>
    <row r="2109" customFormat="false" ht="15" hidden="false" customHeight="false" outlineLevel="0" collapsed="false">
      <c r="A2109" s="201"/>
      <c r="B2109" s="201"/>
      <c r="C2109" s="201"/>
      <c r="D2109" s="201"/>
      <c r="E2109" s="201"/>
      <c r="F2109" s="201"/>
      <c r="G2109" s="201"/>
      <c r="H2109" s="201"/>
      <c r="I2109" s="201"/>
      <c r="J2109" s="201"/>
      <c r="K2109" s="201"/>
    </row>
    <row r="2110" customFormat="false" ht="15" hidden="false" customHeight="false" outlineLevel="0" collapsed="false">
      <c r="A2110" s="201"/>
      <c r="B2110" s="201"/>
      <c r="C2110" s="201"/>
      <c r="D2110" s="201"/>
      <c r="E2110" s="201"/>
      <c r="F2110" s="201"/>
      <c r="G2110" s="201"/>
      <c r="H2110" s="201"/>
      <c r="I2110" s="201"/>
      <c r="J2110" s="201"/>
      <c r="K2110" s="201"/>
    </row>
    <row r="2111" customFormat="false" ht="15" hidden="false" customHeight="false" outlineLevel="0" collapsed="false">
      <c r="A2111" s="201"/>
      <c r="B2111" s="201"/>
      <c r="C2111" s="201"/>
      <c r="D2111" s="201"/>
      <c r="E2111" s="201"/>
      <c r="F2111" s="201"/>
      <c r="G2111" s="201"/>
      <c r="H2111" s="201"/>
      <c r="I2111" s="201"/>
      <c r="J2111" s="201"/>
      <c r="K2111" s="201"/>
    </row>
    <row r="2112" customFormat="false" ht="15" hidden="false" customHeight="false" outlineLevel="0" collapsed="false">
      <c r="A2112" s="201"/>
      <c r="B2112" s="201"/>
      <c r="C2112" s="201"/>
      <c r="D2112" s="201"/>
      <c r="E2112" s="201"/>
      <c r="F2112" s="201"/>
      <c r="G2112" s="201"/>
      <c r="H2112" s="201"/>
      <c r="I2112" s="201"/>
      <c r="J2112" s="201"/>
      <c r="K2112" s="201"/>
    </row>
    <row r="2113" customFormat="false" ht="15" hidden="false" customHeight="false" outlineLevel="0" collapsed="false">
      <c r="A2113" s="201"/>
      <c r="B2113" s="201"/>
      <c r="C2113" s="201"/>
      <c r="D2113" s="201"/>
      <c r="E2113" s="201"/>
      <c r="F2113" s="201"/>
      <c r="G2113" s="201"/>
      <c r="H2113" s="201"/>
      <c r="I2113" s="201"/>
      <c r="J2113" s="201"/>
      <c r="K2113" s="201"/>
    </row>
    <row r="2114" customFormat="false" ht="15" hidden="false" customHeight="false" outlineLevel="0" collapsed="false">
      <c r="A2114" s="201"/>
      <c r="B2114" s="201"/>
      <c r="C2114" s="201"/>
      <c r="D2114" s="201"/>
      <c r="E2114" s="201"/>
      <c r="F2114" s="201"/>
      <c r="G2114" s="201"/>
      <c r="H2114" s="201"/>
      <c r="I2114" s="201"/>
      <c r="J2114" s="201"/>
      <c r="K2114" s="201"/>
    </row>
    <row r="2115" customFormat="false" ht="15" hidden="false" customHeight="false" outlineLevel="0" collapsed="false">
      <c r="A2115" s="201"/>
      <c r="B2115" s="201"/>
      <c r="C2115" s="201"/>
      <c r="D2115" s="201"/>
      <c r="E2115" s="201"/>
      <c r="F2115" s="201"/>
      <c r="G2115" s="201"/>
      <c r="H2115" s="201"/>
      <c r="I2115" s="201"/>
      <c r="J2115" s="201"/>
      <c r="K2115" s="201"/>
    </row>
    <row r="2116" customFormat="false" ht="15" hidden="false" customHeight="false" outlineLevel="0" collapsed="false">
      <c r="A2116" s="201"/>
      <c r="B2116" s="201"/>
      <c r="C2116" s="201"/>
      <c r="D2116" s="201"/>
      <c r="E2116" s="201"/>
      <c r="F2116" s="201"/>
      <c r="G2116" s="201"/>
      <c r="H2116" s="201"/>
      <c r="I2116" s="201"/>
      <c r="J2116" s="201"/>
      <c r="K2116" s="201"/>
    </row>
    <row r="2117" customFormat="false" ht="15" hidden="false" customHeight="false" outlineLevel="0" collapsed="false">
      <c r="A2117" s="201"/>
      <c r="B2117" s="201"/>
      <c r="C2117" s="201"/>
      <c r="D2117" s="201"/>
      <c r="E2117" s="201"/>
      <c r="F2117" s="201"/>
      <c r="G2117" s="201"/>
      <c r="H2117" s="201"/>
      <c r="I2117" s="201"/>
      <c r="J2117" s="201"/>
      <c r="K2117" s="201"/>
    </row>
    <row r="2118" customFormat="false" ht="15" hidden="false" customHeight="false" outlineLevel="0" collapsed="false">
      <c r="A2118" s="201"/>
      <c r="B2118" s="201"/>
      <c r="C2118" s="201"/>
      <c r="D2118" s="201"/>
      <c r="E2118" s="201"/>
      <c r="F2118" s="201"/>
      <c r="G2118" s="201"/>
      <c r="H2118" s="201"/>
      <c r="I2118" s="201"/>
      <c r="J2118" s="201"/>
      <c r="K2118" s="201"/>
    </row>
    <row r="2119" customFormat="false" ht="15" hidden="false" customHeight="false" outlineLevel="0" collapsed="false">
      <c r="A2119" s="201"/>
      <c r="B2119" s="201"/>
      <c r="C2119" s="201"/>
      <c r="D2119" s="201"/>
      <c r="E2119" s="201"/>
      <c r="F2119" s="201"/>
      <c r="G2119" s="201"/>
      <c r="H2119" s="201"/>
      <c r="I2119" s="201"/>
      <c r="J2119" s="201"/>
      <c r="K2119" s="201"/>
    </row>
    <row r="2120" customFormat="false" ht="15" hidden="false" customHeight="false" outlineLevel="0" collapsed="false">
      <c r="A2120" s="201"/>
      <c r="B2120" s="201"/>
      <c r="C2120" s="201"/>
      <c r="D2120" s="201"/>
      <c r="E2120" s="201"/>
      <c r="F2120" s="201"/>
      <c r="G2120" s="201"/>
      <c r="H2120" s="201"/>
      <c r="I2120" s="201"/>
      <c r="J2120" s="201"/>
      <c r="K2120" s="201"/>
    </row>
    <row r="2121" customFormat="false" ht="15" hidden="false" customHeight="false" outlineLevel="0" collapsed="false">
      <c r="A2121" s="201"/>
      <c r="B2121" s="201"/>
      <c r="C2121" s="201"/>
      <c r="D2121" s="201"/>
      <c r="E2121" s="201"/>
      <c r="F2121" s="201"/>
      <c r="G2121" s="201"/>
      <c r="H2121" s="201"/>
      <c r="I2121" s="201"/>
      <c r="J2121" s="201"/>
      <c r="K2121" s="201"/>
    </row>
    <row r="2122" customFormat="false" ht="15" hidden="false" customHeight="false" outlineLevel="0" collapsed="false">
      <c r="A2122" s="201"/>
      <c r="B2122" s="201"/>
      <c r="C2122" s="201"/>
      <c r="D2122" s="201"/>
      <c r="E2122" s="201"/>
      <c r="F2122" s="201"/>
      <c r="G2122" s="201"/>
      <c r="H2122" s="201"/>
      <c r="I2122" s="201"/>
      <c r="J2122" s="201"/>
      <c r="K2122" s="201"/>
    </row>
    <row r="2123" customFormat="false" ht="15" hidden="false" customHeight="false" outlineLevel="0" collapsed="false">
      <c r="A2123" s="201"/>
      <c r="B2123" s="201"/>
      <c r="C2123" s="201"/>
      <c r="D2123" s="201"/>
      <c r="E2123" s="201"/>
      <c r="F2123" s="201"/>
      <c r="G2123" s="201"/>
      <c r="H2123" s="201"/>
      <c r="I2123" s="201"/>
      <c r="J2123" s="201"/>
      <c r="K2123" s="201"/>
    </row>
    <row r="2124" customFormat="false" ht="15" hidden="false" customHeight="false" outlineLevel="0" collapsed="false">
      <c r="A2124" s="201"/>
      <c r="B2124" s="201"/>
      <c r="C2124" s="201"/>
      <c r="D2124" s="201"/>
      <c r="E2124" s="201"/>
      <c r="F2124" s="201"/>
      <c r="G2124" s="201"/>
      <c r="H2124" s="201"/>
      <c r="I2124" s="201"/>
      <c r="J2124" s="201"/>
      <c r="K2124" s="201"/>
    </row>
    <row r="2125" customFormat="false" ht="15" hidden="false" customHeight="false" outlineLevel="0" collapsed="false">
      <c r="A2125" s="201"/>
      <c r="B2125" s="201"/>
      <c r="C2125" s="201"/>
      <c r="D2125" s="201"/>
      <c r="E2125" s="201"/>
      <c r="F2125" s="201"/>
      <c r="G2125" s="201"/>
      <c r="H2125" s="201"/>
      <c r="I2125" s="201"/>
      <c r="J2125" s="201"/>
      <c r="K2125" s="201"/>
    </row>
    <row r="2126" customFormat="false" ht="15" hidden="false" customHeight="false" outlineLevel="0" collapsed="false">
      <c r="A2126" s="201"/>
      <c r="B2126" s="201"/>
      <c r="C2126" s="201"/>
      <c r="D2126" s="201"/>
      <c r="E2126" s="201"/>
      <c r="F2126" s="201"/>
      <c r="G2126" s="201"/>
      <c r="H2126" s="201"/>
      <c r="I2126" s="201"/>
      <c r="J2126" s="201"/>
      <c r="K2126" s="201"/>
    </row>
    <row r="2127" customFormat="false" ht="15" hidden="false" customHeight="false" outlineLevel="0" collapsed="false">
      <c r="A2127" s="201"/>
      <c r="B2127" s="201"/>
      <c r="C2127" s="201"/>
      <c r="D2127" s="201"/>
      <c r="E2127" s="201"/>
      <c r="F2127" s="201"/>
      <c r="G2127" s="201"/>
      <c r="H2127" s="201"/>
      <c r="I2127" s="201"/>
      <c r="J2127" s="201"/>
      <c r="K2127" s="201"/>
    </row>
    <row r="2128" customFormat="false" ht="15" hidden="false" customHeight="false" outlineLevel="0" collapsed="false">
      <c r="A2128" s="201"/>
      <c r="B2128" s="201"/>
      <c r="C2128" s="201"/>
      <c r="D2128" s="201"/>
      <c r="E2128" s="201"/>
      <c r="F2128" s="201"/>
      <c r="G2128" s="201"/>
      <c r="H2128" s="201"/>
      <c r="I2128" s="201"/>
      <c r="J2128" s="201"/>
      <c r="K2128" s="201"/>
    </row>
    <row r="2129" customFormat="false" ht="15" hidden="false" customHeight="false" outlineLevel="0" collapsed="false">
      <c r="A2129" s="201"/>
      <c r="B2129" s="201"/>
      <c r="C2129" s="201"/>
      <c r="D2129" s="201"/>
      <c r="E2129" s="201"/>
      <c r="F2129" s="201"/>
      <c r="G2129" s="201"/>
      <c r="H2129" s="201"/>
      <c r="I2129" s="201"/>
      <c r="J2129" s="201"/>
      <c r="K2129" s="201"/>
    </row>
    <row r="2130" customFormat="false" ht="15" hidden="false" customHeight="false" outlineLevel="0" collapsed="false">
      <c r="A2130" s="201"/>
      <c r="B2130" s="201"/>
      <c r="C2130" s="201"/>
      <c r="D2130" s="201"/>
      <c r="E2130" s="201"/>
      <c r="F2130" s="201"/>
      <c r="G2130" s="201"/>
      <c r="H2130" s="201"/>
      <c r="I2130" s="201"/>
      <c r="J2130" s="201"/>
      <c r="K2130" s="201"/>
    </row>
    <row r="2131" customFormat="false" ht="15" hidden="false" customHeight="false" outlineLevel="0" collapsed="false">
      <c r="A2131" s="201"/>
      <c r="B2131" s="201"/>
      <c r="C2131" s="201"/>
      <c r="D2131" s="201"/>
      <c r="E2131" s="201"/>
      <c r="F2131" s="201"/>
      <c r="G2131" s="201"/>
      <c r="H2131" s="201"/>
      <c r="I2131" s="201"/>
      <c r="J2131" s="201"/>
      <c r="K2131" s="201"/>
    </row>
    <row r="2132" customFormat="false" ht="15" hidden="false" customHeight="false" outlineLevel="0" collapsed="false">
      <c r="A2132" s="201"/>
      <c r="B2132" s="201"/>
      <c r="C2132" s="201"/>
      <c r="D2132" s="201"/>
      <c r="E2132" s="201"/>
      <c r="F2132" s="201"/>
      <c r="G2132" s="201"/>
      <c r="H2132" s="201"/>
      <c r="I2132" s="201"/>
      <c r="J2132" s="201"/>
      <c r="K2132" s="201"/>
    </row>
    <row r="2133" customFormat="false" ht="15" hidden="false" customHeight="false" outlineLevel="0" collapsed="false">
      <c r="A2133" s="201"/>
      <c r="B2133" s="201"/>
      <c r="C2133" s="201"/>
      <c r="D2133" s="201"/>
      <c r="E2133" s="201"/>
      <c r="F2133" s="201"/>
      <c r="G2133" s="201"/>
      <c r="H2133" s="201"/>
      <c r="I2133" s="201"/>
      <c r="J2133" s="201"/>
      <c r="K2133" s="201"/>
    </row>
    <row r="2134" customFormat="false" ht="15" hidden="false" customHeight="false" outlineLevel="0" collapsed="false">
      <c r="A2134" s="201"/>
      <c r="B2134" s="201"/>
      <c r="C2134" s="201"/>
      <c r="D2134" s="201"/>
      <c r="E2134" s="201"/>
      <c r="F2134" s="201"/>
      <c r="G2134" s="201"/>
      <c r="H2134" s="201"/>
      <c r="I2134" s="201"/>
      <c r="J2134" s="201"/>
      <c r="K2134" s="201"/>
    </row>
    <row r="2135" customFormat="false" ht="15" hidden="false" customHeight="false" outlineLevel="0" collapsed="false">
      <c r="A2135" s="201"/>
      <c r="B2135" s="201"/>
      <c r="C2135" s="201"/>
      <c r="D2135" s="201"/>
      <c r="E2135" s="201"/>
      <c r="F2135" s="201"/>
      <c r="G2135" s="201"/>
      <c r="H2135" s="201"/>
      <c r="I2135" s="201"/>
      <c r="J2135" s="201"/>
      <c r="K2135" s="201"/>
    </row>
    <row r="2136" customFormat="false" ht="15" hidden="false" customHeight="false" outlineLevel="0" collapsed="false">
      <c r="A2136" s="201"/>
      <c r="B2136" s="201"/>
      <c r="C2136" s="201"/>
      <c r="D2136" s="201"/>
      <c r="E2136" s="201"/>
      <c r="F2136" s="201"/>
      <c r="G2136" s="201"/>
      <c r="H2136" s="201"/>
      <c r="I2136" s="201"/>
      <c r="J2136" s="201"/>
      <c r="K2136" s="201"/>
    </row>
    <row r="2137" customFormat="false" ht="15" hidden="false" customHeight="false" outlineLevel="0" collapsed="false">
      <c r="A2137" s="201"/>
      <c r="B2137" s="201"/>
      <c r="C2137" s="201"/>
      <c r="D2137" s="201"/>
      <c r="E2137" s="201"/>
      <c r="F2137" s="201"/>
      <c r="G2137" s="201"/>
      <c r="H2137" s="201"/>
      <c r="I2137" s="201"/>
      <c r="J2137" s="201"/>
      <c r="K2137" s="201"/>
    </row>
    <row r="2138" customFormat="false" ht="15" hidden="false" customHeight="false" outlineLevel="0" collapsed="false">
      <c r="A2138" s="201"/>
      <c r="B2138" s="201"/>
      <c r="C2138" s="201"/>
      <c r="D2138" s="201"/>
      <c r="E2138" s="201"/>
      <c r="F2138" s="201"/>
      <c r="G2138" s="201"/>
      <c r="H2138" s="201"/>
      <c r="I2138" s="201"/>
      <c r="J2138" s="201"/>
      <c r="K2138" s="201"/>
    </row>
    <row r="2139" customFormat="false" ht="15" hidden="false" customHeight="false" outlineLevel="0" collapsed="false">
      <c r="A2139" s="201"/>
      <c r="B2139" s="201"/>
      <c r="C2139" s="201"/>
      <c r="D2139" s="201"/>
      <c r="E2139" s="201"/>
      <c r="F2139" s="201"/>
      <c r="G2139" s="201"/>
      <c r="H2139" s="201"/>
      <c r="I2139" s="201"/>
      <c r="J2139" s="201"/>
      <c r="K2139" s="201"/>
    </row>
    <row r="2140" customFormat="false" ht="15" hidden="false" customHeight="false" outlineLevel="0" collapsed="false">
      <c r="A2140" s="201"/>
      <c r="B2140" s="201"/>
      <c r="C2140" s="201"/>
      <c r="D2140" s="201"/>
      <c r="E2140" s="201"/>
      <c r="F2140" s="201"/>
      <c r="G2140" s="201"/>
      <c r="H2140" s="201"/>
      <c r="I2140" s="201"/>
      <c r="J2140" s="201"/>
      <c r="K2140" s="201"/>
    </row>
    <row r="2141" customFormat="false" ht="15" hidden="false" customHeight="false" outlineLevel="0" collapsed="false">
      <c r="A2141" s="201"/>
      <c r="B2141" s="201"/>
      <c r="C2141" s="201"/>
      <c r="D2141" s="201"/>
      <c r="E2141" s="201"/>
      <c r="F2141" s="201"/>
      <c r="G2141" s="201"/>
      <c r="H2141" s="201"/>
      <c r="I2141" s="201"/>
      <c r="J2141" s="201"/>
      <c r="K2141" s="201"/>
    </row>
    <row r="2142" customFormat="false" ht="15" hidden="false" customHeight="false" outlineLevel="0" collapsed="false">
      <c r="A2142" s="201"/>
      <c r="B2142" s="201"/>
      <c r="C2142" s="201"/>
      <c r="D2142" s="201"/>
      <c r="E2142" s="201"/>
      <c r="F2142" s="201"/>
      <c r="G2142" s="201"/>
      <c r="H2142" s="201"/>
      <c r="I2142" s="201"/>
      <c r="J2142" s="201"/>
      <c r="K2142" s="201"/>
    </row>
    <row r="2143" customFormat="false" ht="15" hidden="false" customHeight="false" outlineLevel="0" collapsed="false">
      <c r="A2143" s="201"/>
      <c r="B2143" s="201"/>
      <c r="C2143" s="201"/>
      <c r="D2143" s="201"/>
      <c r="E2143" s="201"/>
      <c r="F2143" s="201"/>
      <c r="G2143" s="201"/>
      <c r="H2143" s="201"/>
      <c r="I2143" s="201"/>
      <c r="J2143" s="201"/>
      <c r="K2143" s="201"/>
    </row>
    <row r="2144" customFormat="false" ht="15" hidden="false" customHeight="false" outlineLevel="0" collapsed="false">
      <c r="A2144" s="201"/>
      <c r="B2144" s="201"/>
      <c r="C2144" s="201"/>
      <c r="D2144" s="201"/>
      <c r="E2144" s="201"/>
      <c r="F2144" s="201"/>
      <c r="G2144" s="201"/>
      <c r="H2144" s="201"/>
      <c r="I2144" s="201"/>
      <c r="J2144" s="201"/>
      <c r="K2144" s="201"/>
    </row>
    <row r="2145" customFormat="false" ht="15" hidden="false" customHeight="false" outlineLevel="0" collapsed="false">
      <c r="A2145" s="201"/>
      <c r="B2145" s="201"/>
      <c r="C2145" s="201"/>
      <c r="D2145" s="201"/>
      <c r="E2145" s="201"/>
      <c r="F2145" s="201"/>
      <c r="G2145" s="201"/>
      <c r="H2145" s="201"/>
      <c r="I2145" s="201"/>
      <c r="J2145" s="201"/>
      <c r="K2145" s="201"/>
    </row>
    <row r="2146" customFormat="false" ht="15" hidden="false" customHeight="false" outlineLevel="0" collapsed="false">
      <c r="A2146" s="201"/>
      <c r="B2146" s="201"/>
      <c r="C2146" s="201"/>
      <c r="D2146" s="201"/>
      <c r="E2146" s="201"/>
      <c r="F2146" s="201"/>
      <c r="G2146" s="201"/>
      <c r="H2146" s="201"/>
      <c r="I2146" s="201"/>
      <c r="J2146" s="201"/>
      <c r="K2146" s="201"/>
    </row>
    <row r="2147" customFormat="false" ht="15" hidden="false" customHeight="false" outlineLevel="0" collapsed="false">
      <c r="A2147" s="201"/>
      <c r="B2147" s="201"/>
      <c r="C2147" s="201"/>
      <c r="D2147" s="201"/>
      <c r="E2147" s="201"/>
      <c r="F2147" s="201"/>
      <c r="G2147" s="201"/>
      <c r="H2147" s="201"/>
      <c r="I2147" s="201"/>
      <c r="J2147" s="201"/>
      <c r="K2147" s="201"/>
    </row>
    <row r="2148" customFormat="false" ht="15" hidden="false" customHeight="false" outlineLevel="0" collapsed="false">
      <c r="A2148" s="201"/>
      <c r="B2148" s="201"/>
      <c r="C2148" s="201"/>
      <c r="D2148" s="201"/>
      <c r="E2148" s="201"/>
      <c r="F2148" s="201"/>
      <c r="G2148" s="201"/>
      <c r="H2148" s="201"/>
      <c r="I2148" s="201"/>
      <c r="J2148" s="201"/>
      <c r="K2148" s="201"/>
    </row>
    <row r="2149" customFormat="false" ht="15" hidden="false" customHeight="false" outlineLevel="0" collapsed="false">
      <c r="A2149" s="201"/>
      <c r="B2149" s="201"/>
      <c r="C2149" s="201"/>
      <c r="D2149" s="201"/>
      <c r="E2149" s="201"/>
      <c r="F2149" s="201"/>
      <c r="G2149" s="201"/>
      <c r="H2149" s="201"/>
      <c r="I2149" s="201"/>
      <c r="J2149" s="201"/>
      <c r="K2149" s="201"/>
    </row>
    <row r="2150" customFormat="false" ht="15" hidden="false" customHeight="false" outlineLevel="0" collapsed="false">
      <c r="A2150" s="201"/>
      <c r="B2150" s="201"/>
      <c r="C2150" s="201"/>
      <c r="D2150" s="201"/>
      <c r="E2150" s="201"/>
      <c r="F2150" s="201"/>
      <c r="G2150" s="201"/>
      <c r="H2150" s="201"/>
      <c r="I2150" s="201"/>
      <c r="J2150" s="201"/>
      <c r="K2150" s="201"/>
    </row>
    <row r="2151" customFormat="false" ht="15" hidden="false" customHeight="false" outlineLevel="0" collapsed="false">
      <c r="A2151" s="201"/>
      <c r="B2151" s="201"/>
      <c r="C2151" s="201"/>
      <c r="D2151" s="201"/>
      <c r="E2151" s="201"/>
      <c r="F2151" s="201"/>
      <c r="G2151" s="201"/>
      <c r="H2151" s="201"/>
      <c r="I2151" s="201"/>
      <c r="J2151" s="201"/>
      <c r="K2151" s="201"/>
    </row>
    <row r="2152" customFormat="false" ht="15" hidden="false" customHeight="false" outlineLevel="0" collapsed="false">
      <c r="A2152" s="201"/>
      <c r="B2152" s="201"/>
      <c r="C2152" s="201"/>
      <c r="D2152" s="201"/>
      <c r="E2152" s="201"/>
      <c r="F2152" s="201"/>
      <c r="G2152" s="201"/>
      <c r="H2152" s="201"/>
      <c r="I2152" s="201"/>
      <c r="J2152" s="201"/>
      <c r="K2152" s="201"/>
    </row>
    <row r="2153" customFormat="false" ht="15" hidden="false" customHeight="false" outlineLevel="0" collapsed="false">
      <c r="A2153" s="201"/>
      <c r="B2153" s="201"/>
      <c r="C2153" s="201"/>
      <c r="D2153" s="201"/>
      <c r="E2153" s="201"/>
      <c r="F2153" s="201"/>
      <c r="G2153" s="201"/>
      <c r="H2153" s="201"/>
      <c r="I2153" s="201"/>
      <c r="J2153" s="201"/>
      <c r="K2153" s="201"/>
    </row>
    <row r="2154" customFormat="false" ht="15" hidden="false" customHeight="false" outlineLevel="0" collapsed="false">
      <c r="A2154" s="201"/>
      <c r="B2154" s="201"/>
      <c r="C2154" s="201"/>
      <c r="D2154" s="201"/>
      <c r="E2154" s="201"/>
      <c r="F2154" s="201"/>
      <c r="G2154" s="201"/>
      <c r="H2154" s="201"/>
      <c r="I2154" s="201"/>
      <c r="J2154" s="201"/>
      <c r="K2154" s="201"/>
    </row>
    <row r="2155" customFormat="false" ht="15" hidden="false" customHeight="false" outlineLevel="0" collapsed="false">
      <c r="A2155" s="201"/>
      <c r="B2155" s="201"/>
      <c r="C2155" s="201"/>
      <c r="D2155" s="201"/>
      <c r="E2155" s="201"/>
      <c r="F2155" s="201"/>
      <c r="G2155" s="201"/>
      <c r="H2155" s="201"/>
      <c r="I2155" s="201"/>
      <c r="J2155" s="201"/>
      <c r="K2155" s="201"/>
    </row>
    <row r="2156" customFormat="false" ht="15" hidden="false" customHeight="false" outlineLevel="0" collapsed="false">
      <c r="A2156" s="201"/>
      <c r="B2156" s="201"/>
      <c r="C2156" s="201"/>
      <c r="D2156" s="201"/>
      <c r="E2156" s="201"/>
      <c r="F2156" s="201"/>
      <c r="G2156" s="201"/>
      <c r="H2156" s="201"/>
      <c r="I2156" s="201"/>
      <c r="J2156" s="201"/>
    </row>
    <row r="2157" customFormat="false" ht="15" hidden="false" customHeight="false" outlineLevel="0" collapsed="false">
      <c r="A2157" s="201"/>
      <c r="B2157" s="201"/>
      <c r="C2157" s="201"/>
      <c r="D2157" s="201"/>
      <c r="E2157" s="201"/>
      <c r="F2157" s="201"/>
      <c r="G2157" s="201"/>
      <c r="H2157" s="201"/>
      <c r="I2157" s="201"/>
      <c r="J2157" s="201"/>
    </row>
    <row r="2158" customFormat="false" ht="15" hidden="false" customHeight="false" outlineLevel="0" collapsed="false">
      <c r="A2158" s="201"/>
      <c r="B2158" s="201"/>
      <c r="C2158" s="201"/>
      <c r="D2158" s="201"/>
      <c r="E2158" s="201"/>
      <c r="F2158" s="201"/>
      <c r="G2158" s="201"/>
      <c r="H2158" s="201"/>
      <c r="I2158" s="201"/>
      <c r="J2158" s="201"/>
    </row>
    <row r="2159" customFormat="false" ht="15" hidden="false" customHeight="false" outlineLevel="0" collapsed="false">
      <c r="A2159" s="201"/>
      <c r="B2159" s="201"/>
      <c r="C2159" s="201"/>
      <c r="D2159" s="201"/>
      <c r="E2159" s="201"/>
      <c r="F2159" s="201"/>
      <c r="G2159" s="201"/>
      <c r="H2159" s="201"/>
      <c r="I2159" s="201"/>
      <c r="J2159" s="201"/>
    </row>
    <row r="2160" customFormat="false" ht="15" hidden="false" customHeight="false" outlineLevel="0" collapsed="false">
      <c r="A2160" s="201"/>
      <c r="B2160" s="201"/>
      <c r="C2160" s="201"/>
      <c r="D2160" s="201"/>
      <c r="E2160" s="201"/>
      <c r="F2160" s="201"/>
      <c r="G2160" s="201"/>
      <c r="H2160" s="201"/>
      <c r="I2160" s="201"/>
      <c r="J2160" s="201"/>
    </row>
    <row r="2161" customFormat="false" ht="15" hidden="false" customHeight="false" outlineLevel="0" collapsed="false">
      <c r="A2161" s="201"/>
      <c r="B2161" s="201"/>
      <c r="C2161" s="201"/>
      <c r="D2161" s="201"/>
      <c r="E2161" s="201"/>
      <c r="F2161" s="201"/>
      <c r="G2161" s="201"/>
      <c r="H2161" s="201"/>
      <c r="I2161" s="201"/>
      <c r="J2161" s="201"/>
    </row>
    <row r="2162" customFormat="false" ht="15" hidden="false" customHeight="false" outlineLevel="0" collapsed="false">
      <c r="A2162" s="201"/>
      <c r="B2162" s="201"/>
      <c r="C2162" s="201"/>
      <c r="D2162" s="201"/>
      <c r="E2162" s="201"/>
      <c r="F2162" s="201"/>
      <c r="G2162" s="201"/>
      <c r="H2162" s="201"/>
      <c r="I2162" s="201"/>
      <c r="J2162" s="201"/>
    </row>
    <row r="2163" customFormat="false" ht="15" hidden="false" customHeight="false" outlineLevel="0" collapsed="false">
      <c r="A2163" s="201"/>
      <c r="B2163" s="201"/>
      <c r="C2163" s="201"/>
      <c r="D2163" s="201"/>
      <c r="E2163" s="201"/>
      <c r="F2163" s="201"/>
      <c r="G2163" s="201"/>
      <c r="H2163" s="201"/>
      <c r="I2163" s="201"/>
      <c r="J2163" s="201"/>
    </row>
    <row r="2164" customFormat="false" ht="15" hidden="false" customHeight="false" outlineLevel="0" collapsed="false">
      <c r="A2164" s="201"/>
      <c r="B2164" s="201"/>
      <c r="C2164" s="201"/>
      <c r="D2164" s="201"/>
      <c r="E2164" s="201"/>
      <c r="F2164" s="201"/>
      <c r="G2164" s="201"/>
      <c r="H2164" s="201"/>
      <c r="I2164" s="201"/>
      <c r="J2164" s="201"/>
    </row>
    <row r="2165" customFormat="false" ht="15" hidden="false" customHeight="false" outlineLevel="0" collapsed="false">
      <c r="A2165" s="201"/>
      <c r="B2165" s="201"/>
      <c r="C2165" s="201"/>
      <c r="D2165" s="201"/>
      <c r="E2165" s="201"/>
      <c r="F2165" s="201"/>
      <c r="G2165" s="201"/>
      <c r="H2165" s="201"/>
      <c r="I2165" s="201"/>
      <c r="J2165" s="201"/>
    </row>
    <row r="2166" customFormat="false" ht="15" hidden="false" customHeight="false" outlineLevel="0" collapsed="false">
      <c r="A2166" s="201"/>
      <c r="B2166" s="201"/>
      <c r="C2166" s="201"/>
      <c r="D2166" s="201"/>
      <c r="E2166" s="201"/>
      <c r="F2166" s="201"/>
      <c r="G2166" s="201"/>
      <c r="H2166" s="201"/>
      <c r="I2166" s="201"/>
      <c r="J2166" s="201"/>
    </row>
    <row r="2167" customFormat="false" ht="15" hidden="false" customHeight="false" outlineLevel="0" collapsed="false">
      <c r="A2167" s="201"/>
      <c r="B2167" s="201"/>
      <c r="C2167" s="201"/>
      <c r="D2167" s="201"/>
      <c r="E2167" s="201"/>
      <c r="F2167" s="201"/>
      <c r="G2167" s="201"/>
      <c r="H2167" s="201"/>
      <c r="I2167" s="201"/>
      <c r="J2167" s="201"/>
    </row>
    <row r="2168" customFormat="false" ht="15" hidden="false" customHeight="false" outlineLevel="0" collapsed="false">
      <c r="A2168" s="201"/>
      <c r="B2168" s="201"/>
      <c r="C2168" s="201"/>
      <c r="D2168" s="201"/>
      <c r="E2168" s="201"/>
      <c r="F2168" s="201"/>
      <c r="G2168" s="201"/>
      <c r="H2168" s="201"/>
      <c r="I2168" s="201"/>
      <c r="J2168" s="201"/>
    </row>
    <row r="2169" customFormat="false" ht="15" hidden="false" customHeight="false" outlineLevel="0" collapsed="false">
      <c r="A2169" s="201"/>
      <c r="B2169" s="201"/>
      <c r="C2169" s="201"/>
      <c r="D2169" s="201"/>
      <c r="E2169" s="201"/>
      <c r="F2169" s="201"/>
      <c r="G2169" s="201"/>
      <c r="H2169" s="201"/>
      <c r="I2169" s="201"/>
      <c r="J2169" s="201"/>
    </row>
    <row r="2170" customFormat="false" ht="15" hidden="false" customHeight="false" outlineLevel="0" collapsed="false">
      <c r="A2170" s="201"/>
      <c r="B2170" s="201"/>
      <c r="C2170" s="201"/>
      <c r="D2170" s="201"/>
      <c r="E2170" s="201"/>
      <c r="F2170" s="201"/>
      <c r="G2170" s="201"/>
      <c r="H2170" s="201"/>
      <c r="I2170" s="201"/>
      <c r="J2170" s="201"/>
    </row>
    <row r="2171" customFormat="false" ht="15" hidden="false" customHeight="false" outlineLevel="0" collapsed="false">
      <c r="A2171" s="201"/>
      <c r="B2171" s="201"/>
      <c r="C2171" s="201"/>
      <c r="D2171" s="201"/>
      <c r="E2171" s="201"/>
      <c r="F2171" s="201"/>
      <c r="G2171" s="201"/>
      <c r="H2171" s="201"/>
      <c r="I2171" s="201"/>
      <c r="J2171" s="201"/>
    </row>
    <row r="2172" customFormat="false" ht="15" hidden="false" customHeight="false" outlineLevel="0" collapsed="false">
      <c r="A2172" s="201"/>
      <c r="B2172" s="201"/>
      <c r="C2172" s="201"/>
      <c r="D2172" s="201"/>
      <c r="E2172" s="201"/>
      <c r="F2172" s="201"/>
      <c r="G2172" s="201"/>
      <c r="H2172" s="201"/>
      <c r="I2172" s="201"/>
      <c r="J2172" s="201"/>
    </row>
    <row r="2173" customFormat="false" ht="15" hidden="false" customHeight="false" outlineLevel="0" collapsed="false">
      <c r="A2173" s="201"/>
      <c r="B2173" s="201"/>
      <c r="C2173" s="201"/>
      <c r="D2173" s="201"/>
      <c r="E2173" s="201"/>
      <c r="F2173" s="201"/>
      <c r="G2173" s="201"/>
      <c r="H2173" s="201"/>
      <c r="I2173" s="201"/>
      <c r="J2173" s="201"/>
    </row>
    <row r="2174" customFormat="false" ht="15" hidden="false" customHeight="false" outlineLevel="0" collapsed="false">
      <c r="A2174" s="201"/>
      <c r="B2174" s="201"/>
      <c r="C2174" s="201"/>
      <c r="D2174" s="201"/>
      <c r="E2174" s="201"/>
      <c r="F2174" s="201"/>
      <c r="G2174" s="201"/>
      <c r="H2174" s="201"/>
      <c r="I2174" s="201"/>
      <c r="J2174" s="201"/>
    </row>
    <row r="2175" customFormat="false" ht="15" hidden="false" customHeight="false" outlineLevel="0" collapsed="false">
      <c r="A2175" s="201"/>
      <c r="B2175" s="201"/>
      <c r="C2175" s="201"/>
      <c r="D2175" s="201"/>
      <c r="E2175" s="201"/>
      <c r="F2175" s="201"/>
      <c r="G2175" s="201"/>
      <c r="H2175" s="201"/>
      <c r="I2175" s="201"/>
      <c r="J2175" s="201"/>
    </row>
    <row r="2176" customFormat="false" ht="15" hidden="false" customHeight="false" outlineLevel="0" collapsed="false">
      <c r="A2176" s="201"/>
      <c r="B2176" s="201"/>
      <c r="C2176" s="201"/>
      <c r="D2176" s="201"/>
      <c r="E2176" s="201"/>
      <c r="F2176" s="201"/>
      <c r="G2176" s="201"/>
      <c r="H2176" s="201"/>
      <c r="I2176" s="201"/>
      <c r="J2176" s="201"/>
    </row>
    <row r="2177" customFormat="false" ht="15" hidden="false" customHeight="false" outlineLevel="0" collapsed="false">
      <c r="A2177" s="201"/>
      <c r="B2177" s="201"/>
      <c r="C2177" s="201"/>
      <c r="D2177" s="201"/>
      <c r="E2177" s="201"/>
      <c r="F2177" s="201"/>
      <c r="G2177" s="201"/>
      <c r="H2177" s="201"/>
      <c r="I2177" s="201"/>
      <c r="J2177" s="201"/>
    </row>
    <row r="2178" customFormat="false" ht="15" hidden="false" customHeight="false" outlineLevel="0" collapsed="false">
      <c r="A2178" s="201"/>
      <c r="B2178" s="201"/>
      <c r="C2178" s="201"/>
      <c r="D2178" s="201"/>
      <c r="E2178" s="201"/>
      <c r="F2178" s="201"/>
      <c r="G2178" s="201"/>
      <c r="H2178" s="201"/>
      <c r="I2178" s="201"/>
      <c r="J2178" s="201"/>
    </row>
    <row r="2179" customFormat="false" ht="15" hidden="false" customHeight="false" outlineLevel="0" collapsed="false">
      <c r="A2179" s="201"/>
      <c r="B2179" s="201"/>
      <c r="C2179" s="201"/>
      <c r="D2179" s="201"/>
      <c r="E2179" s="201"/>
      <c r="F2179" s="201"/>
      <c r="G2179" s="201"/>
      <c r="H2179" s="201"/>
      <c r="I2179" s="201"/>
      <c r="J2179" s="201"/>
    </row>
    <row r="2180" customFormat="false" ht="15" hidden="false" customHeight="false" outlineLevel="0" collapsed="false">
      <c r="A2180" s="201"/>
      <c r="B2180" s="201"/>
      <c r="C2180" s="201"/>
      <c r="D2180" s="201"/>
      <c r="E2180" s="201"/>
      <c r="F2180" s="201"/>
      <c r="G2180" s="201"/>
      <c r="H2180" s="201"/>
      <c r="I2180" s="201"/>
      <c r="J2180" s="201"/>
    </row>
    <row r="2181" customFormat="false" ht="15" hidden="false" customHeight="false" outlineLevel="0" collapsed="false">
      <c r="A2181" s="201"/>
      <c r="B2181" s="201"/>
      <c r="C2181" s="201"/>
      <c r="D2181" s="201"/>
      <c r="E2181" s="201"/>
      <c r="F2181" s="201"/>
      <c r="G2181" s="201"/>
      <c r="H2181" s="201"/>
      <c r="I2181" s="201"/>
      <c r="J2181" s="201"/>
    </row>
    <row r="2182" customFormat="false" ht="15" hidden="false" customHeight="false" outlineLevel="0" collapsed="false">
      <c r="A2182" s="201"/>
      <c r="B2182" s="201"/>
      <c r="C2182" s="201"/>
      <c r="D2182" s="201"/>
      <c r="E2182" s="201"/>
      <c r="F2182" s="201"/>
      <c r="G2182" s="201"/>
      <c r="H2182" s="201"/>
      <c r="I2182" s="201"/>
      <c r="J2182" s="201"/>
    </row>
    <row r="2183" customFormat="false" ht="15" hidden="false" customHeight="false" outlineLevel="0" collapsed="false">
      <c r="A2183" s="201"/>
      <c r="B2183" s="201"/>
      <c r="C2183" s="201"/>
      <c r="D2183" s="201"/>
      <c r="E2183" s="201"/>
      <c r="F2183" s="201"/>
      <c r="G2183" s="201"/>
      <c r="H2183" s="201"/>
      <c r="I2183" s="201"/>
      <c r="J2183" s="201"/>
    </row>
    <row r="2184" customFormat="false" ht="15" hidden="false" customHeight="false" outlineLevel="0" collapsed="false">
      <c r="A2184" s="201"/>
      <c r="B2184" s="201"/>
      <c r="C2184" s="201"/>
      <c r="D2184" s="201"/>
      <c r="E2184" s="201"/>
      <c r="F2184" s="201"/>
      <c r="G2184" s="201"/>
      <c r="H2184" s="201"/>
      <c r="I2184" s="201"/>
      <c r="J2184" s="201"/>
    </row>
    <row r="2185" customFormat="false" ht="15" hidden="false" customHeight="false" outlineLevel="0" collapsed="false">
      <c r="A2185" s="201"/>
      <c r="B2185" s="201"/>
      <c r="C2185" s="201"/>
      <c r="D2185" s="201"/>
      <c r="E2185" s="201"/>
      <c r="F2185" s="201"/>
      <c r="G2185" s="201"/>
      <c r="H2185" s="201"/>
      <c r="I2185" s="201"/>
      <c r="J2185" s="201"/>
    </row>
    <row r="2186" customFormat="false" ht="15" hidden="false" customHeight="false" outlineLevel="0" collapsed="false">
      <c r="A2186" s="201"/>
      <c r="B2186" s="201"/>
      <c r="C2186" s="201"/>
      <c r="D2186" s="201"/>
      <c r="E2186" s="201"/>
      <c r="F2186" s="201"/>
      <c r="G2186" s="201"/>
      <c r="H2186" s="201"/>
      <c r="I2186" s="201"/>
      <c r="J2186" s="201"/>
    </row>
    <row r="2187" customFormat="false" ht="15" hidden="false" customHeight="false" outlineLevel="0" collapsed="false">
      <c r="A2187" s="201"/>
      <c r="B2187" s="201"/>
      <c r="C2187" s="201"/>
      <c r="D2187" s="201"/>
      <c r="E2187" s="201"/>
      <c r="F2187" s="201"/>
      <c r="G2187" s="201"/>
      <c r="H2187" s="201"/>
      <c r="I2187" s="201"/>
      <c r="J2187" s="201"/>
    </row>
    <row r="2188" customFormat="false" ht="15" hidden="false" customHeight="false" outlineLevel="0" collapsed="false">
      <c r="A2188" s="201"/>
      <c r="B2188" s="201"/>
      <c r="C2188" s="201"/>
      <c r="D2188" s="201"/>
      <c r="E2188" s="201"/>
      <c r="F2188" s="201"/>
      <c r="G2188" s="201"/>
      <c r="H2188" s="201"/>
      <c r="I2188" s="201"/>
      <c r="J2188" s="201"/>
    </row>
    <row r="2189" customFormat="false" ht="15" hidden="false" customHeight="false" outlineLevel="0" collapsed="false">
      <c r="A2189" s="201"/>
      <c r="B2189" s="201"/>
      <c r="C2189" s="201"/>
      <c r="D2189" s="201"/>
      <c r="E2189" s="201"/>
      <c r="F2189" s="201"/>
      <c r="G2189" s="201"/>
      <c r="H2189" s="201"/>
      <c r="I2189" s="201"/>
      <c r="J2189" s="201"/>
    </row>
    <row r="2190" customFormat="false" ht="15" hidden="false" customHeight="false" outlineLevel="0" collapsed="false">
      <c r="A2190" s="201"/>
      <c r="B2190" s="201"/>
      <c r="C2190" s="201"/>
      <c r="D2190" s="201"/>
      <c r="E2190" s="201"/>
      <c r="F2190" s="201"/>
      <c r="G2190" s="201"/>
      <c r="H2190" s="201"/>
      <c r="I2190" s="201"/>
      <c r="J2190" s="201"/>
    </row>
    <row r="2191" customFormat="false" ht="15" hidden="false" customHeight="false" outlineLevel="0" collapsed="false">
      <c r="A2191" s="201"/>
      <c r="B2191" s="201"/>
      <c r="C2191" s="201"/>
      <c r="D2191" s="201"/>
      <c r="E2191" s="201"/>
      <c r="F2191" s="201"/>
      <c r="G2191" s="201"/>
      <c r="H2191" s="201"/>
      <c r="I2191" s="201"/>
      <c r="J2191" s="201"/>
    </row>
    <row r="2192" customFormat="false" ht="15" hidden="false" customHeight="false" outlineLevel="0" collapsed="false">
      <c r="A2192" s="201"/>
      <c r="B2192" s="201"/>
      <c r="C2192" s="201"/>
      <c r="D2192" s="201"/>
      <c r="E2192" s="201"/>
      <c r="F2192" s="201"/>
      <c r="G2192" s="201"/>
      <c r="H2192" s="201"/>
      <c r="I2192" s="201"/>
      <c r="J2192" s="201"/>
    </row>
    <row r="2193" customFormat="false" ht="15" hidden="false" customHeight="false" outlineLevel="0" collapsed="false">
      <c r="A2193" s="201"/>
      <c r="B2193" s="201"/>
      <c r="C2193" s="201"/>
      <c r="D2193" s="201"/>
      <c r="E2193" s="201"/>
      <c r="F2193" s="201"/>
      <c r="G2193" s="201"/>
      <c r="H2193" s="201"/>
      <c r="I2193" s="201"/>
      <c r="J2193" s="201"/>
    </row>
    <row r="2194" customFormat="false" ht="15" hidden="false" customHeight="false" outlineLevel="0" collapsed="false">
      <c r="A2194" s="201"/>
      <c r="B2194" s="201"/>
      <c r="C2194" s="201"/>
      <c r="D2194" s="201"/>
      <c r="E2194" s="201"/>
      <c r="F2194" s="201"/>
      <c r="G2194" s="201"/>
      <c r="H2194" s="201"/>
      <c r="I2194" s="201"/>
      <c r="J2194" s="201"/>
    </row>
    <row r="2195" customFormat="false" ht="15" hidden="false" customHeight="false" outlineLevel="0" collapsed="false">
      <c r="A2195" s="201"/>
      <c r="B2195" s="201"/>
      <c r="C2195" s="201"/>
      <c r="D2195" s="201"/>
      <c r="E2195" s="201"/>
      <c r="F2195" s="201"/>
      <c r="G2195" s="201"/>
      <c r="H2195" s="201"/>
      <c r="I2195" s="201"/>
      <c r="J2195" s="201"/>
    </row>
    <row r="2196" customFormat="false" ht="15" hidden="false" customHeight="false" outlineLevel="0" collapsed="false">
      <c r="A2196" s="201"/>
      <c r="B2196" s="201"/>
      <c r="C2196" s="201"/>
      <c r="D2196" s="201"/>
      <c r="E2196" s="201"/>
      <c r="F2196" s="201"/>
      <c r="G2196" s="201"/>
      <c r="H2196" s="201"/>
      <c r="I2196" s="201"/>
      <c r="J2196" s="201"/>
    </row>
    <row r="2197" customFormat="false" ht="15" hidden="false" customHeight="false" outlineLevel="0" collapsed="false">
      <c r="A2197" s="201"/>
      <c r="B2197" s="201"/>
      <c r="C2197" s="201"/>
      <c r="D2197" s="201"/>
      <c r="E2197" s="201"/>
      <c r="F2197" s="201"/>
      <c r="G2197" s="201"/>
      <c r="H2197" s="201"/>
      <c r="I2197" s="201"/>
      <c r="J2197" s="201"/>
    </row>
    <row r="2198" customFormat="false" ht="15" hidden="false" customHeight="false" outlineLevel="0" collapsed="false">
      <c r="A2198" s="201"/>
      <c r="B2198" s="201"/>
      <c r="C2198" s="201"/>
      <c r="D2198" s="201"/>
      <c r="E2198" s="201"/>
      <c r="F2198" s="201"/>
      <c r="G2198" s="201"/>
      <c r="H2198" s="201"/>
      <c r="I2198" s="201"/>
      <c r="J2198" s="201"/>
    </row>
    <row r="2199" customFormat="false" ht="15" hidden="false" customHeight="false" outlineLevel="0" collapsed="false">
      <c r="A2199" s="201"/>
      <c r="B2199" s="201"/>
      <c r="C2199" s="201"/>
      <c r="D2199" s="201"/>
      <c r="E2199" s="201"/>
      <c r="F2199" s="201"/>
      <c r="G2199" s="201"/>
      <c r="H2199" s="201"/>
      <c r="I2199" s="201"/>
      <c r="J2199" s="201"/>
    </row>
    <row r="2200" customFormat="false" ht="15" hidden="false" customHeight="false" outlineLevel="0" collapsed="false">
      <c r="A2200" s="201"/>
      <c r="B2200" s="201"/>
      <c r="C2200" s="201"/>
      <c r="D2200" s="201"/>
      <c r="E2200" s="201"/>
      <c r="F2200" s="201"/>
      <c r="G2200" s="201"/>
      <c r="H2200" s="201"/>
      <c r="I2200" s="201"/>
      <c r="J2200" s="201"/>
    </row>
    <row r="2201" customFormat="false" ht="15" hidden="false" customHeight="false" outlineLevel="0" collapsed="false">
      <c r="A2201" s="201"/>
      <c r="B2201" s="201"/>
      <c r="C2201" s="201"/>
      <c r="D2201" s="201"/>
      <c r="E2201" s="201"/>
      <c r="F2201" s="201"/>
      <c r="G2201" s="201"/>
      <c r="H2201" s="201"/>
      <c r="I2201" s="201"/>
      <c r="J2201" s="201"/>
    </row>
    <row r="2202" customFormat="false" ht="15" hidden="false" customHeight="false" outlineLevel="0" collapsed="false">
      <c r="A2202" s="201"/>
      <c r="B2202" s="201"/>
      <c r="C2202" s="201"/>
      <c r="D2202" s="201"/>
      <c r="E2202" s="201"/>
      <c r="F2202" s="201"/>
      <c r="G2202" s="201"/>
      <c r="H2202" s="201"/>
      <c r="I2202" s="201"/>
      <c r="J2202" s="201"/>
    </row>
    <row r="2203" customFormat="false" ht="15" hidden="false" customHeight="false" outlineLevel="0" collapsed="false">
      <c r="A2203" s="201"/>
      <c r="B2203" s="201"/>
      <c r="C2203" s="201"/>
      <c r="D2203" s="201"/>
      <c r="E2203" s="201"/>
      <c r="F2203" s="201"/>
      <c r="G2203" s="201"/>
      <c r="H2203" s="201"/>
      <c r="I2203" s="201"/>
      <c r="J2203" s="201"/>
    </row>
    <row r="2204" customFormat="false" ht="15" hidden="false" customHeight="false" outlineLevel="0" collapsed="false">
      <c r="A2204" s="201"/>
      <c r="B2204" s="201"/>
      <c r="C2204" s="201"/>
      <c r="D2204" s="201"/>
      <c r="E2204" s="201"/>
      <c r="F2204" s="201"/>
      <c r="G2204" s="201"/>
      <c r="H2204" s="201"/>
      <c r="I2204" s="201"/>
      <c r="J2204" s="201"/>
    </row>
    <row r="2205" customFormat="false" ht="15" hidden="false" customHeight="false" outlineLevel="0" collapsed="false">
      <c r="A2205" s="201"/>
      <c r="B2205" s="201"/>
      <c r="C2205" s="201"/>
      <c r="D2205" s="201"/>
      <c r="E2205" s="201"/>
      <c r="F2205" s="201"/>
      <c r="G2205" s="201"/>
      <c r="H2205" s="201"/>
      <c r="I2205" s="201"/>
      <c r="J2205" s="201"/>
    </row>
    <row r="2206" customFormat="false" ht="15" hidden="false" customHeight="false" outlineLevel="0" collapsed="false">
      <c r="A2206" s="201"/>
      <c r="B2206" s="201"/>
      <c r="C2206" s="201"/>
      <c r="D2206" s="201"/>
      <c r="E2206" s="201"/>
      <c r="F2206" s="201"/>
      <c r="G2206" s="201"/>
      <c r="H2206" s="201"/>
      <c r="I2206" s="201"/>
      <c r="J2206" s="201"/>
    </row>
    <row r="2207" customFormat="false" ht="15" hidden="false" customHeight="false" outlineLevel="0" collapsed="false">
      <c r="A2207" s="201"/>
      <c r="B2207" s="201"/>
      <c r="C2207" s="201"/>
      <c r="D2207" s="201"/>
      <c r="E2207" s="201"/>
      <c r="F2207" s="201"/>
      <c r="G2207" s="201"/>
      <c r="H2207" s="201"/>
      <c r="I2207" s="201"/>
      <c r="J2207" s="201"/>
    </row>
    <row r="2208" customFormat="false" ht="15" hidden="false" customHeight="false" outlineLevel="0" collapsed="false">
      <c r="A2208" s="201"/>
      <c r="B2208" s="201"/>
      <c r="C2208" s="201"/>
      <c r="D2208" s="201"/>
      <c r="E2208" s="201"/>
      <c r="F2208" s="201"/>
      <c r="G2208" s="201"/>
      <c r="H2208" s="201"/>
      <c r="I2208" s="201"/>
      <c r="J2208" s="201"/>
    </row>
    <row r="2209" customFormat="false" ht="15" hidden="false" customHeight="false" outlineLevel="0" collapsed="false">
      <c r="A2209" s="201"/>
      <c r="B2209" s="201"/>
      <c r="C2209" s="201"/>
      <c r="D2209" s="201"/>
      <c r="E2209" s="201"/>
      <c r="F2209" s="201"/>
      <c r="G2209" s="201"/>
      <c r="H2209" s="201"/>
      <c r="I2209" s="201"/>
      <c r="J2209" s="201"/>
    </row>
    <row r="2210" customFormat="false" ht="15" hidden="false" customHeight="false" outlineLevel="0" collapsed="false">
      <c r="A2210" s="201"/>
      <c r="B2210" s="201"/>
      <c r="C2210" s="201"/>
      <c r="D2210" s="201"/>
      <c r="E2210" s="201"/>
      <c r="F2210" s="201"/>
      <c r="G2210" s="201"/>
      <c r="H2210" s="201"/>
      <c r="I2210" s="201"/>
      <c r="J2210" s="201"/>
    </row>
    <row r="2211" customFormat="false" ht="15" hidden="false" customHeight="false" outlineLevel="0" collapsed="false">
      <c r="A2211" s="201"/>
      <c r="B2211" s="201"/>
      <c r="C2211" s="201"/>
      <c r="D2211" s="201"/>
      <c r="E2211" s="201"/>
      <c r="F2211" s="201"/>
      <c r="G2211" s="201"/>
      <c r="H2211" s="201"/>
      <c r="I2211" s="201"/>
      <c r="J2211" s="201"/>
    </row>
    <row r="2212" customFormat="false" ht="15" hidden="false" customHeight="false" outlineLevel="0" collapsed="false">
      <c r="A2212" s="201"/>
      <c r="B2212" s="201"/>
      <c r="C2212" s="201"/>
      <c r="D2212" s="201"/>
      <c r="E2212" s="201"/>
      <c r="F2212" s="201"/>
      <c r="G2212" s="201"/>
      <c r="H2212" s="201"/>
      <c r="I2212" s="201"/>
      <c r="J2212" s="201"/>
    </row>
    <row r="2213" customFormat="false" ht="15" hidden="false" customHeight="false" outlineLevel="0" collapsed="false">
      <c r="A2213" s="201"/>
      <c r="B2213" s="201"/>
      <c r="C2213" s="201"/>
      <c r="D2213" s="201"/>
      <c r="E2213" s="201"/>
      <c r="F2213" s="201"/>
      <c r="G2213" s="201"/>
      <c r="H2213" s="201"/>
      <c r="I2213" s="201"/>
      <c r="J2213" s="201"/>
    </row>
    <row r="2214" customFormat="false" ht="15" hidden="false" customHeight="false" outlineLevel="0" collapsed="false">
      <c r="A2214" s="201"/>
      <c r="B2214" s="201"/>
      <c r="C2214" s="201"/>
      <c r="D2214" s="201"/>
      <c r="E2214" s="201"/>
      <c r="F2214" s="201"/>
      <c r="G2214" s="201"/>
      <c r="H2214" s="201"/>
      <c r="I2214" s="201"/>
      <c r="J2214" s="201"/>
    </row>
    <row r="2215" customFormat="false" ht="15" hidden="false" customHeight="false" outlineLevel="0" collapsed="false">
      <c r="A2215" s="201"/>
      <c r="B2215" s="201"/>
      <c r="C2215" s="201"/>
      <c r="D2215" s="201"/>
      <c r="E2215" s="201"/>
      <c r="F2215" s="201"/>
      <c r="G2215" s="201"/>
      <c r="H2215" s="201"/>
      <c r="I2215" s="201"/>
      <c r="J2215" s="201"/>
    </row>
    <row r="2216" customFormat="false" ht="15" hidden="false" customHeight="false" outlineLevel="0" collapsed="false">
      <c r="A2216" s="201"/>
      <c r="B2216" s="201"/>
      <c r="C2216" s="201"/>
      <c r="D2216" s="201"/>
      <c r="E2216" s="201"/>
      <c r="F2216" s="201"/>
      <c r="G2216" s="201"/>
      <c r="H2216" s="201"/>
      <c r="I2216" s="201"/>
      <c r="J2216" s="201"/>
    </row>
    <row r="2217" customFormat="false" ht="15" hidden="false" customHeight="false" outlineLevel="0" collapsed="false">
      <c r="A2217" s="201"/>
      <c r="B2217" s="201"/>
      <c r="C2217" s="201"/>
      <c r="D2217" s="201"/>
      <c r="E2217" s="201"/>
      <c r="F2217" s="201"/>
      <c r="G2217" s="201"/>
      <c r="H2217" s="201"/>
      <c r="I2217" s="201"/>
      <c r="J2217" s="201"/>
    </row>
    <row r="2218" customFormat="false" ht="15" hidden="false" customHeight="false" outlineLevel="0" collapsed="false">
      <c r="A2218" s="201"/>
      <c r="B2218" s="201"/>
      <c r="C2218" s="201"/>
      <c r="D2218" s="201"/>
      <c r="E2218" s="201"/>
      <c r="F2218" s="201"/>
      <c r="G2218" s="201"/>
      <c r="H2218" s="201"/>
      <c r="I2218" s="201"/>
      <c r="J2218" s="201"/>
    </row>
    <row r="2219" customFormat="false" ht="15" hidden="false" customHeight="false" outlineLevel="0" collapsed="false">
      <c r="A2219" s="201"/>
      <c r="B2219" s="201"/>
      <c r="C2219" s="201"/>
      <c r="D2219" s="201"/>
      <c r="E2219" s="201"/>
      <c r="F2219" s="201"/>
      <c r="G2219" s="201"/>
      <c r="H2219" s="201"/>
      <c r="I2219" s="201"/>
      <c r="J2219" s="201"/>
    </row>
    <row r="2220" customFormat="false" ht="15" hidden="false" customHeight="false" outlineLevel="0" collapsed="false">
      <c r="A2220" s="201"/>
      <c r="B2220" s="201"/>
      <c r="C2220" s="201"/>
      <c r="D2220" s="201"/>
      <c r="E2220" s="201"/>
      <c r="F2220" s="201"/>
      <c r="G2220" s="201"/>
      <c r="H2220" s="201"/>
      <c r="I2220" s="201"/>
      <c r="J2220" s="201"/>
    </row>
    <row r="2221" customFormat="false" ht="15" hidden="false" customHeight="false" outlineLevel="0" collapsed="false">
      <c r="A2221" s="201"/>
      <c r="B2221" s="201"/>
      <c r="C2221" s="201"/>
      <c r="D2221" s="201"/>
      <c r="E2221" s="201"/>
      <c r="F2221" s="201"/>
      <c r="G2221" s="201"/>
      <c r="H2221" s="201"/>
      <c r="I2221" s="201"/>
      <c r="J2221" s="201"/>
    </row>
    <row r="2222" customFormat="false" ht="15" hidden="false" customHeight="false" outlineLevel="0" collapsed="false">
      <c r="A2222" s="201"/>
      <c r="B2222" s="201"/>
      <c r="C2222" s="201"/>
      <c r="D2222" s="201"/>
      <c r="E2222" s="201"/>
      <c r="F2222" s="201"/>
      <c r="G2222" s="201"/>
      <c r="H2222" s="201"/>
      <c r="I2222" s="201"/>
      <c r="J2222" s="201"/>
    </row>
    <row r="2223" customFormat="false" ht="15" hidden="false" customHeight="false" outlineLevel="0" collapsed="false">
      <c r="A2223" s="201"/>
      <c r="B2223" s="201"/>
      <c r="C2223" s="201"/>
      <c r="D2223" s="201"/>
      <c r="E2223" s="201"/>
      <c r="F2223" s="201"/>
      <c r="G2223" s="201"/>
      <c r="H2223" s="201"/>
      <c r="I2223" s="201"/>
      <c r="J2223" s="201"/>
    </row>
    <row r="2224" customFormat="false" ht="15" hidden="false" customHeight="false" outlineLevel="0" collapsed="false">
      <c r="A2224" s="201"/>
      <c r="B2224" s="201"/>
      <c r="C2224" s="201"/>
      <c r="D2224" s="201"/>
      <c r="E2224" s="201"/>
      <c r="F2224" s="201"/>
      <c r="G2224" s="201"/>
      <c r="H2224" s="201"/>
      <c r="I2224" s="201"/>
      <c r="J2224" s="201"/>
    </row>
    <row r="2225" customFormat="false" ht="15" hidden="false" customHeight="false" outlineLevel="0" collapsed="false">
      <c r="A2225" s="201"/>
      <c r="B2225" s="201"/>
      <c r="C2225" s="201"/>
      <c r="D2225" s="201"/>
      <c r="E2225" s="201"/>
      <c r="F2225" s="201"/>
      <c r="G2225" s="201"/>
      <c r="H2225" s="201"/>
      <c r="I2225" s="201"/>
      <c r="J2225" s="201"/>
    </row>
    <row r="2226" customFormat="false" ht="15" hidden="false" customHeight="false" outlineLevel="0" collapsed="false">
      <c r="A2226" s="201"/>
      <c r="B2226" s="201"/>
      <c r="C2226" s="201"/>
      <c r="D2226" s="201"/>
      <c r="E2226" s="201"/>
      <c r="F2226" s="201"/>
      <c r="G2226" s="201"/>
      <c r="H2226" s="201"/>
      <c r="I2226" s="201"/>
      <c r="J2226" s="201"/>
    </row>
    <row r="2227" customFormat="false" ht="15" hidden="false" customHeight="false" outlineLevel="0" collapsed="false">
      <c r="A2227" s="201"/>
      <c r="B2227" s="201"/>
      <c r="C2227" s="201"/>
      <c r="D2227" s="201"/>
      <c r="E2227" s="201"/>
      <c r="F2227" s="201"/>
      <c r="G2227" s="201"/>
      <c r="H2227" s="201"/>
      <c r="I2227" s="201"/>
      <c r="J2227" s="201"/>
    </row>
    <row r="2228" customFormat="false" ht="15" hidden="false" customHeight="false" outlineLevel="0" collapsed="false">
      <c r="A2228" s="201"/>
      <c r="B2228" s="201"/>
      <c r="C2228" s="201"/>
      <c r="D2228" s="201"/>
      <c r="E2228" s="201"/>
      <c r="F2228" s="201"/>
      <c r="G2228" s="201"/>
      <c r="H2228" s="201"/>
      <c r="I2228" s="201"/>
      <c r="J2228" s="201"/>
    </row>
    <row r="2229" customFormat="false" ht="15" hidden="false" customHeight="false" outlineLevel="0" collapsed="false">
      <c r="A2229" s="201"/>
      <c r="B2229" s="201"/>
      <c r="C2229" s="201"/>
      <c r="D2229" s="201"/>
      <c r="E2229" s="201"/>
      <c r="F2229" s="201"/>
      <c r="G2229" s="201"/>
      <c r="H2229" s="201"/>
      <c r="I2229" s="201"/>
      <c r="J2229" s="201"/>
    </row>
    <row r="2230" customFormat="false" ht="15" hidden="false" customHeight="false" outlineLevel="0" collapsed="false">
      <c r="A2230" s="201"/>
      <c r="B2230" s="201"/>
      <c r="C2230" s="201"/>
      <c r="D2230" s="201"/>
      <c r="E2230" s="201"/>
      <c r="F2230" s="201"/>
      <c r="G2230" s="201"/>
      <c r="H2230" s="201"/>
      <c r="I2230" s="201"/>
      <c r="J2230" s="201"/>
    </row>
    <row r="2231" customFormat="false" ht="15" hidden="false" customHeight="false" outlineLevel="0" collapsed="false">
      <c r="A2231" s="201"/>
      <c r="B2231" s="201"/>
      <c r="C2231" s="201"/>
      <c r="D2231" s="201"/>
      <c r="E2231" s="201"/>
      <c r="F2231" s="201"/>
      <c r="G2231" s="201"/>
      <c r="H2231" s="201"/>
      <c r="I2231" s="201"/>
      <c r="J2231" s="201"/>
    </row>
    <row r="2232" customFormat="false" ht="15" hidden="false" customHeight="false" outlineLevel="0" collapsed="false">
      <c r="A2232" s="201"/>
      <c r="B2232" s="201"/>
      <c r="C2232" s="201"/>
      <c r="D2232" s="201"/>
      <c r="E2232" s="201"/>
      <c r="F2232" s="201"/>
      <c r="G2232" s="201"/>
      <c r="H2232" s="201"/>
      <c r="I2232" s="201"/>
      <c r="J2232" s="201"/>
    </row>
    <row r="2233" customFormat="false" ht="15" hidden="false" customHeight="false" outlineLevel="0" collapsed="false">
      <c r="A2233" s="201"/>
      <c r="B2233" s="201"/>
      <c r="C2233" s="201"/>
      <c r="D2233" s="201"/>
      <c r="E2233" s="201"/>
      <c r="F2233" s="201"/>
      <c r="G2233" s="201"/>
      <c r="H2233" s="201"/>
      <c r="I2233" s="201"/>
      <c r="J2233" s="201"/>
    </row>
    <row r="2234" customFormat="false" ht="15" hidden="false" customHeight="false" outlineLevel="0" collapsed="false">
      <c r="A2234" s="201"/>
      <c r="B2234" s="201"/>
      <c r="C2234" s="201"/>
      <c r="D2234" s="201"/>
      <c r="E2234" s="201"/>
      <c r="F2234" s="201"/>
      <c r="G2234" s="201"/>
      <c r="H2234" s="201"/>
      <c r="I2234" s="201"/>
      <c r="J2234" s="201"/>
    </row>
    <row r="2235" customFormat="false" ht="15" hidden="false" customHeight="false" outlineLevel="0" collapsed="false">
      <c r="A2235" s="201"/>
      <c r="B2235" s="201"/>
      <c r="C2235" s="201"/>
      <c r="D2235" s="201"/>
      <c r="E2235" s="201"/>
      <c r="F2235" s="201"/>
      <c r="G2235" s="201"/>
      <c r="H2235" s="201"/>
      <c r="I2235" s="201"/>
      <c r="J2235" s="201"/>
    </row>
    <row r="2236" customFormat="false" ht="15" hidden="false" customHeight="false" outlineLevel="0" collapsed="false">
      <c r="A2236" s="201"/>
      <c r="B2236" s="201"/>
      <c r="C2236" s="201"/>
      <c r="D2236" s="201"/>
      <c r="E2236" s="201"/>
      <c r="F2236" s="201"/>
      <c r="G2236" s="201"/>
      <c r="H2236" s="201"/>
      <c r="I2236" s="201"/>
      <c r="J2236" s="201"/>
    </row>
    <row r="2237" customFormat="false" ht="15" hidden="false" customHeight="false" outlineLevel="0" collapsed="false">
      <c r="A2237" s="201"/>
      <c r="B2237" s="201"/>
      <c r="C2237" s="201"/>
      <c r="D2237" s="201"/>
      <c r="E2237" s="201"/>
      <c r="F2237" s="201"/>
      <c r="G2237" s="201"/>
      <c r="H2237" s="201"/>
      <c r="I2237" s="201"/>
      <c r="J2237" s="201"/>
    </row>
    <row r="2238" customFormat="false" ht="15" hidden="false" customHeight="false" outlineLevel="0" collapsed="false">
      <c r="A2238" s="201"/>
      <c r="B2238" s="201"/>
      <c r="C2238" s="201"/>
      <c r="D2238" s="201"/>
      <c r="E2238" s="201"/>
      <c r="F2238" s="201"/>
      <c r="G2238" s="201"/>
      <c r="H2238" s="201"/>
      <c r="I2238" s="201"/>
      <c r="J2238" s="201"/>
    </row>
    <row r="2239" customFormat="false" ht="15" hidden="false" customHeight="false" outlineLevel="0" collapsed="false">
      <c r="A2239" s="201"/>
      <c r="B2239" s="201"/>
      <c r="C2239" s="201"/>
      <c r="D2239" s="201"/>
      <c r="E2239" s="201"/>
      <c r="F2239" s="201"/>
      <c r="G2239" s="201"/>
      <c r="H2239" s="201"/>
      <c r="I2239" s="201"/>
      <c r="J2239" s="201"/>
    </row>
    <row r="2240" customFormat="false" ht="15" hidden="false" customHeight="false" outlineLevel="0" collapsed="false">
      <c r="A2240" s="201"/>
      <c r="B2240" s="201"/>
      <c r="C2240" s="201"/>
      <c r="D2240" s="201"/>
      <c r="E2240" s="201"/>
      <c r="F2240" s="201"/>
      <c r="G2240" s="201"/>
      <c r="H2240" s="201"/>
      <c r="I2240" s="201"/>
      <c r="J2240" s="201"/>
    </row>
    <row r="2241" customFormat="false" ht="15" hidden="false" customHeight="false" outlineLevel="0" collapsed="false">
      <c r="A2241" s="201"/>
      <c r="B2241" s="201"/>
      <c r="C2241" s="201"/>
      <c r="D2241" s="201"/>
      <c r="E2241" s="201"/>
      <c r="F2241" s="201"/>
      <c r="G2241" s="201"/>
      <c r="H2241" s="201"/>
      <c r="I2241" s="201"/>
      <c r="J2241" s="201"/>
    </row>
    <row r="2242" customFormat="false" ht="15" hidden="false" customHeight="false" outlineLevel="0" collapsed="false">
      <c r="A2242" s="201"/>
      <c r="B2242" s="201"/>
      <c r="C2242" s="201"/>
      <c r="D2242" s="201"/>
      <c r="E2242" s="201"/>
      <c r="F2242" s="201"/>
      <c r="G2242" s="201"/>
      <c r="H2242" s="201"/>
      <c r="I2242" s="201"/>
      <c r="J2242" s="201"/>
    </row>
    <row r="2243" customFormat="false" ht="15" hidden="false" customHeight="false" outlineLevel="0" collapsed="false">
      <c r="A2243" s="201"/>
      <c r="B2243" s="201"/>
      <c r="C2243" s="201"/>
      <c r="D2243" s="201"/>
      <c r="E2243" s="201"/>
      <c r="F2243" s="201"/>
      <c r="G2243" s="201"/>
      <c r="H2243" s="201"/>
      <c r="I2243" s="201"/>
      <c r="J2243" s="201"/>
    </row>
    <row r="2244" customFormat="false" ht="15" hidden="false" customHeight="false" outlineLevel="0" collapsed="false">
      <c r="A2244" s="201"/>
      <c r="B2244" s="201"/>
      <c r="C2244" s="201"/>
      <c r="D2244" s="201"/>
      <c r="E2244" s="201"/>
      <c r="F2244" s="201"/>
      <c r="G2244" s="201"/>
      <c r="H2244" s="201"/>
      <c r="I2244" s="201"/>
      <c r="J2244" s="201"/>
    </row>
    <row r="2245" customFormat="false" ht="15" hidden="false" customHeight="false" outlineLevel="0" collapsed="false">
      <c r="A2245" s="201"/>
      <c r="B2245" s="201"/>
      <c r="C2245" s="201"/>
      <c r="D2245" s="201"/>
      <c r="E2245" s="201"/>
      <c r="F2245" s="201"/>
      <c r="G2245" s="201"/>
      <c r="H2245" s="201"/>
      <c r="I2245" s="201"/>
      <c r="J2245" s="201"/>
    </row>
    <row r="2246" customFormat="false" ht="15" hidden="false" customHeight="false" outlineLevel="0" collapsed="false">
      <c r="A2246" s="201"/>
      <c r="B2246" s="201"/>
      <c r="C2246" s="201"/>
      <c r="D2246" s="201"/>
      <c r="E2246" s="201"/>
      <c r="F2246" s="201"/>
      <c r="G2246" s="201"/>
      <c r="H2246" s="201"/>
      <c r="I2246" s="201"/>
      <c r="J2246" s="201"/>
    </row>
    <row r="2247" customFormat="false" ht="15" hidden="false" customHeight="false" outlineLevel="0" collapsed="false">
      <c r="A2247" s="201"/>
      <c r="B2247" s="201"/>
      <c r="C2247" s="201"/>
      <c r="D2247" s="201"/>
      <c r="E2247" s="201"/>
      <c r="F2247" s="201"/>
      <c r="G2247" s="201"/>
      <c r="H2247" s="201"/>
      <c r="I2247" s="201"/>
      <c r="J2247" s="201"/>
    </row>
    <row r="2248" customFormat="false" ht="15" hidden="false" customHeight="false" outlineLevel="0" collapsed="false">
      <c r="A2248" s="201"/>
      <c r="B2248" s="201"/>
      <c r="C2248" s="201"/>
      <c r="D2248" s="201"/>
      <c r="E2248" s="201"/>
      <c r="F2248" s="201"/>
      <c r="G2248" s="201"/>
      <c r="H2248" s="201"/>
      <c r="I2248" s="201"/>
      <c r="J2248" s="201"/>
    </row>
    <row r="2249" customFormat="false" ht="15" hidden="false" customHeight="false" outlineLevel="0" collapsed="false">
      <c r="A2249" s="201"/>
      <c r="B2249" s="201"/>
      <c r="C2249" s="201"/>
      <c r="D2249" s="201"/>
      <c r="E2249" s="201"/>
      <c r="F2249" s="201"/>
      <c r="G2249" s="201"/>
      <c r="H2249" s="201"/>
      <c r="I2249" s="201"/>
      <c r="J2249" s="201"/>
    </row>
    <row r="2250" customFormat="false" ht="15" hidden="false" customHeight="false" outlineLevel="0" collapsed="false">
      <c r="A2250" s="201"/>
      <c r="B2250" s="201"/>
      <c r="C2250" s="201"/>
      <c r="D2250" s="201"/>
      <c r="E2250" s="201"/>
      <c r="F2250" s="201"/>
      <c r="G2250" s="201"/>
      <c r="H2250" s="201"/>
      <c r="I2250" s="201"/>
      <c r="J2250" s="201"/>
    </row>
    <row r="2251" customFormat="false" ht="15" hidden="false" customHeight="false" outlineLevel="0" collapsed="false">
      <c r="A2251" s="201"/>
      <c r="B2251" s="201"/>
      <c r="C2251" s="201"/>
      <c r="D2251" s="201"/>
      <c r="E2251" s="201"/>
      <c r="F2251" s="201"/>
      <c r="G2251" s="201"/>
      <c r="H2251" s="201"/>
      <c r="I2251" s="201"/>
      <c r="J2251" s="201"/>
    </row>
    <row r="2252" customFormat="false" ht="15" hidden="false" customHeight="false" outlineLevel="0" collapsed="false">
      <c r="A2252" s="201"/>
      <c r="B2252" s="201"/>
      <c r="C2252" s="201"/>
      <c r="D2252" s="201"/>
      <c r="E2252" s="201"/>
      <c r="F2252" s="201"/>
      <c r="G2252" s="201"/>
      <c r="H2252" s="201"/>
      <c r="I2252" s="201"/>
      <c r="J2252" s="201"/>
    </row>
    <row r="2253" customFormat="false" ht="15" hidden="false" customHeight="false" outlineLevel="0" collapsed="false">
      <c r="A2253" s="201"/>
      <c r="B2253" s="201"/>
      <c r="C2253" s="201"/>
      <c r="D2253" s="201"/>
      <c r="E2253" s="201"/>
      <c r="F2253" s="201"/>
      <c r="G2253" s="201"/>
      <c r="H2253" s="201"/>
      <c r="I2253" s="201"/>
      <c r="J2253" s="201"/>
    </row>
    <row r="2254" customFormat="false" ht="15" hidden="false" customHeight="false" outlineLevel="0" collapsed="false">
      <c r="A2254" s="201"/>
      <c r="B2254" s="201"/>
      <c r="C2254" s="201"/>
      <c r="D2254" s="201"/>
      <c r="E2254" s="201"/>
      <c r="F2254" s="201"/>
      <c r="G2254" s="201"/>
      <c r="H2254" s="201"/>
      <c r="I2254" s="201"/>
      <c r="J2254" s="201"/>
    </row>
    <row r="2255" customFormat="false" ht="15" hidden="false" customHeight="false" outlineLevel="0" collapsed="false">
      <c r="A2255" s="201"/>
      <c r="B2255" s="201"/>
      <c r="C2255" s="201"/>
      <c r="D2255" s="201"/>
      <c r="E2255" s="201"/>
      <c r="F2255" s="201"/>
      <c r="G2255" s="201"/>
      <c r="H2255" s="201"/>
      <c r="I2255" s="201"/>
      <c r="J2255" s="201"/>
    </row>
    <row r="2256" customFormat="false" ht="15" hidden="false" customHeight="false" outlineLevel="0" collapsed="false">
      <c r="A2256" s="201"/>
      <c r="B2256" s="201"/>
      <c r="C2256" s="201"/>
      <c r="D2256" s="201"/>
      <c r="E2256" s="201"/>
      <c r="F2256" s="201"/>
      <c r="G2256" s="201"/>
      <c r="H2256" s="201"/>
      <c r="I2256" s="201"/>
      <c r="J2256" s="201"/>
    </row>
    <row r="2257" customFormat="false" ht="15" hidden="false" customHeight="false" outlineLevel="0" collapsed="false">
      <c r="A2257" s="201"/>
      <c r="B2257" s="201"/>
      <c r="C2257" s="201"/>
      <c r="D2257" s="201"/>
      <c r="E2257" s="201"/>
      <c r="F2257" s="201"/>
      <c r="G2257" s="201"/>
      <c r="H2257" s="201"/>
      <c r="I2257" s="201"/>
      <c r="J2257" s="201"/>
    </row>
    <row r="2258" customFormat="false" ht="15" hidden="false" customHeight="false" outlineLevel="0" collapsed="false">
      <c r="A2258" s="201"/>
      <c r="B2258" s="201"/>
      <c r="C2258" s="201"/>
      <c r="D2258" s="201"/>
      <c r="E2258" s="201"/>
      <c r="F2258" s="201"/>
      <c r="G2258" s="201"/>
      <c r="H2258" s="201"/>
      <c r="I2258" s="201"/>
      <c r="J2258" s="201"/>
    </row>
    <row r="2259" customFormat="false" ht="15" hidden="false" customHeight="false" outlineLevel="0" collapsed="false">
      <c r="A2259" s="201"/>
      <c r="B2259" s="201"/>
      <c r="C2259" s="201"/>
      <c r="D2259" s="201"/>
      <c r="E2259" s="201"/>
      <c r="F2259" s="201"/>
      <c r="G2259" s="201"/>
      <c r="H2259" s="201"/>
      <c r="I2259" s="201"/>
      <c r="J2259" s="201"/>
    </row>
    <row r="2260" customFormat="false" ht="15" hidden="false" customHeight="false" outlineLevel="0" collapsed="false">
      <c r="A2260" s="201"/>
      <c r="B2260" s="201"/>
      <c r="C2260" s="201"/>
      <c r="D2260" s="201"/>
      <c r="E2260" s="201"/>
      <c r="F2260" s="201"/>
      <c r="G2260" s="201"/>
      <c r="H2260" s="201"/>
      <c r="I2260" s="201"/>
      <c r="J2260" s="201"/>
    </row>
    <row r="2261" customFormat="false" ht="15" hidden="false" customHeight="false" outlineLevel="0" collapsed="false">
      <c r="A2261" s="201"/>
      <c r="B2261" s="201"/>
      <c r="C2261" s="201"/>
      <c r="D2261" s="201"/>
      <c r="E2261" s="201"/>
      <c r="F2261" s="201"/>
      <c r="G2261" s="201"/>
      <c r="H2261" s="201"/>
      <c r="I2261" s="201"/>
      <c r="J2261" s="201"/>
    </row>
    <row r="2262" customFormat="false" ht="15" hidden="false" customHeight="false" outlineLevel="0" collapsed="false">
      <c r="A2262" s="201"/>
      <c r="B2262" s="201"/>
      <c r="C2262" s="201"/>
      <c r="D2262" s="201"/>
      <c r="E2262" s="201"/>
      <c r="F2262" s="201"/>
      <c r="G2262" s="201"/>
      <c r="H2262" s="201"/>
      <c r="I2262" s="201"/>
      <c r="J2262" s="201"/>
    </row>
    <row r="2263" customFormat="false" ht="15" hidden="false" customHeight="false" outlineLevel="0" collapsed="false">
      <c r="A2263" s="201"/>
      <c r="B2263" s="201"/>
      <c r="C2263" s="201"/>
      <c r="D2263" s="201"/>
      <c r="E2263" s="201"/>
      <c r="F2263" s="201"/>
      <c r="G2263" s="201"/>
      <c r="H2263" s="201"/>
      <c r="I2263" s="201"/>
      <c r="J2263" s="201"/>
    </row>
    <row r="2264" customFormat="false" ht="15" hidden="false" customHeight="false" outlineLevel="0" collapsed="false">
      <c r="A2264" s="201"/>
      <c r="B2264" s="201"/>
      <c r="C2264" s="201"/>
      <c r="D2264" s="201"/>
      <c r="E2264" s="201"/>
      <c r="F2264" s="201"/>
      <c r="G2264" s="201"/>
      <c r="H2264" s="201"/>
      <c r="I2264" s="201"/>
      <c r="J2264" s="201"/>
    </row>
    <row r="2265" customFormat="false" ht="15" hidden="false" customHeight="false" outlineLevel="0" collapsed="false">
      <c r="A2265" s="201"/>
      <c r="B2265" s="201"/>
      <c r="C2265" s="201"/>
      <c r="D2265" s="201"/>
      <c r="E2265" s="201"/>
      <c r="F2265" s="201"/>
      <c r="G2265" s="201"/>
      <c r="H2265" s="201"/>
      <c r="I2265" s="201"/>
      <c r="J2265" s="201"/>
    </row>
    <row r="2266" customFormat="false" ht="15" hidden="false" customHeight="false" outlineLevel="0" collapsed="false">
      <c r="A2266" s="201"/>
      <c r="B2266" s="201"/>
      <c r="C2266" s="201"/>
      <c r="D2266" s="201"/>
      <c r="E2266" s="201"/>
      <c r="F2266" s="201"/>
      <c r="G2266" s="201"/>
      <c r="H2266" s="201"/>
      <c r="I2266" s="201"/>
      <c r="J2266" s="201"/>
    </row>
    <row r="2267" customFormat="false" ht="15" hidden="false" customHeight="false" outlineLevel="0" collapsed="false">
      <c r="A2267" s="201"/>
      <c r="B2267" s="201"/>
      <c r="C2267" s="201"/>
      <c r="D2267" s="201"/>
      <c r="E2267" s="201"/>
      <c r="F2267" s="201"/>
      <c r="G2267" s="201"/>
      <c r="H2267" s="201"/>
      <c r="I2267" s="201"/>
      <c r="J2267" s="201"/>
    </row>
    <row r="2268" customFormat="false" ht="15" hidden="false" customHeight="false" outlineLevel="0" collapsed="false">
      <c r="A2268" s="201"/>
      <c r="B2268" s="201"/>
      <c r="C2268" s="201"/>
      <c r="D2268" s="201"/>
      <c r="E2268" s="201"/>
      <c r="F2268" s="201"/>
      <c r="G2268" s="201"/>
      <c r="H2268" s="201"/>
      <c r="I2268" s="201"/>
      <c r="J2268" s="201"/>
    </row>
    <row r="2269" customFormat="false" ht="15" hidden="false" customHeight="false" outlineLevel="0" collapsed="false">
      <c r="A2269" s="201"/>
      <c r="B2269" s="201"/>
      <c r="C2269" s="201"/>
      <c r="D2269" s="201"/>
      <c r="E2269" s="201"/>
      <c r="F2269" s="201"/>
      <c r="G2269" s="201"/>
      <c r="H2269" s="201"/>
      <c r="I2269" s="201"/>
      <c r="J2269" s="201"/>
    </row>
    <row r="2270" customFormat="false" ht="15" hidden="false" customHeight="false" outlineLevel="0" collapsed="false">
      <c r="A2270" s="201"/>
      <c r="B2270" s="201"/>
      <c r="C2270" s="201"/>
      <c r="D2270" s="201"/>
      <c r="E2270" s="201"/>
      <c r="F2270" s="201"/>
      <c r="G2270" s="201"/>
      <c r="H2270" s="201"/>
      <c r="I2270" s="201"/>
      <c r="J2270" s="201"/>
    </row>
    <row r="2271" customFormat="false" ht="15" hidden="false" customHeight="false" outlineLevel="0" collapsed="false">
      <c r="A2271" s="201"/>
      <c r="B2271" s="201"/>
      <c r="C2271" s="201"/>
      <c r="D2271" s="201"/>
      <c r="E2271" s="201"/>
      <c r="F2271" s="201"/>
      <c r="G2271" s="201"/>
      <c r="H2271" s="201"/>
      <c r="I2271" s="201"/>
      <c r="J2271" s="201"/>
    </row>
    <row r="2272" customFormat="false" ht="15" hidden="false" customHeight="false" outlineLevel="0" collapsed="false">
      <c r="A2272" s="201"/>
      <c r="B2272" s="201"/>
      <c r="C2272" s="201"/>
      <c r="D2272" s="201"/>
      <c r="E2272" s="201"/>
      <c r="F2272" s="201"/>
      <c r="G2272" s="201"/>
      <c r="H2272" s="201"/>
      <c r="I2272" s="201"/>
      <c r="J2272" s="201"/>
    </row>
    <row r="2273" customFormat="false" ht="15" hidden="false" customHeight="false" outlineLevel="0" collapsed="false">
      <c r="A2273" s="201"/>
      <c r="B2273" s="201"/>
      <c r="C2273" s="201"/>
      <c r="D2273" s="201"/>
      <c r="E2273" s="201"/>
      <c r="F2273" s="201"/>
      <c r="G2273" s="201"/>
      <c r="H2273" s="201"/>
      <c r="I2273" s="201"/>
      <c r="J2273" s="201"/>
    </row>
    <row r="2274" customFormat="false" ht="15" hidden="false" customHeight="false" outlineLevel="0" collapsed="false">
      <c r="A2274" s="201"/>
      <c r="B2274" s="201"/>
      <c r="C2274" s="201"/>
      <c r="D2274" s="201"/>
      <c r="E2274" s="201"/>
      <c r="F2274" s="201"/>
      <c r="G2274" s="201"/>
      <c r="H2274" s="201"/>
      <c r="I2274" s="201"/>
      <c r="J2274" s="201"/>
    </row>
    <row r="2275" customFormat="false" ht="15" hidden="false" customHeight="false" outlineLevel="0" collapsed="false">
      <c r="A2275" s="201"/>
      <c r="B2275" s="201"/>
      <c r="C2275" s="201"/>
      <c r="D2275" s="201"/>
      <c r="E2275" s="201"/>
      <c r="F2275" s="201"/>
      <c r="G2275" s="201"/>
      <c r="H2275" s="201"/>
      <c r="I2275" s="201"/>
      <c r="J2275" s="201"/>
    </row>
    <row r="2276" customFormat="false" ht="15" hidden="false" customHeight="false" outlineLevel="0" collapsed="false">
      <c r="A2276" s="201"/>
      <c r="B2276" s="201"/>
      <c r="C2276" s="201"/>
      <c r="D2276" s="201"/>
      <c r="E2276" s="201"/>
      <c r="F2276" s="201"/>
      <c r="G2276" s="201"/>
      <c r="H2276" s="201"/>
      <c r="I2276" s="201"/>
      <c r="J2276" s="201"/>
    </row>
    <row r="2277" customFormat="false" ht="15" hidden="false" customHeight="false" outlineLevel="0" collapsed="false">
      <c r="A2277" s="201"/>
      <c r="B2277" s="201"/>
      <c r="C2277" s="201"/>
      <c r="D2277" s="201"/>
      <c r="E2277" s="201"/>
      <c r="F2277" s="201"/>
      <c r="G2277" s="201"/>
      <c r="H2277" s="201"/>
      <c r="I2277" s="201"/>
      <c r="J2277" s="201"/>
    </row>
    <row r="2278" customFormat="false" ht="15" hidden="false" customHeight="false" outlineLevel="0" collapsed="false">
      <c r="A2278" s="201"/>
      <c r="B2278" s="201"/>
      <c r="C2278" s="201"/>
      <c r="D2278" s="201"/>
      <c r="E2278" s="201"/>
      <c r="F2278" s="201"/>
      <c r="G2278" s="201"/>
      <c r="H2278" s="201"/>
      <c r="I2278" s="201"/>
      <c r="J2278" s="201"/>
    </row>
    <row r="2279" customFormat="false" ht="15" hidden="false" customHeight="false" outlineLevel="0" collapsed="false">
      <c r="A2279" s="201"/>
      <c r="B2279" s="201"/>
      <c r="C2279" s="201"/>
      <c r="D2279" s="201"/>
      <c r="E2279" s="201"/>
      <c r="F2279" s="201"/>
      <c r="G2279" s="201"/>
      <c r="H2279" s="201"/>
      <c r="I2279" s="201"/>
      <c r="J2279" s="201"/>
    </row>
    <row r="2280" customFormat="false" ht="15" hidden="false" customHeight="false" outlineLevel="0" collapsed="false">
      <c r="A2280" s="201"/>
      <c r="B2280" s="201"/>
      <c r="C2280" s="201"/>
      <c r="D2280" s="201"/>
      <c r="E2280" s="201"/>
      <c r="F2280" s="201"/>
      <c r="G2280" s="201"/>
      <c r="H2280" s="201"/>
      <c r="I2280" s="201"/>
      <c r="J2280" s="201"/>
    </row>
    <row r="2281" customFormat="false" ht="15" hidden="false" customHeight="false" outlineLevel="0" collapsed="false">
      <c r="A2281" s="201"/>
      <c r="B2281" s="201"/>
      <c r="C2281" s="201"/>
      <c r="D2281" s="201"/>
      <c r="E2281" s="201"/>
      <c r="F2281" s="201"/>
      <c r="G2281" s="201"/>
      <c r="H2281" s="201"/>
      <c r="I2281" s="201"/>
      <c r="J2281" s="201"/>
    </row>
    <row r="2282" customFormat="false" ht="15" hidden="false" customHeight="false" outlineLevel="0" collapsed="false">
      <c r="A2282" s="201"/>
      <c r="B2282" s="201"/>
      <c r="C2282" s="201"/>
      <c r="D2282" s="201"/>
      <c r="E2282" s="201"/>
      <c r="F2282" s="201"/>
      <c r="G2282" s="201"/>
      <c r="H2282" s="201"/>
      <c r="I2282" s="201"/>
      <c r="J2282" s="201"/>
    </row>
    <row r="2283" customFormat="false" ht="15" hidden="false" customHeight="false" outlineLevel="0" collapsed="false">
      <c r="A2283" s="201"/>
      <c r="B2283" s="201"/>
      <c r="C2283" s="201"/>
      <c r="D2283" s="201"/>
      <c r="E2283" s="201"/>
      <c r="F2283" s="201"/>
      <c r="G2283" s="201"/>
      <c r="H2283" s="201"/>
      <c r="I2283" s="201"/>
      <c r="J2283" s="201"/>
    </row>
    <row r="2284" customFormat="false" ht="15" hidden="false" customHeight="false" outlineLevel="0" collapsed="false">
      <c r="A2284" s="201"/>
      <c r="B2284" s="201"/>
      <c r="C2284" s="201"/>
      <c r="D2284" s="201"/>
      <c r="E2284" s="201"/>
      <c r="F2284" s="201"/>
      <c r="G2284" s="201"/>
      <c r="H2284" s="201"/>
      <c r="I2284" s="201"/>
      <c r="J2284" s="201"/>
    </row>
    <row r="2285" customFormat="false" ht="15" hidden="false" customHeight="false" outlineLevel="0" collapsed="false">
      <c r="A2285" s="201"/>
      <c r="B2285" s="201"/>
      <c r="C2285" s="201"/>
      <c r="D2285" s="201"/>
      <c r="E2285" s="201"/>
      <c r="F2285" s="201"/>
      <c r="G2285" s="201"/>
      <c r="H2285" s="201"/>
      <c r="I2285" s="201"/>
      <c r="J2285" s="201"/>
    </row>
    <row r="2286" customFormat="false" ht="15" hidden="false" customHeight="false" outlineLevel="0" collapsed="false">
      <c r="A2286" s="201"/>
      <c r="B2286" s="201"/>
      <c r="C2286" s="201"/>
      <c r="D2286" s="201"/>
      <c r="E2286" s="201"/>
      <c r="F2286" s="201"/>
      <c r="G2286" s="201"/>
      <c r="H2286" s="201"/>
      <c r="I2286" s="201"/>
      <c r="J2286" s="201"/>
    </row>
    <row r="2287" customFormat="false" ht="15" hidden="false" customHeight="false" outlineLevel="0" collapsed="false">
      <c r="A2287" s="201"/>
      <c r="B2287" s="201"/>
      <c r="C2287" s="201"/>
      <c r="D2287" s="201"/>
      <c r="E2287" s="201"/>
      <c r="F2287" s="201"/>
      <c r="G2287" s="201"/>
      <c r="H2287" s="201"/>
      <c r="I2287" s="201"/>
      <c r="J2287" s="201"/>
    </row>
    <row r="2288" customFormat="false" ht="15" hidden="false" customHeight="false" outlineLevel="0" collapsed="false">
      <c r="A2288" s="201"/>
      <c r="B2288" s="201"/>
      <c r="C2288" s="201"/>
      <c r="D2288" s="201"/>
      <c r="E2288" s="201"/>
      <c r="F2288" s="201"/>
      <c r="G2288" s="201"/>
      <c r="H2288" s="201"/>
      <c r="I2288" s="201"/>
      <c r="J2288" s="201"/>
    </row>
    <row r="2289" customFormat="false" ht="15" hidden="false" customHeight="false" outlineLevel="0" collapsed="false">
      <c r="A2289" s="201"/>
      <c r="B2289" s="201"/>
      <c r="C2289" s="201"/>
      <c r="D2289" s="201"/>
      <c r="E2289" s="201"/>
      <c r="F2289" s="201"/>
      <c r="G2289" s="201"/>
      <c r="H2289" s="201"/>
      <c r="I2289" s="201"/>
      <c r="J2289" s="201"/>
    </row>
    <row r="2290" customFormat="false" ht="15" hidden="false" customHeight="false" outlineLevel="0" collapsed="false">
      <c r="A2290" s="201"/>
      <c r="B2290" s="201"/>
      <c r="C2290" s="201"/>
      <c r="D2290" s="201"/>
      <c r="E2290" s="201"/>
      <c r="F2290" s="201"/>
      <c r="G2290" s="201"/>
      <c r="H2290" s="201"/>
      <c r="I2290" s="201"/>
      <c r="J2290" s="201"/>
    </row>
    <row r="2291" customFormat="false" ht="15" hidden="false" customHeight="false" outlineLevel="0" collapsed="false">
      <c r="A2291" s="201"/>
      <c r="B2291" s="201"/>
      <c r="C2291" s="201"/>
      <c r="D2291" s="201"/>
      <c r="E2291" s="201"/>
      <c r="F2291" s="201"/>
      <c r="G2291" s="201"/>
      <c r="H2291" s="201"/>
      <c r="I2291" s="201"/>
      <c r="J2291" s="201"/>
    </row>
    <row r="2292" customFormat="false" ht="15" hidden="false" customHeight="false" outlineLevel="0" collapsed="false">
      <c r="A2292" s="201"/>
      <c r="B2292" s="201"/>
      <c r="C2292" s="201"/>
      <c r="D2292" s="201"/>
      <c r="E2292" s="201"/>
      <c r="F2292" s="201"/>
      <c r="G2292" s="201"/>
      <c r="H2292" s="201"/>
      <c r="I2292" s="201"/>
      <c r="J2292" s="201"/>
    </row>
    <row r="2293" customFormat="false" ht="15" hidden="false" customHeight="false" outlineLevel="0" collapsed="false">
      <c r="A2293" s="201"/>
      <c r="B2293" s="201"/>
      <c r="C2293" s="201"/>
      <c r="D2293" s="201"/>
      <c r="E2293" s="201"/>
      <c r="F2293" s="201"/>
      <c r="G2293" s="201"/>
      <c r="H2293" s="201"/>
      <c r="I2293" s="201"/>
      <c r="J2293" s="201"/>
    </row>
    <row r="2294" customFormat="false" ht="15" hidden="false" customHeight="false" outlineLevel="0" collapsed="false">
      <c r="A2294" s="201"/>
      <c r="B2294" s="201"/>
      <c r="C2294" s="201"/>
      <c r="D2294" s="201"/>
      <c r="E2294" s="201"/>
      <c r="F2294" s="201"/>
      <c r="G2294" s="201"/>
      <c r="H2294" s="201"/>
      <c r="I2294" s="201"/>
      <c r="J2294" s="201"/>
    </row>
    <row r="2295" customFormat="false" ht="15" hidden="false" customHeight="false" outlineLevel="0" collapsed="false">
      <c r="A2295" s="201"/>
      <c r="B2295" s="201"/>
      <c r="C2295" s="201"/>
      <c r="D2295" s="201"/>
      <c r="E2295" s="201"/>
      <c r="F2295" s="201"/>
      <c r="G2295" s="201"/>
      <c r="H2295" s="201"/>
      <c r="I2295" s="201"/>
      <c r="J2295" s="201"/>
    </row>
    <row r="2296" customFormat="false" ht="15" hidden="false" customHeight="false" outlineLevel="0" collapsed="false">
      <c r="A2296" s="201"/>
      <c r="B2296" s="201"/>
      <c r="C2296" s="201"/>
      <c r="D2296" s="201"/>
      <c r="E2296" s="201"/>
      <c r="F2296" s="201"/>
      <c r="G2296" s="201"/>
      <c r="H2296" s="201"/>
      <c r="I2296" s="201"/>
      <c r="J2296" s="201"/>
    </row>
    <row r="2297" customFormat="false" ht="15" hidden="false" customHeight="false" outlineLevel="0" collapsed="false">
      <c r="A2297" s="201"/>
      <c r="B2297" s="201"/>
      <c r="C2297" s="201"/>
      <c r="D2297" s="201"/>
      <c r="E2297" s="201"/>
      <c r="F2297" s="201"/>
      <c r="G2297" s="201"/>
      <c r="H2297" s="201"/>
      <c r="I2297" s="201"/>
      <c r="J2297" s="201"/>
    </row>
    <row r="2298" customFormat="false" ht="15" hidden="false" customHeight="false" outlineLevel="0" collapsed="false">
      <c r="A2298" s="201"/>
      <c r="B2298" s="201"/>
      <c r="C2298" s="201"/>
      <c r="D2298" s="201"/>
      <c r="E2298" s="201"/>
      <c r="F2298" s="201"/>
      <c r="G2298" s="201"/>
      <c r="H2298" s="201"/>
      <c r="I2298" s="201"/>
      <c r="J2298" s="201"/>
    </row>
    <row r="2299" customFormat="false" ht="15" hidden="false" customHeight="false" outlineLevel="0" collapsed="false">
      <c r="A2299" s="201"/>
      <c r="B2299" s="201"/>
      <c r="C2299" s="201"/>
      <c r="D2299" s="201"/>
      <c r="E2299" s="201"/>
      <c r="F2299" s="201"/>
      <c r="G2299" s="201"/>
      <c r="H2299" s="201"/>
      <c r="I2299" s="201"/>
      <c r="J2299" s="201"/>
    </row>
    <row r="2300" customFormat="false" ht="15" hidden="false" customHeight="false" outlineLevel="0" collapsed="false">
      <c r="A2300" s="201"/>
      <c r="B2300" s="201"/>
      <c r="C2300" s="201"/>
      <c r="D2300" s="201"/>
      <c r="E2300" s="201"/>
      <c r="F2300" s="201"/>
      <c r="G2300" s="201"/>
      <c r="H2300" s="201"/>
      <c r="I2300" s="201"/>
      <c r="J2300" s="201"/>
    </row>
    <row r="2301" customFormat="false" ht="15" hidden="false" customHeight="false" outlineLevel="0" collapsed="false">
      <c r="A2301" s="201"/>
      <c r="B2301" s="201"/>
      <c r="C2301" s="201"/>
      <c r="D2301" s="201"/>
      <c r="E2301" s="201"/>
      <c r="F2301" s="201"/>
      <c r="G2301" s="201"/>
      <c r="H2301" s="201"/>
      <c r="I2301" s="201"/>
      <c r="J2301" s="201"/>
    </row>
    <row r="2302" customFormat="false" ht="15" hidden="false" customHeight="false" outlineLevel="0" collapsed="false">
      <c r="A2302" s="201"/>
      <c r="B2302" s="201"/>
      <c r="C2302" s="201"/>
      <c r="D2302" s="201"/>
      <c r="E2302" s="201"/>
      <c r="F2302" s="201"/>
      <c r="G2302" s="201"/>
      <c r="H2302" s="201"/>
      <c r="I2302" s="201"/>
      <c r="J2302" s="201"/>
    </row>
    <row r="2303" customFormat="false" ht="15" hidden="false" customHeight="false" outlineLevel="0" collapsed="false">
      <c r="A2303" s="201"/>
      <c r="B2303" s="201"/>
      <c r="C2303" s="201"/>
      <c r="D2303" s="201"/>
      <c r="E2303" s="201"/>
      <c r="F2303" s="201"/>
      <c r="G2303" s="201"/>
      <c r="H2303" s="201"/>
      <c r="I2303" s="201"/>
      <c r="J2303" s="201"/>
    </row>
    <row r="2304" customFormat="false" ht="15" hidden="false" customHeight="false" outlineLevel="0" collapsed="false">
      <c r="A2304" s="201"/>
      <c r="B2304" s="201"/>
      <c r="C2304" s="201"/>
      <c r="D2304" s="201"/>
      <c r="E2304" s="201"/>
      <c r="F2304" s="201"/>
      <c r="G2304" s="201"/>
      <c r="H2304" s="201"/>
      <c r="I2304" s="201"/>
      <c r="J2304" s="201"/>
    </row>
    <row r="2305" customFormat="false" ht="15" hidden="false" customHeight="false" outlineLevel="0" collapsed="false">
      <c r="A2305" s="201"/>
      <c r="B2305" s="201"/>
      <c r="C2305" s="201"/>
      <c r="D2305" s="201"/>
      <c r="E2305" s="201"/>
      <c r="F2305" s="201"/>
      <c r="G2305" s="201"/>
      <c r="H2305" s="201"/>
      <c r="I2305" s="201"/>
      <c r="J2305" s="201"/>
    </row>
    <row r="2306" customFormat="false" ht="15" hidden="false" customHeight="false" outlineLevel="0" collapsed="false">
      <c r="A2306" s="201"/>
      <c r="B2306" s="201"/>
      <c r="C2306" s="201"/>
      <c r="D2306" s="201"/>
      <c r="E2306" s="201"/>
      <c r="F2306" s="201"/>
      <c r="G2306" s="201"/>
      <c r="H2306" s="201"/>
      <c r="I2306" s="201"/>
      <c r="J2306" s="201"/>
    </row>
    <row r="2307" customFormat="false" ht="15" hidden="false" customHeight="false" outlineLevel="0" collapsed="false">
      <c r="A2307" s="201"/>
      <c r="B2307" s="201"/>
      <c r="C2307" s="201"/>
      <c r="D2307" s="201"/>
      <c r="E2307" s="201"/>
      <c r="F2307" s="201"/>
      <c r="G2307" s="201"/>
      <c r="H2307" s="201"/>
      <c r="I2307" s="201"/>
      <c r="J2307" s="201"/>
    </row>
    <row r="2308" customFormat="false" ht="15" hidden="false" customHeight="false" outlineLevel="0" collapsed="false">
      <c r="A2308" s="201"/>
      <c r="B2308" s="201"/>
      <c r="C2308" s="201"/>
      <c r="D2308" s="201"/>
      <c r="E2308" s="201"/>
      <c r="F2308" s="201"/>
      <c r="G2308" s="201"/>
      <c r="H2308" s="201"/>
      <c r="I2308" s="201"/>
      <c r="J2308" s="201"/>
    </row>
    <row r="2309" customFormat="false" ht="15" hidden="false" customHeight="false" outlineLevel="0" collapsed="false">
      <c r="A2309" s="201"/>
      <c r="B2309" s="201"/>
      <c r="C2309" s="201"/>
      <c r="D2309" s="201"/>
      <c r="E2309" s="201"/>
      <c r="F2309" s="201"/>
      <c r="G2309" s="201"/>
      <c r="H2309" s="201"/>
      <c r="I2309" s="201"/>
      <c r="J2309" s="201"/>
    </row>
    <row r="2310" customFormat="false" ht="15" hidden="false" customHeight="false" outlineLevel="0" collapsed="false">
      <c r="A2310" s="201"/>
      <c r="B2310" s="201"/>
      <c r="C2310" s="201"/>
      <c r="D2310" s="201"/>
      <c r="E2310" s="201"/>
      <c r="F2310" s="201"/>
      <c r="G2310" s="201"/>
      <c r="H2310" s="201"/>
      <c r="I2310" s="201"/>
      <c r="J2310" s="201"/>
    </row>
    <row r="2311" customFormat="false" ht="15" hidden="false" customHeight="false" outlineLevel="0" collapsed="false">
      <c r="A2311" s="201"/>
      <c r="B2311" s="201"/>
      <c r="C2311" s="201"/>
      <c r="D2311" s="201"/>
      <c r="E2311" s="201"/>
      <c r="F2311" s="201"/>
      <c r="G2311" s="201"/>
      <c r="H2311" s="201"/>
      <c r="I2311" s="201"/>
      <c r="J2311" s="201"/>
    </row>
    <row r="2312" customFormat="false" ht="15" hidden="false" customHeight="false" outlineLevel="0" collapsed="false">
      <c r="A2312" s="201"/>
      <c r="B2312" s="201"/>
      <c r="C2312" s="201"/>
      <c r="D2312" s="201"/>
      <c r="E2312" s="201"/>
      <c r="F2312" s="201"/>
      <c r="G2312" s="201"/>
      <c r="H2312" s="201"/>
      <c r="I2312" s="201"/>
      <c r="J2312" s="201"/>
    </row>
    <row r="2313" customFormat="false" ht="15" hidden="false" customHeight="false" outlineLevel="0" collapsed="false">
      <c r="A2313" s="201"/>
      <c r="B2313" s="201"/>
      <c r="C2313" s="201"/>
      <c r="D2313" s="201"/>
      <c r="E2313" s="201"/>
      <c r="F2313" s="201"/>
      <c r="G2313" s="201"/>
      <c r="H2313" s="201"/>
      <c r="I2313" s="201"/>
      <c r="J2313" s="201"/>
    </row>
    <row r="2314" customFormat="false" ht="15" hidden="false" customHeight="false" outlineLevel="0" collapsed="false">
      <c r="A2314" s="201"/>
      <c r="B2314" s="201"/>
      <c r="C2314" s="201"/>
      <c r="D2314" s="201"/>
      <c r="E2314" s="201"/>
      <c r="F2314" s="201"/>
      <c r="G2314" s="201"/>
      <c r="H2314" s="201"/>
      <c r="I2314" s="201"/>
      <c r="J2314" s="201"/>
    </row>
    <row r="2315" customFormat="false" ht="15" hidden="false" customHeight="false" outlineLevel="0" collapsed="false">
      <c r="A2315" s="201"/>
      <c r="B2315" s="201"/>
      <c r="C2315" s="201"/>
      <c r="D2315" s="201"/>
      <c r="E2315" s="201"/>
      <c r="F2315" s="201"/>
      <c r="G2315" s="201"/>
      <c r="H2315" s="201"/>
      <c r="I2315" s="201"/>
      <c r="J2315" s="201"/>
    </row>
    <row r="2316" customFormat="false" ht="15" hidden="false" customHeight="false" outlineLevel="0" collapsed="false">
      <c r="A2316" s="201"/>
      <c r="B2316" s="201"/>
      <c r="C2316" s="201"/>
      <c r="D2316" s="201"/>
      <c r="E2316" s="201"/>
      <c r="F2316" s="201"/>
      <c r="G2316" s="201"/>
      <c r="H2316" s="201"/>
      <c r="I2316" s="201"/>
      <c r="J2316" s="201"/>
    </row>
    <row r="2317" customFormat="false" ht="15" hidden="false" customHeight="false" outlineLevel="0" collapsed="false">
      <c r="A2317" s="201"/>
      <c r="B2317" s="201"/>
      <c r="C2317" s="201"/>
      <c r="D2317" s="201"/>
      <c r="E2317" s="201"/>
      <c r="F2317" s="201"/>
      <c r="G2317" s="201"/>
      <c r="H2317" s="201"/>
      <c r="I2317" s="201"/>
      <c r="J2317" s="201"/>
    </row>
    <row r="2318" customFormat="false" ht="15" hidden="false" customHeight="false" outlineLevel="0" collapsed="false">
      <c r="A2318" s="201"/>
      <c r="B2318" s="201"/>
      <c r="C2318" s="201"/>
      <c r="D2318" s="201"/>
      <c r="E2318" s="201"/>
      <c r="F2318" s="201"/>
      <c r="G2318" s="201"/>
      <c r="H2318" s="201"/>
      <c r="I2318" s="201"/>
      <c r="J2318" s="201"/>
    </row>
    <row r="2319" customFormat="false" ht="15" hidden="false" customHeight="false" outlineLevel="0" collapsed="false">
      <c r="A2319" s="201"/>
      <c r="B2319" s="201"/>
      <c r="C2319" s="201"/>
      <c r="D2319" s="201"/>
      <c r="E2319" s="201"/>
      <c r="F2319" s="201"/>
      <c r="G2319" s="201"/>
      <c r="H2319" s="201"/>
      <c r="I2319" s="201"/>
      <c r="J2319" s="201"/>
    </row>
    <row r="2320" customFormat="false" ht="15" hidden="false" customHeight="false" outlineLevel="0" collapsed="false">
      <c r="A2320" s="201"/>
      <c r="B2320" s="201"/>
      <c r="C2320" s="201"/>
      <c r="D2320" s="201"/>
      <c r="E2320" s="201"/>
      <c r="F2320" s="201"/>
      <c r="G2320" s="201"/>
      <c r="H2320" s="201"/>
      <c r="I2320" s="201"/>
      <c r="J2320" s="201"/>
    </row>
    <row r="2321" customFormat="false" ht="15" hidden="false" customHeight="false" outlineLevel="0" collapsed="false">
      <c r="A2321" s="201"/>
      <c r="B2321" s="201"/>
      <c r="C2321" s="201"/>
      <c r="D2321" s="201"/>
      <c r="E2321" s="201"/>
      <c r="F2321" s="201"/>
      <c r="G2321" s="201"/>
      <c r="H2321" s="201"/>
      <c r="I2321" s="201"/>
      <c r="J2321" s="201"/>
    </row>
    <row r="2322" customFormat="false" ht="15" hidden="false" customHeight="false" outlineLevel="0" collapsed="false">
      <c r="A2322" s="201"/>
      <c r="B2322" s="201"/>
      <c r="C2322" s="201"/>
      <c r="D2322" s="201"/>
      <c r="E2322" s="201"/>
      <c r="F2322" s="201"/>
      <c r="G2322" s="201"/>
      <c r="H2322" s="201"/>
      <c r="I2322" s="201"/>
      <c r="J2322" s="201"/>
    </row>
    <row r="2323" customFormat="false" ht="15" hidden="false" customHeight="false" outlineLevel="0" collapsed="false">
      <c r="A2323" s="201"/>
      <c r="B2323" s="201"/>
      <c r="C2323" s="201"/>
      <c r="D2323" s="201"/>
      <c r="E2323" s="201"/>
      <c r="F2323" s="201"/>
      <c r="G2323" s="201"/>
      <c r="H2323" s="201"/>
      <c r="I2323" s="201"/>
      <c r="J2323" s="201"/>
    </row>
    <row r="2324" customFormat="false" ht="15" hidden="false" customHeight="false" outlineLevel="0" collapsed="false">
      <c r="A2324" s="201"/>
      <c r="B2324" s="201"/>
      <c r="C2324" s="201"/>
      <c r="D2324" s="201"/>
      <c r="E2324" s="201"/>
      <c r="F2324" s="201"/>
      <c r="G2324" s="201"/>
      <c r="H2324" s="201"/>
      <c r="I2324" s="201"/>
      <c r="J2324" s="201"/>
    </row>
    <row r="2325" customFormat="false" ht="15" hidden="false" customHeight="false" outlineLevel="0" collapsed="false">
      <c r="A2325" s="201"/>
      <c r="B2325" s="201"/>
      <c r="C2325" s="201"/>
      <c r="D2325" s="201"/>
      <c r="E2325" s="201"/>
      <c r="F2325" s="201"/>
      <c r="G2325" s="201"/>
      <c r="H2325" s="201"/>
      <c r="I2325" s="201"/>
      <c r="J2325" s="201"/>
    </row>
    <row r="2326" customFormat="false" ht="15" hidden="false" customHeight="false" outlineLevel="0" collapsed="false">
      <c r="A2326" s="201"/>
      <c r="B2326" s="201"/>
      <c r="C2326" s="201"/>
      <c r="D2326" s="201"/>
      <c r="E2326" s="201"/>
      <c r="F2326" s="201"/>
      <c r="G2326" s="201"/>
      <c r="H2326" s="201"/>
      <c r="I2326" s="201"/>
      <c r="J2326" s="201"/>
    </row>
    <row r="2327" customFormat="false" ht="15" hidden="false" customHeight="false" outlineLevel="0" collapsed="false">
      <c r="A2327" s="201"/>
      <c r="B2327" s="201"/>
      <c r="C2327" s="201"/>
      <c r="D2327" s="201"/>
      <c r="E2327" s="201"/>
      <c r="F2327" s="201"/>
      <c r="G2327" s="201"/>
      <c r="H2327" s="201"/>
      <c r="I2327" s="201"/>
      <c r="J2327" s="201"/>
    </row>
    <row r="2328" customFormat="false" ht="15" hidden="false" customHeight="false" outlineLevel="0" collapsed="false">
      <c r="A2328" s="201"/>
      <c r="B2328" s="201"/>
      <c r="C2328" s="201"/>
      <c r="D2328" s="201"/>
      <c r="E2328" s="201"/>
      <c r="F2328" s="201"/>
      <c r="G2328" s="201"/>
      <c r="H2328" s="201"/>
      <c r="I2328" s="201"/>
      <c r="J2328" s="201"/>
    </row>
    <row r="2329" customFormat="false" ht="15" hidden="false" customHeight="false" outlineLevel="0" collapsed="false">
      <c r="A2329" s="201"/>
      <c r="B2329" s="201"/>
      <c r="C2329" s="201"/>
      <c r="D2329" s="201"/>
      <c r="E2329" s="201"/>
      <c r="F2329" s="201"/>
      <c r="G2329" s="201"/>
      <c r="H2329" s="201"/>
      <c r="I2329" s="201"/>
      <c r="J2329" s="201"/>
    </row>
    <row r="2330" customFormat="false" ht="15" hidden="false" customHeight="false" outlineLevel="0" collapsed="false">
      <c r="A2330" s="201"/>
      <c r="B2330" s="201"/>
      <c r="C2330" s="201"/>
      <c r="D2330" s="201"/>
      <c r="E2330" s="201"/>
      <c r="F2330" s="201"/>
      <c r="G2330" s="201"/>
      <c r="H2330" s="201"/>
      <c r="I2330" s="201"/>
      <c r="J2330" s="201"/>
    </row>
    <row r="2331" customFormat="false" ht="15" hidden="false" customHeight="false" outlineLevel="0" collapsed="false">
      <c r="A2331" s="201"/>
      <c r="B2331" s="201"/>
      <c r="C2331" s="201"/>
      <c r="D2331" s="201"/>
      <c r="E2331" s="201"/>
      <c r="F2331" s="201"/>
      <c r="G2331" s="201"/>
      <c r="H2331" s="201"/>
      <c r="I2331" s="201"/>
      <c r="J2331" s="201"/>
    </row>
    <row r="2332" customFormat="false" ht="15" hidden="false" customHeight="false" outlineLevel="0" collapsed="false">
      <c r="A2332" s="201"/>
      <c r="B2332" s="201"/>
      <c r="C2332" s="201"/>
      <c r="D2332" s="201"/>
      <c r="E2332" s="201"/>
      <c r="F2332" s="201"/>
      <c r="G2332" s="201"/>
      <c r="H2332" s="201"/>
      <c r="I2332" s="201"/>
      <c r="J2332" s="201"/>
    </row>
    <row r="2333" customFormat="false" ht="15" hidden="false" customHeight="false" outlineLevel="0" collapsed="false">
      <c r="A2333" s="201"/>
      <c r="B2333" s="201"/>
      <c r="C2333" s="201"/>
      <c r="D2333" s="201"/>
      <c r="E2333" s="201"/>
      <c r="F2333" s="201"/>
      <c r="G2333" s="201"/>
      <c r="H2333" s="201"/>
      <c r="I2333" s="201"/>
      <c r="J2333" s="201"/>
    </row>
    <row r="2334" customFormat="false" ht="15" hidden="false" customHeight="false" outlineLevel="0" collapsed="false">
      <c r="A2334" s="201"/>
      <c r="B2334" s="201"/>
      <c r="C2334" s="201"/>
      <c r="D2334" s="201"/>
      <c r="E2334" s="201"/>
      <c r="F2334" s="201"/>
      <c r="G2334" s="201"/>
      <c r="H2334" s="201"/>
      <c r="I2334" s="201"/>
      <c r="J2334" s="201"/>
    </row>
    <row r="2335" customFormat="false" ht="15" hidden="false" customHeight="false" outlineLevel="0" collapsed="false">
      <c r="A2335" s="201"/>
      <c r="B2335" s="201"/>
      <c r="C2335" s="201"/>
      <c r="D2335" s="201"/>
      <c r="E2335" s="201"/>
      <c r="F2335" s="201"/>
      <c r="G2335" s="201"/>
      <c r="H2335" s="201"/>
      <c r="I2335" s="201"/>
      <c r="J2335" s="201"/>
    </row>
    <row r="2336" customFormat="false" ht="15" hidden="false" customHeight="false" outlineLevel="0" collapsed="false">
      <c r="A2336" s="201"/>
      <c r="B2336" s="201"/>
      <c r="C2336" s="201"/>
      <c r="D2336" s="201"/>
      <c r="E2336" s="201"/>
      <c r="F2336" s="201"/>
      <c r="G2336" s="201"/>
      <c r="H2336" s="201"/>
      <c r="I2336" s="201"/>
      <c r="J2336" s="201"/>
    </row>
    <row r="2337" customFormat="false" ht="15" hidden="false" customHeight="false" outlineLevel="0" collapsed="false">
      <c r="A2337" s="201"/>
      <c r="B2337" s="201"/>
      <c r="C2337" s="201"/>
      <c r="D2337" s="201"/>
      <c r="E2337" s="201"/>
      <c r="F2337" s="201"/>
      <c r="G2337" s="201"/>
      <c r="H2337" s="201"/>
      <c r="I2337" s="201"/>
      <c r="J2337" s="201"/>
    </row>
    <row r="2338" customFormat="false" ht="15" hidden="false" customHeight="false" outlineLevel="0" collapsed="false">
      <c r="A2338" s="201"/>
      <c r="B2338" s="201"/>
      <c r="C2338" s="201"/>
      <c r="D2338" s="201"/>
      <c r="E2338" s="201"/>
      <c r="F2338" s="201"/>
      <c r="G2338" s="201"/>
      <c r="H2338" s="201"/>
      <c r="I2338" s="201"/>
      <c r="J2338" s="201"/>
    </row>
    <row r="2339" customFormat="false" ht="15" hidden="false" customHeight="false" outlineLevel="0" collapsed="false">
      <c r="A2339" s="201"/>
      <c r="B2339" s="201"/>
      <c r="C2339" s="201"/>
      <c r="D2339" s="201"/>
      <c r="E2339" s="201"/>
      <c r="F2339" s="201"/>
      <c r="G2339" s="201"/>
      <c r="H2339" s="201"/>
      <c r="I2339" s="201"/>
      <c r="J2339" s="201"/>
    </row>
    <row r="2340" customFormat="false" ht="15" hidden="false" customHeight="false" outlineLevel="0" collapsed="false">
      <c r="A2340" s="201"/>
      <c r="B2340" s="201"/>
      <c r="C2340" s="201"/>
      <c r="D2340" s="201"/>
      <c r="E2340" s="201"/>
      <c r="F2340" s="201"/>
      <c r="G2340" s="201"/>
      <c r="H2340" s="201"/>
      <c r="I2340" s="201"/>
      <c r="J2340" s="201"/>
    </row>
    <row r="2341" customFormat="false" ht="15" hidden="false" customHeight="false" outlineLevel="0" collapsed="false">
      <c r="A2341" s="201"/>
      <c r="B2341" s="201"/>
      <c r="C2341" s="201"/>
      <c r="D2341" s="201"/>
      <c r="E2341" s="201"/>
      <c r="F2341" s="201"/>
      <c r="G2341" s="201"/>
      <c r="H2341" s="201"/>
      <c r="I2341" s="201"/>
      <c r="J2341" s="201"/>
    </row>
    <row r="2342" customFormat="false" ht="15" hidden="false" customHeight="false" outlineLevel="0" collapsed="false">
      <c r="A2342" s="201"/>
      <c r="B2342" s="201"/>
      <c r="C2342" s="201"/>
      <c r="D2342" s="201"/>
      <c r="E2342" s="201"/>
      <c r="F2342" s="201"/>
      <c r="G2342" s="201"/>
      <c r="H2342" s="201"/>
      <c r="I2342" s="201"/>
      <c r="J2342" s="201"/>
    </row>
    <row r="2343" customFormat="false" ht="15" hidden="false" customHeight="false" outlineLevel="0" collapsed="false">
      <c r="A2343" s="201"/>
      <c r="B2343" s="201"/>
      <c r="C2343" s="201"/>
      <c r="D2343" s="201"/>
      <c r="E2343" s="201"/>
      <c r="F2343" s="201"/>
      <c r="G2343" s="201"/>
      <c r="H2343" s="201"/>
      <c r="I2343" s="201"/>
      <c r="J2343" s="201"/>
    </row>
    <row r="2344" customFormat="false" ht="15" hidden="false" customHeight="false" outlineLevel="0" collapsed="false">
      <c r="A2344" s="201"/>
      <c r="B2344" s="201"/>
      <c r="C2344" s="201"/>
      <c r="D2344" s="201"/>
      <c r="E2344" s="201"/>
      <c r="F2344" s="201"/>
      <c r="G2344" s="201"/>
      <c r="H2344" s="201"/>
      <c r="I2344" s="201"/>
      <c r="J2344" s="201"/>
    </row>
    <row r="2345" customFormat="false" ht="15" hidden="false" customHeight="false" outlineLevel="0" collapsed="false">
      <c r="A2345" s="201"/>
      <c r="B2345" s="201"/>
      <c r="C2345" s="201"/>
      <c r="D2345" s="201"/>
      <c r="E2345" s="201"/>
      <c r="F2345" s="201"/>
      <c r="G2345" s="201"/>
      <c r="H2345" s="201"/>
      <c r="I2345" s="201"/>
      <c r="J2345" s="201"/>
    </row>
    <row r="2346" customFormat="false" ht="15" hidden="false" customHeight="false" outlineLevel="0" collapsed="false">
      <c r="A2346" s="201"/>
      <c r="B2346" s="201"/>
      <c r="C2346" s="201"/>
      <c r="D2346" s="201"/>
      <c r="E2346" s="201"/>
      <c r="F2346" s="201"/>
      <c r="G2346" s="201"/>
      <c r="H2346" s="201"/>
      <c r="I2346" s="201"/>
      <c r="J2346" s="201"/>
    </row>
    <row r="2347" customFormat="false" ht="15" hidden="false" customHeight="false" outlineLevel="0" collapsed="false">
      <c r="A2347" s="201"/>
      <c r="B2347" s="201"/>
      <c r="C2347" s="201"/>
      <c r="D2347" s="201"/>
      <c r="E2347" s="201"/>
      <c r="F2347" s="201"/>
      <c r="G2347" s="201"/>
      <c r="H2347" s="201"/>
      <c r="I2347" s="201"/>
      <c r="J2347" s="201"/>
    </row>
    <row r="2348" customFormat="false" ht="15" hidden="false" customHeight="false" outlineLevel="0" collapsed="false">
      <c r="A2348" s="201"/>
      <c r="B2348" s="201"/>
      <c r="C2348" s="201"/>
      <c r="D2348" s="201"/>
      <c r="E2348" s="201"/>
      <c r="F2348" s="201"/>
      <c r="G2348" s="201"/>
      <c r="H2348" s="201"/>
      <c r="I2348" s="201"/>
      <c r="J2348" s="201"/>
    </row>
    <row r="2349" customFormat="false" ht="15" hidden="false" customHeight="false" outlineLevel="0" collapsed="false">
      <c r="A2349" s="201"/>
      <c r="B2349" s="201"/>
      <c r="C2349" s="201"/>
      <c r="D2349" s="201"/>
      <c r="E2349" s="201"/>
      <c r="F2349" s="201"/>
      <c r="G2349" s="201"/>
      <c r="H2349" s="201"/>
      <c r="I2349" s="201"/>
      <c r="J2349" s="201"/>
    </row>
    <row r="2350" customFormat="false" ht="15" hidden="false" customHeight="false" outlineLevel="0" collapsed="false">
      <c r="A2350" s="201"/>
      <c r="B2350" s="201"/>
      <c r="C2350" s="201"/>
      <c r="D2350" s="201"/>
      <c r="E2350" s="201"/>
      <c r="F2350" s="201"/>
      <c r="G2350" s="201"/>
      <c r="H2350" s="201"/>
      <c r="I2350" s="201"/>
      <c r="J2350" s="201"/>
    </row>
    <row r="2351" customFormat="false" ht="15" hidden="false" customHeight="false" outlineLevel="0" collapsed="false">
      <c r="A2351" s="201"/>
      <c r="B2351" s="201"/>
      <c r="C2351" s="201"/>
      <c r="D2351" s="201"/>
      <c r="E2351" s="201"/>
      <c r="F2351" s="201"/>
      <c r="G2351" s="201"/>
      <c r="H2351" s="201"/>
      <c r="I2351" s="201"/>
      <c r="J2351" s="201"/>
    </row>
    <row r="2352" customFormat="false" ht="15" hidden="false" customHeight="false" outlineLevel="0" collapsed="false">
      <c r="A2352" s="201"/>
      <c r="B2352" s="201"/>
      <c r="C2352" s="201"/>
      <c r="D2352" s="201"/>
      <c r="E2352" s="201"/>
      <c r="F2352" s="201"/>
      <c r="G2352" s="201"/>
      <c r="H2352" s="201"/>
      <c r="I2352" s="201"/>
      <c r="J2352" s="201"/>
    </row>
    <row r="2353" customFormat="false" ht="15" hidden="false" customHeight="false" outlineLevel="0" collapsed="false">
      <c r="A2353" s="201"/>
      <c r="B2353" s="201"/>
      <c r="C2353" s="201"/>
      <c r="D2353" s="201"/>
      <c r="E2353" s="201"/>
      <c r="F2353" s="201"/>
      <c r="G2353" s="201"/>
      <c r="H2353" s="201"/>
      <c r="I2353" s="201"/>
      <c r="J2353" s="201"/>
    </row>
    <row r="2354" customFormat="false" ht="15" hidden="false" customHeight="false" outlineLevel="0" collapsed="false">
      <c r="A2354" s="201"/>
      <c r="B2354" s="201"/>
      <c r="C2354" s="201"/>
      <c r="D2354" s="201"/>
      <c r="E2354" s="201"/>
      <c r="F2354" s="201"/>
      <c r="G2354" s="201"/>
      <c r="H2354" s="201"/>
      <c r="I2354" s="201"/>
      <c r="J2354" s="201"/>
    </row>
    <row r="2355" customFormat="false" ht="15" hidden="false" customHeight="false" outlineLevel="0" collapsed="false">
      <c r="A2355" s="201"/>
      <c r="B2355" s="201"/>
      <c r="C2355" s="201"/>
      <c r="D2355" s="201"/>
      <c r="E2355" s="201"/>
      <c r="F2355" s="201"/>
      <c r="G2355" s="201"/>
      <c r="H2355" s="201"/>
      <c r="I2355" s="201"/>
      <c r="J2355" s="201"/>
    </row>
    <row r="2356" customFormat="false" ht="15" hidden="false" customHeight="false" outlineLevel="0" collapsed="false">
      <c r="A2356" s="201"/>
      <c r="B2356" s="201"/>
      <c r="C2356" s="201"/>
      <c r="D2356" s="201"/>
      <c r="E2356" s="201"/>
      <c r="F2356" s="201"/>
      <c r="G2356" s="201"/>
      <c r="H2356" s="201"/>
      <c r="I2356" s="201"/>
      <c r="J2356" s="201"/>
    </row>
    <row r="2357" customFormat="false" ht="15" hidden="false" customHeight="false" outlineLevel="0" collapsed="false">
      <c r="A2357" s="201"/>
      <c r="B2357" s="201"/>
      <c r="C2357" s="201"/>
      <c r="D2357" s="201"/>
      <c r="E2357" s="201"/>
      <c r="F2357" s="201"/>
      <c r="G2357" s="201"/>
      <c r="H2357" s="201"/>
      <c r="I2357" s="201"/>
      <c r="J2357" s="201"/>
    </row>
    <row r="2358" customFormat="false" ht="15" hidden="false" customHeight="false" outlineLevel="0" collapsed="false">
      <c r="A2358" s="201"/>
      <c r="B2358" s="201"/>
      <c r="C2358" s="201"/>
      <c r="D2358" s="201"/>
      <c r="E2358" s="201"/>
      <c r="F2358" s="201"/>
      <c r="G2358" s="201"/>
      <c r="H2358" s="201"/>
      <c r="I2358" s="201"/>
      <c r="J2358" s="201"/>
    </row>
    <row r="2359" customFormat="false" ht="15" hidden="false" customHeight="false" outlineLevel="0" collapsed="false">
      <c r="A2359" s="201"/>
      <c r="B2359" s="201"/>
      <c r="C2359" s="201"/>
      <c r="D2359" s="201"/>
      <c r="E2359" s="201"/>
      <c r="F2359" s="201"/>
      <c r="G2359" s="201"/>
      <c r="H2359" s="201"/>
      <c r="I2359" s="201"/>
      <c r="J2359" s="201"/>
    </row>
    <row r="2360" customFormat="false" ht="15" hidden="false" customHeight="false" outlineLevel="0" collapsed="false">
      <c r="A2360" s="201"/>
      <c r="B2360" s="201"/>
      <c r="C2360" s="201"/>
      <c r="D2360" s="201"/>
      <c r="E2360" s="201"/>
      <c r="F2360" s="201"/>
      <c r="G2360" s="201"/>
      <c r="H2360" s="201"/>
      <c r="I2360" s="201"/>
      <c r="J2360" s="201"/>
    </row>
    <row r="2361" customFormat="false" ht="15" hidden="false" customHeight="false" outlineLevel="0" collapsed="false">
      <c r="A2361" s="201"/>
      <c r="B2361" s="201"/>
      <c r="C2361" s="201"/>
      <c r="D2361" s="201"/>
      <c r="E2361" s="201"/>
      <c r="F2361" s="201"/>
      <c r="G2361" s="201"/>
      <c r="H2361" s="201"/>
      <c r="I2361" s="201"/>
      <c r="J2361" s="201"/>
    </row>
    <row r="2362" customFormat="false" ht="15" hidden="false" customHeight="false" outlineLevel="0" collapsed="false">
      <c r="A2362" s="201"/>
      <c r="B2362" s="201"/>
      <c r="C2362" s="201"/>
      <c r="D2362" s="201"/>
      <c r="E2362" s="201"/>
      <c r="F2362" s="201"/>
      <c r="G2362" s="201"/>
      <c r="H2362" s="201"/>
      <c r="I2362" s="201"/>
      <c r="J2362" s="201"/>
    </row>
    <row r="2363" customFormat="false" ht="15" hidden="false" customHeight="false" outlineLevel="0" collapsed="false">
      <c r="A2363" s="201"/>
      <c r="B2363" s="201"/>
      <c r="C2363" s="201"/>
      <c r="D2363" s="201"/>
      <c r="E2363" s="201"/>
      <c r="F2363" s="201"/>
      <c r="G2363" s="201"/>
      <c r="H2363" s="201"/>
      <c r="I2363" s="201"/>
      <c r="J2363" s="201"/>
    </row>
    <row r="2364" customFormat="false" ht="15" hidden="false" customHeight="false" outlineLevel="0" collapsed="false">
      <c r="A2364" s="201"/>
      <c r="B2364" s="201"/>
      <c r="C2364" s="201"/>
      <c r="D2364" s="201"/>
      <c r="E2364" s="201"/>
      <c r="F2364" s="201"/>
      <c r="G2364" s="201"/>
      <c r="H2364" s="201"/>
      <c r="I2364" s="201"/>
      <c r="J2364" s="201"/>
    </row>
    <row r="2365" customFormat="false" ht="15" hidden="false" customHeight="false" outlineLevel="0" collapsed="false">
      <c r="A2365" s="201"/>
      <c r="B2365" s="201"/>
      <c r="C2365" s="201"/>
      <c r="D2365" s="201"/>
      <c r="E2365" s="201"/>
      <c r="F2365" s="201"/>
      <c r="G2365" s="201"/>
      <c r="H2365" s="201"/>
      <c r="I2365" s="201"/>
      <c r="J2365" s="201"/>
    </row>
    <row r="2366" customFormat="false" ht="15" hidden="false" customHeight="false" outlineLevel="0" collapsed="false">
      <c r="A2366" s="201"/>
      <c r="B2366" s="201"/>
      <c r="C2366" s="201"/>
      <c r="D2366" s="201"/>
      <c r="E2366" s="201"/>
      <c r="F2366" s="201"/>
      <c r="G2366" s="201"/>
      <c r="H2366" s="201"/>
      <c r="I2366" s="201"/>
      <c r="J2366" s="201"/>
    </row>
    <row r="2367" customFormat="false" ht="15" hidden="false" customHeight="false" outlineLevel="0" collapsed="false">
      <c r="A2367" s="201"/>
      <c r="B2367" s="201"/>
      <c r="C2367" s="201"/>
      <c r="D2367" s="201"/>
      <c r="E2367" s="201"/>
      <c r="F2367" s="201"/>
      <c r="G2367" s="201"/>
      <c r="H2367" s="201"/>
      <c r="I2367" s="201"/>
      <c r="J2367" s="201"/>
    </row>
    <row r="2368" customFormat="false" ht="15" hidden="false" customHeight="false" outlineLevel="0" collapsed="false">
      <c r="A2368" s="201"/>
      <c r="B2368" s="201"/>
      <c r="C2368" s="201"/>
      <c r="D2368" s="201"/>
      <c r="E2368" s="201"/>
      <c r="F2368" s="201"/>
      <c r="G2368" s="201"/>
      <c r="H2368" s="201"/>
      <c r="I2368" s="201"/>
      <c r="J2368" s="201"/>
    </row>
    <row r="2369" customFormat="false" ht="15" hidden="false" customHeight="false" outlineLevel="0" collapsed="false">
      <c r="A2369" s="201"/>
      <c r="B2369" s="201"/>
      <c r="C2369" s="201"/>
      <c r="D2369" s="201"/>
      <c r="E2369" s="201"/>
      <c r="F2369" s="201"/>
      <c r="G2369" s="201"/>
      <c r="H2369" s="201"/>
      <c r="I2369" s="201"/>
      <c r="J2369" s="201"/>
    </row>
    <row r="2370" customFormat="false" ht="15" hidden="false" customHeight="false" outlineLevel="0" collapsed="false">
      <c r="A2370" s="201"/>
      <c r="B2370" s="201"/>
      <c r="C2370" s="201"/>
      <c r="D2370" s="201"/>
      <c r="E2370" s="201"/>
      <c r="F2370" s="201"/>
      <c r="G2370" s="201"/>
      <c r="H2370" s="201"/>
      <c r="I2370" s="201"/>
      <c r="J2370" s="201"/>
    </row>
    <row r="2371" customFormat="false" ht="15" hidden="false" customHeight="false" outlineLevel="0" collapsed="false">
      <c r="A2371" s="201"/>
      <c r="B2371" s="201"/>
      <c r="C2371" s="201"/>
      <c r="D2371" s="201"/>
      <c r="E2371" s="201"/>
      <c r="F2371" s="201"/>
      <c r="G2371" s="201"/>
      <c r="H2371" s="201"/>
      <c r="I2371" s="201"/>
      <c r="J2371" s="201"/>
    </row>
    <row r="2372" customFormat="false" ht="15" hidden="false" customHeight="false" outlineLevel="0" collapsed="false">
      <c r="A2372" s="201"/>
      <c r="B2372" s="201"/>
      <c r="C2372" s="201"/>
      <c r="D2372" s="201"/>
      <c r="E2372" s="201"/>
      <c r="F2372" s="201"/>
      <c r="G2372" s="201"/>
      <c r="H2372" s="201"/>
      <c r="I2372" s="201"/>
      <c r="J2372" s="201"/>
    </row>
    <row r="2373" customFormat="false" ht="15" hidden="false" customHeight="false" outlineLevel="0" collapsed="false">
      <c r="A2373" s="201"/>
      <c r="B2373" s="201"/>
      <c r="C2373" s="201"/>
      <c r="D2373" s="201"/>
      <c r="E2373" s="201"/>
      <c r="F2373" s="201"/>
      <c r="G2373" s="201"/>
      <c r="H2373" s="201"/>
      <c r="I2373" s="201"/>
      <c r="J2373" s="201"/>
    </row>
    <row r="2374" customFormat="false" ht="15" hidden="false" customHeight="false" outlineLevel="0" collapsed="false">
      <c r="A2374" s="201"/>
      <c r="B2374" s="201"/>
      <c r="C2374" s="201"/>
      <c r="D2374" s="201"/>
      <c r="E2374" s="201"/>
      <c r="F2374" s="201"/>
      <c r="G2374" s="201"/>
      <c r="H2374" s="201"/>
      <c r="I2374" s="201"/>
      <c r="J2374" s="201"/>
    </row>
    <row r="2375" customFormat="false" ht="15" hidden="false" customHeight="false" outlineLevel="0" collapsed="false">
      <c r="A2375" s="201"/>
      <c r="B2375" s="201"/>
      <c r="C2375" s="201"/>
      <c r="D2375" s="201"/>
      <c r="E2375" s="201"/>
      <c r="F2375" s="201"/>
      <c r="G2375" s="201"/>
      <c r="H2375" s="201"/>
      <c r="I2375" s="201"/>
      <c r="J2375" s="201"/>
    </row>
    <row r="2376" customFormat="false" ht="15" hidden="false" customHeight="false" outlineLevel="0" collapsed="false">
      <c r="A2376" s="201"/>
      <c r="B2376" s="201"/>
      <c r="C2376" s="201"/>
      <c r="D2376" s="201"/>
      <c r="E2376" s="201"/>
      <c r="F2376" s="201"/>
      <c r="G2376" s="201"/>
      <c r="H2376" s="201"/>
      <c r="I2376" s="201"/>
      <c r="J2376" s="201"/>
    </row>
    <row r="2377" customFormat="false" ht="15" hidden="false" customHeight="false" outlineLevel="0" collapsed="false">
      <c r="A2377" s="201"/>
      <c r="B2377" s="201"/>
      <c r="C2377" s="201"/>
      <c r="D2377" s="201"/>
      <c r="E2377" s="201"/>
      <c r="F2377" s="201"/>
      <c r="G2377" s="201"/>
      <c r="H2377" s="201"/>
      <c r="I2377" s="201"/>
      <c r="J2377" s="201"/>
    </row>
    <row r="2378" customFormat="false" ht="15" hidden="false" customHeight="false" outlineLevel="0" collapsed="false">
      <c r="A2378" s="201"/>
      <c r="B2378" s="201"/>
      <c r="C2378" s="201"/>
      <c r="D2378" s="201"/>
      <c r="E2378" s="201"/>
      <c r="F2378" s="201"/>
      <c r="G2378" s="201"/>
      <c r="H2378" s="201"/>
      <c r="I2378" s="201"/>
      <c r="J2378" s="201"/>
    </row>
    <row r="2379" customFormat="false" ht="15" hidden="false" customHeight="false" outlineLevel="0" collapsed="false">
      <c r="A2379" s="201"/>
      <c r="B2379" s="201"/>
      <c r="C2379" s="201"/>
      <c r="D2379" s="201"/>
      <c r="E2379" s="201"/>
      <c r="F2379" s="201"/>
      <c r="G2379" s="201"/>
      <c r="H2379" s="201"/>
      <c r="I2379" s="201"/>
      <c r="J2379" s="201"/>
    </row>
    <row r="2380" customFormat="false" ht="15" hidden="false" customHeight="false" outlineLevel="0" collapsed="false">
      <c r="A2380" s="201"/>
      <c r="B2380" s="201"/>
      <c r="C2380" s="201"/>
      <c r="D2380" s="201"/>
      <c r="E2380" s="201"/>
      <c r="F2380" s="201"/>
      <c r="G2380" s="201"/>
      <c r="H2380" s="201"/>
      <c r="I2380" s="201"/>
      <c r="J2380" s="201"/>
    </row>
    <row r="2381" customFormat="false" ht="15" hidden="false" customHeight="false" outlineLevel="0" collapsed="false">
      <c r="A2381" s="201"/>
      <c r="B2381" s="201"/>
      <c r="C2381" s="201"/>
      <c r="D2381" s="201"/>
      <c r="E2381" s="201"/>
      <c r="F2381" s="201"/>
      <c r="G2381" s="201"/>
      <c r="H2381" s="201"/>
      <c r="I2381" s="201"/>
      <c r="J2381" s="201"/>
    </row>
    <row r="2382" customFormat="false" ht="15" hidden="false" customHeight="false" outlineLevel="0" collapsed="false">
      <c r="A2382" s="201"/>
      <c r="B2382" s="201"/>
      <c r="C2382" s="201"/>
      <c r="D2382" s="201"/>
      <c r="E2382" s="201"/>
      <c r="F2382" s="201"/>
      <c r="G2382" s="201"/>
      <c r="H2382" s="201"/>
      <c r="I2382" s="201"/>
      <c r="J2382" s="201"/>
    </row>
    <row r="2383" customFormat="false" ht="15" hidden="false" customHeight="false" outlineLevel="0" collapsed="false">
      <c r="A2383" s="201"/>
      <c r="B2383" s="201"/>
      <c r="C2383" s="201"/>
      <c r="D2383" s="201"/>
      <c r="E2383" s="201"/>
      <c r="F2383" s="201"/>
      <c r="G2383" s="201"/>
      <c r="H2383" s="201"/>
      <c r="I2383" s="201"/>
      <c r="J2383" s="201"/>
    </row>
    <row r="2384" customFormat="false" ht="15" hidden="false" customHeight="false" outlineLevel="0" collapsed="false">
      <c r="A2384" s="201"/>
      <c r="B2384" s="201"/>
      <c r="C2384" s="201"/>
      <c r="D2384" s="201"/>
      <c r="E2384" s="201"/>
      <c r="F2384" s="201"/>
      <c r="G2384" s="201"/>
      <c r="H2384" s="201"/>
      <c r="I2384" s="201"/>
      <c r="J2384" s="201"/>
    </row>
    <row r="2385" customFormat="false" ht="15" hidden="false" customHeight="false" outlineLevel="0" collapsed="false">
      <c r="A2385" s="201"/>
      <c r="B2385" s="201"/>
      <c r="C2385" s="201"/>
      <c r="D2385" s="201"/>
      <c r="E2385" s="201"/>
      <c r="F2385" s="201"/>
      <c r="G2385" s="201"/>
      <c r="H2385" s="201"/>
      <c r="I2385" s="201"/>
      <c r="J2385" s="201"/>
    </row>
    <row r="2386" customFormat="false" ht="15" hidden="false" customHeight="false" outlineLevel="0" collapsed="false">
      <c r="A2386" s="201"/>
      <c r="B2386" s="201"/>
      <c r="C2386" s="201"/>
      <c r="D2386" s="201"/>
      <c r="E2386" s="201"/>
      <c r="F2386" s="201"/>
      <c r="G2386" s="201"/>
      <c r="H2386" s="201"/>
      <c r="I2386" s="201"/>
      <c r="J2386" s="201"/>
    </row>
    <row r="2387" customFormat="false" ht="15" hidden="false" customHeight="false" outlineLevel="0" collapsed="false">
      <c r="A2387" s="201"/>
      <c r="B2387" s="201"/>
      <c r="C2387" s="201"/>
      <c r="D2387" s="201"/>
      <c r="E2387" s="201"/>
      <c r="F2387" s="201"/>
      <c r="G2387" s="201"/>
      <c r="H2387" s="201"/>
      <c r="I2387" s="201"/>
      <c r="J2387" s="201"/>
    </row>
    <row r="2388" customFormat="false" ht="15" hidden="false" customHeight="false" outlineLevel="0" collapsed="false">
      <c r="A2388" s="201"/>
      <c r="B2388" s="201"/>
      <c r="C2388" s="201"/>
      <c r="D2388" s="201"/>
      <c r="E2388" s="201"/>
      <c r="F2388" s="201"/>
      <c r="G2388" s="201"/>
      <c r="H2388" s="201"/>
      <c r="I2388" s="201"/>
      <c r="J2388" s="201"/>
    </row>
    <row r="2389" customFormat="false" ht="15" hidden="false" customHeight="false" outlineLevel="0" collapsed="false">
      <c r="A2389" s="201"/>
      <c r="B2389" s="201"/>
      <c r="C2389" s="201"/>
      <c r="D2389" s="201"/>
      <c r="E2389" s="201"/>
      <c r="F2389" s="201"/>
      <c r="G2389" s="201"/>
      <c r="H2389" s="201"/>
      <c r="I2389" s="201"/>
      <c r="J2389" s="201"/>
    </row>
    <row r="2390" customFormat="false" ht="15" hidden="false" customHeight="false" outlineLevel="0" collapsed="false">
      <c r="A2390" s="201"/>
      <c r="B2390" s="201"/>
      <c r="C2390" s="201"/>
      <c r="D2390" s="201"/>
      <c r="E2390" s="201"/>
      <c r="F2390" s="201"/>
      <c r="G2390" s="201"/>
      <c r="H2390" s="201"/>
      <c r="I2390" s="201"/>
      <c r="J2390" s="201"/>
    </row>
    <row r="2391" customFormat="false" ht="15" hidden="false" customHeight="false" outlineLevel="0" collapsed="false">
      <c r="A2391" s="201"/>
      <c r="B2391" s="201"/>
      <c r="C2391" s="201"/>
      <c r="D2391" s="201"/>
      <c r="E2391" s="201"/>
      <c r="F2391" s="201"/>
      <c r="G2391" s="201"/>
      <c r="H2391" s="201"/>
      <c r="I2391" s="201"/>
      <c r="J2391" s="201"/>
    </row>
    <row r="2392" customFormat="false" ht="15" hidden="false" customHeight="false" outlineLevel="0" collapsed="false">
      <c r="A2392" s="201"/>
      <c r="B2392" s="201"/>
      <c r="C2392" s="201"/>
      <c r="D2392" s="201"/>
      <c r="E2392" s="201"/>
      <c r="F2392" s="201"/>
      <c r="G2392" s="201"/>
      <c r="H2392" s="201"/>
      <c r="I2392" s="201"/>
      <c r="J2392" s="201"/>
    </row>
    <row r="2393" customFormat="false" ht="15" hidden="false" customHeight="false" outlineLevel="0" collapsed="false">
      <c r="A2393" s="201"/>
      <c r="B2393" s="201"/>
      <c r="C2393" s="201"/>
      <c r="D2393" s="201"/>
      <c r="E2393" s="201"/>
      <c r="F2393" s="201"/>
      <c r="G2393" s="201"/>
      <c r="H2393" s="201"/>
      <c r="I2393" s="201"/>
      <c r="J2393" s="201"/>
    </row>
    <row r="2394" customFormat="false" ht="15" hidden="false" customHeight="false" outlineLevel="0" collapsed="false">
      <c r="A2394" s="201"/>
      <c r="B2394" s="201"/>
      <c r="C2394" s="201"/>
      <c r="D2394" s="201"/>
      <c r="E2394" s="201"/>
      <c r="F2394" s="201"/>
      <c r="G2394" s="201"/>
      <c r="H2394" s="201"/>
      <c r="I2394" s="201"/>
      <c r="J2394" s="201"/>
    </row>
    <row r="2395" customFormat="false" ht="15" hidden="false" customHeight="false" outlineLevel="0" collapsed="false">
      <c r="A2395" s="201"/>
      <c r="B2395" s="201"/>
      <c r="C2395" s="201"/>
      <c r="D2395" s="201"/>
      <c r="E2395" s="201"/>
      <c r="F2395" s="201"/>
      <c r="G2395" s="201"/>
      <c r="H2395" s="201"/>
      <c r="I2395" s="201"/>
      <c r="J2395" s="201"/>
    </row>
    <row r="2396" customFormat="false" ht="15" hidden="false" customHeight="false" outlineLevel="0" collapsed="false">
      <c r="A2396" s="201"/>
      <c r="B2396" s="201"/>
      <c r="C2396" s="201"/>
      <c r="D2396" s="201"/>
      <c r="E2396" s="201"/>
      <c r="F2396" s="201"/>
      <c r="G2396" s="201"/>
      <c r="H2396" s="201"/>
      <c r="I2396" s="201"/>
      <c r="J2396" s="201"/>
    </row>
    <row r="2397" customFormat="false" ht="15" hidden="false" customHeight="false" outlineLevel="0" collapsed="false">
      <c r="A2397" s="201"/>
      <c r="B2397" s="201"/>
      <c r="C2397" s="201"/>
      <c r="D2397" s="201"/>
      <c r="E2397" s="201"/>
      <c r="F2397" s="201"/>
      <c r="G2397" s="201"/>
      <c r="H2397" s="201"/>
      <c r="I2397" s="201"/>
      <c r="J2397" s="201"/>
    </row>
    <row r="2398" customFormat="false" ht="15" hidden="false" customHeight="false" outlineLevel="0" collapsed="false">
      <c r="A2398" s="201"/>
      <c r="B2398" s="201"/>
      <c r="C2398" s="201"/>
      <c r="D2398" s="201"/>
      <c r="E2398" s="201"/>
      <c r="F2398" s="201"/>
      <c r="G2398" s="201"/>
      <c r="H2398" s="201"/>
      <c r="I2398" s="201"/>
      <c r="J2398" s="201"/>
    </row>
    <row r="2399" customFormat="false" ht="15" hidden="false" customHeight="false" outlineLevel="0" collapsed="false">
      <c r="A2399" s="201"/>
      <c r="B2399" s="201"/>
      <c r="C2399" s="201"/>
      <c r="D2399" s="201"/>
      <c r="E2399" s="201"/>
      <c r="F2399" s="201"/>
      <c r="G2399" s="201"/>
      <c r="H2399" s="201"/>
      <c r="I2399" s="201"/>
      <c r="J2399" s="201"/>
    </row>
    <row r="2400" customFormat="false" ht="15" hidden="false" customHeight="false" outlineLevel="0" collapsed="false">
      <c r="A2400" s="201"/>
      <c r="B2400" s="201"/>
      <c r="C2400" s="201"/>
      <c r="D2400" s="201"/>
      <c r="E2400" s="201"/>
      <c r="F2400" s="201"/>
      <c r="G2400" s="201"/>
      <c r="H2400" s="201"/>
      <c r="I2400" s="201"/>
      <c r="J2400" s="201"/>
    </row>
    <row r="2401" customFormat="false" ht="15" hidden="false" customHeight="false" outlineLevel="0" collapsed="false">
      <c r="A2401" s="201"/>
      <c r="B2401" s="201"/>
      <c r="C2401" s="201"/>
      <c r="D2401" s="201"/>
      <c r="E2401" s="201"/>
      <c r="F2401" s="201"/>
      <c r="G2401" s="201"/>
      <c r="H2401" s="201"/>
      <c r="I2401" s="201"/>
      <c r="J2401" s="201"/>
    </row>
    <row r="2402" customFormat="false" ht="15" hidden="false" customHeight="false" outlineLevel="0" collapsed="false">
      <c r="A2402" s="201"/>
      <c r="B2402" s="201"/>
      <c r="C2402" s="201"/>
      <c r="D2402" s="201"/>
      <c r="E2402" s="201"/>
      <c r="F2402" s="201"/>
      <c r="G2402" s="201"/>
      <c r="H2402" s="201"/>
      <c r="I2402" s="201"/>
      <c r="J2402" s="201"/>
    </row>
    <row r="2403" customFormat="false" ht="15" hidden="false" customHeight="false" outlineLevel="0" collapsed="false">
      <c r="A2403" s="201"/>
      <c r="B2403" s="201"/>
      <c r="C2403" s="201"/>
      <c r="D2403" s="201"/>
      <c r="E2403" s="201"/>
      <c r="F2403" s="201"/>
      <c r="G2403" s="201"/>
      <c r="H2403" s="201"/>
      <c r="I2403" s="201"/>
      <c r="J2403" s="201"/>
    </row>
    <row r="2404" customFormat="false" ht="15" hidden="false" customHeight="false" outlineLevel="0" collapsed="false">
      <c r="A2404" s="201"/>
      <c r="B2404" s="201"/>
      <c r="C2404" s="201"/>
      <c r="D2404" s="201"/>
      <c r="E2404" s="201"/>
      <c r="F2404" s="201"/>
      <c r="G2404" s="201"/>
      <c r="H2404" s="201"/>
      <c r="I2404" s="201"/>
      <c r="J2404" s="201"/>
    </row>
    <row r="2405" customFormat="false" ht="15" hidden="false" customHeight="false" outlineLevel="0" collapsed="false">
      <c r="A2405" s="201"/>
      <c r="B2405" s="201"/>
      <c r="C2405" s="201"/>
      <c r="D2405" s="201"/>
      <c r="E2405" s="201"/>
      <c r="F2405" s="201"/>
      <c r="G2405" s="201"/>
      <c r="H2405" s="201"/>
      <c r="I2405" s="201"/>
      <c r="J2405" s="201"/>
    </row>
    <row r="2406" customFormat="false" ht="15" hidden="false" customHeight="false" outlineLevel="0" collapsed="false">
      <c r="A2406" s="201"/>
      <c r="B2406" s="201"/>
      <c r="C2406" s="201"/>
      <c r="D2406" s="201"/>
      <c r="E2406" s="201"/>
      <c r="F2406" s="201"/>
      <c r="G2406" s="201"/>
      <c r="H2406" s="201"/>
      <c r="I2406" s="201"/>
      <c r="J2406" s="201"/>
    </row>
    <row r="2407" customFormat="false" ht="15" hidden="false" customHeight="false" outlineLevel="0" collapsed="false">
      <c r="A2407" s="201"/>
      <c r="B2407" s="201"/>
      <c r="C2407" s="201"/>
      <c r="D2407" s="201"/>
      <c r="E2407" s="201"/>
      <c r="F2407" s="201"/>
      <c r="G2407" s="201"/>
      <c r="H2407" s="201"/>
      <c r="I2407" s="201"/>
      <c r="J2407" s="201"/>
    </row>
    <row r="2408" customFormat="false" ht="15" hidden="false" customHeight="false" outlineLevel="0" collapsed="false">
      <c r="A2408" s="201"/>
      <c r="B2408" s="201"/>
      <c r="C2408" s="201"/>
      <c r="D2408" s="201"/>
      <c r="E2408" s="201"/>
      <c r="F2408" s="201"/>
      <c r="G2408" s="201"/>
      <c r="H2408" s="201"/>
      <c r="I2408" s="201"/>
      <c r="J2408" s="201"/>
    </row>
    <row r="2409" customFormat="false" ht="15" hidden="false" customHeight="false" outlineLevel="0" collapsed="false">
      <c r="A2409" s="201"/>
      <c r="B2409" s="201"/>
      <c r="C2409" s="201"/>
      <c r="D2409" s="201"/>
      <c r="E2409" s="201"/>
      <c r="F2409" s="201"/>
      <c r="G2409" s="201"/>
      <c r="H2409" s="201"/>
      <c r="I2409" s="201"/>
      <c r="J2409" s="201"/>
    </row>
    <row r="2410" customFormat="false" ht="15" hidden="false" customHeight="false" outlineLevel="0" collapsed="false">
      <c r="A2410" s="201"/>
      <c r="B2410" s="201"/>
      <c r="C2410" s="201"/>
      <c r="D2410" s="201"/>
      <c r="E2410" s="201"/>
      <c r="F2410" s="201"/>
      <c r="G2410" s="201"/>
      <c r="H2410" s="201"/>
      <c r="I2410" s="201"/>
      <c r="J2410" s="201"/>
    </row>
    <row r="2411" customFormat="false" ht="15" hidden="false" customHeight="false" outlineLevel="0" collapsed="false">
      <c r="A2411" s="201"/>
      <c r="B2411" s="201"/>
      <c r="C2411" s="201"/>
      <c r="D2411" s="201"/>
      <c r="E2411" s="201"/>
      <c r="F2411" s="201"/>
      <c r="G2411" s="201"/>
      <c r="H2411" s="201"/>
      <c r="I2411" s="201"/>
      <c r="J2411" s="201"/>
    </row>
    <row r="2412" customFormat="false" ht="15" hidden="false" customHeight="false" outlineLevel="0" collapsed="false">
      <c r="A2412" s="201"/>
      <c r="B2412" s="201"/>
      <c r="C2412" s="201"/>
      <c r="D2412" s="201"/>
      <c r="E2412" s="201"/>
      <c r="F2412" s="201"/>
      <c r="G2412" s="201"/>
      <c r="H2412" s="201"/>
      <c r="I2412" s="201"/>
      <c r="J2412" s="201"/>
    </row>
    <row r="2413" customFormat="false" ht="15" hidden="false" customHeight="false" outlineLevel="0" collapsed="false">
      <c r="A2413" s="201"/>
      <c r="B2413" s="201"/>
      <c r="C2413" s="201"/>
      <c r="D2413" s="201"/>
      <c r="E2413" s="201"/>
      <c r="F2413" s="201"/>
      <c r="G2413" s="201"/>
      <c r="H2413" s="201"/>
      <c r="I2413" s="201"/>
      <c r="J2413" s="201"/>
    </row>
    <row r="2414" customFormat="false" ht="15" hidden="false" customHeight="false" outlineLevel="0" collapsed="false">
      <c r="A2414" s="201"/>
      <c r="B2414" s="201"/>
      <c r="C2414" s="201"/>
      <c r="D2414" s="201"/>
      <c r="E2414" s="201"/>
      <c r="F2414" s="201"/>
      <c r="G2414" s="201"/>
      <c r="H2414" s="201"/>
      <c r="I2414" s="201"/>
      <c r="J2414" s="201"/>
    </row>
    <row r="2415" customFormat="false" ht="15" hidden="false" customHeight="false" outlineLevel="0" collapsed="false">
      <c r="A2415" s="201"/>
      <c r="B2415" s="201"/>
      <c r="C2415" s="201"/>
      <c r="D2415" s="201"/>
      <c r="E2415" s="201"/>
      <c r="F2415" s="201"/>
      <c r="G2415" s="201"/>
      <c r="H2415" s="201"/>
      <c r="I2415" s="201"/>
      <c r="J2415" s="201"/>
    </row>
    <row r="2416" customFormat="false" ht="15" hidden="false" customHeight="false" outlineLevel="0" collapsed="false">
      <c r="A2416" s="201"/>
      <c r="B2416" s="201"/>
      <c r="C2416" s="201"/>
      <c r="D2416" s="201"/>
      <c r="E2416" s="201"/>
      <c r="F2416" s="201"/>
      <c r="G2416" s="201"/>
      <c r="H2416" s="201"/>
      <c r="I2416" s="201"/>
      <c r="J2416" s="201"/>
    </row>
    <row r="2417" customFormat="false" ht="15" hidden="false" customHeight="false" outlineLevel="0" collapsed="false">
      <c r="A2417" s="201"/>
      <c r="B2417" s="201"/>
      <c r="C2417" s="201"/>
      <c r="D2417" s="201"/>
      <c r="E2417" s="201"/>
      <c r="F2417" s="201"/>
      <c r="G2417" s="201"/>
      <c r="H2417" s="201"/>
      <c r="I2417" s="201"/>
      <c r="J2417" s="201"/>
    </row>
    <row r="2418" customFormat="false" ht="15" hidden="false" customHeight="false" outlineLevel="0" collapsed="false">
      <c r="A2418" s="201"/>
      <c r="B2418" s="201"/>
      <c r="C2418" s="201"/>
      <c r="D2418" s="201"/>
      <c r="E2418" s="201"/>
      <c r="F2418" s="201"/>
      <c r="G2418" s="201"/>
      <c r="H2418" s="201"/>
      <c r="I2418" s="201"/>
      <c r="J2418" s="201"/>
    </row>
    <row r="2419" customFormat="false" ht="15" hidden="false" customHeight="false" outlineLevel="0" collapsed="false">
      <c r="A2419" s="201"/>
      <c r="B2419" s="201"/>
      <c r="C2419" s="201"/>
      <c r="D2419" s="201"/>
      <c r="E2419" s="201"/>
      <c r="F2419" s="201"/>
      <c r="G2419" s="201"/>
      <c r="H2419" s="201"/>
      <c r="I2419" s="201"/>
      <c r="J2419" s="201"/>
    </row>
    <row r="2420" customFormat="false" ht="15" hidden="false" customHeight="false" outlineLevel="0" collapsed="false">
      <c r="A2420" s="201"/>
      <c r="B2420" s="201"/>
      <c r="C2420" s="201"/>
      <c r="D2420" s="201"/>
      <c r="E2420" s="201"/>
      <c r="F2420" s="201"/>
      <c r="G2420" s="201"/>
      <c r="H2420" s="201"/>
      <c r="I2420" s="201"/>
      <c r="J2420" s="201"/>
    </row>
    <row r="2421" customFormat="false" ht="15" hidden="false" customHeight="false" outlineLevel="0" collapsed="false">
      <c r="A2421" s="201"/>
      <c r="B2421" s="201"/>
      <c r="C2421" s="201"/>
      <c r="D2421" s="201"/>
      <c r="E2421" s="201"/>
      <c r="F2421" s="201"/>
      <c r="G2421" s="201"/>
      <c r="H2421" s="201"/>
      <c r="I2421" s="201"/>
      <c r="J2421" s="201"/>
    </row>
    <row r="2422" customFormat="false" ht="15" hidden="false" customHeight="false" outlineLevel="0" collapsed="false">
      <c r="A2422" s="201"/>
      <c r="B2422" s="201"/>
      <c r="C2422" s="201"/>
      <c r="D2422" s="201"/>
      <c r="E2422" s="201"/>
      <c r="F2422" s="201"/>
      <c r="G2422" s="201"/>
      <c r="H2422" s="201"/>
      <c r="I2422" s="201"/>
      <c r="J2422" s="201"/>
    </row>
    <row r="2423" customFormat="false" ht="15" hidden="false" customHeight="false" outlineLevel="0" collapsed="false">
      <c r="A2423" s="201"/>
      <c r="B2423" s="201"/>
      <c r="C2423" s="201"/>
      <c r="D2423" s="201"/>
      <c r="E2423" s="201"/>
      <c r="F2423" s="201"/>
      <c r="G2423" s="201"/>
      <c r="H2423" s="201"/>
      <c r="I2423" s="201"/>
      <c r="J2423" s="201"/>
    </row>
    <row r="2424" customFormat="false" ht="15" hidden="false" customHeight="false" outlineLevel="0" collapsed="false">
      <c r="A2424" s="201"/>
      <c r="B2424" s="201"/>
      <c r="C2424" s="201"/>
      <c r="D2424" s="201"/>
      <c r="E2424" s="201"/>
      <c r="F2424" s="201"/>
      <c r="G2424" s="201"/>
      <c r="H2424" s="201"/>
      <c r="I2424" s="201"/>
      <c r="J2424" s="201"/>
    </row>
    <row r="2425" customFormat="false" ht="15" hidden="false" customHeight="false" outlineLevel="0" collapsed="false">
      <c r="A2425" s="201"/>
      <c r="B2425" s="201"/>
      <c r="C2425" s="201"/>
      <c r="D2425" s="201"/>
      <c r="E2425" s="201"/>
      <c r="F2425" s="201"/>
      <c r="G2425" s="201"/>
      <c r="H2425" s="201"/>
      <c r="I2425" s="201"/>
      <c r="J2425" s="201"/>
    </row>
    <row r="2426" customFormat="false" ht="15" hidden="false" customHeight="false" outlineLevel="0" collapsed="false">
      <c r="A2426" s="201"/>
      <c r="B2426" s="201"/>
      <c r="C2426" s="201"/>
      <c r="D2426" s="201"/>
      <c r="E2426" s="201"/>
      <c r="F2426" s="201"/>
      <c r="G2426" s="201"/>
      <c r="H2426" s="201"/>
      <c r="I2426" s="201"/>
      <c r="J2426" s="201"/>
    </row>
    <row r="2427" customFormat="false" ht="15" hidden="false" customHeight="false" outlineLevel="0" collapsed="false">
      <c r="A2427" s="201"/>
      <c r="B2427" s="201"/>
      <c r="C2427" s="201"/>
      <c r="D2427" s="201"/>
      <c r="E2427" s="201"/>
      <c r="F2427" s="201"/>
      <c r="G2427" s="201"/>
      <c r="H2427" s="201"/>
      <c r="I2427" s="201"/>
      <c r="J2427" s="201"/>
    </row>
    <row r="2428" customFormat="false" ht="15" hidden="false" customHeight="false" outlineLevel="0" collapsed="false">
      <c r="A2428" s="201"/>
      <c r="B2428" s="201"/>
      <c r="C2428" s="201"/>
      <c r="D2428" s="201"/>
      <c r="E2428" s="201"/>
      <c r="F2428" s="201"/>
      <c r="G2428" s="201"/>
      <c r="H2428" s="201"/>
      <c r="I2428" s="201"/>
      <c r="J2428" s="201"/>
    </row>
    <row r="2429" customFormat="false" ht="15" hidden="false" customHeight="false" outlineLevel="0" collapsed="false">
      <c r="A2429" s="201"/>
      <c r="B2429" s="201"/>
      <c r="C2429" s="201"/>
      <c r="D2429" s="201"/>
      <c r="E2429" s="201"/>
      <c r="F2429" s="201"/>
      <c r="G2429" s="201"/>
      <c r="H2429" s="201"/>
      <c r="I2429" s="201"/>
      <c r="J2429" s="201"/>
    </row>
    <row r="2430" customFormat="false" ht="15" hidden="false" customHeight="false" outlineLevel="0" collapsed="false">
      <c r="A2430" s="201"/>
      <c r="B2430" s="201"/>
      <c r="C2430" s="201"/>
      <c r="D2430" s="201"/>
      <c r="E2430" s="201"/>
      <c r="F2430" s="201"/>
      <c r="G2430" s="201"/>
      <c r="H2430" s="201"/>
      <c r="I2430" s="201"/>
      <c r="J2430" s="201"/>
    </row>
    <row r="2431" customFormat="false" ht="15" hidden="false" customHeight="false" outlineLevel="0" collapsed="false">
      <c r="A2431" s="201"/>
      <c r="B2431" s="201"/>
      <c r="C2431" s="201"/>
      <c r="D2431" s="201"/>
      <c r="E2431" s="201"/>
      <c r="F2431" s="201"/>
      <c r="G2431" s="201"/>
      <c r="H2431" s="201"/>
      <c r="I2431" s="201"/>
      <c r="J2431" s="201"/>
    </row>
    <row r="2432" customFormat="false" ht="15" hidden="false" customHeight="false" outlineLevel="0" collapsed="false">
      <c r="A2432" s="201"/>
      <c r="B2432" s="201"/>
      <c r="C2432" s="201"/>
      <c r="D2432" s="201"/>
      <c r="E2432" s="201"/>
      <c r="F2432" s="201"/>
      <c r="G2432" s="201"/>
      <c r="H2432" s="201"/>
      <c r="I2432" s="201"/>
      <c r="J2432" s="201"/>
    </row>
    <row r="2433" customFormat="false" ht="15" hidden="false" customHeight="false" outlineLevel="0" collapsed="false">
      <c r="A2433" s="201"/>
      <c r="B2433" s="201"/>
      <c r="C2433" s="201"/>
      <c r="D2433" s="201"/>
      <c r="E2433" s="201"/>
      <c r="F2433" s="201"/>
      <c r="G2433" s="201"/>
      <c r="H2433" s="201"/>
      <c r="I2433" s="201"/>
      <c r="J2433" s="201"/>
    </row>
    <row r="2434" customFormat="false" ht="15" hidden="false" customHeight="false" outlineLevel="0" collapsed="false">
      <c r="A2434" s="201"/>
      <c r="B2434" s="201"/>
      <c r="C2434" s="201"/>
      <c r="D2434" s="201"/>
      <c r="E2434" s="201"/>
      <c r="F2434" s="201"/>
      <c r="G2434" s="201"/>
      <c r="H2434" s="201"/>
      <c r="I2434" s="201"/>
      <c r="J2434" s="201"/>
    </row>
    <row r="2435" customFormat="false" ht="15" hidden="false" customHeight="false" outlineLevel="0" collapsed="false">
      <c r="A2435" s="201"/>
      <c r="B2435" s="201"/>
      <c r="C2435" s="201"/>
      <c r="D2435" s="201"/>
      <c r="E2435" s="201"/>
      <c r="F2435" s="201"/>
      <c r="G2435" s="201"/>
      <c r="H2435" s="201"/>
      <c r="I2435" s="201"/>
      <c r="J2435" s="201"/>
    </row>
    <row r="2436" customFormat="false" ht="15" hidden="false" customHeight="false" outlineLevel="0" collapsed="false">
      <c r="A2436" s="201"/>
      <c r="B2436" s="201"/>
      <c r="C2436" s="201"/>
      <c r="D2436" s="201"/>
      <c r="E2436" s="201"/>
      <c r="F2436" s="201"/>
      <c r="G2436" s="201"/>
      <c r="H2436" s="201"/>
      <c r="I2436" s="201"/>
      <c r="J2436" s="201"/>
    </row>
    <row r="2437" customFormat="false" ht="15" hidden="false" customHeight="false" outlineLevel="0" collapsed="false">
      <c r="A2437" s="201"/>
      <c r="B2437" s="201"/>
      <c r="C2437" s="201"/>
      <c r="D2437" s="201"/>
      <c r="E2437" s="201"/>
      <c r="F2437" s="201"/>
      <c r="G2437" s="201"/>
      <c r="H2437" s="201"/>
      <c r="I2437" s="201"/>
      <c r="J2437" s="201"/>
    </row>
    <row r="2438" customFormat="false" ht="15" hidden="false" customHeight="false" outlineLevel="0" collapsed="false">
      <c r="A2438" s="201"/>
      <c r="B2438" s="201"/>
      <c r="C2438" s="201"/>
      <c r="D2438" s="201"/>
      <c r="E2438" s="201"/>
      <c r="F2438" s="201"/>
      <c r="G2438" s="201"/>
      <c r="H2438" s="201"/>
      <c r="I2438" s="201"/>
      <c r="J2438" s="201"/>
    </row>
    <row r="2439" customFormat="false" ht="15" hidden="false" customHeight="false" outlineLevel="0" collapsed="false">
      <c r="A2439" s="201"/>
      <c r="B2439" s="201"/>
      <c r="C2439" s="201"/>
      <c r="D2439" s="201"/>
      <c r="E2439" s="201"/>
      <c r="F2439" s="201"/>
      <c r="G2439" s="201"/>
      <c r="H2439" s="201"/>
      <c r="I2439" s="201"/>
      <c r="J2439" s="201"/>
    </row>
    <row r="2440" customFormat="false" ht="15" hidden="false" customHeight="false" outlineLevel="0" collapsed="false">
      <c r="A2440" s="201"/>
      <c r="B2440" s="201"/>
      <c r="C2440" s="201"/>
      <c r="D2440" s="201"/>
      <c r="E2440" s="201"/>
      <c r="F2440" s="201"/>
      <c r="G2440" s="201"/>
      <c r="H2440" s="201"/>
      <c r="I2440" s="201"/>
      <c r="J2440" s="201"/>
    </row>
    <row r="2441" customFormat="false" ht="15" hidden="false" customHeight="false" outlineLevel="0" collapsed="false">
      <c r="A2441" s="201"/>
      <c r="B2441" s="201"/>
      <c r="C2441" s="201"/>
      <c r="D2441" s="201"/>
      <c r="E2441" s="201"/>
      <c r="F2441" s="201"/>
      <c r="G2441" s="201"/>
      <c r="H2441" s="201"/>
      <c r="I2441" s="201"/>
      <c r="J2441" s="201"/>
    </row>
    <row r="2442" customFormat="false" ht="15" hidden="false" customHeight="false" outlineLevel="0" collapsed="false">
      <c r="A2442" s="201"/>
      <c r="B2442" s="201"/>
      <c r="C2442" s="201"/>
      <c r="D2442" s="201"/>
      <c r="E2442" s="201"/>
      <c r="F2442" s="201"/>
      <c r="G2442" s="201"/>
      <c r="H2442" s="201"/>
      <c r="I2442" s="201"/>
      <c r="J2442" s="201"/>
    </row>
    <row r="2443" customFormat="false" ht="15" hidden="false" customHeight="false" outlineLevel="0" collapsed="false">
      <c r="A2443" s="201"/>
      <c r="B2443" s="201"/>
      <c r="C2443" s="201"/>
      <c r="D2443" s="201"/>
      <c r="E2443" s="201"/>
      <c r="F2443" s="201"/>
      <c r="G2443" s="201"/>
      <c r="H2443" s="201"/>
      <c r="I2443" s="201"/>
      <c r="J2443" s="201"/>
    </row>
    <row r="2444" customFormat="false" ht="15" hidden="false" customHeight="false" outlineLevel="0" collapsed="false">
      <c r="A2444" s="201"/>
      <c r="B2444" s="201"/>
      <c r="C2444" s="201"/>
      <c r="D2444" s="201"/>
      <c r="E2444" s="201"/>
      <c r="F2444" s="201"/>
      <c r="G2444" s="201"/>
      <c r="H2444" s="201"/>
      <c r="I2444" s="201"/>
      <c r="J2444" s="201"/>
    </row>
    <row r="2445" customFormat="false" ht="15" hidden="false" customHeight="false" outlineLevel="0" collapsed="false">
      <c r="A2445" s="201"/>
      <c r="B2445" s="201"/>
      <c r="C2445" s="201"/>
      <c r="D2445" s="201"/>
      <c r="E2445" s="201"/>
      <c r="F2445" s="201"/>
      <c r="G2445" s="201"/>
      <c r="H2445" s="201"/>
      <c r="I2445" s="201"/>
      <c r="J2445" s="201"/>
    </row>
    <row r="2446" customFormat="false" ht="15" hidden="false" customHeight="false" outlineLevel="0" collapsed="false">
      <c r="A2446" s="201"/>
      <c r="B2446" s="201"/>
      <c r="C2446" s="201"/>
      <c r="D2446" s="201"/>
      <c r="E2446" s="201"/>
      <c r="F2446" s="201"/>
      <c r="G2446" s="201"/>
      <c r="H2446" s="201"/>
      <c r="I2446" s="201"/>
      <c r="J2446" s="201"/>
    </row>
    <row r="2447" customFormat="false" ht="15" hidden="false" customHeight="false" outlineLevel="0" collapsed="false">
      <c r="A2447" s="201"/>
      <c r="B2447" s="201"/>
      <c r="C2447" s="201"/>
      <c r="D2447" s="201"/>
      <c r="E2447" s="201"/>
      <c r="F2447" s="201"/>
      <c r="G2447" s="201"/>
      <c r="H2447" s="201"/>
      <c r="I2447" s="201"/>
      <c r="J2447" s="201"/>
    </row>
    <row r="2448" customFormat="false" ht="15" hidden="false" customHeight="false" outlineLevel="0" collapsed="false">
      <c r="A2448" s="201"/>
      <c r="B2448" s="201"/>
      <c r="C2448" s="201"/>
      <c r="D2448" s="201"/>
      <c r="E2448" s="201"/>
      <c r="F2448" s="201"/>
      <c r="G2448" s="201"/>
      <c r="H2448" s="201"/>
      <c r="I2448" s="201"/>
      <c r="J2448" s="201"/>
    </row>
    <row r="2449" customFormat="false" ht="15" hidden="false" customHeight="false" outlineLevel="0" collapsed="false">
      <c r="A2449" s="201"/>
      <c r="B2449" s="201"/>
      <c r="C2449" s="201"/>
      <c r="D2449" s="201"/>
      <c r="E2449" s="201"/>
      <c r="F2449" s="201"/>
      <c r="G2449" s="201"/>
      <c r="H2449" s="201"/>
      <c r="I2449" s="201"/>
      <c r="J2449" s="201"/>
    </row>
    <row r="2450" customFormat="false" ht="15" hidden="false" customHeight="false" outlineLevel="0" collapsed="false">
      <c r="A2450" s="201"/>
      <c r="B2450" s="201"/>
      <c r="C2450" s="201"/>
      <c r="D2450" s="201"/>
      <c r="E2450" s="201"/>
      <c r="F2450" s="201"/>
      <c r="G2450" s="201"/>
      <c r="H2450" s="201"/>
      <c r="I2450" s="201"/>
      <c r="J2450" s="201"/>
    </row>
    <row r="2451" customFormat="false" ht="15" hidden="false" customHeight="false" outlineLevel="0" collapsed="false">
      <c r="A2451" s="201"/>
      <c r="B2451" s="201"/>
      <c r="C2451" s="201"/>
      <c r="D2451" s="201"/>
      <c r="E2451" s="201"/>
      <c r="F2451" s="201"/>
      <c r="G2451" s="201"/>
      <c r="H2451" s="201"/>
      <c r="I2451" s="201"/>
      <c r="J2451" s="201"/>
    </row>
    <row r="2452" customFormat="false" ht="15" hidden="false" customHeight="false" outlineLevel="0" collapsed="false">
      <c r="A2452" s="201"/>
      <c r="B2452" s="201"/>
      <c r="C2452" s="201"/>
      <c r="D2452" s="201"/>
      <c r="E2452" s="201"/>
      <c r="F2452" s="201"/>
      <c r="G2452" s="201"/>
      <c r="H2452" s="201"/>
      <c r="I2452" s="201"/>
      <c r="J2452" s="201"/>
    </row>
    <row r="2453" customFormat="false" ht="15" hidden="false" customHeight="false" outlineLevel="0" collapsed="false">
      <c r="A2453" s="201"/>
      <c r="B2453" s="201"/>
      <c r="C2453" s="201"/>
      <c r="D2453" s="201"/>
      <c r="E2453" s="201"/>
      <c r="F2453" s="201"/>
      <c r="G2453" s="201"/>
      <c r="H2453" s="201"/>
      <c r="I2453" s="201"/>
      <c r="J2453" s="201"/>
    </row>
    <row r="2454" customFormat="false" ht="15" hidden="false" customHeight="false" outlineLevel="0" collapsed="false">
      <c r="A2454" s="201"/>
      <c r="B2454" s="201"/>
      <c r="C2454" s="201"/>
      <c r="D2454" s="201"/>
      <c r="E2454" s="201"/>
      <c r="F2454" s="201"/>
      <c r="G2454" s="201"/>
      <c r="H2454" s="201"/>
      <c r="I2454" s="201"/>
      <c r="J2454" s="201"/>
    </row>
    <row r="2455" customFormat="false" ht="15" hidden="false" customHeight="false" outlineLevel="0" collapsed="false">
      <c r="A2455" s="201"/>
      <c r="B2455" s="201"/>
      <c r="C2455" s="201"/>
      <c r="D2455" s="201"/>
      <c r="E2455" s="201"/>
      <c r="F2455" s="201"/>
      <c r="G2455" s="201"/>
      <c r="H2455" s="201"/>
      <c r="I2455" s="201"/>
      <c r="J2455" s="201"/>
    </row>
    <row r="2456" customFormat="false" ht="15" hidden="false" customHeight="false" outlineLevel="0" collapsed="false">
      <c r="A2456" s="201"/>
      <c r="B2456" s="201"/>
      <c r="C2456" s="201"/>
      <c r="D2456" s="201"/>
      <c r="E2456" s="201"/>
      <c r="F2456" s="201"/>
      <c r="G2456" s="201"/>
      <c r="H2456" s="201"/>
      <c r="I2456" s="201"/>
      <c r="J2456" s="201"/>
    </row>
    <row r="2457" customFormat="false" ht="15" hidden="false" customHeight="false" outlineLevel="0" collapsed="false">
      <c r="A2457" s="201"/>
      <c r="B2457" s="201"/>
      <c r="C2457" s="201"/>
      <c r="D2457" s="201"/>
      <c r="E2457" s="201"/>
      <c r="F2457" s="201"/>
      <c r="G2457" s="201"/>
      <c r="H2457" s="201"/>
      <c r="I2457" s="201"/>
      <c r="J2457" s="201"/>
    </row>
    <row r="2458" customFormat="false" ht="15" hidden="false" customHeight="false" outlineLevel="0" collapsed="false">
      <c r="A2458" s="201"/>
      <c r="B2458" s="201"/>
      <c r="C2458" s="201"/>
      <c r="D2458" s="201"/>
      <c r="E2458" s="201"/>
      <c r="F2458" s="201"/>
      <c r="G2458" s="201"/>
      <c r="H2458" s="201"/>
      <c r="I2458" s="201"/>
      <c r="J2458" s="201"/>
    </row>
    <row r="2459" customFormat="false" ht="15" hidden="false" customHeight="false" outlineLevel="0" collapsed="false">
      <c r="A2459" s="201"/>
      <c r="B2459" s="201"/>
      <c r="C2459" s="201"/>
      <c r="D2459" s="201"/>
      <c r="E2459" s="201"/>
      <c r="F2459" s="201"/>
      <c r="G2459" s="201"/>
      <c r="H2459" s="201"/>
      <c r="I2459" s="201"/>
      <c r="J2459" s="201"/>
    </row>
    <row r="2460" customFormat="false" ht="15" hidden="false" customHeight="false" outlineLevel="0" collapsed="false">
      <c r="A2460" s="201"/>
      <c r="B2460" s="201"/>
      <c r="C2460" s="201"/>
      <c r="D2460" s="201"/>
      <c r="E2460" s="201"/>
      <c r="F2460" s="201"/>
      <c r="G2460" s="201"/>
      <c r="H2460" s="201"/>
      <c r="I2460" s="201"/>
      <c r="J2460" s="201"/>
    </row>
    <row r="2461" customFormat="false" ht="15" hidden="false" customHeight="false" outlineLevel="0" collapsed="false">
      <c r="A2461" s="201"/>
      <c r="B2461" s="201"/>
      <c r="C2461" s="201"/>
      <c r="D2461" s="201"/>
      <c r="E2461" s="201"/>
      <c r="F2461" s="201"/>
      <c r="G2461" s="201"/>
      <c r="H2461" s="201"/>
      <c r="I2461" s="201"/>
      <c r="J2461" s="201"/>
    </row>
    <row r="2462" customFormat="false" ht="15" hidden="false" customHeight="false" outlineLevel="0" collapsed="false">
      <c r="A2462" s="201"/>
      <c r="B2462" s="201"/>
      <c r="C2462" s="201"/>
      <c r="D2462" s="201"/>
      <c r="E2462" s="201"/>
      <c r="F2462" s="201"/>
      <c r="G2462" s="201"/>
      <c r="H2462" s="201"/>
      <c r="I2462" s="201"/>
      <c r="J2462" s="201"/>
    </row>
    <row r="2463" customFormat="false" ht="15" hidden="false" customHeight="false" outlineLevel="0" collapsed="false">
      <c r="A2463" s="201"/>
      <c r="B2463" s="201"/>
      <c r="C2463" s="201"/>
      <c r="D2463" s="201"/>
      <c r="E2463" s="201"/>
      <c r="F2463" s="201"/>
      <c r="G2463" s="201"/>
      <c r="H2463" s="201"/>
      <c r="I2463" s="201"/>
      <c r="J2463" s="201"/>
    </row>
    <row r="2464" customFormat="false" ht="15" hidden="false" customHeight="false" outlineLevel="0" collapsed="false">
      <c r="A2464" s="201"/>
      <c r="B2464" s="201"/>
      <c r="C2464" s="201"/>
      <c r="D2464" s="201"/>
      <c r="E2464" s="201"/>
      <c r="F2464" s="201"/>
      <c r="G2464" s="201"/>
      <c r="H2464" s="201"/>
      <c r="I2464" s="201"/>
      <c r="J2464" s="201"/>
    </row>
    <row r="2465" customFormat="false" ht="15" hidden="false" customHeight="false" outlineLevel="0" collapsed="false">
      <c r="A2465" s="201"/>
      <c r="B2465" s="201"/>
      <c r="C2465" s="201"/>
      <c r="D2465" s="201"/>
      <c r="E2465" s="201"/>
      <c r="F2465" s="201"/>
      <c r="G2465" s="201"/>
      <c r="H2465" s="201"/>
      <c r="I2465" s="201"/>
      <c r="J2465" s="201"/>
    </row>
    <row r="2466" customFormat="false" ht="15" hidden="false" customHeight="false" outlineLevel="0" collapsed="false">
      <c r="A2466" s="201"/>
      <c r="B2466" s="201"/>
      <c r="C2466" s="201"/>
      <c r="D2466" s="201"/>
      <c r="E2466" s="201"/>
      <c r="F2466" s="201"/>
      <c r="G2466" s="201"/>
      <c r="H2466" s="201"/>
      <c r="I2466" s="201"/>
      <c r="J2466" s="201"/>
    </row>
    <row r="2467" customFormat="false" ht="15" hidden="false" customHeight="false" outlineLevel="0" collapsed="false">
      <c r="A2467" s="201"/>
      <c r="B2467" s="201"/>
      <c r="C2467" s="201"/>
      <c r="D2467" s="201"/>
      <c r="E2467" s="201"/>
      <c r="F2467" s="201"/>
      <c r="G2467" s="201"/>
      <c r="H2467" s="201"/>
      <c r="I2467" s="201"/>
      <c r="J2467" s="201"/>
    </row>
    <row r="2468" customFormat="false" ht="15" hidden="false" customHeight="false" outlineLevel="0" collapsed="false">
      <c r="A2468" s="201"/>
      <c r="B2468" s="201"/>
      <c r="C2468" s="201"/>
      <c r="D2468" s="201"/>
      <c r="E2468" s="201"/>
      <c r="F2468" s="201"/>
      <c r="G2468" s="201"/>
      <c r="H2468" s="201"/>
      <c r="I2468" s="201"/>
      <c r="J2468" s="201"/>
    </row>
    <row r="2469" customFormat="false" ht="15" hidden="false" customHeight="false" outlineLevel="0" collapsed="false">
      <c r="A2469" s="201"/>
      <c r="B2469" s="201"/>
      <c r="C2469" s="201"/>
      <c r="D2469" s="201"/>
      <c r="E2469" s="201"/>
      <c r="F2469" s="201"/>
      <c r="G2469" s="201"/>
      <c r="H2469" s="201"/>
      <c r="I2469" s="201"/>
      <c r="J2469" s="201"/>
    </row>
    <row r="2470" customFormat="false" ht="15" hidden="false" customHeight="false" outlineLevel="0" collapsed="false">
      <c r="A2470" s="201"/>
      <c r="B2470" s="201"/>
      <c r="C2470" s="201"/>
      <c r="D2470" s="201"/>
      <c r="E2470" s="201"/>
      <c r="F2470" s="201"/>
      <c r="G2470" s="201"/>
      <c r="H2470" s="201"/>
      <c r="I2470" s="201"/>
      <c r="J2470" s="201"/>
    </row>
    <row r="2471" customFormat="false" ht="15" hidden="false" customHeight="false" outlineLevel="0" collapsed="false">
      <c r="A2471" s="201"/>
      <c r="B2471" s="201"/>
      <c r="C2471" s="201"/>
      <c r="D2471" s="201"/>
      <c r="E2471" s="201"/>
      <c r="F2471" s="201"/>
      <c r="G2471" s="201"/>
      <c r="H2471" s="201"/>
      <c r="I2471" s="201"/>
      <c r="J2471" s="201"/>
    </row>
    <row r="2472" customFormat="false" ht="15" hidden="false" customHeight="false" outlineLevel="0" collapsed="false">
      <c r="A2472" s="201"/>
      <c r="B2472" s="201"/>
      <c r="C2472" s="201"/>
      <c r="D2472" s="201"/>
      <c r="E2472" s="201"/>
      <c r="F2472" s="201"/>
      <c r="G2472" s="201"/>
      <c r="H2472" s="201"/>
      <c r="I2472" s="201"/>
      <c r="J2472" s="201"/>
    </row>
    <row r="2473" customFormat="false" ht="15" hidden="false" customHeight="false" outlineLevel="0" collapsed="false">
      <c r="A2473" s="201"/>
      <c r="B2473" s="201"/>
      <c r="C2473" s="201"/>
      <c r="D2473" s="201"/>
      <c r="E2473" s="201"/>
      <c r="F2473" s="201"/>
      <c r="G2473" s="201"/>
      <c r="H2473" s="201"/>
      <c r="I2473" s="201"/>
      <c r="J2473" s="201"/>
    </row>
    <row r="2474" customFormat="false" ht="15" hidden="false" customHeight="false" outlineLevel="0" collapsed="false">
      <c r="A2474" s="201"/>
      <c r="B2474" s="201"/>
      <c r="C2474" s="201"/>
      <c r="D2474" s="201"/>
      <c r="E2474" s="201"/>
      <c r="F2474" s="201"/>
      <c r="G2474" s="201"/>
      <c r="H2474" s="201"/>
      <c r="I2474" s="201"/>
      <c r="J2474" s="201"/>
    </row>
    <row r="2475" customFormat="false" ht="15" hidden="false" customHeight="false" outlineLevel="0" collapsed="false">
      <c r="A2475" s="201"/>
      <c r="B2475" s="201"/>
      <c r="C2475" s="201"/>
      <c r="D2475" s="201"/>
      <c r="E2475" s="201"/>
      <c r="F2475" s="201"/>
      <c r="G2475" s="201"/>
      <c r="H2475" s="201"/>
      <c r="I2475" s="201"/>
      <c r="J2475" s="201"/>
    </row>
    <row r="2476" customFormat="false" ht="15" hidden="false" customHeight="false" outlineLevel="0" collapsed="false">
      <c r="A2476" s="201"/>
      <c r="B2476" s="201"/>
      <c r="C2476" s="201"/>
      <c r="D2476" s="201"/>
      <c r="E2476" s="201"/>
      <c r="F2476" s="201"/>
      <c r="G2476" s="201"/>
      <c r="H2476" s="201"/>
      <c r="I2476" s="201"/>
      <c r="J2476" s="201"/>
    </row>
    <row r="2477" customFormat="false" ht="15" hidden="false" customHeight="false" outlineLevel="0" collapsed="false">
      <c r="A2477" s="201"/>
      <c r="B2477" s="201"/>
      <c r="C2477" s="201"/>
      <c r="D2477" s="201"/>
      <c r="E2477" s="201"/>
      <c r="F2477" s="201"/>
      <c r="G2477" s="201"/>
      <c r="H2477" s="201"/>
      <c r="I2477" s="201"/>
      <c r="J2477" s="201"/>
    </row>
    <row r="2478" customFormat="false" ht="15" hidden="false" customHeight="false" outlineLevel="0" collapsed="false">
      <c r="A2478" s="201"/>
      <c r="B2478" s="201"/>
      <c r="C2478" s="201"/>
      <c r="D2478" s="201"/>
      <c r="E2478" s="201"/>
      <c r="F2478" s="201"/>
      <c r="G2478" s="201"/>
      <c r="H2478" s="201"/>
      <c r="I2478" s="201"/>
      <c r="J2478" s="201"/>
    </row>
    <row r="2479" customFormat="false" ht="15" hidden="false" customHeight="false" outlineLevel="0" collapsed="false">
      <c r="A2479" s="201"/>
      <c r="B2479" s="201"/>
      <c r="C2479" s="201"/>
      <c r="D2479" s="201"/>
      <c r="E2479" s="201"/>
      <c r="F2479" s="201"/>
      <c r="G2479" s="201"/>
      <c r="H2479" s="201"/>
      <c r="I2479" s="201"/>
      <c r="J2479" s="201"/>
    </row>
    <row r="2480" customFormat="false" ht="15" hidden="false" customHeight="false" outlineLevel="0" collapsed="false">
      <c r="A2480" s="201"/>
      <c r="B2480" s="201"/>
      <c r="C2480" s="201"/>
      <c r="D2480" s="201"/>
      <c r="E2480" s="201"/>
      <c r="F2480" s="201"/>
      <c r="G2480" s="201"/>
      <c r="H2480" s="201"/>
      <c r="I2480" s="201"/>
      <c r="J2480" s="201"/>
    </row>
    <row r="2481" customFormat="false" ht="15" hidden="false" customHeight="false" outlineLevel="0" collapsed="false">
      <c r="A2481" s="201"/>
      <c r="B2481" s="201"/>
      <c r="C2481" s="201"/>
      <c r="D2481" s="201"/>
      <c r="E2481" s="201"/>
      <c r="F2481" s="201"/>
      <c r="G2481" s="201"/>
      <c r="H2481" s="201"/>
      <c r="I2481" s="201"/>
      <c r="J2481" s="201"/>
    </row>
    <row r="2482" customFormat="false" ht="15" hidden="false" customHeight="false" outlineLevel="0" collapsed="false">
      <c r="A2482" s="201"/>
      <c r="B2482" s="201"/>
      <c r="C2482" s="201"/>
      <c r="D2482" s="201"/>
      <c r="E2482" s="201"/>
      <c r="F2482" s="201"/>
      <c r="G2482" s="201"/>
      <c r="H2482" s="201"/>
      <c r="I2482" s="201"/>
      <c r="J2482" s="201"/>
    </row>
    <row r="2483" customFormat="false" ht="15" hidden="false" customHeight="false" outlineLevel="0" collapsed="false">
      <c r="A2483" s="201"/>
      <c r="B2483" s="201"/>
      <c r="C2483" s="201"/>
      <c r="D2483" s="201"/>
      <c r="E2483" s="201"/>
      <c r="F2483" s="201"/>
      <c r="G2483" s="201"/>
      <c r="H2483" s="201"/>
      <c r="I2483" s="201"/>
      <c r="J2483" s="201"/>
    </row>
    <row r="2484" customFormat="false" ht="15" hidden="false" customHeight="false" outlineLevel="0" collapsed="false">
      <c r="A2484" s="201"/>
      <c r="B2484" s="201"/>
      <c r="C2484" s="201"/>
      <c r="D2484" s="201"/>
      <c r="E2484" s="201"/>
      <c r="F2484" s="201"/>
      <c r="G2484" s="201"/>
      <c r="H2484" s="201"/>
      <c r="I2484" s="201"/>
      <c r="J2484" s="201"/>
    </row>
    <row r="2485" customFormat="false" ht="15" hidden="false" customHeight="false" outlineLevel="0" collapsed="false">
      <c r="A2485" s="201"/>
      <c r="B2485" s="201"/>
      <c r="C2485" s="201"/>
      <c r="D2485" s="201"/>
      <c r="E2485" s="201"/>
      <c r="F2485" s="201"/>
      <c r="G2485" s="201"/>
      <c r="H2485" s="201"/>
      <c r="I2485" s="201"/>
      <c r="J2485" s="201"/>
    </row>
    <row r="2486" customFormat="false" ht="15" hidden="false" customHeight="false" outlineLevel="0" collapsed="false">
      <c r="A2486" s="201"/>
      <c r="B2486" s="201"/>
      <c r="C2486" s="201"/>
      <c r="D2486" s="201"/>
      <c r="E2486" s="201"/>
      <c r="F2486" s="201"/>
      <c r="G2486" s="201"/>
      <c r="H2486" s="201"/>
      <c r="I2486" s="201"/>
      <c r="J2486" s="201"/>
    </row>
    <row r="2487" customFormat="false" ht="15" hidden="false" customHeight="false" outlineLevel="0" collapsed="false">
      <c r="A2487" s="201"/>
      <c r="B2487" s="201"/>
      <c r="C2487" s="201"/>
      <c r="D2487" s="201"/>
      <c r="E2487" s="201"/>
      <c r="F2487" s="201"/>
      <c r="G2487" s="201"/>
      <c r="H2487" s="201"/>
      <c r="I2487" s="201"/>
      <c r="J2487" s="201"/>
    </row>
    <row r="2488" customFormat="false" ht="15" hidden="false" customHeight="false" outlineLevel="0" collapsed="false">
      <c r="A2488" s="201"/>
      <c r="B2488" s="201"/>
      <c r="C2488" s="201"/>
      <c r="D2488" s="201"/>
      <c r="E2488" s="201"/>
      <c r="F2488" s="201"/>
      <c r="G2488" s="201"/>
      <c r="H2488" s="201"/>
      <c r="I2488" s="201"/>
      <c r="J2488" s="201"/>
    </row>
    <row r="2489" customFormat="false" ht="15" hidden="false" customHeight="false" outlineLevel="0" collapsed="false">
      <c r="A2489" s="201"/>
      <c r="B2489" s="201"/>
      <c r="C2489" s="201"/>
      <c r="D2489" s="201"/>
      <c r="E2489" s="201"/>
      <c r="F2489" s="201"/>
      <c r="G2489" s="201"/>
      <c r="H2489" s="201"/>
      <c r="I2489" s="201"/>
      <c r="J2489" s="201"/>
    </row>
    <row r="2490" customFormat="false" ht="15" hidden="false" customHeight="false" outlineLevel="0" collapsed="false">
      <c r="A2490" s="201"/>
      <c r="B2490" s="201"/>
      <c r="C2490" s="201"/>
      <c r="D2490" s="201"/>
      <c r="E2490" s="201"/>
      <c r="F2490" s="201"/>
      <c r="G2490" s="201"/>
      <c r="H2490" s="201"/>
      <c r="I2490" s="201"/>
      <c r="J2490" s="201"/>
    </row>
    <row r="2491" customFormat="false" ht="15" hidden="false" customHeight="false" outlineLevel="0" collapsed="false">
      <c r="A2491" s="201"/>
      <c r="B2491" s="201"/>
      <c r="C2491" s="201"/>
      <c r="D2491" s="201"/>
      <c r="E2491" s="201"/>
      <c r="F2491" s="201"/>
      <c r="G2491" s="201"/>
      <c r="H2491" s="201"/>
      <c r="I2491" s="201"/>
      <c r="J2491" s="201"/>
    </row>
    <row r="2492" customFormat="false" ht="15" hidden="false" customHeight="false" outlineLevel="0" collapsed="false">
      <c r="A2492" s="201"/>
      <c r="B2492" s="201"/>
      <c r="C2492" s="201"/>
      <c r="D2492" s="201"/>
      <c r="E2492" s="201"/>
      <c r="F2492" s="201"/>
      <c r="G2492" s="201"/>
      <c r="H2492" s="201"/>
      <c r="I2492" s="201"/>
      <c r="J2492" s="201"/>
    </row>
    <row r="2493" customFormat="false" ht="15" hidden="false" customHeight="false" outlineLevel="0" collapsed="false">
      <c r="A2493" s="201"/>
      <c r="B2493" s="201"/>
      <c r="C2493" s="201"/>
      <c r="D2493" s="201"/>
      <c r="E2493" s="201"/>
      <c r="F2493" s="201"/>
      <c r="G2493" s="201"/>
      <c r="H2493" s="201"/>
      <c r="I2493" s="201"/>
      <c r="J2493" s="201"/>
    </row>
    <row r="2494" customFormat="false" ht="15" hidden="false" customHeight="false" outlineLevel="0" collapsed="false">
      <c r="A2494" s="201"/>
      <c r="B2494" s="201"/>
      <c r="C2494" s="201"/>
      <c r="D2494" s="201"/>
      <c r="E2494" s="201"/>
      <c r="F2494" s="201"/>
      <c r="G2494" s="201"/>
      <c r="H2494" s="201"/>
      <c r="I2494" s="201"/>
      <c r="J2494" s="201"/>
    </row>
    <row r="2495" customFormat="false" ht="15" hidden="false" customHeight="false" outlineLevel="0" collapsed="false">
      <c r="A2495" s="201"/>
      <c r="B2495" s="201"/>
      <c r="C2495" s="201"/>
      <c r="D2495" s="201"/>
      <c r="E2495" s="201"/>
      <c r="F2495" s="201"/>
      <c r="G2495" s="201"/>
      <c r="H2495" s="201"/>
      <c r="I2495" s="201"/>
      <c r="J2495" s="201"/>
    </row>
    <row r="2496" customFormat="false" ht="15" hidden="false" customHeight="false" outlineLevel="0" collapsed="false">
      <c r="A2496" s="201"/>
      <c r="B2496" s="201"/>
      <c r="C2496" s="201"/>
      <c r="D2496" s="201"/>
      <c r="E2496" s="201"/>
      <c r="F2496" s="201"/>
      <c r="G2496" s="201"/>
      <c r="H2496" s="201"/>
      <c r="I2496" s="201"/>
      <c r="J2496" s="201"/>
    </row>
    <row r="2497" customFormat="false" ht="15" hidden="false" customHeight="false" outlineLevel="0" collapsed="false">
      <c r="A2497" s="201"/>
      <c r="B2497" s="201"/>
      <c r="C2497" s="201"/>
      <c r="D2497" s="201"/>
      <c r="E2497" s="201"/>
      <c r="F2497" s="201"/>
      <c r="G2497" s="201"/>
      <c r="H2497" s="201"/>
      <c r="I2497" s="201"/>
      <c r="J2497" s="201"/>
    </row>
    <row r="2498" customFormat="false" ht="15" hidden="false" customHeight="false" outlineLevel="0" collapsed="false">
      <c r="A2498" s="201"/>
      <c r="B2498" s="201"/>
      <c r="C2498" s="201"/>
      <c r="D2498" s="201"/>
      <c r="E2498" s="201"/>
      <c r="F2498" s="201"/>
      <c r="G2498" s="201"/>
      <c r="H2498" s="201"/>
      <c r="I2498" s="201"/>
      <c r="J2498" s="201"/>
    </row>
    <row r="2499" customFormat="false" ht="15" hidden="false" customHeight="false" outlineLevel="0" collapsed="false">
      <c r="A2499" s="201"/>
      <c r="B2499" s="201"/>
      <c r="C2499" s="201"/>
      <c r="D2499" s="201"/>
      <c r="E2499" s="201"/>
      <c r="F2499" s="201"/>
      <c r="G2499" s="201"/>
      <c r="H2499" s="201"/>
      <c r="I2499" s="201"/>
      <c r="J2499" s="201"/>
    </row>
    <row r="2500" customFormat="false" ht="15" hidden="false" customHeight="false" outlineLevel="0" collapsed="false">
      <c r="A2500" s="201"/>
      <c r="B2500" s="201"/>
      <c r="C2500" s="201"/>
      <c r="D2500" s="201"/>
      <c r="E2500" s="201"/>
      <c r="F2500" s="201"/>
      <c r="G2500" s="201"/>
      <c r="H2500" s="201"/>
      <c r="I2500" s="201"/>
      <c r="J2500" s="201"/>
    </row>
    <row r="2501" customFormat="false" ht="15" hidden="false" customHeight="false" outlineLevel="0" collapsed="false">
      <c r="A2501" s="201"/>
      <c r="B2501" s="201"/>
      <c r="C2501" s="201"/>
      <c r="D2501" s="201"/>
      <c r="E2501" s="201"/>
      <c r="F2501" s="201"/>
      <c r="G2501" s="201"/>
      <c r="H2501" s="201"/>
      <c r="I2501" s="201"/>
      <c r="J2501" s="201"/>
    </row>
    <row r="2502" customFormat="false" ht="15" hidden="false" customHeight="false" outlineLevel="0" collapsed="false">
      <c r="A2502" s="201"/>
      <c r="B2502" s="201"/>
      <c r="C2502" s="201"/>
      <c r="D2502" s="201"/>
      <c r="E2502" s="201"/>
      <c r="F2502" s="201"/>
      <c r="G2502" s="201"/>
      <c r="H2502" s="201"/>
      <c r="I2502" s="201"/>
      <c r="J2502" s="201"/>
    </row>
    <row r="2503" customFormat="false" ht="15" hidden="false" customHeight="false" outlineLevel="0" collapsed="false">
      <c r="A2503" s="201"/>
      <c r="B2503" s="201"/>
      <c r="C2503" s="201"/>
      <c r="D2503" s="201"/>
      <c r="E2503" s="201"/>
      <c r="F2503" s="201"/>
      <c r="G2503" s="201"/>
      <c r="H2503" s="201"/>
      <c r="I2503" s="201"/>
      <c r="J2503" s="201"/>
    </row>
    <row r="2504" customFormat="false" ht="15" hidden="false" customHeight="false" outlineLevel="0" collapsed="false">
      <c r="A2504" s="201"/>
      <c r="B2504" s="201"/>
      <c r="C2504" s="201"/>
      <c r="D2504" s="201"/>
      <c r="E2504" s="201"/>
      <c r="F2504" s="201"/>
      <c r="G2504" s="201"/>
      <c r="H2504" s="201"/>
      <c r="I2504" s="201"/>
      <c r="J2504" s="201"/>
    </row>
    <row r="2505" customFormat="false" ht="15" hidden="false" customHeight="false" outlineLevel="0" collapsed="false">
      <c r="A2505" s="201"/>
      <c r="B2505" s="201"/>
      <c r="C2505" s="201"/>
      <c r="D2505" s="201"/>
      <c r="E2505" s="201"/>
      <c r="F2505" s="201"/>
      <c r="G2505" s="201"/>
      <c r="H2505" s="201"/>
      <c r="I2505" s="201"/>
      <c r="J2505" s="201"/>
    </row>
    <row r="2506" customFormat="false" ht="15" hidden="false" customHeight="false" outlineLevel="0" collapsed="false">
      <c r="A2506" s="201"/>
      <c r="B2506" s="201"/>
      <c r="C2506" s="201"/>
      <c r="D2506" s="201"/>
      <c r="E2506" s="201"/>
      <c r="F2506" s="201"/>
      <c r="G2506" s="201"/>
      <c r="H2506" s="201"/>
      <c r="I2506" s="201"/>
      <c r="J2506" s="201"/>
    </row>
    <row r="2507" customFormat="false" ht="15" hidden="false" customHeight="false" outlineLevel="0" collapsed="false">
      <c r="A2507" s="201"/>
      <c r="B2507" s="201"/>
      <c r="C2507" s="201"/>
      <c r="D2507" s="201"/>
      <c r="E2507" s="201"/>
      <c r="F2507" s="201"/>
      <c r="G2507" s="201"/>
      <c r="H2507" s="201"/>
      <c r="I2507" s="201"/>
      <c r="J2507" s="201"/>
    </row>
    <row r="2508" customFormat="false" ht="15" hidden="false" customHeight="false" outlineLevel="0" collapsed="false">
      <c r="A2508" s="201"/>
      <c r="B2508" s="201"/>
      <c r="C2508" s="201"/>
      <c r="D2508" s="201"/>
      <c r="E2508" s="201"/>
      <c r="F2508" s="201"/>
      <c r="G2508" s="201"/>
      <c r="H2508" s="201"/>
      <c r="I2508" s="201"/>
      <c r="J2508" s="201"/>
    </row>
    <row r="2509" customFormat="false" ht="15" hidden="false" customHeight="false" outlineLevel="0" collapsed="false">
      <c r="A2509" s="201"/>
      <c r="B2509" s="201"/>
      <c r="C2509" s="201"/>
      <c r="D2509" s="201"/>
      <c r="E2509" s="201"/>
      <c r="F2509" s="201"/>
      <c r="G2509" s="201"/>
      <c r="H2509" s="201"/>
      <c r="I2509" s="201"/>
      <c r="J2509" s="201"/>
    </row>
    <row r="2510" customFormat="false" ht="15" hidden="false" customHeight="false" outlineLevel="0" collapsed="false">
      <c r="A2510" s="201"/>
      <c r="B2510" s="201"/>
      <c r="C2510" s="201"/>
      <c r="D2510" s="201"/>
      <c r="E2510" s="201"/>
      <c r="F2510" s="201"/>
      <c r="G2510" s="201"/>
      <c r="H2510" s="201"/>
      <c r="I2510" s="201"/>
      <c r="J2510" s="201"/>
    </row>
    <row r="2511" customFormat="false" ht="15" hidden="false" customHeight="false" outlineLevel="0" collapsed="false">
      <c r="A2511" s="201"/>
      <c r="B2511" s="201"/>
      <c r="C2511" s="201"/>
      <c r="D2511" s="201"/>
      <c r="E2511" s="201"/>
      <c r="F2511" s="201"/>
      <c r="G2511" s="201"/>
      <c r="H2511" s="201"/>
      <c r="I2511" s="201"/>
      <c r="J2511" s="201"/>
    </row>
    <row r="2512" customFormat="false" ht="15" hidden="false" customHeight="false" outlineLevel="0" collapsed="false">
      <c r="A2512" s="201"/>
      <c r="B2512" s="201"/>
      <c r="C2512" s="201"/>
      <c r="D2512" s="201"/>
      <c r="E2512" s="201"/>
      <c r="F2512" s="201"/>
      <c r="G2512" s="201"/>
      <c r="H2512" s="201"/>
      <c r="I2512" s="201"/>
      <c r="J2512" s="201"/>
    </row>
    <row r="2513" customFormat="false" ht="15" hidden="false" customHeight="false" outlineLevel="0" collapsed="false">
      <c r="A2513" s="201"/>
      <c r="B2513" s="201"/>
      <c r="C2513" s="201"/>
      <c r="D2513" s="201"/>
      <c r="E2513" s="201"/>
      <c r="F2513" s="201"/>
      <c r="G2513" s="201"/>
      <c r="H2513" s="201"/>
      <c r="I2513" s="201"/>
      <c r="J2513" s="201"/>
    </row>
    <row r="2514" customFormat="false" ht="15" hidden="false" customHeight="false" outlineLevel="0" collapsed="false">
      <c r="A2514" s="201"/>
      <c r="B2514" s="201"/>
      <c r="C2514" s="201"/>
      <c r="D2514" s="201"/>
      <c r="E2514" s="201"/>
      <c r="F2514" s="201"/>
      <c r="G2514" s="201"/>
      <c r="H2514" s="201"/>
      <c r="I2514" s="201"/>
      <c r="J2514" s="201"/>
    </row>
    <row r="2515" customFormat="false" ht="15" hidden="false" customHeight="false" outlineLevel="0" collapsed="false">
      <c r="A2515" s="201"/>
      <c r="B2515" s="201"/>
      <c r="C2515" s="201"/>
      <c r="D2515" s="201"/>
      <c r="E2515" s="201"/>
      <c r="F2515" s="201"/>
      <c r="G2515" s="201"/>
      <c r="H2515" s="201"/>
      <c r="I2515" s="201"/>
      <c r="J2515" s="201"/>
    </row>
    <row r="2516" customFormat="false" ht="15" hidden="false" customHeight="false" outlineLevel="0" collapsed="false">
      <c r="A2516" s="201"/>
      <c r="B2516" s="201"/>
      <c r="C2516" s="201"/>
      <c r="D2516" s="201"/>
      <c r="E2516" s="201"/>
      <c r="F2516" s="201"/>
      <c r="G2516" s="201"/>
      <c r="H2516" s="201"/>
      <c r="I2516" s="201"/>
      <c r="J2516" s="201"/>
    </row>
    <row r="2517" customFormat="false" ht="15" hidden="false" customHeight="false" outlineLevel="0" collapsed="false">
      <c r="A2517" s="201"/>
      <c r="B2517" s="201"/>
      <c r="C2517" s="201"/>
      <c r="D2517" s="201"/>
      <c r="E2517" s="201"/>
      <c r="F2517" s="201"/>
      <c r="G2517" s="201"/>
      <c r="H2517" s="201"/>
      <c r="I2517" s="201"/>
      <c r="J2517" s="201"/>
    </row>
    <row r="2518" customFormat="false" ht="15" hidden="false" customHeight="false" outlineLevel="0" collapsed="false">
      <c r="A2518" s="201"/>
      <c r="B2518" s="201"/>
      <c r="C2518" s="201"/>
      <c r="D2518" s="201"/>
      <c r="E2518" s="201"/>
      <c r="F2518" s="201"/>
      <c r="G2518" s="201"/>
      <c r="H2518" s="201"/>
      <c r="I2518" s="201"/>
      <c r="J2518" s="201"/>
    </row>
    <row r="2519" customFormat="false" ht="15" hidden="false" customHeight="false" outlineLevel="0" collapsed="false">
      <c r="A2519" s="201"/>
      <c r="B2519" s="201"/>
      <c r="C2519" s="201"/>
      <c r="D2519" s="201"/>
      <c r="E2519" s="201"/>
      <c r="F2519" s="201"/>
      <c r="G2519" s="201"/>
      <c r="H2519" s="201"/>
      <c r="I2519" s="201"/>
      <c r="J2519" s="201"/>
    </row>
    <row r="2520" customFormat="false" ht="15" hidden="false" customHeight="false" outlineLevel="0" collapsed="false">
      <c r="A2520" s="201"/>
      <c r="B2520" s="201"/>
      <c r="C2520" s="201"/>
      <c r="D2520" s="201"/>
      <c r="E2520" s="201"/>
      <c r="F2520" s="201"/>
      <c r="G2520" s="201"/>
      <c r="H2520" s="201"/>
      <c r="I2520" s="201"/>
      <c r="J2520" s="201"/>
    </row>
    <row r="2521" customFormat="false" ht="15" hidden="false" customHeight="false" outlineLevel="0" collapsed="false">
      <c r="A2521" s="201"/>
      <c r="B2521" s="201"/>
      <c r="C2521" s="201"/>
      <c r="D2521" s="201"/>
      <c r="E2521" s="201"/>
      <c r="F2521" s="201"/>
      <c r="G2521" s="201"/>
      <c r="H2521" s="201"/>
      <c r="I2521" s="201"/>
      <c r="J2521" s="201"/>
    </row>
    <row r="2522" customFormat="false" ht="15" hidden="false" customHeight="false" outlineLevel="0" collapsed="false">
      <c r="A2522" s="201"/>
      <c r="B2522" s="201"/>
      <c r="C2522" s="201"/>
      <c r="D2522" s="201"/>
      <c r="E2522" s="201"/>
      <c r="F2522" s="201"/>
      <c r="G2522" s="201"/>
      <c r="H2522" s="201"/>
      <c r="I2522" s="201"/>
      <c r="J2522" s="201"/>
    </row>
    <row r="2523" customFormat="false" ht="15" hidden="false" customHeight="false" outlineLevel="0" collapsed="false">
      <c r="A2523" s="201"/>
      <c r="B2523" s="201"/>
      <c r="C2523" s="201"/>
      <c r="D2523" s="201"/>
      <c r="E2523" s="201"/>
      <c r="F2523" s="201"/>
      <c r="G2523" s="201"/>
      <c r="H2523" s="201"/>
      <c r="I2523" s="201"/>
      <c r="J2523" s="201"/>
    </row>
    <row r="2524" customFormat="false" ht="15" hidden="false" customHeight="false" outlineLevel="0" collapsed="false">
      <c r="A2524" s="201"/>
      <c r="B2524" s="201"/>
      <c r="C2524" s="201"/>
      <c r="D2524" s="201"/>
      <c r="E2524" s="201"/>
      <c r="F2524" s="201"/>
      <c r="G2524" s="201"/>
      <c r="H2524" s="201"/>
      <c r="I2524" s="201"/>
      <c r="J2524" s="201"/>
    </row>
    <row r="2525" customFormat="false" ht="15" hidden="false" customHeight="false" outlineLevel="0" collapsed="false">
      <c r="A2525" s="201"/>
      <c r="B2525" s="201"/>
      <c r="C2525" s="201"/>
      <c r="D2525" s="201"/>
      <c r="E2525" s="201"/>
      <c r="F2525" s="201"/>
      <c r="G2525" s="201"/>
      <c r="H2525" s="201"/>
      <c r="I2525" s="201"/>
      <c r="J2525" s="201"/>
    </row>
    <row r="2526" customFormat="false" ht="15" hidden="false" customHeight="false" outlineLevel="0" collapsed="false">
      <c r="A2526" s="201"/>
      <c r="B2526" s="201"/>
      <c r="C2526" s="201"/>
      <c r="D2526" s="201"/>
      <c r="E2526" s="201"/>
      <c r="F2526" s="201"/>
      <c r="G2526" s="201"/>
      <c r="H2526" s="201"/>
      <c r="I2526" s="201"/>
      <c r="J2526" s="201"/>
    </row>
    <row r="2527" customFormat="false" ht="15" hidden="false" customHeight="false" outlineLevel="0" collapsed="false">
      <c r="A2527" s="201"/>
      <c r="B2527" s="201"/>
      <c r="C2527" s="201"/>
      <c r="D2527" s="201"/>
      <c r="E2527" s="201"/>
      <c r="F2527" s="201"/>
      <c r="G2527" s="201"/>
      <c r="H2527" s="201"/>
      <c r="I2527" s="201"/>
      <c r="J2527" s="201"/>
    </row>
    <row r="2528" customFormat="false" ht="15" hidden="false" customHeight="false" outlineLevel="0" collapsed="false">
      <c r="A2528" s="201"/>
      <c r="B2528" s="201"/>
      <c r="C2528" s="201"/>
      <c r="D2528" s="201"/>
      <c r="E2528" s="201"/>
      <c r="F2528" s="201"/>
      <c r="G2528" s="201"/>
      <c r="H2528" s="201"/>
      <c r="I2528" s="201"/>
      <c r="J2528" s="201"/>
    </row>
    <row r="2529" customFormat="false" ht="15" hidden="false" customHeight="false" outlineLevel="0" collapsed="false">
      <c r="A2529" s="201"/>
      <c r="B2529" s="201"/>
      <c r="C2529" s="201"/>
      <c r="D2529" s="201"/>
      <c r="E2529" s="201"/>
      <c r="F2529" s="201"/>
      <c r="G2529" s="201"/>
      <c r="H2529" s="201"/>
      <c r="I2529" s="201"/>
      <c r="J2529" s="201"/>
    </row>
    <row r="2530" customFormat="false" ht="15" hidden="false" customHeight="false" outlineLevel="0" collapsed="false">
      <c r="A2530" s="201"/>
      <c r="B2530" s="201"/>
      <c r="C2530" s="201"/>
      <c r="D2530" s="201"/>
      <c r="E2530" s="201"/>
      <c r="F2530" s="201"/>
      <c r="G2530" s="201"/>
      <c r="H2530" s="201"/>
      <c r="I2530" s="201"/>
      <c r="J2530" s="201"/>
    </row>
    <row r="2531" customFormat="false" ht="15" hidden="false" customHeight="false" outlineLevel="0" collapsed="false">
      <c r="A2531" s="201"/>
      <c r="B2531" s="201"/>
      <c r="C2531" s="201"/>
      <c r="D2531" s="201"/>
      <c r="E2531" s="201"/>
      <c r="F2531" s="201"/>
      <c r="G2531" s="201"/>
      <c r="H2531" s="201"/>
      <c r="I2531" s="201"/>
      <c r="J2531" s="201"/>
    </row>
    <row r="2532" customFormat="false" ht="15" hidden="false" customHeight="false" outlineLevel="0" collapsed="false">
      <c r="A2532" s="201"/>
      <c r="B2532" s="201"/>
      <c r="C2532" s="201"/>
      <c r="D2532" s="201"/>
      <c r="E2532" s="201"/>
      <c r="F2532" s="201"/>
      <c r="G2532" s="201"/>
      <c r="H2532" s="201"/>
      <c r="I2532" s="201"/>
      <c r="J2532" s="201"/>
    </row>
    <row r="2533" customFormat="false" ht="15" hidden="false" customHeight="false" outlineLevel="0" collapsed="false">
      <c r="A2533" s="201"/>
      <c r="B2533" s="201"/>
      <c r="C2533" s="201"/>
      <c r="D2533" s="201"/>
      <c r="E2533" s="201"/>
      <c r="F2533" s="201"/>
      <c r="G2533" s="201"/>
      <c r="H2533" s="201"/>
      <c r="I2533" s="201"/>
      <c r="J2533" s="201"/>
    </row>
    <row r="2534" customFormat="false" ht="15" hidden="false" customHeight="false" outlineLevel="0" collapsed="false">
      <c r="A2534" s="201"/>
      <c r="B2534" s="201"/>
      <c r="C2534" s="201"/>
      <c r="D2534" s="201"/>
      <c r="E2534" s="201"/>
      <c r="F2534" s="201"/>
      <c r="G2534" s="201"/>
      <c r="H2534" s="201"/>
      <c r="I2534" s="201"/>
      <c r="J2534" s="201"/>
    </row>
    <row r="2535" customFormat="false" ht="15" hidden="false" customHeight="false" outlineLevel="0" collapsed="false">
      <c r="A2535" s="201"/>
      <c r="B2535" s="201"/>
      <c r="C2535" s="201"/>
      <c r="D2535" s="201"/>
      <c r="E2535" s="201"/>
      <c r="F2535" s="201"/>
      <c r="G2535" s="201"/>
      <c r="H2535" s="201"/>
      <c r="I2535" s="201"/>
      <c r="J2535" s="201"/>
    </row>
    <row r="2536" customFormat="false" ht="15" hidden="false" customHeight="false" outlineLevel="0" collapsed="false">
      <c r="A2536" s="201"/>
      <c r="B2536" s="201"/>
      <c r="C2536" s="201"/>
      <c r="D2536" s="201"/>
      <c r="E2536" s="201"/>
      <c r="F2536" s="201"/>
      <c r="G2536" s="201"/>
      <c r="H2536" s="201"/>
      <c r="I2536" s="201"/>
      <c r="J2536" s="201"/>
    </row>
  </sheetData>
  <hyperlinks>
    <hyperlink ref="E1226" r:id="rId1" display="joseluissalgadochao16@gmail.com"/>
    <hyperlink ref="E1304" r:id="rId2" display="yanelam2001@gmail.com"/>
    <hyperlink ref="E1308" r:id="rId3" display="dayanisrosabal183@gmail.com"/>
    <hyperlink ref="E1311" r:id="rId4" display="napoleshernandezraiza@gmail.com"/>
    <hyperlink ref="E1314" r:id="rId5" display="litmaycantero@gmail.com"/>
    <hyperlink ref="E1354" r:id="rId6" display="yinamarina@yopmail.com"/>
    <hyperlink ref="E1359" r:id="rId7" display="napoleshernandezraiza@gmail.com"/>
    <hyperlink ref="E1382" r:id="rId8" display="diovaniscarrion1993@gmail.com"/>
    <hyperlink ref="E1405" r:id="rId9" display="perezperezgendris@gmail.com"/>
    <hyperlink ref="E1416" r:id="rId10" display="ferreryosef@gmail.com"/>
    <hyperlink ref="E1671" r:id="rId11" display="n2458619@gmail.com"/>
    <hyperlink ref="E1683" r:id="rId12" display="angelacausilla81@gmail.com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36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7" activeCellId="0" sqref="D17"/>
    </sheetView>
  </sheetViews>
  <sheetFormatPr defaultColWidth="8.59765625" defaultRowHeight="14.25" zeroHeight="false" outlineLevelRow="0" outlineLevelCol="0"/>
  <cols>
    <col collapsed="false" customWidth="true" hidden="false" outlineLevel="0" max="2" min="1" style="0" width="12.43"/>
    <col collapsed="false" customWidth="true" hidden="false" outlineLevel="0" max="3" min="3" style="0" width="11.86"/>
    <col collapsed="false" customWidth="true" hidden="false" outlineLevel="0" max="4" min="4" style="0" width="13.43"/>
  </cols>
  <sheetData>
    <row r="1" customFormat="false" ht="15" hidden="false" customHeight="false" outlineLevel="0" collapsed="false">
      <c r="A1" s="202" t="s">
        <v>5580</v>
      </c>
      <c r="B1" s="202"/>
      <c r="C1" s="202"/>
      <c r="D1" s="202"/>
    </row>
    <row r="2" customFormat="false" ht="53.25" hidden="false" customHeight="true" outlineLevel="0" collapsed="false">
      <c r="A2" s="203" t="s">
        <v>5581</v>
      </c>
      <c r="B2" s="204" t="s">
        <v>5582</v>
      </c>
      <c r="C2" s="204" t="s">
        <v>5583</v>
      </c>
      <c r="D2" s="205" t="s">
        <v>5584</v>
      </c>
    </row>
    <row r="3" customFormat="false" ht="14.25" hidden="false" customHeight="false" outlineLevel="0" collapsed="false">
      <c r="A3" s="206" t="n">
        <v>46023</v>
      </c>
      <c r="B3" s="207"/>
      <c r="C3" s="207"/>
      <c r="D3" s="207" t="n">
        <f aca="false">SUM(B3:C3)</f>
        <v>0</v>
      </c>
    </row>
    <row r="4" customFormat="false" ht="14.25" hidden="false" customHeight="false" outlineLevel="0" collapsed="false">
      <c r="A4" s="208" t="s">
        <v>5585</v>
      </c>
      <c r="B4" s="208" t="s">
        <v>5586</v>
      </c>
      <c r="C4" s="208" t="s">
        <v>5587</v>
      </c>
      <c r="D4" s="208" t="s">
        <v>5588</v>
      </c>
    </row>
    <row r="5" customFormat="false" ht="16.4" hidden="false" customHeight="false" outlineLevel="0" collapsed="false">
      <c r="A5" s="209" t="n">
        <v>46023</v>
      </c>
      <c r="B5" s="210" t="n">
        <f aca="false">SUMIFS(CRM[VALOR],CRM[FECHA],A5)</f>
        <v>60086.51</v>
      </c>
      <c r="C5" s="211" t="n">
        <f aca="false">SUMIFS(Tabela1[VALOR],Tabela1[FECHA],A5)</f>
        <v>0</v>
      </c>
      <c r="D5" s="64" t="n">
        <f aca="false">B5-C5</f>
        <v>60086.51</v>
      </c>
    </row>
    <row r="6" customFormat="false" ht="16.4" hidden="false" customHeight="false" outlineLevel="0" collapsed="false">
      <c r="A6" s="209" t="n">
        <v>46024</v>
      </c>
      <c r="B6" s="210" t="n">
        <f aca="false">SUMIFS(CRM[VALOR],CRM[FECHA],A6)</f>
        <v>0</v>
      </c>
      <c r="C6" s="211" t="n">
        <f aca="false">SUMIFS(Tabela1[VALOR],Tabela1[FECHA],A6)</f>
        <v>914</v>
      </c>
      <c r="D6" s="64" t="n">
        <f aca="false">B6-C6</f>
        <v>-914</v>
      </c>
    </row>
    <row r="7" customFormat="false" ht="16.4" hidden="false" customHeight="false" outlineLevel="0" collapsed="false">
      <c r="A7" s="209" t="n">
        <v>46025</v>
      </c>
      <c r="B7" s="210" t="n">
        <f aca="false">SUMIFS(CRM[VALOR],CRM[FECHA],A7)</f>
        <v>0</v>
      </c>
      <c r="C7" s="211" t="n">
        <f aca="false">SUMIFS(Tabela1[VALOR],Tabela1[FECHA],A7)</f>
        <v>526</v>
      </c>
      <c r="D7" s="64" t="n">
        <f aca="false">B7-C7</f>
        <v>-526</v>
      </c>
    </row>
    <row r="8" customFormat="false" ht="16.4" hidden="false" customHeight="false" outlineLevel="0" collapsed="false">
      <c r="A8" s="209" t="n">
        <v>46026</v>
      </c>
      <c r="B8" s="210" t="n">
        <f aca="false">SUMIFS(CRM[VALOR],CRM[FECHA],A8)</f>
        <v>0</v>
      </c>
      <c r="C8" s="211" t="n">
        <f aca="false">SUMIFS(Tabela1[VALOR],Tabela1[FECHA],A8)</f>
        <v>25</v>
      </c>
      <c r="D8" s="64" t="n">
        <f aca="false">B8-C8</f>
        <v>-25</v>
      </c>
    </row>
    <row r="9" customFormat="false" ht="16.4" hidden="false" customHeight="false" outlineLevel="0" collapsed="false">
      <c r="A9" s="209" t="n">
        <v>46027</v>
      </c>
      <c r="B9" s="210" t="n">
        <f aca="false">SUMIFS(CRM[VALOR],CRM[FECHA],A9)</f>
        <v>0</v>
      </c>
      <c r="C9" s="211" t="n">
        <f aca="false">SUMIFS(Tabela1[VALOR],Tabela1[FECHA],A9)</f>
        <v>50</v>
      </c>
      <c r="D9" s="64" t="n">
        <f aca="false">B9-C9</f>
        <v>-50</v>
      </c>
    </row>
    <row r="10" customFormat="false" ht="16.4" hidden="false" customHeight="false" outlineLevel="0" collapsed="false">
      <c r="A10" s="209" t="n">
        <v>46028</v>
      </c>
      <c r="B10" s="210" t="n">
        <f aca="false">SUMIFS(CRM[VALOR],CRM[FECHA],A10)</f>
        <v>0</v>
      </c>
      <c r="C10" s="211" t="n">
        <f aca="false">SUMIFS(Tabela1[VALOR],Tabela1[FECHA],A10)</f>
        <v>992</v>
      </c>
      <c r="D10" s="64" t="n">
        <f aca="false">B10-C10</f>
        <v>-992</v>
      </c>
    </row>
    <row r="11" customFormat="false" ht="16.4" hidden="false" customHeight="false" outlineLevel="0" collapsed="false">
      <c r="A11" s="209" t="n">
        <v>46029</v>
      </c>
      <c r="B11" s="210" t="n">
        <f aca="false">SUMIFS(CRM[VALOR],CRM[FECHA],A11)</f>
        <v>0</v>
      </c>
      <c r="C11" s="211" t="n">
        <f aca="false">SUMIFS(Tabela1[VALOR],Tabela1[FECHA],A11)</f>
        <v>2408.4</v>
      </c>
      <c r="D11" s="64" t="n">
        <f aca="false">B11-C11</f>
        <v>-2408.4</v>
      </c>
    </row>
    <row r="12" customFormat="false" ht="16.4" hidden="false" customHeight="false" outlineLevel="0" collapsed="false">
      <c r="A12" s="209" t="n">
        <v>46030</v>
      </c>
      <c r="B12" s="210" t="n">
        <f aca="false">SUMIFS(CRM[VALOR],CRM[FECHA],A12)</f>
        <v>0</v>
      </c>
      <c r="C12" s="211" t="n">
        <f aca="false">SUMIFS(Tabela1[VALOR],Tabela1[FECHA],A12)</f>
        <v>160</v>
      </c>
      <c r="D12" s="64" t="n">
        <f aca="false">B12-C12</f>
        <v>-160</v>
      </c>
    </row>
    <row r="13" customFormat="false" ht="16.4" hidden="false" customHeight="false" outlineLevel="0" collapsed="false">
      <c r="A13" s="209" t="n">
        <v>46031</v>
      </c>
      <c r="B13" s="210" t="n">
        <f aca="false">SUMIFS(CRM[VALOR],CRM[FECHA],A13)</f>
        <v>0</v>
      </c>
      <c r="C13" s="211" t="n">
        <f aca="false">SUMIFS(Tabela1[VALOR],Tabela1[FECHA],A13)</f>
        <v>675</v>
      </c>
      <c r="D13" s="64" t="n">
        <f aca="false">B13-C13</f>
        <v>-675</v>
      </c>
    </row>
    <row r="14" customFormat="false" ht="16.4" hidden="false" customHeight="false" outlineLevel="0" collapsed="false">
      <c r="A14" s="209" t="n">
        <v>46032</v>
      </c>
      <c r="B14" s="210" t="n">
        <f aca="false">SUMIFS(CRM[VALOR],CRM[FECHA],A14)</f>
        <v>0</v>
      </c>
      <c r="C14" s="211" t="n">
        <f aca="false">SUMIFS(Tabela1[VALOR],Tabela1[FECHA],A14)</f>
        <v>2199</v>
      </c>
      <c r="D14" s="64" t="n">
        <f aca="false">B14-C14</f>
        <v>-2199</v>
      </c>
    </row>
    <row r="15" customFormat="false" ht="16.4" hidden="false" customHeight="false" outlineLevel="0" collapsed="false">
      <c r="A15" s="209" t="n">
        <v>46033</v>
      </c>
      <c r="B15" s="210" t="n">
        <f aca="false">SUMIFS(CRM[VALOR],CRM[FECHA],A15)</f>
        <v>0</v>
      </c>
      <c r="C15" s="211" t="n">
        <f aca="false">SUMIFS(Tabela1[VALOR],Tabela1[FECHA],A15)</f>
        <v>692</v>
      </c>
      <c r="D15" s="64" t="n">
        <f aca="false">B15-C15</f>
        <v>-692</v>
      </c>
    </row>
    <row r="16" customFormat="false" ht="16.4" hidden="false" customHeight="false" outlineLevel="0" collapsed="false">
      <c r="A16" s="209" t="n">
        <v>46034</v>
      </c>
      <c r="B16" s="210" t="n">
        <f aca="false">SUMIFS(CRM[VALOR],CRM[FECHA],A16)</f>
        <v>0</v>
      </c>
      <c r="C16" s="211" t="n">
        <f aca="false">SUMIFS(Tabela1[VALOR],Tabela1[FECHA],A16)</f>
        <v>550</v>
      </c>
      <c r="D16" s="64" t="n">
        <f aca="false">B16-C16</f>
        <v>-550</v>
      </c>
    </row>
    <row r="17" customFormat="false" ht="16.4" hidden="false" customHeight="false" outlineLevel="0" collapsed="false">
      <c r="A17" s="209" t="n">
        <v>46035</v>
      </c>
      <c r="B17" s="210" t="n">
        <f aca="false">SUMIFS(CRM[VALOR],CRM[FECHA],A17)</f>
        <v>0</v>
      </c>
      <c r="C17" s="211" t="n">
        <f aca="false">SUMIFS(Tabela1[VALOR],Tabela1[FECHA],A17)</f>
        <v>565.82</v>
      </c>
      <c r="D17" s="64" t="n">
        <f aca="false">B17-C17</f>
        <v>-565.82</v>
      </c>
    </row>
    <row r="18" customFormat="false" ht="16.4" hidden="false" customHeight="false" outlineLevel="0" collapsed="false">
      <c r="A18" s="209" t="n">
        <v>46036</v>
      </c>
      <c r="B18" s="210" t="n">
        <f aca="false">SUMIFS(CRM[VALOR],CRM[FECHA],A18)</f>
        <v>0</v>
      </c>
      <c r="C18" s="211" t="n">
        <f aca="false">SUMIFS(Tabela1[VALOR],Tabela1[FECHA],A18)</f>
        <v>285</v>
      </c>
      <c r="D18" s="64" t="n">
        <f aca="false">B18-C18</f>
        <v>-285</v>
      </c>
    </row>
    <row r="19" customFormat="false" ht="16.4" hidden="false" customHeight="false" outlineLevel="0" collapsed="false">
      <c r="A19" s="209" t="n">
        <v>46037</v>
      </c>
      <c r="B19" s="210" t="n">
        <f aca="false">SUMIFS(CRM[VALOR],CRM[FECHA],A19)</f>
        <v>0</v>
      </c>
      <c r="C19" s="211" t="n">
        <f aca="false">SUMIFS(Tabela1[VALOR],Tabela1[FECHA],A19)</f>
        <v>4400.02</v>
      </c>
      <c r="D19" s="64" t="n">
        <f aca="false">B19-C19</f>
        <v>-4400.02</v>
      </c>
    </row>
    <row r="20" customFormat="false" ht="16.4" hidden="false" customHeight="false" outlineLevel="0" collapsed="false">
      <c r="A20" s="209" t="n">
        <v>46038</v>
      </c>
      <c r="B20" s="210" t="n">
        <f aca="false">SUMIFS(CRM[VALOR],CRM[FECHA],A20)</f>
        <v>0</v>
      </c>
      <c r="C20" s="211" t="n">
        <f aca="false">SUMIFS(Tabela1[VALOR],Tabela1[FECHA],A20)</f>
        <v>1877.68</v>
      </c>
      <c r="D20" s="64" t="n">
        <f aca="false">B20-C20</f>
        <v>-1877.68</v>
      </c>
    </row>
    <row r="21" customFormat="false" ht="16.4" hidden="false" customHeight="false" outlineLevel="0" collapsed="false">
      <c r="A21" s="209" t="n">
        <v>46039</v>
      </c>
      <c r="B21" s="210" t="n">
        <f aca="false">SUMIFS(CRM[VALOR],CRM[FECHA],A21)</f>
        <v>0</v>
      </c>
      <c r="C21" s="211" t="n">
        <f aca="false">SUMIFS(Tabela1[VALOR],Tabela1[FECHA],A21)</f>
        <v>0</v>
      </c>
      <c r="D21" s="64" t="n">
        <f aca="false">B21-C21</f>
        <v>0</v>
      </c>
    </row>
    <row r="22" customFormat="false" ht="16.4" hidden="false" customHeight="false" outlineLevel="0" collapsed="false">
      <c r="A22" s="209" t="n">
        <v>46040</v>
      </c>
      <c r="B22" s="210" t="n">
        <f aca="false">SUMIFS(CRM[VALOR],CRM[FECHA],A22)</f>
        <v>0</v>
      </c>
      <c r="C22" s="211" t="n">
        <f aca="false">SUMIFS(Tabela1[VALOR],Tabela1[FECHA],A22)</f>
        <v>40</v>
      </c>
      <c r="D22" s="64" t="n">
        <f aca="false">B22-C22</f>
        <v>-40</v>
      </c>
    </row>
    <row r="23" customFormat="false" ht="16.4" hidden="false" customHeight="false" outlineLevel="0" collapsed="false">
      <c r="A23" s="209" t="n">
        <v>46041</v>
      </c>
      <c r="B23" s="210" t="n">
        <f aca="false">SUMIFS(CRM[VALOR],CRM[FECHA],A23)</f>
        <v>0</v>
      </c>
      <c r="C23" s="211" t="n">
        <f aca="false">SUMIFS(Tabela1[VALOR],Tabela1[FECHA],A23)</f>
        <v>253</v>
      </c>
      <c r="D23" s="64" t="n">
        <f aca="false">B23-C23</f>
        <v>-253</v>
      </c>
    </row>
    <row r="24" customFormat="false" ht="16.4" hidden="false" customHeight="false" outlineLevel="0" collapsed="false">
      <c r="A24" s="209" t="n">
        <v>46042</v>
      </c>
      <c r="B24" s="210" t="n">
        <f aca="false">SUMIFS(CRM[VALOR],CRM[FECHA],A24)</f>
        <v>0</v>
      </c>
      <c r="C24" s="211" t="n">
        <f aca="false">SUMIFS(Tabela1[VALOR],Tabela1[FECHA],A24)</f>
        <v>340</v>
      </c>
      <c r="D24" s="64" t="n">
        <f aca="false">B24-C24</f>
        <v>-340</v>
      </c>
    </row>
    <row r="25" customFormat="false" ht="16.4" hidden="false" customHeight="false" outlineLevel="0" collapsed="false">
      <c r="A25" s="209" t="n">
        <v>46043</v>
      </c>
      <c r="B25" s="210" t="n">
        <f aca="false">SUMIFS(CRM[VALOR],CRM[FECHA],A25)</f>
        <v>0</v>
      </c>
      <c r="C25" s="211" t="n">
        <f aca="false">SUMIFS(Tabela1[VALOR],Tabela1[FECHA],A25)</f>
        <v>495</v>
      </c>
      <c r="D25" s="64" t="n">
        <f aca="false">B25-C25</f>
        <v>-495</v>
      </c>
    </row>
    <row r="26" customFormat="false" ht="16.4" hidden="false" customHeight="false" outlineLevel="0" collapsed="false">
      <c r="A26" s="209" t="n">
        <v>46044</v>
      </c>
      <c r="B26" s="210" t="n">
        <f aca="false">SUMIFS(CRM[VALOR],CRM[FECHA],A26)</f>
        <v>0</v>
      </c>
      <c r="C26" s="211" t="n">
        <f aca="false">SUMIFS(Tabela1[VALOR],Tabela1[FECHA],A26)</f>
        <v>3052.65</v>
      </c>
      <c r="D26" s="64" t="n">
        <f aca="false">B26-C26</f>
        <v>-3052.65</v>
      </c>
    </row>
    <row r="27" customFormat="false" ht="16.4" hidden="false" customHeight="false" outlineLevel="0" collapsed="false">
      <c r="A27" s="209" t="n">
        <v>46045</v>
      </c>
      <c r="B27" s="210" t="n">
        <f aca="false">SUMIFS(CRM[VALOR],CRM[FECHA],A27)</f>
        <v>0</v>
      </c>
      <c r="C27" s="211" t="n">
        <f aca="false">SUMIFS(Tabela1[VALOR],Tabela1[FECHA],A27)</f>
        <v>3150</v>
      </c>
      <c r="D27" s="64" t="n">
        <f aca="false">B27-C27</f>
        <v>-3150</v>
      </c>
    </row>
    <row r="28" customFormat="false" ht="16.4" hidden="false" customHeight="false" outlineLevel="0" collapsed="false">
      <c r="A28" s="209" t="n">
        <v>46046</v>
      </c>
      <c r="B28" s="210" t="n">
        <f aca="false">SUMIFS(CRM[VALOR],CRM[FECHA],A28)</f>
        <v>0</v>
      </c>
      <c r="C28" s="211" t="n">
        <f aca="false">SUMIFS(Tabela1[VALOR],Tabela1[FECHA],A28)</f>
        <v>0</v>
      </c>
      <c r="D28" s="64" t="n">
        <f aca="false">B28-C28</f>
        <v>0</v>
      </c>
    </row>
    <row r="29" customFormat="false" ht="16.4" hidden="false" customHeight="false" outlineLevel="0" collapsed="false">
      <c r="A29" s="209" t="n">
        <v>46047</v>
      </c>
      <c r="B29" s="210" t="n">
        <f aca="false">SUMIFS(CRM[VALOR],CRM[FECHA],A29)</f>
        <v>0</v>
      </c>
      <c r="C29" s="211" t="n">
        <f aca="false">SUMIFS(Tabela1[VALOR],Tabela1[FECHA],A29)</f>
        <v>0</v>
      </c>
      <c r="D29" s="64" t="n">
        <f aca="false">B29-C29</f>
        <v>0</v>
      </c>
    </row>
    <row r="30" customFormat="false" ht="16.4" hidden="false" customHeight="false" outlineLevel="0" collapsed="false">
      <c r="A30" s="209" t="n">
        <v>46048</v>
      </c>
      <c r="B30" s="210" t="n">
        <f aca="false">SUMIFS(CRM[VALOR],CRM[FECHA],A30)</f>
        <v>0</v>
      </c>
      <c r="C30" s="211" t="n">
        <f aca="false">SUMIFS(Tabela1[VALOR],Tabela1[FECHA],A30)</f>
        <v>2100.88</v>
      </c>
      <c r="D30" s="64" t="n">
        <f aca="false">B30-C30</f>
        <v>-2100.88</v>
      </c>
    </row>
    <row r="31" customFormat="false" ht="16.4" hidden="false" customHeight="false" outlineLevel="0" collapsed="false">
      <c r="A31" s="209" t="n">
        <v>46049</v>
      </c>
      <c r="B31" s="210" t="n">
        <f aca="false">SUMIFS(CRM[VALOR],CRM[FECHA],A31)</f>
        <v>0</v>
      </c>
      <c r="C31" s="211" t="n">
        <f aca="false">SUMIFS(Tabela1[VALOR],Tabela1[FECHA],A31)</f>
        <v>0</v>
      </c>
      <c r="D31" s="64" t="n">
        <f aca="false">B31-C31</f>
        <v>0</v>
      </c>
    </row>
    <row r="32" customFormat="false" ht="16.4" hidden="false" customHeight="false" outlineLevel="0" collapsed="false">
      <c r="A32" s="209" t="n">
        <v>46050</v>
      </c>
      <c r="B32" s="210" t="n">
        <f aca="false">SUMIFS(CRM[VALOR],CRM[FECHA],A32)</f>
        <v>0</v>
      </c>
      <c r="C32" s="211" t="n">
        <f aca="false">SUMIFS(Tabela1[VALOR],Tabela1[FECHA],A32)</f>
        <v>250</v>
      </c>
      <c r="D32" s="64" t="n">
        <f aca="false">B32-C32</f>
        <v>-250</v>
      </c>
    </row>
    <row r="33" customFormat="false" ht="16.4" hidden="false" customHeight="false" outlineLevel="0" collapsed="false">
      <c r="A33" s="209" t="n">
        <v>46051</v>
      </c>
      <c r="B33" s="210" t="n">
        <f aca="false">SUMIFS(CRM[VALOR],CRM[FECHA],A33)</f>
        <v>0</v>
      </c>
      <c r="C33" s="211" t="n">
        <f aca="false">SUMIFS(Tabela1[VALOR],Tabela1[FECHA],A33)</f>
        <v>151</v>
      </c>
      <c r="D33" s="64" t="n">
        <f aca="false">B33-C33</f>
        <v>-151</v>
      </c>
    </row>
    <row r="34" customFormat="false" ht="16.4" hidden="false" customHeight="false" outlineLevel="0" collapsed="false">
      <c r="A34" s="209" t="n">
        <v>46052</v>
      </c>
      <c r="B34" s="210" t="n">
        <f aca="false">SUMIFS(CRM[VALOR],CRM[FECHA],A34)</f>
        <v>0</v>
      </c>
      <c r="C34" s="211" t="n">
        <f aca="false">SUMIFS(Tabela1[VALOR],Tabela1[FECHA],A34)</f>
        <v>1480</v>
      </c>
      <c r="D34" s="64" t="n">
        <f aca="false">B34-C34</f>
        <v>-1480</v>
      </c>
    </row>
    <row r="35" customFormat="false" ht="16.4" hidden="false" customHeight="false" outlineLevel="0" collapsed="false">
      <c r="A35" s="209" t="n">
        <v>46053</v>
      </c>
      <c r="B35" s="210" t="n">
        <f aca="false">SUMIFS(CRM[VALOR],CRM[FECHA],A35)</f>
        <v>0</v>
      </c>
      <c r="C35" s="211" t="n">
        <f aca="false">SUMIFS(Tabela1[VALOR],Tabela1[FECHA],A35)</f>
        <v>7979</v>
      </c>
      <c r="D35" s="64" t="n">
        <f aca="false">B35-C35</f>
        <v>-7979</v>
      </c>
    </row>
    <row r="36" customFormat="false" ht="16.4" hidden="false" customHeight="false" outlineLevel="0" collapsed="false">
      <c r="A36" s="209" t="n">
        <v>46054</v>
      </c>
      <c r="B36" s="210" t="n">
        <f aca="false">SUMIFS(CRM[VALOR],CRM[FECHA],A36)</f>
        <v>737</v>
      </c>
      <c r="C36" s="211" t="n">
        <f aca="false">SUMIFS(Tabela1[VALOR],Tabela1[FECHA],A36)</f>
        <v>0</v>
      </c>
      <c r="D36" s="64" t="n">
        <f aca="false">B36-C36</f>
        <v>737</v>
      </c>
    </row>
    <row r="37" customFormat="false" ht="16.4" hidden="false" customHeight="false" outlineLevel="0" collapsed="false">
      <c r="A37" s="209" t="n">
        <v>46055</v>
      </c>
      <c r="B37" s="210" t="n">
        <f aca="false">SUMIFS(CRM[VALOR],CRM[FECHA],A37)</f>
        <v>2864</v>
      </c>
      <c r="C37" s="211" t="n">
        <f aca="false">SUMIFS(Tabela1[VALOR],Tabela1[FECHA],A37)</f>
        <v>369.99</v>
      </c>
      <c r="D37" s="64" t="n">
        <f aca="false">B37-C37</f>
        <v>2494.01</v>
      </c>
    </row>
    <row r="38" customFormat="false" ht="16.4" hidden="false" customHeight="false" outlineLevel="0" collapsed="false">
      <c r="A38" s="209" t="n">
        <v>46056</v>
      </c>
      <c r="B38" s="210" t="n">
        <f aca="false">SUMIFS(CRM[VALOR],CRM[FECHA],A38)</f>
        <v>2701</v>
      </c>
      <c r="C38" s="211" t="n">
        <f aca="false">SUMIFS(Tabela1[VALOR],Tabela1[FECHA],A38)</f>
        <v>200</v>
      </c>
      <c r="D38" s="64" t="n">
        <f aca="false">B38-C38</f>
        <v>2501</v>
      </c>
    </row>
    <row r="39" customFormat="false" ht="16.4" hidden="false" customHeight="false" outlineLevel="0" collapsed="false">
      <c r="A39" s="209" t="n">
        <v>46057</v>
      </c>
      <c r="B39" s="210" t="n">
        <f aca="false">SUMIFS(CRM[VALOR],CRM[FECHA],A39)</f>
        <v>3135</v>
      </c>
      <c r="C39" s="211" t="n">
        <f aca="false">SUMIFS(Tabela1[VALOR],Tabela1[FECHA],A39)</f>
        <v>200</v>
      </c>
      <c r="D39" s="64" t="n">
        <f aca="false">B39-C39</f>
        <v>2935</v>
      </c>
    </row>
    <row r="40" customFormat="false" ht="16.4" hidden="false" customHeight="false" outlineLevel="0" collapsed="false">
      <c r="A40" s="209" t="n">
        <v>46058</v>
      </c>
      <c r="B40" s="210" t="n">
        <f aca="false">SUMIFS(CRM[VALOR],CRM[FECHA],A40)</f>
        <v>2761</v>
      </c>
      <c r="C40" s="211" t="n">
        <f aca="false">SUMIFS(Tabela1[VALOR],Tabela1[FECHA],A40)</f>
        <v>3957.68</v>
      </c>
      <c r="D40" s="64" t="n">
        <f aca="false">B40-C40</f>
        <v>-1196.68</v>
      </c>
    </row>
    <row r="41" customFormat="false" ht="16.4" hidden="false" customHeight="false" outlineLevel="0" collapsed="false">
      <c r="A41" s="209" t="n">
        <v>46059</v>
      </c>
      <c r="B41" s="210" t="n">
        <f aca="false">SUMIFS(CRM[VALOR],CRM[FECHA],A41)</f>
        <v>5603</v>
      </c>
      <c r="C41" s="211" t="n">
        <f aca="false">SUMIFS(Tabela1[VALOR],Tabela1[FECHA],A41)</f>
        <v>1249.99</v>
      </c>
      <c r="D41" s="64" t="n">
        <f aca="false">B41-C41</f>
        <v>4353.01</v>
      </c>
    </row>
    <row r="42" customFormat="false" ht="16.4" hidden="false" customHeight="false" outlineLevel="0" collapsed="false">
      <c r="A42" s="209" t="n">
        <v>46060</v>
      </c>
      <c r="B42" s="210" t="n">
        <f aca="false">SUMIFS(CRM[VALOR],CRM[FECHA],A42)</f>
        <v>624</v>
      </c>
      <c r="C42" s="211" t="n">
        <f aca="false">SUMIFS(Tabela1[VALOR],Tabela1[FECHA],A42)</f>
        <v>173.7</v>
      </c>
      <c r="D42" s="64" t="n">
        <f aca="false">B42-C42</f>
        <v>450.3</v>
      </c>
    </row>
    <row r="43" customFormat="false" ht="16.4" hidden="false" customHeight="false" outlineLevel="0" collapsed="false">
      <c r="A43" s="209" t="n">
        <v>46061</v>
      </c>
      <c r="B43" s="210" t="n">
        <f aca="false">SUMIFS(CRM[VALOR],CRM[FECHA],A43)</f>
        <v>564</v>
      </c>
      <c r="C43" s="211" t="n">
        <f aca="false">SUMIFS(Tabela1[VALOR],Tabela1[FECHA],A43)</f>
        <v>0</v>
      </c>
      <c r="D43" s="64" t="n">
        <f aca="false">B43-C43</f>
        <v>564</v>
      </c>
    </row>
    <row r="44" customFormat="false" ht="16.4" hidden="false" customHeight="false" outlineLevel="0" collapsed="false">
      <c r="A44" s="209" t="n">
        <v>46062</v>
      </c>
      <c r="B44" s="210" t="n">
        <f aca="false">SUMIFS(CRM[VALOR],CRM[FECHA],A44)</f>
        <v>3677</v>
      </c>
      <c r="C44" s="211" t="n">
        <f aca="false">SUMIFS(Tabela1[VALOR],Tabela1[FECHA],A44)</f>
        <v>1824.94</v>
      </c>
      <c r="D44" s="64" t="n">
        <f aca="false">B44-C44</f>
        <v>1852.06</v>
      </c>
    </row>
    <row r="45" customFormat="false" ht="16.4" hidden="false" customHeight="false" outlineLevel="0" collapsed="false">
      <c r="A45" s="209" t="n">
        <v>46063</v>
      </c>
      <c r="B45" s="210" t="n">
        <f aca="false">SUMIFS(CRM[VALOR],CRM[FECHA],A45)</f>
        <v>5552</v>
      </c>
      <c r="C45" s="211" t="n">
        <f aca="false">SUMIFS(Tabela1[VALOR],Tabela1[FECHA],A45)</f>
        <v>297</v>
      </c>
      <c r="D45" s="64" t="n">
        <f aca="false">B45-C45</f>
        <v>5255</v>
      </c>
    </row>
    <row r="46" customFormat="false" ht="16.4" hidden="false" customHeight="false" outlineLevel="0" collapsed="false">
      <c r="A46" s="209" t="n">
        <v>46064</v>
      </c>
      <c r="B46" s="210" t="n">
        <f aca="false">SUMIFS(CRM[VALOR],CRM[FECHA],A46)</f>
        <v>3140</v>
      </c>
      <c r="C46" s="211" t="n">
        <f aca="false">SUMIFS(Tabela1[VALOR],Tabela1[FECHA],A46)</f>
        <v>205</v>
      </c>
      <c r="D46" s="64" t="n">
        <f aca="false">B46-C46</f>
        <v>2935</v>
      </c>
    </row>
    <row r="47" customFormat="false" ht="16.4" hidden="false" customHeight="false" outlineLevel="0" collapsed="false">
      <c r="A47" s="209" t="n">
        <v>46065</v>
      </c>
      <c r="B47" s="210" t="n">
        <f aca="false">SUMIFS(CRM[VALOR],CRM[FECHA],A47)</f>
        <v>1932</v>
      </c>
      <c r="C47" s="211" t="n">
        <f aca="false">SUMIFS(Tabela1[VALOR],Tabela1[FECHA],A47)</f>
        <v>175</v>
      </c>
      <c r="D47" s="64" t="n">
        <f aca="false">B47-C47</f>
        <v>1757</v>
      </c>
    </row>
    <row r="48" customFormat="false" ht="16.4" hidden="false" customHeight="false" outlineLevel="0" collapsed="false">
      <c r="A48" s="209" t="n">
        <v>46066</v>
      </c>
      <c r="B48" s="210" t="n">
        <f aca="false">SUMIFS(CRM[VALOR],CRM[FECHA],A48)</f>
        <v>1357</v>
      </c>
      <c r="C48" s="211" t="n">
        <f aca="false">SUMIFS(Tabela1[VALOR],Tabela1[FECHA],A48)</f>
        <v>9074.1</v>
      </c>
      <c r="D48" s="64" t="n">
        <f aca="false">B48-C48</f>
        <v>-7717.1</v>
      </c>
    </row>
    <row r="49" customFormat="false" ht="16.4" hidden="false" customHeight="false" outlineLevel="0" collapsed="false">
      <c r="A49" s="209" t="n">
        <v>46067</v>
      </c>
      <c r="B49" s="210" t="n">
        <f aca="false">SUMIFS(CRM[VALOR],CRM[FECHA],A49)</f>
        <v>920</v>
      </c>
      <c r="C49" s="211" t="n">
        <f aca="false">SUMIFS(Tabela1[VALOR],Tabela1[FECHA],A49)</f>
        <v>1000</v>
      </c>
      <c r="D49" s="64" t="n">
        <f aca="false">B49-C49</f>
        <v>-80</v>
      </c>
    </row>
    <row r="50" customFormat="false" ht="16.4" hidden="false" customHeight="false" outlineLevel="0" collapsed="false">
      <c r="A50" s="209" t="n">
        <v>46068</v>
      </c>
      <c r="B50" s="210" t="n">
        <f aca="false">SUMIFS(CRM[VALOR],CRM[FECHA],A50)</f>
        <v>0</v>
      </c>
      <c r="C50" s="211" t="n">
        <f aca="false">SUMIFS(Tabela1[VALOR],Tabela1[FECHA],A50)</f>
        <v>0</v>
      </c>
      <c r="D50" s="64" t="n">
        <f aca="false">B50-C50</f>
        <v>0</v>
      </c>
    </row>
    <row r="51" customFormat="false" ht="16.4" hidden="false" customHeight="false" outlineLevel="0" collapsed="false">
      <c r="A51" s="209" t="n">
        <v>46069</v>
      </c>
      <c r="B51" s="210" t="n">
        <f aca="false">SUMIFS(CRM[VALOR],CRM[FECHA],A51)</f>
        <v>480</v>
      </c>
      <c r="C51" s="211" t="n">
        <f aca="false">SUMIFS(Tabela1[VALOR],Tabela1[FECHA],A51)</f>
        <v>108</v>
      </c>
      <c r="D51" s="64" t="n">
        <f aca="false">B51-C51</f>
        <v>372</v>
      </c>
    </row>
    <row r="52" customFormat="false" ht="16.4" hidden="false" customHeight="false" outlineLevel="0" collapsed="false">
      <c r="A52" s="209" t="n">
        <v>46070</v>
      </c>
      <c r="B52" s="210" t="n">
        <f aca="false">SUMIFS(CRM[VALOR],CRM[FECHA],A52)</f>
        <v>3122</v>
      </c>
      <c r="C52" s="211" t="n">
        <f aca="false">SUMIFS(Tabela1[VALOR],Tabela1[FECHA],A52)</f>
        <v>1601.14</v>
      </c>
      <c r="D52" s="64" t="n">
        <f aca="false">B52-C52</f>
        <v>1520.86</v>
      </c>
    </row>
    <row r="53" customFormat="false" ht="16.4" hidden="false" customHeight="false" outlineLevel="0" collapsed="false">
      <c r="A53" s="209" t="n">
        <v>46071</v>
      </c>
      <c r="B53" s="210" t="n">
        <f aca="false">SUMIFS(CRM[VALOR],CRM[FECHA],A53)</f>
        <v>3250</v>
      </c>
      <c r="C53" s="211" t="n">
        <f aca="false">SUMIFS(Tabela1[VALOR],Tabela1[FECHA],A53)</f>
        <v>3611.8</v>
      </c>
      <c r="D53" s="64" t="n">
        <f aca="false">B53-C53</f>
        <v>-361.8</v>
      </c>
    </row>
    <row r="54" customFormat="false" ht="16.4" hidden="false" customHeight="false" outlineLevel="0" collapsed="false">
      <c r="A54" s="209" t="n">
        <v>46072</v>
      </c>
      <c r="B54" s="210" t="n">
        <f aca="false">SUMIFS(CRM[VALOR],CRM[FECHA],A54)</f>
        <v>945</v>
      </c>
      <c r="C54" s="211" t="n">
        <f aca="false">SUMIFS(Tabela1[VALOR],Tabela1[FECHA],A54)</f>
        <v>219.99</v>
      </c>
      <c r="D54" s="64" t="n">
        <f aca="false">B54-C54</f>
        <v>725.01</v>
      </c>
    </row>
    <row r="55" customFormat="false" ht="16.4" hidden="false" customHeight="false" outlineLevel="0" collapsed="false">
      <c r="A55" s="209" t="n">
        <v>46073</v>
      </c>
      <c r="B55" s="210" t="n">
        <f aca="false">SUMIFS(CRM[VALOR],CRM[FECHA],A55)</f>
        <v>1430</v>
      </c>
      <c r="C55" s="211" t="n">
        <f aca="false">SUMIFS(Tabela1[VALOR],Tabela1[FECHA],A55)</f>
        <v>1360</v>
      </c>
      <c r="D55" s="64" t="n">
        <f aca="false">B55-C55</f>
        <v>70</v>
      </c>
    </row>
    <row r="56" customFormat="false" ht="16.4" hidden="false" customHeight="false" outlineLevel="0" collapsed="false">
      <c r="A56" s="209" t="n">
        <v>46074</v>
      </c>
      <c r="B56" s="210" t="n">
        <f aca="false">SUMIFS(CRM[VALOR],CRM[FECHA],A56)</f>
        <v>2832</v>
      </c>
      <c r="C56" s="211" t="n">
        <f aca="false">SUMIFS(Tabela1[VALOR],Tabela1[FECHA],A56)</f>
        <v>1550.94</v>
      </c>
      <c r="D56" s="64" t="n">
        <f aca="false">B56-C56</f>
        <v>1281.06</v>
      </c>
    </row>
    <row r="57" customFormat="false" ht="16.4" hidden="false" customHeight="false" outlineLevel="0" collapsed="false">
      <c r="A57" s="209" t="n">
        <v>46075</v>
      </c>
      <c r="B57" s="210" t="n">
        <f aca="false">SUMIFS(CRM[VALOR],CRM[FECHA],A57)</f>
        <v>97</v>
      </c>
      <c r="C57" s="211" t="n">
        <f aca="false">SUMIFS(Tabela1[VALOR],Tabela1[FECHA],A57)</f>
        <v>0</v>
      </c>
      <c r="D57" s="64" t="n">
        <f aca="false">B57-C57</f>
        <v>97</v>
      </c>
    </row>
    <row r="58" customFormat="false" ht="16.4" hidden="false" customHeight="false" outlineLevel="0" collapsed="false">
      <c r="A58" s="209" t="n">
        <v>46076</v>
      </c>
      <c r="B58" s="210" t="n">
        <f aca="false">SUMIFS(CRM[VALOR],CRM[FECHA],A58)</f>
        <v>4773</v>
      </c>
      <c r="C58" s="211" t="n">
        <f aca="false">SUMIFS(Tabela1[VALOR],Tabela1[FECHA],A58)</f>
        <v>171</v>
      </c>
      <c r="D58" s="64" t="n">
        <f aca="false">B58-C58</f>
        <v>4602</v>
      </c>
    </row>
    <row r="59" customFormat="false" ht="16.4" hidden="false" customHeight="false" outlineLevel="0" collapsed="false">
      <c r="A59" s="209" t="n">
        <v>46077</v>
      </c>
      <c r="B59" s="210" t="n">
        <f aca="false">SUMIFS(CRM[VALOR],CRM[FECHA],A59)</f>
        <v>1129</v>
      </c>
      <c r="C59" s="211" t="n">
        <f aca="false">SUMIFS(Tabela1[VALOR],Tabela1[FECHA],A59)</f>
        <v>140</v>
      </c>
      <c r="D59" s="64" t="n">
        <f aca="false">B59-C59</f>
        <v>989</v>
      </c>
    </row>
    <row r="60" customFormat="false" ht="16.4" hidden="false" customHeight="false" outlineLevel="0" collapsed="false">
      <c r="A60" s="209" t="n">
        <v>46078</v>
      </c>
      <c r="B60" s="210" t="n">
        <f aca="false">SUMIFS(CRM[VALOR],CRM[FECHA],A60)</f>
        <v>3971</v>
      </c>
      <c r="C60" s="211" t="n">
        <f aca="false">SUMIFS(Tabela1[VALOR],Tabela1[FECHA],A60)</f>
        <v>409.9</v>
      </c>
      <c r="D60" s="64" t="n">
        <f aca="false">B60-C60</f>
        <v>3561.1</v>
      </c>
    </row>
    <row r="61" customFormat="false" ht="16.4" hidden="false" customHeight="false" outlineLevel="0" collapsed="false">
      <c r="A61" s="209" t="n">
        <v>46079</v>
      </c>
      <c r="B61" s="210" t="n">
        <f aca="false">SUMIFS(CRM[VALOR],CRM[FECHA],A61)</f>
        <v>1134</v>
      </c>
      <c r="C61" s="211" t="n">
        <f aca="false">SUMIFS(Tabela1[VALOR],Tabela1[FECHA],A61)</f>
        <v>0</v>
      </c>
      <c r="D61" s="64" t="n">
        <f aca="false">B61-C61</f>
        <v>1134</v>
      </c>
    </row>
    <row r="62" customFormat="false" ht="16.4" hidden="false" customHeight="false" outlineLevel="0" collapsed="false">
      <c r="A62" s="209" t="n">
        <v>46080</v>
      </c>
      <c r="B62" s="210" t="n">
        <f aca="false">SUMIFS(CRM[VALOR],CRM[FECHA],A62)</f>
        <v>1461</v>
      </c>
      <c r="C62" s="211" t="n">
        <f aca="false">SUMIFS(Tabela1[VALOR],Tabela1[FECHA],A62)</f>
        <v>2515.37</v>
      </c>
      <c r="D62" s="64" t="n">
        <f aca="false">B62-C62</f>
        <v>-1054.37</v>
      </c>
    </row>
    <row r="63" customFormat="false" ht="16.4" hidden="false" customHeight="false" outlineLevel="0" collapsed="false">
      <c r="A63" s="209" t="n">
        <v>46081</v>
      </c>
      <c r="B63" s="210" t="n">
        <f aca="false">SUMIFS(CRM[VALOR],CRM[FECHA],A63)</f>
        <v>965</v>
      </c>
      <c r="C63" s="211" t="n">
        <f aca="false">SUMIFS(Tabela1[VALOR],Tabela1[FECHA],A63)</f>
        <v>9180.5</v>
      </c>
      <c r="D63" s="64" t="n">
        <f aca="false">B63-C63</f>
        <v>-8215.5</v>
      </c>
    </row>
    <row r="64" customFormat="false" ht="16.4" hidden="false" customHeight="false" outlineLevel="0" collapsed="false">
      <c r="A64" s="209" t="n">
        <v>46082</v>
      </c>
      <c r="B64" s="210" t="n">
        <f aca="false">SUMIFS(CRM[VALOR],CRM[FECHA],A64)</f>
        <v>294</v>
      </c>
      <c r="C64" s="211" t="n">
        <f aca="false">SUMIFS(Tabela1[VALOR],Tabela1[FECHA],A64)</f>
        <v>71.85</v>
      </c>
      <c r="D64" s="64" t="n">
        <f aca="false">B64-C64</f>
        <v>222.15</v>
      </c>
    </row>
    <row r="65" customFormat="false" ht="16.4" hidden="false" customHeight="false" outlineLevel="0" collapsed="false">
      <c r="A65" s="209" t="n">
        <v>46083</v>
      </c>
      <c r="B65" s="210" t="n">
        <f aca="false">SUMIFS(CRM[VALOR],CRM[FECHA],A65)</f>
        <v>824.5</v>
      </c>
      <c r="C65" s="211" t="n">
        <f aca="false">SUMIFS(Tabela1[VALOR],Tabela1[FECHA],A65)</f>
        <v>0</v>
      </c>
      <c r="D65" s="64" t="n">
        <f aca="false">B65-C65</f>
        <v>824.5</v>
      </c>
    </row>
    <row r="66" customFormat="false" ht="16.4" hidden="false" customHeight="false" outlineLevel="0" collapsed="false">
      <c r="A66" s="209" t="n">
        <v>46084</v>
      </c>
      <c r="B66" s="210" t="n">
        <f aca="false">SUMIFS(CRM[VALOR],CRM[FECHA],A66)</f>
        <v>3003</v>
      </c>
      <c r="C66" s="211" t="n">
        <f aca="false">SUMIFS(Tabela1[VALOR],Tabela1[FECHA],A66)</f>
        <v>120</v>
      </c>
      <c r="D66" s="64" t="n">
        <f aca="false">B66-C66</f>
        <v>2883</v>
      </c>
    </row>
    <row r="67" customFormat="false" ht="16.4" hidden="false" customHeight="false" outlineLevel="0" collapsed="false">
      <c r="A67" s="209" t="n">
        <v>46085</v>
      </c>
      <c r="B67" s="210" t="n">
        <f aca="false">SUMIFS(CRM[VALOR],CRM[FECHA],A67)</f>
        <v>5708</v>
      </c>
      <c r="C67" s="211" t="n">
        <f aca="false">SUMIFS(Tabela1[VALOR],Tabela1[FECHA],A67)</f>
        <v>1692.54</v>
      </c>
      <c r="D67" s="64" t="n">
        <f aca="false">B67-C67</f>
        <v>4015.46</v>
      </c>
    </row>
    <row r="68" customFormat="false" ht="16.4" hidden="false" customHeight="false" outlineLevel="0" collapsed="false">
      <c r="A68" s="209" t="n">
        <v>46086</v>
      </c>
      <c r="B68" s="210" t="n">
        <f aca="false">SUMIFS(CRM[VALOR],CRM[FECHA],A68)</f>
        <v>3497</v>
      </c>
      <c r="C68" s="211" t="n">
        <f aca="false">SUMIFS(Tabela1[VALOR],Tabela1[FECHA],A68)</f>
        <v>135</v>
      </c>
      <c r="D68" s="64" t="n">
        <f aca="false">B68-C68</f>
        <v>3362</v>
      </c>
    </row>
    <row r="69" customFormat="false" ht="16.4" hidden="false" customHeight="false" outlineLevel="0" collapsed="false">
      <c r="A69" s="209" t="n">
        <v>46087</v>
      </c>
      <c r="B69" s="210" t="n">
        <f aca="false">SUMIFS(CRM[VALOR],CRM[FECHA],A69)</f>
        <v>7487</v>
      </c>
      <c r="C69" s="211" t="n">
        <f aca="false">SUMIFS(Tabela1[VALOR],Tabela1[FECHA],A69)</f>
        <v>2168.11</v>
      </c>
      <c r="D69" s="64" t="n">
        <f aca="false">B69-C69</f>
        <v>5318.89</v>
      </c>
    </row>
    <row r="70" customFormat="false" ht="16.4" hidden="false" customHeight="false" outlineLevel="0" collapsed="false">
      <c r="A70" s="209" t="n">
        <v>46088</v>
      </c>
      <c r="B70" s="210" t="n">
        <f aca="false">SUMIFS(CRM[VALOR],CRM[FECHA],A70)</f>
        <v>2461</v>
      </c>
      <c r="C70" s="211" t="n">
        <f aca="false">SUMIFS(Tabela1[VALOR],Tabela1[FECHA],A70)</f>
        <v>1585.98</v>
      </c>
      <c r="D70" s="64" t="n">
        <f aca="false">B70-C70</f>
        <v>875.02</v>
      </c>
    </row>
    <row r="71" customFormat="false" ht="16.4" hidden="false" customHeight="false" outlineLevel="0" collapsed="false">
      <c r="A71" s="209" t="n">
        <v>46089</v>
      </c>
      <c r="B71" s="210" t="n">
        <f aca="false">SUMIFS(CRM[VALOR],CRM[FECHA],A71)</f>
        <v>1385</v>
      </c>
      <c r="C71" s="211" t="n">
        <f aca="false">SUMIFS(Tabela1[VALOR],Tabela1[FECHA],A71)</f>
        <v>41</v>
      </c>
      <c r="D71" s="64" t="n">
        <f aca="false">B71-C71</f>
        <v>1344</v>
      </c>
    </row>
    <row r="72" customFormat="false" ht="16.4" hidden="false" customHeight="false" outlineLevel="0" collapsed="false">
      <c r="A72" s="209" t="n">
        <v>46090</v>
      </c>
      <c r="B72" s="210" t="n">
        <f aca="false">SUMIFS(CRM[VALOR],CRM[FECHA],A72)</f>
        <v>3544</v>
      </c>
      <c r="C72" s="211" t="n">
        <f aca="false">SUMIFS(Tabela1[VALOR],Tabela1[FECHA],A72)</f>
        <v>2438.39</v>
      </c>
      <c r="D72" s="64" t="n">
        <f aca="false">B72-C72</f>
        <v>1105.61</v>
      </c>
    </row>
    <row r="73" customFormat="false" ht="16.4" hidden="false" customHeight="false" outlineLevel="0" collapsed="false">
      <c r="A73" s="209" t="n">
        <v>46091</v>
      </c>
      <c r="B73" s="210" t="n">
        <f aca="false">SUMIFS(CRM[VALOR],CRM[FECHA],A73)</f>
        <v>5139</v>
      </c>
      <c r="C73" s="211" t="n">
        <f aca="false">SUMIFS(Tabela1[VALOR],Tabela1[FECHA],A73)</f>
        <v>1850.78</v>
      </c>
      <c r="D73" s="64" t="n">
        <f aca="false">B73-C73</f>
        <v>3288.22</v>
      </c>
    </row>
    <row r="74" customFormat="false" ht="16.4" hidden="false" customHeight="false" outlineLevel="0" collapsed="false">
      <c r="A74" s="209" t="n">
        <v>46092</v>
      </c>
      <c r="B74" s="210" t="n">
        <f aca="false">SUMIFS(CRM[VALOR],CRM[FECHA],A74)</f>
        <v>3440</v>
      </c>
      <c r="C74" s="211" t="n">
        <f aca="false">SUMIFS(Tabela1[VALOR],Tabela1[FECHA],A74)</f>
        <v>30</v>
      </c>
      <c r="D74" s="64" t="n">
        <f aca="false">B74-C74</f>
        <v>3410</v>
      </c>
    </row>
    <row r="75" customFormat="false" ht="16.4" hidden="false" customHeight="false" outlineLevel="0" collapsed="false">
      <c r="A75" s="209" t="n">
        <v>46093</v>
      </c>
      <c r="B75" s="210" t="n">
        <f aca="false">SUMIFS(CRM[VALOR],CRM[FECHA],A75)</f>
        <v>5869</v>
      </c>
      <c r="C75" s="211" t="n">
        <f aca="false">SUMIFS(Tabela1[VALOR],Tabela1[FECHA],A75)</f>
        <v>170</v>
      </c>
      <c r="D75" s="64" t="n">
        <f aca="false">B75-C75</f>
        <v>5699</v>
      </c>
    </row>
    <row r="76" customFormat="false" ht="16.4" hidden="false" customHeight="false" outlineLevel="0" collapsed="false">
      <c r="A76" s="209" t="n">
        <v>46094</v>
      </c>
      <c r="B76" s="210" t="n">
        <f aca="false">SUMIFS(CRM[VALOR],CRM[FECHA],A76)</f>
        <v>2896</v>
      </c>
      <c r="C76" s="211" t="n">
        <f aca="false">SUMIFS(Tabela1[VALOR],Tabela1[FECHA],A76)</f>
        <v>2248.98</v>
      </c>
      <c r="D76" s="64" t="n">
        <f aca="false">B76-C76</f>
        <v>647.02</v>
      </c>
    </row>
    <row r="77" customFormat="false" ht="16.4" hidden="false" customHeight="false" outlineLevel="0" collapsed="false">
      <c r="A77" s="209" t="n">
        <v>46095</v>
      </c>
      <c r="B77" s="210" t="n">
        <f aca="false">SUMIFS(CRM[VALOR],CRM[FECHA],A77)</f>
        <v>1347</v>
      </c>
      <c r="C77" s="211" t="n">
        <f aca="false">SUMIFS(Tabela1[VALOR],Tabela1[FECHA],A77)</f>
        <v>111</v>
      </c>
      <c r="D77" s="64" t="n">
        <f aca="false">B77-C77</f>
        <v>1236</v>
      </c>
    </row>
    <row r="78" customFormat="false" ht="16.4" hidden="false" customHeight="false" outlineLevel="0" collapsed="false">
      <c r="A78" s="209" t="n">
        <v>46096</v>
      </c>
      <c r="B78" s="210" t="n">
        <f aca="false">SUMIFS(CRM[VALOR],CRM[FECHA],A78)</f>
        <v>267</v>
      </c>
      <c r="C78" s="211" t="n">
        <f aca="false">SUMIFS(Tabela1[VALOR],Tabela1[FECHA],A78)</f>
        <v>6551</v>
      </c>
      <c r="D78" s="64" t="n">
        <f aca="false">B78-C78</f>
        <v>-6284</v>
      </c>
    </row>
    <row r="79" customFormat="false" ht="16.4" hidden="false" customHeight="false" outlineLevel="0" collapsed="false">
      <c r="A79" s="209" t="n">
        <v>46097</v>
      </c>
      <c r="B79" s="210" t="n">
        <f aca="false">SUMIFS(CRM[VALOR],CRM[FECHA],A79)</f>
        <v>4740</v>
      </c>
      <c r="C79" s="211" t="n">
        <f aca="false">SUMIFS(Tabela1[VALOR],Tabela1[FECHA],A79)</f>
        <v>5696.94</v>
      </c>
      <c r="D79" s="64" t="n">
        <f aca="false">B79-C79</f>
        <v>-956.940000000001</v>
      </c>
    </row>
    <row r="80" customFormat="false" ht="16.4" hidden="false" customHeight="false" outlineLevel="0" collapsed="false">
      <c r="A80" s="209" t="n">
        <v>46098</v>
      </c>
      <c r="B80" s="210" t="n">
        <f aca="false">SUMIFS(CRM[VALOR],CRM[FECHA],A80)</f>
        <v>1801</v>
      </c>
      <c r="C80" s="211" t="n">
        <f aca="false">SUMIFS(Tabela1[VALOR],Tabela1[FECHA],A80)</f>
        <v>90.8</v>
      </c>
      <c r="D80" s="64" t="n">
        <f aca="false">B80-C80</f>
        <v>1710.2</v>
      </c>
    </row>
    <row r="81" customFormat="false" ht="16.4" hidden="false" customHeight="false" outlineLevel="0" collapsed="false">
      <c r="A81" s="209" t="n">
        <v>46099</v>
      </c>
      <c r="B81" s="210" t="n">
        <f aca="false">SUMIFS(CRM[VALOR],CRM[FECHA],A81)</f>
        <v>2637</v>
      </c>
      <c r="C81" s="211" t="n">
        <f aca="false">SUMIFS(Tabela1[VALOR],Tabela1[FECHA],A81)</f>
        <v>1770.57</v>
      </c>
      <c r="D81" s="64" t="n">
        <f aca="false">B81-C81</f>
        <v>866.43</v>
      </c>
    </row>
    <row r="82" customFormat="false" ht="16.4" hidden="false" customHeight="false" outlineLevel="0" collapsed="false">
      <c r="A82" s="209" t="n">
        <v>46100</v>
      </c>
      <c r="B82" s="210" t="n">
        <f aca="false">SUMIFS(CRM[VALOR],CRM[FECHA],A82)</f>
        <v>3801</v>
      </c>
      <c r="C82" s="211" t="n">
        <f aca="false">SUMIFS(Tabela1[VALOR],Tabela1[FECHA],A82)</f>
        <v>0</v>
      </c>
      <c r="D82" s="64" t="n">
        <f aca="false">B82-C82</f>
        <v>3801</v>
      </c>
    </row>
    <row r="83" customFormat="false" ht="16.4" hidden="false" customHeight="false" outlineLevel="0" collapsed="false">
      <c r="A83" s="209" t="n">
        <v>46101</v>
      </c>
      <c r="B83" s="210" t="n">
        <f aca="false">SUMIFS(CRM[VALOR],CRM[FECHA],A83)</f>
        <v>2959</v>
      </c>
      <c r="C83" s="211" t="n">
        <f aca="false">SUMIFS(Tabela1[VALOR],Tabela1[FECHA],A83)</f>
        <v>4511.88</v>
      </c>
      <c r="D83" s="64" t="n">
        <f aca="false">B83-C83</f>
        <v>-1552.88</v>
      </c>
    </row>
    <row r="84" customFormat="false" ht="16.4" hidden="false" customHeight="false" outlineLevel="0" collapsed="false">
      <c r="A84" s="209" t="n">
        <v>46102</v>
      </c>
      <c r="B84" s="210" t="n">
        <f aca="false">SUMIFS(CRM[VALOR],CRM[FECHA],A84)</f>
        <v>1158</v>
      </c>
      <c r="C84" s="211" t="n">
        <f aca="false">SUMIFS(Tabela1[VALOR],Tabela1[FECHA],A84)</f>
        <v>0</v>
      </c>
      <c r="D84" s="64" t="n">
        <f aca="false">B84-C84</f>
        <v>1158</v>
      </c>
    </row>
    <row r="85" customFormat="false" ht="16.4" hidden="false" customHeight="false" outlineLevel="0" collapsed="false">
      <c r="A85" s="209" t="n">
        <v>46103</v>
      </c>
      <c r="B85" s="210" t="n">
        <f aca="false">SUMIFS(CRM[VALOR],CRM[FECHA],A85)</f>
        <v>300</v>
      </c>
      <c r="C85" s="211" t="n">
        <f aca="false">SUMIFS(Tabela1[VALOR],Tabela1[FECHA],A85)</f>
        <v>670</v>
      </c>
      <c r="D85" s="64" t="n">
        <f aca="false">B85-C85</f>
        <v>-370</v>
      </c>
    </row>
    <row r="86" customFormat="false" ht="16.4" hidden="false" customHeight="false" outlineLevel="0" collapsed="false">
      <c r="A86" s="209" t="n">
        <v>46104</v>
      </c>
      <c r="B86" s="210" t="n">
        <f aca="false">SUMIFS(CRM[VALOR],CRM[FECHA],A86)</f>
        <v>4924</v>
      </c>
      <c r="C86" s="211" t="n">
        <f aca="false">SUMIFS(Tabela1[VALOR],Tabela1[FECHA],A86)</f>
        <v>0</v>
      </c>
      <c r="D86" s="64" t="n">
        <f aca="false">B86-C86</f>
        <v>4924</v>
      </c>
    </row>
    <row r="87" customFormat="false" ht="16.4" hidden="false" customHeight="false" outlineLevel="0" collapsed="false">
      <c r="A87" s="209" t="n">
        <v>46105</v>
      </c>
      <c r="B87" s="210" t="n">
        <f aca="false">SUMIFS(CRM[VALOR],CRM[FECHA],A87)</f>
        <v>3196</v>
      </c>
      <c r="C87" s="211" t="n">
        <f aca="false">SUMIFS(Tabela1[VALOR],Tabela1[FECHA],A87)</f>
        <v>1554.27</v>
      </c>
      <c r="D87" s="64" t="n">
        <f aca="false">B87-C87</f>
        <v>1641.73</v>
      </c>
    </row>
    <row r="88" customFormat="false" ht="16.4" hidden="false" customHeight="false" outlineLevel="0" collapsed="false">
      <c r="A88" s="209" t="n">
        <v>46106</v>
      </c>
      <c r="B88" s="210" t="n">
        <f aca="false">SUMIFS(CRM[VALOR],CRM[FECHA],A88)</f>
        <v>1379</v>
      </c>
      <c r="C88" s="211" t="n">
        <f aca="false">SUMIFS(Tabela1[VALOR],Tabela1[FECHA],A88)</f>
        <v>1651.92</v>
      </c>
      <c r="D88" s="64" t="n">
        <f aca="false">B88-C88</f>
        <v>-272.92</v>
      </c>
    </row>
    <row r="89" customFormat="false" ht="16.4" hidden="false" customHeight="false" outlineLevel="0" collapsed="false">
      <c r="A89" s="209" t="n">
        <v>46107</v>
      </c>
      <c r="B89" s="210" t="n">
        <f aca="false">SUMIFS(CRM[VALOR],CRM[FECHA],A89)</f>
        <v>2892</v>
      </c>
      <c r="C89" s="211" t="n">
        <f aca="false">SUMIFS(Tabela1[VALOR],Tabela1[FECHA],A89)</f>
        <v>300</v>
      </c>
      <c r="D89" s="64" t="n">
        <f aca="false">B89-C89</f>
        <v>2592</v>
      </c>
    </row>
    <row r="90" customFormat="false" ht="16.4" hidden="false" customHeight="false" outlineLevel="0" collapsed="false">
      <c r="A90" s="209" t="n">
        <v>46108</v>
      </c>
      <c r="B90" s="210" t="n">
        <f aca="false">SUMIFS(CRM[VALOR],CRM[FECHA],A90)</f>
        <v>1701</v>
      </c>
      <c r="C90" s="211" t="n">
        <f aca="false">SUMIFS(Tabela1[VALOR],Tabela1[FECHA],A90)</f>
        <v>389.9</v>
      </c>
      <c r="D90" s="64" t="n">
        <f aca="false">B90-C90</f>
        <v>1311.1</v>
      </c>
    </row>
    <row r="91" customFormat="false" ht="16.4" hidden="false" customHeight="false" outlineLevel="0" collapsed="false">
      <c r="A91" s="209" t="n">
        <v>46109</v>
      </c>
      <c r="B91" s="210" t="n">
        <f aca="false">SUMIFS(CRM[VALOR],CRM[FECHA],A91)</f>
        <v>1134</v>
      </c>
      <c r="C91" s="211" t="n">
        <f aca="false">SUMIFS(Tabela1[VALOR],Tabela1[FECHA],A91)</f>
        <v>0</v>
      </c>
      <c r="D91" s="64" t="n">
        <f aca="false">B91-C91</f>
        <v>1134</v>
      </c>
    </row>
    <row r="92" customFormat="false" ht="16.4" hidden="false" customHeight="false" outlineLevel="0" collapsed="false">
      <c r="A92" s="209" t="n">
        <v>46110</v>
      </c>
      <c r="B92" s="210" t="n">
        <f aca="false">SUMIFS(CRM[VALOR],CRM[FECHA],A92)</f>
        <v>1854</v>
      </c>
      <c r="C92" s="211" t="n">
        <f aca="false">SUMIFS(Tabela1[VALOR],Tabela1[FECHA],A92)</f>
        <v>205.36</v>
      </c>
      <c r="D92" s="64" t="n">
        <f aca="false">B92-C92</f>
        <v>1648.64</v>
      </c>
    </row>
    <row r="93" customFormat="false" ht="16.4" hidden="false" customHeight="false" outlineLevel="0" collapsed="false">
      <c r="A93" s="209" t="n">
        <v>46111</v>
      </c>
      <c r="B93" s="210" t="n">
        <f aca="false">SUMIFS(CRM[VALOR],CRM[FECHA],A93)</f>
        <v>1860</v>
      </c>
      <c r="C93" s="211" t="n">
        <f aca="false">SUMIFS(Tabela1[VALOR],Tabela1[FECHA],A93)</f>
        <v>288</v>
      </c>
      <c r="D93" s="64" t="n">
        <f aca="false">B93-C93</f>
        <v>1572</v>
      </c>
    </row>
    <row r="94" customFormat="false" ht="16.4" hidden="false" customHeight="false" outlineLevel="0" collapsed="false">
      <c r="A94" s="209" t="n">
        <v>46112</v>
      </c>
      <c r="B94" s="210" t="n">
        <f aca="false">SUMIFS(CRM[VALOR],CRM[FECHA],A94)</f>
        <v>3682</v>
      </c>
      <c r="C94" s="211" t="n">
        <f aca="false">SUMIFS(Tabela1[VALOR],Tabela1[FECHA],A94)</f>
        <v>10881.69</v>
      </c>
      <c r="D94" s="64" t="n">
        <f aca="false">B94-C94</f>
        <v>-7199.69</v>
      </c>
    </row>
    <row r="95" customFormat="false" ht="16.4" hidden="false" customHeight="false" outlineLevel="0" collapsed="false">
      <c r="A95" s="209" t="n">
        <v>46113</v>
      </c>
      <c r="B95" s="210" t="n">
        <f aca="false">SUMIFS(CRM[VALOR],CRM[FECHA],A95)</f>
        <v>4269</v>
      </c>
      <c r="C95" s="211" t="n">
        <f aca="false">SUMIFS(Tabela1[VALOR],Tabela1[FECHA],A95)</f>
        <v>61.53</v>
      </c>
      <c r="D95" s="64" t="n">
        <f aca="false">B95-C95</f>
        <v>4207.47</v>
      </c>
    </row>
    <row r="96" customFormat="false" ht="16.4" hidden="false" customHeight="false" outlineLevel="0" collapsed="false">
      <c r="A96" s="209" t="n">
        <v>46114</v>
      </c>
      <c r="B96" s="210" t="n">
        <f aca="false">SUMIFS(CRM[VALOR],CRM[FECHA],A96)</f>
        <v>2208</v>
      </c>
      <c r="C96" s="211" t="n">
        <f aca="false">SUMIFS(Tabela1[VALOR],Tabela1[FECHA],A96)</f>
        <v>2112.33</v>
      </c>
      <c r="D96" s="64" t="n">
        <f aca="false">B96-C96</f>
        <v>95.6700000000001</v>
      </c>
    </row>
    <row r="97" customFormat="false" ht="16.4" hidden="false" customHeight="false" outlineLevel="0" collapsed="false">
      <c r="A97" s="209" t="n">
        <v>46115</v>
      </c>
      <c r="B97" s="210" t="n">
        <f aca="false">SUMIFS(CRM[VALOR],CRM[FECHA],A97)</f>
        <v>4442</v>
      </c>
      <c r="C97" s="211" t="n">
        <f aca="false">SUMIFS(Tabela1[VALOR],Tabela1[FECHA],A97)</f>
        <v>2995.03</v>
      </c>
      <c r="D97" s="64" t="n">
        <f aca="false">B97-C97</f>
        <v>1446.97</v>
      </c>
    </row>
    <row r="98" customFormat="false" ht="16.4" hidden="false" customHeight="false" outlineLevel="0" collapsed="false">
      <c r="A98" s="209" t="n">
        <v>46116</v>
      </c>
      <c r="B98" s="210" t="n">
        <f aca="false">SUMIFS(CRM[VALOR],CRM[FECHA],A98)</f>
        <v>1467</v>
      </c>
      <c r="C98" s="211" t="n">
        <f aca="false">SUMIFS(Tabela1[VALOR],Tabela1[FECHA],A98)</f>
        <v>794</v>
      </c>
      <c r="D98" s="64" t="n">
        <f aca="false">B98-C98</f>
        <v>673</v>
      </c>
    </row>
    <row r="99" customFormat="false" ht="16.4" hidden="false" customHeight="false" outlineLevel="0" collapsed="false">
      <c r="A99" s="209" t="n">
        <v>46117</v>
      </c>
      <c r="B99" s="210" t="n">
        <f aca="false">SUMIFS(CRM[VALOR],CRM[FECHA],A99)</f>
        <v>150</v>
      </c>
      <c r="C99" s="211" t="n">
        <f aca="false">SUMIFS(Tabela1[VALOR],Tabela1[FECHA],A99)</f>
        <v>1552.32</v>
      </c>
      <c r="D99" s="64" t="n">
        <f aca="false">B99-C99</f>
        <v>-1402.32</v>
      </c>
    </row>
    <row r="100" customFormat="false" ht="16.4" hidden="false" customHeight="false" outlineLevel="0" collapsed="false">
      <c r="A100" s="209" t="n">
        <v>46118</v>
      </c>
      <c r="B100" s="210" t="n">
        <f aca="false">SUMIFS(CRM[VALOR],CRM[FECHA],A100)</f>
        <v>3040</v>
      </c>
      <c r="C100" s="211" t="n">
        <f aca="false">SUMIFS(Tabela1[VALOR],Tabela1[FECHA],A100)</f>
        <v>2803</v>
      </c>
      <c r="D100" s="64" t="n">
        <f aca="false">B100-C100</f>
        <v>237</v>
      </c>
    </row>
    <row r="101" customFormat="false" ht="16.4" hidden="false" customHeight="false" outlineLevel="0" collapsed="false">
      <c r="A101" s="209" t="n">
        <v>46119</v>
      </c>
      <c r="B101" s="210" t="n">
        <f aca="false">SUMIFS(CRM[VALOR],CRM[FECHA],A101)</f>
        <v>5687</v>
      </c>
      <c r="C101" s="211" t="n">
        <f aca="false">SUMIFS(Tabela1[VALOR],Tabela1[FECHA],A101)</f>
        <v>207.07</v>
      </c>
      <c r="D101" s="64" t="n">
        <f aca="false">B101-C101</f>
        <v>5479.93</v>
      </c>
    </row>
    <row r="102" customFormat="false" ht="16.4" hidden="false" customHeight="false" outlineLevel="0" collapsed="false">
      <c r="A102" s="209" t="n">
        <v>46120</v>
      </c>
      <c r="B102" s="210" t="n">
        <f aca="false">SUMIFS(CRM[VALOR],CRM[FECHA],A102)</f>
        <v>5198</v>
      </c>
      <c r="C102" s="211" t="n">
        <f aca="false">SUMIFS(Tabela1[VALOR],Tabela1[FECHA],A102)</f>
        <v>1551.35</v>
      </c>
      <c r="D102" s="64" t="n">
        <f aca="false">B102-C102</f>
        <v>3646.65</v>
      </c>
    </row>
    <row r="103" customFormat="false" ht="16.4" hidden="false" customHeight="false" outlineLevel="0" collapsed="false">
      <c r="A103" s="209" t="n">
        <v>46121</v>
      </c>
      <c r="B103" s="210" t="n">
        <f aca="false">SUMIFS(CRM[VALOR],CRM[FECHA],A103)</f>
        <v>5340</v>
      </c>
      <c r="C103" s="211" t="n">
        <f aca="false">SUMIFS(Tabela1[VALOR],Tabela1[FECHA],A103)</f>
        <v>592.77</v>
      </c>
      <c r="D103" s="64" t="n">
        <f aca="false">B103-C103</f>
        <v>4747.23</v>
      </c>
    </row>
    <row r="104" customFormat="false" ht="16.4" hidden="false" customHeight="false" outlineLevel="0" collapsed="false">
      <c r="A104" s="209" t="n">
        <v>46122</v>
      </c>
      <c r="B104" s="210" t="n">
        <f aca="false">SUMIFS(CRM[VALOR],CRM[FECHA],A104)</f>
        <v>4029</v>
      </c>
      <c r="C104" s="211" t="n">
        <f aca="false">SUMIFS(Tabela1[VALOR],Tabela1[FECHA],A104)</f>
        <v>2566.18</v>
      </c>
      <c r="D104" s="64" t="n">
        <f aca="false">B104-C104</f>
        <v>1462.82</v>
      </c>
    </row>
    <row r="105" customFormat="false" ht="16.4" hidden="false" customHeight="false" outlineLevel="0" collapsed="false">
      <c r="A105" s="209" t="n">
        <v>46123</v>
      </c>
      <c r="B105" s="210" t="n">
        <f aca="false">SUMIFS(CRM[VALOR],CRM[FECHA],A105)</f>
        <v>2539</v>
      </c>
      <c r="C105" s="211" t="n">
        <f aca="false">SUMIFS(Tabela1[VALOR],Tabela1[FECHA],A105)</f>
        <v>50</v>
      </c>
      <c r="D105" s="64" t="n">
        <f aca="false">B105-C105</f>
        <v>2489</v>
      </c>
    </row>
    <row r="106" customFormat="false" ht="16.4" hidden="false" customHeight="false" outlineLevel="0" collapsed="false">
      <c r="A106" s="209" t="n">
        <v>46124</v>
      </c>
      <c r="B106" s="210" t="n">
        <f aca="false">SUMIFS(CRM[VALOR],CRM[FECHA],A106)</f>
        <v>3129</v>
      </c>
      <c r="C106" s="211" t="n">
        <f aca="false">SUMIFS(Tabela1[VALOR],Tabela1[FECHA],A106)</f>
        <v>0</v>
      </c>
      <c r="D106" s="64" t="n">
        <f aca="false">B106-C106</f>
        <v>3129</v>
      </c>
    </row>
    <row r="107" customFormat="false" ht="16.4" hidden="false" customHeight="false" outlineLevel="0" collapsed="false">
      <c r="A107" s="209" t="n">
        <v>46125</v>
      </c>
      <c r="B107" s="210" t="n">
        <f aca="false">SUMIFS(CRM[VALOR],CRM[FECHA],A107)</f>
        <v>2816</v>
      </c>
      <c r="C107" s="211" t="n">
        <f aca="false">SUMIFS(Tabela1[VALOR],Tabela1[FECHA],A107)</f>
        <v>943.54</v>
      </c>
      <c r="D107" s="64" t="n">
        <f aca="false">B107-C107</f>
        <v>1872.46</v>
      </c>
    </row>
    <row r="108" customFormat="false" ht="16.4" hidden="false" customHeight="false" outlineLevel="0" collapsed="false">
      <c r="A108" s="209" t="n">
        <v>46126</v>
      </c>
      <c r="B108" s="210" t="n">
        <f aca="false">SUMIFS(CRM[VALOR],CRM[FECHA],A108)</f>
        <v>1964</v>
      </c>
      <c r="C108" s="211" t="n">
        <f aca="false">SUMIFS(Tabela1[VALOR],Tabela1[FECHA],A108)</f>
        <v>150</v>
      </c>
      <c r="D108" s="64" t="n">
        <f aca="false">B108-C108</f>
        <v>1814</v>
      </c>
    </row>
    <row r="109" customFormat="false" ht="16.4" hidden="false" customHeight="false" outlineLevel="0" collapsed="false">
      <c r="A109" s="209" t="n">
        <v>46127</v>
      </c>
      <c r="B109" s="210" t="n">
        <f aca="false">SUMIFS(CRM[VALOR],CRM[FECHA],A109)</f>
        <v>5269</v>
      </c>
      <c r="C109" s="211" t="n">
        <f aca="false">SUMIFS(Tabela1[VALOR],Tabela1[FECHA],A109)</f>
        <v>13010.62</v>
      </c>
      <c r="D109" s="64" t="n">
        <f aca="false">B109-C109</f>
        <v>-7741.62</v>
      </c>
    </row>
    <row r="110" customFormat="false" ht="16.4" hidden="false" customHeight="false" outlineLevel="0" collapsed="false">
      <c r="A110" s="209" t="n">
        <v>46128</v>
      </c>
      <c r="B110" s="210" t="n">
        <f aca="false">SUMIFS(CRM[VALOR],CRM[FECHA],A110)</f>
        <v>4099</v>
      </c>
      <c r="C110" s="211" t="n">
        <f aca="false">SUMIFS(Tabela1[VALOR],Tabela1[FECHA],A110)</f>
        <v>1795.79</v>
      </c>
      <c r="D110" s="64" t="n">
        <f aca="false">B110-C110</f>
        <v>2303.21</v>
      </c>
    </row>
    <row r="111" customFormat="false" ht="16.4" hidden="false" customHeight="false" outlineLevel="0" collapsed="false">
      <c r="A111" s="209" t="n">
        <v>46129</v>
      </c>
      <c r="B111" s="210" t="n">
        <f aca="false">SUMIFS(CRM[VALOR],CRM[FECHA],A111)</f>
        <v>3693</v>
      </c>
      <c r="C111" s="211" t="n">
        <f aca="false">SUMIFS(Tabela1[VALOR],Tabela1[FECHA],A111)</f>
        <v>210</v>
      </c>
      <c r="D111" s="64" t="n">
        <f aca="false">B111-C111</f>
        <v>3483</v>
      </c>
    </row>
    <row r="112" customFormat="false" ht="16.4" hidden="false" customHeight="false" outlineLevel="0" collapsed="false">
      <c r="A112" s="209" t="n">
        <v>46130</v>
      </c>
      <c r="B112" s="210" t="n">
        <f aca="false">SUMIFS(CRM[VALOR],CRM[FECHA],A112)</f>
        <v>2171</v>
      </c>
      <c r="C112" s="211" t="n">
        <f aca="false">SUMIFS(Tabela1[VALOR],Tabela1[FECHA],A112)</f>
        <v>1759.1</v>
      </c>
      <c r="D112" s="64" t="n">
        <f aca="false">B112-C112</f>
        <v>411.9</v>
      </c>
    </row>
    <row r="113" customFormat="false" ht="16.4" hidden="false" customHeight="false" outlineLevel="0" collapsed="false">
      <c r="A113" s="209" t="n">
        <v>46131</v>
      </c>
      <c r="B113" s="210" t="n">
        <f aca="false">SUMIFS(CRM[VALOR],CRM[FECHA],A113)</f>
        <v>1571</v>
      </c>
      <c r="C113" s="211" t="n">
        <f aca="false">SUMIFS(Tabela1[VALOR],Tabela1[FECHA],A113)</f>
        <v>199</v>
      </c>
      <c r="D113" s="64" t="n">
        <f aca="false">B113-C113</f>
        <v>1372</v>
      </c>
    </row>
    <row r="114" customFormat="false" ht="16.4" hidden="false" customHeight="false" outlineLevel="0" collapsed="false">
      <c r="A114" s="209" t="n">
        <v>46132</v>
      </c>
      <c r="B114" s="210" t="n">
        <f aca="false">SUMIFS(CRM[VALOR],CRM[FECHA],A114)</f>
        <v>5250</v>
      </c>
      <c r="C114" s="211" t="n">
        <f aca="false">SUMIFS(Tabela1[VALOR],Tabela1[FECHA],A114)</f>
        <v>1795</v>
      </c>
      <c r="D114" s="64" t="n">
        <f aca="false">B114-C114</f>
        <v>3455</v>
      </c>
    </row>
    <row r="115" customFormat="false" ht="16.4" hidden="false" customHeight="false" outlineLevel="0" collapsed="false">
      <c r="A115" s="209" t="n">
        <v>46133</v>
      </c>
      <c r="B115" s="210" t="n">
        <f aca="false">SUMIFS(CRM[VALOR],CRM[FECHA],A115)</f>
        <v>3104</v>
      </c>
      <c r="C115" s="211" t="n">
        <f aca="false">SUMIFS(Tabela1[VALOR],Tabela1[FECHA],A115)</f>
        <v>1600.75</v>
      </c>
      <c r="D115" s="64" t="n">
        <f aca="false">B115-C115</f>
        <v>1503.25</v>
      </c>
    </row>
    <row r="116" customFormat="false" ht="16.4" hidden="false" customHeight="false" outlineLevel="0" collapsed="false">
      <c r="A116" s="209" t="n">
        <v>46134</v>
      </c>
      <c r="B116" s="210" t="n">
        <f aca="false">SUMIFS(CRM[VALOR],CRM[FECHA],A116)</f>
        <v>2982</v>
      </c>
      <c r="C116" s="211" t="n">
        <f aca="false">SUMIFS(Tabela1[VALOR],Tabela1[FECHA],A116)</f>
        <v>544.9</v>
      </c>
      <c r="D116" s="64" t="n">
        <f aca="false">B116-C116</f>
        <v>2437.1</v>
      </c>
    </row>
    <row r="117" customFormat="false" ht="16.4" hidden="false" customHeight="false" outlineLevel="0" collapsed="false">
      <c r="A117" s="209" t="n">
        <v>46135</v>
      </c>
      <c r="B117" s="210" t="n">
        <f aca="false">SUMIFS(CRM[VALOR],CRM[FECHA],A117)</f>
        <v>2893</v>
      </c>
      <c r="C117" s="211" t="n">
        <f aca="false">SUMIFS(Tabela1[VALOR],Tabela1[FECHA],A117)</f>
        <v>2051.29</v>
      </c>
      <c r="D117" s="64" t="n">
        <f aca="false">B117-C117</f>
        <v>841.71</v>
      </c>
    </row>
    <row r="118" customFormat="false" ht="16.4" hidden="false" customHeight="false" outlineLevel="0" collapsed="false">
      <c r="A118" s="209" t="n">
        <v>46136</v>
      </c>
      <c r="B118" s="210" t="n">
        <f aca="false">SUMIFS(CRM[VALOR],CRM[FECHA],A118)</f>
        <v>5827</v>
      </c>
      <c r="C118" s="211" t="n">
        <f aca="false">SUMIFS(Tabela1[VALOR],Tabela1[FECHA],A118)</f>
        <v>1575</v>
      </c>
      <c r="D118" s="64" t="n">
        <f aca="false">B118-C118</f>
        <v>4252</v>
      </c>
    </row>
    <row r="119" customFormat="false" ht="16.4" hidden="false" customHeight="false" outlineLevel="0" collapsed="false">
      <c r="A119" s="209" t="n">
        <v>46137</v>
      </c>
      <c r="B119" s="210" t="n">
        <f aca="false">SUMIFS(CRM[VALOR],CRM[FECHA],A119)</f>
        <v>1541</v>
      </c>
      <c r="C119" s="211" t="n">
        <f aca="false">SUMIFS(Tabela1[VALOR],Tabela1[FECHA],A119)</f>
        <v>1660.32</v>
      </c>
      <c r="D119" s="64" t="n">
        <f aca="false">B119-C119</f>
        <v>-119.32</v>
      </c>
    </row>
    <row r="120" customFormat="false" ht="16.4" hidden="false" customHeight="false" outlineLevel="0" collapsed="false">
      <c r="A120" s="209" t="n">
        <v>46138</v>
      </c>
      <c r="B120" s="210" t="n">
        <f aca="false">SUMIFS(CRM[VALOR],CRM[FECHA],A120)</f>
        <v>2804</v>
      </c>
      <c r="C120" s="211" t="n">
        <f aca="false">SUMIFS(Tabela1[VALOR],Tabela1[FECHA],A120)</f>
        <v>109.9</v>
      </c>
      <c r="D120" s="64" t="n">
        <f aca="false">B120-C120</f>
        <v>2694.1</v>
      </c>
    </row>
    <row r="121" customFormat="false" ht="16.4" hidden="false" customHeight="false" outlineLevel="0" collapsed="false">
      <c r="A121" s="209" t="n">
        <v>46139</v>
      </c>
      <c r="B121" s="210" t="n">
        <f aca="false">SUMIFS(CRM[VALOR],CRM[FECHA],A121)</f>
        <v>3107</v>
      </c>
      <c r="C121" s="211" t="n">
        <f aca="false">SUMIFS(Tabela1[VALOR],Tabela1[FECHA],A121)</f>
        <v>240</v>
      </c>
      <c r="D121" s="64" t="n">
        <f aca="false">B121-C121</f>
        <v>2867</v>
      </c>
    </row>
    <row r="122" customFormat="false" ht="16.4" hidden="false" customHeight="false" outlineLevel="0" collapsed="false">
      <c r="A122" s="209" t="n">
        <v>46140</v>
      </c>
      <c r="B122" s="210" t="n">
        <f aca="false">SUMIFS(CRM[VALOR],CRM[FECHA],A122)</f>
        <v>1716</v>
      </c>
      <c r="C122" s="211" t="n">
        <f aca="false">SUMIFS(Tabela1[VALOR],Tabela1[FECHA],A122)</f>
        <v>1100.71</v>
      </c>
      <c r="D122" s="64" t="n">
        <f aca="false">B122-C122</f>
        <v>615.29</v>
      </c>
    </row>
    <row r="123" customFormat="false" ht="16.4" hidden="false" customHeight="false" outlineLevel="0" collapsed="false">
      <c r="A123" s="209" t="n">
        <v>46141</v>
      </c>
      <c r="B123" s="210" t="n">
        <f aca="false">SUMIFS(CRM[VALOR],CRM[FECHA],A123)</f>
        <v>4065</v>
      </c>
      <c r="C123" s="211" t="n">
        <f aca="false">SUMIFS(Tabela1[VALOR],Tabela1[FECHA],A123)</f>
        <v>875</v>
      </c>
      <c r="D123" s="64" t="n">
        <f aca="false">B123-C123</f>
        <v>3190</v>
      </c>
    </row>
    <row r="124" customFormat="false" ht="16.4" hidden="false" customHeight="false" outlineLevel="0" collapsed="false">
      <c r="A124" s="209" t="n">
        <v>46142</v>
      </c>
      <c r="B124" s="210" t="n">
        <f aca="false">SUMIFS(CRM[VALOR],CRM[FECHA],A124)</f>
        <v>3939</v>
      </c>
      <c r="C124" s="211" t="n">
        <f aca="false">SUMIFS(Tabela1[VALOR],Tabela1[FECHA],A124)</f>
        <v>13841.68</v>
      </c>
      <c r="D124" s="64" t="n">
        <f aca="false">B124-C124</f>
        <v>-9902.68</v>
      </c>
    </row>
    <row r="125" customFormat="false" ht="16.4" hidden="false" customHeight="false" outlineLevel="0" collapsed="false">
      <c r="A125" s="209" t="n">
        <v>46143</v>
      </c>
      <c r="B125" s="210" t="n">
        <f aca="false">SUMIFS(CRM[VALOR],CRM[FECHA],A125)</f>
        <v>1535</v>
      </c>
      <c r="C125" s="211" t="n">
        <f aca="false">SUMIFS(Tabela1[VALOR],Tabela1[FECHA],A125)</f>
        <v>0</v>
      </c>
      <c r="D125" s="64" t="n">
        <f aca="false">B125-C125</f>
        <v>1535</v>
      </c>
    </row>
    <row r="126" customFormat="false" ht="16.4" hidden="false" customHeight="false" outlineLevel="0" collapsed="false">
      <c r="A126" s="209" t="n">
        <v>46144</v>
      </c>
      <c r="B126" s="210" t="n">
        <f aca="false">SUMIFS(CRM[VALOR],CRM[FECHA],A126)</f>
        <v>0</v>
      </c>
      <c r="C126" s="211" t="n">
        <f aca="false">SUMIFS(Tabela1[VALOR],Tabela1[FECHA],A126)</f>
        <v>0</v>
      </c>
      <c r="D126" s="64" t="n">
        <f aca="false">B126-C126</f>
        <v>0</v>
      </c>
    </row>
    <row r="127" customFormat="false" ht="16.4" hidden="false" customHeight="false" outlineLevel="0" collapsed="false">
      <c r="A127" s="209" t="n">
        <v>46145</v>
      </c>
      <c r="B127" s="210" t="n">
        <f aca="false">SUMIFS(CRM[VALOR],CRM[FECHA],A127)</f>
        <v>0</v>
      </c>
      <c r="C127" s="211" t="n">
        <f aca="false">SUMIFS(Tabela1[VALOR],Tabela1[FECHA],A127)</f>
        <v>0</v>
      </c>
      <c r="D127" s="64" t="n">
        <f aca="false">B127-C127</f>
        <v>0</v>
      </c>
    </row>
    <row r="128" customFormat="false" ht="16.4" hidden="false" customHeight="false" outlineLevel="0" collapsed="false">
      <c r="A128" s="209" t="n">
        <v>46146</v>
      </c>
      <c r="B128" s="210" t="n">
        <f aca="false">SUMIFS(CRM[VALOR],CRM[FECHA],A128)</f>
        <v>0</v>
      </c>
      <c r="C128" s="211" t="n">
        <f aca="false">SUMIFS(Tabela1[VALOR],Tabela1[FECHA],A128)</f>
        <v>0</v>
      </c>
      <c r="D128" s="64" t="n">
        <f aca="false">B128-C128</f>
        <v>0</v>
      </c>
    </row>
    <row r="129" customFormat="false" ht="16.4" hidden="false" customHeight="false" outlineLevel="0" collapsed="false">
      <c r="A129" s="209" t="n">
        <v>46147</v>
      </c>
      <c r="B129" s="210" t="n">
        <f aca="false">SUMIFS(CRM[VALOR],CRM[FECHA],A129)</f>
        <v>0</v>
      </c>
      <c r="C129" s="211" t="n">
        <f aca="false">SUMIFS(Tabela1[VALOR],Tabela1[FECHA],A129)</f>
        <v>0</v>
      </c>
      <c r="D129" s="64" t="n">
        <f aca="false">B129-C129</f>
        <v>0</v>
      </c>
    </row>
    <row r="130" customFormat="false" ht="16.4" hidden="false" customHeight="false" outlineLevel="0" collapsed="false">
      <c r="A130" s="209" t="n">
        <v>46148</v>
      </c>
      <c r="B130" s="210" t="n">
        <f aca="false">SUMIFS(CRM[VALOR],CRM[FECHA],A130)</f>
        <v>0</v>
      </c>
      <c r="C130" s="211" t="n">
        <f aca="false">SUMIFS(Tabela1[VALOR],Tabela1[FECHA],A130)</f>
        <v>0</v>
      </c>
      <c r="D130" s="64" t="n">
        <f aca="false">B130-C130</f>
        <v>0</v>
      </c>
    </row>
    <row r="131" customFormat="false" ht="16.4" hidden="false" customHeight="false" outlineLevel="0" collapsed="false">
      <c r="A131" s="209" t="n">
        <v>46149</v>
      </c>
      <c r="B131" s="210" t="n">
        <f aca="false">SUMIFS(CRM[VALOR],CRM[FECHA],A131)</f>
        <v>0</v>
      </c>
      <c r="C131" s="211" t="n">
        <f aca="false">SUMIFS(Tabela1[VALOR],Tabela1[FECHA],A131)</f>
        <v>0</v>
      </c>
      <c r="D131" s="64" t="n">
        <f aca="false">B131-C131</f>
        <v>0</v>
      </c>
    </row>
    <row r="132" customFormat="false" ht="16.4" hidden="false" customHeight="false" outlineLevel="0" collapsed="false">
      <c r="A132" s="209" t="n">
        <v>46150</v>
      </c>
      <c r="B132" s="210" t="n">
        <f aca="false">SUMIFS(CRM[VALOR],CRM[FECHA],A132)</f>
        <v>0</v>
      </c>
      <c r="C132" s="211" t="n">
        <f aca="false">SUMIFS(Tabela1[VALOR],Tabela1[FECHA],A132)</f>
        <v>0</v>
      </c>
      <c r="D132" s="64" t="n">
        <f aca="false">B132-C132</f>
        <v>0</v>
      </c>
    </row>
    <row r="133" customFormat="false" ht="16.4" hidden="false" customHeight="false" outlineLevel="0" collapsed="false">
      <c r="A133" s="209" t="n">
        <v>46151</v>
      </c>
      <c r="B133" s="210" t="n">
        <f aca="false">SUMIFS(CRM[VALOR],CRM[FECHA],A133)</f>
        <v>0</v>
      </c>
      <c r="C133" s="211" t="n">
        <f aca="false">SUMIFS(Tabela1[VALOR],Tabela1[FECHA],A133)</f>
        <v>0</v>
      </c>
      <c r="D133" s="64" t="n">
        <f aca="false">B133-C133</f>
        <v>0</v>
      </c>
    </row>
    <row r="134" customFormat="false" ht="16.4" hidden="false" customHeight="false" outlineLevel="0" collapsed="false">
      <c r="A134" s="209" t="n">
        <v>46152</v>
      </c>
      <c r="B134" s="210" t="n">
        <f aca="false">SUMIFS(CRM[VALOR],CRM[FECHA],A134)</f>
        <v>0</v>
      </c>
      <c r="C134" s="211" t="n">
        <f aca="false">SUMIFS(Tabela1[VALOR],Tabela1[FECHA],A134)</f>
        <v>0</v>
      </c>
      <c r="D134" s="64" t="n">
        <f aca="false">B134-C134</f>
        <v>0</v>
      </c>
    </row>
    <row r="135" customFormat="false" ht="16.4" hidden="false" customHeight="false" outlineLevel="0" collapsed="false">
      <c r="A135" s="209" t="n">
        <v>46153</v>
      </c>
      <c r="B135" s="210" t="n">
        <f aca="false">SUMIFS(CRM[VALOR],CRM[FECHA],A135)</f>
        <v>0</v>
      </c>
      <c r="C135" s="211" t="n">
        <f aca="false">SUMIFS(Tabela1[VALOR],Tabela1[FECHA],A135)</f>
        <v>0</v>
      </c>
      <c r="D135" s="64" t="n">
        <f aca="false">B135-C135</f>
        <v>0</v>
      </c>
    </row>
    <row r="136" customFormat="false" ht="16.4" hidden="false" customHeight="false" outlineLevel="0" collapsed="false">
      <c r="A136" s="209" t="n">
        <v>46154</v>
      </c>
      <c r="B136" s="210" t="n">
        <f aca="false">SUMIFS(CRM[VALOR],CRM[FECHA],A136)</f>
        <v>0</v>
      </c>
      <c r="C136" s="211" t="n">
        <f aca="false">SUMIFS(Tabela1[VALOR],Tabela1[FECHA],A136)</f>
        <v>0</v>
      </c>
      <c r="D136" s="64" t="n">
        <f aca="false">B136-C136</f>
        <v>0</v>
      </c>
    </row>
    <row r="137" customFormat="false" ht="16.4" hidden="false" customHeight="false" outlineLevel="0" collapsed="false">
      <c r="A137" s="209" t="n">
        <v>46155</v>
      </c>
      <c r="B137" s="210" t="n">
        <f aca="false">SUMIFS(CRM[VALOR],CRM[FECHA],A137)</f>
        <v>0</v>
      </c>
      <c r="C137" s="211" t="n">
        <f aca="false">SUMIFS(Tabela1[VALOR],Tabela1[FECHA],A137)</f>
        <v>0</v>
      </c>
      <c r="D137" s="64" t="n">
        <f aca="false">B137-C137</f>
        <v>0</v>
      </c>
    </row>
    <row r="138" customFormat="false" ht="16.4" hidden="false" customHeight="false" outlineLevel="0" collapsed="false">
      <c r="A138" s="209" t="n">
        <v>46156</v>
      </c>
      <c r="B138" s="210" t="n">
        <f aca="false">SUMIFS(CRM[VALOR],CRM[FECHA],A138)</f>
        <v>0</v>
      </c>
      <c r="C138" s="211" t="n">
        <f aca="false">SUMIFS(Tabela1[VALOR],Tabela1[FECHA],A138)</f>
        <v>0</v>
      </c>
      <c r="D138" s="64" t="n">
        <f aca="false">B138-C138</f>
        <v>0</v>
      </c>
    </row>
    <row r="139" customFormat="false" ht="16.4" hidden="false" customHeight="false" outlineLevel="0" collapsed="false">
      <c r="A139" s="209" t="n">
        <v>46157</v>
      </c>
      <c r="B139" s="210" t="n">
        <f aca="false">SUMIFS(CRM[VALOR],CRM[FECHA],A139)</f>
        <v>0</v>
      </c>
      <c r="C139" s="211" t="n">
        <f aca="false">SUMIFS(Tabela1[VALOR],Tabela1[FECHA],A139)</f>
        <v>0</v>
      </c>
      <c r="D139" s="64" t="n">
        <f aca="false">B139-C139</f>
        <v>0</v>
      </c>
    </row>
    <row r="140" customFormat="false" ht="16.4" hidden="false" customHeight="false" outlineLevel="0" collapsed="false">
      <c r="A140" s="209" t="n">
        <v>46158</v>
      </c>
      <c r="B140" s="210" t="n">
        <f aca="false">SUMIFS(CRM[VALOR],CRM[FECHA],A140)</f>
        <v>0</v>
      </c>
      <c r="C140" s="211" t="n">
        <f aca="false">SUMIFS(Tabela1[VALOR],Tabela1[FECHA],A140)</f>
        <v>0</v>
      </c>
      <c r="D140" s="64" t="n">
        <f aca="false">B140-C140</f>
        <v>0</v>
      </c>
    </row>
    <row r="141" customFormat="false" ht="16.4" hidden="false" customHeight="false" outlineLevel="0" collapsed="false">
      <c r="A141" s="209" t="n">
        <v>46159</v>
      </c>
      <c r="B141" s="210" t="n">
        <f aca="false">SUMIFS(CRM[VALOR],CRM[FECHA],A141)</f>
        <v>0</v>
      </c>
      <c r="C141" s="211" t="n">
        <f aca="false">SUMIFS(Tabela1[VALOR],Tabela1[FECHA],A141)</f>
        <v>0</v>
      </c>
      <c r="D141" s="64" t="n">
        <f aca="false">B141-C141</f>
        <v>0</v>
      </c>
    </row>
    <row r="142" customFormat="false" ht="16.4" hidden="false" customHeight="false" outlineLevel="0" collapsed="false">
      <c r="A142" s="209" t="n">
        <v>46160</v>
      </c>
      <c r="B142" s="210" t="n">
        <f aca="false">SUMIFS(CRM[VALOR],CRM[FECHA],A142)</f>
        <v>0</v>
      </c>
      <c r="C142" s="211" t="n">
        <f aca="false">SUMIFS(Tabela1[VALOR],Tabela1[FECHA],A142)</f>
        <v>0</v>
      </c>
      <c r="D142" s="64" t="n">
        <f aca="false">B142-C142</f>
        <v>0</v>
      </c>
    </row>
    <row r="143" customFormat="false" ht="16.4" hidden="false" customHeight="false" outlineLevel="0" collapsed="false">
      <c r="A143" s="209" t="n">
        <v>46161</v>
      </c>
      <c r="B143" s="210" t="n">
        <f aca="false">SUMIFS(CRM[VALOR],CRM[FECHA],A143)</f>
        <v>0</v>
      </c>
      <c r="C143" s="211" t="n">
        <f aca="false">SUMIFS(Tabela1[VALOR],Tabela1[FECHA],A143)</f>
        <v>0</v>
      </c>
      <c r="D143" s="64" t="n">
        <f aca="false">B143-C143</f>
        <v>0</v>
      </c>
    </row>
    <row r="144" customFormat="false" ht="16.4" hidden="false" customHeight="false" outlineLevel="0" collapsed="false">
      <c r="A144" s="209" t="n">
        <v>46162</v>
      </c>
      <c r="B144" s="210" t="n">
        <f aca="false">SUMIFS(CRM[VALOR],CRM[FECHA],A144)</f>
        <v>0</v>
      </c>
      <c r="C144" s="211" t="n">
        <f aca="false">SUMIFS(Tabela1[VALOR],Tabela1[FECHA],A144)</f>
        <v>0</v>
      </c>
      <c r="D144" s="64" t="n">
        <f aca="false">B144-C144</f>
        <v>0</v>
      </c>
    </row>
    <row r="145" customFormat="false" ht="16.4" hidden="false" customHeight="false" outlineLevel="0" collapsed="false">
      <c r="A145" s="209" t="n">
        <v>46163</v>
      </c>
      <c r="B145" s="210" t="n">
        <f aca="false">SUMIFS(CRM[VALOR],CRM[FECHA],A145)</f>
        <v>0</v>
      </c>
      <c r="C145" s="211" t="n">
        <f aca="false">SUMIFS(Tabela1[VALOR],Tabela1[FECHA],A145)</f>
        <v>0</v>
      </c>
      <c r="D145" s="64" t="n">
        <f aca="false">B145-C145</f>
        <v>0</v>
      </c>
    </row>
    <row r="146" customFormat="false" ht="16.4" hidden="false" customHeight="false" outlineLevel="0" collapsed="false">
      <c r="A146" s="209" t="n">
        <v>46164</v>
      </c>
      <c r="B146" s="210" t="n">
        <f aca="false">SUMIFS(CRM[VALOR],CRM[FECHA],A146)</f>
        <v>0</v>
      </c>
      <c r="C146" s="211" t="n">
        <f aca="false">SUMIFS(Tabela1[VALOR],Tabela1[FECHA],A146)</f>
        <v>0</v>
      </c>
      <c r="D146" s="64" t="n">
        <f aca="false">B146-C146</f>
        <v>0</v>
      </c>
    </row>
    <row r="147" customFormat="false" ht="16.4" hidden="false" customHeight="false" outlineLevel="0" collapsed="false">
      <c r="A147" s="209" t="n">
        <v>46165</v>
      </c>
      <c r="B147" s="210" t="n">
        <f aca="false">SUMIFS(CRM[VALOR],CRM[FECHA],A147)</f>
        <v>0</v>
      </c>
      <c r="C147" s="211" t="n">
        <f aca="false">SUMIFS(Tabela1[VALOR],Tabela1[FECHA],A147)</f>
        <v>0</v>
      </c>
      <c r="D147" s="64" t="n">
        <f aca="false">B147-C147</f>
        <v>0</v>
      </c>
    </row>
    <row r="148" customFormat="false" ht="16.4" hidden="false" customHeight="false" outlineLevel="0" collapsed="false">
      <c r="A148" s="209" t="n">
        <v>46166</v>
      </c>
      <c r="B148" s="210" t="n">
        <f aca="false">SUMIFS(CRM[VALOR],CRM[FECHA],A148)</f>
        <v>0</v>
      </c>
      <c r="C148" s="211" t="n">
        <f aca="false">SUMIFS(Tabela1[VALOR],Tabela1[FECHA],A148)</f>
        <v>0</v>
      </c>
      <c r="D148" s="64" t="n">
        <f aca="false">B148-C148</f>
        <v>0</v>
      </c>
    </row>
    <row r="149" customFormat="false" ht="16.4" hidden="false" customHeight="false" outlineLevel="0" collapsed="false">
      <c r="A149" s="209" t="n">
        <v>46167</v>
      </c>
      <c r="B149" s="210" t="n">
        <f aca="false">SUMIFS(CRM[VALOR],CRM[FECHA],A149)</f>
        <v>0</v>
      </c>
      <c r="C149" s="211" t="n">
        <f aca="false">SUMIFS(Tabela1[VALOR],Tabela1[FECHA],A149)</f>
        <v>0</v>
      </c>
      <c r="D149" s="64" t="n">
        <f aca="false">B149-C149</f>
        <v>0</v>
      </c>
    </row>
    <row r="150" customFormat="false" ht="16.4" hidden="false" customHeight="false" outlineLevel="0" collapsed="false">
      <c r="A150" s="209" t="n">
        <v>46168</v>
      </c>
      <c r="B150" s="210" t="n">
        <f aca="false">SUMIFS(CRM[VALOR],CRM[FECHA],A150)</f>
        <v>0</v>
      </c>
      <c r="C150" s="211" t="n">
        <f aca="false">SUMIFS(Tabela1[VALOR],Tabela1[FECHA],A150)</f>
        <v>0</v>
      </c>
      <c r="D150" s="64" t="n">
        <f aca="false">B150-C150</f>
        <v>0</v>
      </c>
    </row>
    <row r="151" customFormat="false" ht="16.4" hidden="false" customHeight="false" outlineLevel="0" collapsed="false">
      <c r="A151" s="209" t="n">
        <v>46169</v>
      </c>
      <c r="B151" s="210" t="n">
        <f aca="false">SUMIFS(CRM[VALOR],CRM[FECHA],A151)</f>
        <v>0</v>
      </c>
      <c r="C151" s="211" t="n">
        <f aca="false">SUMIFS(Tabela1[VALOR],Tabela1[FECHA],A151)</f>
        <v>0</v>
      </c>
      <c r="D151" s="64" t="n">
        <f aca="false">B151-C151</f>
        <v>0</v>
      </c>
    </row>
    <row r="152" customFormat="false" ht="16.4" hidden="false" customHeight="false" outlineLevel="0" collapsed="false">
      <c r="A152" s="209" t="n">
        <v>46170</v>
      </c>
      <c r="B152" s="210" t="n">
        <f aca="false">SUMIFS(CRM[VALOR],CRM[FECHA],A152)</f>
        <v>0</v>
      </c>
      <c r="C152" s="211" t="n">
        <f aca="false">SUMIFS(Tabela1[VALOR],Tabela1[FECHA],A152)</f>
        <v>0</v>
      </c>
      <c r="D152" s="64" t="n">
        <f aca="false">B152-C152</f>
        <v>0</v>
      </c>
    </row>
    <row r="153" customFormat="false" ht="16.4" hidden="false" customHeight="false" outlineLevel="0" collapsed="false">
      <c r="A153" s="209" t="n">
        <v>46171</v>
      </c>
      <c r="B153" s="210" t="n">
        <f aca="false">SUMIFS(CRM[VALOR],CRM[FECHA],A153)</f>
        <v>0</v>
      </c>
      <c r="C153" s="211" t="n">
        <f aca="false">SUMIFS(Tabela1[VALOR],Tabela1[FECHA],A153)</f>
        <v>0</v>
      </c>
      <c r="D153" s="64" t="n">
        <f aca="false">B153-C153</f>
        <v>0</v>
      </c>
    </row>
    <row r="154" customFormat="false" ht="16.4" hidden="false" customHeight="false" outlineLevel="0" collapsed="false">
      <c r="A154" s="209" t="n">
        <v>46172</v>
      </c>
      <c r="B154" s="210" t="n">
        <f aca="false">SUMIFS(CRM[VALOR],CRM[FECHA],A154)</f>
        <v>0</v>
      </c>
      <c r="C154" s="211" t="n">
        <f aca="false">SUMIFS(Tabela1[VALOR],Tabela1[FECHA],A154)</f>
        <v>0</v>
      </c>
      <c r="D154" s="64" t="n">
        <f aca="false">B154-C154</f>
        <v>0</v>
      </c>
    </row>
    <row r="155" customFormat="false" ht="16.4" hidden="false" customHeight="false" outlineLevel="0" collapsed="false">
      <c r="A155" s="209" t="n">
        <v>46173</v>
      </c>
      <c r="B155" s="210" t="n">
        <f aca="false">SUMIFS(CRM[VALOR],CRM[FECHA],A155)</f>
        <v>0</v>
      </c>
      <c r="C155" s="211" t="n">
        <f aca="false">SUMIFS(Tabela1[VALOR],Tabela1[FECHA],A155)</f>
        <v>0</v>
      </c>
      <c r="D155" s="64" t="n">
        <f aca="false">B155-C155</f>
        <v>0</v>
      </c>
    </row>
    <row r="156" customFormat="false" ht="16.4" hidden="false" customHeight="false" outlineLevel="0" collapsed="false">
      <c r="A156" s="209" t="n">
        <v>46174</v>
      </c>
      <c r="B156" s="210" t="n">
        <f aca="false">SUMIFS(CRM[VALOR],CRM[FECHA],A156)</f>
        <v>0</v>
      </c>
      <c r="C156" s="211" t="n">
        <f aca="false">SUMIFS(Tabela1[VALOR],Tabela1[FECHA],A156)</f>
        <v>0</v>
      </c>
      <c r="D156" s="64" t="n">
        <f aca="false">B156-C156</f>
        <v>0</v>
      </c>
    </row>
    <row r="157" customFormat="false" ht="16.4" hidden="false" customHeight="false" outlineLevel="0" collapsed="false">
      <c r="A157" s="209" t="n">
        <v>46175</v>
      </c>
      <c r="B157" s="210" t="n">
        <f aca="false">SUMIFS(CRM[VALOR],CRM[FECHA],A157)</f>
        <v>0</v>
      </c>
      <c r="C157" s="211" t="n">
        <f aca="false">SUMIFS(Tabela1[VALOR],Tabela1[FECHA],A157)</f>
        <v>0</v>
      </c>
      <c r="D157" s="64" t="n">
        <f aca="false">B157-C157</f>
        <v>0</v>
      </c>
    </row>
    <row r="158" customFormat="false" ht="16.4" hidden="false" customHeight="false" outlineLevel="0" collapsed="false">
      <c r="A158" s="209" t="n">
        <v>46176</v>
      </c>
      <c r="B158" s="210" t="n">
        <f aca="false">SUMIFS(CRM[VALOR],CRM[FECHA],A158)</f>
        <v>0</v>
      </c>
      <c r="C158" s="211" t="n">
        <f aca="false">SUMIFS(Tabela1[VALOR],Tabela1[FECHA],A158)</f>
        <v>0</v>
      </c>
      <c r="D158" s="64" t="n">
        <f aca="false">B158-C158</f>
        <v>0</v>
      </c>
    </row>
    <row r="159" customFormat="false" ht="16.4" hidden="false" customHeight="false" outlineLevel="0" collapsed="false">
      <c r="A159" s="209" t="n">
        <v>46177</v>
      </c>
      <c r="B159" s="210" t="n">
        <f aca="false">SUMIFS(CRM[VALOR],CRM[FECHA],A159)</f>
        <v>0</v>
      </c>
      <c r="C159" s="211" t="n">
        <f aca="false">SUMIFS(Tabela1[VALOR],Tabela1[FECHA],A159)</f>
        <v>0</v>
      </c>
      <c r="D159" s="64" t="n">
        <f aca="false">B159-C159</f>
        <v>0</v>
      </c>
    </row>
    <row r="160" customFormat="false" ht="16.4" hidden="false" customHeight="false" outlineLevel="0" collapsed="false">
      <c r="A160" s="209" t="n">
        <v>46178</v>
      </c>
      <c r="B160" s="210" t="n">
        <f aca="false">SUMIFS(CRM[VALOR],CRM[FECHA],A160)</f>
        <v>0</v>
      </c>
      <c r="C160" s="211" t="n">
        <f aca="false">SUMIFS(Tabela1[VALOR],Tabela1[FECHA],A160)</f>
        <v>0</v>
      </c>
      <c r="D160" s="64" t="n">
        <f aca="false">B160-C160</f>
        <v>0</v>
      </c>
    </row>
    <row r="161" customFormat="false" ht="16.4" hidden="false" customHeight="false" outlineLevel="0" collapsed="false">
      <c r="A161" s="209" t="n">
        <v>46179</v>
      </c>
      <c r="B161" s="210" t="n">
        <f aca="false">SUMIFS(CRM[VALOR],CRM[FECHA],A161)</f>
        <v>0</v>
      </c>
      <c r="C161" s="211" t="n">
        <f aca="false">SUMIFS(Tabela1[VALOR],Tabela1[FECHA],A161)</f>
        <v>0</v>
      </c>
      <c r="D161" s="64" t="n">
        <f aca="false">B161-C161</f>
        <v>0</v>
      </c>
    </row>
    <row r="162" customFormat="false" ht="16.4" hidden="false" customHeight="false" outlineLevel="0" collapsed="false">
      <c r="A162" s="209" t="n">
        <v>46180</v>
      </c>
      <c r="B162" s="210" t="n">
        <f aca="false">SUMIFS(CRM[VALOR],CRM[FECHA],A162)</f>
        <v>0</v>
      </c>
      <c r="C162" s="211" t="n">
        <f aca="false">SUMIFS(Tabela1[VALOR],Tabela1[FECHA],A162)</f>
        <v>0</v>
      </c>
      <c r="D162" s="64" t="n">
        <f aca="false">B162-C162</f>
        <v>0</v>
      </c>
    </row>
    <row r="163" customFormat="false" ht="16.4" hidden="false" customHeight="false" outlineLevel="0" collapsed="false">
      <c r="A163" s="209" t="n">
        <v>46181</v>
      </c>
      <c r="B163" s="210" t="n">
        <f aca="false">SUMIFS(CRM[VALOR],CRM[FECHA],A163)</f>
        <v>0</v>
      </c>
      <c r="C163" s="211" t="n">
        <f aca="false">SUMIFS(Tabela1[VALOR],Tabela1[FECHA],A163)</f>
        <v>0</v>
      </c>
      <c r="D163" s="64" t="n">
        <f aca="false">B163-C163</f>
        <v>0</v>
      </c>
    </row>
    <row r="164" customFormat="false" ht="16.4" hidden="false" customHeight="false" outlineLevel="0" collapsed="false">
      <c r="A164" s="209" t="n">
        <v>46182</v>
      </c>
      <c r="B164" s="210" t="n">
        <f aca="false">SUMIFS(CRM[VALOR],CRM[FECHA],A164)</f>
        <v>0</v>
      </c>
      <c r="C164" s="211" t="n">
        <f aca="false">SUMIFS(Tabela1[VALOR],Tabela1[FECHA],A164)</f>
        <v>0</v>
      </c>
      <c r="D164" s="64" t="n">
        <f aca="false">B164-C164</f>
        <v>0</v>
      </c>
    </row>
    <row r="165" customFormat="false" ht="16.4" hidden="false" customHeight="false" outlineLevel="0" collapsed="false">
      <c r="A165" s="209" t="n">
        <v>46183</v>
      </c>
      <c r="B165" s="210" t="n">
        <f aca="false">SUMIFS(CRM[VALOR],CRM[FECHA],A165)</f>
        <v>0</v>
      </c>
      <c r="C165" s="211" t="n">
        <f aca="false">SUMIFS(Tabela1[VALOR],Tabela1[FECHA],A165)</f>
        <v>0</v>
      </c>
      <c r="D165" s="64" t="n">
        <f aca="false">B165-C165</f>
        <v>0</v>
      </c>
    </row>
    <row r="166" customFormat="false" ht="16.4" hidden="false" customHeight="false" outlineLevel="0" collapsed="false">
      <c r="A166" s="209" t="n">
        <v>46184</v>
      </c>
      <c r="B166" s="210" t="n">
        <f aca="false">SUMIFS(CRM[VALOR],CRM[FECHA],A166)</f>
        <v>0</v>
      </c>
      <c r="C166" s="211" t="n">
        <f aca="false">SUMIFS(Tabela1[VALOR],Tabela1[FECHA],A166)</f>
        <v>0</v>
      </c>
      <c r="D166" s="64" t="n">
        <f aca="false">B166-C166</f>
        <v>0</v>
      </c>
    </row>
    <row r="167" customFormat="false" ht="16.4" hidden="false" customHeight="false" outlineLevel="0" collapsed="false">
      <c r="A167" s="209" t="n">
        <v>46185</v>
      </c>
      <c r="B167" s="210" t="n">
        <f aca="false">SUMIFS(CRM[VALOR],CRM[FECHA],A167)</f>
        <v>0</v>
      </c>
      <c r="C167" s="211" t="n">
        <f aca="false">SUMIFS(Tabela1[VALOR],Tabela1[FECHA],A167)</f>
        <v>0</v>
      </c>
      <c r="D167" s="64" t="n">
        <f aca="false">B167-C167</f>
        <v>0</v>
      </c>
    </row>
    <row r="168" customFormat="false" ht="16.4" hidden="false" customHeight="false" outlineLevel="0" collapsed="false">
      <c r="A168" s="209" t="n">
        <v>46186</v>
      </c>
      <c r="B168" s="210" t="n">
        <f aca="false">SUMIFS(CRM[VALOR],CRM[FECHA],A168)</f>
        <v>0</v>
      </c>
      <c r="C168" s="211" t="n">
        <f aca="false">SUMIFS(Tabela1[VALOR],Tabela1[FECHA],A168)</f>
        <v>0</v>
      </c>
      <c r="D168" s="64" t="n">
        <f aca="false">B168-C168</f>
        <v>0</v>
      </c>
    </row>
    <row r="169" customFormat="false" ht="16.4" hidden="false" customHeight="false" outlineLevel="0" collapsed="false">
      <c r="A169" s="209" t="n">
        <v>46187</v>
      </c>
      <c r="B169" s="210" t="n">
        <f aca="false">SUMIFS(CRM[VALOR],CRM[FECHA],A169)</f>
        <v>0</v>
      </c>
      <c r="C169" s="211" t="n">
        <f aca="false">SUMIFS(Tabela1[VALOR],Tabela1[FECHA],A169)</f>
        <v>0</v>
      </c>
      <c r="D169" s="64" t="n">
        <f aca="false">B169-C169</f>
        <v>0</v>
      </c>
    </row>
    <row r="170" customFormat="false" ht="16.4" hidden="false" customHeight="false" outlineLevel="0" collapsed="false">
      <c r="A170" s="209" t="n">
        <v>46188</v>
      </c>
      <c r="B170" s="210" t="n">
        <f aca="false">SUMIFS(CRM[VALOR],CRM[FECHA],A170)</f>
        <v>0</v>
      </c>
      <c r="C170" s="211" t="n">
        <f aca="false">SUMIFS(Tabela1[VALOR],Tabela1[FECHA],A170)</f>
        <v>0</v>
      </c>
      <c r="D170" s="64" t="n">
        <f aca="false">B170-C170</f>
        <v>0</v>
      </c>
    </row>
    <row r="171" customFormat="false" ht="16.4" hidden="false" customHeight="false" outlineLevel="0" collapsed="false">
      <c r="A171" s="209" t="n">
        <v>46189</v>
      </c>
      <c r="B171" s="210" t="n">
        <f aca="false">SUMIFS(CRM[VALOR],CRM[FECHA],A171)</f>
        <v>0</v>
      </c>
      <c r="C171" s="211" t="n">
        <f aca="false">SUMIFS(Tabela1[VALOR],Tabela1[FECHA],A171)</f>
        <v>0</v>
      </c>
      <c r="D171" s="64" t="n">
        <f aca="false">B171-C171</f>
        <v>0</v>
      </c>
    </row>
    <row r="172" customFormat="false" ht="16.4" hidden="false" customHeight="false" outlineLevel="0" collapsed="false">
      <c r="A172" s="209" t="n">
        <v>46190</v>
      </c>
      <c r="B172" s="210" t="n">
        <f aca="false">SUMIFS(CRM[VALOR],CRM[FECHA],A172)</f>
        <v>0</v>
      </c>
      <c r="C172" s="211" t="n">
        <f aca="false">SUMIFS(Tabela1[VALOR],Tabela1[FECHA],A172)</f>
        <v>0</v>
      </c>
      <c r="D172" s="64" t="n">
        <f aca="false">B172-C172</f>
        <v>0</v>
      </c>
    </row>
    <row r="173" customFormat="false" ht="16.4" hidden="false" customHeight="false" outlineLevel="0" collapsed="false">
      <c r="A173" s="209" t="n">
        <v>46191</v>
      </c>
      <c r="B173" s="210" t="n">
        <f aca="false">SUMIFS(CRM[VALOR],CRM[FECHA],A173)</f>
        <v>0</v>
      </c>
      <c r="C173" s="211" t="n">
        <f aca="false">SUMIFS(Tabela1[VALOR],Tabela1[FECHA],A173)</f>
        <v>0</v>
      </c>
      <c r="D173" s="64" t="n">
        <f aca="false">B173-C173</f>
        <v>0</v>
      </c>
    </row>
    <row r="174" customFormat="false" ht="16.4" hidden="false" customHeight="false" outlineLevel="0" collapsed="false">
      <c r="A174" s="209" t="n">
        <v>46192</v>
      </c>
      <c r="B174" s="210" t="n">
        <f aca="false">SUMIFS(CRM[VALOR],CRM[FECHA],A174)</f>
        <v>0</v>
      </c>
      <c r="C174" s="211" t="n">
        <f aca="false">SUMIFS(Tabela1[VALOR],Tabela1[FECHA],A174)</f>
        <v>0</v>
      </c>
      <c r="D174" s="64" t="n">
        <f aca="false">B174-C174</f>
        <v>0</v>
      </c>
    </row>
    <row r="175" customFormat="false" ht="16.4" hidden="false" customHeight="false" outlineLevel="0" collapsed="false">
      <c r="A175" s="209" t="n">
        <v>46193</v>
      </c>
      <c r="B175" s="210" t="n">
        <f aca="false">SUMIFS(CRM[VALOR],CRM[FECHA],A175)</f>
        <v>0</v>
      </c>
      <c r="C175" s="211" t="n">
        <f aca="false">SUMIFS(Tabela1[VALOR],Tabela1[FECHA],A175)</f>
        <v>0</v>
      </c>
      <c r="D175" s="64" t="n">
        <f aca="false">B175-C175</f>
        <v>0</v>
      </c>
    </row>
    <row r="176" customFormat="false" ht="16.4" hidden="false" customHeight="false" outlineLevel="0" collapsed="false">
      <c r="A176" s="209" t="n">
        <v>46194</v>
      </c>
      <c r="B176" s="210" t="n">
        <f aca="false">SUMIFS(CRM[VALOR],CRM[FECHA],A176)</f>
        <v>0</v>
      </c>
      <c r="C176" s="211" t="n">
        <f aca="false">SUMIFS(Tabela1[VALOR],Tabela1[FECHA],A176)</f>
        <v>0</v>
      </c>
      <c r="D176" s="64" t="n">
        <f aca="false">B176-C176</f>
        <v>0</v>
      </c>
    </row>
    <row r="177" customFormat="false" ht="16.4" hidden="false" customHeight="false" outlineLevel="0" collapsed="false">
      <c r="A177" s="209" t="n">
        <v>46195</v>
      </c>
      <c r="B177" s="210" t="n">
        <f aca="false">SUMIFS(CRM[VALOR],CRM[FECHA],A177)</f>
        <v>0</v>
      </c>
      <c r="C177" s="211" t="n">
        <f aca="false">SUMIFS(Tabela1[VALOR],Tabela1[FECHA],A177)</f>
        <v>0</v>
      </c>
      <c r="D177" s="64" t="n">
        <f aca="false">B177-C177</f>
        <v>0</v>
      </c>
    </row>
    <row r="178" customFormat="false" ht="16.4" hidden="false" customHeight="false" outlineLevel="0" collapsed="false">
      <c r="A178" s="209" t="n">
        <v>46196</v>
      </c>
      <c r="B178" s="210" t="n">
        <f aca="false">SUMIFS(CRM[VALOR],CRM[FECHA],A178)</f>
        <v>0</v>
      </c>
      <c r="C178" s="211" t="n">
        <f aca="false">SUMIFS(Tabela1[VALOR],Tabela1[FECHA],A178)</f>
        <v>0</v>
      </c>
      <c r="D178" s="64" t="n">
        <f aca="false">B178-C178</f>
        <v>0</v>
      </c>
    </row>
    <row r="179" customFormat="false" ht="16.4" hidden="false" customHeight="false" outlineLevel="0" collapsed="false">
      <c r="A179" s="209" t="n">
        <v>46197</v>
      </c>
      <c r="B179" s="210" t="n">
        <f aca="false">SUMIFS(CRM[VALOR],CRM[FECHA],A179)</f>
        <v>0</v>
      </c>
      <c r="C179" s="211" t="n">
        <f aca="false">SUMIFS(Tabela1[VALOR],Tabela1[FECHA],A179)</f>
        <v>0</v>
      </c>
      <c r="D179" s="64" t="n">
        <f aca="false">B179-C179</f>
        <v>0</v>
      </c>
    </row>
    <row r="180" customFormat="false" ht="16.4" hidden="false" customHeight="false" outlineLevel="0" collapsed="false">
      <c r="A180" s="209" t="n">
        <v>46198</v>
      </c>
      <c r="B180" s="210" t="n">
        <f aca="false">SUMIFS(CRM[VALOR],CRM[FECHA],A180)</f>
        <v>0</v>
      </c>
      <c r="C180" s="211" t="n">
        <f aca="false">SUMIFS(Tabela1[VALOR],Tabela1[FECHA],A180)</f>
        <v>0</v>
      </c>
      <c r="D180" s="64" t="n">
        <f aca="false">B180-C180</f>
        <v>0</v>
      </c>
    </row>
    <row r="181" customFormat="false" ht="16.4" hidden="false" customHeight="false" outlineLevel="0" collapsed="false">
      <c r="A181" s="209" t="n">
        <v>46199</v>
      </c>
      <c r="B181" s="210" t="n">
        <f aca="false">SUMIFS(CRM[VALOR],CRM[FECHA],A181)</f>
        <v>0</v>
      </c>
      <c r="C181" s="211" t="n">
        <f aca="false">SUMIFS(Tabela1[VALOR],Tabela1[FECHA],A181)</f>
        <v>0</v>
      </c>
      <c r="D181" s="64" t="n">
        <f aca="false">B181-C181</f>
        <v>0</v>
      </c>
    </row>
    <row r="182" customFormat="false" ht="16.4" hidden="false" customHeight="false" outlineLevel="0" collapsed="false">
      <c r="A182" s="209" t="n">
        <v>46200</v>
      </c>
      <c r="B182" s="210" t="n">
        <f aca="false">SUMIFS(CRM[VALOR],CRM[FECHA],A182)</f>
        <v>0</v>
      </c>
      <c r="C182" s="211" t="n">
        <f aca="false">SUMIFS(Tabela1[VALOR],Tabela1[FECHA],A182)</f>
        <v>0</v>
      </c>
      <c r="D182" s="64" t="n">
        <f aca="false">B182-C182</f>
        <v>0</v>
      </c>
    </row>
    <row r="183" customFormat="false" ht="16.4" hidden="false" customHeight="false" outlineLevel="0" collapsed="false">
      <c r="A183" s="209" t="n">
        <v>46201</v>
      </c>
      <c r="B183" s="210" t="n">
        <f aca="false">SUMIFS(CRM[VALOR],CRM[FECHA],A183)</f>
        <v>0</v>
      </c>
      <c r="C183" s="211" t="n">
        <f aca="false">SUMIFS(Tabela1[VALOR],Tabela1[FECHA],A183)</f>
        <v>0</v>
      </c>
      <c r="D183" s="64" t="n">
        <f aca="false">B183-C183</f>
        <v>0</v>
      </c>
    </row>
    <row r="184" customFormat="false" ht="16.4" hidden="false" customHeight="false" outlineLevel="0" collapsed="false">
      <c r="A184" s="209" t="n">
        <v>46202</v>
      </c>
      <c r="B184" s="210" t="n">
        <f aca="false">SUMIFS(CRM[VALOR],CRM[FECHA],A184)</f>
        <v>0</v>
      </c>
      <c r="C184" s="211" t="n">
        <f aca="false">SUMIFS(Tabela1[VALOR],Tabela1[FECHA],A184)</f>
        <v>0</v>
      </c>
      <c r="D184" s="64" t="n">
        <f aca="false">B184-C184</f>
        <v>0</v>
      </c>
    </row>
    <row r="185" customFormat="false" ht="16.4" hidden="false" customHeight="false" outlineLevel="0" collapsed="false">
      <c r="A185" s="209" t="n">
        <v>46203</v>
      </c>
      <c r="B185" s="210" t="n">
        <f aca="false">SUMIFS(CRM[VALOR],CRM[FECHA],A185)</f>
        <v>0</v>
      </c>
      <c r="C185" s="211" t="n">
        <f aca="false">SUMIFS(Tabela1[VALOR],Tabela1[FECHA],A185)</f>
        <v>0</v>
      </c>
      <c r="D185" s="64" t="n">
        <f aca="false">B185-C185</f>
        <v>0</v>
      </c>
    </row>
    <row r="186" customFormat="false" ht="16.4" hidden="false" customHeight="false" outlineLevel="0" collapsed="false">
      <c r="A186" s="209" t="n">
        <v>46204</v>
      </c>
      <c r="B186" s="210" t="n">
        <f aca="false">SUMIFS(CRM[VALOR],CRM[FECHA],A186)</f>
        <v>0</v>
      </c>
      <c r="C186" s="211" t="n">
        <f aca="false">SUMIFS(Tabela1[VALOR],Tabela1[FECHA],A186)</f>
        <v>0</v>
      </c>
      <c r="D186" s="64" t="n">
        <f aca="false">B186-C186</f>
        <v>0</v>
      </c>
    </row>
    <row r="187" customFormat="false" ht="16.4" hidden="false" customHeight="false" outlineLevel="0" collapsed="false">
      <c r="A187" s="209" t="n">
        <v>46205</v>
      </c>
      <c r="B187" s="210" t="n">
        <f aca="false">SUMIFS(CRM[VALOR],CRM[FECHA],A187)</f>
        <v>0</v>
      </c>
      <c r="C187" s="211" t="n">
        <f aca="false">SUMIFS(Tabela1[VALOR],Tabela1[FECHA],A187)</f>
        <v>0</v>
      </c>
      <c r="D187" s="64" t="n">
        <f aca="false">B187-C187</f>
        <v>0</v>
      </c>
    </row>
    <row r="188" customFormat="false" ht="16.4" hidden="false" customHeight="false" outlineLevel="0" collapsed="false">
      <c r="A188" s="209" t="n">
        <v>46206</v>
      </c>
      <c r="B188" s="210" t="n">
        <f aca="false">SUMIFS(CRM[VALOR],CRM[FECHA],A188)</f>
        <v>0</v>
      </c>
      <c r="C188" s="211" t="n">
        <f aca="false">SUMIFS(Tabela1[VALOR],Tabela1[FECHA],A188)</f>
        <v>0</v>
      </c>
      <c r="D188" s="64" t="n">
        <f aca="false">B188-C188</f>
        <v>0</v>
      </c>
    </row>
    <row r="189" customFormat="false" ht="16.4" hidden="false" customHeight="false" outlineLevel="0" collapsed="false">
      <c r="A189" s="209" t="n">
        <v>46207</v>
      </c>
      <c r="B189" s="210" t="n">
        <f aca="false">SUMIFS(CRM[VALOR],CRM[FECHA],A189)</f>
        <v>0</v>
      </c>
      <c r="C189" s="211" t="n">
        <f aca="false">SUMIFS(Tabela1[VALOR],Tabela1[FECHA],A189)</f>
        <v>0</v>
      </c>
      <c r="D189" s="64" t="n">
        <f aca="false">B189-C189</f>
        <v>0</v>
      </c>
    </row>
    <row r="190" customFormat="false" ht="16.4" hidden="false" customHeight="false" outlineLevel="0" collapsed="false">
      <c r="A190" s="209" t="n">
        <v>46208</v>
      </c>
      <c r="B190" s="210" t="n">
        <f aca="false">SUMIFS(CRM[VALOR],CRM[FECHA],A190)</f>
        <v>0</v>
      </c>
      <c r="C190" s="211" t="n">
        <f aca="false">SUMIFS(Tabela1[VALOR],Tabela1[FECHA],A190)</f>
        <v>0</v>
      </c>
      <c r="D190" s="64" t="n">
        <f aca="false">B190-C190</f>
        <v>0</v>
      </c>
    </row>
    <row r="191" customFormat="false" ht="16.4" hidden="false" customHeight="false" outlineLevel="0" collapsed="false">
      <c r="A191" s="209" t="n">
        <v>46209</v>
      </c>
      <c r="B191" s="210" t="n">
        <f aca="false">SUMIFS(CRM[VALOR],CRM[FECHA],A191)</f>
        <v>0</v>
      </c>
      <c r="C191" s="211" t="n">
        <f aca="false">SUMIFS(Tabela1[VALOR],Tabela1[FECHA],A191)</f>
        <v>0</v>
      </c>
      <c r="D191" s="64" t="n">
        <f aca="false">B191-C191</f>
        <v>0</v>
      </c>
    </row>
    <row r="192" customFormat="false" ht="16.4" hidden="false" customHeight="false" outlineLevel="0" collapsed="false">
      <c r="A192" s="209" t="n">
        <v>46210</v>
      </c>
      <c r="B192" s="210" t="n">
        <f aca="false">SUMIFS(CRM[VALOR],CRM[FECHA],A192)</f>
        <v>0</v>
      </c>
      <c r="C192" s="211" t="n">
        <f aca="false">SUMIFS(Tabela1[VALOR],Tabela1[FECHA],A192)</f>
        <v>0</v>
      </c>
      <c r="D192" s="64" t="n">
        <f aca="false">B192-C192</f>
        <v>0</v>
      </c>
    </row>
    <row r="193" customFormat="false" ht="16.4" hidden="false" customHeight="false" outlineLevel="0" collapsed="false">
      <c r="A193" s="209" t="n">
        <v>46211</v>
      </c>
      <c r="B193" s="210" t="n">
        <f aca="false">SUMIFS(CRM[VALOR],CRM[FECHA],A193)</f>
        <v>0</v>
      </c>
      <c r="C193" s="211" t="n">
        <f aca="false">SUMIFS(Tabela1[VALOR],Tabela1[FECHA],A193)</f>
        <v>0</v>
      </c>
      <c r="D193" s="64" t="n">
        <f aca="false">B193-C193</f>
        <v>0</v>
      </c>
    </row>
    <row r="194" customFormat="false" ht="16.4" hidden="false" customHeight="false" outlineLevel="0" collapsed="false">
      <c r="A194" s="209" t="n">
        <v>46212</v>
      </c>
      <c r="B194" s="210" t="n">
        <f aca="false">SUMIFS(CRM[VALOR],CRM[FECHA],A194)</f>
        <v>0</v>
      </c>
      <c r="C194" s="211" t="n">
        <f aca="false">SUMIFS(Tabela1[VALOR],Tabela1[FECHA],A194)</f>
        <v>0</v>
      </c>
      <c r="D194" s="64" t="n">
        <f aca="false">B194-C194</f>
        <v>0</v>
      </c>
    </row>
    <row r="195" customFormat="false" ht="16.4" hidden="false" customHeight="false" outlineLevel="0" collapsed="false">
      <c r="A195" s="209" t="n">
        <v>46213</v>
      </c>
      <c r="B195" s="210" t="n">
        <f aca="false">SUMIFS(CRM[VALOR],CRM[FECHA],A195)</f>
        <v>0</v>
      </c>
      <c r="C195" s="211" t="n">
        <f aca="false">SUMIFS(Tabela1[VALOR],Tabela1[FECHA],A195)</f>
        <v>0</v>
      </c>
      <c r="D195" s="64" t="n">
        <f aca="false">B195-C195</f>
        <v>0</v>
      </c>
    </row>
    <row r="196" customFormat="false" ht="16.4" hidden="false" customHeight="false" outlineLevel="0" collapsed="false">
      <c r="A196" s="209" t="n">
        <v>46214</v>
      </c>
      <c r="B196" s="210" t="n">
        <f aca="false">SUMIFS(CRM[VALOR],CRM[FECHA],A196)</f>
        <v>0</v>
      </c>
      <c r="C196" s="211" t="n">
        <f aca="false">SUMIFS(Tabela1[VALOR],Tabela1[FECHA],A196)</f>
        <v>0</v>
      </c>
      <c r="D196" s="64" t="n">
        <f aca="false">B196-C196</f>
        <v>0</v>
      </c>
    </row>
    <row r="197" customFormat="false" ht="16.4" hidden="false" customHeight="false" outlineLevel="0" collapsed="false">
      <c r="A197" s="209" t="n">
        <v>46215</v>
      </c>
      <c r="B197" s="210" t="n">
        <f aca="false">SUMIFS(CRM[VALOR],CRM[FECHA],A197)</f>
        <v>0</v>
      </c>
      <c r="C197" s="211" t="n">
        <f aca="false">SUMIFS(Tabela1[VALOR],Tabela1[FECHA],A197)</f>
        <v>0</v>
      </c>
      <c r="D197" s="64" t="n">
        <f aca="false">B197-C197</f>
        <v>0</v>
      </c>
    </row>
    <row r="198" customFormat="false" ht="16.4" hidden="false" customHeight="false" outlineLevel="0" collapsed="false">
      <c r="A198" s="209" t="n">
        <v>46216</v>
      </c>
      <c r="B198" s="210" t="n">
        <f aca="false">SUMIFS(CRM[VALOR],CRM[FECHA],A198)</f>
        <v>0</v>
      </c>
      <c r="C198" s="211" t="n">
        <f aca="false">SUMIFS(Tabela1[VALOR],Tabela1[FECHA],A198)</f>
        <v>0</v>
      </c>
      <c r="D198" s="64" t="n">
        <f aca="false">B198-C198</f>
        <v>0</v>
      </c>
    </row>
    <row r="199" customFormat="false" ht="16.4" hidden="false" customHeight="false" outlineLevel="0" collapsed="false">
      <c r="A199" s="209" t="n">
        <v>46217</v>
      </c>
      <c r="B199" s="210" t="n">
        <f aca="false">SUMIFS(CRM[VALOR],CRM[FECHA],A199)</f>
        <v>0</v>
      </c>
      <c r="C199" s="211" t="n">
        <f aca="false">SUMIFS(Tabela1[VALOR],Tabela1[FECHA],A199)</f>
        <v>0</v>
      </c>
      <c r="D199" s="64" t="n">
        <f aca="false">B199-C199</f>
        <v>0</v>
      </c>
    </row>
    <row r="200" customFormat="false" ht="16.4" hidden="false" customHeight="false" outlineLevel="0" collapsed="false">
      <c r="A200" s="209" t="n">
        <v>46218</v>
      </c>
      <c r="B200" s="210" t="n">
        <f aca="false">SUMIFS(CRM[VALOR],CRM[FECHA],A200)</f>
        <v>0</v>
      </c>
      <c r="C200" s="211" t="n">
        <f aca="false">SUMIFS(Tabela1[VALOR],Tabela1[FECHA],A200)</f>
        <v>0</v>
      </c>
      <c r="D200" s="64" t="n">
        <f aca="false">B200-C200</f>
        <v>0</v>
      </c>
    </row>
    <row r="201" customFormat="false" ht="16.4" hidden="false" customHeight="false" outlineLevel="0" collapsed="false">
      <c r="A201" s="209" t="n">
        <v>46219</v>
      </c>
      <c r="B201" s="210" t="n">
        <f aca="false">SUMIFS(CRM[VALOR],CRM[FECHA],A201)</f>
        <v>0</v>
      </c>
      <c r="C201" s="211" t="n">
        <f aca="false">SUMIFS(Tabela1[VALOR],Tabela1[FECHA],A201)</f>
        <v>0</v>
      </c>
      <c r="D201" s="64" t="n">
        <f aca="false">B201-C201</f>
        <v>0</v>
      </c>
    </row>
    <row r="202" customFormat="false" ht="16.4" hidden="false" customHeight="false" outlineLevel="0" collapsed="false">
      <c r="A202" s="209" t="n">
        <v>46220</v>
      </c>
      <c r="B202" s="210" t="n">
        <f aca="false">SUMIFS(CRM[VALOR],CRM[FECHA],A202)</f>
        <v>0</v>
      </c>
      <c r="C202" s="211" t="n">
        <f aca="false">SUMIFS(Tabela1[VALOR],Tabela1[FECHA],A202)</f>
        <v>0</v>
      </c>
      <c r="D202" s="64" t="n">
        <f aca="false">B202-C202</f>
        <v>0</v>
      </c>
    </row>
    <row r="203" customFormat="false" ht="16.4" hidden="false" customHeight="false" outlineLevel="0" collapsed="false">
      <c r="A203" s="209" t="n">
        <v>46221</v>
      </c>
      <c r="B203" s="210" t="n">
        <f aca="false">SUMIFS(CRM[VALOR],CRM[FECHA],A203)</f>
        <v>0</v>
      </c>
      <c r="C203" s="211" t="n">
        <f aca="false">SUMIFS(Tabela1[VALOR],Tabela1[FECHA],A203)</f>
        <v>0</v>
      </c>
      <c r="D203" s="64" t="n">
        <f aca="false">B203-C203</f>
        <v>0</v>
      </c>
    </row>
    <row r="204" customFormat="false" ht="16.4" hidden="false" customHeight="false" outlineLevel="0" collapsed="false">
      <c r="A204" s="209" t="n">
        <v>46222</v>
      </c>
      <c r="B204" s="210" t="n">
        <f aca="false">SUMIFS(CRM[VALOR],CRM[FECHA],A204)</f>
        <v>0</v>
      </c>
      <c r="C204" s="211" t="n">
        <f aca="false">SUMIFS(Tabela1[VALOR],Tabela1[FECHA],A204)</f>
        <v>0</v>
      </c>
      <c r="D204" s="64" t="n">
        <f aca="false">B204-C204</f>
        <v>0</v>
      </c>
    </row>
    <row r="205" customFormat="false" ht="16.4" hidden="false" customHeight="false" outlineLevel="0" collapsed="false">
      <c r="A205" s="209" t="n">
        <v>46223</v>
      </c>
      <c r="B205" s="210" t="n">
        <f aca="false">SUMIFS(CRM[VALOR],CRM[FECHA],A205)</f>
        <v>0</v>
      </c>
      <c r="C205" s="211" t="n">
        <f aca="false">SUMIFS(Tabela1[VALOR],Tabela1[FECHA],A205)</f>
        <v>0</v>
      </c>
      <c r="D205" s="64" t="n">
        <f aca="false">B205-C205</f>
        <v>0</v>
      </c>
    </row>
    <row r="206" customFormat="false" ht="16.4" hidden="false" customHeight="false" outlineLevel="0" collapsed="false">
      <c r="A206" s="209" t="n">
        <v>46224</v>
      </c>
      <c r="B206" s="210" t="n">
        <f aca="false">SUMIFS(CRM[VALOR],CRM[FECHA],A206)</f>
        <v>0</v>
      </c>
      <c r="C206" s="211" t="n">
        <f aca="false">SUMIFS(Tabela1[VALOR],Tabela1[FECHA],A206)</f>
        <v>0</v>
      </c>
      <c r="D206" s="64" t="n">
        <f aca="false">B206-C206</f>
        <v>0</v>
      </c>
    </row>
    <row r="207" customFormat="false" ht="16.4" hidden="false" customHeight="false" outlineLevel="0" collapsed="false">
      <c r="A207" s="209" t="n">
        <v>46225</v>
      </c>
      <c r="B207" s="210" t="n">
        <f aca="false">SUMIFS(CRM[VALOR],CRM[FECHA],A207)</f>
        <v>0</v>
      </c>
      <c r="C207" s="211" t="n">
        <f aca="false">SUMIFS(Tabela1[VALOR],Tabela1[FECHA],A207)</f>
        <v>0</v>
      </c>
      <c r="D207" s="64" t="n">
        <f aca="false">B207-C207</f>
        <v>0</v>
      </c>
    </row>
    <row r="208" customFormat="false" ht="16.4" hidden="false" customHeight="false" outlineLevel="0" collapsed="false">
      <c r="A208" s="209" t="n">
        <v>46226</v>
      </c>
      <c r="B208" s="210" t="n">
        <f aca="false">SUMIFS(CRM[VALOR],CRM[FECHA],A208)</f>
        <v>0</v>
      </c>
      <c r="C208" s="211" t="n">
        <f aca="false">SUMIFS(Tabela1[VALOR],Tabela1[FECHA],A208)</f>
        <v>0</v>
      </c>
      <c r="D208" s="64" t="n">
        <f aca="false">B208-C208</f>
        <v>0</v>
      </c>
    </row>
    <row r="209" customFormat="false" ht="16.4" hidden="false" customHeight="false" outlineLevel="0" collapsed="false">
      <c r="A209" s="209" t="n">
        <v>46227</v>
      </c>
      <c r="B209" s="210" t="n">
        <f aca="false">SUMIFS(CRM[VALOR],CRM[FECHA],A209)</f>
        <v>0</v>
      </c>
      <c r="C209" s="211" t="n">
        <f aca="false">SUMIFS(Tabela1[VALOR],Tabela1[FECHA],A209)</f>
        <v>0</v>
      </c>
      <c r="D209" s="64" t="n">
        <f aca="false">B209-C209</f>
        <v>0</v>
      </c>
    </row>
    <row r="210" customFormat="false" ht="16.4" hidden="false" customHeight="false" outlineLevel="0" collapsed="false">
      <c r="A210" s="209" t="n">
        <v>46228</v>
      </c>
      <c r="B210" s="210" t="n">
        <f aca="false">SUMIFS(CRM[VALOR],CRM[FECHA],A210)</f>
        <v>0</v>
      </c>
      <c r="C210" s="211" t="n">
        <f aca="false">SUMIFS(Tabela1[VALOR],Tabela1[FECHA],A210)</f>
        <v>0</v>
      </c>
      <c r="D210" s="64" t="n">
        <f aca="false">B210-C210</f>
        <v>0</v>
      </c>
    </row>
    <row r="211" customFormat="false" ht="16.4" hidden="false" customHeight="false" outlineLevel="0" collapsed="false">
      <c r="A211" s="209" t="n">
        <v>46229</v>
      </c>
      <c r="B211" s="210" t="n">
        <f aca="false">SUMIFS(CRM[VALOR],CRM[FECHA],A211)</f>
        <v>0</v>
      </c>
      <c r="C211" s="211" t="n">
        <f aca="false">SUMIFS(Tabela1[VALOR],Tabela1[FECHA],A211)</f>
        <v>0</v>
      </c>
      <c r="D211" s="64" t="n">
        <f aca="false">B211-C211</f>
        <v>0</v>
      </c>
    </row>
    <row r="212" customFormat="false" ht="16.4" hidden="false" customHeight="false" outlineLevel="0" collapsed="false">
      <c r="A212" s="209" t="n">
        <v>46230</v>
      </c>
      <c r="B212" s="210" t="n">
        <f aca="false">SUMIFS(CRM[VALOR],CRM[FECHA],A212)</f>
        <v>0</v>
      </c>
      <c r="C212" s="211" t="n">
        <f aca="false">SUMIFS(Tabela1[VALOR],Tabela1[FECHA],A212)</f>
        <v>0</v>
      </c>
      <c r="D212" s="64" t="n">
        <f aca="false">B212-C212</f>
        <v>0</v>
      </c>
    </row>
    <row r="213" customFormat="false" ht="16.4" hidden="false" customHeight="false" outlineLevel="0" collapsed="false">
      <c r="A213" s="209" t="n">
        <v>46231</v>
      </c>
      <c r="B213" s="210" t="n">
        <f aca="false">SUMIFS(CRM[VALOR],CRM[FECHA],A213)</f>
        <v>0</v>
      </c>
      <c r="C213" s="211" t="n">
        <f aca="false">SUMIFS(Tabela1[VALOR],Tabela1[FECHA],A213)</f>
        <v>0</v>
      </c>
      <c r="D213" s="64" t="n">
        <f aca="false">B213-C213</f>
        <v>0</v>
      </c>
    </row>
    <row r="214" customFormat="false" ht="16.4" hidden="false" customHeight="false" outlineLevel="0" collapsed="false">
      <c r="A214" s="209" t="n">
        <v>46232</v>
      </c>
      <c r="B214" s="210" t="n">
        <f aca="false">SUMIFS(CRM[VALOR],CRM[FECHA],A214)</f>
        <v>0</v>
      </c>
      <c r="C214" s="211" t="n">
        <f aca="false">SUMIFS(Tabela1[VALOR],Tabela1[FECHA],A214)</f>
        <v>0</v>
      </c>
      <c r="D214" s="64" t="n">
        <f aca="false">B214-C214</f>
        <v>0</v>
      </c>
    </row>
    <row r="215" customFormat="false" ht="16.4" hidden="false" customHeight="false" outlineLevel="0" collapsed="false">
      <c r="A215" s="209" t="n">
        <v>46233</v>
      </c>
      <c r="B215" s="210" t="n">
        <f aca="false">SUMIFS(CRM[VALOR],CRM[FECHA],A215)</f>
        <v>0</v>
      </c>
      <c r="C215" s="211" t="n">
        <f aca="false">SUMIFS(Tabela1[VALOR],Tabela1[FECHA],A215)</f>
        <v>0</v>
      </c>
      <c r="D215" s="64" t="n">
        <f aca="false">B215-C215</f>
        <v>0</v>
      </c>
    </row>
    <row r="216" customFormat="false" ht="16.4" hidden="false" customHeight="false" outlineLevel="0" collapsed="false">
      <c r="A216" s="209" t="n">
        <v>46234</v>
      </c>
      <c r="B216" s="210" t="n">
        <f aca="false">SUMIFS(CRM[VALOR],CRM[FECHA],A216)</f>
        <v>0</v>
      </c>
      <c r="C216" s="211" t="n">
        <f aca="false">SUMIFS(Tabela1[VALOR],Tabela1[FECHA],A216)</f>
        <v>0</v>
      </c>
      <c r="D216" s="64" t="n">
        <f aca="false">B216-C216</f>
        <v>0</v>
      </c>
    </row>
    <row r="217" customFormat="false" ht="16.4" hidden="false" customHeight="false" outlineLevel="0" collapsed="false">
      <c r="A217" s="209" t="n">
        <v>46235</v>
      </c>
      <c r="B217" s="210" t="n">
        <f aca="false">SUMIFS(CRM[VALOR],CRM[FECHA],A217)</f>
        <v>0</v>
      </c>
      <c r="C217" s="211" t="n">
        <f aca="false">SUMIFS(Tabela1[VALOR],Tabela1[FECHA],A217)</f>
        <v>0</v>
      </c>
      <c r="D217" s="64" t="n">
        <f aca="false">B217-C217</f>
        <v>0</v>
      </c>
    </row>
    <row r="218" customFormat="false" ht="16.4" hidden="false" customHeight="false" outlineLevel="0" collapsed="false">
      <c r="A218" s="209" t="n">
        <v>46236</v>
      </c>
      <c r="B218" s="210" t="n">
        <f aca="false">SUMIFS(CRM[VALOR],CRM[FECHA],A218)</f>
        <v>0</v>
      </c>
      <c r="C218" s="211" t="n">
        <f aca="false">SUMIFS(Tabela1[VALOR],Tabela1[FECHA],A218)</f>
        <v>0</v>
      </c>
      <c r="D218" s="64" t="n">
        <f aca="false">B218-C218</f>
        <v>0</v>
      </c>
    </row>
    <row r="219" customFormat="false" ht="16.4" hidden="false" customHeight="false" outlineLevel="0" collapsed="false">
      <c r="A219" s="209" t="n">
        <v>46237</v>
      </c>
      <c r="B219" s="210" t="n">
        <f aca="false">SUMIFS(CRM[VALOR],CRM[FECHA],A219)</f>
        <v>0</v>
      </c>
      <c r="C219" s="211" t="n">
        <f aca="false">SUMIFS(Tabela1[VALOR],Tabela1[FECHA],A219)</f>
        <v>0</v>
      </c>
      <c r="D219" s="64" t="n">
        <f aca="false">B219-C219</f>
        <v>0</v>
      </c>
    </row>
    <row r="220" customFormat="false" ht="16.4" hidden="false" customHeight="false" outlineLevel="0" collapsed="false">
      <c r="A220" s="209" t="n">
        <v>46238</v>
      </c>
      <c r="B220" s="210" t="n">
        <f aca="false">SUMIFS(CRM[VALOR],CRM[FECHA],A220)</f>
        <v>0</v>
      </c>
      <c r="C220" s="211" t="n">
        <f aca="false">SUMIFS(Tabela1[VALOR],Tabela1[FECHA],A220)</f>
        <v>0</v>
      </c>
      <c r="D220" s="64" t="n">
        <f aca="false">B220-C220</f>
        <v>0</v>
      </c>
    </row>
    <row r="221" customFormat="false" ht="16.4" hidden="false" customHeight="false" outlineLevel="0" collapsed="false">
      <c r="A221" s="209" t="n">
        <v>46239</v>
      </c>
      <c r="B221" s="210" t="n">
        <f aca="false">SUMIFS(CRM[VALOR],CRM[FECHA],A221)</f>
        <v>0</v>
      </c>
      <c r="C221" s="211" t="n">
        <f aca="false">SUMIFS(Tabela1[VALOR],Tabela1[FECHA],A221)</f>
        <v>0</v>
      </c>
      <c r="D221" s="64" t="n">
        <f aca="false">B221-C221</f>
        <v>0</v>
      </c>
    </row>
    <row r="222" customFormat="false" ht="16.4" hidden="false" customHeight="false" outlineLevel="0" collapsed="false">
      <c r="A222" s="209" t="n">
        <v>46240</v>
      </c>
      <c r="B222" s="210" t="n">
        <f aca="false">SUMIFS(CRM[VALOR],CRM[FECHA],A222)</f>
        <v>0</v>
      </c>
      <c r="C222" s="211" t="n">
        <f aca="false">SUMIFS(Tabela1[VALOR],Tabela1[FECHA],A222)</f>
        <v>0</v>
      </c>
      <c r="D222" s="64" t="n">
        <f aca="false">B222-C222</f>
        <v>0</v>
      </c>
    </row>
    <row r="223" customFormat="false" ht="16.4" hidden="false" customHeight="false" outlineLevel="0" collapsed="false">
      <c r="A223" s="209" t="n">
        <v>46241</v>
      </c>
      <c r="B223" s="210" t="n">
        <f aca="false">SUMIFS(CRM[VALOR],CRM[FECHA],A223)</f>
        <v>0</v>
      </c>
      <c r="C223" s="211" t="n">
        <f aca="false">SUMIFS(Tabela1[VALOR],Tabela1[FECHA],A223)</f>
        <v>0</v>
      </c>
      <c r="D223" s="64" t="n">
        <f aca="false">B223-C223</f>
        <v>0</v>
      </c>
    </row>
    <row r="224" customFormat="false" ht="16.4" hidden="false" customHeight="false" outlineLevel="0" collapsed="false">
      <c r="A224" s="209" t="n">
        <v>46242</v>
      </c>
      <c r="B224" s="210" t="n">
        <f aca="false">SUMIFS(CRM[VALOR],CRM[FECHA],A224)</f>
        <v>0</v>
      </c>
      <c r="C224" s="211" t="n">
        <f aca="false">SUMIFS(Tabela1[VALOR],Tabela1[FECHA],A224)</f>
        <v>0</v>
      </c>
      <c r="D224" s="64" t="n">
        <f aca="false">B224-C224</f>
        <v>0</v>
      </c>
    </row>
    <row r="225" customFormat="false" ht="16.4" hidden="false" customHeight="false" outlineLevel="0" collapsed="false">
      <c r="A225" s="209" t="n">
        <v>46243</v>
      </c>
      <c r="B225" s="210" t="n">
        <f aca="false">SUMIFS(CRM[VALOR],CRM[FECHA],A225)</f>
        <v>0</v>
      </c>
      <c r="C225" s="211" t="n">
        <f aca="false">SUMIFS(Tabela1[VALOR],Tabela1[FECHA],A225)</f>
        <v>0</v>
      </c>
      <c r="D225" s="64" t="n">
        <f aca="false">B225-C225</f>
        <v>0</v>
      </c>
    </row>
    <row r="226" customFormat="false" ht="16.4" hidden="false" customHeight="false" outlineLevel="0" collapsed="false">
      <c r="A226" s="209" t="n">
        <v>46244</v>
      </c>
      <c r="B226" s="210" t="n">
        <f aca="false">SUMIFS(CRM[VALOR],CRM[FECHA],A226)</f>
        <v>0</v>
      </c>
      <c r="C226" s="211" t="n">
        <f aca="false">SUMIFS(Tabela1[VALOR],Tabela1[FECHA],A226)</f>
        <v>0</v>
      </c>
      <c r="D226" s="64" t="n">
        <f aca="false">B226-C226</f>
        <v>0</v>
      </c>
    </row>
    <row r="227" customFormat="false" ht="16.4" hidden="false" customHeight="false" outlineLevel="0" collapsed="false">
      <c r="A227" s="209" t="n">
        <v>46245</v>
      </c>
      <c r="B227" s="210" t="n">
        <f aca="false">SUMIFS(CRM[VALOR],CRM[FECHA],A227)</f>
        <v>0</v>
      </c>
      <c r="C227" s="211" t="n">
        <f aca="false">SUMIFS(Tabela1[VALOR],Tabela1[FECHA],A227)</f>
        <v>0</v>
      </c>
      <c r="D227" s="64" t="n">
        <f aca="false">B227-C227</f>
        <v>0</v>
      </c>
    </row>
    <row r="228" customFormat="false" ht="16.4" hidden="false" customHeight="false" outlineLevel="0" collapsed="false">
      <c r="A228" s="209" t="n">
        <v>46246</v>
      </c>
      <c r="B228" s="210" t="n">
        <f aca="false">SUMIFS(CRM[VALOR],CRM[FECHA],A228)</f>
        <v>0</v>
      </c>
      <c r="C228" s="211" t="n">
        <f aca="false">SUMIFS(Tabela1[VALOR],Tabela1[FECHA],A228)</f>
        <v>0</v>
      </c>
      <c r="D228" s="64" t="n">
        <f aca="false">B228-C228</f>
        <v>0</v>
      </c>
    </row>
    <row r="229" customFormat="false" ht="16.4" hidden="false" customHeight="false" outlineLevel="0" collapsed="false">
      <c r="A229" s="209" t="n">
        <v>46247</v>
      </c>
      <c r="B229" s="210" t="n">
        <f aca="false">SUMIFS(CRM[VALOR],CRM[FECHA],A229)</f>
        <v>0</v>
      </c>
      <c r="C229" s="211" t="n">
        <f aca="false">SUMIFS(Tabela1[VALOR],Tabela1[FECHA],A229)</f>
        <v>0</v>
      </c>
      <c r="D229" s="64" t="n">
        <f aca="false">B229-C229</f>
        <v>0</v>
      </c>
    </row>
    <row r="230" customFormat="false" ht="16.4" hidden="false" customHeight="false" outlineLevel="0" collapsed="false">
      <c r="A230" s="209" t="n">
        <v>46248</v>
      </c>
      <c r="B230" s="210" t="n">
        <f aca="false">SUMIFS(CRM[VALOR],CRM[FECHA],A230)</f>
        <v>0</v>
      </c>
      <c r="C230" s="211" t="n">
        <f aca="false">SUMIFS(Tabela1[VALOR],Tabela1[FECHA],A230)</f>
        <v>0</v>
      </c>
      <c r="D230" s="64" t="n">
        <f aca="false">B230-C230</f>
        <v>0</v>
      </c>
    </row>
    <row r="231" customFormat="false" ht="16.4" hidden="false" customHeight="false" outlineLevel="0" collapsed="false">
      <c r="A231" s="209" t="n">
        <v>46249</v>
      </c>
      <c r="B231" s="210" t="n">
        <f aca="false">SUMIFS(CRM[VALOR],CRM[FECHA],A231)</f>
        <v>0</v>
      </c>
      <c r="C231" s="211" t="n">
        <f aca="false">SUMIFS(Tabela1[VALOR],Tabela1[FECHA],A231)</f>
        <v>0</v>
      </c>
      <c r="D231" s="64" t="n">
        <f aca="false">B231-C231</f>
        <v>0</v>
      </c>
    </row>
    <row r="232" customFormat="false" ht="16.4" hidden="false" customHeight="false" outlineLevel="0" collapsed="false">
      <c r="A232" s="209" t="n">
        <v>46250</v>
      </c>
      <c r="B232" s="210" t="n">
        <f aca="false">SUMIFS(CRM[VALOR],CRM[FECHA],A232)</f>
        <v>0</v>
      </c>
      <c r="C232" s="211" t="n">
        <f aca="false">SUMIFS(Tabela1[VALOR],Tabela1[FECHA],A232)</f>
        <v>0</v>
      </c>
      <c r="D232" s="64" t="n">
        <f aca="false">B232-C232</f>
        <v>0</v>
      </c>
    </row>
    <row r="233" customFormat="false" ht="16.4" hidden="false" customHeight="false" outlineLevel="0" collapsed="false">
      <c r="A233" s="209" t="n">
        <v>46251</v>
      </c>
      <c r="B233" s="210" t="n">
        <f aca="false">SUMIFS(CRM[VALOR],CRM[FECHA],A233)</f>
        <v>0</v>
      </c>
      <c r="C233" s="211" t="n">
        <f aca="false">SUMIFS(Tabela1[VALOR],Tabela1[FECHA],A233)</f>
        <v>0</v>
      </c>
      <c r="D233" s="64" t="n">
        <f aca="false">B233-C233</f>
        <v>0</v>
      </c>
    </row>
    <row r="234" customFormat="false" ht="16.4" hidden="false" customHeight="false" outlineLevel="0" collapsed="false">
      <c r="A234" s="209" t="n">
        <v>46252</v>
      </c>
      <c r="B234" s="210" t="n">
        <f aca="false">SUMIFS(CRM[VALOR],CRM[FECHA],A234)</f>
        <v>0</v>
      </c>
      <c r="C234" s="211" t="n">
        <f aca="false">SUMIFS(Tabela1[VALOR],Tabela1[FECHA],A234)</f>
        <v>0</v>
      </c>
      <c r="D234" s="64" t="n">
        <f aca="false">B234-C234</f>
        <v>0</v>
      </c>
    </row>
    <row r="235" customFormat="false" ht="16.4" hidden="false" customHeight="false" outlineLevel="0" collapsed="false">
      <c r="A235" s="209" t="n">
        <v>46253</v>
      </c>
      <c r="B235" s="210" t="n">
        <f aca="false">SUMIFS(CRM[VALOR],CRM[FECHA],A235)</f>
        <v>0</v>
      </c>
      <c r="C235" s="211" t="n">
        <f aca="false">SUMIFS(Tabela1[VALOR],Tabela1[FECHA],A235)</f>
        <v>0</v>
      </c>
      <c r="D235" s="64" t="n">
        <f aca="false">B235-C235</f>
        <v>0</v>
      </c>
    </row>
    <row r="236" customFormat="false" ht="16.4" hidden="false" customHeight="false" outlineLevel="0" collapsed="false">
      <c r="A236" s="209" t="n">
        <v>46254</v>
      </c>
      <c r="B236" s="210" t="n">
        <f aca="false">SUMIFS(CRM[VALOR],CRM[FECHA],A236)</f>
        <v>0</v>
      </c>
      <c r="C236" s="211" t="n">
        <f aca="false">SUMIFS(Tabela1[VALOR],Tabela1[FECHA],A236)</f>
        <v>0</v>
      </c>
      <c r="D236" s="64" t="n">
        <f aca="false">B236-C236</f>
        <v>0</v>
      </c>
    </row>
    <row r="237" customFormat="false" ht="16.4" hidden="false" customHeight="false" outlineLevel="0" collapsed="false">
      <c r="A237" s="209" t="n">
        <v>46255</v>
      </c>
      <c r="B237" s="210" t="n">
        <f aca="false">SUMIFS(CRM[VALOR],CRM[FECHA],A237)</f>
        <v>0</v>
      </c>
      <c r="C237" s="211" t="n">
        <f aca="false">SUMIFS(Tabela1[VALOR],Tabela1[FECHA],A237)</f>
        <v>0</v>
      </c>
      <c r="D237" s="64" t="n">
        <f aca="false">B237-C237</f>
        <v>0</v>
      </c>
    </row>
    <row r="238" customFormat="false" ht="16.4" hidden="false" customHeight="false" outlineLevel="0" collapsed="false">
      <c r="A238" s="209" t="n">
        <v>46256</v>
      </c>
      <c r="B238" s="210" t="n">
        <f aca="false">SUMIFS(CRM[VALOR],CRM[FECHA],A238)</f>
        <v>0</v>
      </c>
      <c r="C238" s="211" t="n">
        <f aca="false">SUMIFS(Tabela1[VALOR],Tabela1[FECHA],A238)</f>
        <v>0</v>
      </c>
      <c r="D238" s="64" t="n">
        <f aca="false">B238-C238</f>
        <v>0</v>
      </c>
    </row>
    <row r="239" customFormat="false" ht="16.4" hidden="false" customHeight="false" outlineLevel="0" collapsed="false">
      <c r="A239" s="209" t="n">
        <v>46257</v>
      </c>
      <c r="B239" s="210" t="n">
        <f aca="false">SUMIFS(CRM[VALOR],CRM[FECHA],A239)</f>
        <v>0</v>
      </c>
      <c r="C239" s="211" t="n">
        <f aca="false">SUMIFS(Tabela1[VALOR],Tabela1[FECHA],A239)</f>
        <v>0</v>
      </c>
      <c r="D239" s="64" t="n">
        <f aca="false">B239-C239</f>
        <v>0</v>
      </c>
    </row>
    <row r="240" customFormat="false" ht="16.4" hidden="false" customHeight="false" outlineLevel="0" collapsed="false">
      <c r="A240" s="209" t="n">
        <v>46258</v>
      </c>
      <c r="B240" s="210" t="n">
        <f aca="false">SUMIFS(CRM[VALOR],CRM[FECHA],A240)</f>
        <v>0</v>
      </c>
      <c r="C240" s="211" t="n">
        <f aca="false">SUMIFS(Tabela1[VALOR],Tabela1[FECHA],A240)</f>
        <v>0</v>
      </c>
      <c r="D240" s="64" t="n">
        <f aca="false">B240-C240</f>
        <v>0</v>
      </c>
    </row>
    <row r="241" customFormat="false" ht="16.4" hidden="false" customHeight="false" outlineLevel="0" collapsed="false">
      <c r="A241" s="209" t="n">
        <v>46259</v>
      </c>
      <c r="B241" s="210" t="n">
        <f aca="false">SUMIFS(CRM[VALOR],CRM[FECHA],A241)</f>
        <v>0</v>
      </c>
      <c r="C241" s="211" t="n">
        <f aca="false">SUMIFS(Tabela1[VALOR],Tabela1[FECHA],A241)</f>
        <v>0</v>
      </c>
      <c r="D241" s="64" t="n">
        <f aca="false">B241-C241</f>
        <v>0</v>
      </c>
    </row>
    <row r="242" customFormat="false" ht="16.4" hidden="false" customHeight="false" outlineLevel="0" collapsed="false">
      <c r="A242" s="209" t="n">
        <v>46260</v>
      </c>
      <c r="B242" s="210" t="n">
        <f aca="false">SUMIFS(CRM[VALOR],CRM[FECHA],A242)</f>
        <v>0</v>
      </c>
      <c r="C242" s="211" t="n">
        <f aca="false">SUMIFS(Tabela1[VALOR],Tabela1[FECHA],A242)</f>
        <v>0</v>
      </c>
      <c r="D242" s="64" t="n">
        <f aca="false">B242-C242</f>
        <v>0</v>
      </c>
    </row>
    <row r="243" customFormat="false" ht="16.4" hidden="false" customHeight="false" outlineLevel="0" collapsed="false">
      <c r="A243" s="209" t="n">
        <v>46261</v>
      </c>
      <c r="B243" s="210" t="n">
        <f aca="false">SUMIFS(CRM[VALOR],CRM[FECHA],A243)</f>
        <v>0</v>
      </c>
      <c r="C243" s="211" t="n">
        <f aca="false">SUMIFS(Tabela1[VALOR],Tabela1[FECHA],A243)</f>
        <v>0</v>
      </c>
      <c r="D243" s="64" t="n">
        <f aca="false">B243-C243</f>
        <v>0</v>
      </c>
    </row>
    <row r="244" customFormat="false" ht="16.4" hidden="false" customHeight="false" outlineLevel="0" collapsed="false">
      <c r="A244" s="209" t="n">
        <v>46262</v>
      </c>
      <c r="B244" s="210" t="n">
        <f aca="false">SUMIFS(CRM[VALOR],CRM[FECHA],A244)</f>
        <v>0</v>
      </c>
      <c r="C244" s="211" t="n">
        <f aca="false">SUMIFS(Tabela1[VALOR],Tabela1[FECHA],A244)</f>
        <v>0</v>
      </c>
      <c r="D244" s="64" t="n">
        <f aca="false">B244-C244</f>
        <v>0</v>
      </c>
    </row>
    <row r="245" customFormat="false" ht="16.4" hidden="false" customHeight="false" outlineLevel="0" collapsed="false">
      <c r="A245" s="209" t="n">
        <v>46263</v>
      </c>
      <c r="B245" s="210" t="n">
        <f aca="false">SUMIFS(CRM[VALOR],CRM[FECHA],A245)</f>
        <v>0</v>
      </c>
      <c r="C245" s="211" t="n">
        <f aca="false">SUMIFS(Tabela1[VALOR],Tabela1[FECHA],A245)</f>
        <v>0</v>
      </c>
      <c r="D245" s="64" t="n">
        <f aca="false">B245-C245</f>
        <v>0</v>
      </c>
    </row>
    <row r="246" customFormat="false" ht="16.4" hidden="false" customHeight="false" outlineLevel="0" collapsed="false">
      <c r="A246" s="209" t="n">
        <v>46264</v>
      </c>
      <c r="B246" s="210" t="n">
        <f aca="false">SUMIFS(CRM[VALOR],CRM[FECHA],A246)</f>
        <v>0</v>
      </c>
      <c r="C246" s="211" t="n">
        <f aca="false">SUMIFS(Tabela1[VALOR],Tabela1[FECHA],A246)</f>
        <v>0</v>
      </c>
      <c r="D246" s="64" t="n">
        <f aca="false">B246-C246</f>
        <v>0</v>
      </c>
    </row>
    <row r="247" customFormat="false" ht="16.4" hidden="false" customHeight="false" outlineLevel="0" collapsed="false">
      <c r="A247" s="209" t="n">
        <v>46265</v>
      </c>
      <c r="B247" s="210" t="n">
        <f aca="false">SUMIFS(CRM[VALOR],CRM[FECHA],A247)</f>
        <v>0</v>
      </c>
      <c r="C247" s="211" t="n">
        <f aca="false">SUMIFS(Tabela1[VALOR],Tabela1[FECHA],A247)</f>
        <v>0</v>
      </c>
      <c r="D247" s="64" t="n">
        <f aca="false">B247-C247</f>
        <v>0</v>
      </c>
    </row>
    <row r="248" customFormat="false" ht="16.4" hidden="false" customHeight="false" outlineLevel="0" collapsed="false">
      <c r="A248" s="209" t="n">
        <v>46266</v>
      </c>
      <c r="B248" s="210" t="n">
        <f aca="false">SUMIFS(CRM[VALOR],CRM[FECHA],A248)</f>
        <v>0</v>
      </c>
      <c r="C248" s="211" t="n">
        <f aca="false">SUMIFS(Tabela1[VALOR],Tabela1[FECHA],A248)</f>
        <v>0</v>
      </c>
      <c r="D248" s="64" t="n">
        <f aca="false">B248-C248</f>
        <v>0</v>
      </c>
    </row>
    <row r="249" customFormat="false" ht="16.4" hidden="false" customHeight="false" outlineLevel="0" collapsed="false">
      <c r="A249" s="209" t="n">
        <v>46267</v>
      </c>
      <c r="B249" s="210" t="n">
        <f aca="false">SUMIFS(CRM[VALOR],CRM[FECHA],A249)</f>
        <v>0</v>
      </c>
      <c r="C249" s="211" t="n">
        <f aca="false">SUMIFS(Tabela1[VALOR],Tabela1[FECHA],A249)</f>
        <v>0</v>
      </c>
      <c r="D249" s="64" t="n">
        <f aca="false">B249-C249</f>
        <v>0</v>
      </c>
    </row>
    <row r="250" customFormat="false" ht="16.4" hidden="false" customHeight="false" outlineLevel="0" collapsed="false">
      <c r="A250" s="209" t="n">
        <v>46268</v>
      </c>
      <c r="B250" s="210" t="n">
        <f aca="false">SUMIFS(CRM[VALOR],CRM[FECHA],A250)</f>
        <v>0</v>
      </c>
      <c r="C250" s="211" t="n">
        <f aca="false">SUMIFS(Tabela1[VALOR],Tabela1[FECHA],A250)</f>
        <v>0</v>
      </c>
      <c r="D250" s="64" t="n">
        <f aca="false">B250-C250</f>
        <v>0</v>
      </c>
    </row>
    <row r="251" customFormat="false" ht="16.4" hidden="false" customHeight="false" outlineLevel="0" collapsed="false">
      <c r="A251" s="209" t="n">
        <v>46269</v>
      </c>
      <c r="B251" s="210" t="n">
        <f aca="false">SUMIFS(CRM[VALOR],CRM[FECHA],A251)</f>
        <v>0</v>
      </c>
      <c r="C251" s="211" t="n">
        <f aca="false">SUMIFS(Tabela1[VALOR],Tabela1[FECHA],A251)</f>
        <v>0</v>
      </c>
      <c r="D251" s="64" t="n">
        <f aca="false">B251-C251</f>
        <v>0</v>
      </c>
    </row>
    <row r="252" customFormat="false" ht="16.4" hidden="false" customHeight="false" outlineLevel="0" collapsed="false">
      <c r="A252" s="209" t="n">
        <v>46270</v>
      </c>
      <c r="B252" s="210" t="n">
        <f aca="false">SUMIFS(CRM[VALOR],CRM[FECHA],A252)</f>
        <v>0</v>
      </c>
      <c r="C252" s="211" t="n">
        <f aca="false">SUMIFS(Tabela1[VALOR],Tabela1[FECHA],A252)</f>
        <v>0</v>
      </c>
      <c r="D252" s="64" t="n">
        <f aca="false">B252-C252</f>
        <v>0</v>
      </c>
    </row>
    <row r="253" customFormat="false" ht="16.4" hidden="false" customHeight="false" outlineLevel="0" collapsed="false">
      <c r="A253" s="209" t="n">
        <v>46271</v>
      </c>
      <c r="B253" s="210" t="n">
        <f aca="false">SUMIFS(CRM[VALOR],CRM[FECHA],A253)</f>
        <v>0</v>
      </c>
      <c r="C253" s="211" t="n">
        <f aca="false">SUMIFS(Tabela1[VALOR],Tabela1[FECHA],A253)</f>
        <v>0</v>
      </c>
      <c r="D253" s="64" t="n">
        <f aca="false">B253-C253</f>
        <v>0</v>
      </c>
    </row>
    <row r="254" customFormat="false" ht="16.4" hidden="false" customHeight="false" outlineLevel="0" collapsed="false">
      <c r="A254" s="209" t="n">
        <v>46272</v>
      </c>
      <c r="B254" s="210" t="n">
        <f aca="false">SUMIFS(CRM[VALOR],CRM[FECHA],A254)</f>
        <v>0</v>
      </c>
      <c r="C254" s="211" t="n">
        <f aca="false">SUMIFS(Tabela1[VALOR],Tabela1[FECHA],A254)</f>
        <v>0</v>
      </c>
      <c r="D254" s="64" t="n">
        <f aca="false">B254-C254</f>
        <v>0</v>
      </c>
    </row>
    <row r="255" customFormat="false" ht="16.4" hidden="false" customHeight="false" outlineLevel="0" collapsed="false">
      <c r="A255" s="209" t="n">
        <v>46273</v>
      </c>
      <c r="B255" s="210" t="n">
        <f aca="false">SUMIFS(CRM[VALOR],CRM[FECHA],A255)</f>
        <v>0</v>
      </c>
      <c r="C255" s="211" t="n">
        <f aca="false">SUMIFS(Tabela1[VALOR],Tabela1[FECHA],A255)</f>
        <v>0</v>
      </c>
      <c r="D255" s="64" t="n">
        <f aca="false">B255-C255</f>
        <v>0</v>
      </c>
    </row>
    <row r="256" customFormat="false" ht="16.4" hidden="false" customHeight="false" outlineLevel="0" collapsed="false">
      <c r="A256" s="209" t="n">
        <v>46274</v>
      </c>
      <c r="B256" s="210" t="n">
        <f aca="false">SUMIFS(CRM[VALOR],CRM[FECHA],A256)</f>
        <v>0</v>
      </c>
      <c r="C256" s="211" t="n">
        <f aca="false">SUMIFS(Tabela1[VALOR],Tabela1[FECHA],A256)</f>
        <v>0</v>
      </c>
      <c r="D256" s="64" t="n">
        <f aca="false">B256-C256</f>
        <v>0</v>
      </c>
    </row>
    <row r="257" customFormat="false" ht="16.4" hidden="false" customHeight="false" outlineLevel="0" collapsed="false">
      <c r="A257" s="209" t="n">
        <v>46275</v>
      </c>
      <c r="B257" s="210" t="n">
        <f aca="false">SUMIFS(CRM[VALOR],CRM[FECHA],A257)</f>
        <v>0</v>
      </c>
      <c r="C257" s="211" t="n">
        <f aca="false">SUMIFS(Tabela1[VALOR],Tabela1[FECHA],A257)</f>
        <v>0</v>
      </c>
      <c r="D257" s="64" t="n">
        <f aca="false">B257-C257</f>
        <v>0</v>
      </c>
    </row>
    <row r="258" customFormat="false" ht="16.4" hidden="false" customHeight="false" outlineLevel="0" collapsed="false">
      <c r="A258" s="209" t="n">
        <v>46276</v>
      </c>
      <c r="B258" s="210" t="n">
        <f aca="false">SUMIFS(CRM[VALOR],CRM[FECHA],A258)</f>
        <v>0</v>
      </c>
      <c r="C258" s="211" t="n">
        <f aca="false">SUMIFS(Tabela1[VALOR],Tabela1[FECHA],A258)</f>
        <v>0</v>
      </c>
      <c r="D258" s="64" t="n">
        <f aca="false">B258-C258</f>
        <v>0</v>
      </c>
    </row>
    <row r="259" customFormat="false" ht="16.4" hidden="false" customHeight="false" outlineLevel="0" collapsed="false">
      <c r="A259" s="209" t="n">
        <v>46277</v>
      </c>
      <c r="B259" s="210" t="n">
        <f aca="false">SUMIFS(CRM[VALOR],CRM[FECHA],A259)</f>
        <v>0</v>
      </c>
      <c r="C259" s="211" t="n">
        <f aca="false">SUMIFS(Tabela1[VALOR],Tabela1[FECHA],A259)</f>
        <v>0</v>
      </c>
      <c r="D259" s="64" t="n">
        <f aca="false">B259-C259</f>
        <v>0</v>
      </c>
    </row>
    <row r="260" customFormat="false" ht="16.4" hidden="false" customHeight="false" outlineLevel="0" collapsed="false">
      <c r="A260" s="209" t="n">
        <v>46278</v>
      </c>
      <c r="B260" s="210" t="n">
        <f aca="false">SUMIFS(CRM[VALOR],CRM[FECHA],A260)</f>
        <v>0</v>
      </c>
      <c r="C260" s="211" t="n">
        <f aca="false">SUMIFS(Tabela1[VALOR],Tabela1[FECHA],A260)</f>
        <v>0</v>
      </c>
      <c r="D260" s="64" t="n">
        <f aca="false">B260-C260</f>
        <v>0</v>
      </c>
    </row>
    <row r="261" customFormat="false" ht="16.4" hidden="false" customHeight="false" outlineLevel="0" collapsed="false">
      <c r="A261" s="209" t="n">
        <v>46279</v>
      </c>
      <c r="B261" s="210" t="n">
        <f aca="false">SUMIFS(CRM[VALOR],CRM[FECHA],A261)</f>
        <v>0</v>
      </c>
      <c r="C261" s="211" t="n">
        <f aca="false">SUMIFS(Tabela1[VALOR],Tabela1[FECHA],A261)</f>
        <v>0</v>
      </c>
      <c r="D261" s="64" t="n">
        <f aca="false">B261-C261</f>
        <v>0</v>
      </c>
    </row>
    <row r="262" customFormat="false" ht="16.4" hidden="false" customHeight="false" outlineLevel="0" collapsed="false">
      <c r="A262" s="209" t="n">
        <v>46280</v>
      </c>
      <c r="B262" s="210" t="n">
        <f aca="false">SUMIFS(CRM[VALOR],CRM[FECHA],A262)</f>
        <v>0</v>
      </c>
      <c r="C262" s="211" t="n">
        <f aca="false">SUMIFS(Tabela1[VALOR],Tabela1[FECHA],A262)</f>
        <v>0</v>
      </c>
      <c r="D262" s="64" t="n">
        <f aca="false">B262-C262</f>
        <v>0</v>
      </c>
    </row>
    <row r="263" customFormat="false" ht="16.4" hidden="false" customHeight="false" outlineLevel="0" collapsed="false">
      <c r="A263" s="209" t="n">
        <v>46281</v>
      </c>
      <c r="B263" s="210" t="n">
        <f aca="false">SUMIFS(CRM[VALOR],CRM[FECHA],A263)</f>
        <v>0</v>
      </c>
      <c r="C263" s="211" t="n">
        <f aca="false">SUMIFS(Tabela1[VALOR],Tabela1[FECHA],A263)</f>
        <v>0</v>
      </c>
      <c r="D263" s="64" t="n">
        <f aca="false">B263-C263</f>
        <v>0</v>
      </c>
    </row>
    <row r="264" customFormat="false" ht="16.4" hidden="false" customHeight="false" outlineLevel="0" collapsed="false">
      <c r="A264" s="209" t="n">
        <v>46282</v>
      </c>
      <c r="B264" s="210" t="n">
        <f aca="false">SUMIFS(CRM[VALOR],CRM[FECHA],A264)</f>
        <v>0</v>
      </c>
      <c r="C264" s="211" t="n">
        <f aca="false">SUMIFS(Tabela1[VALOR],Tabela1[FECHA],A264)</f>
        <v>0</v>
      </c>
      <c r="D264" s="64" t="n">
        <f aca="false">B264-C264</f>
        <v>0</v>
      </c>
    </row>
    <row r="265" customFormat="false" ht="16.4" hidden="false" customHeight="false" outlineLevel="0" collapsed="false">
      <c r="A265" s="209" t="n">
        <v>46283</v>
      </c>
      <c r="B265" s="210" t="n">
        <f aca="false">SUMIFS(CRM[VALOR],CRM[FECHA],A265)</f>
        <v>0</v>
      </c>
      <c r="C265" s="211" t="n">
        <f aca="false">SUMIFS(Tabela1[VALOR],Tabela1[FECHA],A265)</f>
        <v>0</v>
      </c>
      <c r="D265" s="64" t="n">
        <f aca="false">B265-C265</f>
        <v>0</v>
      </c>
    </row>
    <row r="266" customFormat="false" ht="16.4" hidden="false" customHeight="false" outlineLevel="0" collapsed="false">
      <c r="A266" s="209" t="n">
        <v>46284</v>
      </c>
      <c r="B266" s="210" t="n">
        <f aca="false">SUMIFS(CRM[VALOR],CRM[FECHA],A266)</f>
        <v>0</v>
      </c>
      <c r="C266" s="211" t="n">
        <f aca="false">SUMIFS(Tabela1[VALOR],Tabela1[FECHA],A266)</f>
        <v>0</v>
      </c>
      <c r="D266" s="64" t="n">
        <f aca="false">B266-C266</f>
        <v>0</v>
      </c>
    </row>
    <row r="267" customFormat="false" ht="16.4" hidden="false" customHeight="false" outlineLevel="0" collapsed="false">
      <c r="A267" s="209" t="n">
        <v>46285</v>
      </c>
      <c r="B267" s="210" t="n">
        <f aca="false">SUMIFS(CRM[VALOR],CRM[FECHA],A267)</f>
        <v>0</v>
      </c>
      <c r="C267" s="211" t="n">
        <f aca="false">SUMIFS(Tabela1[VALOR],Tabela1[FECHA],A267)</f>
        <v>0</v>
      </c>
      <c r="D267" s="64" t="n">
        <f aca="false">B267-C267</f>
        <v>0</v>
      </c>
    </row>
    <row r="268" customFormat="false" ht="16.4" hidden="false" customHeight="false" outlineLevel="0" collapsed="false">
      <c r="A268" s="209" t="n">
        <v>46286</v>
      </c>
      <c r="B268" s="210" t="n">
        <f aca="false">SUMIFS(CRM[VALOR],CRM[FECHA],A268)</f>
        <v>0</v>
      </c>
      <c r="C268" s="211" t="n">
        <f aca="false">SUMIFS(Tabela1[VALOR],Tabela1[FECHA],A268)</f>
        <v>0</v>
      </c>
      <c r="D268" s="64" t="n">
        <f aca="false">B268-C268</f>
        <v>0</v>
      </c>
    </row>
    <row r="269" customFormat="false" ht="16.4" hidden="false" customHeight="false" outlineLevel="0" collapsed="false">
      <c r="A269" s="209" t="n">
        <v>46287</v>
      </c>
      <c r="B269" s="210" t="n">
        <f aca="false">SUMIFS(CRM[VALOR],CRM[FECHA],A269)</f>
        <v>0</v>
      </c>
      <c r="C269" s="211" t="n">
        <f aca="false">SUMIFS(Tabela1[VALOR],Tabela1[FECHA],A269)</f>
        <v>0</v>
      </c>
      <c r="D269" s="64" t="n">
        <f aca="false">B269-C269</f>
        <v>0</v>
      </c>
    </row>
    <row r="270" customFormat="false" ht="16.4" hidden="false" customHeight="false" outlineLevel="0" collapsed="false">
      <c r="A270" s="209" t="n">
        <v>46288</v>
      </c>
      <c r="B270" s="210" t="n">
        <f aca="false">SUMIFS(CRM[VALOR],CRM[FECHA],A270)</f>
        <v>0</v>
      </c>
      <c r="C270" s="211" t="n">
        <f aca="false">SUMIFS(Tabela1[VALOR],Tabela1[FECHA],A270)</f>
        <v>0</v>
      </c>
      <c r="D270" s="64" t="n">
        <f aca="false">B270-C270</f>
        <v>0</v>
      </c>
    </row>
    <row r="271" customFormat="false" ht="16.4" hidden="false" customHeight="false" outlineLevel="0" collapsed="false">
      <c r="A271" s="209" t="n">
        <v>46289</v>
      </c>
      <c r="B271" s="210" t="n">
        <f aca="false">SUMIFS(CRM[VALOR],CRM[FECHA],A271)</f>
        <v>0</v>
      </c>
      <c r="C271" s="211" t="n">
        <f aca="false">SUMIFS(Tabela1[VALOR],Tabela1[FECHA],A271)</f>
        <v>0</v>
      </c>
      <c r="D271" s="64" t="n">
        <f aca="false">B271-C271</f>
        <v>0</v>
      </c>
    </row>
    <row r="272" customFormat="false" ht="16.4" hidden="false" customHeight="false" outlineLevel="0" collapsed="false">
      <c r="A272" s="209" t="n">
        <v>46290</v>
      </c>
      <c r="B272" s="210" t="n">
        <f aca="false">SUMIFS(CRM[VALOR],CRM[FECHA],A272)</f>
        <v>0</v>
      </c>
      <c r="C272" s="211" t="n">
        <f aca="false">SUMIFS(Tabela1[VALOR],Tabela1[FECHA],A272)</f>
        <v>0</v>
      </c>
      <c r="D272" s="64" t="n">
        <f aca="false">B272-C272</f>
        <v>0</v>
      </c>
    </row>
    <row r="273" customFormat="false" ht="16.4" hidden="false" customHeight="false" outlineLevel="0" collapsed="false">
      <c r="A273" s="209" t="n">
        <v>46291</v>
      </c>
      <c r="B273" s="210" t="n">
        <f aca="false">SUMIFS(CRM[VALOR],CRM[FECHA],A273)</f>
        <v>0</v>
      </c>
      <c r="C273" s="211" t="n">
        <f aca="false">SUMIFS(Tabela1[VALOR],Tabela1[FECHA],A273)</f>
        <v>0</v>
      </c>
      <c r="D273" s="64" t="n">
        <f aca="false">B273-C273</f>
        <v>0</v>
      </c>
    </row>
    <row r="274" customFormat="false" ht="16.4" hidden="false" customHeight="false" outlineLevel="0" collapsed="false">
      <c r="A274" s="209" t="n">
        <v>46292</v>
      </c>
      <c r="B274" s="210" t="n">
        <f aca="false">SUMIFS(CRM[VALOR],CRM[FECHA],A274)</f>
        <v>0</v>
      </c>
      <c r="C274" s="211" t="n">
        <f aca="false">SUMIFS(Tabela1[VALOR],Tabela1[FECHA],A274)</f>
        <v>0</v>
      </c>
      <c r="D274" s="64" t="n">
        <f aca="false">B274-C274</f>
        <v>0</v>
      </c>
    </row>
    <row r="275" customFormat="false" ht="16.4" hidden="false" customHeight="false" outlineLevel="0" collapsed="false">
      <c r="A275" s="209" t="n">
        <v>46293</v>
      </c>
      <c r="B275" s="210" t="n">
        <f aca="false">SUMIFS(CRM[VALOR],CRM[FECHA],A275)</f>
        <v>0</v>
      </c>
      <c r="C275" s="211" t="n">
        <f aca="false">SUMIFS(Tabela1[VALOR],Tabela1[FECHA],A275)</f>
        <v>0</v>
      </c>
      <c r="D275" s="64" t="n">
        <f aca="false">B275-C275</f>
        <v>0</v>
      </c>
    </row>
    <row r="276" customFormat="false" ht="16.4" hidden="false" customHeight="false" outlineLevel="0" collapsed="false">
      <c r="A276" s="209" t="n">
        <v>46294</v>
      </c>
      <c r="B276" s="210" t="n">
        <f aca="false">SUMIFS(CRM[VALOR],CRM[FECHA],A276)</f>
        <v>0</v>
      </c>
      <c r="C276" s="211" t="n">
        <f aca="false">SUMIFS(Tabela1[VALOR],Tabela1[FECHA],A276)</f>
        <v>0</v>
      </c>
      <c r="D276" s="64" t="n">
        <f aca="false">B276-C276</f>
        <v>0</v>
      </c>
    </row>
    <row r="277" customFormat="false" ht="16.4" hidden="false" customHeight="false" outlineLevel="0" collapsed="false">
      <c r="A277" s="209" t="n">
        <v>46295</v>
      </c>
      <c r="B277" s="210" t="n">
        <f aca="false">SUMIFS(CRM[VALOR],CRM[FECHA],A277)</f>
        <v>0</v>
      </c>
      <c r="C277" s="211" t="n">
        <f aca="false">SUMIFS(Tabela1[VALOR],Tabela1[FECHA],A277)</f>
        <v>0</v>
      </c>
      <c r="D277" s="64" t="n">
        <f aca="false">B277-C277</f>
        <v>0</v>
      </c>
    </row>
    <row r="278" customFormat="false" ht="16.4" hidden="false" customHeight="false" outlineLevel="0" collapsed="false">
      <c r="A278" s="209" t="n">
        <v>46296</v>
      </c>
      <c r="B278" s="210" t="n">
        <f aca="false">SUMIFS(CRM[VALOR],CRM[FECHA],A278)</f>
        <v>0</v>
      </c>
      <c r="C278" s="211" t="n">
        <f aca="false">SUMIFS(Tabela1[VALOR],Tabela1[FECHA],A278)</f>
        <v>0</v>
      </c>
      <c r="D278" s="64" t="n">
        <f aca="false">B278-C278</f>
        <v>0</v>
      </c>
    </row>
    <row r="279" customFormat="false" ht="16.4" hidden="false" customHeight="false" outlineLevel="0" collapsed="false">
      <c r="A279" s="209" t="n">
        <v>46297</v>
      </c>
      <c r="B279" s="210" t="n">
        <f aca="false">SUMIFS(CRM[VALOR],CRM[FECHA],A279)</f>
        <v>0</v>
      </c>
      <c r="C279" s="211" t="n">
        <f aca="false">SUMIFS(Tabela1[VALOR],Tabela1[FECHA],A279)</f>
        <v>0</v>
      </c>
      <c r="D279" s="64" t="n">
        <f aca="false">B279-C279</f>
        <v>0</v>
      </c>
    </row>
    <row r="280" customFormat="false" ht="16.4" hidden="false" customHeight="false" outlineLevel="0" collapsed="false">
      <c r="A280" s="209" t="n">
        <v>46298</v>
      </c>
      <c r="B280" s="210" t="n">
        <f aca="false">SUMIFS(CRM[VALOR],CRM[FECHA],A280)</f>
        <v>0</v>
      </c>
      <c r="C280" s="211" t="n">
        <f aca="false">SUMIFS(Tabela1[VALOR],Tabela1[FECHA],A280)</f>
        <v>0</v>
      </c>
      <c r="D280" s="64" t="n">
        <f aca="false">B280-C280</f>
        <v>0</v>
      </c>
    </row>
    <row r="281" customFormat="false" ht="16.4" hidden="false" customHeight="false" outlineLevel="0" collapsed="false">
      <c r="A281" s="209" t="n">
        <v>46299</v>
      </c>
      <c r="B281" s="210" t="n">
        <f aca="false">SUMIFS(CRM[VALOR],CRM[FECHA],A281)</f>
        <v>0</v>
      </c>
      <c r="C281" s="211" t="n">
        <f aca="false">SUMIFS(Tabela1[VALOR],Tabela1[FECHA],A281)</f>
        <v>0</v>
      </c>
      <c r="D281" s="64" t="n">
        <f aca="false">B281-C281</f>
        <v>0</v>
      </c>
    </row>
    <row r="282" customFormat="false" ht="16.4" hidden="false" customHeight="false" outlineLevel="0" collapsed="false">
      <c r="A282" s="209" t="n">
        <v>46300</v>
      </c>
      <c r="B282" s="210" t="n">
        <f aca="false">SUMIFS(CRM[VALOR],CRM[FECHA],A282)</f>
        <v>0</v>
      </c>
      <c r="C282" s="211" t="n">
        <f aca="false">SUMIFS(Tabela1[VALOR],Tabela1[FECHA],A282)</f>
        <v>0</v>
      </c>
      <c r="D282" s="64" t="n">
        <f aca="false">B282-C282</f>
        <v>0</v>
      </c>
    </row>
    <row r="283" customFormat="false" ht="16.4" hidden="false" customHeight="false" outlineLevel="0" collapsed="false">
      <c r="A283" s="209" t="n">
        <v>46301</v>
      </c>
      <c r="B283" s="210" t="n">
        <f aca="false">SUMIFS(CRM[VALOR],CRM[FECHA],A283)</f>
        <v>0</v>
      </c>
      <c r="C283" s="211" t="n">
        <f aca="false">SUMIFS(Tabela1[VALOR],Tabela1[FECHA],A283)</f>
        <v>0</v>
      </c>
      <c r="D283" s="64" t="n">
        <f aca="false">B283-C283</f>
        <v>0</v>
      </c>
    </row>
    <row r="284" customFormat="false" ht="16.4" hidden="false" customHeight="false" outlineLevel="0" collapsed="false">
      <c r="A284" s="209" t="n">
        <v>46302</v>
      </c>
      <c r="B284" s="210" t="n">
        <f aca="false">SUMIFS(CRM[VALOR],CRM[FECHA],A284)</f>
        <v>0</v>
      </c>
      <c r="C284" s="211" t="n">
        <f aca="false">SUMIFS(Tabela1[VALOR],Tabela1[FECHA],A284)</f>
        <v>0</v>
      </c>
      <c r="D284" s="64" t="n">
        <f aca="false">B284-C284</f>
        <v>0</v>
      </c>
    </row>
    <row r="285" customFormat="false" ht="16.4" hidden="false" customHeight="false" outlineLevel="0" collapsed="false">
      <c r="A285" s="209" t="n">
        <v>46303</v>
      </c>
      <c r="B285" s="210" t="n">
        <f aca="false">SUMIFS(CRM[VALOR],CRM[FECHA],A285)</f>
        <v>0</v>
      </c>
      <c r="C285" s="211" t="n">
        <f aca="false">SUMIFS(Tabela1[VALOR],Tabela1[FECHA],A285)</f>
        <v>0</v>
      </c>
      <c r="D285" s="64" t="n">
        <f aca="false">B285-C285</f>
        <v>0</v>
      </c>
    </row>
    <row r="286" customFormat="false" ht="16.4" hidden="false" customHeight="false" outlineLevel="0" collapsed="false">
      <c r="A286" s="209" t="n">
        <v>46304</v>
      </c>
      <c r="B286" s="210" t="n">
        <f aca="false">SUMIFS(CRM[VALOR],CRM[FECHA],A286)</f>
        <v>0</v>
      </c>
      <c r="C286" s="211" t="n">
        <f aca="false">SUMIFS(Tabela1[VALOR],Tabela1[FECHA],A286)</f>
        <v>0</v>
      </c>
      <c r="D286" s="64" t="n">
        <f aca="false">B286-C286</f>
        <v>0</v>
      </c>
    </row>
    <row r="287" customFormat="false" ht="16.4" hidden="false" customHeight="false" outlineLevel="0" collapsed="false">
      <c r="A287" s="209" t="n">
        <v>46305</v>
      </c>
      <c r="B287" s="210" t="n">
        <f aca="false">SUMIFS(CRM[VALOR],CRM[FECHA],A287)</f>
        <v>0</v>
      </c>
      <c r="C287" s="211" t="n">
        <f aca="false">SUMIFS(Tabela1[VALOR],Tabela1[FECHA],A287)</f>
        <v>0</v>
      </c>
      <c r="D287" s="64" t="n">
        <f aca="false">B287-C287</f>
        <v>0</v>
      </c>
    </row>
    <row r="288" customFormat="false" ht="16.4" hidden="false" customHeight="false" outlineLevel="0" collapsed="false">
      <c r="A288" s="209" t="n">
        <v>46306</v>
      </c>
      <c r="B288" s="210" t="n">
        <f aca="false">SUMIFS(CRM[VALOR],CRM[FECHA],A288)</f>
        <v>0</v>
      </c>
      <c r="C288" s="211" t="n">
        <f aca="false">SUMIFS(Tabela1[VALOR],Tabela1[FECHA],A288)</f>
        <v>0</v>
      </c>
      <c r="D288" s="64" t="n">
        <f aca="false">B288-C288</f>
        <v>0</v>
      </c>
    </row>
    <row r="289" customFormat="false" ht="16.4" hidden="false" customHeight="false" outlineLevel="0" collapsed="false">
      <c r="A289" s="209" t="n">
        <v>46307</v>
      </c>
      <c r="B289" s="210" t="n">
        <f aca="false">SUMIFS(CRM[VALOR],CRM[FECHA],A289)</f>
        <v>0</v>
      </c>
      <c r="C289" s="211" t="n">
        <f aca="false">SUMIFS(Tabela1[VALOR],Tabela1[FECHA],A289)</f>
        <v>0</v>
      </c>
      <c r="D289" s="64" t="n">
        <f aca="false">B289-C289</f>
        <v>0</v>
      </c>
    </row>
    <row r="290" customFormat="false" ht="16.4" hidden="false" customHeight="false" outlineLevel="0" collapsed="false">
      <c r="A290" s="209" t="n">
        <v>46308</v>
      </c>
      <c r="B290" s="210" t="n">
        <f aca="false">SUMIFS(CRM[VALOR],CRM[FECHA],A290)</f>
        <v>0</v>
      </c>
      <c r="C290" s="211" t="n">
        <f aca="false">SUMIFS(Tabela1[VALOR],Tabela1[FECHA],A290)</f>
        <v>0</v>
      </c>
      <c r="D290" s="64" t="n">
        <f aca="false">B290-C290</f>
        <v>0</v>
      </c>
    </row>
    <row r="291" customFormat="false" ht="16.4" hidden="false" customHeight="false" outlineLevel="0" collapsed="false">
      <c r="A291" s="209" t="n">
        <v>46309</v>
      </c>
      <c r="B291" s="210" t="n">
        <f aca="false">SUMIFS(CRM[VALOR],CRM[FECHA],A291)</f>
        <v>0</v>
      </c>
      <c r="C291" s="211" t="n">
        <f aca="false">SUMIFS(Tabela1[VALOR],Tabela1[FECHA],A291)</f>
        <v>0</v>
      </c>
      <c r="D291" s="64" t="n">
        <f aca="false">B291-C291</f>
        <v>0</v>
      </c>
    </row>
    <row r="292" customFormat="false" ht="16.4" hidden="false" customHeight="false" outlineLevel="0" collapsed="false">
      <c r="A292" s="209" t="n">
        <v>46310</v>
      </c>
      <c r="B292" s="210" t="n">
        <f aca="false">SUMIFS(CRM[VALOR],CRM[FECHA],A292)</f>
        <v>0</v>
      </c>
      <c r="C292" s="211" t="n">
        <f aca="false">SUMIFS(Tabela1[VALOR],Tabela1[FECHA],A292)</f>
        <v>0</v>
      </c>
      <c r="D292" s="64" t="n">
        <f aca="false">B292-C292</f>
        <v>0</v>
      </c>
    </row>
    <row r="293" customFormat="false" ht="16.4" hidden="false" customHeight="false" outlineLevel="0" collapsed="false">
      <c r="A293" s="209" t="n">
        <v>46311</v>
      </c>
      <c r="B293" s="210" t="n">
        <f aca="false">SUMIFS(CRM[VALOR],CRM[FECHA],A293)</f>
        <v>0</v>
      </c>
      <c r="C293" s="211" t="n">
        <f aca="false">SUMIFS(Tabela1[VALOR],Tabela1[FECHA],A293)</f>
        <v>0</v>
      </c>
      <c r="D293" s="64" t="n">
        <f aca="false">B293-C293</f>
        <v>0</v>
      </c>
    </row>
    <row r="294" customFormat="false" ht="16.4" hidden="false" customHeight="false" outlineLevel="0" collapsed="false">
      <c r="A294" s="209" t="n">
        <v>46312</v>
      </c>
      <c r="B294" s="210" t="n">
        <f aca="false">SUMIFS(CRM[VALOR],CRM[FECHA],A294)</f>
        <v>0</v>
      </c>
      <c r="C294" s="211" t="n">
        <f aca="false">SUMIFS(Tabela1[VALOR],Tabela1[FECHA],A294)</f>
        <v>0</v>
      </c>
      <c r="D294" s="64" t="n">
        <f aca="false">B294-C294</f>
        <v>0</v>
      </c>
    </row>
    <row r="295" customFormat="false" ht="16.4" hidden="false" customHeight="false" outlineLevel="0" collapsed="false">
      <c r="A295" s="209" t="n">
        <v>46313</v>
      </c>
      <c r="B295" s="210" t="n">
        <f aca="false">SUMIFS(CRM[VALOR],CRM[FECHA],A295)</f>
        <v>0</v>
      </c>
      <c r="C295" s="211" t="n">
        <f aca="false">SUMIFS(Tabela1[VALOR],Tabela1[FECHA],A295)</f>
        <v>0</v>
      </c>
      <c r="D295" s="64" t="n">
        <f aca="false">B295-C295</f>
        <v>0</v>
      </c>
    </row>
    <row r="296" customFormat="false" ht="16.4" hidden="false" customHeight="false" outlineLevel="0" collapsed="false">
      <c r="A296" s="209" t="n">
        <v>46314</v>
      </c>
      <c r="B296" s="210" t="n">
        <f aca="false">SUMIFS(CRM[VALOR],CRM[FECHA],A296)</f>
        <v>0</v>
      </c>
      <c r="C296" s="211" t="n">
        <f aca="false">SUMIFS(Tabela1[VALOR],Tabela1[FECHA],A296)</f>
        <v>0</v>
      </c>
      <c r="D296" s="64" t="n">
        <f aca="false">B296-C296</f>
        <v>0</v>
      </c>
    </row>
    <row r="297" customFormat="false" ht="16.4" hidden="false" customHeight="false" outlineLevel="0" collapsed="false">
      <c r="A297" s="209" t="n">
        <v>46315</v>
      </c>
      <c r="B297" s="210" t="n">
        <f aca="false">SUMIFS(CRM[VALOR],CRM[FECHA],A297)</f>
        <v>0</v>
      </c>
      <c r="C297" s="211" t="n">
        <f aca="false">SUMIFS(Tabela1[VALOR],Tabela1[FECHA],A297)</f>
        <v>0</v>
      </c>
      <c r="D297" s="64" t="n">
        <f aca="false">B297-C297</f>
        <v>0</v>
      </c>
    </row>
    <row r="298" customFormat="false" ht="16.4" hidden="false" customHeight="false" outlineLevel="0" collapsed="false">
      <c r="A298" s="209" t="n">
        <v>46316</v>
      </c>
      <c r="B298" s="210" t="n">
        <f aca="false">SUMIFS(CRM[VALOR],CRM[FECHA],A298)</f>
        <v>0</v>
      </c>
      <c r="C298" s="211" t="n">
        <f aca="false">SUMIFS(Tabela1[VALOR],Tabela1[FECHA],A298)</f>
        <v>0</v>
      </c>
      <c r="D298" s="64" t="n">
        <f aca="false">B298-C298</f>
        <v>0</v>
      </c>
    </row>
    <row r="299" customFormat="false" ht="16.4" hidden="false" customHeight="false" outlineLevel="0" collapsed="false">
      <c r="A299" s="209" t="n">
        <v>46317</v>
      </c>
      <c r="B299" s="210" t="n">
        <f aca="false">SUMIFS(CRM[VALOR],CRM[FECHA],A299)</f>
        <v>0</v>
      </c>
      <c r="C299" s="211" t="n">
        <f aca="false">SUMIFS(Tabela1[VALOR],Tabela1[FECHA],A299)</f>
        <v>0</v>
      </c>
      <c r="D299" s="64" t="n">
        <f aca="false">B299-C299</f>
        <v>0</v>
      </c>
    </row>
    <row r="300" customFormat="false" ht="16.4" hidden="false" customHeight="false" outlineLevel="0" collapsed="false">
      <c r="A300" s="209" t="n">
        <v>46318</v>
      </c>
      <c r="B300" s="210" t="n">
        <f aca="false">SUMIFS(CRM[VALOR],CRM[FECHA],A300)</f>
        <v>0</v>
      </c>
      <c r="C300" s="211" t="n">
        <f aca="false">SUMIFS(Tabela1[VALOR],Tabela1[FECHA],A300)</f>
        <v>0</v>
      </c>
      <c r="D300" s="64" t="n">
        <f aca="false">B300-C300</f>
        <v>0</v>
      </c>
    </row>
    <row r="301" customFormat="false" ht="16.4" hidden="false" customHeight="false" outlineLevel="0" collapsed="false">
      <c r="A301" s="209" t="n">
        <v>46319</v>
      </c>
      <c r="B301" s="210" t="n">
        <f aca="false">SUMIFS(CRM[VALOR],CRM[FECHA],A301)</f>
        <v>0</v>
      </c>
      <c r="C301" s="211" t="n">
        <f aca="false">SUMIFS(Tabela1[VALOR],Tabela1[FECHA],A301)</f>
        <v>0</v>
      </c>
      <c r="D301" s="64" t="n">
        <f aca="false">B301-C301</f>
        <v>0</v>
      </c>
    </row>
    <row r="302" customFormat="false" ht="16.4" hidden="false" customHeight="false" outlineLevel="0" collapsed="false">
      <c r="A302" s="209" t="n">
        <v>46320</v>
      </c>
      <c r="B302" s="210" t="n">
        <f aca="false">SUMIFS(CRM[VALOR],CRM[FECHA],A302)</f>
        <v>0</v>
      </c>
      <c r="C302" s="211" t="n">
        <f aca="false">SUMIFS(Tabela1[VALOR],Tabela1[FECHA],A302)</f>
        <v>0</v>
      </c>
      <c r="D302" s="64" t="n">
        <f aca="false">B302-C302</f>
        <v>0</v>
      </c>
    </row>
    <row r="303" customFormat="false" ht="16.4" hidden="false" customHeight="false" outlineLevel="0" collapsed="false">
      <c r="A303" s="209" t="n">
        <v>46321</v>
      </c>
      <c r="B303" s="210" t="n">
        <f aca="false">SUMIFS(CRM[VALOR],CRM[FECHA],A303)</f>
        <v>0</v>
      </c>
      <c r="C303" s="211" t="n">
        <f aca="false">SUMIFS(Tabela1[VALOR],Tabela1[FECHA],A303)</f>
        <v>0</v>
      </c>
      <c r="D303" s="64" t="n">
        <f aca="false">B303-C303</f>
        <v>0</v>
      </c>
    </row>
    <row r="304" customFormat="false" ht="16.4" hidden="false" customHeight="false" outlineLevel="0" collapsed="false">
      <c r="A304" s="209" t="n">
        <v>46322</v>
      </c>
      <c r="B304" s="210" t="n">
        <f aca="false">SUMIFS(CRM[VALOR],CRM[FECHA],A304)</f>
        <v>0</v>
      </c>
      <c r="C304" s="211" t="n">
        <f aca="false">SUMIFS(Tabela1[VALOR],Tabela1[FECHA],A304)</f>
        <v>0</v>
      </c>
      <c r="D304" s="64" t="n">
        <f aca="false">B304-C304</f>
        <v>0</v>
      </c>
    </row>
    <row r="305" customFormat="false" ht="16.4" hidden="false" customHeight="false" outlineLevel="0" collapsed="false">
      <c r="A305" s="209" t="n">
        <v>46323</v>
      </c>
      <c r="B305" s="210" t="n">
        <f aca="false">SUMIFS(CRM[VALOR],CRM[FECHA],A305)</f>
        <v>0</v>
      </c>
      <c r="C305" s="211" t="n">
        <f aca="false">SUMIFS(Tabela1[VALOR],Tabela1[FECHA],A305)</f>
        <v>0</v>
      </c>
      <c r="D305" s="64" t="n">
        <f aca="false">B305-C305</f>
        <v>0</v>
      </c>
    </row>
    <row r="306" customFormat="false" ht="16.4" hidden="false" customHeight="false" outlineLevel="0" collapsed="false">
      <c r="A306" s="209" t="n">
        <v>46324</v>
      </c>
      <c r="B306" s="210" t="n">
        <f aca="false">SUMIFS(CRM[VALOR],CRM[FECHA],A306)</f>
        <v>0</v>
      </c>
      <c r="C306" s="211" t="n">
        <f aca="false">SUMIFS(Tabela1[VALOR],Tabela1[FECHA],A306)</f>
        <v>0</v>
      </c>
      <c r="D306" s="64" t="n">
        <f aca="false">B306-C306</f>
        <v>0</v>
      </c>
    </row>
    <row r="307" customFormat="false" ht="16.4" hidden="false" customHeight="false" outlineLevel="0" collapsed="false">
      <c r="A307" s="209" t="n">
        <v>46325</v>
      </c>
      <c r="B307" s="210" t="n">
        <f aca="false">SUMIFS(CRM[VALOR],CRM[FECHA],A307)</f>
        <v>0</v>
      </c>
      <c r="C307" s="211" t="n">
        <f aca="false">SUMIFS(Tabela1[VALOR],Tabela1[FECHA],A307)</f>
        <v>0</v>
      </c>
      <c r="D307" s="64" t="n">
        <f aca="false">B307-C307</f>
        <v>0</v>
      </c>
    </row>
    <row r="308" customFormat="false" ht="16.4" hidden="false" customHeight="false" outlineLevel="0" collapsed="false">
      <c r="A308" s="209" t="n">
        <v>46326</v>
      </c>
      <c r="B308" s="210" t="n">
        <f aca="false">SUMIFS(CRM[VALOR],CRM[FECHA],A308)</f>
        <v>0</v>
      </c>
      <c r="C308" s="211" t="n">
        <f aca="false">SUMIFS(Tabela1[VALOR],Tabela1[FECHA],A308)</f>
        <v>0</v>
      </c>
      <c r="D308" s="64" t="n">
        <f aca="false">B308-C308</f>
        <v>0</v>
      </c>
    </row>
    <row r="309" customFormat="false" ht="16.4" hidden="false" customHeight="false" outlineLevel="0" collapsed="false">
      <c r="A309" s="209" t="n">
        <v>46327</v>
      </c>
      <c r="B309" s="210" t="n">
        <f aca="false">SUMIFS(CRM[VALOR],CRM[FECHA],A309)</f>
        <v>0</v>
      </c>
      <c r="C309" s="211" t="n">
        <f aca="false">SUMIFS(Tabela1[VALOR],Tabela1[FECHA],A309)</f>
        <v>0</v>
      </c>
      <c r="D309" s="64" t="n">
        <f aca="false">B309-C309</f>
        <v>0</v>
      </c>
    </row>
    <row r="310" customFormat="false" ht="16.4" hidden="false" customHeight="false" outlineLevel="0" collapsed="false">
      <c r="A310" s="209" t="n">
        <v>46328</v>
      </c>
      <c r="B310" s="210" t="n">
        <f aca="false">SUMIFS(CRM[VALOR],CRM[FECHA],A310)</f>
        <v>0</v>
      </c>
      <c r="C310" s="211" t="n">
        <f aca="false">SUMIFS(Tabela1[VALOR],Tabela1[FECHA],A310)</f>
        <v>0</v>
      </c>
      <c r="D310" s="64" t="n">
        <f aca="false">B310-C310</f>
        <v>0</v>
      </c>
    </row>
    <row r="311" customFormat="false" ht="16.4" hidden="false" customHeight="false" outlineLevel="0" collapsed="false">
      <c r="A311" s="209" t="n">
        <v>46329</v>
      </c>
      <c r="B311" s="210" t="n">
        <f aca="false">SUMIFS(CRM[VALOR],CRM[FECHA],A311)</f>
        <v>0</v>
      </c>
      <c r="C311" s="211" t="n">
        <f aca="false">SUMIFS(Tabela1[VALOR],Tabela1[FECHA],A311)</f>
        <v>0</v>
      </c>
      <c r="D311" s="64" t="n">
        <f aca="false">B311-C311</f>
        <v>0</v>
      </c>
    </row>
    <row r="312" customFormat="false" ht="16.4" hidden="false" customHeight="false" outlineLevel="0" collapsed="false">
      <c r="A312" s="209" t="n">
        <v>46330</v>
      </c>
      <c r="B312" s="210" t="n">
        <f aca="false">SUMIFS(CRM[VALOR],CRM[FECHA],A312)</f>
        <v>0</v>
      </c>
      <c r="C312" s="211" t="n">
        <f aca="false">SUMIFS(Tabela1[VALOR],Tabela1[FECHA],A312)</f>
        <v>0</v>
      </c>
      <c r="D312" s="64" t="n">
        <f aca="false">B312-C312</f>
        <v>0</v>
      </c>
    </row>
    <row r="313" customFormat="false" ht="16.4" hidden="false" customHeight="false" outlineLevel="0" collapsed="false">
      <c r="A313" s="209" t="n">
        <v>46331</v>
      </c>
      <c r="B313" s="210" t="n">
        <f aca="false">SUMIFS(CRM[VALOR],CRM[FECHA],A313)</f>
        <v>0</v>
      </c>
      <c r="C313" s="211" t="n">
        <f aca="false">SUMIFS(Tabela1[VALOR],Tabela1[FECHA],A313)</f>
        <v>0</v>
      </c>
      <c r="D313" s="64" t="n">
        <f aca="false">B313-C313</f>
        <v>0</v>
      </c>
    </row>
    <row r="314" customFormat="false" ht="16.4" hidden="false" customHeight="false" outlineLevel="0" collapsed="false">
      <c r="A314" s="209" t="n">
        <v>46332</v>
      </c>
      <c r="B314" s="210" t="n">
        <f aca="false">SUMIFS(CRM[VALOR],CRM[FECHA],A314)</f>
        <v>0</v>
      </c>
      <c r="C314" s="211" t="n">
        <f aca="false">SUMIFS(Tabela1[VALOR],Tabela1[FECHA],A314)</f>
        <v>0</v>
      </c>
      <c r="D314" s="64" t="n">
        <f aca="false">B314-C314</f>
        <v>0</v>
      </c>
    </row>
    <row r="315" customFormat="false" ht="16.4" hidden="false" customHeight="false" outlineLevel="0" collapsed="false">
      <c r="A315" s="209" t="n">
        <v>46333</v>
      </c>
      <c r="B315" s="210" t="n">
        <f aca="false">SUMIFS(CRM[VALOR],CRM[FECHA],A315)</f>
        <v>0</v>
      </c>
      <c r="C315" s="211" t="n">
        <f aca="false">SUMIFS(Tabela1[VALOR],Tabela1[FECHA],A315)</f>
        <v>0</v>
      </c>
      <c r="D315" s="64" t="n">
        <f aca="false">B315-C315</f>
        <v>0</v>
      </c>
    </row>
    <row r="316" customFormat="false" ht="16.4" hidden="false" customHeight="false" outlineLevel="0" collapsed="false">
      <c r="A316" s="209" t="n">
        <v>46334</v>
      </c>
      <c r="B316" s="210" t="n">
        <f aca="false">SUMIFS(CRM[VALOR],CRM[FECHA],A316)</f>
        <v>0</v>
      </c>
      <c r="C316" s="211" t="n">
        <f aca="false">SUMIFS(Tabela1[VALOR],Tabela1[FECHA],A316)</f>
        <v>0</v>
      </c>
      <c r="D316" s="64" t="n">
        <f aca="false">B316-C316</f>
        <v>0</v>
      </c>
    </row>
    <row r="317" customFormat="false" ht="16.4" hidden="false" customHeight="false" outlineLevel="0" collapsed="false">
      <c r="A317" s="209" t="n">
        <v>46335</v>
      </c>
      <c r="B317" s="210" t="n">
        <f aca="false">SUMIFS(CRM[VALOR],CRM[FECHA],A317)</f>
        <v>0</v>
      </c>
      <c r="C317" s="211" t="n">
        <f aca="false">SUMIFS(Tabela1[VALOR],Tabela1[FECHA],A317)</f>
        <v>0</v>
      </c>
      <c r="D317" s="64" t="n">
        <f aca="false">B317-C317</f>
        <v>0</v>
      </c>
    </row>
    <row r="318" customFormat="false" ht="16.4" hidden="false" customHeight="false" outlineLevel="0" collapsed="false">
      <c r="A318" s="209" t="n">
        <v>46336</v>
      </c>
      <c r="B318" s="210" t="n">
        <f aca="false">SUMIFS(CRM[VALOR],CRM[FECHA],A318)</f>
        <v>0</v>
      </c>
      <c r="C318" s="211" t="n">
        <f aca="false">SUMIFS(Tabela1[VALOR],Tabela1[FECHA],A318)</f>
        <v>0</v>
      </c>
      <c r="D318" s="64" t="n">
        <f aca="false">B318-C318</f>
        <v>0</v>
      </c>
    </row>
    <row r="319" customFormat="false" ht="16.4" hidden="false" customHeight="false" outlineLevel="0" collapsed="false">
      <c r="A319" s="209" t="n">
        <v>46337</v>
      </c>
      <c r="B319" s="210" t="n">
        <f aca="false">SUMIFS(CRM[VALOR],CRM[FECHA],A319)</f>
        <v>0</v>
      </c>
      <c r="C319" s="211" t="n">
        <f aca="false">SUMIFS(Tabela1[VALOR],Tabela1[FECHA],A319)</f>
        <v>0</v>
      </c>
      <c r="D319" s="64" t="n">
        <f aca="false">B319-C319</f>
        <v>0</v>
      </c>
    </row>
    <row r="320" customFormat="false" ht="16.4" hidden="false" customHeight="false" outlineLevel="0" collapsed="false">
      <c r="A320" s="209" t="n">
        <v>46338</v>
      </c>
      <c r="B320" s="210" t="n">
        <f aca="false">SUMIFS(CRM[VALOR],CRM[FECHA],A320)</f>
        <v>0</v>
      </c>
      <c r="C320" s="211" t="n">
        <f aca="false">SUMIFS(Tabela1[VALOR],Tabela1[FECHA],A320)</f>
        <v>0</v>
      </c>
      <c r="D320" s="64" t="n">
        <f aca="false">B320-C320</f>
        <v>0</v>
      </c>
    </row>
    <row r="321" customFormat="false" ht="16.4" hidden="false" customHeight="false" outlineLevel="0" collapsed="false">
      <c r="A321" s="209" t="n">
        <v>46339</v>
      </c>
      <c r="B321" s="210" t="n">
        <f aca="false">SUMIFS(CRM[VALOR],CRM[FECHA],A321)</f>
        <v>0</v>
      </c>
      <c r="C321" s="211" t="n">
        <f aca="false">SUMIFS(Tabela1[VALOR],Tabela1[FECHA],A321)</f>
        <v>0</v>
      </c>
      <c r="D321" s="64" t="n">
        <f aca="false">B321-C321</f>
        <v>0</v>
      </c>
    </row>
    <row r="322" customFormat="false" ht="16.4" hidden="false" customHeight="false" outlineLevel="0" collapsed="false">
      <c r="A322" s="209" t="n">
        <v>46340</v>
      </c>
      <c r="B322" s="210" t="n">
        <f aca="false">SUMIFS(CRM[VALOR],CRM[FECHA],A322)</f>
        <v>0</v>
      </c>
      <c r="C322" s="211" t="n">
        <f aca="false">SUMIFS(Tabela1[VALOR],Tabela1[FECHA],A322)</f>
        <v>0</v>
      </c>
      <c r="D322" s="64" t="n">
        <f aca="false">B322-C322</f>
        <v>0</v>
      </c>
    </row>
    <row r="323" customFormat="false" ht="16.4" hidden="false" customHeight="false" outlineLevel="0" collapsed="false">
      <c r="A323" s="209" t="n">
        <v>46341</v>
      </c>
      <c r="B323" s="210" t="n">
        <f aca="false">SUMIFS(CRM[VALOR],CRM[FECHA],A323)</f>
        <v>0</v>
      </c>
      <c r="C323" s="211" t="n">
        <f aca="false">SUMIFS(Tabela1[VALOR],Tabela1[FECHA],A323)</f>
        <v>0</v>
      </c>
      <c r="D323" s="64" t="n">
        <f aca="false">B323-C323</f>
        <v>0</v>
      </c>
    </row>
    <row r="324" customFormat="false" ht="16.4" hidden="false" customHeight="false" outlineLevel="0" collapsed="false">
      <c r="A324" s="209" t="n">
        <v>46342</v>
      </c>
      <c r="B324" s="210" t="n">
        <f aca="false">SUMIFS(CRM[VALOR],CRM[FECHA],A324)</f>
        <v>0</v>
      </c>
      <c r="C324" s="211" t="n">
        <f aca="false">SUMIFS(Tabela1[VALOR],Tabela1[FECHA],A324)</f>
        <v>0</v>
      </c>
      <c r="D324" s="64" t="n">
        <f aca="false">B324-C324</f>
        <v>0</v>
      </c>
    </row>
    <row r="325" customFormat="false" ht="16.4" hidden="false" customHeight="false" outlineLevel="0" collapsed="false">
      <c r="A325" s="209" t="n">
        <v>46343</v>
      </c>
      <c r="B325" s="210" t="n">
        <f aca="false">SUMIFS(CRM[VALOR],CRM[FECHA],A325)</f>
        <v>0</v>
      </c>
      <c r="C325" s="211" t="n">
        <f aca="false">SUMIFS(Tabela1[VALOR],Tabela1[FECHA],A325)</f>
        <v>0</v>
      </c>
      <c r="D325" s="64" t="n">
        <f aca="false">B325-C325</f>
        <v>0</v>
      </c>
    </row>
    <row r="326" customFormat="false" ht="16.4" hidden="false" customHeight="false" outlineLevel="0" collapsed="false">
      <c r="A326" s="209" t="n">
        <v>46344</v>
      </c>
      <c r="B326" s="210" t="n">
        <f aca="false">SUMIFS(CRM[VALOR],CRM[FECHA],A326)</f>
        <v>0</v>
      </c>
      <c r="C326" s="211" t="n">
        <f aca="false">SUMIFS(Tabela1[VALOR],Tabela1[FECHA],A326)</f>
        <v>0</v>
      </c>
      <c r="D326" s="64" t="n">
        <f aca="false">B326-C326</f>
        <v>0</v>
      </c>
    </row>
    <row r="327" customFormat="false" ht="16.4" hidden="false" customHeight="false" outlineLevel="0" collapsed="false">
      <c r="A327" s="209" t="n">
        <v>46345</v>
      </c>
      <c r="B327" s="210" t="n">
        <f aca="false">SUMIFS(CRM[VALOR],CRM[FECHA],A327)</f>
        <v>0</v>
      </c>
      <c r="C327" s="211" t="n">
        <f aca="false">SUMIFS(Tabela1[VALOR],Tabela1[FECHA],A327)</f>
        <v>0</v>
      </c>
      <c r="D327" s="64" t="n">
        <f aca="false">B327-C327</f>
        <v>0</v>
      </c>
    </row>
    <row r="328" customFormat="false" ht="16.4" hidden="false" customHeight="false" outlineLevel="0" collapsed="false">
      <c r="A328" s="209" t="n">
        <v>46346</v>
      </c>
      <c r="B328" s="210" t="n">
        <f aca="false">SUMIFS(CRM[VALOR],CRM[FECHA],A328)</f>
        <v>0</v>
      </c>
      <c r="C328" s="211" t="n">
        <f aca="false">SUMIFS(Tabela1[VALOR],Tabela1[FECHA],A328)</f>
        <v>0</v>
      </c>
      <c r="D328" s="64" t="n">
        <f aca="false">B328-C328</f>
        <v>0</v>
      </c>
    </row>
    <row r="329" customFormat="false" ht="16.4" hidden="false" customHeight="false" outlineLevel="0" collapsed="false">
      <c r="A329" s="209" t="n">
        <v>46347</v>
      </c>
      <c r="B329" s="210" t="n">
        <f aca="false">SUMIFS(CRM[VALOR],CRM[FECHA],A329)</f>
        <v>0</v>
      </c>
      <c r="C329" s="211" t="n">
        <f aca="false">SUMIFS(Tabela1[VALOR],Tabela1[FECHA],A329)</f>
        <v>0</v>
      </c>
      <c r="D329" s="64" t="n">
        <f aca="false">B329-C329</f>
        <v>0</v>
      </c>
    </row>
    <row r="330" customFormat="false" ht="16.4" hidden="false" customHeight="false" outlineLevel="0" collapsed="false">
      <c r="A330" s="209" t="n">
        <v>46348</v>
      </c>
      <c r="B330" s="210" t="n">
        <f aca="false">SUMIFS(CRM[VALOR],CRM[FECHA],A330)</f>
        <v>0</v>
      </c>
      <c r="C330" s="211" t="n">
        <f aca="false">SUMIFS(Tabela1[VALOR],Tabela1[FECHA],A330)</f>
        <v>0</v>
      </c>
      <c r="D330" s="64" t="n">
        <f aca="false">B330-C330</f>
        <v>0</v>
      </c>
    </row>
    <row r="331" customFormat="false" ht="16.4" hidden="false" customHeight="false" outlineLevel="0" collapsed="false">
      <c r="A331" s="209" t="n">
        <v>46349</v>
      </c>
      <c r="B331" s="210" t="n">
        <f aca="false">SUMIFS(CRM[VALOR],CRM[FECHA],A331)</f>
        <v>0</v>
      </c>
      <c r="C331" s="211" t="n">
        <f aca="false">SUMIFS(Tabela1[VALOR],Tabela1[FECHA],A331)</f>
        <v>0</v>
      </c>
      <c r="D331" s="64" t="n">
        <f aca="false">B331-C331</f>
        <v>0</v>
      </c>
    </row>
    <row r="332" customFormat="false" ht="16.4" hidden="false" customHeight="false" outlineLevel="0" collapsed="false">
      <c r="A332" s="209" t="n">
        <v>46350</v>
      </c>
      <c r="B332" s="210" t="n">
        <f aca="false">SUMIFS(CRM[VALOR],CRM[FECHA],A332)</f>
        <v>0</v>
      </c>
      <c r="C332" s="211" t="n">
        <f aca="false">SUMIFS(Tabela1[VALOR],Tabela1[FECHA],A332)</f>
        <v>0</v>
      </c>
      <c r="D332" s="64" t="n">
        <f aca="false">B332-C332</f>
        <v>0</v>
      </c>
    </row>
    <row r="333" customFormat="false" ht="16.4" hidden="false" customHeight="false" outlineLevel="0" collapsed="false">
      <c r="A333" s="209" t="n">
        <v>46351</v>
      </c>
      <c r="B333" s="210" t="n">
        <f aca="false">SUMIFS(CRM[VALOR],CRM[FECHA],A333)</f>
        <v>0</v>
      </c>
      <c r="C333" s="211" t="n">
        <f aca="false">SUMIFS(Tabela1[VALOR],Tabela1[FECHA],A333)</f>
        <v>0</v>
      </c>
      <c r="D333" s="64" t="n">
        <f aca="false">B333-C333</f>
        <v>0</v>
      </c>
    </row>
    <row r="334" customFormat="false" ht="16.4" hidden="false" customHeight="false" outlineLevel="0" collapsed="false">
      <c r="A334" s="209" t="n">
        <v>46352</v>
      </c>
      <c r="B334" s="210" t="n">
        <f aca="false">SUMIFS(CRM[VALOR],CRM[FECHA],A334)</f>
        <v>0</v>
      </c>
      <c r="C334" s="211" t="n">
        <f aca="false">SUMIFS(Tabela1[VALOR],Tabela1[FECHA],A334)</f>
        <v>0</v>
      </c>
      <c r="D334" s="64" t="n">
        <f aca="false">B334-C334</f>
        <v>0</v>
      </c>
    </row>
    <row r="335" customFormat="false" ht="16.4" hidden="false" customHeight="false" outlineLevel="0" collapsed="false">
      <c r="A335" s="209" t="n">
        <v>46353</v>
      </c>
      <c r="B335" s="210" t="n">
        <f aca="false">SUMIFS(CRM[VALOR],CRM[FECHA],A335)</f>
        <v>0</v>
      </c>
      <c r="C335" s="211" t="n">
        <f aca="false">SUMIFS(Tabela1[VALOR],Tabela1[FECHA],A335)</f>
        <v>0</v>
      </c>
      <c r="D335" s="64" t="n">
        <f aca="false">B335-C335</f>
        <v>0</v>
      </c>
    </row>
    <row r="336" customFormat="false" ht="16.4" hidden="false" customHeight="false" outlineLevel="0" collapsed="false">
      <c r="A336" s="209" t="n">
        <v>46354</v>
      </c>
      <c r="B336" s="210" t="n">
        <f aca="false">SUMIFS(CRM[VALOR],CRM[FECHA],A336)</f>
        <v>0</v>
      </c>
      <c r="C336" s="211" t="n">
        <f aca="false">SUMIFS(Tabela1[VALOR],Tabela1[FECHA],A336)</f>
        <v>0</v>
      </c>
      <c r="D336" s="64" t="n">
        <f aca="false">B336-C336</f>
        <v>0</v>
      </c>
    </row>
    <row r="337" customFormat="false" ht="16.4" hidden="false" customHeight="false" outlineLevel="0" collapsed="false">
      <c r="A337" s="209" t="n">
        <v>46355</v>
      </c>
      <c r="B337" s="210" t="n">
        <f aca="false">SUMIFS(CRM[VALOR],CRM[FECHA],A337)</f>
        <v>0</v>
      </c>
      <c r="C337" s="211" t="n">
        <f aca="false">SUMIFS(Tabela1[VALOR],Tabela1[FECHA],A337)</f>
        <v>0</v>
      </c>
      <c r="D337" s="64" t="n">
        <f aca="false">B337-C337</f>
        <v>0</v>
      </c>
    </row>
    <row r="338" customFormat="false" ht="16.4" hidden="false" customHeight="false" outlineLevel="0" collapsed="false">
      <c r="A338" s="209" t="n">
        <v>46356</v>
      </c>
      <c r="B338" s="210" t="n">
        <f aca="false">SUMIFS(CRM[VALOR],CRM[FECHA],A338)</f>
        <v>0</v>
      </c>
      <c r="C338" s="211" t="n">
        <f aca="false">SUMIFS(Tabela1[VALOR],Tabela1[FECHA],A338)</f>
        <v>0</v>
      </c>
      <c r="D338" s="64" t="n">
        <f aca="false">B338-C338</f>
        <v>0</v>
      </c>
    </row>
    <row r="339" customFormat="false" ht="16.4" hidden="false" customHeight="false" outlineLevel="0" collapsed="false">
      <c r="A339" s="209" t="n">
        <v>46357</v>
      </c>
      <c r="B339" s="210" t="n">
        <f aca="false">SUMIFS(CRM[VALOR],CRM[FECHA],A339)</f>
        <v>0</v>
      </c>
      <c r="C339" s="211" t="n">
        <f aca="false">SUMIFS(Tabela1[VALOR],Tabela1[FECHA],A339)</f>
        <v>0</v>
      </c>
      <c r="D339" s="64" t="n">
        <f aca="false">B339-C339</f>
        <v>0</v>
      </c>
    </row>
    <row r="340" customFormat="false" ht="16.4" hidden="false" customHeight="false" outlineLevel="0" collapsed="false">
      <c r="A340" s="209" t="n">
        <v>46358</v>
      </c>
      <c r="B340" s="210" t="n">
        <f aca="false">SUMIFS(CRM[VALOR],CRM[FECHA],A340)</f>
        <v>0</v>
      </c>
      <c r="C340" s="211" t="n">
        <f aca="false">SUMIFS(Tabela1[VALOR],Tabela1[FECHA],A340)</f>
        <v>0</v>
      </c>
      <c r="D340" s="64" t="n">
        <f aca="false">B340-C340</f>
        <v>0</v>
      </c>
    </row>
    <row r="341" customFormat="false" ht="16.4" hidden="false" customHeight="false" outlineLevel="0" collapsed="false">
      <c r="A341" s="209" t="n">
        <v>46359</v>
      </c>
      <c r="B341" s="210" t="n">
        <f aca="false">SUMIFS(CRM[VALOR],CRM[FECHA],A341)</f>
        <v>0</v>
      </c>
      <c r="C341" s="211" t="n">
        <f aca="false">SUMIFS(Tabela1[VALOR],Tabela1[FECHA],A341)</f>
        <v>0</v>
      </c>
      <c r="D341" s="64" t="n">
        <f aca="false">B341-C341</f>
        <v>0</v>
      </c>
    </row>
    <row r="342" customFormat="false" ht="16.4" hidden="false" customHeight="false" outlineLevel="0" collapsed="false">
      <c r="A342" s="209" t="n">
        <v>46360</v>
      </c>
      <c r="B342" s="210" t="n">
        <f aca="false">SUMIFS(CRM[VALOR],CRM[FECHA],A342)</f>
        <v>0</v>
      </c>
      <c r="C342" s="211" t="n">
        <f aca="false">SUMIFS(Tabela1[VALOR],Tabela1[FECHA],A342)</f>
        <v>0</v>
      </c>
      <c r="D342" s="64" t="n">
        <f aca="false">B342-C342</f>
        <v>0</v>
      </c>
    </row>
    <row r="343" customFormat="false" ht="16.4" hidden="false" customHeight="false" outlineLevel="0" collapsed="false">
      <c r="A343" s="209" t="n">
        <v>46361</v>
      </c>
      <c r="B343" s="210" t="n">
        <f aca="false">SUMIFS(CRM[VALOR],CRM[FECHA],A343)</f>
        <v>0</v>
      </c>
      <c r="C343" s="211" t="n">
        <f aca="false">SUMIFS(Tabela1[VALOR],Tabela1[FECHA],A343)</f>
        <v>0</v>
      </c>
      <c r="D343" s="64" t="n">
        <f aca="false">B343-C343</f>
        <v>0</v>
      </c>
    </row>
    <row r="344" customFormat="false" ht="16.4" hidden="false" customHeight="false" outlineLevel="0" collapsed="false">
      <c r="A344" s="209" t="n">
        <v>46362</v>
      </c>
      <c r="B344" s="210" t="n">
        <f aca="false">SUMIFS(CRM[VALOR],CRM[FECHA],A344)</f>
        <v>0</v>
      </c>
      <c r="C344" s="211" t="n">
        <f aca="false">SUMIFS(Tabela1[VALOR],Tabela1[FECHA],A344)</f>
        <v>0</v>
      </c>
      <c r="D344" s="64" t="n">
        <f aca="false">B344-C344</f>
        <v>0</v>
      </c>
    </row>
    <row r="345" customFormat="false" ht="16.4" hidden="false" customHeight="false" outlineLevel="0" collapsed="false">
      <c r="A345" s="209" t="n">
        <v>46363</v>
      </c>
      <c r="B345" s="210" t="n">
        <f aca="false">SUMIFS(CRM[VALOR],CRM[FECHA],A345)</f>
        <v>0</v>
      </c>
      <c r="C345" s="211" t="n">
        <f aca="false">SUMIFS(Tabela1[VALOR],Tabela1[FECHA],A345)</f>
        <v>0</v>
      </c>
      <c r="D345" s="64" t="n">
        <f aca="false">B345-C345</f>
        <v>0</v>
      </c>
    </row>
    <row r="346" customFormat="false" ht="16.4" hidden="false" customHeight="false" outlineLevel="0" collapsed="false">
      <c r="A346" s="209" t="n">
        <v>46364</v>
      </c>
      <c r="B346" s="210" t="n">
        <f aca="false">SUMIFS(CRM[VALOR],CRM[FECHA],A346)</f>
        <v>0</v>
      </c>
      <c r="C346" s="211" t="n">
        <f aca="false">SUMIFS(Tabela1[VALOR],Tabela1[FECHA],A346)</f>
        <v>0</v>
      </c>
      <c r="D346" s="64" t="n">
        <f aca="false">B346-C346</f>
        <v>0</v>
      </c>
    </row>
    <row r="347" customFormat="false" ht="16.4" hidden="false" customHeight="false" outlineLevel="0" collapsed="false">
      <c r="A347" s="209" t="n">
        <v>46365</v>
      </c>
      <c r="B347" s="210" t="n">
        <f aca="false">SUMIFS(CRM[VALOR],CRM[FECHA],A347)</f>
        <v>0</v>
      </c>
      <c r="C347" s="211" t="n">
        <f aca="false">SUMIFS(Tabela1[VALOR],Tabela1[FECHA],A347)</f>
        <v>0</v>
      </c>
      <c r="D347" s="64" t="n">
        <f aca="false">B347-C347</f>
        <v>0</v>
      </c>
    </row>
    <row r="348" customFormat="false" ht="16.4" hidden="false" customHeight="false" outlineLevel="0" collapsed="false">
      <c r="A348" s="209" t="n">
        <v>46366</v>
      </c>
      <c r="B348" s="210" t="n">
        <f aca="false">SUMIFS(CRM[VALOR],CRM[FECHA],A348)</f>
        <v>0</v>
      </c>
      <c r="C348" s="211" t="n">
        <f aca="false">SUMIFS(Tabela1[VALOR],Tabela1[FECHA],A348)</f>
        <v>0</v>
      </c>
      <c r="D348" s="64" t="n">
        <f aca="false">B348-C348</f>
        <v>0</v>
      </c>
    </row>
    <row r="349" customFormat="false" ht="16.4" hidden="false" customHeight="false" outlineLevel="0" collapsed="false">
      <c r="A349" s="209" t="n">
        <v>46367</v>
      </c>
      <c r="B349" s="210" t="n">
        <f aca="false">SUMIFS(CRM[VALOR],CRM[FECHA],A349)</f>
        <v>0</v>
      </c>
      <c r="C349" s="211" t="n">
        <f aca="false">SUMIFS(Tabela1[VALOR],Tabela1[FECHA],A349)</f>
        <v>0</v>
      </c>
      <c r="D349" s="64" t="n">
        <f aca="false">B349-C349</f>
        <v>0</v>
      </c>
    </row>
    <row r="350" customFormat="false" ht="16.4" hidden="false" customHeight="false" outlineLevel="0" collapsed="false">
      <c r="A350" s="209" t="n">
        <v>46368</v>
      </c>
      <c r="B350" s="210" t="n">
        <f aca="false">SUMIFS(CRM[VALOR],CRM[FECHA],A350)</f>
        <v>0</v>
      </c>
      <c r="C350" s="211" t="n">
        <f aca="false">SUMIFS(Tabela1[VALOR],Tabela1[FECHA],A350)</f>
        <v>0</v>
      </c>
      <c r="D350" s="64" t="n">
        <f aca="false">B350-C350</f>
        <v>0</v>
      </c>
    </row>
    <row r="351" customFormat="false" ht="16.4" hidden="false" customHeight="false" outlineLevel="0" collapsed="false">
      <c r="A351" s="209" t="n">
        <v>46369</v>
      </c>
      <c r="B351" s="210" t="n">
        <f aca="false">SUMIFS(CRM[VALOR],CRM[FECHA],A351)</f>
        <v>0</v>
      </c>
      <c r="C351" s="211" t="n">
        <f aca="false">SUMIFS(Tabela1[VALOR],Tabela1[FECHA],A351)</f>
        <v>0</v>
      </c>
      <c r="D351" s="64" t="n">
        <f aca="false">B351-C351</f>
        <v>0</v>
      </c>
    </row>
    <row r="352" customFormat="false" ht="16.4" hidden="false" customHeight="false" outlineLevel="0" collapsed="false">
      <c r="A352" s="209" t="n">
        <v>46370</v>
      </c>
      <c r="B352" s="210" t="n">
        <f aca="false">SUMIFS(CRM[VALOR],CRM[FECHA],A352)</f>
        <v>0</v>
      </c>
      <c r="C352" s="211" t="n">
        <f aca="false">SUMIFS(Tabela1[VALOR],Tabela1[FECHA],A352)</f>
        <v>0</v>
      </c>
      <c r="D352" s="64" t="n">
        <f aca="false">B352-C352</f>
        <v>0</v>
      </c>
    </row>
    <row r="353" customFormat="false" ht="16.4" hidden="false" customHeight="false" outlineLevel="0" collapsed="false">
      <c r="A353" s="209" t="n">
        <v>46371</v>
      </c>
      <c r="B353" s="210" t="n">
        <f aca="false">SUMIFS(CRM[VALOR],CRM[FECHA],A353)</f>
        <v>0</v>
      </c>
      <c r="C353" s="211" t="n">
        <f aca="false">SUMIFS(Tabela1[VALOR],Tabela1[FECHA],A353)</f>
        <v>0</v>
      </c>
      <c r="D353" s="64" t="n">
        <f aca="false">B353-C353</f>
        <v>0</v>
      </c>
    </row>
    <row r="354" customFormat="false" ht="16.4" hidden="false" customHeight="false" outlineLevel="0" collapsed="false">
      <c r="A354" s="209" t="n">
        <v>46372</v>
      </c>
      <c r="B354" s="210" t="n">
        <f aca="false">SUMIFS(CRM[VALOR],CRM[FECHA],A354)</f>
        <v>0</v>
      </c>
      <c r="C354" s="211" t="n">
        <f aca="false">SUMIFS(Tabela1[VALOR],Tabela1[FECHA],A354)</f>
        <v>0</v>
      </c>
      <c r="D354" s="64" t="n">
        <f aca="false">B354-C354</f>
        <v>0</v>
      </c>
    </row>
    <row r="355" customFormat="false" ht="16.4" hidden="false" customHeight="false" outlineLevel="0" collapsed="false">
      <c r="A355" s="209" t="n">
        <v>46373</v>
      </c>
      <c r="B355" s="210" t="n">
        <f aca="false">SUMIFS(CRM[VALOR],CRM[FECHA],A355)</f>
        <v>0</v>
      </c>
      <c r="C355" s="211" t="n">
        <f aca="false">SUMIFS(Tabela1[VALOR],Tabela1[FECHA],A355)</f>
        <v>0</v>
      </c>
      <c r="D355" s="64" t="n">
        <f aca="false">B355-C355</f>
        <v>0</v>
      </c>
    </row>
    <row r="356" customFormat="false" ht="16.4" hidden="false" customHeight="false" outlineLevel="0" collapsed="false">
      <c r="A356" s="209" t="n">
        <v>46374</v>
      </c>
      <c r="B356" s="210" t="n">
        <f aca="false">SUMIFS(CRM[VALOR],CRM[FECHA],A356)</f>
        <v>0</v>
      </c>
      <c r="C356" s="211" t="n">
        <f aca="false">SUMIFS(Tabela1[VALOR],Tabela1[FECHA],A356)</f>
        <v>0</v>
      </c>
      <c r="D356" s="64" t="n">
        <f aca="false">B356-C356</f>
        <v>0</v>
      </c>
    </row>
    <row r="357" customFormat="false" ht="16.4" hidden="false" customHeight="false" outlineLevel="0" collapsed="false">
      <c r="A357" s="209" t="n">
        <v>46375</v>
      </c>
      <c r="B357" s="210" t="n">
        <f aca="false">SUMIFS(CRM[VALOR],CRM[FECHA],A357)</f>
        <v>0</v>
      </c>
      <c r="C357" s="211" t="n">
        <f aca="false">SUMIFS(Tabela1[VALOR],Tabela1[FECHA],A357)</f>
        <v>0</v>
      </c>
      <c r="D357" s="64" t="n">
        <f aca="false">B357-C357</f>
        <v>0</v>
      </c>
    </row>
    <row r="358" customFormat="false" ht="16.4" hidden="false" customHeight="false" outlineLevel="0" collapsed="false">
      <c r="A358" s="209" t="n">
        <v>46376</v>
      </c>
      <c r="B358" s="210" t="n">
        <f aca="false">SUMIFS(CRM[VALOR],CRM[FECHA],A358)</f>
        <v>0</v>
      </c>
      <c r="C358" s="211" t="n">
        <f aca="false">SUMIFS(Tabela1[VALOR],Tabela1[FECHA],A358)</f>
        <v>0</v>
      </c>
      <c r="D358" s="64" t="n">
        <f aca="false">B358-C358</f>
        <v>0</v>
      </c>
    </row>
    <row r="359" customFormat="false" ht="16.4" hidden="false" customHeight="false" outlineLevel="0" collapsed="false">
      <c r="A359" s="209" t="n">
        <v>46377</v>
      </c>
      <c r="B359" s="210" t="n">
        <f aca="false">SUMIFS(CRM[VALOR],CRM[FECHA],A359)</f>
        <v>0</v>
      </c>
      <c r="C359" s="211" t="n">
        <f aca="false">SUMIFS(Tabela1[VALOR],Tabela1[FECHA],A359)</f>
        <v>0</v>
      </c>
      <c r="D359" s="64" t="n">
        <f aca="false">B359-C359</f>
        <v>0</v>
      </c>
    </row>
    <row r="360" customFormat="false" ht="16.4" hidden="false" customHeight="false" outlineLevel="0" collapsed="false">
      <c r="A360" s="209" t="n">
        <v>46378</v>
      </c>
      <c r="B360" s="210" t="n">
        <f aca="false">SUMIFS(CRM[VALOR],CRM[FECHA],A360)</f>
        <v>0</v>
      </c>
      <c r="C360" s="211" t="n">
        <f aca="false">SUMIFS(Tabela1[VALOR],Tabela1[FECHA],A360)</f>
        <v>0</v>
      </c>
      <c r="D360" s="64" t="n">
        <f aca="false">B360-C360</f>
        <v>0</v>
      </c>
    </row>
    <row r="361" customFormat="false" ht="16.4" hidden="false" customHeight="false" outlineLevel="0" collapsed="false">
      <c r="A361" s="209" t="n">
        <v>46379</v>
      </c>
      <c r="B361" s="210" t="n">
        <f aca="false">SUMIFS(CRM[VALOR],CRM[FECHA],A361)</f>
        <v>0</v>
      </c>
      <c r="C361" s="211" t="n">
        <f aca="false">SUMIFS(Tabela1[VALOR],Tabela1[FECHA],A361)</f>
        <v>0</v>
      </c>
      <c r="D361" s="64" t="n">
        <f aca="false">B361-C361</f>
        <v>0</v>
      </c>
    </row>
    <row r="362" customFormat="false" ht="16.4" hidden="false" customHeight="false" outlineLevel="0" collapsed="false">
      <c r="A362" s="209" t="n">
        <v>46380</v>
      </c>
      <c r="B362" s="210" t="n">
        <f aca="false">SUMIFS(CRM[VALOR],CRM[FECHA],A362)</f>
        <v>0</v>
      </c>
      <c r="C362" s="211" t="n">
        <f aca="false">SUMIFS(Tabela1[VALOR],Tabela1[FECHA],A362)</f>
        <v>0</v>
      </c>
      <c r="D362" s="64" t="n">
        <f aca="false">B362-C362</f>
        <v>0</v>
      </c>
    </row>
    <row r="363" customFormat="false" ht="16.4" hidden="false" customHeight="false" outlineLevel="0" collapsed="false">
      <c r="A363" s="209" t="n">
        <v>46381</v>
      </c>
      <c r="B363" s="210" t="n">
        <f aca="false">SUMIFS(CRM[VALOR],CRM[FECHA],A363)</f>
        <v>0</v>
      </c>
      <c r="C363" s="211" t="n">
        <f aca="false">SUMIFS(Tabela1[VALOR],Tabela1[FECHA],A363)</f>
        <v>0</v>
      </c>
      <c r="D363" s="64" t="n">
        <f aca="false">B363-C363</f>
        <v>0</v>
      </c>
    </row>
    <row r="364" customFormat="false" ht="16.4" hidden="false" customHeight="false" outlineLevel="0" collapsed="false">
      <c r="A364" s="209" t="n">
        <v>46382</v>
      </c>
      <c r="B364" s="210" t="n">
        <f aca="false">SUMIFS(CRM[VALOR],CRM[FECHA],A364)</f>
        <v>0</v>
      </c>
      <c r="C364" s="211" t="n">
        <f aca="false">SUMIFS(Tabela1[VALOR],Tabela1[FECHA],A364)</f>
        <v>0</v>
      </c>
      <c r="D364" s="64" t="n">
        <f aca="false">B364-C364</f>
        <v>0</v>
      </c>
    </row>
    <row r="365" customFormat="false" ht="16.4" hidden="false" customHeight="false" outlineLevel="0" collapsed="false">
      <c r="A365" s="209" t="n">
        <v>46383</v>
      </c>
      <c r="B365" s="210" t="n">
        <f aca="false">SUMIFS(CRM[VALOR],CRM[FECHA],A365)</f>
        <v>0</v>
      </c>
      <c r="C365" s="211" t="n">
        <f aca="false">SUMIFS(Tabela1[VALOR],Tabela1[FECHA],A365)</f>
        <v>0</v>
      </c>
      <c r="D365" s="64" t="n">
        <f aca="false">B365-C365</f>
        <v>0</v>
      </c>
    </row>
    <row r="366" customFormat="false" ht="16.4" hidden="false" customHeight="false" outlineLevel="0" collapsed="false">
      <c r="A366" s="209" t="n">
        <v>46384</v>
      </c>
      <c r="B366" s="210" t="n">
        <f aca="false">SUMIFS(CRM[VALOR],CRM[FECHA],A366)</f>
        <v>0</v>
      </c>
      <c r="C366" s="211" t="n">
        <f aca="false">SUMIFS(Tabela1[VALOR],Tabela1[FECHA],A366)</f>
        <v>0</v>
      </c>
      <c r="D366" s="64" t="n">
        <f aca="false">B366-C366</f>
        <v>0</v>
      </c>
    </row>
    <row r="367" customFormat="false" ht="16.4" hidden="false" customHeight="false" outlineLevel="0" collapsed="false">
      <c r="A367" s="209" t="n">
        <v>46385</v>
      </c>
      <c r="B367" s="210" t="n">
        <f aca="false">SUMIFS(CRM[VALOR],CRM[FECHA],A367)</f>
        <v>0</v>
      </c>
      <c r="C367" s="211" t="n">
        <f aca="false">SUMIFS(Tabela1[VALOR],Tabela1[FECHA],A367)</f>
        <v>0</v>
      </c>
      <c r="D367" s="64" t="n">
        <f aca="false">B367-C367</f>
        <v>0</v>
      </c>
    </row>
    <row r="368" customFormat="false" ht="16.4" hidden="false" customHeight="false" outlineLevel="0" collapsed="false">
      <c r="A368" s="209" t="n">
        <v>46386</v>
      </c>
      <c r="B368" s="210" t="n">
        <f aca="false">SUMIFS(CRM[VALOR],CRM[FECHA],A368)</f>
        <v>0</v>
      </c>
      <c r="C368" s="211" t="n">
        <f aca="false">SUMIFS(Tabela1[VALOR],Tabela1[FECHA],A368)</f>
        <v>0</v>
      </c>
      <c r="D368" s="64" t="n">
        <f aca="false">B368-C368</f>
        <v>0</v>
      </c>
    </row>
    <row r="369" customFormat="false" ht="16.4" hidden="false" customHeight="false" outlineLevel="0" collapsed="false">
      <c r="A369" s="209" t="n">
        <v>46387</v>
      </c>
      <c r="B369" s="210" t="n">
        <f aca="false">SUMIFS(CRM[VALOR],CRM[FECHA],A369)</f>
        <v>0</v>
      </c>
      <c r="C369" s="211" t="n">
        <f aca="false">SUMIFS(Tabela1[VALOR],Tabela1[FECHA],A369)</f>
        <v>0</v>
      </c>
      <c r="D369" s="64" t="n">
        <f aca="false">B369-C369</f>
        <v>0</v>
      </c>
    </row>
  </sheetData>
  <mergeCells count="1">
    <mergeCell ref="A1:D1"/>
  </mergeCells>
  <conditionalFormatting sqref="D5:D369">
    <cfRule type="cellIs" priority="2" operator="greaterThan" aboveAverage="0" equalAverage="0" bottom="0" percent="0" rank="0" text="" dxfId="6">
      <formula>0</formula>
    </cfRule>
    <cfRule type="cellIs" priority="3" operator="lessThan" aboveAverage="0" equalAverage="0" bottom="0" percent="0" rank="0" text="" dxfId="7">
      <formula>0</formula>
    </cfRule>
  </conditionalFormatting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Z11" activeCellId="0" sqref="Z11"/>
    </sheetView>
  </sheetViews>
  <sheetFormatPr defaultColWidth="8.59765625" defaultRowHeight="14.25" zeroHeight="false" outlineLevelRow="0" outlineLevelCol="0"/>
  <cols>
    <col collapsed="false" customWidth="true" hidden="false" outlineLevel="0" max="20" min="20" style="212" width="12.14"/>
  </cols>
  <sheetData>
    <row r="1" customFormat="false" ht="14.25" hidden="false" customHeight="false" outlineLevel="0" collapsed="false">
      <c r="A1" s="213"/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3"/>
      <c r="R1" s="213"/>
      <c r="S1" s="213"/>
      <c r="T1" s="214"/>
      <c r="U1" s="213"/>
      <c r="V1" s="213"/>
      <c r="W1" s="213"/>
      <c r="X1" s="213"/>
    </row>
    <row r="2" customFormat="false" ht="14.25" hidden="false" customHeight="false" outlineLevel="0" collapsed="false">
      <c r="A2" s="213"/>
      <c r="B2" s="213"/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213"/>
      <c r="T2" s="214"/>
      <c r="U2" s="213"/>
      <c r="V2" s="213"/>
      <c r="W2" s="213"/>
      <c r="X2" s="213"/>
    </row>
    <row r="3" customFormat="false" ht="14.25" hidden="false" customHeight="false" outlineLevel="0" collapsed="false">
      <c r="A3" s="213"/>
      <c r="B3" s="213"/>
      <c r="C3" s="213"/>
      <c r="D3" s="213"/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  <c r="Q3" s="213"/>
      <c r="R3" s="213"/>
      <c r="S3" s="213"/>
      <c r="T3" s="214"/>
      <c r="U3" s="213"/>
      <c r="V3" s="213"/>
      <c r="W3" s="213"/>
      <c r="X3" s="213"/>
    </row>
    <row r="4" customFormat="false" ht="14.25" hidden="false" customHeight="false" outlineLevel="0" collapsed="false">
      <c r="A4" s="213"/>
      <c r="B4" s="213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  <c r="Q4" s="213"/>
      <c r="R4" s="213"/>
      <c r="S4" s="213"/>
      <c r="T4" s="214"/>
      <c r="U4" s="213"/>
      <c r="V4" s="213"/>
      <c r="W4" s="213"/>
      <c r="X4" s="213"/>
    </row>
    <row r="5" customFormat="false" ht="14.25" hidden="false" customHeight="false" outlineLevel="0" collapsed="false">
      <c r="A5" s="213"/>
      <c r="B5" s="213"/>
      <c r="C5" s="213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3"/>
      <c r="Q5" s="213"/>
      <c r="R5" s="213"/>
      <c r="S5" s="213"/>
      <c r="T5" s="214"/>
      <c r="U5" s="213"/>
      <c r="V5" s="213"/>
      <c r="W5" s="213"/>
      <c r="X5" s="213"/>
    </row>
    <row r="6" customFormat="false" ht="14.25" hidden="false" customHeight="false" outlineLevel="0" collapsed="false">
      <c r="A6" s="213"/>
      <c r="B6" s="213"/>
      <c r="C6" s="213"/>
      <c r="D6" s="213"/>
      <c r="E6" s="213"/>
      <c r="F6" s="213"/>
      <c r="G6" s="213"/>
      <c r="H6" s="213"/>
      <c r="I6" s="213"/>
      <c r="J6" s="213"/>
      <c r="K6" s="213"/>
      <c r="L6" s="213"/>
      <c r="M6" s="213"/>
      <c r="N6" s="213"/>
      <c r="O6" s="213"/>
      <c r="P6" s="213"/>
      <c r="Q6" s="213"/>
      <c r="R6" s="213"/>
      <c r="S6" s="213"/>
      <c r="T6" s="214"/>
      <c r="U6" s="213"/>
      <c r="V6" s="213"/>
      <c r="W6" s="213"/>
      <c r="X6" s="213"/>
    </row>
    <row r="7" customFormat="false" ht="14.25" hidden="false" customHeight="false" outlineLevel="0" collapsed="false">
      <c r="A7" s="213"/>
      <c r="B7" s="213"/>
      <c r="C7" s="213"/>
      <c r="D7" s="213"/>
      <c r="E7" s="213"/>
      <c r="F7" s="213"/>
      <c r="G7" s="213"/>
      <c r="H7" s="213"/>
      <c r="I7" s="213"/>
      <c r="J7" s="213"/>
      <c r="K7" s="213"/>
      <c r="L7" s="213"/>
      <c r="M7" s="213"/>
      <c r="N7" s="213"/>
      <c r="O7" s="213"/>
      <c r="P7" s="213"/>
      <c r="Q7" s="213"/>
      <c r="R7" s="213"/>
      <c r="S7" s="213"/>
      <c r="T7" s="214"/>
      <c r="U7" s="213"/>
      <c r="V7" s="213"/>
      <c r="W7" s="213"/>
      <c r="X7" s="213"/>
    </row>
    <row r="8" customFormat="false" ht="14.25" hidden="false" customHeight="false" outlineLevel="0" collapsed="false">
      <c r="A8" s="213"/>
      <c r="B8" s="213"/>
      <c r="C8" s="213"/>
      <c r="D8" s="213"/>
      <c r="E8" s="213"/>
      <c r="F8" s="213"/>
      <c r="G8" s="213"/>
      <c r="H8" s="213"/>
      <c r="I8" s="213"/>
      <c r="J8" s="213"/>
      <c r="K8" s="213"/>
      <c r="L8" s="213"/>
      <c r="M8" s="213"/>
      <c r="N8" s="213"/>
      <c r="O8" s="213"/>
      <c r="P8" s="213"/>
      <c r="Q8" s="213"/>
      <c r="R8" s="213"/>
      <c r="S8" s="213"/>
      <c r="T8" s="214"/>
      <c r="U8" s="213"/>
      <c r="V8" s="213"/>
      <c r="W8" s="213"/>
      <c r="X8" s="213"/>
    </row>
    <row r="9" customFormat="false" ht="14.25" hidden="false" customHeight="false" outlineLevel="0" collapsed="false">
      <c r="A9" s="213"/>
      <c r="B9" s="213"/>
      <c r="C9" s="213"/>
      <c r="D9" s="213"/>
      <c r="E9" s="213"/>
      <c r="F9" s="213"/>
      <c r="G9" s="213"/>
      <c r="H9" s="213"/>
      <c r="I9" s="213"/>
      <c r="J9" s="213"/>
      <c r="K9" s="213"/>
      <c r="L9" s="213"/>
      <c r="M9" s="213"/>
      <c r="N9" s="213"/>
      <c r="O9" s="213"/>
      <c r="P9" s="213"/>
      <c r="Q9" s="213"/>
      <c r="R9" s="213"/>
      <c r="S9" s="213"/>
      <c r="T9" s="214"/>
      <c r="U9" s="213"/>
      <c r="V9" s="213"/>
      <c r="W9" s="213"/>
      <c r="X9" s="213"/>
    </row>
    <row r="10" customFormat="false" ht="14.25" hidden="false" customHeight="false" outlineLevel="0" collapsed="false">
      <c r="A10" s="213"/>
      <c r="B10" s="213"/>
      <c r="C10" s="213"/>
      <c r="D10" s="213"/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213"/>
      <c r="R10" s="213"/>
      <c r="S10" s="213"/>
      <c r="T10" s="214"/>
      <c r="U10" s="213"/>
      <c r="V10" s="213"/>
      <c r="W10" s="213"/>
      <c r="X10" s="213"/>
    </row>
    <row r="11" customFormat="false" ht="14.25" hidden="false" customHeight="false" outlineLevel="0" collapsed="false">
      <c r="A11" s="213"/>
      <c r="B11" s="213"/>
      <c r="C11" s="213"/>
      <c r="D11" s="213"/>
      <c r="E11" s="213"/>
      <c r="F11" s="213"/>
      <c r="G11" s="213"/>
      <c r="H11" s="213"/>
      <c r="I11" s="213"/>
      <c r="J11" s="213"/>
      <c r="K11" s="213"/>
      <c r="L11" s="213"/>
      <c r="M11" s="213"/>
      <c r="N11" s="213"/>
      <c r="O11" s="213"/>
      <c r="P11" s="213"/>
      <c r="Q11" s="213"/>
      <c r="R11" s="213"/>
      <c r="S11" s="213"/>
      <c r="T11" s="214"/>
      <c r="U11" s="213"/>
      <c r="V11" s="213"/>
      <c r="W11" s="213"/>
      <c r="X11" s="213"/>
    </row>
    <row r="12" customFormat="false" ht="14.25" hidden="false" customHeight="false" outlineLevel="0" collapsed="false">
      <c r="A12" s="213"/>
      <c r="B12" s="213"/>
      <c r="C12" s="213"/>
      <c r="D12" s="213"/>
      <c r="E12" s="213"/>
      <c r="F12" s="213"/>
      <c r="G12" s="213"/>
      <c r="H12" s="213"/>
      <c r="I12" s="213"/>
      <c r="J12" s="213"/>
      <c r="K12" s="213"/>
      <c r="L12" s="213"/>
      <c r="M12" s="213"/>
      <c r="N12" s="213"/>
      <c r="O12" s="213"/>
      <c r="P12" s="213"/>
      <c r="Q12" s="213"/>
      <c r="R12" s="213"/>
      <c r="S12" s="213"/>
      <c r="T12" s="214"/>
      <c r="U12" s="213"/>
      <c r="V12" s="213"/>
      <c r="W12" s="213"/>
      <c r="X12" s="213"/>
    </row>
    <row r="13" customFormat="false" ht="14.25" hidden="false" customHeight="false" outlineLevel="0" collapsed="false">
      <c r="A13" s="213"/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3"/>
      <c r="P13" s="213"/>
      <c r="Q13" s="213"/>
      <c r="R13" s="213"/>
      <c r="S13" s="213"/>
      <c r="T13" s="214"/>
      <c r="U13" s="213"/>
      <c r="V13" s="213"/>
      <c r="W13" s="213"/>
      <c r="X13" s="213"/>
    </row>
    <row r="14" customFormat="false" ht="14.25" hidden="false" customHeight="false" outlineLevel="0" collapsed="false">
      <c r="A14" s="213"/>
      <c r="B14" s="213"/>
      <c r="C14" s="213"/>
      <c r="D14" s="213"/>
      <c r="E14" s="213"/>
      <c r="F14" s="213"/>
      <c r="G14" s="213"/>
      <c r="H14" s="213"/>
      <c r="I14" s="213"/>
      <c r="J14" s="213"/>
      <c r="K14" s="213"/>
      <c r="L14" s="213"/>
      <c r="M14" s="213"/>
      <c r="N14" s="213"/>
      <c r="O14" s="213"/>
      <c r="P14" s="213"/>
      <c r="Q14" s="213"/>
      <c r="R14" s="213"/>
      <c r="S14" s="213"/>
      <c r="T14" s="214"/>
      <c r="U14" s="213"/>
      <c r="V14" s="213"/>
      <c r="W14" s="213"/>
      <c r="X14" s="213"/>
    </row>
    <row r="15" customFormat="false" ht="14.25" hidden="false" customHeight="false" outlineLevel="0" collapsed="false">
      <c r="A15" s="213"/>
      <c r="B15" s="213"/>
      <c r="C15" s="213"/>
      <c r="D15" s="213"/>
      <c r="E15" s="213"/>
      <c r="F15" s="213"/>
      <c r="G15" s="213"/>
      <c r="H15" s="213"/>
      <c r="I15" s="213"/>
      <c r="J15" s="213"/>
      <c r="K15" s="213"/>
      <c r="L15" s="213"/>
      <c r="M15" s="213"/>
      <c r="N15" s="213"/>
      <c r="O15" s="213"/>
      <c r="P15" s="213"/>
      <c r="Q15" s="213"/>
      <c r="R15" s="213"/>
      <c r="S15" s="213"/>
      <c r="T15" s="214"/>
      <c r="U15" s="213"/>
      <c r="V15" s="213"/>
      <c r="W15" s="213"/>
      <c r="X15" s="213"/>
    </row>
    <row r="16" customFormat="false" ht="14.25" hidden="false" customHeight="false" outlineLevel="0" collapsed="false">
      <c r="A16" s="213"/>
      <c r="B16" s="213"/>
      <c r="C16" s="213"/>
      <c r="D16" s="213"/>
      <c r="E16" s="213"/>
      <c r="F16" s="213"/>
      <c r="G16" s="213"/>
      <c r="H16" s="213"/>
      <c r="I16" s="213"/>
      <c r="J16" s="213"/>
      <c r="K16" s="213"/>
      <c r="L16" s="213"/>
      <c r="M16" s="213"/>
      <c r="N16" s="213"/>
      <c r="O16" s="213"/>
      <c r="P16" s="213"/>
      <c r="Q16" s="213"/>
      <c r="R16" s="213"/>
      <c r="S16" s="213"/>
      <c r="T16" s="214"/>
      <c r="U16" s="213"/>
      <c r="V16" s="213"/>
      <c r="W16" s="213"/>
      <c r="X16" s="213"/>
    </row>
    <row r="17" customFormat="false" ht="14.25" hidden="false" customHeight="false" outlineLevel="0" collapsed="false">
      <c r="A17" s="213"/>
      <c r="B17" s="213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213"/>
      <c r="O17" s="213"/>
      <c r="P17" s="213"/>
      <c r="Q17" s="213"/>
      <c r="R17" s="213"/>
      <c r="S17" s="213"/>
      <c r="T17" s="214"/>
      <c r="U17" s="213"/>
      <c r="V17" s="213"/>
      <c r="W17" s="213"/>
      <c r="X17" s="213"/>
    </row>
    <row r="18" customFormat="false" ht="14.25" hidden="false" customHeight="false" outlineLevel="0" collapsed="false">
      <c r="A18" s="213"/>
      <c r="B18" s="213"/>
      <c r="C18" s="213"/>
      <c r="D18" s="213"/>
      <c r="E18" s="213"/>
      <c r="F18" s="213"/>
      <c r="G18" s="213"/>
      <c r="H18" s="213"/>
      <c r="I18" s="213"/>
      <c r="J18" s="213"/>
      <c r="K18" s="213"/>
      <c r="L18" s="213"/>
      <c r="M18" s="213"/>
      <c r="N18" s="213"/>
      <c r="O18" s="213"/>
      <c r="P18" s="213"/>
      <c r="Q18" s="213"/>
      <c r="R18" s="213"/>
      <c r="S18" s="213"/>
      <c r="T18" s="214"/>
      <c r="U18" s="213"/>
      <c r="V18" s="213"/>
      <c r="W18" s="213"/>
      <c r="X18" s="213"/>
    </row>
    <row r="19" customFormat="false" ht="14.25" hidden="false" customHeight="false" outlineLevel="0" collapsed="false">
      <c r="A19" s="213"/>
      <c r="B19" s="213"/>
      <c r="C19" s="213"/>
      <c r="D19" s="213"/>
      <c r="E19" s="213"/>
      <c r="F19" s="213"/>
      <c r="G19" s="213"/>
      <c r="H19" s="213"/>
      <c r="I19" s="213"/>
      <c r="J19" s="213"/>
      <c r="K19" s="213"/>
      <c r="L19" s="213"/>
      <c r="M19" s="213"/>
      <c r="N19" s="213"/>
      <c r="O19" s="213"/>
      <c r="P19" s="213"/>
      <c r="Q19" s="213"/>
      <c r="R19" s="213"/>
      <c r="S19" s="213"/>
      <c r="T19" s="214"/>
      <c r="U19" s="213"/>
      <c r="V19" s="213"/>
      <c r="W19" s="213"/>
      <c r="X19" s="213"/>
    </row>
    <row r="20" customFormat="false" ht="14.25" hidden="false" customHeight="false" outlineLevel="0" collapsed="false">
      <c r="A20" s="213"/>
      <c r="B20" s="213"/>
      <c r="C20" s="213"/>
      <c r="D20" s="213"/>
      <c r="E20" s="213"/>
      <c r="F20" s="213"/>
      <c r="G20" s="213"/>
      <c r="H20" s="213"/>
      <c r="I20" s="213"/>
      <c r="J20" s="213"/>
      <c r="K20" s="213"/>
      <c r="L20" s="213"/>
      <c r="M20" s="213"/>
      <c r="N20" s="213"/>
      <c r="O20" s="213"/>
      <c r="P20" s="213"/>
      <c r="Q20" s="213"/>
      <c r="R20" s="213"/>
      <c r="S20" s="213"/>
      <c r="T20" s="214"/>
      <c r="U20" s="213"/>
      <c r="V20" s="213"/>
      <c r="W20" s="213"/>
      <c r="X20" s="213"/>
    </row>
    <row r="21" customFormat="false" ht="14.25" hidden="false" customHeight="false" outlineLevel="0" collapsed="false">
      <c r="A21" s="213"/>
      <c r="B21" s="213"/>
      <c r="C21" s="213"/>
      <c r="D21" s="213"/>
      <c r="E21" s="213"/>
      <c r="F21" s="213"/>
      <c r="G21" s="213"/>
      <c r="H21" s="213"/>
      <c r="I21" s="213"/>
      <c r="J21" s="213"/>
      <c r="K21" s="213"/>
      <c r="L21" s="213"/>
      <c r="M21" s="213"/>
      <c r="N21" s="213"/>
      <c r="O21" s="213"/>
      <c r="P21" s="213"/>
      <c r="Q21" s="213"/>
      <c r="R21" s="213"/>
      <c r="S21" s="213"/>
      <c r="T21" s="214"/>
      <c r="U21" s="213"/>
      <c r="V21" s="213"/>
      <c r="W21" s="213"/>
      <c r="X21" s="213"/>
    </row>
    <row r="22" customFormat="false" ht="14.25" hidden="false" customHeight="false" outlineLevel="0" collapsed="false">
      <c r="A22" s="213"/>
      <c r="B22" s="213"/>
      <c r="C22" s="213"/>
      <c r="D22" s="213"/>
      <c r="E22" s="213"/>
      <c r="F22" s="213"/>
      <c r="G22" s="213"/>
      <c r="H22" s="213"/>
      <c r="I22" s="213"/>
      <c r="J22" s="213"/>
      <c r="K22" s="213"/>
      <c r="L22" s="213"/>
      <c r="M22" s="213"/>
      <c r="N22" s="213"/>
      <c r="O22" s="213"/>
      <c r="P22" s="213"/>
      <c r="Q22" s="213"/>
      <c r="R22" s="213"/>
      <c r="S22" s="213"/>
      <c r="T22" s="214"/>
      <c r="U22" s="213"/>
      <c r="V22" s="213"/>
      <c r="W22" s="213"/>
      <c r="X22" s="213"/>
    </row>
    <row r="23" customFormat="false" ht="14.25" hidden="false" customHeight="false" outlineLevel="0" collapsed="false">
      <c r="A23" s="213"/>
      <c r="B23" s="213"/>
      <c r="C23" s="213"/>
      <c r="D23" s="213"/>
      <c r="E23" s="213"/>
      <c r="F23" s="213"/>
      <c r="G23" s="213"/>
      <c r="H23" s="213"/>
      <c r="I23" s="213"/>
      <c r="J23" s="213"/>
      <c r="K23" s="213"/>
      <c r="L23" s="213"/>
      <c r="M23" s="213"/>
      <c r="N23" s="213"/>
      <c r="O23" s="213"/>
      <c r="P23" s="213"/>
      <c r="Q23" s="213"/>
      <c r="R23" s="213"/>
      <c r="S23" s="213"/>
      <c r="T23" s="214"/>
      <c r="U23" s="213"/>
      <c r="V23" s="213"/>
      <c r="W23" s="213"/>
      <c r="X23" s="213"/>
    </row>
    <row r="24" customFormat="false" ht="14.25" hidden="false" customHeight="false" outlineLevel="0" collapsed="false">
      <c r="A24" s="213"/>
      <c r="B24" s="213"/>
      <c r="C24" s="213"/>
      <c r="D24" s="213"/>
      <c r="E24" s="213"/>
      <c r="F24" s="213"/>
      <c r="G24" s="213"/>
      <c r="H24" s="213"/>
      <c r="I24" s="213"/>
      <c r="J24" s="213"/>
      <c r="K24" s="213"/>
      <c r="L24" s="213"/>
      <c r="M24" s="213"/>
      <c r="N24" s="213"/>
      <c r="O24" s="213"/>
      <c r="P24" s="213"/>
      <c r="Q24" s="213"/>
      <c r="R24" s="213"/>
      <c r="S24" s="213"/>
      <c r="T24" s="214"/>
      <c r="U24" s="213"/>
      <c r="V24" s="213"/>
      <c r="W24" s="213"/>
      <c r="X24" s="213"/>
    </row>
    <row r="25" customFormat="false" ht="14.25" hidden="false" customHeight="false" outlineLevel="0" collapsed="false">
      <c r="A25" s="213"/>
      <c r="B25" s="213"/>
      <c r="C25" s="213"/>
      <c r="D25" s="213"/>
      <c r="E25" s="213"/>
      <c r="F25" s="213"/>
      <c r="G25" s="213"/>
      <c r="H25" s="213"/>
      <c r="I25" s="213"/>
      <c r="J25" s="213"/>
      <c r="K25" s="213"/>
      <c r="L25" s="213"/>
      <c r="M25" s="213"/>
      <c r="N25" s="213"/>
      <c r="O25" s="213"/>
      <c r="P25" s="213"/>
      <c r="Q25" s="213"/>
      <c r="R25" s="213"/>
      <c r="S25" s="213"/>
      <c r="T25" s="214"/>
      <c r="U25" s="213"/>
      <c r="V25" s="213"/>
      <c r="W25" s="213"/>
      <c r="X25" s="213"/>
    </row>
    <row r="26" customFormat="false" ht="14.25" hidden="false" customHeight="false" outlineLevel="0" collapsed="false">
      <c r="A26" s="213"/>
      <c r="B26" s="213"/>
      <c r="C26" s="213"/>
      <c r="D26" s="213"/>
      <c r="E26" s="213"/>
      <c r="F26" s="213"/>
      <c r="G26" s="213"/>
      <c r="H26" s="213"/>
      <c r="I26" s="213"/>
      <c r="J26" s="213"/>
      <c r="K26" s="213"/>
      <c r="L26" s="213"/>
      <c r="M26" s="213"/>
      <c r="N26" s="213"/>
      <c r="O26" s="213"/>
      <c r="P26" s="213"/>
      <c r="Q26" s="213"/>
      <c r="R26" s="213"/>
      <c r="S26" s="213"/>
      <c r="T26" s="214"/>
      <c r="U26" s="213"/>
      <c r="V26" s="213"/>
      <c r="W26" s="213"/>
      <c r="X26" s="213"/>
    </row>
    <row r="27" customFormat="false" ht="14.25" hidden="false" customHeight="false" outlineLevel="0" collapsed="false">
      <c r="A27" s="213"/>
      <c r="B27" s="213"/>
      <c r="C27" s="213"/>
      <c r="D27" s="213"/>
      <c r="E27" s="213"/>
      <c r="F27" s="213"/>
      <c r="G27" s="213"/>
      <c r="H27" s="213"/>
      <c r="I27" s="213"/>
      <c r="J27" s="213"/>
      <c r="K27" s="213"/>
      <c r="L27" s="213"/>
      <c r="M27" s="213"/>
      <c r="N27" s="213"/>
      <c r="O27" s="213"/>
      <c r="P27" s="213"/>
      <c r="Q27" s="213"/>
      <c r="R27" s="213"/>
      <c r="S27" s="213"/>
      <c r="T27" s="214"/>
      <c r="U27" s="213"/>
      <c r="V27" s="213"/>
      <c r="W27" s="213"/>
      <c r="X27" s="213"/>
    </row>
    <row r="28" customFormat="false" ht="14.25" hidden="false" customHeight="false" outlineLevel="0" collapsed="false">
      <c r="A28" s="213"/>
      <c r="B28" s="213"/>
      <c r="C28" s="213"/>
      <c r="D28" s="213"/>
      <c r="E28" s="213"/>
      <c r="F28" s="213"/>
      <c r="G28" s="213"/>
      <c r="H28" s="213"/>
      <c r="I28" s="213"/>
      <c r="J28" s="213"/>
      <c r="K28" s="213"/>
      <c r="L28" s="213"/>
      <c r="M28" s="213"/>
      <c r="N28" s="213"/>
      <c r="O28" s="213"/>
      <c r="P28" s="213"/>
      <c r="Q28" s="213"/>
      <c r="R28" s="213"/>
      <c r="S28" s="213"/>
      <c r="T28" s="214"/>
      <c r="U28" s="213"/>
      <c r="V28" s="213"/>
      <c r="W28" s="213"/>
      <c r="X28" s="213"/>
    </row>
    <row r="29" customFormat="false" ht="14.25" hidden="false" customHeight="false" outlineLevel="0" collapsed="false">
      <c r="A29" s="213"/>
      <c r="B29" s="213"/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13"/>
      <c r="P29" s="213"/>
      <c r="Q29" s="213"/>
      <c r="R29" s="213"/>
      <c r="S29" s="213"/>
      <c r="T29" s="214"/>
      <c r="U29" s="213"/>
      <c r="V29" s="213"/>
      <c r="W29" s="213"/>
      <c r="X29" s="213"/>
    </row>
    <row r="30" customFormat="false" ht="14.25" hidden="false" customHeight="false" outlineLevel="0" collapsed="false">
      <c r="A30" s="213"/>
      <c r="B30" s="213"/>
      <c r="C30" s="213"/>
      <c r="D30" s="213"/>
      <c r="E30" s="213"/>
      <c r="F30" s="213"/>
      <c r="G30" s="213"/>
      <c r="H30" s="213"/>
      <c r="I30" s="213"/>
      <c r="J30" s="213"/>
      <c r="K30" s="213"/>
      <c r="L30" s="213"/>
      <c r="M30" s="213"/>
      <c r="N30" s="213"/>
      <c r="O30" s="213"/>
      <c r="P30" s="213"/>
      <c r="Q30" s="213"/>
      <c r="R30" s="213"/>
      <c r="S30" s="213"/>
      <c r="T30" s="214"/>
      <c r="U30" s="213"/>
      <c r="V30" s="213"/>
      <c r="W30" s="213"/>
      <c r="X30" s="213"/>
    </row>
    <row r="31" customFormat="false" ht="14.25" hidden="false" customHeight="false" outlineLevel="0" collapsed="false">
      <c r="A31" s="213"/>
      <c r="B31" s="213"/>
      <c r="C31" s="213"/>
      <c r="D31" s="213"/>
      <c r="E31" s="213"/>
      <c r="F31" s="213"/>
      <c r="G31" s="213"/>
      <c r="H31" s="213"/>
      <c r="I31" s="213"/>
      <c r="J31" s="213"/>
      <c r="K31" s="213"/>
      <c r="L31" s="213"/>
      <c r="M31" s="213"/>
      <c r="N31" s="213"/>
      <c r="O31" s="213"/>
      <c r="P31" s="213"/>
      <c r="Q31" s="213"/>
      <c r="R31" s="213"/>
      <c r="S31" s="213"/>
      <c r="T31" s="214"/>
      <c r="U31" s="213"/>
      <c r="V31" s="213"/>
      <c r="W31" s="213"/>
      <c r="X31" s="213"/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8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34" activeCellId="0" sqref="F34"/>
    </sheetView>
  </sheetViews>
  <sheetFormatPr defaultColWidth="8.59765625" defaultRowHeight="14.25" zeroHeight="false" outlineLevelRow="0" outlineLevelCol="0"/>
  <sheetData>
    <row r="1" customFormat="false" ht="14.25" hidden="false" customHeight="false" outlineLevel="0" collapsed="false">
      <c r="A1" s="213"/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3"/>
      <c r="R1" s="213"/>
      <c r="S1" s="213"/>
      <c r="T1" s="213"/>
      <c r="U1" s="213"/>
      <c r="V1" s="215"/>
      <c r="W1" s="215"/>
      <c r="X1" s="213"/>
      <c r="Y1" s="213"/>
      <c r="Z1" s="213"/>
    </row>
    <row r="2" customFormat="false" ht="14.25" hidden="false" customHeight="false" outlineLevel="0" collapsed="false">
      <c r="A2" s="213"/>
      <c r="B2" s="213"/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213"/>
      <c r="T2" s="213"/>
      <c r="U2" s="213"/>
      <c r="V2" s="215"/>
      <c r="W2" s="215"/>
      <c r="X2" s="213"/>
      <c r="Y2" s="213"/>
      <c r="Z2" s="213"/>
    </row>
    <row r="3" customFormat="false" ht="14.25" hidden="false" customHeight="false" outlineLevel="0" collapsed="false">
      <c r="A3" s="213"/>
      <c r="B3" s="213"/>
      <c r="C3" s="213"/>
      <c r="D3" s="213"/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  <c r="Q3" s="213"/>
      <c r="R3" s="213"/>
      <c r="S3" s="213"/>
      <c r="T3" s="213"/>
      <c r="U3" s="213"/>
      <c r="V3" s="215"/>
      <c r="W3" s="215"/>
      <c r="X3" s="213"/>
      <c r="Y3" s="213"/>
      <c r="Z3" s="213"/>
    </row>
    <row r="4" customFormat="false" ht="14.25" hidden="false" customHeight="false" outlineLevel="0" collapsed="false">
      <c r="A4" s="213"/>
      <c r="B4" s="213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  <c r="Q4" s="213"/>
      <c r="R4" s="213"/>
      <c r="S4" s="213"/>
      <c r="T4" s="213"/>
      <c r="U4" s="213"/>
      <c r="V4" s="215"/>
      <c r="W4" s="215"/>
      <c r="X4" s="213"/>
      <c r="Y4" s="213"/>
      <c r="Z4" s="213"/>
    </row>
    <row r="5" customFormat="false" ht="14.25" hidden="false" customHeight="false" outlineLevel="0" collapsed="false">
      <c r="A5" s="213"/>
      <c r="B5" s="213"/>
      <c r="C5" s="213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3"/>
      <c r="Q5" s="213"/>
      <c r="R5" s="213"/>
      <c r="S5" s="213"/>
      <c r="T5" s="213"/>
      <c r="U5" s="213"/>
      <c r="V5" s="215"/>
      <c r="W5" s="215"/>
      <c r="X5" s="213"/>
      <c r="Y5" s="213"/>
      <c r="Z5" s="213"/>
    </row>
    <row r="6" customFormat="false" ht="14.25" hidden="false" customHeight="false" outlineLevel="0" collapsed="false">
      <c r="A6" s="213"/>
      <c r="B6" s="213"/>
      <c r="C6" s="213"/>
      <c r="D6" s="213"/>
      <c r="E6" s="213"/>
      <c r="F6" s="213"/>
      <c r="G6" s="213"/>
      <c r="H6" s="213"/>
      <c r="I6" s="213"/>
      <c r="J6" s="213"/>
      <c r="K6" s="213"/>
      <c r="L6" s="213"/>
      <c r="M6" s="213"/>
      <c r="N6" s="213"/>
      <c r="O6" s="213"/>
      <c r="P6" s="213"/>
      <c r="Q6" s="213"/>
      <c r="R6" s="213"/>
      <c r="S6" s="213"/>
      <c r="T6" s="213"/>
      <c r="U6" s="213"/>
      <c r="V6" s="215"/>
      <c r="W6" s="215"/>
      <c r="X6" s="213"/>
      <c r="Y6" s="213"/>
      <c r="Z6" s="213"/>
    </row>
    <row r="7" customFormat="false" ht="14.25" hidden="false" customHeight="false" outlineLevel="0" collapsed="false">
      <c r="A7" s="213"/>
      <c r="B7" s="213"/>
      <c r="C7" s="213"/>
      <c r="D7" s="213"/>
      <c r="E7" s="213"/>
      <c r="F7" s="213"/>
      <c r="G7" s="213"/>
      <c r="H7" s="213"/>
      <c r="I7" s="213"/>
      <c r="J7" s="213"/>
      <c r="K7" s="213"/>
      <c r="L7" s="213"/>
      <c r="M7" s="213"/>
      <c r="N7" s="213"/>
      <c r="O7" s="213"/>
      <c r="P7" s="213"/>
      <c r="Q7" s="213"/>
      <c r="R7" s="213"/>
      <c r="S7" s="213"/>
      <c r="T7" s="213"/>
      <c r="U7" s="213"/>
      <c r="V7" s="215"/>
      <c r="W7" s="215"/>
      <c r="X7" s="213"/>
      <c r="Y7" s="213"/>
      <c r="Z7" s="213"/>
    </row>
    <row r="8" customFormat="false" ht="14.25" hidden="false" customHeight="false" outlineLevel="0" collapsed="false">
      <c r="A8" s="213"/>
      <c r="B8" s="213"/>
      <c r="C8" s="213"/>
      <c r="D8" s="213"/>
      <c r="E8" s="213"/>
      <c r="F8" s="213"/>
      <c r="G8" s="213"/>
      <c r="H8" s="213"/>
      <c r="I8" s="213"/>
      <c r="J8" s="213"/>
      <c r="K8" s="213"/>
      <c r="L8" s="213"/>
      <c r="M8" s="213"/>
      <c r="N8" s="213"/>
      <c r="O8" s="213"/>
      <c r="P8" s="213"/>
      <c r="Q8" s="213"/>
      <c r="R8" s="213"/>
      <c r="S8" s="213"/>
      <c r="T8" s="213"/>
      <c r="U8" s="213"/>
      <c r="V8" s="215"/>
      <c r="W8" s="215"/>
      <c r="X8" s="213"/>
      <c r="Y8" s="213"/>
      <c r="Z8" s="213"/>
    </row>
    <row r="9" customFormat="false" ht="14.25" hidden="false" customHeight="false" outlineLevel="0" collapsed="false">
      <c r="A9" s="213"/>
      <c r="B9" s="213"/>
      <c r="C9" s="213"/>
      <c r="D9" s="213"/>
      <c r="E9" s="213"/>
      <c r="F9" s="213"/>
      <c r="G9" s="213"/>
      <c r="H9" s="213"/>
      <c r="I9" s="213"/>
      <c r="J9" s="213"/>
      <c r="K9" s="213"/>
      <c r="L9" s="213"/>
      <c r="M9" s="213"/>
      <c r="N9" s="213"/>
      <c r="O9" s="213"/>
      <c r="P9" s="213"/>
      <c r="Q9" s="213"/>
      <c r="R9" s="213"/>
      <c r="S9" s="213"/>
      <c r="T9" s="213"/>
      <c r="U9" s="213"/>
      <c r="V9" s="215"/>
      <c r="W9" s="215"/>
      <c r="X9" s="213"/>
      <c r="Y9" s="213"/>
      <c r="Z9" s="213"/>
    </row>
    <row r="10" customFormat="false" ht="14.25" hidden="false" customHeight="false" outlineLevel="0" collapsed="false">
      <c r="A10" s="213"/>
      <c r="B10" s="213"/>
      <c r="C10" s="213"/>
      <c r="D10" s="213"/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213"/>
      <c r="R10" s="213"/>
      <c r="S10" s="213"/>
      <c r="T10" s="213"/>
      <c r="U10" s="213"/>
      <c r="V10" s="215"/>
      <c r="W10" s="215"/>
      <c r="X10" s="213"/>
      <c r="Y10" s="213"/>
      <c r="Z10" s="213"/>
    </row>
    <row r="11" customFormat="false" ht="14.25" hidden="false" customHeight="false" outlineLevel="0" collapsed="false">
      <c r="A11" s="213"/>
      <c r="B11" s="213"/>
      <c r="C11" s="213"/>
      <c r="D11" s="213"/>
      <c r="E11" s="213"/>
      <c r="F11" s="213"/>
      <c r="G11" s="213"/>
      <c r="H11" s="213"/>
      <c r="I11" s="213"/>
      <c r="J11" s="213"/>
      <c r="K11" s="213"/>
      <c r="L11" s="213"/>
      <c r="M11" s="213"/>
      <c r="N11" s="213"/>
      <c r="O11" s="213"/>
      <c r="P11" s="213"/>
      <c r="Q11" s="213"/>
      <c r="R11" s="213"/>
      <c r="S11" s="213"/>
      <c r="T11" s="213"/>
      <c r="U11" s="213"/>
      <c r="V11" s="215"/>
      <c r="W11" s="215"/>
      <c r="X11" s="213"/>
      <c r="Y11" s="213"/>
      <c r="Z11" s="213"/>
    </row>
    <row r="12" customFormat="false" ht="14.25" hidden="false" customHeight="false" outlineLevel="0" collapsed="false">
      <c r="A12" s="213"/>
      <c r="B12" s="213"/>
      <c r="C12" s="213"/>
      <c r="D12" s="213"/>
      <c r="E12" s="213"/>
      <c r="F12" s="213"/>
      <c r="G12" s="213"/>
      <c r="H12" s="213"/>
      <c r="I12" s="213"/>
      <c r="J12" s="213"/>
      <c r="K12" s="213"/>
      <c r="L12" s="213"/>
      <c r="M12" s="213"/>
      <c r="N12" s="213"/>
      <c r="O12" s="213"/>
      <c r="P12" s="213"/>
      <c r="Q12" s="213"/>
      <c r="R12" s="213"/>
      <c r="S12" s="213"/>
      <c r="T12" s="213"/>
      <c r="U12" s="213"/>
      <c r="V12" s="215"/>
      <c r="W12" s="215"/>
      <c r="X12" s="213"/>
      <c r="Y12" s="213"/>
      <c r="Z12" s="213"/>
    </row>
    <row r="13" customFormat="false" ht="14.25" hidden="false" customHeight="false" outlineLevel="0" collapsed="false">
      <c r="A13" s="213"/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3"/>
      <c r="P13" s="213"/>
      <c r="Q13" s="213"/>
      <c r="R13" s="213"/>
      <c r="S13" s="213"/>
      <c r="T13" s="213"/>
      <c r="U13" s="213"/>
      <c r="V13" s="215"/>
      <c r="W13" s="215"/>
      <c r="X13" s="213"/>
      <c r="Y13" s="213"/>
      <c r="Z13" s="213"/>
    </row>
    <row r="14" customFormat="false" ht="14.25" hidden="false" customHeight="false" outlineLevel="0" collapsed="false">
      <c r="A14" s="213"/>
      <c r="B14" s="213"/>
      <c r="C14" s="213"/>
      <c r="D14" s="213"/>
      <c r="E14" s="213"/>
      <c r="F14" s="213"/>
      <c r="G14" s="213"/>
      <c r="H14" s="213"/>
      <c r="I14" s="213"/>
      <c r="J14" s="213"/>
      <c r="K14" s="213"/>
      <c r="L14" s="213"/>
      <c r="M14" s="213"/>
      <c r="N14" s="213"/>
      <c r="O14" s="213"/>
      <c r="P14" s="213"/>
      <c r="Q14" s="213"/>
      <c r="R14" s="213"/>
      <c r="S14" s="213"/>
      <c r="T14" s="213"/>
      <c r="U14" s="213"/>
      <c r="V14" s="215"/>
      <c r="W14" s="215"/>
      <c r="X14" s="213"/>
      <c r="Y14" s="213"/>
      <c r="Z14" s="213"/>
    </row>
    <row r="15" customFormat="false" ht="14.25" hidden="false" customHeight="false" outlineLevel="0" collapsed="false">
      <c r="A15" s="213"/>
      <c r="B15" s="213"/>
      <c r="C15" s="213"/>
      <c r="D15" s="213"/>
      <c r="E15" s="213"/>
      <c r="F15" s="213"/>
      <c r="G15" s="213"/>
      <c r="H15" s="213"/>
      <c r="I15" s="213"/>
      <c r="J15" s="213"/>
      <c r="K15" s="213"/>
      <c r="L15" s="213"/>
      <c r="M15" s="213"/>
      <c r="N15" s="213"/>
      <c r="O15" s="213"/>
      <c r="P15" s="213"/>
      <c r="Q15" s="213"/>
      <c r="R15" s="213"/>
      <c r="S15" s="213"/>
      <c r="T15" s="213"/>
      <c r="U15" s="213"/>
      <c r="V15" s="215"/>
      <c r="W15" s="215"/>
      <c r="X15" s="213"/>
      <c r="Y15" s="213"/>
      <c r="Z15" s="213"/>
    </row>
    <row r="16" customFormat="false" ht="14.25" hidden="false" customHeight="false" outlineLevel="0" collapsed="false">
      <c r="A16" s="213"/>
      <c r="B16" s="213"/>
      <c r="C16" s="213"/>
      <c r="D16" s="213"/>
      <c r="E16" s="213"/>
      <c r="F16" s="213"/>
      <c r="G16" s="213"/>
      <c r="H16" s="213"/>
      <c r="I16" s="213"/>
      <c r="J16" s="213"/>
      <c r="K16" s="213"/>
      <c r="L16" s="213"/>
      <c r="M16" s="213"/>
      <c r="N16" s="213"/>
      <c r="O16" s="213"/>
      <c r="P16" s="213"/>
      <c r="Q16" s="213"/>
      <c r="R16" s="213"/>
      <c r="S16" s="213"/>
      <c r="T16" s="213"/>
      <c r="U16" s="213"/>
      <c r="V16" s="215"/>
      <c r="W16" s="215"/>
      <c r="X16" s="213"/>
      <c r="Y16" s="213"/>
      <c r="Z16" s="213"/>
    </row>
    <row r="17" customFormat="false" ht="14.25" hidden="false" customHeight="false" outlineLevel="0" collapsed="false">
      <c r="A17" s="213"/>
      <c r="B17" s="213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213"/>
      <c r="O17" s="213"/>
      <c r="P17" s="213"/>
      <c r="Q17" s="213"/>
      <c r="R17" s="213"/>
      <c r="S17" s="213"/>
      <c r="T17" s="213"/>
      <c r="U17" s="213"/>
      <c r="V17" s="215"/>
      <c r="W17" s="215"/>
      <c r="X17" s="213"/>
      <c r="Y17" s="213"/>
      <c r="Z17" s="213"/>
    </row>
    <row r="18" customFormat="false" ht="14.25" hidden="false" customHeight="false" outlineLevel="0" collapsed="false">
      <c r="A18" s="213"/>
      <c r="B18" s="213"/>
      <c r="C18" s="213"/>
      <c r="D18" s="213"/>
      <c r="E18" s="213"/>
      <c r="F18" s="213"/>
      <c r="G18" s="213"/>
      <c r="H18" s="213"/>
      <c r="I18" s="213"/>
      <c r="J18" s="213"/>
      <c r="K18" s="213"/>
      <c r="L18" s="213"/>
      <c r="M18" s="213"/>
      <c r="N18" s="213"/>
      <c r="O18" s="213"/>
      <c r="P18" s="213"/>
      <c r="Q18" s="213"/>
      <c r="R18" s="213"/>
      <c r="S18" s="213"/>
      <c r="T18" s="213"/>
      <c r="U18" s="213"/>
      <c r="V18" s="215"/>
      <c r="W18" s="215"/>
      <c r="X18" s="213"/>
      <c r="Y18" s="213"/>
      <c r="Z18" s="213"/>
    </row>
    <row r="19" customFormat="false" ht="14.25" hidden="false" customHeight="false" outlineLevel="0" collapsed="false">
      <c r="A19" s="213"/>
      <c r="B19" s="213"/>
      <c r="C19" s="213"/>
      <c r="D19" s="213"/>
      <c r="E19" s="213"/>
      <c r="F19" s="213"/>
      <c r="G19" s="213"/>
      <c r="H19" s="213"/>
      <c r="I19" s="213"/>
      <c r="J19" s="213"/>
      <c r="K19" s="213"/>
      <c r="L19" s="213"/>
      <c r="M19" s="213"/>
      <c r="N19" s="213"/>
      <c r="O19" s="213"/>
      <c r="P19" s="213"/>
      <c r="Q19" s="213"/>
      <c r="R19" s="213"/>
      <c r="S19" s="213"/>
      <c r="T19" s="213"/>
      <c r="U19" s="213"/>
      <c r="V19" s="215"/>
      <c r="W19" s="215"/>
      <c r="X19" s="213"/>
      <c r="Y19" s="213"/>
      <c r="Z19" s="213"/>
    </row>
    <row r="20" customFormat="false" ht="14.25" hidden="false" customHeight="false" outlineLevel="0" collapsed="false">
      <c r="A20" s="213"/>
      <c r="B20" s="213"/>
      <c r="C20" s="213"/>
      <c r="D20" s="213"/>
      <c r="E20" s="213"/>
      <c r="F20" s="213"/>
      <c r="G20" s="213"/>
      <c r="H20" s="213"/>
      <c r="I20" s="213"/>
      <c r="J20" s="213"/>
      <c r="K20" s="213"/>
      <c r="L20" s="213"/>
      <c r="M20" s="213"/>
      <c r="N20" s="213"/>
      <c r="O20" s="213"/>
      <c r="P20" s="213"/>
      <c r="Q20" s="213"/>
      <c r="R20" s="213"/>
      <c r="S20" s="213"/>
      <c r="T20" s="213"/>
      <c r="U20" s="213"/>
      <c r="V20" s="215"/>
      <c r="W20" s="215"/>
      <c r="X20" s="213"/>
      <c r="Y20" s="213"/>
      <c r="Z20" s="213"/>
    </row>
    <row r="21" customFormat="false" ht="14.25" hidden="false" customHeight="false" outlineLevel="0" collapsed="false">
      <c r="A21" s="213"/>
      <c r="B21" s="213"/>
      <c r="C21" s="213"/>
      <c r="D21" s="213"/>
      <c r="E21" s="213"/>
      <c r="F21" s="213"/>
      <c r="G21" s="213"/>
      <c r="H21" s="213"/>
      <c r="I21" s="213"/>
      <c r="J21" s="213"/>
      <c r="K21" s="213"/>
      <c r="L21" s="213"/>
      <c r="M21" s="213"/>
      <c r="N21" s="213"/>
      <c r="O21" s="213"/>
      <c r="P21" s="213"/>
      <c r="Q21" s="213"/>
      <c r="R21" s="213"/>
      <c r="S21" s="213"/>
      <c r="T21" s="213"/>
      <c r="U21" s="213"/>
      <c r="V21" s="215"/>
      <c r="W21" s="215"/>
      <c r="X21" s="213"/>
      <c r="Y21" s="213"/>
      <c r="Z21" s="213"/>
    </row>
    <row r="22" customFormat="false" ht="14.25" hidden="false" customHeight="false" outlineLevel="0" collapsed="false">
      <c r="A22" s="213"/>
      <c r="B22" s="213"/>
      <c r="C22" s="213"/>
      <c r="D22" s="213"/>
      <c r="E22" s="213"/>
      <c r="F22" s="213"/>
      <c r="G22" s="213"/>
      <c r="H22" s="213"/>
      <c r="I22" s="213"/>
      <c r="J22" s="213"/>
      <c r="K22" s="213"/>
      <c r="L22" s="213"/>
      <c r="M22" s="213"/>
      <c r="N22" s="213"/>
      <c r="O22" s="213"/>
      <c r="P22" s="213"/>
      <c r="Q22" s="213"/>
      <c r="R22" s="213"/>
      <c r="S22" s="213"/>
      <c r="T22" s="213"/>
      <c r="U22" s="213"/>
      <c r="V22" s="215"/>
      <c r="W22" s="215"/>
      <c r="X22" s="213"/>
      <c r="Y22" s="213"/>
      <c r="Z22" s="213"/>
    </row>
    <row r="23" customFormat="false" ht="14.25" hidden="false" customHeight="false" outlineLevel="0" collapsed="false">
      <c r="A23" s="213"/>
      <c r="B23" s="213"/>
      <c r="C23" s="213"/>
      <c r="D23" s="213"/>
      <c r="E23" s="213"/>
      <c r="F23" s="213"/>
      <c r="G23" s="213"/>
      <c r="H23" s="213"/>
      <c r="I23" s="213"/>
      <c r="J23" s="213"/>
      <c r="K23" s="213"/>
      <c r="L23" s="213"/>
      <c r="M23" s="213"/>
      <c r="N23" s="213"/>
      <c r="O23" s="213"/>
      <c r="P23" s="213"/>
      <c r="Q23" s="213"/>
      <c r="R23" s="213"/>
      <c r="S23" s="213"/>
      <c r="T23" s="213"/>
      <c r="U23" s="213"/>
      <c r="V23" s="215"/>
      <c r="W23" s="215"/>
      <c r="X23" s="213"/>
      <c r="Y23" s="213"/>
      <c r="Z23" s="213"/>
    </row>
    <row r="24" customFormat="false" ht="14.25" hidden="false" customHeight="false" outlineLevel="0" collapsed="false">
      <c r="A24" s="213"/>
      <c r="B24" s="213"/>
      <c r="C24" s="213"/>
      <c r="D24" s="213"/>
      <c r="E24" s="213"/>
      <c r="F24" s="213"/>
      <c r="G24" s="213"/>
      <c r="H24" s="213"/>
      <c r="I24" s="213"/>
      <c r="J24" s="213"/>
      <c r="K24" s="213"/>
      <c r="L24" s="213"/>
      <c r="M24" s="213"/>
      <c r="N24" s="213"/>
      <c r="O24" s="213"/>
      <c r="P24" s="213"/>
      <c r="Q24" s="213"/>
      <c r="R24" s="213"/>
      <c r="S24" s="213"/>
      <c r="T24" s="213"/>
      <c r="U24" s="213"/>
      <c r="V24" s="215"/>
      <c r="W24" s="215"/>
      <c r="X24" s="213"/>
      <c r="Y24" s="213"/>
      <c r="Z24" s="213"/>
    </row>
    <row r="25" customFormat="false" ht="14.25" hidden="false" customHeight="false" outlineLevel="0" collapsed="false">
      <c r="A25" s="213"/>
      <c r="B25" s="213"/>
      <c r="C25" s="213"/>
      <c r="D25" s="213"/>
      <c r="E25" s="213"/>
      <c r="F25" s="213"/>
      <c r="G25" s="213"/>
      <c r="H25" s="213"/>
      <c r="I25" s="213"/>
      <c r="J25" s="213"/>
      <c r="K25" s="213"/>
      <c r="L25" s="213"/>
      <c r="M25" s="213"/>
      <c r="N25" s="213"/>
      <c r="O25" s="213"/>
      <c r="P25" s="213"/>
      <c r="Q25" s="213"/>
      <c r="R25" s="213"/>
      <c r="S25" s="213"/>
      <c r="T25" s="213"/>
      <c r="U25" s="213"/>
      <c r="V25" s="215"/>
      <c r="W25" s="215"/>
      <c r="X25" s="213"/>
      <c r="Y25" s="213"/>
      <c r="Z25" s="213"/>
    </row>
    <row r="26" customFormat="false" ht="14.25" hidden="false" customHeight="false" outlineLevel="0" collapsed="false">
      <c r="A26" s="213"/>
      <c r="B26" s="213"/>
      <c r="C26" s="213"/>
      <c r="D26" s="213"/>
      <c r="E26" s="213"/>
      <c r="F26" s="213"/>
      <c r="G26" s="213"/>
      <c r="H26" s="213"/>
      <c r="I26" s="213"/>
      <c r="J26" s="213"/>
      <c r="K26" s="213"/>
      <c r="L26" s="213"/>
      <c r="M26" s="213"/>
      <c r="N26" s="213"/>
      <c r="O26" s="213"/>
      <c r="P26" s="213"/>
      <c r="Q26" s="213"/>
      <c r="R26" s="213"/>
      <c r="S26" s="213"/>
      <c r="T26" s="213"/>
      <c r="U26" s="213"/>
      <c r="V26" s="215"/>
      <c r="W26" s="215"/>
      <c r="X26" s="213"/>
      <c r="Y26" s="213"/>
      <c r="Z26" s="213"/>
    </row>
    <row r="27" customFormat="false" ht="14.25" hidden="false" customHeight="false" outlineLevel="0" collapsed="false">
      <c r="A27" s="213"/>
      <c r="B27" s="213"/>
      <c r="C27" s="213"/>
      <c r="D27" s="213"/>
      <c r="E27" s="213"/>
      <c r="F27" s="213"/>
      <c r="G27" s="213"/>
      <c r="H27" s="213"/>
      <c r="I27" s="213"/>
      <c r="J27" s="213"/>
      <c r="K27" s="213"/>
      <c r="L27" s="213"/>
      <c r="M27" s="213"/>
      <c r="N27" s="213"/>
      <c r="O27" s="213"/>
      <c r="P27" s="213"/>
      <c r="Q27" s="213"/>
      <c r="R27" s="213"/>
      <c r="S27" s="213"/>
      <c r="T27" s="213"/>
      <c r="U27" s="213"/>
      <c r="V27" s="215"/>
      <c r="W27" s="215"/>
      <c r="X27" s="213"/>
      <c r="Y27" s="213"/>
      <c r="Z27" s="213"/>
    </row>
    <row r="28" customFormat="false" ht="14.25" hidden="false" customHeight="false" outlineLevel="0" collapsed="false">
      <c r="A28" s="213"/>
      <c r="B28" s="213"/>
      <c r="C28" s="213"/>
      <c r="D28" s="213"/>
      <c r="E28" s="213"/>
      <c r="F28" s="213"/>
      <c r="G28" s="213"/>
      <c r="H28" s="213"/>
      <c r="I28" s="213"/>
      <c r="J28" s="213"/>
      <c r="K28" s="213"/>
      <c r="L28" s="213"/>
      <c r="M28" s="213"/>
      <c r="N28" s="213"/>
      <c r="O28" s="213"/>
      <c r="P28" s="213"/>
      <c r="Q28" s="213"/>
      <c r="R28" s="213"/>
      <c r="S28" s="213"/>
      <c r="T28" s="213"/>
      <c r="U28" s="213"/>
      <c r="V28" s="213"/>
      <c r="W28" s="215"/>
      <c r="X28" s="213"/>
      <c r="Y28" s="213"/>
      <c r="Z28" s="213"/>
    </row>
    <row r="29" customFormat="false" ht="14.25" hidden="false" customHeight="false" outlineLevel="0" collapsed="false">
      <c r="A29" s="213"/>
      <c r="B29" s="213"/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13"/>
      <c r="P29" s="213"/>
      <c r="Q29" s="213"/>
      <c r="R29" s="213"/>
      <c r="S29" s="213"/>
      <c r="T29" s="213"/>
      <c r="U29" s="213"/>
      <c r="V29" s="213"/>
      <c r="W29" s="213"/>
      <c r="X29" s="213"/>
      <c r="Y29" s="213"/>
      <c r="Z29" s="213"/>
    </row>
    <row r="30" customFormat="false" ht="14.25" hidden="false" customHeight="false" outlineLevel="0" collapsed="false">
      <c r="A30" s="213"/>
      <c r="B30" s="213"/>
      <c r="C30" s="213"/>
      <c r="D30" s="213"/>
      <c r="E30" s="213"/>
      <c r="F30" s="213"/>
      <c r="G30" s="213"/>
      <c r="H30" s="213"/>
      <c r="I30" s="213"/>
      <c r="J30" s="213"/>
      <c r="K30" s="213"/>
      <c r="L30" s="213"/>
      <c r="M30" s="213"/>
      <c r="N30" s="213"/>
      <c r="O30" s="213"/>
      <c r="P30" s="213"/>
      <c r="Q30" s="213"/>
      <c r="R30" s="213"/>
      <c r="S30" s="213"/>
      <c r="T30" s="213"/>
      <c r="U30" s="213"/>
      <c r="V30" s="213"/>
      <c r="W30" s="213"/>
      <c r="X30" s="213"/>
      <c r="Y30" s="213"/>
      <c r="Z30" s="213"/>
    </row>
    <row r="31" customFormat="false" ht="14.25" hidden="false" customHeight="false" outlineLevel="0" collapsed="false">
      <c r="A31" s="213"/>
      <c r="B31" s="213"/>
      <c r="C31" s="213"/>
      <c r="D31" s="213"/>
      <c r="E31" s="213"/>
      <c r="F31" s="213"/>
      <c r="G31" s="213"/>
      <c r="H31" s="213"/>
      <c r="I31" s="213"/>
      <c r="J31" s="213"/>
      <c r="K31" s="213"/>
      <c r="L31" s="213"/>
      <c r="M31" s="213"/>
      <c r="N31" s="213"/>
      <c r="O31" s="213"/>
      <c r="P31" s="213"/>
      <c r="Q31" s="213"/>
      <c r="R31" s="213"/>
      <c r="S31" s="213"/>
      <c r="T31" s="213"/>
      <c r="U31" s="213"/>
      <c r="V31" s="213"/>
      <c r="W31" s="213"/>
      <c r="X31" s="213"/>
      <c r="Y31" s="213"/>
      <c r="Z31" s="213"/>
    </row>
    <row r="32" customFormat="false" ht="14.25" hidden="false" customHeight="false" outlineLevel="0" collapsed="false">
      <c r="A32" s="213"/>
      <c r="B32" s="213"/>
      <c r="C32" s="213"/>
      <c r="D32" s="213"/>
      <c r="E32" s="213"/>
      <c r="F32" s="213"/>
      <c r="G32" s="213"/>
      <c r="H32" s="213"/>
      <c r="I32" s="213"/>
      <c r="J32" s="213"/>
      <c r="K32" s="213"/>
      <c r="L32" s="213"/>
      <c r="M32" s="213"/>
      <c r="N32" s="213"/>
      <c r="O32" s="213"/>
      <c r="P32" s="213"/>
      <c r="Q32" s="213"/>
      <c r="R32" s="213"/>
      <c r="S32" s="213"/>
      <c r="T32" s="213"/>
      <c r="U32" s="213"/>
      <c r="V32" s="213"/>
      <c r="W32" s="213"/>
      <c r="X32" s="213"/>
      <c r="Y32" s="213"/>
      <c r="Z32" s="213"/>
    </row>
    <row r="33" customFormat="false" ht="14.25" hidden="false" customHeight="false" outlineLevel="0" collapsed="false">
      <c r="A33" s="213"/>
      <c r="B33" s="213"/>
      <c r="C33" s="213"/>
      <c r="D33" s="213"/>
      <c r="E33" s="213"/>
      <c r="F33" s="213"/>
      <c r="G33" s="213"/>
      <c r="H33" s="213"/>
      <c r="I33" s="213"/>
      <c r="J33" s="213"/>
      <c r="K33" s="213"/>
      <c r="L33" s="213"/>
      <c r="M33" s="213"/>
      <c r="N33" s="213"/>
      <c r="O33" s="213"/>
      <c r="P33" s="213"/>
      <c r="Q33" s="213"/>
      <c r="R33" s="213"/>
      <c r="S33" s="213"/>
      <c r="T33" s="213"/>
      <c r="U33" s="213"/>
      <c r="V33" s="213"/>
      <c r="W33" s="213"/>
      <c r="X33" s="213"/>
      <c r="Y33" s="213"/>
      <c r="Z33" s="213"/>
    </row>
    <row r="34" customFormat="false" ht="14.25" hidden="false" customHeight="false" outlineLevel="0" collapsed="false">
      <c r="A34" s="213"/>
      <c r="B34" s="213"/>
      <c r="C34" s="213"/>
      <c r="D34" s="213"/>
      <c r="E34" s="213"/>
      <c r="F34" s="213"/>
      <c r="G34" s="213"/>
      <c r="H34" s="213"/>
      <c r="I34" s="213"/>
      <c r="J34" s="213"/>
      <c r="K34" s="213"/>
      <c r="L34" s="213"/>
      <c r="M34" s="213"/>
      <c r="N34" s="213"/>
      <c r="O34" s="213"/>
      <c r="P34" s="213"/>
      <c r="Q34" s="213"/>
      <c r="R34" s="213"/>
      <c r="S34" s="213"/>
      <c r="T34" s="213"/>
      <c r="U34" s="213"/>
      <c r="V34" s="213"/>
      <c r="W34" s="213"/>
      <c r="X34" s="213"/>
      <c r="Y34" s="213"/>
      <c r="Z34" s="213"/>
    </row>
    <row r="35" customFormat="false" ht="14.25" hidden="false" customHeight="false" outlineLevel="0" collapsed="false">
      <c r="A35" s="213"/>
      <c r="B35" s="213"/>
      <c r="C35" s="213"/>
      <c r="D35" s="213"/>
      <c r="E35" s="213"/>
      <c r="F35" s="213"/>
      <c r="G35" s="213"/>
      <c r="H35" s="213"/>
      <c r="I35" s="213"/>
      <c r="J35" s="213"/>
      <c r="K35" s="213"/>
      <c r="L35" s="213"/>
      <c r="M35" s="213"/>
      <c r="N35" s="213"/>
      <c r="O35" s="213"/>
      <c r="P35" s="213"/>
      <c r="Q35" s="213"/>
      <c r="R35" s="213"/>
      <c r="S35" s="213"/>
      <c r="T35" s="213"/>
      <c r="U35" s="213"/>
      <c r="V35" s="213"/>
      <c r="W35" s="213"/>
      <c r="X35" s="213"/>
      <c r="Y35" s="213"/>
      <c r="Z35" s="213"/>
    </row>
    <row r="36" customFormat="false" ht="14.25" hidden="false" customHeight="false" outlineLevel="0" collapsed="false">
      <c r="A36" s="213"/>
      <c r="B36" s="213"/>
      <c r="C36" s="213"/>
      <c r="D36" s="213"/>
      <c r="E36" s="213"/>
      <c r="F36" s="213"/>
      <c r="G36" s="213"/>
      <c r="H36" s="213"/>
      <c r="I36" s="213"/>
      <c r="J36" s="213"/>
      <c r="K36" s="213"/>
      <c r="L36" s="213"/>
      <c r="M36" s="213"/>
      <c r="N36" s="213"/>
      <c r="O36" s="213"/>
      <c r="P36" s="213"/>
      <c r="Q36" s="213"/>
      <c r="R36" s="213"/>
      <c r="S36" s="213"/>
      <c r="T36" s="213"/>
      <c r="U36" s="213"/>
      <c r="V36" s="213"/>
      <c r="W36" s="213"/>
      <c r="X36" s="213"/>
      <c r="Y36" s="213"/>
      <c r="Z36" s="213"/>
    </row>
    <row r="37" customFormat="false" ht="14.25" hidden="false" customHeight="false" outlineLevel="0" collapsed="false">
      <c r="A37" s="213"/>
      <c r="B37" s="213"/>
      <c r="C37" s="213"/>
      <c r="D37" s="213"/>
      <c r="E37" s="213"/>
      <c r="F37" s="213"/>
      <c r="G37" s="213"/>
      <c r="H37" s="213"/>
      <c r="I37" s="213"/>
      <c r="J37" s="213"/>
      <c r="K37" s="213"/>
      <c r="L37" s="213"/>
      <c r="M37" s="213"/>
      <c r="N37" s="213"/>
      <c r="O37" s="213"/>
      <c r="P37" s="213"/>
      <c r="Q37" s="213"/>
      <c r="R37" s="213"/>
      <c r="S37" s="213"/>
      <c r="T37" s="213"/>
      <c r="U37" s="213"/>
      <c r="V37" s="213"/>
      <c r="W37" s="213"/>
      <c r="X37" s="213"/>
      <c r="Y37" s="213"/>
      <c r="Z37" s="213"/>
    </row>
    <row r="38" customFormat="false" ht="14.25" hidden="false" customHeight="false" outlineLevel="0" collapsed="false">
      <c r="A38" s="213"/>
      <c r="B38" s="213"/>
      <c r="C38" s="213"/>
      <c r="D38" s="213"/>
      <c r="E38" s="213"/>
      <c r="F38" s="213"/>
      <c r="G38" s="213"/>
      <c r="H38" s="213"/>
      <c r="I38" s="213"/>
      <c r="J38" s="213"/>
      <c r="K38" s="213"/>
      <c r="L38" s="213"/>
      <c r="M38" s="213"/>
      <c r="N38" s="213"/>
      <c r="O38" s="213"/>
      <c r="P38" s="213"/>
      <c r="Q38" s="213"/>
      <c r="R38" s="213"/>
      <c r="S38" s="213"/>
      <c r="T38" s="213"/>
      <c r="U38" s="213"/>
      <c r="V38" s="213"/>
      <c r="W38" s="213"/>
      <c r="X38" s="213"/>
      <c r="Y38" s="213"/>
      <c r="Z38" s="213"/>
    </row>
    <row r="39" customFormat="false" ht="14.25" hidden="false" customHeight="false" outlineLevel="0" collapsed="false">
      <c r="A39" s="213"/>
      <c r="B39" s="213"/>
      <c r="C39" s="213"/>
      <c r="D39" s="213"/>
      <c r="E39" s="213"/>
      <c r="F39" s="213"/>
      <c r="G39" s="213"/>
      <c r="H39" s="213"/>
      <c r="I39" s="213"/>
      <c r="J39" s="213"/>
      <c r="K39" s="213"/>
      <c r="L39" s="213"/>
      <c r="M39" s="213"/>
      <c r="N39" s="213"/>
      <c r="O39" s="213"/>
      <c r="P39" s="213"/>
      <c r="Q39" s="213"/>
      <c r="R39" s="213"/>
      <c r="S39" s="213"/>
      <c r="T39" s="213"/>
      <c r="U39" s="213"/>
      <c r="V39" s="213"/>
      <c r="W39" s="213"/>
      <c r="X39" s="213"/>
      <c r="Y39" s="213"/>
      <c r="Z39" s="213"/>
    </row>
    <row r="40" customFormat="false" ht="14.25" hidden="false" customHeight="false" outlineLevel="0" collapsed="false">
      <c r="A40" s="213"/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3"/>
      <c r="P40" s="213"/>
      <c r="Q40" s="213"/>
      <c r="R40" s="213"/>
      <c r="S40" s="213"/>
      <c r="T40" s="213"/>
      <c r="U40" s="213"/>
      <c r="V40" s="213"/>
      <c r="W40" s="213"/>
      <c r="X40" s="213"/>
      <c r="Y40" s="213"/>
      <c r="Z40" s="213"/>
    </row>
    <row r="41" customFormat="false" ht="14.25" hidden="false" customHeight="false" outlineLevel="0" collapsed="false">
      <c r="A41" s="213"/>
      <c r="B41" s="213"/>
      <c r="C41" s="213"/>
      <c r="D41" s="213"/>
      <c r="E41" s="213"/>
      <c r="F41" s="213"/>
      <c r="G41" s="213"/>
      <c r="H41" s="213"/>
      <c r="I41" s="213"/>
      <c r="J41" s="213"/>
      <c r="K41" s="213"/>
      <c r="L41" s="213"/>
      <c r="M41" s="213"/>
      <c r="N41" s="213"/>
      <c r="O41" s="213"/>
      <c r="P41" s="213"/>
      <c r="Q41" s="213"/>
      <c r="R41" s="213"/>
      <c r="S41" s="213"/>
      <c r="T41" s="213"/>
      <c r="U41" s="213"/>
      <c r="V41" s="213"/>
      <c r="W41" s="213"/>
      <c r="X41" s="213"/>
      <c r="Y41" s="213"/>
      <c r="Z41" s="213"/>
    </row>
    <row r="42" customFormat="false" ht="14.25" hidden="false" customHeight="false" outlineLevel="0" collapsed="false">
      <c r="A42" s="213"/>
      <c r="B42" s="213"/>
      <c r="C42" s="213"/>
      <c r="D42" s="213"/>
      <c r="E42" s="213"/>
      <c r="F42" s="213"/>
      <c r="G42" s="213"/>
      <c r="H42" s="213"/>
      <c r="I42" s="213"/>
      <c r="J42" s="213"/>
      <c r="K42" s="213"/>
      <c r="L42" s="213"/>
      <c r="M42" s="213"/>
      <c r="N42" s="213"/>
      <c r="O42" s="213"/>
      <c r="P42" s="213"/>
      <c r="Q42" s="213"/>
      <c r="R42" s="213"/>
      <c r="S42" s="213"/>
      <c r="T42" s="213"/>
      <c r="U42" s="213"/>
      <c r="V42" s="213"/>
      <c r="W42" s="213"/>
      <c r="X42" s="213"/>
      <c r="Y42" s="213"/>
      <c r="Z42" s="213"/>
    </row>
    <row r="43" customFormat="false" ht="14.25" hidden="false" customHeight="false" outlineLevel="0" collapsed="false">
      <c r="A43" s="213"/>
      <c r="B43" s="213"/>
      <c r="C43" s="213"/>
      <c r="D43" s="213"/>
      <c r="E43" s="213"/>
      <c r="F43" s="213"/>
      <c r="G43" s="213"/>
      <c r="H43" s="213"/>
      <c r="I43" s="213"/>
      <c r="J43" s="213"/>
      <c r="K43" s="213"/>
      <c r="L43" s="213"/>
      <c r="M43" s="213"/>
      <c r="N43" s="213"/>
      <c r="O43" s="213"/>
      <c r="P43" s="213"/>
      <c r="Q43" s="213"/>
      <c r="R43" s="213"/>
      <c r="S43" s="213"/>
      <c r="T43" s="213"/>
      <c r="U43" s="213"/>
      <c r="V43" s="213"/>
      <c r="W43" s="213"/>
      <c r="X43" s="213"/>
      <c r="Y43" s="213"/>
      <c r="Z43" s="213"/>
    </row>
    <row r="44" customFormat="false" ht="14.25" hidden="false" customHeight="false" outlineLevel="0" collapsed="false">
      <c r="A44" s="213"/>
      <c r="B44" s="213"/>
      <c r="C44" s="213"/>
      <c r="D44" s="213"/>
      <c r="E44" s="213"/>
      <c r="F44" s="213"/>
      <c r="G44" s="213"/>
      <c r="H44" s="213"/>
      <c r="I44" s="213"/>
      <c r="J44" s="213"/>
      <c r="K44" s="213"/>
      <c r="L44" s="213"/>
      <c r="M44" s="213"/>
      <c r="N44" s="213"/>
      <c r="O44" s="213"/>
      <c r="P44" s="213"/>
      <c r="Q44" s="213"/>
      <c r="R44" s="213"/>
      <c r="S44" s="213"/>
      <c r="T44" s="213"/>
      <c r="U44" s="213"/>
      <c r="V44" s="213"/>
      <c r="W44" s="213"/>
      <c r="X44" s="213"/>
      <c r="Y44" s="213"/>
      <c r="Z44" s="213"/>
    </row>
    <row r="45" customFormat="false" ht="14.25" hidden="false" customHeight="false" outlineLevel="0" collapsed="false">
      <c r="A45" s="213"/>
      <c r="B45" s="213"/>
      <c r="C45" s="213"/>
      <c r="D45" s="213"/>
      <c r="E45" s="213"/>
      <c r="F45" s="213"/>
      <c r="G45" s="213"/>
      <c r="H45" s="213"/>
      <c r="I45" s="213"/>
      <c r="J45" s="213"/>
      <c r="K45" s="213"/>
      <c r="L45" s="213"/>
      <c r="M45" s="213"/>
      <c r="N45" s="213"/>
      <c r="O45" s="213"/>
      <c r="P45" s="213"/>
      <c r="Q45" s="213"/>
      <c r="R45" s="213"/>
      <c r="S45" s="213"/>
      <c r="T45" s="213"/>
      <c r="U45" s="213"/>
      <c r="V45" s="213"/>
      <c r="W45" s="213"/>
      <c r="X45" s="213"/>
      <c r="Y45" s="213"/>
      <c r="Z45" s="213"/>
    </row>
    <row r="46" customFormat="false" ht="14.25" hidden="false" customHeight="false" outlineLevel="0" collapsed="false">
      <c r="A46" s="213"/>
      <c r="B46" s="213"/>
      <c r="C46" s="213"/>
      <c r="D46" s="213"/>
      <c r="E46" s="213"/>
      <c r="F46" s="213"/>
      <c r="G46" s="213"/>
      <c r="H46" s="213"/>
      <c r="I46" s="213"/>
      <c r="J46" s="213"/>
      <c r="K46" s="213"/>
      <c r="L46" s="213"/>
      <c r="M46" s="213"/>
      <c r="N46" s="213"/>
      <c r="O46" s="213"/>
      <c r="P46" s="213"/>
      <c r="Q46" s="213"/>
      <c r="R46" s="213"/>
      <c r="S46" s="213"/>
      <c r="T46" s="213"/>
      <c r="U46" s="213"/>
      <c r="V46" s="213"/>
      <c r="W46" s="213"/>
      <c r="X46" s="213"/>
      <c r="Y46" s="213"/>
      <c r="Z46" s="213"/>
    </row>
    <row r="47" customFormat="false" ht="14.25" hidden="false" customHeight="false" outlineLevel="0" collapsed="false">
      <c r="A47" s="213"/>
      <c r="B47" s="213"/>
      <c r="C47" s="213"/>
      <c r="D47" s="213"/>
      <c r="E47" s="213"/>
      <c r="F47" s="213"/>
      <c r="G47" s="213"/>
      <c r="H47" s="213"/>
      <c r="I47" s="213"/>
      <c r="J47" s="213"/>
      <c r="K47" s="213"/>
      <c r="L47" s="213"/>
      <c r="M47" s="213"/>
      <c r="N47" s="213"/>
      <c r="O47" s="213"/>
      <c r="P47" s="213"/>
      <c r="Q47" s="213"/>
      <c r="R47" s="213"/>
      <c r="S47" s="213"/>
      <c r="T47" s="213"/>
      <c r="U47" s="213"/>
      <c r="V47" s="213"/>
      <c r="W47" s="213"/>
      <c r="X47" s="213"/>
      <c r="Y47" s="213"/>
      <c r="Z47" s="213"/>
    </row>
    <row r="48" customFormat="false" ht="14.25" hidden="false" customHeight="false" outlineLevel="0" collapsed="false">
      <c r="A48" s="213"/>
      <c r="B48" s="213"/>
      <c r="C48" s="213"/>
      <c r="D48" s="213"/>
      <c r="E48" s="213"/>
      <c r="F48" s="213"/>
      <c r="G48" s="213"/>
      <c r="H48" s="213"/>
      <c r="I48" s="213"/>
      <c r="J48" s="213"/>
      <c r="K48" s="213"/>
      <c r="L48" s="213"/>
      <c r="M48" s="213"/>
      <c r="N48" s="213"/>
      <c r="O48" s="213"/>
      <c r="P48" s="213"/>
      <c r="Q48" s="213"/>
      <c r="R48" s="213"/>
      <c r="S48" s="213"/>
      <c r="T48" s="213"/>
      <c r="U48" s="213"/>
      <c r="V48" s="213"/>
      <c r="W48" s="213"/>
      <c r="X48" s="213"/>
      <c r="Y48" s="213"/>
      <c r="Z48" s="213"/>
    </row>
    <row r="49" customFormat="false" ht="14.25" hidden="false" customHeight="false" outlineLevel="0" collapsed="false">
      <c r="A49" s="213"/>
      <c r="B49" s="213"/>
      <c r="C49" s="213"/>
      <c r="D49" s="213"/>
      <c r="E49" s="213"/>
      <c r="F49" s="213"/>
      <c r="G49" s="213"/>
      <c r="H49" s="213"/>
      <c r="I49" s="213"/>
      <c r="J49" s="213"/>
      <c r="K49" s="213"/>
      <c r="L49" s="213"/>
      <c r="M49" s="213"/>
      <c r="N49" s="213"/>
      <c r="O49" s="213"/>
      <c r="P49" s="213"/>
      <c r="Q49" s="213"/>
      <c r="R49" s="213"/>
      <c r="S49" s="213"/>
      <c r="T49" s="213"/>
      <c r="U49" s="213"/>
      <c r="V49" s="213"/>
      <c r="W49" s="213"/>
      <c r="X49" s="213"/>
      <c r="Y49" s="213"/>
      <c r="Z49" s="213"/>
    </row>
    <row r="50" customFormat="false" ht="14.25" hidden="false" customHeight="false" outlineLevel="0" collapsed="false">
      <c r="A50" s="213"/>
      <c r="B50" s="213"/>
      <c r="C50" s="213"/>
      <c r="D50" s="213"/>
      <c r="E50" s="213"/>
      <c r="F50" s="213"/>
      <c r="G50" s="213"/>
      <c r="H50" s="213"/>
      <c r="I50" s="213"/>
      <c r="J50" s="213"/>
      <c r="K50" s="213"/>
      <c r="L50" s="213"/>
      <c r="M50" s="213"/>
      <c r="N50" s="213"/>
      <c r="O50" s="213"/>
      <c r="P50" s="213"/>
      <c r="Q50" s="213"/>
      <c r="R50" s="213"/>
      <c r="S50" s="213"/>
      <c r="T50" s="213"/>
      <c r="U50" s="213"/>
      <c r="V50" s="213"/>
      <c r="W50" s="213"/>
      <c r="X50" s="213"/>
      <c r="Y50" s="213"/>
      <c r="Z50" s="213"/>
    </row>
    <row r="51" customFormat="false" ht="14.25" hidden="false" customHeight="false" outlineLevel="0" collapsed="false">
      <c r="A51" s="213"/>
      <c r="B51" s="213"/>
      <c r="C51" s="213"/>
      <c r="D51" s="213"/>
      <c r="E51" s="213"/>
      <c r="F51" s="213"/>
      <c r="G51" s="213"/>
      <c r="H51" s="213"/>
      <c r="I51" s="213"/>
      <c r="J51" s="213"/>
      <c r="K51" s="213"/>
      <c r="L51" s="213"/>
      <c r="M51" s="213"/>
      <c r="N51" s="213"/>
      <c r="O51" s="213"/>
      <c r="P51" s="213"/>
      <c r="Q51" s="213"/>
      <c r="R51" s="213"/>
      <c r="S51" s="213"/>
      <c r="T51" s="213"/>
      <c r="U51" s="213"/>
      <c r="V51" s="213"/>
      <c r="W51" s="213"/>
      <c r="X51" s="213"/>
      <c r="Y51" s="213"/>
      <c r="Z51" s="213"/>
    </row>
    <row r="52" customFormat="false" ht="14.25" hidden="false" customHeight="false" outlineLevel="0" collapsed="false">
      <c r="A52" s="213"/>
      <c r="B52" s="213"/>
      <c r="C52" s="213"/>
      <c r="D52" s="213"/>
      <c r="E52" s="213"/>
      <c r="F52" s="213"/>
      <c r="G52" s="213"/>
      <c r="H52" s="213"/>
      <c r="I52" s="213"/>
      <c r="J52" s="213"/>
      <c r="K52" s="213"/>
      <c r="L52" s="213"/>
      <c r="M52" s="213"/>
      <c r="N52" s="213"/>
      <c r="O52" s="213"/>
      <c r="P52" s="213"/>
      <c r="Q52" s="213"/>
      <c r="R52" s="213"/>
      <c r="S52" s="213"/>
      <c r="T52" s="213"/>
      <c r="U52" s="213"/>
      <c r="V52" s="213"/>
      <c r="W52" s="213"/>
      <c r="X52" s="213"/>
      <c r="Y52" s="213"/>
      <c r="Z52" s="213"/>
    </row>
    <row r="53" customFormat="false" ht="14.25" hidden="false" customHeight="false" outlineLevel="0" collapsed="false">
      <c r="A53" s="213"/>
      <c r="B53" s="213"/>
      <c r="C53" s="213"/>
      <c r="D53" s="213"/>
      <c r="E53" s="213"/>
      <c r="F53" s="213"/>
      <c r="G53" s="213"/>
      <c r="H53" s="213"/>
      <c r="I53" s="213"/>
      <c r="J53" s="213"/>
      <c r="K53" s="213"/>
      <c r="L53" s="213"/>
      <c r="M53" s="213"/>
      <c r="N53" s="213"/>
      <c r="O53" s="213"/>
      <c r="P53" s="213"/>
      <c r="Q53" s="213"/>
      <c r="R53" s="213"/>
      <c r="S53" s="213"/>
      <c r="T53" s="213"/>
      <c r="U53" s="213"/>
      <c r="V53" s="213"/>
      <c r="W53" s="213"/>
      <c r="X53" s="213"/>
      <c r="Y53" s="213"/>
      <c r="Z53" s="213"/>
    </row>
    <row r="54" customFormat="false" ht="14.25" hidden="false" customHeight="false" outlineLevel="0" collapsed="false">
      <c r="A54" s="213"/>
      <c r="B54" s="213"/>
      <c r="C54" s="213"/>
      <c r="D54" s="213"/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3"/>
      <c r="P54" s="213"/>
      <c r="Q54" s="213"/>
      <c r="R54" s="213"/>
      <c r="S54" s="213"/>
      <c r="T54" s="213"/>
      <c r="U54" s="213"/>
      <c r="V54" s="213"/>
      <c r="W54" s="213"/>
      <c r="X54" s="213"/>
      <c r="Y54" s="213"/>
      <c r="Z54" s="213"/>
    </row>
    <row r="55" customFormat="false" ht="14.25" hidden="false" customHeight="false" outlineLevel="0" collapsed="false">
      <c r="A55" s="213"/>
      <c r="B55" s="213"/>
      <c r="C55" s="213"/>
      <c r="D55" s="213"/>
      <c r="E55" s="213"/>
      <c r="F55" s="213"/>
      <c r="G55" s="213"/>
      <c r="H55" s="213"/>
      <c r="I55" s="213"/>
      <c r="J55" s="213"/>
      <c r="K55" s="213"/>
      <c r="L55" s="213"/>
      <c r="M55" s="213"/>
      <c r="N55" s="213"/>
      <c r="O55" s="213"/>
      <c r="P55" s="213"/>
      <c r="Q55" s="213"/>
      <c r="R55" s="213"/>
      <c r="S55" s="213"/>
      <c r="T55" s="213"/>
      <c r="U55" s="213"/>
      <c r="V55" s="213"/>
      <c r="W55" s="213"/>
      <c r="X55" s="213"/>
      <c r="Y55" s="213"/>
      <c r="Z55" s="213"/>
    </row>
    <row r="56" customFormat="false" ht="14.25" hidden="false" customHeight="false" outlineLevel="0" collapsed="false">
      <c r="A56" s="213"/>
      <c r="B56" s="213"/>
      <c r="C56" s="213"/>
      <c r="D56" s="213"/>
      <c r="E56" s="213"/>
      <c r="F56" s="213"/>
      <c r="G56" s="213"/>
      <c r="H56" s="213"/>
      <c r="I56" s="213"/>
      <c r="J56" s="213"/>
      <c r="K56" s="213"/>
      <c r="L56" s="213"/>
      <c r="M56" s="213"/>
      <c r="N56" s="213"/>
      <c r="O56" s="213"/>
      <c r="P56" s="213"/>
      <c r="Q56" s="213"/>
      <c r="R56" s="213"/>
      <c r="S56" s="213"/>
      <c r="T56" s="213"/>
      <c r="U56" s="213"/>
      <c r="V56" s="213"/>
      <c r="W56" s="213"/>
      <c r="X56" s="213"/>
      <c r="Y56" s="213"/>
      <c r="Z56" s="213"/>
    </row>
    <row r="57" customFormat="false" ht="14.25" hidden="false" customHeight="false" outlineLevel="0" collapsed="false">
      <c r="A57" s="213"/>
      <c r="B57" s="213"/>
      <c r="C57" s="213"/>
      <c r="D57" s="213"/>
      <c r="E57" s="213"/>
      <c r="F57" s="213"/>
      <c r="G57" s="213"/>
      <c r="H57" s="213"/>
      <c r="I57" s="213"/>
      <c r="J57" s="213"/>
      <c r="K57" s="213"/>
      <c r="L57" s="213"/>
      <c r="M57" s="213"/>
      <c r="N57" s="213"/>
      <c r="O57" s="213"/>
      <c r="P57" s="213"/>
      <c r="Q57" s="213"/>
      <c r="R57" s="213"/>
      <c r="S57" s="213"/>
      <c r="T57" s="213"/>
      <c r="U57" s="213"/>
      <c r="V57" s="213"/>
      <c r="W57" s="213"/>
      <c r="X57" s="213"/>
      <c r="Y57" s="213"/>
      <c r="Z57" s="213"/>
    </row>
    <row r="58" customFormat="false" ht="14.25" hidden="false" customHeight="false" outlineLevel="0" collapsed="false">
      <c r="A58" s="213"/>
      <c r="B58" s="213"/>
      <c r="C58" s="213"/>
      <c r="D58" s="213"/>
      <c r="E58" s="213"/>
      <c r="F58" s="213"/>
      <c r="G58" s="213"/>
      <c r="H58" s="213"/>
      <c r="I58" s="213"/>
      <c r="J58" s="213"/>
      <c r="K58" s="213"/>
      <c r="L58" s="213"/>
      <c r="M58" s="213"/>
      <c r="N58" s="213"/>
      <c r="O58" s="213"/>
      <c r="P58" s="213"/>
      <c r="Q58" s="213"/>
      <c r="R58" s="213"/>
      <c r="S58" s="213"/>
      <c r="T58" s="213"/>
      <c r="U58" s="213"/>
      <c r="V58" s="213"/>
      <c r="W58" s="213"/>
      <c r="X58" s="213"/>
      <c r="Y58" s="213"/>
      <c r="Z58" s="213"/>
    </row>
    <row r="59" customFormat="false" ht="14.25" hidden="false" customHeight="false" outlineLevel="0" collapsed="false">
      <c r="A59" s="213"/>
      <c r="B59" s="213"/>
      <c r="C59" s="213"/>
      <c r="D59" s="213"/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3"/>
      <c r="P59" s="213"/>
      <c r="Q59" s="213"/>
      <c r="R59" s="213"/>
      <c r="S59" s="213"/>
      <c r="T59" s="213"/>
      <c r="U59" s="213"/>
      <c r="V59" s="213"/>
      <c r="W59" s="213"/>
      <c r="X59" s="213"/>
      <c r="Y59" s="213"/>
      <c r="Z59" s="213"/>
    </row>
    <row r="60" customFormat="false" ht="14.25" hidden="false" customHeight="false" outlineLevel="0" collapsed="false">
      <c r="A60" s="213"/>
      <c r="B60" s="213"/>
      <c r="C60" s="213"/>
      <c r="D60" s="213"/>
      <c r="E60" s="213"/>
      <c r="F60" s="213"/>
      <c r="G60" s="213"/>
      <c r="H60" s="213"/>
      <c r="I60" s="213"/>
      <c r="J60" s="213"/>
      <c r="K60" s="213"/>
      <c r="L60" s="213"/>
      <c r="M60" s="213"/>
      <c r="N60" s="213"/>
      <c r="O60" s="213"/>
      <c r="P60" s="213"/>
      <c r="Q60" s="213"/>
      <c r="R60" s="213"/>
      <c r="S60" s="213"/>
      <c r="T60" s="213"/>
      <c r="U60" s="213"/>
      <c r="V60" s="213"/>
      <c r="W60" s="213"/>
      <c r="X60" s="213"/>
      <c r="Y60" s="213"/>
      <c r="Z60" s="213"/>
    </row>
    <row r="61" customFormat="false" ht="14.25" hidden="false" customHeight="false" outlineLevel="0" collapsed="false">
      <c r="A61" s="213"/>
      <c r="B61" s="213"/>
      <c r="C61" s="213"/>
      <c r="D61" s="213"/>
      <c r="E61" s="213"/>
      <c r="F61" s="213"/>
      <c r="G61" s="213"/>
      <c r="H61" s="213"/>
      <c r="I61" s="213"/>
      <c r="J61" s="213"/>
      <c r="K61" s="213"/>
      <c r="L61" s="213"/>
      <c r="M61" s="213"/>
      <c r="N61" s="213"/>
      <c r="O61" s="213"/>
      <c r="P61" s="213"/>
      <c r="Q61" s="213"/>
      <c r="R61" s="213"/>
      <c r="S61" s="213"/>
      <c r="T61" s="213"/>
      <c r="U61" s="213"/>
      <c r="V61" s="213"/>
      <c r="W61" s="213"/>
      <c r="X61" s="213"/>
      <c r="Y61" s="213"/>
      <c r="Z61" s="213"/>
    </row>
    <row r="62" customFormat="false" ht="14.25" hidden="false" customHeight="false" outlineLevel="0" collapsed="false">
      <c r="A62" s="213"/>
      <c r="B62" s="213"/>
      <c r="C62" s="213"/>
      <c r="D62" s="213"/>
      <c r="E62" s="213"/>
      <c r="F62" s="213"/>
      <c r="G62" s="213"/>
      <c r="H62" s="213"/>
      <c r="I62" s="213"/>
      <c r="J62" s="213"/>
      <c r="K62" s="213"/>
      <c r="L62" s="213"/>
      <c r="M62" s="213"/>
      <c r="N62" s="213"/>
      <c r="O62" s="213"/>
      <c r="P62" s="213"/>
      <c r="Q62" s="213"/>
      <c r="R62" s="213"/>
      <c r="S62" s="213"/>
      <c r="T62" s="213"/>
      <c r="U62" s="213"/>
      <c r="V62" s="213"/>
      <c r="W62" s="213"/>
      <c r="X62" s="213"/>
      <c r="Y62" s="213"/>
      <c r="Z62" s="213"/>
    </row>
    <row r="63" customFormat="false" ht="14.25" hidden="false" customHeight="false" outlineLevel="0" collapsed="false">
      <c r="A63" s="213"/>
      <c r="B63" s="213"/>
      <c r="C63" s="213"/>
      <c r="D63" s="213"/>
      <c r="E63" s="213"/>
      <c r="F63" s="213"/>
      <c r="G63" s="213"/>
      <c r="H63" s="213"/>
      <c r="I63" s="213"/>
      <c r="J63" s="213"/>
      <c r="K63" s="213"/>
      <c r="L63" s="213"/>
      <c r="M63" s="213"/>
      <c r="N63" s="213"/>
      <c r="O63" s="213"/>
      <c r="P63" s="213"/>
      <c r="Q63" s="213"/>
      <c r="R63" s="213"/>
      <c r="S63" s="213"/>
      <c r="T63" s="213"/>
      <c r="U63" s="213"/>
      <c r="V63" s="213"/>
      <c r="W63" s="213"/>
      <c r="X63" s="213"/>
      <c r="Y63" s="213"/>
      <c r="Z63" s="213"/>
    </row>
    <row r="64" customFormat="false" ht="14.25" hidden="false" customHeight="false" outlineLevel="0" collapsed="false">
      <c r="A64" s="213"/>
      <c r="B64" s="213"/>
      <c r="C64" s="213"/>
      <c r="D64" s="213"/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3"/>
      <c r="P64" s="213"/>
      <c r="Q64" s="213"/>
      <c r="R64" s="213"/>
      <c r="S64" s="213"/>
      <c r="T64" s="213"/>
      <c r="U64" s="213"/>
      <c r="V64" s="213"/>
      <c r="W64" s="213"/>
      <c r="X64" s="213"/>
      <c r="Y64" s="213"/>
      <c r="Z64" s="213"/>
    </row>
    <row r="65" customFormat="false" ht="14.25" hidden="false" customHeight="false" outlineLevel="0" collapsed="false">
      <c r="A65" s="213"/>
      <c r="B65" s="213"/>
      <c r="C65" s="213"/>
      <c r="D65" s="213"/>
      <c r="E65" s="213"/>
      <c r="F65" s="213"/>
      <c r="G65" s="213"/>
      <c r="H65" s="213"/>
      <c r="I65" s="213"/>
      <c r="J65" s="213"/>
      <c r="K65" s="213"/>
      <c r="L65" s="213"/>
      <c r="M65" s="213"/>
      <c r="N65" s="213"/>
      <c r="O65" s="213"/>
      <c r="P65" s="213"/>
      <c r="Q65" s="213"/>
      <c r="R65" s="213"/>
      <c r="S65" s="213"/>
      <c r="T65" s="213"/>
      <c r="U65" s="213"/>
      <c r="V65" s="213"/>
      <c r="W65" s="213"/>
      <c r="X65" s="213"/>
      <c r="Y65" s="213"/>
      <c r="Z65" s="213"/>
    </row>
    <row r="66" customFormat="false" ht="14.25" hidden="false" customHeight="false" outlineLevel="0" collapsed="false">
      <c r="A66" s="213"/>
      <c r="B66" s="213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213"/>
      <c r="R66" s="213"/>
      <c r="S66" s="213"/>
      <c r="T66" s="213"/>
      <c r="U66" s="213"/>
      <c r="V66" s="213"/>
      <c r="W66" s="213"/>
      <c r="X66" s="213"/>
      <c r="Y66" s="213"/>
      <c r="Z66" s="213"/>
    </row>
    <row r="67" customFormat="false" ht="14.25" hidden="false" customHeight="false" outlineLevel="0" collapsed="false">
      <c r="A67" s="213"/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3"/>
      <c r="P67" s="213"/>
      <c r="Q67" s="213"/>
      <c r="R67" s="213"/>
      <c r="S67" s="213"/>
      <c r="T67" s="213"/>
      <c r="U67" s="213"/>
      <c r="V67" s="213"/>
      <c r="W67" s="213"/>
      <c r="X67" s="213"/>
      <c r="Y67" s="213"/>
      <c r="Z67" s="213"/>
    </row>
    <row r="68" customFormat="false" ht="14.25" hidden="false" customHeight="false" outlineLevel="0" collapsed="false">
      <c r="A68" s="213"/>
      <c r="B68" s="213"/>
      <c r="C68" s="213"/>
      <c r="D68" s="213"/>
      <c r="E68" s="213"/>
      <c r="F68" s="213"/>
      <c r="G68" s="213"/>
      <c r="H68" s="213"/>
      <c r="I68" s="213"/>
      <c r="J68" s="213"/>
      <c r="K68" s="213"/>
      <c r="L68" s="213"/>
      <c r="M68" s="213"/>
      <c r="N68" s="213"/>
      <c r="O68" s="213"/>
      <c r="P68" s="213"/>
      <c r="Q68" s="213"/>
      <c r="R68" s="213"/>
      <c r="S68" s="213"/>
      <c r="T68" s="213"/>
      <c r="U68" s="213"/>
      <c r="V68" s="213"/>
      <c r="W68" s="213"/>
      <c r="X68" s="213"/>
      <c r="Y68" s="213"/>
      <c r="Z68" s="213"/>
    </row>
    <row r="69" customFormat="false" ht="14.25" hidden="false" customHeight="false" outlineLevel="0" collapsed="false">
      <c r="A69" s="213"/>
      <c r="B69" s="213"/>
      <c r="C69" s="213"/>
      <c r="D69" s="213"/>
      <c r="E69" s="213"/>
      <c r="F69" s="213"/>
      <c r="G69" s="213"/>
      <c r="H69" s="213"/>
      <c r="I69" s="213"/>
      <c r="J69" s="213"/>
      <c r="K69" s="213"/>
      <c r="L69" s="213"/>
      <c r="M69" s="213"/>
      <c r="N69" s="213"/>
      <c r="O69" s="213"/>
      <c r="P69" s="213"/>
      <c r="Q69" s="213"/>
      <c r="R69" s="213"/>
      <c r="S69" s="213"/>
      <c r="T69" s="213"/>
      <c r="U69" s="213"/>
      <c r="V69" s="213"/>
      <c r="W69" s="213"/>
      <c r="X69" s="213"/>
      <c r="Y69" s="213"/>
      <c r="Z69" s="213"/>
    </row>
    <row r="70" customFormat="false" ht="14.25" hidden="false" customHeight="false" outlineLevel="0" collapsed="false">
      <c r="A70" s="213"/>
      <c r="B70" s="213"/>
      <c r="C70" s="213"/>
      <c r="D70" s="213"/>
      <c r="E70" s="213"/>
      <c r="F70" s="213"/>
      <c r="G70" s="213"/>
      <c r="H70" s="213"/>
      <c r="I70" s="213"/>
      <c r="J70" s="213"/>
      <c r="K70" s="213"/>
      <c r="L70" s="213"/>
      <c r="M70" s="213"/>
      <c r="N70" s="213"/>
      <c r="O70" s="213"/>
      <c r="P70" s="213"/>
      <c r="Q70" s="213"/>
      <c r="R70" s="213"/>
      <c r="S70" s="213"/>
      <c r="T70" s="213"/>
      <c r="U70" s="213"/>
      <c r="V70" s="213"/>
      <c r="W70" s="213"/>
      <c r="X70" s="213"/>
      <c r="Y70" s="213"/>
      <c r="Z70" s="213"/>
    </row>
    <row r="71" customFormat="false" ht="14.25" hidden="false" customHeight="false" outlineLevel="0" collapsed="false">
      <c r="A71" s="213"/>
      <c r="B71" s="213"/>
      <c r="C71" s="213"/>
      <c r="D71" s="213"/>
      <c r="E71" s="213"/>
      <c r="F71" s="213"/>
      <c r="G71" s="213"/>
      <c r="H71" s="213"/>
      <c r="I71" s="213"/>
      <c r="J71" s="213"/>
      <c r="K71" s="213"/>
      <c r="L71" s="213"/>
      <c r="M71" s="213"/>
      <c r="N71" s="213"/>
      <c r="O71" s="213"/>
      <c r="P71" s="213"/>
      <c r="Q71" s="213"/>
      <c r="R71" s="213"/>
      <c r="S71" s="213"/>
      <c r="T71" s="213"/>
      <c r="U71" s="213"/>
      <c r="V71" s="213"/>
      <c r="W71" s="213"/>
      <c r="X71" s="213"/>
      <c r="Y71" s="213"/>
      <c r="Z71" s="213"/>
    </row>
    <row r="72" customFormat="false" ht="14.25" hidden="false" customHeight="false" outlineLevel="0" collapsed="false">
      <c r="A72" s="213"/>
      <c r="B72" s="213"/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213"/>
      <c r="O72" s="213"/>
      <c r="P72" s="213"/>
      <c r="Q72" s="213"/>
      <c r="R72" s="213"/>
      <c r="S72" s="213"/>
      <c r="T72" s="213"/>
      <c r="U72" s="213"/>
      <c r="V72" s="213"/>
      <c r="W72" s="213"/>
      <c r="X72" s="213"/>
      <c r="Y72" s="213"/>
      <c r="Z72" s="213"/>
    </row>
    <row r="73" customFormat="false" ht="14.25" hidden="false" customHeight="false" outlineLevel="0" collapsed="false">
      <c r="A73" s="213"/>
      <c r="B73" s="213"/>
      <c r="C73" s="213"/>
      <c r="D73" s="213"/>
      <c r="E73" s="213"/>
      <c r="F73" s="213"/>
      <c r="G73" s="213"/>
      <c r="H73" s="213"/>
      <c r="I73" s="213"/>
      <c r="J73" s="213"/>
      <c r="K73" s="213"/>
      <c r="L73" s="213"/>
      <c r="M73" s="213"/>
      <c r="N73" s="213"/>
      <c r="O73" s="213"/>
      <c r="P73" s="213"/>
      <c r="Q73" s="213"/>
      <c r="R73" s="213"/>
      <c r="S73" s="213"/>
      <c r="T73" s="213"/>
      <c r="U73" s="213"/>
      <c r="V73" s="213"/>
      <c r="W73" s="213"/>
      <c r="X73" s="213"/>
      <c r="Y73" s="213"/>
      <c r="Z73" s="213"/>
    </row>
    <row r="74" customFormat="false" ht="14.25" hidden="false" customHeight="false" outlineLevel="0" collapsed="false">
      <c r="A74" s="213"/>
      <c r="B74" s="213"/>
      <c r="C74" s="213"/>
      <c r="D74" s="213"/>
      <c r="E74" s="213"/>
      <c r="F74" s="213"/>
      <c r="G74" s="213"/>
      <c r="H74" s="213"/>
      <c r="I74" s="213"/>
      <c r="J74" s="213"/>
      <c r="K74" s="213"/>
      <c r="L74" s="213"/>
      <c r="M74" s="213"/>
      <c r="N74" s="213"/>
      <c r="O74" s="213"/>
      <c r="P74" s="213"/>
      <c r="Q74" s="213"/>
      <c r="R74" s="213"/>
      <c r="S74" s="213"/>
      <c r="T74" s="213"/>
      <c r="U74" s="213"/>
      <c r="V74" s="213"/>
      <c r="W74" s="213"/>
      <c r="X74" s="213"/>
      <c r="Y74" s="213"/>
      <c r="Z74" s="213"/>
    </row>
    <row r="75" customFormat="false" ht="14.25" hidden="false" customHeight="false" outlineLevel="0" collapsed="false">
      <c r="A75" s="213"/>
      <c r="B75" s="213"/>
      <c r="C75" s="213"/>
      <c r="D75" s="213"/>
      <c r="E75" s="213"/>
      <c r="F75" s="213"/>
      <c r="G75" s="213"/>
      <c r="H75" s="213"/>
      <c r="I75" s="213"/>
      <c r="J75" s="213"/>
      <c r="K75" s="213"/>
      <c r="L75" s="213"/>
      <c r="M75" s="213"/>
      <c r="N75" s="213"/>
      <c r="O75" s="213"/>
      <c r="P75" s="213"/>
      <c r="Q75" s="213"/>
      <c r="R75" s="213"/>
      <c r="S75" s="213"/>
      <c r="T75" s="213"/>
      <c r="U75" s="213"/>
      <c r="V75" s="213"/>
      <c r="W75" s="213"/>
      <c r="X75" s="213"/>
      <c r="Y75" s="213"/>
      <c r="Z75" s="213"/>
    </row>
    <row r="76" customFormat="false" ht="14.25" hidden="false" customHeight="false" outlineLevel="0" collapsed="false">
      <c r="A76" s="213"/>
      <c r="B76" s="213"/>
      <c r="C76" s="213"/>
      <c r="D76" s="213"/>
      <c r="E76" s="213"/>
      <c r="F76" s="213"/>
      <c r="G76" s="213"/>
      <c r="H76" s="213"/>
      <c r="I76" s="213"/>
      <c r="J76" s="213"/>
      <c r="K76" s="213"/>
      <c r="L76" s="213"/>
      <c r="M76" s="213"/>
      <c r="N76" s="213"/>
      <c r="O76" s="213"/>
      <c r="P76" s="213"/>
      <c r="Q76" s="213"/>
      <c r="R76" s="213"/>
      <c r="S76" s="213"/>
      <c r="T76" s="213"/>
      <c r="U76" s="213"/>
      <c r="V76" s="213"/>
      <c r="W76" s="213"/>
      <c r="X76" s="213"/>
      <c r="Y76" s="213"/>
      <c r="Z76" s="213"/>
    </row>
    <row r="77" customFormat="false" ht="14.25" hidden="false" customHeight="false" outlineLevel="0" collapsed="false">
      <c r="A77" s="213"/>
      <c r="B77" s="213"/>
      <c r="C77" s="213"/>
      <c r="D77" s="213"/>
      <c r="E77" s="213"/>
      <c r="F77" s="213"/>
      <c r="G77" s="213"/>
      <c r="H77" s="213"/>
      <c r="I77" s="213"/>
      <c r="J77" s="213"/>
      <c r="K77" s="213"/>
      <c r="L77" s="213"/>
      <c r="M77" s="213"/>
      <c r="N77" s="213"/>
      <c r="O77" s="213"/>
      <c r="P77" s="213"/>
      <c r="Q77" s="213"/>
      <c r="R77" s="213"/>
      <c r="S77" s="213"/>
      <c r="T77" s="213"/>
      <c r="U77" s="213"/>
      <c r="V77" s="213"/>
      <c r="W77" s="213"/>
      <c r="X77" s="213"/>
      <c r="Y77" s="213"/>
      <c r="Z77" s="213"/>
    </row>
    <row r="78" customFormat="false" ht="14.25" hidden="false" customHeight="false" outlineLevel="0" collapsed="false">
      <c r="A78" s="213"/>
      <c r="B78" s="213"/>
      <c r="C78" s="213"/>
      <c r="D78" s="213"/>
      <c r="E78" s="213"/>
      <c r="F78" s="213"/>
      <c r="G78" s="213"/>
      <c r="H78" s="213"/>
      <c r="I78" s="213"/>
      <c r="J78" s="213"/>
      <c r="K78" s="213"/>
      <c r="L78" s="213"/>
      <c r="M78" s="213"/>
      <c r="N78" s="213"/>
      <c r="O78" s="213"/>
      <c r="P78" s="213"/>
      <c r="Q78" s="213"/>
      <c r="R78" s="213"/>
      <c r="S78" s="213"/>
      <c r="T78" s="213"/>
      <c r="U78" s="213"/>
      <c r="V78" s="213"/>
      <c r="W78" s="213"/>
      <c r="X78" s="213"/>
      <c r="Y78" s="213"/>
      <c r="Z78" s="213"/>
    </row>
    <row r="79" customFormat="false" ht="14.25" hidden="false" customHeight="false" outlineLevel="0" collapsed="false">
      <c r="A79" s="213"/>
      <c r="B79" s="213"/>
      <c r="C79" s="213"/>
      <c r="D79" s="213"/>
      <c r="E79" s="213"/>
      <c r="F79" s="213"/>
      <c r="G79" s="213"/>
      <c r="H79" s="213"/>
      <c r="I79" s="213"/>
      <c r="J79" s="213"/>
      <c r="K79" s="213"/>
      <c r="L79" s="213"/>
      <c r="M79" s="213"/>
      <c r="N79" s="213"/>
      <c r="O79" s="213"/>
      <c r="P79" s="213"/>
      <c r="Q79" s="213"/>
      <c r="R79" s="213"/>
      <c r="S79" s="213"/>
      <c r="T79" s="213"/>
      <c r="U79" s="213"/>
      <c r="V79" s="213"/>
      <c r="W79" s="213"/>
      <c r="X79" s="213"/>
      <c r="Y79" s="213"/>
      <c r="Z79" s="213"/>
    </row>
    <row r="80" customFormat="false" ht="14.25" hidden="false" customHeight="false" outlineLevel="0" collapsed="false">
      <c r="A80" s="213"/>
      <c r="B80" s="213"/>
      <c r="C80" s="213"/>
      <c r="D80" s="213"/>
      <c r="E80" s="213"/>
      <c r="F80" s="213"/>
      <c r="G80" s="213"/>
      <c r="H80" s="213"/>
      <c r="I80" s="213"/>
      <c r="J80" s="213"/>
      <c r="K80" s="213"/>
      <c r="L80" s="213"/>
      <c r="M80" s="213"/>
      <c r="N80" s="213"/>
      <c r="O80" s="213"/>
      <c r="P80" s="213"/>
      <c r="Q80" s="213"/>
      <c r="R80" s="213"/>
      <c r="S80" s="213"/>
      <c r="T80" s="213"/>
      <c r="U80" s="213"/>
      <c r="V80" s="213"/>
      <c r="W80" s="213"/>
      <c r="X80" s="213"/>
      <c r="Y80" s="213"/>
      <c r="Z80" s="213"/>
    </row>
    <row r="81" customFormat="false" ht="14.25" hidden="false" customHeight="false" outlineLevel="0" collapsed="false">
      <c r="A81" s="213"/>
      <c r="B81" s="213"/>
      <c r="C81" s="213"/>
      <c r="D81" s="213"/>
      <c r="E81" s="213"/>
      <c r="F81" s="213"/>
      <c r="G81" s="213"/>
      <c r="H81" s="213"/>
      <c r="I81" s="213"/>
      <c r="J81" s="213"/>
      <c r="K81" s="213"/>
      <c r="L81" s="213"/>
      <c r="M81" s="213"/>
      <c r="N81" s="213"/>
      <c r="O81" s="213"/>
      <c r="P81" s="213"/>
      <c r="Q81" s="213"/>
      <c r="R81" s="213"/>
      <c r="S81" s="213"/>
      <c r="T81" s="213"/>
      <c r="U81" s="213"/>
      <c r="V81" s="213"/>
      <c r="W81" s="213"/>
      <c r="X81" s="213"/>
      <c r="Y81" s="213"/>
      <c r="Z81" s="213"/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item1.xml><?xml version="1.0" encoding="utf-8"?>
<DataMashup xmlns="http://schemas.microsoft.com/DataMashup">AAAAABQHAABQSwMEFAAGAAgAAAAhACrdqkDSAAAANwEAABMACAJbQ29udGVudF9UeXBlc10ueG1sIKIEAiig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yPvU7EMBCEeyTewdr+soECIZTkCn5KuOJ4gJWzyVnYa8teUO7tcS5UQLk/M99Mt1+CN1+ci4vSw03TgmGxcXQy9/B+fNndgylKMpKPwj2cucB+uL7qjufExVS1lB5OqukBsdgTBypNTCz1MsUcSOuYZ0xkP2hmvG3bO7RRlEV3unrA0D3xRJ9ezfNS11uSAOZx+1pBPSgvismTE8B/BZX3S0IpeWdJazNcr1X3VptmN7I5UNZXCtUYK2ZyMx62gM1fnwv6xwAvtYdvAAAA//8DAFBLAwQUAAIACAAAACEA8LpyA6wAAAD3AAAAEgAAAENvbmZpZy9QYWNrYWdlLnhtbHq/e7+NfUVujkJZalFxZn6erZKhnoGSQnFJYl5KYk5+XqqtUl6+kr0dL5dNQGJydmJ6qgJQdV6xVUVxiq1SRklJgZW+fnl5uV65sV5+Ubq+kYGBoX6Er09wckZqbqISXHEmYcW6mXkga5NTlexswiCusTPSMzQFYnMzPQMbfZigjW9mHkKBEdDBIFkkQRvn0pyS0qJUu4ISXacgG30Y10Yf6gc7AAAAAP//AwBQSwMEFAACAAgAAAAhALGByOckAgAANwYAABMAAABGb3JtdWxhcy9TZWN0aW9uMS5tnFRNa9tAEL0b8h+W7UUGIVAouYQcZFlpDbVNJTWhNT5srAleIu2a1TpEGJ96CPTaf9G/oT+WldaKPmzXxLoszO68eW/ejFJYSMoZCvRpX/d66ZIIiJDrj9ENikFe9JD6bjmToALeywJiy10LAUzec/H0wPmT0d/MJiSBGxySB4jJFZ5vZ26RweTc1ACf8JA+04gK5PJ4zQhacYGGENOEShJxgRW4yo7BClYxlcWjhBllWRPhW8/96mATlXcShH4UwoscZB5ZLHdAIIwNRnhrou9rLiGQmcJz02cTPZI4hb6JNhrKsnGFal3ibf+dZEhXHDmxQlKkak6hICx95CLRvMJsBalxUpK5aZaTKglFRMK2pnFZxSVNYNvgoRFT5EPCVQ2S1lzKEGgiBYk2ZXNzSFYNx3gCpIPHlHc13n7pto6dGU224/xfikYsBUGbXXOiaOfjQQYKqkhUJygL0VC1xhorw5fGrCwxV36NmLz6bBX9PuKRfdKkNrlCy53zbeqrsnqMF1mJ39TjMH5CToeDkqJyWkp+AhEnhOz3xD5uS4tToWLXOzz2AlyOlGaAncm0MOeiR9n/CtWrrpfWPnvd7YPr/pFN0mteTVlzV8q9KMRVntV9LMO+8yv/O6kyCMvKqOuE3pepP3qHkupPUd4EPwbHL6eDwPPvnPw1/z3tQo7zP0G7/Pnzcua4fHDu9wZmr7mtxnaXoTk/ncrXbwAAAP//AwBQSwECLQAUAAYACAAAACEAKt2qQNIAAAA3AQAAEwAAAAAAAAAAAAAAAAAAAAAAW0NvbnRlbnRfVHlwZXNdLnhtbFBLAQItABQAAgAIAAAAIQDwunIDrAAAAPcAAAASAAAAAAAAAAAAAAAAAAsDAABDb25maWcvUGFja2FnZS54bWxQSwECLQAUAAIACAAAACEAsYHI5yQCAAA3BgAAEwAAAAAAAAAAAAAAAADnAwAARm9ybXVsYXMvU2VjdGlvbjEubVBLBQYAAAAAAwADAMIAAAA8BgAAAAARAQAA77u/PD94bWwgdmVyc2lvbj0iMS4wIiBzdGFuZGFsb25lPSJubyI/Pg0KPFBlcm1pc3Npb25MaXN0IHhtbG5zOnhzZD0iaHR0cDovL3d3dy53My5vcmcvMjAwMS9YTUxTY2hlbWEiIHhtbG5zOnhzaT0iaHR0cDovL3d3dy53My5vcmcvMjAwMS9YTUxTY2hlbWEtaW5zdGFuY2UiPjxDYW5FdmFsdWF0ZUZ1dHVyZVBhY2thZ2VzPmZhbHNlPC9DYW5FdmFsdWF0ZUZ1dHVyZVBhY2thZ2VzPjxGaXJld2FsbEVuYWJsZWQ+dHJ1ZTwvRmlyZXdhbGxFbmFibGVkPjwvUGVybWlzc2lvbkxpc3Q+iRQAAAAAAABnFAAA77u/PD94bWwgdmVyc2lvbj0iMS4wIiBzdGFuZGFsb25lPSJubyI/Pg0KPExvY2FsUGFja2FnZU1ldGFkYXRhRmlsZSB4bWxuczp4c2Q9Imh0dHA6Ly93d3cudzMub3JnLzIwMDEvWE1MU2NoZW1hIiB4bWxuczp4c2k9Imh0dHA6Ly93d3cudzMub3JnLzIwMDEvWE1MU2NoZW1hLWluc3RhbmNlIj48SXRlbXM+PEl0ZW0+PEl0ZW1Mb2NhdGlvbj48SXRlbVR5cGU+Rm9ybXVsYTwvSXRlbVR5cGU+PEl0ZW1QYXRoPlNlY3Rpb24xL0NSTTwvSXRlbVBhdGg+PC9JdGVtTG9jYXRpb24+PFN0YWJsZUVudHJpZXM+PEVudHJ5IFR5cGU9IkFkZGVkVG9EYXRhTW9kZWwiIFZhbHVlPSJsMCIvPjxFbnRyeSBUeXBlPSJCdWZmZXJOZXh0UmVmcmVzaCIgVmFsdWU9ImwwIi8+PEVudHJ5IFR5cGU9IkZpbGxDb3VudCIgVmFsdWU9ImwxMzM3Ii8+PEVudHJ5IFR5cGU9IkZpbGxFbmFibGVkIiBWYWx1ZT0ibDEiLz48RW50cnkgVHlwZT0iRmlsbEVycm9yQ29kZSIgVmFsdWU9InNVbmtub3duIi8+PEVudHJ5IFR5cGU9IkZpbGxFcnJvckNvdW50IiBWYWx1ZT0ibDIiLz48RW50cnkgVHlwZT0iRmlsbExhc3RVcGRhdGVkIiBWYWx1ZT0iZDIwMjYtMDUtMDFUMTk6NDk6NTQuNTIxNzM0NFoiLz48RW50cnkgVHlwZT0iRmlsbENvbHVtblR5cGVzIiBWYWx1ZT0ic0NRQVJBQUFBQUFBQUFBQUFBQUFBQUFBREF3PT0iLz48RW50cnkgVHlwZT0iRmlsbENvbHVtbk5hbWVzIiBWYWx1ZT0ic1smcXVvdDtGRUNIQSZxdW90OywmcXVvdDtOT01CUkUgUElYJnF1b3Q7LCZxdW90O1ZBTE9SJnF1b3Q7LCZxdW90O1NFUlZJQ0lPJnF1b3Q7LCZxdW90O0NMSUVOVEUmcXVvdDssJnF1b3Q7VEVMRUZPTk8mcXVvdDssJnF1b3Q7RU1BSUwmcXVvdDssJnF1b3Q7UEHDjVMmcXVvdDssJnF1b3Q7QVRFTkRFTlRFJnF1b3Q7LCZxdW90O1VUTV9TT1VSQ0UmcXVvdDssJnF1b3Q7VVRNX0NBTVBBSUdOJnF1b3Q7LCZxdW90O1VUTV9DT05URU5UJnF1b3Q7LCZxdW90O1VUTV9NRURJVU0mcXVvdDssJnF1b3Q7UkVDT1JSRU5DSUEmcXVvdDssJnF1b3Q7Q0lVREFEJnF1b3Q7LCZxdW90O0VTVEFETyZxdW90OywmcXVvdDtDUEYmcXVvdDssJnF1b3Q7TUVTJnF1b3Q7LCZxdW90O0FOTyZxdW90O10iLz48RW50cnkgVHlwZT0iRmlsbGVkQ29tcGxldGVSZXN1bHRUb1dvcmtzaGVldCIgVmFsdWU9ImwxIi8+PEVudHJ5IFR5cGU9IkZpbGxTdGF0dXMiIFZhbHVlPSJzQ29tcGxldGUiLz48RW50cnkgVHlwZT0iRmlsbFRvRGF0YU1vZGVsRW5hYmxlZCIgVmFsdWU9ImwwIi8+PEVudHJ5IFR5cGU9IklzUHJpdmF0ZSIgVmFsdWU9ImwwIi8+PEVudHJ5IFR5cGU9IlF1ZXJ5SUQiIFZhbHVlPSJzZjFmODhiNTAtOGNlYS00MjBhLWFmNzAtN2FlYjdlZWYzOGFmIi8+PEVudHJ5IFR5cGU9IlJlY292ZXJ5VGFyZ2V0Q29sdW1uIiBWYWx1ZT0ibDEiLz48RW50cnkgVHlwZT0iUmVjb3ZlcnlUYXJnZXRSb3ciIFZhbHVlPSJsMSIvPjxFbnRyeSBUeXBlPSJSZWNvdmVyeVRhcmdldFNoZWV0IiBWYWx1ZT0ic1BsYW5pbGhhMiIvPjxFbnRyeSBUeXBlPSJSZXN1bHRUeXBlIiBWYWx1ZT0ic1RhYmxlIi8+PEVudHJ5IFR5cGU9Ik5hdmlnYXRpb25TdGVwTmFtZSIgVmFsdWU9InNOYXZlZ2HDp8OjbyIvPjxFbnRyeSBUeXBlPSJGaWxsT2JqZWN0VHlwZSIgVmFsdWU9InNUYWJsZSIvPjxFbnRyeSBUeXBlPSJOYW1lVXBkYXRlZEFmdGVyRmlsbCIgVmFsdWU9ImwwIi8+PEVudHJ5IFR5cGU9IkZpbGxUYXJnZXQiIFZhbHVlPSJzQ1JNIi8+PC9TdGFibGVFbnRyaWVzPjwvSXRlbT48SXRlbT48SXRlbUxvY2F0aW9uPjxJdGVtVHlwZT5Gb3JtdWxhPC9JdGVtVHlwZT48SXRlbVBhdGg+U2VjdGlvbjEvVGFiZWxhMTwvSXRlbVBhdGg+PC9JdGVtTG9jYXRpb24+PFN0YWJsZUVudHJpZXM+PEVudHJ5IFR5cGU9IkFkZGVkVG9EYXRhTW9kZWwiIFZhbHVlPSJsMCIvPjxFbnRyeSBUeXBlPSJCdWZmZXJOZXh0UmVmcmVzaCIgVmFsdWU9ImwxIi8+PEVudHJ5IFR5cGU9IkZpbGxDb3VudCIgVmFsdWU9Imw5OTk4Ii8+PEVudHJ5IFR5cGU9IkZpbGxFbmFibGVkIiBWYWx1ZT0ibDAiLz48RW50cnkgVHlwZT0iRmlsbEVycm9yQ29kZSIgVmFsdWU9InNVbmtub3duIi8+PEVudHJ5IFR5cGU9IkZpbGxFcnJvckNvdW50IiBWYWx1ZT0ibDk1OTMiLz48RW50cnkgVHlwZT0iRmlsbExhc3RVcGRhdGVkIiBWYWx1ZT0iZDIwMjYtMDUtMDFUMTk6NDk6NTIuMDk5ODM0MloiLz48RW50cnkgVHlwZT0iRmlsbENvbHVtblR5cGVzIiBWYWx1ZT0ic0NSRUFCZ1lBQXdBQUF3PT0iLz48RW50cnkgVHlwZT0iRmlsbENvbHVtbk5hbWVzIiBWYWx1ZT0ic1smcXVvdDtGRUNIQSZxdW90OywmcXVvdDtWQUxPUiZxdW90OywmcXVvdDtSQVrDk04mcXVvdDssJnF1b3Q7Q0FURUdPUklBJnF1b3Q7LCZxdW90O1NVQkNBVEVHT1JJQSZxdW90OywmcXVvdDtPQlNFUlZBw4fDg08mcXVvdDssJnF1b3Q7TcOKUyZxdW90OywmcXVvdDtBTk8mcXVvdDssJnF1b3Q7ViBvIEYmcXVvdDssJnF1b3Q7QW5vJnF1b3Q7XSIvPjxFbnRyeSBUeXBlPSJGaWxsZWRDb21wbGV0ZVJlc3VsdFRvV29ya3NoZWV0IiBWYWx1ZT0ibDAiLz48RW50cnkgVHlwZT0iRmlsbFN0YXR1cyIgVmFsdWU9InNDb21wbGV0ZSIvPjxFbnRyeSBUeXBlPSJGaWxsVG9EYXRhTW9kZWxFbmFibGVkIiBWYWx1ZT0ibDAiLz48RW50cnkgVHlwZT0iSXNQcml2YXRlIiBWYWx1ZT0ibDAiLz48RW50cnkgVHlwZT0iUXVlcnlJRCIgVmFsdWU9InNjNjhiM2NlMy1kZWU3LTQxZTEtOGM1My1jYWM0MmNkMDIxMTAiLz48RW50cnkgVHlwZT0iUmVjb3ZlcnlUYXJnZXRDb2x1bW4iIFZhbHVlPSJsMyIvPjxFbnRyeSBUeXBlPSJSZWNvdmVyeVRhcmdldFJvdyIgVmFsdWU9Imw1Ii8+PEVudHJ5IFR5cGU9IlJlY292ZXJ5VGFyZ2V0U2hlZXQiIFZhbHVlPSJzQU7DgUxJU0UgU0HDjURBIi8+PEVudHJ5IFR5cGU9IlJlc3VsdFR5cGUiIFZhbHVlPSJzVGFibGUiLz48RW50cnkgVHlwZT0iTmF2aWdhdGlvblN0ZXBOYW1lIiBWYWx1ZT0ic05hdmVnYcOnw6NvIi8+PEVudHJ5IFR5cGU9IkZpbGxPYmplY3RUeXBlIiBWYWx1ZT0ic1Bpdm90VGFibGUiLz48RW50cnkgVHlwZT0iTmFtZVVwZGF0ZWRBZnRlckZpbGwiIFZhbHVlPSJsMCIvPjxFbnRyeSBUeXBlPSJQaXZvdE9iamVjdE5hbWUiIFZhbHVlPSJzQU7DgUxJU0UgU0HDjURBIVRhYmVsYSBkaW7Dom1pY2ExIi8+PC9TdGFibGVFbnRyaWVzPjwvSXRlbT48SXRlbT48SXRlbUxvY2F0aW9uPjxJdGVtVHlwZT5Gb3JtdWxhPC9JdGVtVHlwZT48SXRlbVBhdGg+U2VjdGlvbjEvQ1JNL0ZvbnRlPC9JdGVtUGF0aD48L0l0ZW1Mb2NhdGlvbj48U3RhYmxlRW50cmllcy8+PC9JdGVtPjxJdGVtPjxJdGVtTG9jYXRpb24+PEl0ZW1UeXBlPkZvcm11bGE8L0l0ZW1UeXBlPjxJdGVtUGF0aD5TZWN0aW9uMS9DUk0vRGl2aWRpciUyMENvbHVuYSUyMHBvciUyMERlbGltaXRhZG9yPC9JdGVtUGF0aD48L0l0ZW1Mb2NhdGlvbj48U3RhYmxlRW50cmllcy8+PC9JdGVtPjxJdGVtPjxJdGVtTG9jYXRpb24+PEl0ZW1UeXBlPkZvcm11bGE8L0l0ZW1UeXBlPjxJdGVtUGF0aD5TZWN0aW9uMS9DUk0vVGlwbyUyMEFsdGVyYWRvPC9JdGVtUGF0aD48L0l0ZW1Mb2NhdGlvbj48U3RhYmxlRW50cmllcy8+PC9JdGVtPjxJdGVtPjxJdGVtTG9jYXRpb24+PEl0ZW1UeXBlPkZvcm11bGE8L0l0ZW1UeXBlPjxJdGVtUGF0aD5TZWN0aW9uMS9DUk0vQ29sdW5hcyUyMFJlbW92aWRhczwvSXRlbVBhdGg+PC9JdGVtTG9jYXRpb24+PFN0YWJsZUVudHJpZXMvPjwvSXRlbT48SXRlbT48SXRlbUxvY2F0aW9uPjxJdGVtVHlwZT5Gb3JtdWxhPC9JdGVtVHlwZT48SXRlbVBhdGg+U2VjdGlvbjEvQ1JNL0NvbHVuYXMlMjBSZW5vbWVhZGFzPC9JdGVtUGF0aD48L0l0ZW1Mb2NhdGlvbj48U3RhYmxlRW50cmllcy8+PC9JdGVtPjxJdGVtPjxJdGVtTG9jYXRpb24+PEl0ZW1UeXBlPkZvcm11bGE8L0l0ZW1UeXBlPjxJdGVtUGF0aD5TZWN0aW9uMS9DUk0vTSVDMyVBQXMlMjBJbnNlcmlkbzwvSXRlbVBhdGg+PC9JdGVtTG9jYXRpb24+PFN0YWJsZUVudHJpZXMvPjwvSXRlbT48SXRlbT48SXRlbUxvY2F0aW9uPjxJdGVtVHlwZT5Gb3JtdWxhPC9JdGVtVHlwZT48SXRlbVBhdGg+U2VjdGlvbjEvVGFiZWxhMS9Gb250ZTwvSXRlbVBhdGg+PC9JdGVtTG9jYXRpb24+PFN0YWJsZUVudHJpZXMvPjwvSXRlbT48SXRlbT48SXRlbUxvY2F0aW9uPjxJdGVtVHlwZT5Gb3JtdWxhPC9JdGVtVHlwZT48SXRlbVBhdGg+U2VjdGlvbjEvVGFiZWxhMS9UaXBvJTIwQWx0ZXJhZG88L0l0ZW1QYXRoPjwvSXRlbUxvY2F0aW9uPjxTdGFibGVFbnRyaWVzLz48L0l0ZW0+PEl0ZW0+PEl0ZW1Mb2NhdGlvbj48SXRlbVR5cGU+Rm9ybXVsYTwvSXRlbVR5cGU+PEl0ZW1QYXRoPlNlY3Rpb24xL1RhYmVsYTEvQW5vJTIwSW5zZXJpZG88L0l0ZW1QYXRoPjwvSXRlbUxvY2F0aW9uPjxTdGFibGVFbnRyaWVzLz48L0l0ZW0+PEl0ZW0+PEl0ZW1Mb2NhdGlvbj48SXRlbVR5cGU+Rm9ybXVsYTwvSXRlbVR5cGU+PEl0ZW1QYXRoPlNlY3Rpb24xL1RhYmVsYTEvVGlwbyUyMEFsdGVyYWRvMTwvSXRlbVBhdGg+PC9JdGVtTG9jYXRpb24+PFN0YWJsZUVudHJpZXMvPjwvSXRlbT48SXRlbT48SXRlbUxvY2F0aW9uPjxJdGVtVHlwZT5Gb3JtdWxhPC9JdGVtVHlwZT48SXRlbVBhdGg+U2VjdGlvbjEvQ1JNL1RpcG8lMjBBbHRlcmFkbzE8L0l0ZW1QYXRoPjwvSXRlbUxvY2F0aW9uPjxTdGFibGVFbnRyaWVzLz48L0l0ZW0+PEl0ZW0+PEl0ZW1Mb2NhdGlvbj48SXRlbVR5cGU+Rm9ybXVsYTwvSXRlbVR5cGU+PEl0ZW1QYXRoPlNlY3Rpb24xL0NSTS9Bbm8lMjBJbnNlcmlkbzwvSXRlbVBhdGg+PC9JdGVtTG9jYXRpb24+PFN0YWJsZUVudHJpZXMvPjwvSXRlbT48SXRlbT48SXRlbUxvY2F0aW9uPjxJdGVtVHlwZT5Gb3JtdWxhPC9JdGVtVHlwZT48SXRlbVBhdGg+U2VjdGlvbjEvQ1JNL0NvbHVuYXMlMjBSZW5vbWVhZGFzMTwvSXRlbVBhdGg+PC9JdGVtTG9jYXRpb24+PFN0YWJsZUVudHJpZXMvPjwvSXRlbT48SXRlbT48SXRlbUxvY2F0aW9uPjxJdGVtVHlwZT5BbGxGb3JtdWxhczwvSXRlbVR5cGU+PEl0ZW1QYXRoPjwvSXRlbVBhdGg+PC9JdGVtTG9jYXRpb24+PFN0YWJsZUVudHJpZXM+PEVudHJ5IFR5cGU9IlF1ZXJ5R3JvdXBzIiBWYWx1ZT0ic0FBQUFBQT09Ii8+PEVudHJ5IFR5cGU9IlJlbGF0aW9uc2hpcHMiIFZhbHVlPSJzQUFBQUFBPT0iLz48L1N0YWJsZUVudHJpZXM+PC9JdGVtPjwvSXRlbXM+PC9Mb2NhbFBhY2thZ2VNZXRhZGF0YUZpbGU+FgAAAFBLBQYAAAAAAAAAAAAAAAAAAAAAAAAmAQAAAQAAANCMnd8BFdERjHoAwE/Cl+sBAAAAMwIZgNlol0emYC9xLwvvcQAAAAACAAAAAAAQZgAAAAEAACAAAAC/MXrLz7QE7cdxSi4XU1Q+qU/+8bzFBJ2lw583A0j+rQAAAAAOgAAAAAIAACAAAACmithoOBy6aFJfynzDxp3aYeHHbmAwR4HexdJpZXhN4lAAAAD9fwypQstfxplIYOWn6S9N2z43+wYTjxa2qZItX6Q+KgJWDlPYyWAVUbRzF2jFJ1KziuySG8W1XUpouarufCPGqYaIpoQEFTjIPE6J2u5cKUAAAADkFJXiNHzWO5gpIWSR2jKS/pswfcdqFaN0b+8guZR6OQ+0VaDjO1FLG9maTM9axAXK84lV4KWsHebz/RaEHTwT</DataMashup>
</file>

<file path=customXml/itemProps1.xml><?xml version="1.0" encoding="utf-8"?>
<ds:datastoreItem xmlns:ds="http://schemas.openxmlformats.org/officeDocument/2006/customXml" ds:itemID="{8B561589-9355-47A1-AFC7-5115941F954B}"/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18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2025-05-13T14:25:39Z</dcterms:created>
  <dc:creator>gabriel leite</dc:creator>
  <dc:description/>
  <dc:language>es-ES</dc:language>
  <cp:lastModifiedBy/>
  <dcterms:modified xsi:type="dcterms:W3CDTF">2026-06-05T07:11:09Z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